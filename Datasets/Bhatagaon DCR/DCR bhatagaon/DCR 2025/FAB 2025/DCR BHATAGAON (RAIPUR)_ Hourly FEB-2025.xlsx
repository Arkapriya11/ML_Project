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28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MONTHLY 28" sheetId="39" r:id="rId29"/>
  </sheets>
  <calcPr calcId="144525"/>
</workbook>
</file>

<file path=xl/calcChain.xml><?xml version="1.0" encoding="utf-8"?>
<calcChain xmlns="http://schemas.openxmlformats.org/spreadsheetml/2006/main">
  <c r="N17" i="39" l="1"/>
  <c r="O17" i="39"/>
  <c r="P17" i="39"/>
  <c r="N15" i="39"/>
  <c r="O15" i="39"/>
  <c r="P15" i="39"/>
  <c r="G38" i="31"/>
  <c r="H38" i="31"/>
  <c r="F38" i="31"/>
  <c r="C38" i="31"/>
  <c r="D38" i="31"/>
  <c r="B38" i="31"/>
  <c r="E38" i="26"/>
  <c r="H38" i="25"/>
  <c r="E38" i="25"/>
  <c r="H38" i="23"/>
  <c r="G38" i="23"/>
  <c r="E38" i="23"/>
  <c r="C38" i="23"/>
  <c r="D38" i="23"/>
  <c r="B38" i="23"/>
  <c r="H38" i="12"/>
  <c r="H38" i="10"/>
  <c r="G38" i="10"/>
  <c r="E38" i="10"/>
  <c r="C38" i="10"/>
  <c r="D38" i="10"/>
  <c r="B38" i="10"/>
  <c r="B2" i="20" l="1"/>
  <c r="G36" i="39"/>
  <c r="E36" i="39"/>
  <c r="F35" i="39"/>
  <c r="J33" i="39"/>
  <c r="H33" i="39"/>
  <c r="J32" i="39"/>
  <c r="K31" i="39"/>
  <c r="J31" i="39"/>
  <c r="L30" i="39"/>
  <c r="K30" i="39"/>
  <c r="M29" i="39"/>
  <c r="L29" i="39"/>
  <c r="M28" i="39"/>
  <c r="O27" i="39"/>
  <c r="N27" i="39"/>
  <c r="O26" i="39"/>
  <c r="P25" i="39"/>
  <c r="Q24" i="39"/>
  <c r="B24" i="39"/>
  <c r="A24" i="39"/>
  <c r="C23" i="39"/>
  <c r="B23" i="39"/>
  <c r="A23" i="39"/>
  <c r="C22" i="39"/>
  <c r="E21" i="39"/>
  <c r="D21" i="39"/>
  <c r="E20" i="39"/>
  <c r="G19" i="39"/>
  <c r="F19" i="39"/>
  <c r="G18" i="39"/>
  <c r="J15" i="39"/>
  <c r="L14" i="39"/>
  <c r="K14" i="39"/>
  <c r="M13" i="39"/>
  <c r="L13" i="39"/>
  <c r="N12" i="39"/>
  <c r="M12" i="39"/>
  <c r="N11" i="39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F36" i="33"/>
  <c r="F36" i="39" s="1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40" i="31"/>
  <c r="G40" i="31"/>
  <c r="F40" i="31"/>
  <c r="E38" i="31"/>
  <c r="E39" i="31" s="1"/>
  <c r="D40" i="31"/>
  <c r="C40" i="31"/>
  <c r="B40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E40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39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I36" i="30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39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J36" i="28"/>
  <c r="I36" i="28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G40" i="27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39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K36" i="27"/>
  <c r="J36" i="27"/>
  <c r="J30" i="39" s="1"/>
  <c r="I36" i="27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G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40" i="26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G39" i="25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40" i="25"/>
  <c r="G38" i="25"/>
  <c r="G40" i="25" s="1"/>
  <c r="F38" i="25"/>
  <c r="F40" i="25" s="1"/>
  <c r="E40" i="25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39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N36" i="24"/>
  <c r="M36" i="24"/>
  <c r="M27" i="39" s="1"/>
  <c r="L36" i="24"/>
  <c r="L27" i="39" s="1"/>
  <c r="K36" i="24"/>
  <c r="K27" i="39" s="1"/>
  <c r="J36" i="24"/>
  <c r="J27" i="39" s="1"/>
  <c r="I36" i="24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39" i="23" s="1"/>
  <c r="H39" i="23"/>
  <c r="G40" i="23"/>
  <c r="F38" i="23"/>
  <c r="F40" i="23" s="1"/>
  <c r="E40" i="23"/>
  <c r="D40" i="23"/>
  <c r="C40" i="23"/>
  <c r="B40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39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39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39" i="20" s="1"/>
  <c r="G38" i="20"/>
  <c r="G39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G39" i="19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40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H36" i="18"/>
  <c r="H21" i="39" s="1"/>
  <c r="G36" i="18"/>
  <c r="G21" i="39" s="1"/>
  <c r="F36" i="18"/>
  <c r="F21" i="39" s="1"/>
  <c r="E36" i="18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H36" i="17"/>
  <c r="H20" i="39" s="1"/>
  <c r="G36" i="17"/>
  <c r="G20" i="39" s="1"/>
  <c r="F36" i="17"/>
  <c r="F20" i="39" s="1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39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H36" i="16"/>
  <c r="H19" i="39" s="1"/>
  <c r="G36" i="16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J39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39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40" i="12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I36" i="12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39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K36" i="11"/>
  <c r="J36" i="11"/>
  <c r="J14" i="39" s="1"/>
  <c r="I36" i="1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40" i="10"/>
  <c r="G40" i="10"/>
  <c r="F38" i="10"/>
  <c r="F40" i="10" s="1"/>
  <c r="E40" i="10"/>
  <c r="D40" i="10"/>
  <c r="C40" i="10"/>
  <c r="B40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M36" i="9"/>
  <c r="L36" i="9"/>
  <c r="L12" i="39" s="1"/>
  <c r="K36" i="9"/>
  <c r="K12" i="39" s="1"/>
  <c r="J36" i="9"/>
  <c r="J12" i="39" s="1"/>
  <c r="I36" i="9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39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B39" i="33" l="1"/>
  <c r="C39" i="33"/>
  <c r="E39" i="33"/>
  <c r="F39" i="33"/>
  <c r="G39" i="33"/>
  <c r="H39" i="33"/>
  <c r="I39" i="33"/>
  <c r="J39" i="33"/>
  <c r="D39" i="33"/>
  <c r="K39" i="33"/>
  <c r="L39" i="33"/>
  <c r="M39" i="33"/>
  <c r="N39" i="33"/>
  <c r="O39" i="33"/>
  <c r="P39" i="33"/>
  <c r="Q39" i="33"/>
  <c r="D39" i="32"/>
  <c r="E39" i="32"/>
  <c r="F39" i="32"/>
  <c r="G39" i="32"/>
  <c r="H39" i="32"/>
  <c r="I39" i="32"/>
  <c r="J39" i="32"/>
  <c r="K39" i="32"/>
  <c r="L39" i="32"/>
  <c r="M39" i="32"/>
  <c r="C39" i="32"/>
  <c r="N39" i="32"/>
  <c r="O39" i="32"/>
  <c r="P39" i="32"/>
  <c r="Q39" i="32"/>
  <c r="B39" i="32"/>
  <c r="E40" i="31"/>
  <c r="G39" i="31"/>
  <c r="H39" i="31"/>
  <c r="I39" i="31"/>
  <c r="J39" i="31"/>
  <c r="K39" i="31"/>
  <c r="L39" i="31"/>
  <c r="M39" i="31"/>
  <c r="N39" i="31"/>
  <c r="F39" i="31"/>
  <c r="O39" i="31"/>
  <c r="P39" i="31"/>
  <c r="Q39" i="31"/>
  <c r="B39" i="31"/>
  <c r="C39" i="31"/>
  <c r="D39" i="31"/>
  <c r="F39" i="30"/>
  <c r="G39" i="30"/>
  <c r="H39" i="30"/>
  <c r="I39" i="30"/>
  <c r="J39" i="30"/>
  <c r="K39" i="30"/>
  <c r="L39" i="30"/>
  <c r="M39" i="30"/>
  <c r="N39" i="30"/>
  <c r="O39" i="30"/>
  <c r="P39" i="30"/>
  <c r="Q39" i="30"/>
  <c r="B39" i="30"/>
  <c r="C39" i="30"/>
  <c r="D39" i="30"/>
  <c r="F39" i="29"/>
  <c r="G39" i="29"/>
  <c r="H39" i="29"/>
  <c r="I39" i="29"/>
  <c r="J39" i="29"/>
  <c r="K39" i="29"/>
  <c r="L39" i="29"/>
  <c r="M39" i="29"/>
  <c r="N39" i="29"/>
  <c r="O39" i="29"/>
  <c r="P39" i="29"/>
  <c r="Q39" i="29"/>
  <c r="B39" i="29"/>
  <c r="C39" i="29"/>
  <c r="D39" i="29"/>
  <c r="E39" i="29"/>
  <c r="F39" i="28"/>
  <c r="H39" i="28"/>
  <c r="I39" i="28"/>
  <c r="J39" i="28"/>
  <c r="K39" i="28"/>
  <c r="L39" i="28"/>
  <c r="G40" i="28"/>
  <c r="M39" i="28"/>
  <c r="N39" i="28"/>
  <c r="O39" i="28"/>
  <c r="P39" i="28"/>
  <c r="Q39" i="28"/>
  <c r="B39" i="28"/>
  <c r="C39" i="28"/>
  <c r="D39" i="28"/>
  <c r="E39" i="28"/>
  <c r="H39" i="27"/>
  <c r="I39" i="27"/>
  <c r="J39" i="27"/>
  <c r="K39" i="27"/>
  <c r="L39" i="27"/>
  <c r="M39" i="27"/>
  <c r="N39" i="27"/>
  <c r="O39" i="27"/>
  <c r="P39" i="27"/>
  <c r="Q39" i="27"/>
  <c r="B39" i="27"/>
  <c r="F39" i="27"/>
  <c r="C39" i="27"/>
  <c r="D39" i="27"/>
  <c r="E39" i="27"/>
  <c r="H39" i="26"/>
  <c r="I39" i="26"/>
  <c r="J39" i="26"/>
  <c r="K39" i="26"/>
  <c r="L39" i="26"/>
  <c r="M39" i="26"/>
  <c r="F39" i="26"/>
  <c r="N39" i="26"/>
  <c r="O39" i="26"/>
  <c r="P39" i="26"/>
  <c r="Q39" i="26"/>
  <c r="B39" i="26"/>
  <c r="C39" i="26"/>
  <c r="D39" i="26"/>
  <c r="E39" i="26"/>
  <c r="H39" i="25"/>
  <c r="I39" i="25"/>
  <c r="J39" i="25"/>
  <c r="K39" i="25"/>
  <c r="L39" i="25"/>
  <c r="M39" i="25"/>
  <c r="N39" i="25"/>
  <c r="O39" i="25"/>
  <c r="P39" i="25"/>
  <c r="Q39" i="25"/>
  <c r="B39" i="25"/>
  <c r="C39" i="25"/>
  <c r="D39" i="25"/>
  <c r="E39" i="25"/>
  <c r="F39" i="25"/>
  <c r="H39" i="24"/>
  <c r="G40" i="24"/>
  <c r="I39" i="24"/>
  <c r="J39" i="24"/>
  <c r="K39" i="24"/>
  <c r="L39" i="24"/>
  <c r="M39" i="24"/>
  <c r="N39" i="24"/>
  <c r="O39" i="24"/>
  <c r="P39" i="24"/>
  <c r="Q39" i="24"/>
  <c r="B39" i="24"/>
  <c r="C39" i="24"/>
  <c r="D39" i="24"/>
  <c r="E39" i="24"/>
  <c r="F39" i="24"/>
  <c r="I40" i="23"/>
  <c r="J39" i="23"/>
  <c r="K39" i="23"/>
  <c r="L39" i="23"/>
  <c r="M39" i="23"/>
  <c r="H40" i="23"/>
  <c r="N39" i="23"/>
  <c r="O39" i="23"/>
  <c r="P39" i="23"/>
  <c r="Q39" i="23"/>
  <c r="B39" i="23"/>
  <c r="C39" i="23"/>
  <c r="D39" i="23"/>
  <c r="E39" i="23"/>
  <c r="F39" i="23"/>
  <c r="G39" i="23"/>
  <c r="J39" i="22"/>
  <c r="K39" i="22"/>
  <c r="I40" i="22"/>
  <c r="L39" i="22"/>
  <c r="M39" i="22"/>
  <c r="N39" i="22"/>
  <c r="O39" i="22"/>
  <c r="P39" i="22"/>
  <c r="Q39" i="22"/>
  <c r="B39" i="22"/>
  <c r="C39" i="22"/>
  <c r="D39" i="22"/>
  <c r="E39" i="22"/>
  <c r="F39" i="22"/>
  <c r="G39" i="22"/>
  <c r="H39" i="22"/>
  <c r="I39" i="21"/>
  <c r="J39" i="21"/>
  <c r="K39" i="21"/>
  <c r="L39" i="21"/>
  <c r="M39" i="21"/>
  <c r="N39" i="21"/>
  <c r="H40" i="21"/>
  <c r="O39" i="21"/>
  <c r="P39" i="21"/>
  <c r="Q39" i="21"/>
  <c r="B39" i="21"/>
  <c r="C39" i="21"/>
  <c r="D39" i="21"/>
  <c r="E39" i="21"/>
  <c r="F39" i="21"/>
  <c r="G39" i="21"/>
  <c r="G40" i="20"/>
  <c r="I39" i="20"/>
  <c r="J39" i="20"/>
  <c r="K39" i="20"/>
  <c r="L39" i="20"/>
  <c r="H40" i="20"/>
  <c r="M39" i="20"/>
  <c r="N39" i="20"/>
  <c r="O39" i="20"/>
  <c r="P39" i="20"/>
  <c r="Q39" i="20"/>
  <c r="B39" i="20"/>
  <c r="C39" i="20"/>
  <c r="D39" i="20"/>
  <c r="E39" i="20"/>
  <c r="F39" i="20"/>
  <c r="H39" i="19"/>
  <c r="I39" i="19"/>
  <c r="J39" i="19"/>
  <c r="K39" i="19"/>
  <c r="L39" i="19"/>
  <c r="M39" i="19"/>
  <c r="N39" i="19"/>
  <c r="O39" i="19"/>
  <c r="P39" i="19"/>
  <c r="Q39" i="19"/>
  <c r="B39" i="19"/>
  <c r="C39" i="19"/>
  <c r="D39" i="19"/>
  <c r="E39" i="19"/>
  <c r="F39" i="19"/>
  <c r="I39" i="18"/>
  <c r="G40" i="18"/>
  <c r="H39" i="18"/>
  <c r="J39" i="18"/>
  <c r="K39" i="18"/>
  <c r="L39" i="18"/>
  <c r="M39" i="18"/>
  <c r="N39" i="18"/>
  <c r="O39" i="18"/>
  <c r="P39" i="18"/>
  <c r="Q39" i="18"/>
  <c r="C39" i="18"/>
  <c r="B40" i="18"/>
  <c r="D39" i="18"/>
  <c r="E39" i="18"/>
  <c r="F39" i="18"/>
  <c r="I39" i="17"/>
  <c r="H39" i="17"/>
  <c r="J39" i="17"/>
  <c r="K39" i="17"/>
  <c r="L39" i="17"/>
  <c r="M39" i="17"/>
  <c r="N39" i="17"/>
  <c r="O39" i="17"/>
  <c r="P39" i="17"/>
  <c r="Q39" i="17"/>
  <c r="B39" i="17"/>
  <c r="C39" i="17"/>
  <c r="D39" i="17"/>
  <c r="E39" i="17"/>
  <c r="F39" i="17"/>
  <c r="G39" i="17"/>
  <c r="J39" i="16"/>
  <c r="K39" i="16"/>
  <c r="L39" i="16"/>
  <c r="M39" i="16"/>
  <c r="N39" i="16"/>
  <c r="O39" i="16"/>
  <c r="I40" i="16"/>
  <c r="P39" i="16"/>
  <c r="Q39" i="16"/>
  <c r="B39" i="16"/>
  <c r="C39" i="16"/>
  <c r="D39" i="16"/>
  <c r="E39" i="16"/>
  <c r="H39" i="16"/>
  <c r="F39" i="16"/>
  <c r="G39" i="16"/>
  <c r="K39" i="15"/>
  <c r="L39" i="15"/>
  <c r="M39" i="15"/>
  <c r="N39" i="15"/>
  <c r="O39" i="15"/>
  <c r="I39" i="15"/>
  <c r="P39" i="15"/>
  <c r="Q39" i="15"/>
  <c r="B39" i="15"/>
  <c r="C39" i="15"/>
  <c r="D39" i="15"/>
  <c r="E39" i="15"/>
  <c r="F39" i="15"/>
  <c r="G39" i="15"/>
  <c r="H39" i="15"/>
  <c r="J39" i="14"/>
  <c r="K39" i="14"/>
  <c r="L39" i="14"/>
  <c r="M39" i="14"/>
  <c r="H40" i="14"/>
  <c r="N39" i="14"/>
  <c r="O39" i="14"/>
  <c r="P39" i="14"/>
  <c r="Q39" i="14"/>
  <c r="B39" i="14"/>
  <c r="C39" i="14"/>
  <c r="I39" i="14"/>
  <c r="D39" i="14"/>
  <c r="E39" i="14"/>
  <c r="F39" i="14"/>
  <c r="G39" i="14"/>
  <c r="K39" i="13"/>
  <c r="L39" i="13"/>
  <c r="M39" i="13"/>
  <c r="N39" i="13"/>
  <c r="O39" i="13"/>
  <c r="P39" i="13"/>
  <c r="Q39" i="13"/>
  <c r="J39" i="13"/>
  <c r="B39" i="13"/>
  <c r="C39" i="13"/>
  <c r="D39" i="13"/>
  <c r="E39" i="13"/>
  <c r="F39" i="13"/>
  <c r="G39" i="13"/>
  <c r="H39" i="13"/>
  <c r="I39" i="13"/>
  <c r="I39" i="12"/>
  <c r="J39" i="12"/>
  <c r="K39" i="12"/>
  <c r="L39" i="12"/>
  <c r="M39" i="12"/>
  <c r="N39" i="12"/>
  <c r="H39" i="12"/>
  <c r="O39" i="12"/>
  <c r="P39" i="12"/>
  <c r="Q39" i="12"/>
  <c r="B39" i="12"/>
  <c r="C39" i="12"/>
  <c r="D39" i="12"/>
  <c r="E39" i="12"/>
  <c r="F39" i="12"/>
  <c r="G39" i="12"/>
  <c r="J39" i="11"/>
  <c r="K39" i="11"/>
  <c r="L39" i="11"/>
  <c r="M39" i="11"/>
  <c r="N39" i="11"/>
  <c r="H40" i="11"/>
  <c r="O39" i="11"/>
  <c r="P39" i="11"/>
  <c r="Q39" i="11"/>
  <c r="B39" i="11"/>
  <c r="C39" i="11"/>
  <c r="I39" i="11"/>
  <c r="D39" i="11"/>
  <c r="E39" i="11"/>
  <c r="F39" i="11"/>
  <c r="G39" i="11"/>
  <c r="H39" i="10"/>
  <c r="J39" i="10"/>
  <c r="I39" i="10"/>
  <c r="K39" i="10"/>
  <c r="L39" i="10"/>
  <c r="M39" i="10"/>
  <c r="N39" i="10"/>
  <c r="O39" i="10"/>
  <c r="P39" i="10"/>
  <c r="Q39" i="10"/>
  <c r="B39" i="10"/>
  <c r="C39" i="10"/>
  <c r="D39" i="10"/>
  <c r="E39" i="10"/>
  <c r="F39" i="10"/>
  <c r="G39" i="10"/>
  <c r="J39" i="9"/>
  <c r="H40" i="9"/>
  <c r="K39" i="9"/>
  <c r="L39" i="9"/>
  <c r="M39" i="9"/>
  <c r="N39" i="9"/>
  <c r="O39" i="9"/>
  <c r="I39" i="9"/>
  <c r="P39" i="9"/>
  <c r="Q39" i="9"/>
  <c r="B39" i="9"/>
  <c r="C39" i="9"/>
  <c r="D39" i="9"/>
  <c r="E39" i="9"/>
  <c r="F39" i="9"/>
  <c r="G39" i="9"/>
  <c r="I39" i="8"/>
  <c r="J39" i="8"/>
  <c r="K39" i="8"/>
  <c r="L39" i="8"/>
  <c r="M39" i="8"/>
  <c r="N39" i="8"/>
  <c r="O39" i="8"/>
  <c r="Q39" i="8"/>
  <c r="B39" i="8"/>
  <c r="P40" i="8"/>
  <c r="C39" i="8"/>
  <c r="D39" i="8"/>
  <c r="E39" i="8"/>
  <c r="F39" i="8"/>
  <c r="G39" i="8"/>
  <c r="H39" i="8"/>
  <c r="K39" i="3"/>
  <c r="L39" i="3"/>
  <c r="M39" i="3"/>
  <c r="N39" i="3"/>
  <c r="O39" i="3"/>
  <c r="P39" i="3"/>
  <c r="Q39" i="3"/>
  <c r="B39" i="3"/>
  <c r="C39" i="3"/>
  <c r="D39" i="3"/>
  <c r="E39" i="3"/>
  <c r="F39" i="3"/>
  <c r="G39" i="3"/>
  <c r="H39" i="3"/>
  <c r="I39" i="3"/>
  <c r="J39" i="3"/>
  <c r="N42" i="39"/>
  <c r="N41" i="39"/>
  <c r="N40" i="39"/>
  <c r="N39" i="39"/>
  <c r="N38" i="39"/>
  <c r="O42" i="39"/>
  <c r="O41" i="39"/>
  <c r="O40" i="39"/>
  <c r="O39" i="39"/>
  <c r="O38" i="39"/>
  <c r="P42" i="39"/>
  <c r="P41" i="39"/>
  <c r="P40" i="39"/>
  <c r="P39" i="39"/>
  <c r="P38" i="39"/>
  <c r="B42" i="39"/>
  <c r="B41" i="39"/>
  <c r="B40" i="39"/>
  <c r="B39" i="39"/>
  <c r="B38" i="39"/>
  <c r="C42" i="39"/>
  <c r="C41" i="39"/>
  <c r="C40" i="39"/>
  <c r="C39" i="39"/>
  <c r="C38" i="39"/>
  <c r="Q42" i="39"/>
  <c r="Q41" i="39"/>
  <c r="Q40" i="39"/>
  <c r="Q39" i="39"/>
  <c r="Q38" i="39"/>
  <c r="D42" i="39"/>
  <c r="D41" i="39"/>
  <c r="D40" i="39"/>
  <c r="D39" i="39"/>
  <c r="D38" i="39"/>
  <c r="E42" i="39"/>
  <c r="E41" i="39"/>
  <c r="E40" i="39"/>
  <c r="E39" i="39"/>
  <c r="E38" i="39"/>
  <c r="M42" i="39"/>
  <c r="M41" i="39"/>
  <c r="M40" i="39"/>
  <c r="M39" i="39"/>
  <c r="M38" i="39"/>
  <c r="F42" i="39"/>
  <c r="F41" i="39"/>
  <c r="F40" i="39"/>
  <c r="F39" i="39"/>
  <c r="F38" i="39"/>
  <c r="L42" i="39"/>
  <c r="L41" i="39"/>
  <c r="L40" i="39"/>
  <c r="L39" i="39"/>
  <c r="L38" i="39"/>
  <c r="G42" i="39"/>
  <c r="G41" i="39"/>
  <c r="G40" i="39"/>
  <c r="G39" i="39"/>
  <c r="G38" i="39"/>
  <c r="H42" i="39"/>
  <c r="H41" i="39"/>
  <c r="H40" i="39"/>
  <c r="H39" i="39"/>
  <c r="H38" i="39"/>
  <c r="I42" i="39"/>
  <c r="I41" i="39"/>
  <c r="I40" i="39"/>
  <c r="I39" i="39"/>
  <c r="I38" i="39"/>
  <c r="J42" i="39"/>
  <c r="J41" i="39"/>
  <c r="J40" i="39"/>
  <c r="J39" i="39"/>
  <c r="J38" i="39"/>
  <c r="K42" i="39"/>
  <c r="K41" i="39"/>
  <c r="K40" i="39"/>
  <c r="K39" i="39"/>
  <c r="K38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B44" i="39" l="1"/>
  <c r="B43" i="39"/>
  <c r="D44" i="39"/>
  <c r="D43" i="39"/>
  <c r="H44" i="39"/>
  <c r="H43" i="39"/>
  <c r="K44" i="39"/>
  <c r="K43" i="39"/>
  <c r="P44" i="39"/>
  <c r="P43" i="39"/>
  <c r="Q44" i="39"/>
  <c r="Q43" i="39"/>
  <c r="M44" i="39"/>
  <c r="M43" i="39"/>
  <c r="F44" i="39"/>
  <c r="F43" i="39"/>
  <c r="G44" i="39"/>
  <c r="G43" i="39"/>
  <c r="J44" i="39"/>
  <c r="J43" i="39"/>
  <c r="O44" i="39"/>
  <c r="O43" i="39"/>
  <c r="C44" i="39"/>
  <c r="C43" i="39"/>
  <c r="E44" i="39"/>
  <c r="E43" i="39"/>
  <c r="L44" i="39"/>
  <c r="L43" i="39"/>
  <c r="I44" i="39"/>
  <c r="I43" i="39"/>
  <c r="N44" i="39"/>
  <c r="N43" i="39"/>
</calcChain>
</file>

<file path=xl/sharedStrings.xml><?xml version="1.0" encoding="utf-8"?>
<sst xmlns="http://schemas.openxmlformats.org/spreadsheetml/2006/main" count="3296" uniqueCount="732">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</sst>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0" fontId="14" fillId="9" borderId="0" xfId="0" applyFont="1" applyFill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60</v>
      </c>
      <c r="B9" s="52">
        <v>79.790000000000006</v>
      </c>
      <c r="C9" s="52">
        <v>54.29</v>
      </c>
      <c r="D9" s="52">
        <v>90.97</v>
      </c>
      <c r="E9" s="52">
        <v>6.92</v>
      </c>
      <c r="F9" s="52">
        <v>2.13</v>
      </c>
      <c r="G9" s="52">
        <v>115.85</v>
      </c>
      <c r="H9" s="52">
        <v>33.82</v>
      </c>
      <c r="I9" s="53" t="s">
        <v>15</v>
      </c>
      <c r="J9" s="52">
        <v>0.56999999999999995</v>
      </c>
      <c r="K9" s="52">
        <v>299.02</v>
      </c>
      <c r="L9" s="52">
        <v>17.68</v>
      </c>
      <c r="M9" s="52">
        <v>99.85</v>
      </c>
      <c r="N9" s="52">
        <v>79</v>
      </c>
      <c r="O9" s="52">
        <v>0</v>
      </c>
      <c r="P9" s="52">
        <v>1.31</v>
      </c>
      <c r="Q9" s="52">
        <v>9.7899999999999991</v>
      </c>
      <c r="R9" s="43"/>
      <c r="S9" s="43"/>
      <c r="T9" s="43"/>
      <c r="U9" s="43"/>
    </row>
    <row r="10" spans="1:21" s="11" customFormat="1" x14ac:dyDescent="0.25">
      <c r="A10" s="51" t="s">
        <v>61</v>
      </c>
      <c r="B10" s="52">
        <v>78.05</v>
      </c>
      <c r="C10" s="52">
        <v>51.45</v>
      </c>
      <c r="D10" s="52">
        <v>88.1</v>
      </c>
      <c r="E10" s="52">
        <v>6.89</v>
      </c>
      <c r="F10" s="52">
        <v>2.13</v>
      </c>
      <c r="G10" s="52">
        <v>108.73</v>
      </c>
      <c r="H10" s="52">
        <v>31.45</v>
      </c>
      <c r="I10" s="53" t="s">
        <v>15</v>
      </c>
      <c r="J10" s="52">
        <v>0.62</v>
      </c>
      <c r="K10" s="52">
        <v>346.53</v>
      </c>
      <c r="L10" s="52">
        <v>16.989999999999998</v>
      </c>
      <c r="M10" s="52">
        <v>104.29</v>
      </c>
      <c r="N10" s="52">
        <v>78.8</v>
      </c>
      <c r="O10" s="52">
        <v>0</v>
      </c>
      <c r="P10" s="52">
        <v>1.31</v>
      </c>
      <c r="Q10" s="52">
        <v>9.8000000000000007</v>
      </c>
      <c r="R10" s="43"/>
      <c r="S10" s="43"/>
      <c r="T10" s="43"/>
      <c r="U10" s="43"/>
    </row>
    <row r="11" spans="1:21" s="11" customFormat="1" x14ac:dyDescent="0.25">
      <c r="A11" s="51" t="s">
        <v>62</v>
      </c>
      <c r="B11" s="52">
        <v>73.31</v>
      </c>
      <c r="C11" s="52">
        <v>51.13</v>
      </c>
      <c r="D11" s="52">
        <v>83.54</v>
      </c>
      <c r="E11" s="52">
        <v>6.55</v>
      </c>
      <c r="F11" s="52">
        <v>2.13</v>
      </c>
      <c r="G11" s="52">
        <v>103.22</v>
      </c>
      <c r="H11" s="52">
        <v>32.18</v>
      </c>
      <c r="I11" s="53" t="s">
        <v>15</v>
      </c>
      <c r="J11" s="52">
        <v>0.52</v>
      </c>
      <c r="K11" s="52">
        <v>329.61</v>
      </c>
      <c r="L11" s="52">
        <v>16.739999999999998</v>
      </c>
      <c r="M11" s="52">
        <v>105.21</v>
      </c>
      <c r="N11" s="52">
        <v>78.599999999999994</v>
      </c>
      <c r="O11" s="52">
        <v>0</v>
      </c>
      <c r="P11" s="52">
        <v>1.25</v>
      </c>
      <c r="Q11" s="52">
        <v>9.81</v>
      </c>
      <c r="R11" s="43"/>
      <c r="S11" s="43"/>
      <c r="T11" s="43"/>
      <c r="U11" s="43"/>
    </row>
    <row r="12" spans="1:21" s="11" customFormat="1" x14ac:dyDescent="0.25">
      <c r="A12" s="51" t="s">
        <v>63</v>
      </c>
      <c r="B12" s="52">
        <v>64.59</v>
      </c>
      <c r="C12" s="52">
        <v>50.31</v>
      </c>
      <c r="D12" s="52">
        <v>76.42</v>
      </c>
      <c r="E12" s="52">
        <v>6.62</v>
      </c>
      <c r="F12" s="52">
        <v>2.13</v>
      </c>
      <c r="G12" s="52">
        <v>97.76</v>
      </c>
      <c r="H12" s="52">
        <v>30.82</v>
      </c>
      <c r="I12" s="53" t="s">
        <v>15</v>
      </c>
      <c r="J12" s="52">
        <v>0.56999999999999995</v>
      </c>
      <c r="K12" s="52">
        <v>300.58</v>
      </c>
      <c r="L12" s="52">
        <v>16.77</v>
      </c>
      <c r="M12" s="52">
        <v>101.8</v>
      </c>
      <c r="N12" s="52">
        <v>78.8</v>
      </c>
      <c r="O12" s="52">
        <v>0</v>
      </c>
      <c r="P12" s="52">
        <v>1.1399999999999999</v>
      </c>
      <c r="Q12" s="52">
        <v>9.77</v>
      </c>
      <c r="R12" s="43"/>
      <c r="S12" s="43"/>
      <c r="T12" s="43"/>
      <c r="U12" s="43"/>
    </row>
    <row r="13" spans="1:21" s="11" customFormat="1" x14ac:dyDescent="0.25">
      <c r="A13" s="51" t="s">
        <v>64</v>
      </c>
      <c r="B13" s="52">
        <v>57.24</v>
      </c>
      <c r="C13" s="52">
        <v>49.47</v>
      </c>
      <c r="D13" s="52">
        <v>70.37</v>
      </c>
      <c r="E13" s="52">
        <v>6.38</v>
      </c>
      <c r="F13" s="52">
        <v>2.13</v>
      </c>
      <c r="G13" s="52">
        <v>79.319999999999993</v>
      </c>
      <c r="H13" s="52">
        <v>30.56</v>
      </c>
      <c r="I13" s="53" t="s">
        <v>15</v>
      </c>
      <c r="J13" s="52">
        <v>0.48</v>
      </c>
      <c r="K13" s="52">
        <v>305.62</v>
      </c>
      <c r="L13" s="52">
        <v>16.16</v>
      </c>
      <c r="M13" s="52">
        <v>104.2</v>
      </c>
      <c r="N13" s="52">
        <v>78.8</v>
      </c>
      <c r="O13" s="52">
        <v>0</v>
      </c>
      <c r="P13" s="52">
        <v>0.99</v>
      </c>
      <c r="Q13" s="52">
        <v>9.7200000000000006</v>
      </c>
      <c r="R13" s="43"/>
      <c r="S13" s="43"/>
      <c r="T13" s="43"/>
      <c r="U13" s="43"/>
    </row>
    <row r="14" spans="1:21" s="11" customFormat="1" x14ac:dyDescent="0.25">
      <c r="A14" s="51" t="s">
        <v>65</v>
      </c>
      <c r="B14" s="52">
        <v>54.69</v>
      </c>
      <c r="C14" s="52">
        <v>48.28</v>
      </c>
      <c r="D14" s="52">
        <v>67.34</v>
      </c>
      <c r="E14" s="52">
        <v>6.48</v>
      </c>
      <c r="F14" s="52">
        <v>2.13</v>
      </c>
      <c r="G14" s="52">
        <v>71.53</v>
      </c>
      <c r="H14" s="52">
        <v>28.06</v>
      </c>
      <c r="I14" s="53" t="s">
        <v>15</v>
      </c>
      <c r="J14" s="52">
        <v>0.35</v>
      </c>
      <c r="K14" s="52">
        <v>295.64999999999998</v>
      </c>
      <c r="L14" s="52">
        <v>15.69</v>
      </c>
      <c r="M14" s="52">
        <v>105.51</v>
      </c>
      <c r="N14" s="52">
        <v>78.900000000000006</v>
      </c>
      <c r="O14" s="52">
        <v>0</v>
      </c>
      <c r="P14" s="52">
        <v>0.97</v>
      </c>
      <c r="Q14" s="52">
        <v>9.6999999999999993</v>
      </c>
      <c r="R14" s="43"/>
      <c r="S14" s="43"/>
      <c r="T14" s="43"/>
      <c r="U14" s="43"/>
    </row>
    <row r="15" spans="1:21" s="11" customFormat="1" x14ac:dyDescent="0.25">
      <c r="A15" s="51" t="s">
        <v>66</v>
      </c>
      <c r="B15" s="52">
        <v>54.48</v>
      </c>
      <c r="C15" s="52">
        <v>49.18</v>
      </c>
      <c r="D15" s="52">
        <v>67.91</v>
      </c>
      <c r="E15" s="52">
        <v>6.39</v>
      </c>
      <c r="F15" s="52">
        <v>2.13</v>
      </c>
      <c r="G15" s="52">
        <v>69.55</v>
      </c>
      <c r="H15" s="52">
        <v>26.99</v>
      </c>
      <c r="I15" s="53" t="s">
        <v>15</v>
      </c>
      <c r="J15" s="52">
        <v>0.57999999999999996</v>
      </c>
      <c r="K15" s="52">
        <v>357.07</v>
      </c>
      <c r="L15" s="52">
        <v>15.44</v>
      </c>
      <c r="M15" s="52">
        <v>105.57</v>
      </c>
      <c r="N15" s="52">
        <v>90.5</v>
      </c>
      <c r="O15" s="52">
        <v>0</v>
      </c>
      <c r="P15" s="52">
        <v>0.95</v>
      </c>
      <c r="Q15" s="52">
        <v>9.7200000000000006</v>
      </c>
      <c r="R15" s="43"/>
      <c r="S15" s="43"/>
      <c r="T15" s="43"/>
      <c r="U15" s="43"/>
    </row>
    <row r="16" spans="1:21" s="11" customFormat="1" x14ac:dyDescent="0.25">
      <c r="A16" s="51" t="s">
        <v>67</v>
      </c>
      <c r="B16" s="52">
        <v>58.24</v>
      </c>
      <c r="C16" s="52">
        <v>50.82</v>
      </c>
      <c r="D16" s="52">
        <v>70.540000000000006</v>
      </c>
      <c r="E16" s="52">
        <v>6.44</v>
      </c>
      <c r="F16" s="52">
        <v>2.13</v>
      </c>
      <c r="G16" s="52">
        <v>70.98</v>
      </c>
      <c r="H16" s="52">
        <v>27.31</v>
      </c>
      <c r="I16" s="53" t="s">
        <v>15</v>
      </c>
      <c r="J16" s="52">
        <v>0.72</v>
      </c>
      <c r="K16" s="52">
        <v>202.01</v>
      </c>
      <c r="L16" s="52">
        <v>17.829999999999998</v>
      </c>
      <c r="M16" s="52">
        <v>102.63</v>
      </c>
      <c r="N16" s="52">
        <v>209.7</v>
      </c>
      <c r="O16" s="52">
        <v>0</v>
      </c>
      <c r="P16" s="52">
        <v>0.95</v>
      </c>
      <c r="Q16" s="52">
        <v>9.73</v>
      </c>
      <c r="R16" s="43"/>
      <c r="S16" s="43"/>
      <c r="T16" s="43"/>
      <c r="U16" s="43"/>
    </row>
    <row r="17" spans="1:21" s="11" customFormat="1" x14ac:dyDescent="0.25">
      <c r="A17" s="51" t="s">
        <v>68</v>
      </c>
      <c r="B17" s="52">
        <v>55.19</v>
      </c>
      <c r="C17" s="52">
        <v>50.37</v>
      </c>
      <c r="D17" s="52">
        <v>68.92</v>
      </c>
      <c r="E17" s="52">
        <v>6.88</v>
      </c>
      <c r="F17" s="52">
        <v>2.13</v>
      </c>
      <c r="G17" s="52">
        <v>72.55</v>
      </c>
      <c r="H17" s="52">
        <v>29.14</v>
      </c>
      <c r="I17" s="53" t="s">
        <v>15</v>
      </c>
      <c r="J17" s="52">
        <v>1.49</v>
      </c>
      <c r="K17" s="52">
        <v>171.21</v>
      </c>
      <c r="L17" s="52">
        <v>21.26</v>
      </c>
      <c r="M17" s="52">
        <v>88.4</v>
      </c>
      <c r="N17" s="52">
        <v>383.5</v>
      </c>
      <c r="O17" s="52">
        <v>0</v>
      </c>
      <c r="P17" s="52">
        <v>0.92</v>
      </c>
      <c r="Q17" s="52">
        <v>9.7100000000000009</v>
      </c>
      <c r="R17" s="43"/>
      <c r="S17" s="43"/>
      <c r="T17" s="43"/>
      <c r="U17" s="43"/>
    </row>
    <row r="18" spans="1:21" s="11" customFormat="1" x14ac:dyDescent="0.25">
      <c r="A18" s="51" t="s">
        <v>69</v>
      </c>
      <c r="B18" s="52">
        <v>47.47</v>
      </c>
      <c r="C18" s="52">
        <v>53.43</v>
      </c>
      <c r="D18" s="52">
        <v>62.77</v>
      </c>
      <c r="E18" s="52">
        <v>6.85</v>
      </c>
      <c r="F18" s="52">
        <v>2.13</v>
      </c>
      <c r="G18" s="52">
        <v>67.39</v>
      </c>
      <c r="H18" s="52">
        <v>26.89</v>
      </c>
      <c r="I18" s="53" t="s">
        <v>15</v>
      </c>
      <c r="J18" s="52">
        <v>1.62</v>
      </c>
      <c r="K18" s="52">
        <v>162.63</v>
      </c>
      <c r="L18" s="52">
        <v>23.91</v>
      </c>
      <c r="M18" s="52">
        <v>69.98</v>
      </c>
      <c r="N18" s="52">
        <v>488.3</v>
      </c>
      <c r="O18" s="52">
        <v>0</v>
      </c>
      <c r="P18" s="52">
        <v>0.86</v>
      </c>
      <c r="Q18" s="52">
        <v>9.69</v>
      </c>
      <c r="R18" s="43"/>
      <c r="S18" s="43"/>
      <c r="T18" s="43"/>
      <c r="U18" s="43"/>
    </row>
    <row r="19" spans="1:21" s="11" customFormat="1" x14ac:dyDescent="0.25">
      <c r="A19" s="51" t="s">
        <v>70</v>
      </c>
      <c r="B19" s="52">
        <v>36.39</v>
      </c>
      <c r="C19" s="52">
        <v>54.54</v>
      </c>
      <c r="D19" s="52">
        <v>55.5</v>
      </c>
      <c r="E19" s="52">
        <v>6.52</v>
      </c>
      <c r="F19" s="52">
        <v>2.13</v>
      </c>
      <c r="G19" s="52">
        <v>62.5</v>
      </c>
      <c r="H19" s="52">
        <v>24.71</v>
      </c>
      <c r="I19" s="53" t="s">
        <v>15</v>
      </c>
      <c r="J19" s="52">
        <v>1.27</v>
      </c>
      <c r="K19" s="52">
        <v>164.39</v>
      </c>
      <c r="L19" s="52">
        <v>26.32</v>
      </c>
      <c r="M19" s="52">
        <v>63.29</v>
      </c>
      <c r="N19" s="52">
        <v>546.29999999999995</v>
      </c>
      <c r="O19" s="52">
        <v>0</v>
      </c>
      <c r="P19" s="52">
        <v>0.77</v>
      </c>
      <c r="Q19" s="52">
        <v>9.64</v>
      </c>
      <c r="R19" s="43"/>
      <c r="S19" s="43"/>
      <c r="T19" s="43"/>
      <c r="U19" s="43"/>
    </row>
    <row r="20" spans="1:21" s="11" customFormat="1" x14ac:dyDescent="0.25">
      <c r="A20" s="51" t="s">
        <v>71</v>
      </c>
      <c r="B20" s="52">
        <v>23.02</v>
      </c>
      <c r="C20" s="52">
        <v>56.66</v>
      </c>
      <c r="D20" s="52">
        <v>46.46</v>
      </c>
      <c r="E20" s="52">
        <v>6.3</v>
      </c>
      <c r="F20" s="52">
        <v>2.13</v>
      </c>
      <c r="G20" s="52">
        <v>53.56</v>
      </c>
      <c r="H20" s="52">
        <v>23.52</v>
      </c>
      <c r="I20" s="53" t="s">
        <v>15</v>
      </c>
      <c r="J20" s="52">
        <v>0.77</v>
      </c>
      <c r="K20" s="52">
        <v>320.12</v>
      </c>
      <c r="L20" s="52">
        <v>30.85</v>
      </c>
      <c r="M20" s="52">
        <v>45.41</v>
      </c>
      <c r="N20" s="52">
        <v>592.5</v>
      </c>
      <c r="O20" s="52">
        <v>0</v>
      </c>
      <c r="P20" s="52">
        <v>0.68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72</v>
      </c>
      <c r="B21" s="52">
        <v>14.48</v>
      </c>
      <c r="C21" s="52">
        <v>58.58</v>
      </c>
      <c r="D21" s="52">
        <v>38.74</v>
      </c>
      <c r="E21" s="52">
        <v>5.87</v>
      </c>
      <c r="F21" s="52">
        <v>2.13</v>
      </c>
      <c r="G21" s="52">
        <v>51.1</v>
      </c>
      <c r="H21" s="52">
        <v>24.8</v>
      </c>
      <c r="I21" s="53" t="s">
        <v>15</v>
      </c>
      <c r="J21" s="52">
        <v>0.67</v>
      </c>
      <c r="K21" s="52">
        <v>268.95</v>
      </c>
      <c r="L21" s="52">
        <v>29.69</v>
      </c>
      <c r="M21" s="52">
        <v>34.26</v>
      </c>
      <c r="N21" s="52">
        <v>608.4</v>
      </c>
      <c r="O21" s="52">
        <v>0</v>
      </c>
      <c r="P21" s="52">
        <v>0.63</v>
      </c>
      <c r="Q21" s="52">
        <v>9.56</v>
      </c>
      <c r="R21" s="43"/>
      <c r="S21" s="43"/>
      <c r="T21" s="43"/>
      <c r="U21" s="43"/>
    </row>
    <row r="22" spans="1:21" s="11" customFormat="1" x14ac:dyDescent="0.25">
      <c r="A22" s="51" t="s">
        <v>73</v>
      </c>
      <c r="B22" s="52">
        <v>8.2899999999999991</v>
      </c>
      <c r="C22" s="52">
        <v>60.46</v>
      </c>
      <c r="D22" s="52">
        <v>35.78</v>
      </c>
      <c r="E22" s="52">
        <v>6.15</v>
      </c>
      <c r="F22" s="52">
        <v>2.13</v>
      </c>
      <c r="G22" s="52">
        <v>44.37</v>
      </c>
      <c r="H22" s="52">
        <v>21.94</v>
      </c>
      <c r="I22" s="53" t="s">
        <v>15</v>
      </c>
      <c r="J22" s="52">
        <v>1.36</v>
      </c>
      <c r="K22" s="52">
        <v>273.27</v>
      </c>
      <c r="L22" s="52">
        <v>29.83</v>
      </c>
      <c r="M22" s="52">
        <v>35.28</v>
      </c>
      <c r="N22" s="52">
        <v>551.6</v>
      </c>
      <c r="O22" s="52">
        <v>0</v>
      </c>
      <c r="P22" s="52">
        <v>0.59</v>
      </c>
      <c r="Q22" s="52">
        <v>9.5</v>
      </c>
      <c r="R22" s="43"/>
      <c r="S22" s="43"/>
      <c r="T22" s="43"/>
      <c r="U22" s="43"/>
    </row>
    <row r="23" spans="1:21" s="11" customFormat="1" x14ac:dyDescent="0.25">
      <c r="A23" s="51" t="s">
        <v>74</v>
      </c>
      <c r="B23" s="52">
        <v>4.55</v>
      </c>
      <c r="C23" s="52">
        <v>56.06</v>
      </c>
      <c r="D23" s="52">
        <v>30.85</v>
      </c>
      <c r="E23" s="52">
        <v>5.68</v>
      </c>
      <c r="F23" s="52">
        <v>2.13</v>
      </c>
      <c r="G23" s="52">
        <v>45.23</v>
      </c>
      <c r="H23" s="52">
        <v>20.76</v>
      </c>
      <c r="I23" s="53" t="s">
        <v>15</v>
      </c>
      <c r="J23" s="52">
        <v>2.02</v>
      </c>
      <c r="K23" s="52">
        <v>168.19</v>
      </c>
      <c r="L23" s="52">
        <v>28.86</v>
      </c>
      <c r="M23" s="52">
        <v>31.96</v>
      </c>
      <c r="N23" s="52">
        <v>446.1</v>
      </c>
      <c r="O23" s="52">
        <v>0</v>
      </c>
      <c r="P23" s="52">
        <v>0.55000000000000004</v>
      </c>
      <c r="Q23" s="52">
        <v>9.32</v>
      </c>
      <c r="R23" s="43"/>
      <c r="S23" s="43"/>
      <c r="T23" s="43"/>
      <c r="U23" s="43"/>
    </row>
    <row r="24" spans="1:21" s="11" customFormat="1" x14ac:dyDescent="0.25">
      <c r="A24" s="51" t="s">
        <v>75</v>
      </c>
      <c r="B24" s="52">
        <v>3.41</v>
      </c>
      <c r="C24" s="52">
        <v>54.28</v>
      </c>
      <c r="D24" s="52">
        <v>29.72</v>
      </c>
      <c r="E24" s="52">
        <v>5.79</v>
      </c>
      <c r="F24" s="52">
        <v>2.13</v>
      </c>
      <c r="G24" s="52">
        <v>41.08</v>
      </c>
      <c r="H24" s="52">
        <v>18.96</v>
      </c>
      <c r="I24" s="53" t="s">
        <v>15</v>
      </c>
      <c r="J24" s="52">
        <v>1.27</v>
      </c>
      <c r="K24" s="52">
        <v>166.22</v>
      </c>
      <c r="L24" s="52">
        <v>27.88</v>
      </c>
      <c r="M24" s="52">
        <v>31.31</v>
      </c>
      <c r="N24" s="52">
        <v>279.60000000000002</v>
      </c>
      <c r="O24" s="52">
        <v>0</v>
      </c>
      <c r="P24" s="52">
        <v>0.48</v>
      </c>
      <c r="Q24" s="52">
        <v>9.23</v>
      </c>
      <c r="R24" s="43"/>
      <c r="S24" s="43"/>
      <c r="T24" s="43"/>
      <c r="U24" s="43"/>
    </row>
    <row r="25" spans="1:21" s="11" customFormat="1" x14ac:dyDescent="0.25">
      <c r="A25" s="51" t="s">
        <v>76</v>
      </c>
      <c r="B25" s="52">
        <v>5.12</v>
      </c>
      <c r="C25" s="52">
        <v>50.36</v>
      </c>
      <c r="D25" s="52">
        <v>29.04</v>
      </c>
      <c r="E25" s="52">
        <v>5.37</v>
      </c>
      <c r="F25" s="52">
        <v>2.13</v>
      </c>
      <c r="G25" s="52">
        <v>40.479999999999997</v>
      </c>
      <c r="H25" s="52">
        <v>20.37</v>
      </c>
      <c r="I25" s="53" t="s">
        <v>15</v>
      </c>
      <c r="J25" s="52">
        <v>0.79</v>
      </c>
      <c r="K25" s="52">
        <v>300.70999999999998</v>
      </c>
      <c r="L25" s="52">
        <v>27.58</v>
      </c>
      <c r="M25" s="52">
        <v>34.68</v>
      </c>
      <c r="N25" s="52">
        <v>131.19999999999999</v>
      </c>
      <c r="O25" s="52">
        <v>0</v>
      </c>
      <c r="P25" s="52">
        <v>0.56000000000000005</v>
      </c>
      <c r="Q25" s="52">
        <v>9.2200000000000006</v>
      </c>
      <c r="R25" s="43"/>
      <c r="S25" s="43"/>
      <c r="T25" s="43"/>
      <c r="U25" s="43"/>
    </row>
    <row r="26" spans="1:21" s="11" customFormat="1" x14ac:dyDescent="0.25">
      <c r="A26" s="51" t="s">
        <v>77</v>
      </c>
      <c r="B26" s="52">
        <v>9.1199999999999992</v>
      </c>
      <c r="C26" s="52">
        <v>56.91</v>
      </c>
      <c r="D26" s="52">
        <v>35.67</v>
      </c>
      <c r="E26" s="52">
        <v>5.69</v>
      </c>
      <c r="F26" s="52">
        <v>2.13</v>
      </c>
      <c r="G26" s="52">
        <v>44.06</v>
      </c>
      <c r="H26" s="52">
        <v>20.66</v>
      </c>
      <c r="I26" s="53" t="s">
        <v>15</v>
      </c>
      <c r="J26" s="52">
        <v>1.28</v>
      </c>
      <c r="K26" s="52">
        <v>347.78</v>
      </c>
      <c r="L26" s="52">
        <v>26.9</v>
      </c>
      <c r="M26" s="52">
        <v>42.11</v>
      </c>
      <c r="N26" s="52">
        <v>99</v>
      </c>
      <c r="O26" s="52">
        <v>0</v>
      </c>
      <c r="P26" s="52">
        <v>0.68</v>
      </c>
      <c r="Q26" s="52">
        <v>9.4</v>
      </c>
      <c r="R26" s="43"/>
      <c r="S26" s="43"/>
      <c r="T26" s="43"/>
      <c r="U26" s="43"/>
    </row>
    <row r="27" spans="1:21" s="11" customFormat="1" x14ac:dyDescent="0.25">
      <c r="A27" s="51" t="s">
        <v>78</v>
      </c>
      <c r="B27" s="52">
        <v>23.84</v>
      </c>
      <c r="C27" s="52">
        <v>63.02</v>
      </c>
      <c r="D27" s="52">
        <v>50.67</v>
      </c>
      <c r="E27" s="52">
        <v>6.13</v>
      </c>
      <c r="F27" s="52">
        <v>2.13</v>
      </c>
      <c r="G27" s="52">
        <v>59.3</v>
      </c>
      <c r="H27" s="52">
        <v>21.82</v>
      </c>
      <c r="I27" s="53" t="s">
        <v>15</v>
      </c>
      <c r="J27" s="52">
        <v>0.63</v>
      </c>
      <c r="K27" s="52">
        <v>350.49</v>
      </c>
      <c r="L27" s="52">
        <v>23.8</v>
      </c>
      <c r="M27" s="52">
        <v>53.01</v>
      </c>
      <c r="N27" s="52">
        <v>78.3</v>
      </c>
      <c r="O27" s="52">
        <v>0</v>
      </c>
      <c r="P27" s="52">
        <v>1.4</v>
      </c>
      <c r="Q27" s="52">
        <v>9.49</v>
      </c>
      <c r="R27" s="43"/>
      <c r="S27" s="43"/>
      <c r="T27" s="43"/>
      <c r="U27" s="43"/>
    </row>
    <row r="28" spans="1:21" s="11" customFormat="1" x14ac:dyDescent="0.25">
      <c r="A28" s="51" t="s">
        <v>79</v>
      </c>
      <c r="B28" s="52">
        <v>40.44</v>
      </c>
      <c r="C28" s="52">
        <v>64.84</v>
      </c>
      <c r="D28" s="52">
        <v>64.930000000000007</v>
      </c>
      <c r="E28" s="52">
        <v>7.2</v>
      </c>
      <c r="F28" s="52">
        <v>2.13</v>
      </c>
      <c r="G28" s="52">
        <v>83.14</v>
      </c>
      <c r="H28" s="52">
        <v>26.6</v>
      </c>
      <c r="I28" s="53" t="s">
        <v>15</v>
      </c>
      <c r="J28" s="52">
        <v>0.61</v>
      </c>
      <c r="K28" s="52">
        <v>293.72000000000003</v>
      </c>
      <c r="L28" s="52">
        <v>22.06</v>
      </c>
      <c r="M28" s="52">
        <v>56.37</v>
      </c>
      <c r="N28" s="52">
        <v>78.2</v>
      </c>
      <c r="O28" s="52">
        <v>0</v>
      </c>
      <c r="P28" s="52">
        <v>1.49</v>
      </c>
      <c r="Q28" s="52">
        <v>9.58</v>
      </c>
      <c r="R28" s="43"/>
      <c r="S28" s="43"/>
      <c r="T28" s="43"/>
      <c r="U28" s="43"/>
    </row>
    <row r="29" spans="1:21" s="11" customFormat="1" x14ac:dyDescent="0.25">
      <c r="A29" s="51" t="s">
        <v>80</v>
      </c>
      <c r="B29" s="52">
        <v>62.54</v>
      </c>
      <c r="C29" s="52">
        <v>61.83</v>
      </c>
      <c r="D29" s="52">
        <v>80.760000000000005</v>
      </c>
      <c r="E29" s="52">
        <v>8.1199999999999992</v>
      </c>
      <c r="F29" s="52">
        <v>2.13</v>
      </c>
      <c r="G29" s="52">
        <v>138.33000000000001</v>
      </c>
      <c r="H29" s="52">
        <v>30.72</v>
      </c>
      <c r="I29" s="53" t="s">
        <v>15</v>
      </c>
      <c r="J29" s="52">
        <v>0.65</v>
      </c>
      <c r="K29" s="52">
        <v>321.32</v>
      </c>
      <c r="L29" s="52">
        <v>20.64</v>
      </c>
      <c r="M29" s="52">
        <v>67.08</v>
      </c>
      <c r="N29" s="52">
        <v>78.2</v>
      </c>
      <c r="O29" s="52">
        <v>0</v>
      </c>
      <c r="P29" s="52">
        <v>2.19</v>
      </c>
      <c r="Q29" s="52">
        <v>9.69</v>
      </c>
      <c r="R29" s="43"/>
      <c r="S29" s="43"/>
      <c r="T29" s="43"/>
      <c r="U29" s="43"/>
    </row>
    <row r="30" spans="1:21" s="11" customFormat="1" x14ac:dyDescent="0.25">
      <c r="A30" s="51" t="s">
        <v>81</v>
      </c>
      <c r="B30" s="52">
        <v>78.650000000000006</v>
      </c>
      <c r="C30" s="52">
        <v>60.73</v>
      </c>
      <c r="D30" s="52">
        <v>92.61</v>
      </c>
      <c r="E30" s="52">
        <v>7.94</v>
      </c>
      <c r="F30" s="52">
        <v>2.13</v>
      </c>
      <c r="G30" s="52">
        <v>191.05</v>
      </c>
      <c r="H30" s="52">
        <v>36.58</v>
      </c>
      <c r="I30" s="53" t="s">
        <v>15</v>
      </c>
      <c r="J30" s="52">
        <v>0.62</v>
      </c>
      <c r="K30" s="52">
        <v>282.72000000000003</v>
      </c>
      <c r="L30" s="52">
        <v>20.12</v>
      </c>
      <c r="M30" s="52">
        <v>68.27</v>
      </c>
      <c r="N30" s="52">
        <v>78.099999999999994</v>
      </c>
      <c r="O30" s="52">
        <v>0</v>
      </c>
      <c r="P30" s="52">
        <v>1.98</v>
      </c>
      <c r="Q30" s="52">
        <v>9.7100000000000009</v>
      </c>
      <c r="R30" s="43"/>
      <c r="S30" s="43"/>
      <c r="T30" s="43"/>
      <c r="U30" s="43"/>
    </row>
    <row r="31" spans="1:21" s="11" customFormat="1" x14ac:dyDescent="0.25">
      <c r="A31" s="51" t="s">
        <v>82</v>
      </c>
      <c r="B31" s="52">
        <v>98.79</v>
      </c>
      <c r="C31" s="52">
        <v>60.49</v>
      </c>
      <c r="D31" s="52">
        <v>109.29</v>
      </c>
      <c r="E31" s="52">
        <v>8.57</v>
      </c>
      <c r="F31" s="52">
        <v>2.13</v>
      </c>
      <c r="G31" s="52">
        <v>181.64</v>
      </c>
      <c r="H31" s="52">
        <v>40.99</v>
      </c>
      <c r="I31" s="53" t="s">
        <v>15</v>
      </c>
      <c r="J31" s="52">
        <v>0.66</v>
      </c>
      <c r="K31" s="52">
        <v>299.88</v>
      </c>
      <c r="L31" s="52">
        <v>19.54</v>
      </c>
      <c r="M31" s="52">
        <v>75.83</v>
      </c>
      <c r="N31" s="52">
        <v>78.400000000000006</v>
      </c>
      <c r="O31" s="52">
        <v>0</v>
      </c>
      <c r="P31" s="52">
        <v>1.87</v>
      </c>
      <c r="Q31" s="52">
        <v>9.82</v>
      </c>
      <c r="R31" s="43"/>
      <c r="S31" s="43"/>
      <c r="T31" s="43"/>
      <c r="U31" s="43"/>
    </row>
    <row r="32" spans="1:21" s="11" customFormat="1" x14ac:dyDescent="0.25">
      <c r="A32" s="51" t="s">
        <v>83</v>
      </c>
      <c r="B32" s="52">
        <v>107.1</v>
      </c>
      <c r="C32" s="52">
        <v>59.04</v>
      </c>
      <c r="D32" s="52">
        <v>114.65</v>
      </c>
      <c r="E32" s="52">
        <v>8.19</v>
      </c>
      <c r="F32" s="52">
        <v>2.13</v>
      </c>
      <c r="G32" s="52">
        <v>189.26</v>
      </c>
      <c r="H32" s="52">
        <v>42.09</v>
      </c>
      <c r="I32" s="53" t="s">
        <v>15</v>
      </c>
      <c r="J32" s="52">
        <v>0.67</v>
      </c>
      <c r="K32" s="52">
        <v>318.74</v>
      </c>
      <c r="L32" s="52">
        <v>18.75</v>
      </c>
      <c r="M32" s="52">
        <v>79.06</v>
      </c>
      <c r="N32" s="52">
        <v>78.8</v>
      </c>
      <c r="O32" s="52">
        <v>0</v>
      </c>
      <c r="P32" s="52">
        <v>1.89</v>
      </c>
      <c r="Q32" s="52">
        <v>9.91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3.41</v>
      </c>
      <c r="C34" s="28">
        <f t="shared" si="0"/>
        <v>48.28</v>
      </c>
      <c r="D34" s="28">
        <f t="shared" si="0"/>
        <v>29.04</v>
      </c>
      <c r="E34" s="28">
        <f t="shared" si="0"/>
        <v>5.37</v>
      </c>
      <c r="F34" s="28">
        <f t="shared" si="0"/>
        <v>2.13</v>
      </c>
      <c r="G34" s="28">
        <f t="shared" si="0"/>
        <v>40.479999999999997</v>
      </c>
      <c r="H34" s="28">
        <f t="shared" si="0"/>
        <v>18.96</v>
      </c>
      <c r="I34" s="28">
        <f t="shared" si="0"/>
        <v>0</v>
      </c>
      <c r="J34" s="28">
        <f t="shared" si="0"/>
        <v>0.35</v>
      </c>
      <c r="K34" s="28">
        <f t="shared" si="0"/>
        <v>162.63</v>
      </c>
      <c r="L34" s="28">
        <f t="shared" si="0"/>
        <v>15.44</v>
      </c>
      <c r="M34" s="28">
        <f t="shared" si="0"/>
        <v>31.31</v>
      </c>
      <c r="N34" s="28">
        <f t="shared" si="0"/>
        <v>78.099999999999994</v>
      </c>
      <c r="O34" s="28">
        <f t="shared" si="0"/>
        <v>0</v>
      </c>
      <c r="P34" s="28">
        <f t="shared" si="0"/>
        <v>0.48</v>
      </c>
      <c r="Q34" s="28">
        <f t="shared" si="0"/>
        <v>9.2200000000000006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107.1</v>
      </c>
      <c r="C35" s="29">
        <f t="shared" si="1"/>
        <v>64.84</v>
      </c>
      <c r="D35" s="29">
        <f t="shared" si="1"/>
        <v>114.65</v>
      </c>
      <c r="E35" s="29">
        <f t="shared" si="1"/>
        <v>8.57</v>
      </c>
      <c r="F35" s="29">
        <f t="shared" si="1"/>
        <v>2.13</v>
      </c>
      <c r="G35" s="29">
        <f t="shared" si="1"/>
        <v>191.05</v>
      </c>
      <c r="H35" s="29">
        <f t="shared" si="1"/>
        <v>42.09</v>
      </c>
      <c r="I35" s="29">
        <f t="shared" si="1"/>
        <v>0</v>
      </c>
      <c r="J35" s="29">
        <f t="shared" si="1"/>
        <v>2.02</v>
      </c>
      <c r="K35" s="29">
        <f t="shared" si="1"/>
        <v>357.07</v>
      </c>
      <c r="L35" s="29">
        <f t="shared" si="1"/>
        <v>30.85</v>
      </c>
      <c r="M35" s="29">
        <f t="shared" si="1"/>
        <v>105.57</v>
      </c>
      <c r="N35" s="29">
        <f t="shared" si="1"/>
        <v>608.4</v>
      </c>
      <c r="O35" s="29">
        <f t="shared" si="1"/>
        <v>0</v>
      </c>
      <c r="P35" s="29">
        <f t="shared" si="1"/>
        <v>2.19</v>
      </c>
      <c r="Q35" s="29">
        <f t="shared" si="1"/>
        <v>9.91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47.449583333333322</v>
      </c>
      <c r="C36" s="28">
        <f t="shared" si="2"/>
        <v>55.27208333333332</v>
      </c>
      <c r="D36" s="28">
        <f t="shared" si="2"/>
        <v>65.064583333333331</v>
      </c>
      <c r="E36" s="28">
        <f t="shared" si="2"/>
        <v>6.663333333333334</v>
      </c>
      <c r="F36" s="28">
        <f t="shared" si="2"/>
        <v>2.1300000000000003</v>
      </c>
      <c r="G36" s="28">
        <f t="shared" si="2"/>
        <v>86.749166666666653</v>
      </c>
      <c r="H36" s="28">
        <f t="shared" si="2"/>
        <v>27.989166666666666</v>
      </c>
      <c r="I36" s="28" t="e">
        <f t="shared" si="2"/>
        <v>#DIV/0!</v>
      </c>
      <c r="J36" s="28">
        <f t="shared" si="2"/>
        <v>0.86624999999999996</v>
      </c>
      <c r="K36" s="28">
        <f t="shared" si="2"/>
        <v>276.93458333333331</v>
      </c>
      <c r="L36" s="28">
        <f t="shared" si="2"/>
        <v>22.137083333333333</v>
      </c>
      <c r="M36" s="28">
        <f t="shared" si="2"/>
        <v>71.056666666666658</v>
      </c>
      <c r="N36" s="28">
        <f t="shared" si="2"/>
        <v>223.73333333333335</v>
      </c>
      <c r="O36" s="28">
        <f t="shared" si="2"/>
        <v>0</v>
      </c>
      <c r="P36" s="28">
        <f t="shared" si="2"/>
        <v>1.1004166666666666</v>
      </c>
      <c r="Q36" s="28">
        <f t="shared" si="2"/>
        <v>9.6295833333333345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30.716821829367429</v>
      </c>
      <c r="C37" s="28">
        <f t="shared" ref="C37:Q37" si="3">STDEV(C9:C32)</f>
        <v>4.9290319881879148</v>
      </c>
      <c r="D37" s="28">
        <f t="shared" si="3"/>
        <v>24.636778265371909</v>
      </c>
      <c r="E37" s="28">
        <f t="shared" si="3"/>
        <v>0.83763988665185418</v>
      </c>
      <c r="F37" s="28">
        <f t="shared" si="3"/>
        <v>4.5364060814922986E-16</v>
      </c>
      <c r="G37" s="28">
        <f t="shared" si="3"/>
        <v>46.381130994390844</v>
      </c>
      <c r="H37" s="28">
        <f t="shared" si="3"/>
        <v>6.2356171318076283</v>
      </c>
      <c r="I37" s="28" t="e">
        <f t="shared" si="3"/>
        <v>#DIV/0!</v>
      </c>
      <c r="J37" s="28">
        <f t="shared" si="3"/>
        <v>0.4307709216701166</v>
      </c>
      <c r="K37" s="28">
        <f t="shared" si="3"/>
        <v>66.05747832983883</v>
      </c>
      <c r="L37" s="28">
        <f t="shared" si="3"/>
        <v>5.1765520496937265</v>
      </c>
      <c r="M37" s="28">
        <f t="shared" si="3"/>
        <v>28.048076066184912</v>
      </c>
      <c r="N37" s="28">
        <f t="shared" si="3"/>
        <v>202.00229371635035</v>
      </c>
      <c r="O37" s="28">
        <f t="shared" si="3"/>
        <v>0</v>
      </c>
      <c r="P37" s="28">
        <f t="shared" si="3"/>
        <v>0.49427574742521363</v>
      </c>
      <c r="Q37" s="28">
        <f t="shared" si="3"/>
        <v>0.1858114791854944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84</v>
      </c>
      <c r="B9" s="52">
        <v>106.68</v>
      </c>
      <c r="C9" s="52">
        <v>56.85</v>
      </c>
      <c r="D9" s="52">
        <v>113.88</v>
      </c>
      <c r="E9" s="52">
        <v>7.34</v>
      </c>
      <c r="F9" s="52">
        <v>2.13</v>
      </c>
      <c r="G9" s="52">
        <v>144.41999999999999</v>
      </c>
      <c r="H9" s="52">
        <v>39.159999999999997</v>
      </c>
      <c r="I9" s="53" t="s">
        <v>15</v>
      </c>
      <c r="J9" s="52">
        <v>0.66</v>
      </c>
      <c r="K9" s="52">
        <v>307.18</v>
      </c>
      <c r="L9" s="52">
        <v>17.760000000000002</v>
      </c>
      <c r="M9" s="52">
        <v>84.92</v>
      </c>
      <c r="N9" s="52">
        <v>78.7</v>
      </c>
      <c r="O9" s="52">
        <v>0</v>
      </c>
      <c r="P9" s="52">
        <v>1.76</v>
      </c>
      <c r="Q9" s="52">
        <v>9.9700000000000006</v>
      </c>
      <c r="R9" s="43"/>
      <c r="S9" s="43"/>
      <c r="T9" s="43"/>
      <c r="U9" s="43"/>
    </row>
    <row r="10" spans="1:21" s="11" customFormat="1" x14ac:dyDescent="0.25">
      <c r="A10" s="51" t="s">
        <v>85</v>
      </c>
      <c r="B10" s="52">
        <v>102.47</v>
      </c>
      <c r="C10" s="52">
        <v>52.53</v>
      </c>
      <c r="D10" s="52">
        <v>108.24</v>
      </c>
      <c r="E10" s="52">
        <v>6.74</v>
      </c>
      <c r="F10" s="52">
        <v>2.13</v>
      </c>
      <c r="G10" s="52">
        <v>149.43</v>
      </c>
      <c r="H10" s="52">
        <v>41.03</v>
      </c>
      <c r="I10" s="53" t="s">
        <v>15</v>
      </c>
      <c r="J10" s="52">
        <v>0.65</v>
      </c>
      <c r="K10" s="52">
        <v>304</v>
      </c>
      <c r="L10" s="52">
        <v>16.739999999999998</v>
      </c>
      <c r="M10" s="52">
        <v>87.97</v>
      </c>
      <c r="N10" s="52">
        <v>78.599999999999994</v>
      </c>
      <c r="O10" s="52">
        <v>0</v>
      </c>
      <c r="P10" s="52">
        <v>1.46</v>
      </c>
      <c r="Q10" s="52">
        <v>9.91</v>
      </c>
      <c r="R10" s="43"/>
      <c r="S10" s="43"/>
      <c r="T10" s="43"/>
      <c r="U10" s="43"/>
    </row>
    <row r="11" spans="1:21" s="11" customFormat="1" x14ac:dyDescent="0.25">
      <c r="A11" s="51" t="s">
        <v>86</v>
      </c>
      <c r="B11" s="52">
        <v>94.8</v>
      </c>
      <c r="C11" s="52">
        <v>50.07</v>
      </c>
      <c r="D11" s="52">
        <v>100.29</v>
      </c>
      <c r="E11" s="52">
        <v>6.42</v>
      </c>
      <c r="F11" s="52">
        <v>2.13</v>
      </c>
      <c r="G11" s="52">
        <v>113.58</v>
      </c>
      <c r="H11" s="52">
        <v>26.67</v>
      </c>
      <c r="I11" s="53" t="s">
        <v>15</v>
      </c>
      <c r="J11" s="52">
        <v>0.67</v>
      </c>
      <c r="K11" s="52">
        <v>309.58999999999997</v>
      </c>
      <c r="L11" s="52">
        <v>17.37</v>
      </c>
      <c r="M11" s="52">
        <v>86.11</v>
      </c>
      <c r="N11" s="52">
        <v>78.8</v>
      </c>
      <c r="O11" s="52">
        <v>0</v>
      </c>
      <c r="P11" s="52">
        <v>1.49</v>
      </c>
      <c r="Q11" s="52">
        <v>9.91</v>
      </c>
      <c r="R11" s="43"/>
      <c r="S11" s="43"/>
      <c r="T11" s="43"/>
      <c r="U11" s="43"/>
    </row>
    <row r="12" spans="1:21" s="11" customFormat="1" x14ac:dyDescent="0.25">
      <c r="A12" s="51" t="s">
        <v>87</v>
      </c>
      <c r="B12" s="52">
        <v>78.52</v>
      </c>
      <c r="C12" s="52">
        <v>51.92</v>
      </c>
      <c r="D12" s="52">
        <v>87.88</v>
      </c>
      <c r="E12" s="52">
        <v>6.03</v>
      </c>
      <c r="F12" s="52">
        <v>2.13</v>
      </c>
      <c r="G12" s="52">
        <v>78.790000000000006</v>
      </c>
      <c r="H12" s="52">
        <v>16</v>
      </c>
      <c r="I12" s="53" t="s">
        <v>15</v>
      </c>
      <c r="J12" s="52">
        <v>0.69</v>
      </c>
      <c r="K12" s="52">
        <v>315.45</v>
      </c>
      <c r="L12" s="52">
        <v>16.579999999999998</v>
      </c>
      <c r="M12" s="52">
        <v>84.3</v>
      </c>
      <c r="N12" s="52">
        <v>79</v>
      </c>
      <c r="O12" s="52">
        <v>0</v>
      </c>
      <c r="P12" s="52">
        <v>1.33</v>
      </c>
      <c r="Q12" s="52">
        <v>9.85</v>
      </c>
      <c r="R12" s="43"/>
      <c r="S12" s="43"/>
      <c r="T12" s="43"/>
      <c r="U12" s="43"/>
    </row>
    <row r="13" spans="1:21" s="11" customFormat="1" x14ac:dyDescent="0.25">
      <c r="A13" s="51" t="s">
        <v>88</v>
      </c>
      <c r="B13" s="52">
        <v>67.94</v>
      </c>
      <c r="C13" s="52">
        <v>51.61</v>
      </c>
      <c r="D13" s="52">
        <v>80.069999999999993</v>
      </c>
      <c r="E13" s="52">
        <v>5.94</v>
      </c>
      <c r="F13" s="52">
        <v>2.13</v>
      </c>
      <c r="G13" s="52">
        <v>78.98</v>
      </c>
      <c r="H13" s="52">
        <v>17.64</v>
      </c>
      <c r="I13" s="53" t="s">
        <v>15</v>
      </c>
      <c r="J13" s="52">
        <v>0.59</v>
      </c>
      <c r="K13" s="52">
        <v>282.48</v>
      </c>
      <c r="L13" s="52">
        <v>16.28</v>
      </c>
      <c r="M13" s="52">
        <v>89.92</v>
      </c>
      <c r="N13" s="52">
        <v>78.7</v>
      </c>
      <c r="O13" s="52">
        <v>0</v>
      </c>
      <c r="P13" s="52">
        <v>1.18</v>
      </c>
      <c r="Q13" s="52">
        <v>9.8000000000000007</v>
      </c>
      <c r="R13" s="43"/>
      <c r="S13" s="43"/>
      <c r="T13" s="43"/>
      <c r="U13" s="43"/>
    </row>
    <row r="14" spans="1:21" s="11" customFormat="1" x14ac:dyDescent="0.25">
      <c r="A14" s="51" t="s">
        <v>89</v>
      </c>
      <c r="B14" s="52">
        <v>62.18</v>
      </c>
      <c r="C14" s="52">
        <v>48.7</v>
      </c>
      <c r="D14" s="52">
        <v>73.86</v>
      </c>
      <c r="E14" s="52">
        <v>5.81</v>
      </c>
      <c r="F14" s="52">
        <v>2.13</v>
      </c>
      <c r="G14" s="52">
        <v>79.63</v>
      </c>
      <c r="H14" s="52">
        <v>24.29</v>
      </c>
      <c r="I14" s="53" t="s">
        <v>15</v>
      </c>
      <c r="J14" s="52">
        <v>0.64</v>
      </c>
      <c r="K14" s="52">
        <v>306.49</v>
      </c>
      <c r="L14" s="52">
        <v>15.67</v>
      </c>
      <c r="M14" s="52">
        <v>94.47</v>
      </c>
      <c r="N14" s="52">
        <v>78.8</v>
      </c>
      <c r="O14" s="52">
        <v>0</v>
      </c>
      <c r="P14" s="52">
        <v>1.02</v>
      </c>
      <c r="Q14" s="52">
        <v>9.76</v>
      </c>
      <c r="R14" s="43"/>
      <c r="S14" s="43"/>
      <c r="T14" s="43"/>
      <c r="U14" s="43"/>
    </row>
    <row r="15" spans="1:21" s="11" customFormat="1" x14ac:dyDescent="0.25">
      <c r="A15" s="51" t="s">
        <v>90</v>
      </c>
      <c r="B15" s="52">
        <v>60.03</v>
      </c>
      <c r="C15" s="52">
        <v>52.96</v>
      </c>
      <c r="D15" s="52">
        <v>73.510000000000005</v>
      </c>
      <c r="E15" s="52">
        <v>5.88</v>
      </c>
      <c r="F15" s="52">
        <v>2.13</v>
      </c>
      <c r="G15" s="52">
        <v>91.39</v>
      </c>
      <c r="H15" s="52">
        <v>14.33</v>
      </c>
      <c r="I15" s="53" t="s">
        <v>15</v>
      </c>
      <c r="J15" s="52">
        <v>0.57999999999999996</v>
      </c>
      <c r="K15" s="52">
        <v>348.21</v>
      </c>
      <c r="L15" s="52">
        <v>15.51</v>
      </c>
      <c r="M15" s="52">
        <v>94.76</v>
      </c>
      <c r="N15" s="52">
        <v>90.1</v>
      </c>
      <c r="O15" s="52">
        <v>0</v>
      </c>
      <c r="P15" s="52">
        <v>0.98</v>
      </c>
      <c r="Q15" s="52">
        <v>9.7100000000000009</v>
      </c>
      <c r="R15" s="43"/>
      <c r="S15" s="43"/>
      <c r="T15" s="43"/>
      <c r="U15" s="43"/>
    </row>
    <row r="16" spans="1:21" s="11" customFormat="1" x14ac:dyDescent="0.25">
      <c r="A16" s="51" t="s">
        <v>91</v>
      </c>
      <c r="B16" s="52">
        <v>72.95</v>
      </c>
      <c r="C16" s="52">
        <v>53</v>
      </c>
      <c r="D16" s="52">
        <v>84.81</v>
      </c>
      <c r="E16" s="52">
        <v>5.58</v>
      </c>
      <c r="F16" s="52">
        <v>2.13</v>
      </c>
      <c r="G16" s="52">
        <v>83.36</v>
      </c>
      <c r="H16" s="52">
        <v>8.74</v>
      </c>
      <c r="I16" s="53" t="s">
        <v>15</v>
      </c>
      <c r="J16" s="52">
        <v>0.81</v>
      </c>
      <c r="K16" s="52">
        <v>219.77</v>
      </c>
      <c r="L16" s="52">
        <v>18.27</v>
      </c>
      <c r="M16" s="52">
        <v>94.6</v>
      </c>
      <c r="N16" s="52">
        <v>231.1</v>
      </c>
      <c r="O16" s="52">
        <v>0</v>
      </c>
      <c r="P16" s="52">
        <v>1.02</v>
      </c>
      <c r="Q16" s="52">
        <v>9.7899999999999991</v>
      </c>
      <c r="R16" s="43"/>
      <c r="S16" s="43"/>
      <c r="T16" s="43"/>
      <c r="U16" s="43"/>
    </row>
    <row r="17" spans="1:21" s="11" customFormat="1" x14ac:dyDescent="0.25">
      <c r="A17" s="51" t="s">
        <v>92</v>
      </c>
      <c r="B17" s="52">
        <v>70.55</v>
      </c>
      <c r="C17" s="52">
        <v>53.55</v>
      </c>
      <c r="D17" s="52">
        <v>83.18</v>
      </c>
      <c r="E17" s="52">
        <v>6.11</v>
      </c>
      <c r="F17" s="52">
        <v>2.13</v>
      </c>
      <c r="G17" s="52">
        <v>87.88</v>
      </c>
      <c r="H17" s="52">
        <v>34.130000000000003</v>
      </c>
      <c r="I17" s="53" t="s">
        <v>15</v>
      </c>
      <c r="J17" s="52">
        <v>1.24</v>
      </c>
      <c r="K17" s="52">
        <v>210.4</v>
      </c>
      <c r="L17" s="52">
        <v>22.07</v>
      </c>
      <c r="M17" s="52">
        <v>75.73</v>
      </c>
      <c r="N17" s="52">
        <v>401.2</v>
      </c>
      <c r="O17" s="52">
        <v>0</v>
      </c>
      <c r="P17" s="52">
        <v>0.98</v>
      </c>
      <c r="Q17" s="52">
        <v>9.82</v>
      </c>
      <c r="R17" s="43"/>
      <c r="S17" s="43"/>
      <c r="T17" s="43"/>
      <c r="U17" s="43"/>
    </row>
    <row r="18" spans="1:21" s="11" customFormat="1" x14ac:dyDescent="0.25">
      <c r="A18" s="51" t="s">
        <v>93</v>
      </c>
      <c r="B18" s="52">
        <v>60.17</v>
      </c>
      <c r="C18" s="52">
        <v>52.94</v>
      </c>
      <c r="D18" s="52">
        <v>73.12</v>
      </c>
      <c r="E18" s="52">
        <v>5.94</v>
      </c>
      <c r="F18" s="52">
        <v>2.13</v>
      </c>
      <c r="G18" s="52">
        <v>92.76</v>
      </c>
      <c r="H18" s="52">
        <v>69.900000000000006</v>
      </c>
      <c r="I18" s="53" t="s">
        <v>15</v>
      </c>
      <c r="J18" s="52">
        <v>1.73</v>
      </c>
      <c r="K18" s="52">
        <v>172.73</v>
      </c>
      <c r="L18" s="52">
        <v>24.77</v>
      </c>
      <c r="M18" s="52">
        <v>62.91</v>
      </c>
      <c r="N18" s="52">
        <v>513.6</v>
      </c>
      <c r="O18" s="52">
        <v>0</v>
      </c>
      <c r="P18" s="52">
        <v>0.94</v>
      </c>
      <c r="Q18" s="52">
        <v>9.76</v>
      </c>
      <c r="R18" s="43"/>
      <c r="S18" s="43"/>
      <c r="T18" s="43"/>
      <c r="U18" s="43"/>
    </row>
    <row r="19" spans="1:21" s="11" customFormat="1" x14ac:dyDescent="0.25">
      <c r="A19" s="51" t="s">
        <v>94</v>
      </c>
      <c r="B19" s="52">
        <v>47.07</v>
      </c>
      <c r="C19" s="52">
        <v>60.35</v>
      </c>
      <c r="D19" s="52">
        <v>64.86</v>
      </c>
      <c r="E19" s="52">
        <v>6.47</v>
      </c>
      <c r="F19" s="52">
        <v>2.13</v>
      </c>
      <c r="G19" s="52">
        <v>90.21</v>
      </c>
      <c r="H19" s="52">
        <v>40.89</v>
      </c>
      <c r="I19" s="53" t="s">
        <v>15</v>
      </c>
      <c r="J19" s="52">
        <v>1.1399999999999999</v>
      </c>
      <c r="K19" s="52">
        <v>307.02999999999997</v>
      </c>
      <c r="L19" s="52">
        <v>29.21</v>
      </c>
      <c r="M19" s="52">
        <v>57.72</v>
      </c>
      <c r="N19" s="52">
        <v>545.79999999999995</v>
      </c>
      <c r="O19" s="52">
        <v>0</v>
      </c>
      <c r="P19" s="52">
        <v>0.89</v>
      </c>
      <c r="Q19" s="52">
        <v>9.7100000000000009</v>
      </c>
      <c r="R19" s="43"/>
      <c r="S19" s="43"/>
      <c r="T19" s="43"/>
      <c r="U19" s="43"/>
    </row>
    <row r="20" spans="1:21" s="11" customFormat="1" x14ac:dyDescent="0.25">
      <c r="A20" s="51" t="s">
        <v>95</v>
      </c>
      <c r="B20" s="52">
        <v>29.71</v>
      </c>
      <c r="C20" s="52">
        <v>69.400000000000006</v>
      </c>
      <c r="D20" s="52">
        <v>56.02</v>
      </c>
      <c r="E20" s="52">
        <v>5.97</v>
      </c>
      <c r="F20" s="52">
        <v>2.13</v>
      </c>
      <c r="G20" s="52">
        <v>72.5</v>
      </c>
      <c r="H20" s="52">
        <v>72.97</v>
      </c>
      <c r="I20" s="53" t="s">
        <v>15</v>
      </c>
      <c r="J20" s="52">
        <v>1.35</v>
      </c>
      <c r="K20" s="52">
        <v>314.66000000000003</v>
      </c>
      <c r="L20" s="52">
        <v>32.01</v>
      </c>
      <c r="M20" s="52">
        <v>35.49</v>
      </c>
      <c r="N20" s="52">
        <v>577.5</v>
      </c>
      <c r="O20" s="52">
        <v>0</v>
      </c>
      <c r="P20" s="52">
        <v>0.92</v>
      </c>
      <c r="Q20" s="52">
        <v>9.6300000000000008</v>
      </c>
      <c r="R20" s="43"/>
      <c r="S20" s="43"/>
      <c r="T20" s="43"/>
      <c r="U20" s="43"/>
    </row>
    <row r="21" spans="1:21" s="11" customFormat="1" x14ac:dyDescent="0.25">
      <c r="A21" s="51" t="s">
        <v>96</v>
      </c>
      <c r="B21" s="52">
        <v>15.11</v>
      </c>
      <c r="C21" s="52">
        <v>71.75</v>
      </c>
      <c r="D21" s="52">
        <v>46.46</v>
      </c>
      <c r="E21" s="52">
        <v>6.18</v>
      </c>
      <c r="F21" s="52">
        <v>2.13</v>
      </c>
      <c r="G21" s="52">
        <v>72.319999999999993</v>
      </c>
      <c r="H21" s="52">
        <v>54.64</v>
      </c>
      <c r="I21" s="53" t="s">
        <v>15</v>
      </c>
      <c r="J21" s="52">
        <v>0.77</v>
      </c>
      <c r="K21" s="52">
        <v>271.66000000000003</v>
      </c>
      <c r="L21" s="52">
        <v>30.49</v>
      </c>
      <c r="M21" s="52">
        <v>38.01</v>
      </c>
      <c r="N21" s="52">
        <v>579</v>
      </c>
      <c r="O21" s="52">
        <v>0</v>
      </c>
      <c r="P21" s="52">
        <v>0.92</v>
      </c>
      <c r="Q21" s="52">
        <v>9.58</v>
      </c>
      <c r="R21" s="43"/>
      <c r="S21" s="43"/>
      <c r="T21" s="43"/>
      <c r="U21" s="43"/>
    </row>
    <row r="22" spans="1:21" s="11" customFormat="1" x14ac:dyDescent="0.25">
      <c r="A22" s="51" t="s">
        <v>97</v>
      </c>
      <c r="B22" s="52">
        <v>7.81</v>
      </c>
      <c r="C22" s="52">
        <v>65.739999999999995</v>
      </c>
      <c r="D22" s="52">
        <v>39.119999999999997</v>
      </c>
      <c r="E22" s="52">
        <v>5.39</v>
      </c>
      <c r="F22" s="52">
        <v>2.13</v>
      </c>
      <c r="G22" s="52">
        <v>61.27</v>
      </c>
      <c r="H22" s="52">
        <v>75.33</v>
      </c>
      <c r="I22" s="53" t="s">
        <v>15</v>
      </c>
      <c r="J22" s="52">
        <v>0.85</v>
      </c>
      <c r="K22" s="52">
        <v>299.8</v>
      </c>
      <c r="L22" s="52">
        <v>31.08</v>
      </c>
      <c r="M22" s="52">
        <v>35.49</v>
      </c>
      <c r="N22" s="52">
        <v>559.9</v>
      </c>
      <c r="O22" s="52">
        <v>0</v>
      </c>
      <c r="P22" s="52">
        <v>0.83</v>
      </c>
      <c r="Q22" s="52">
        <v>9.51</v>
      </c>
      <c r="R22" s="43"/>
      <c r="S22" s="43"/>
      <c r="T22" s="43"/>
      <c r="U22" s="43"/>
    </row>
    <row r="23" spans="1:21" s="11" customFormat="1" x14ac:dyDescent="0.25">
      <c r="A23" s="51" t="s">
        <v>98</v>
      </c>
      <c r="B23" s="52">
        <v>6.09</v>
      </c>
      <c r="C23" s="52">
        <v>63.18</v>
      </c>
      <c r="D23" s="52">
        <v>36.520000000000003</v>
      </c>
      <c r="E23" s="52">
        <v>5.57</v>
      </c>
      <c r="F23" s="52">
        <v>2.13</v>
      </c>
      <c r="G23" s="52">
        <v>47.04</v>
      </c>
      <c r="H23" s="52">
        <v>18.690000000000001</v>
      </c>
      <c r="I23" s="53" t="s">
        <v>15</v>
      </c>
      <c r="J23" s="52">
        <v>0.78</v>
      </c>
      <c r="K23" s="52">
        <v>298.57</v>
      </c>
      <c r="L23" s="52">
        <v>29.9</v>
      </c>
      <c r="M23" s="52">
        <v>34.35</v>
      </c>
      <c r="N23" s="52">
        <v>478.7</v>
      </c>
      <c r="O23" s="52">
        <v>0</v>
      </c>
      <c r="P23" s="52">
        <v>0.73</v>
      </c>
      <c r="Q23" s="52">
        <v>9.49</v>
      </c>
      <c r="R23" s="43"/>
      <c r="S23" s="43"/>
      <c r="T23" s="43"/>
      <c r="U23" s="43"/>
    </row>
    <row r="24" spans="1:21" s="11" customFormat="1" x14ac:dyDescent="0.25">
      <c r="A24" s="51" t="s">
        <v>99</v>
      </c>
      <c r="B24" s="52">
        <v>3.81</v>
      </c>
      <c r="C24" s="52">
        <v>60.06</v>
      </c>
      <c r="D24" s="52">
        <v>33.049999999999997</v>
      </c>
      <c r="E24" s="52">
        <v>5.67</v>
      </c>
      <c r="F24" s="52">
        <v>2.2200000000000002</v>
      </c>
      <c r="G24" s="52">
        <v>43.16</v>
      </c>
      <c r="H24" s="52">
        <v>41.02</v>
      </c>
      <c r="I24" s="53" t="s">
        <v>15</v>
      </c>
      <c r="J24" s="52">
        <v>0.93</v>
      </c>
      <c r="K24" s="52">
        <v>299.87</v>
      </c>
      <c r="L24" s="52">
        <v>28.66</v>
      </c>
      <c r="M24" s="52">
        <v>35.47</v>
      </c>
      <c r="N24" s="52">
        <v>228.5</v>
      </c>
      <c r="O24" s="52">
        <v>0</v>
      </c>
      <c r="P24" s="52">
        <v>0.63</v>
      </c>
      <c r="Q24" s="52">
        <v>9.41</v>
      </c>
      <c r="R24" s="43"/>
      <c r="S24" s="43"/>
      <c r="T24" s="43"/>
      <c r="U24" s="43"/>
    </row>
    <row r="25" spans="1:21" s="11" customFormat="1" x14ac:dyDescent="0.25">
      <c r="A25" s="51" t="s">
        <v>100</v>
      </c>
      <c r="B25" s="52">
        <v>3.35</v>
      </c>
      <c r="C25" s="52">
        <v>58.21</v>
      </c>
      <c r="D25" s="52">
        <v>31.63</v>
      </c>
      <c r="E25" s="52">
        <v>6.61</v>
      </c>
      <c r="F25" s="52">
        <v>2.31</v>
      </c>
      <c r="G25" s="52">
        <v>47.34</v>
      </c>
      <c r="H25" s="52">
        <v>35.880000000000003</v>
      </c>
      <c r="I25" s="53" t="s">
        <v>15</v>
      </c>
      <c r="J25" s="52">
        <v>0.78</v>
      </c>
      <c r="K25" s="52">
        <v>300.27</v>
      </c>
      <c r="L25" s="52">
        <v>27.91</v>
      </c>
      <c r="M25" s="52">
        <v>34.69</v>
      </c>
      <c r="N25" s="52">
        <v>129.80000000000001</v>
      </c>
      <c r="O25" s="52">
        <v>0</v>
      </c>
      <c r="P25" s="52">
        <v>0.67</v>
      </c>
      <c r="Q25" s="52">
        <v>9.36</v>
      </c>
      <c r="R25" s="43"/>
      <c r="S25" s="43"/>
      <c r="T25" s="43"/>
      <c r="U25" s="43"/>
    </row>
    <row r="26" spans="1:21" s="11" customFormat="1" x14ac:dyDescent="0.25">
      <c r="A26" s="51" t="s">
        <v>101</v>
      </c>
      <c r="B26" s="52">
        <v>5.61</v>
      </c>
      <c r="C26" s="52">
        <v>55.84</v>
      </c>
      <c r="D26" s="52">
        <v>32.21</v>
      </c>
      <c r="E26" s="52">
        <v>6.02</v>
      </c>
      <c r="F26" s="52">
        <v>2.13</v>
      </c>
      <c r="G26" s="52">
        <v>50.11</v>
      </c>
      <c r="H26" s="52">
        <v>20.12</v>
      </c>
      <c r="I26" s="53" t="s">
        <v>15</v>
      </c>
      <c r="J26" s="52">
        <v>1.1299999999999999</v>
      </c>
      <c r="K26" s="52">
        <v>324.36</v>
      </c>
      <c r="L26" s="52">
        <v>26.87</v>
      </c>
      <c r="M26" s="52">
        <v>42.5</v>
      </c>
      <c r="N26" s="52">
        <v>102.8</v>
      </c>
      <c r="O26" s="52">
        <v>0</v>
      </c>
      <c r="P26" s="52">
        <v>0.76</v>
      </c>
      <c r="Q26" s="52">
        <v>9.3800000000000008</v>
      </c>
      <c r="R26" s="43"/>
      <c r="S26" s="43"/>
      <c r="T26" s="43"/>
      <c r="U26" s="43"/>
    </row>
    <row r="27" spans="1:21" s="11" customFormat="1" x14ac:dyDescent="0.25">
      <c r="A27" s="51" t="s">
        <v>102</v>
      </c>
      <c r="B27" s="52">
        <v>11.72</v>
      </c>
      <c r="C27" s="52">
        <v>60.42</v>
      </c>
      <c r="D27" s="52">
        <v>39.590000000000003</v>
      </c>
      <c r="E27" s="52">
        <v>7.01</v>
      </c>
      <c r="F27" s="52">
        <v>2.13</v>
      </c>
      <c r="G27" s="52">
        <v>61.03</v>
      </c>
      <c r="H27" s="52">
        <v>22.74</v>
      </c>
      <c r="I27" s="53" t="s">
        <v>15</v>
      </c>
      <c r="J27" s="52">
        <v>0.82</v>
      </c>
      <c r="K27" s="52">
        <v>346.57</v>
      </c>
      <c r="L27" s="52">
        <v>24.3</v>
      </c>
      <c r="M27" s="52">
        <v>48.7</v>
      </c>
      <c r="N27" s="52">
        <v>82.8</v>
      </c>
      <c r="O27" s="52">
        <v>0</v>
      </c>
      <c r="P27" s="52">
        <v>1.1399999999999999</v>
      </c>
      <c r="Q27" s="52">
        <v>9.4700000000000006</v>
      </c>
      <c r="R27" s="43"/>
      <c r="S27" s="43"/>
      <c r="T27" s="43"/>
      <c r="U27" s="43"/>
    </row>
    <row r="28" spans="1:21" s="11" customFormat="1" x14ac:dyDescent="0.25">
      <c r="A28" s="51" t="s">
        <v>103</v>
      </c>
      <c r="B28" s="52">
        <v>20.89</v>
      </c>
      <c r="C28" s="52">
        <v>62.11</v>
      </c>
      <c r="D28" s="52">
        <v>47.79</v>
      </c>
      <c r="E28" s="52">
        <v>7.4</v>
      </c>
      <c r="F28" s="52">
        <v>2.13</v>
      </c>
      <c r="G28" s="52">
        <v>78.72</v>
      </c>
      <c r="H28" s="52">
        <v>27.95</v>
      </c>
      <c r="I28" s="53" t="s">
        <v>15</v>
      </c>
      <c r="J28" s="52">
        <v>0.69</v>
      </c>
      <c r="K28" s="52">
        <v>338.91</v>
      </c>
      <c r="L28" s="52">
        <v>22.42</v>
      </c>
      <c r="M28" s="52">
        <v>53.44</v>
      </c>
      <c r="N28" s="52">
        <v>82.4</v>
      </c>
      <c r="O28" s="52">
        <v>0</v>
      </c>
      <c r="P28" s="52">
        <v>1.1200000000000001</v>
      </c>
      <c r="Q28" s="52">
        <v>9.51</v>
      </c>
      <c r="R28" s="43"/>
      <c r="S28" s="43"/>
      <c r="T28" s="43"/>
      <c r="U28" s="43"/>
    </row>
    <row r="29" spans="1:21" s="11" customFormat="1" x14ac:dyDescent="0.25">
      <c r="A29" s="51" t="s">
        <v>104</v>
      </c>
      <c r="B29" s="52">
        <v>24.58</v>
      </c>
      <c r="C29" s="52">
        <v>63.45</v>
      </c>
      <c r="D29" s="52">
        <v>51.48</v>
      </c>
      <c r="E29" s="52">
        <v>7.44</v>
      </c>
      <c r="F29" s="52">
        <v>2.13</v>
      </c>
      <c r="G29" s="52">
        <v>85.36</v>
      </c>
      <c r="H29" s="52">
        <v>34.049999999999997</v>
      </c>
      <c r="I29" s="53" t="s">
        <v>15</v>
      </c>
      <c r="J29" s="52">
        <v>0.6</v>
      </c>
      <c r="K29" s="52">
        <v>296.99</v>
      </c>
      <c r="L29" s="52">
        <v>21.7</v>
      </c>
      <c r="M29" s="52">
        <v>53.52</v>
      </c>
      <c r="N29" s="52">
        <v>82.4</v>
      </c>
      <c r="O29" s="52">
        <v>0</v>
      </c>
      <c r="P29" s="52">
        <v>1.1499999999999999</v>
      </c>
      <c r="Q29" s="52">
        <v>9.56</v>
      </c>
      <c r="R29" s="43"/>
      <c r="S29" s="43"/>
      <c r="T29" s="43"/>
      <c r="U29" s="43"/>
    </row>
    <row r="30" spans="1:21" s="11" customFormat="1" x14ac:dyDescent="0.25">
      <c r="A30" s="51" t="s">
        <v>105</v>
      </c>
      <c r="B30" s="52">
        <v>31.2</v>
      </c>
      <c r="C30" s="52">
        <v>59.93</v>
      </c>
      <c r="D30" s="52">
        <v>54.61</v>
      </c>
      <c r="E30" s="52">
        <v>7</v>
      </c>
      <c r="F30" s="52">
        <v>2.13</v>
      </c>
      <c r="G30" s="52">
        <v>84.36</v>
      </c>
      <c r="H30" s="52">
        <v>30.51</v>
      </c>
      <c r="I30" s="53" t="s">
        <v>15</v>
      </c>
      <c r="J30" s="52">
        <v>0.49</v>
      </c>
      <c r="K30" s="52">
        <v>315.31</v>
      </c>
      <c r="L30" s="52">
        <v>21.11</v>
      </c>
      <c r="M30" s="52">
        <v>60.03</v>
      </c>
      <c r="N30" s="52">
        <v>82.3</v>
      </c>
      <c r="O30" s="52">
        <v>0</v>
      </c>
      <c r="P30" s="52">
        <v>1.32</v>
      </c>
      <c r="Q30" s="52">
        <v>9.59</v>
      </c>
      <c r="R30" s="43"/>
      <c r="S30" s="43"/>
      <c r="T30" s="43"/>
      <c r="U30" s="43"/>
    </row>
    <row r="31" spans="1:21" s="11" customFormat="1" x14ac:dyDescent="0.25">
      <c r="A31" s="51" t="s">
        <v>106</v>
      </c>
      <c r="B31" s="52">
        <v>44.91</v>
      </c>
      <c r="C31" s="52">
        <v>58.86</v>
      </c>
      <c r="D31" s="52">
        <v>65.2</v>
      </c>
      <c r="E31" s="52">
        <v>7.56</v>
      </c>
      <c r="F31" s="52">
        <v>2.13</v>
      </c>
      <c r="G31" s="52">
        <v>96.08</v>
      </c>
      <c r="H31" s="52">
        <v>32.299999999999997</v>
      </c>
      <c r="I31" s="53" t="s">
        <v>15</v>
      </c>
      <c r="J31" s="52">
        <v>0.5</v>
      </c>
      <c r="K31" s="52">
        <v>310.57</v>
      </c>
      <c r="L31" s="52">
        <v>20.059999999999999</v>
      </c>
      <c r="M31" s="52">
        <v>66.42</v>
      </c>
      <c r="N31" s="52">
        <v>82.3</v>
      </c>
      <c r="O31" s="52">
        <v>0</v>
      </c>
      <c r="P31" s="52">
        <v>1.24</v>
      </c>
      <c r="Q31" s="52">
        <v>9.59</v>
      </c>
      <c r="R31" s="43"/>
      <c r="S31" s="43"/>
      <c r="T31" s="43"/>
      <c r="U31" s="43"/>
    </row>
    <row r="32" spans="1:21" s="11" customFormat="1" x14ac:dyDescent="0.25">
      <c r="A32" s="51" t="s">
        <v>107</v>
      </c>
      <c r="B32" s="52">
        <v>60.58</v>
      </c>
      <c r="C32" s="52">
        <v>60.92</v>
      </c>
      <c r="D32" s="52">
        <v>77.900000000000006</v>
      </c>
      <c r="E32" s="52">
        <v>7.78</v>
      </c>
      <c r="F32" s="52">
        <v>2.13</v>
      </c>
      <c r="G32" s="52">
        <v>107.74</v>
      </c>
      <c r="H32" s="52">
        <v>34.21</v>
      </c>
      <c r="I32" s="53" t="s">
        <v>15</v>
      </c>
      <c r="J32" s="52">
        <v>0.6</v>
      </c>
      <c r="K32" s="52">
        <v>340.66</v>
      </c>
      <c r="L32" s="52">
        <v>19.260000000000002</v>
      </c>
      <c r="M32" s="52">
        <v>76.53</v>
      </c>
      <c r="N32" s="52">
        <v>82.1</v>
      </c>
      <c r="O32" s="52">
        <v>0</v>
      </c>
      <c r="P32" s="52">
        <v>1.19</v>
      </c>
      <c r="Q32" s="52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3.35</v>
      </c>
      <c r="C34" s="28">
        <f t="shared" si="0"/>
        <v>48.7</v>
      </c>
      <c r="D34" s="28">
        <f t="shared" si="0"/>
        <v>31.63</v>
      </c>
      <c r="E34" s="28">
        <f t="shared" si="0"/>
        <v>5.39</v>
      </c>
      <c r="F34" s="28">
        <f t="shared" si="0"/>
        <v>2.13</v>
      </c>
      <c r="G34" s="28">
        <f t="shared" si="0"/>
        <v>43.16</v>
      </c>
      <c r="H34" s="28">
        <f t="shared" si="0"/>
        <v>8.74</v>
      </c>
      <c r="I34" s="28">
        <f t="shared" si="0"/>
        <v>0</v>
      </c>
      <c r="J34" s="28">
        <f t="shared" si="0"/>
        <v>0.49</v>
      </c>
      <c r="K34" s="28">
        <f t="shared" si="0"/>
        <v>172.73</v>
      </c>
      <c r="L34" s="28">
        <f t="shared" si="0"/>
        <v>15.51</v>
      </c>
      <c r="M34" s="28">
        <f t="shared" si="0"/>
        <v>34.35</v>
      </c>
      <c r="N34" s="28">
        <f t="shared" si="0"/>
        <v>78.599999999999994</v>
      </c>
      <c r="O34" s="28">
        <f t="shared" si="0"/>
        <v>0</v>
      </c>
      <c r="P34" s="28">
        <f t="shared" si="0"/>
        <v>0.63</v>
      </c>
      <c r="Q34" s="28">
        <f t="shared" si="0"/>
        <v>9.36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106.68</v>
      </c>
      <c r="C35" s="29">
        <f t="shared" si="1"/>
        <v>71.75</v>
      </c>
      <c r="D35" s="29">
        <f t="shared" si="1"/>
        <v>113.88</v>
      </c>
      <c r="E35" s="29">
        <f t="shared" si="1"/>
        <v>7.78</v>
      </c>
      <c r="F35" s="29">
        <f t="shared" si="1"/>
        <v>2.31</v>
      </c>
      <c r="G35" s="29">
        <f t="shared" si="1"/>
        <v>149.43</v>
      </c>
      <c r="H35" s="29">
        <f t="shared" si="1"/>
        <v>75.33</v>
      </c>
      <c r="I35" s="29">
        <f t="shared" si="1"/>
        <v>0</v>
      </c>
      <c r="J35" s="29">
        <f t="shared" si="1"/>
        <v>1.73</v>
      </c>
      <c r="K35" s="29">
        <f t="shared" si="1"/>
        <v>348.21</v>
      </c>
      <c r="L35" s="29">
        <f t="shared" si="1"/>
        <v>32.01</v>
      </c>
      <c r="M35" s="29">
        <f t="shared" si="1"/>
        <v>94.76</v>
      </c>
      <c r="N35" s="29">
        <f t="shared" si="1"/>
        <v>579</v>
      </c>
      <c r="O35" s="29">
        <f t="shared" si="1"/>
        <v>0</v>
      </c>
      <c r="P35" s="29">
        <f t="shared" si="1"/>
        <v>1.76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45.363750000000003</v>
      </c>
      <c r="C36" s="28">
        <f t="shared" si="2"/>
        <v>58.097916666666663</v>
      </c>
      <c r="D36" s="28">
        <f t="shared" si="2"/>
        <v>64.803333333333327</v>
      </c>
      <c r="E36" s="28">
        <f t="shared" si="2"/>
        <v>6.4108333333333336</v>
      </c>
      <c r="F36" s="28">
        <f t="shared" si="2"/>
        <v>2.1412500000000003</v>
      </c>
      <c r="G36" s="28">
        <f t="shared" si="2"/>
        <v>83.227499999999978</v>
      </c>
      <c r="H36" s="28">
        <f t="shared" si="2"/>
        <v>34.716250000000002</v>
      </c>
      <c r="I36" s="28" t="e">
        <f t="shared" si="2"/>
        <v>#DIV/0!</v>
      </c>
      <c r="J36" s="28">
        <f t="shared" si="2"/>
        <v>0.82041666666666668</v>
      </c>
      <c r="K36" s="28">
        <f t="shared" si="2"/>
        <v>297.56374999999997</v>
      </c>
      <c r="L36" s="28">
        <f t="shared" si="2"/>
        <v>22.75</v>
      </c>
      <c r="M36" s="28">
        <f t="shared" si="2"/>
        <v>63.66875000000001</v>
      </c>
      <c r="N36" s="28">
        <f t="shared" si="2"/>
        <v>225.20416666666668</v>
      </c>
      <c r="O36" s="28">
        <f t="shared" si="2"/>
        <v>0</v>
      </c>
      <c r="P36" s="28">
        <f t="shared" si="2"/>
        <v>1.0695833333333333</v>
      </c>
      <c r="Q36" s="28">
        <f t="shared" si="2"/>
        <v>9.6574999999999989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32.948970006003542</v>
      </c>
      <c r="C37" s="28">
        <f t="shared" ref="C37:Q37" si="3">STDEV(C9:C32)</f>
        <v>6.0421511999609097</v>
      </c>
      <c r="D37" s="28">
        <f t="shared" si="3"/>
        <v>24.412821233518066</v>
      </c>
      <c r="E37" s="28">
        <f t="shared" si="3"/>
        <v>0.71213650783897853</v>
      </c>
      <c r="F37" s="28">
        <f t="shared" si="3"/>
        <v>4.0358448283179714E-2</v>
      </c>
      <c r="G37" s="28">
        <f t="shared" si="3"/>
        <v>26.887759822284821</v>
      </c>
      <c r="H37" s="28">
        <f t="shared" si="3"/>
        <v>18.028822048501155</v>
      </c>
      <c r="I37" s="28" t="e">
        <f t="shared" si="3"/>
        <v>#DIV/0!</v>
      </c>
      <c r="J37" s="28">
        <f t="shared" si="3"/>
        <v>0.29960088185083317</v>
      </c>
      <c r="K37" s="28">
        <f t="shared" si="3"/>
        <v>42.19311810901057</v>
      </c>
      <c r="L37" s="28">
        <f t="shared" si="3"/>
        <v>5.5528981857107329</v>
      </c>
      <c r="M37" s="28">
        <f t="shared" si="3"/>
        <v>22.381205491195708</v>
      </c>
      <c r="N37" s="28">
        <f t="shared" si="3"/>
        <v>201.72386524150028</v>
      </c>
      <c r="O37" s="28">
        <f t="shared" si="3"/>
        <v>0</v>
      </c>
      <c r="P37" s="28">
        <f t="shared" si="3"/>
        <v>0.27523079906439102</v>
      </c>
      <c r="Q37" s="28">
        <f t="shared" si="3"/>
        <v>0.17627177632971985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108</v>
      </c>
      <c r="B9" s="52">
        <v>62.67</v>
      </c>
      <c r="C9" s="52">
        <v>60.41</v>
      </c>
      <c r="D9" s="52">
        <v>80.44</v>
      </c>
      <c r="E9" s="52">
        <v>6.45</v>
      </c>
      <c r="F9" s="52">
        <v>2.14</v>
      </c>
      <c r="G9" s="52">
        <v>104</v>
      </c>
      <c r="H9" s="52">
        <v>35.21</v>
      </c>
      <c r="I9" s="53" t="s">
        <v>15</v>
      </c>
      <c r="J9" s="52">
        <v>0.98</v>
      </c>
      <c r="K9" s="52">
        <v>344.83</v>
      </c>
      <c r="L9" s="52">
        <v>19.04</v>
      </c>
      <c r="M9" s="52">
        <v>78.040000000000006</v>
      </c>
      <c r="N9" s="52">
        <v>80.599999999999994</v>
      </c>
      <c r="O9" s="52">
        <v>0</v>
      </c>
      <c r="P9" s="52">
        <v>1.21</v>
      </c>
      <c r="Q9" s="52">
        <v>9.76</v>
      </c>
      <c r="R9" s="43"/>
      <c r="S9" s="43"/>
      <c r="T9" s="43"/>
      <c r="U9" s="43"/>
    </row>
    <row r="10" spans="1:21" s="11" customFormat="1" x14ac:dyDescent="0.25">
      <c r="A10" s="51" t="s">
        <v>109</v>
      </c>
      <c r="B10" s="52">
        <v>57.64</v>
      </c>
      <c r="C10" s="52">
        <v>58.06</v>
      </c>
      <c r="D10" s="52">
        <v>75.180000000000007</v>
      </c>
      <c r="E10" s="52">
        <v>6.57</v>
      </c>
      <c r="F10" s="52">
        <v>2.13</v>
      </c>
      <c r="G10" s="52">
        <v>107.64</v>
      </c>
      <c r="H10" s="52">
        <v>37.380000000000003</v>
      </c>
      <c r="I10" s="53" t="s">
        <v>15</v>
      </c>
      <c r="J10" s="52">
        <v>0.67</v>
      </c>
      <c r="K10" s="52">
        <v>355.33</v>
      </c>
      <c r="L10" s="52">
        <v>18.940000000000001</v>
      </c>
      <c r="M10" s="52">
        <v>73.540000000000006</v>
      </c>
      <c r="N10" s="52">
        <v>81.099999999999994</v>
      </c>
      <c r="O10" s="52">
        <v>0</v>
      </c>
      <c r="P10" s="52">
        <v>1.05</v>
      </c>
      <c r="Q10" s="52">
        <v>9.76</v>
      </c>
      <c r="R10" s="43"/>
      <c r="S10" s="43"/>
      <c r="T10" s="43"/>
      <c r="U10" s="43"/>
    </row>
    <row r="11" spans="1:21" s="11" customFormat="1" x14ac:dyDescent="0.25">
      <c r="A11" s="51" t="s">
        <v>110</v>
      </c>
      <c r="B11" s="52">
        <v>52.4</v>
      </c>
      <c r="C11" s="52">
        <v>52.73</v>
      </c>
      <c r="D11" s="52">
        <v>68.2</v>
      </c>
      <c r="E11" s="52">
        <v>6.46</v>
      </c>
      <c r="F11" s="52">
        <v>2.13</v>
      </c>
      <c r="G11" s="52">
        <v>117.52</v>
      </c>
      <c r="H11" s="52">
        <v>43.75</v>
      </c>
      <c r="I11" s="53" t="s">
        <v>15</v>
      </c>
      <c r="J11" s="52">
        <v>0.94</v>
      </c>
      <c r="K11" s="52">
        <v>337.37</v>
      </c>
      <c r="L11" s="52">
        <v>18.16</v>
      </c>
      <c r="M11" s="52">
        <v>75.95</v>
      </c>
      <c r="N11" s="52">
        <v>81.2</v>
      </c>
      <c r="O11" s="52">
        <v>0</v>
      </c>
      <c r="P11" s="52">
        <v>1.07</v>
      </c>
      <c r="Q11" s="52">
        <v>9.7200000000000006</v>
      </c>
      <c r="R11" s="43"/>
      <c r="S11" s="43"/>
      <c r="T11" s="43"/>
      <c r="U11" s="43"/>
    </row>
    <row r="12" spans="1:21" s="11" customFormat="1" x14ac:dyDescent="0.25">
      <c r="A12" s="51" t="s">
        <v>111</v>
      </c>
      <c r="B12" s="52">
        <v>47.4</v>
      </c>
      <c r="C12" s="52">
        <v>53.8</v>
      </c>
      <c r="D12" s="52">
        <v>63.96</v>
      </c>
      <c r="E12" s="52">
        <v>6.65</v>
      </c>
      <c r="F12" s="52">
        <v>2.13</v>
      </c>
      <c r="G12" s="52">
        <v>125.61</v>
      </c>
      <c r="H12" s="52">
        <v>48.57</v>
      </c>
      <c r="I12" s="53" t="s">
        <v>15</v>
      </c>
      <c r="J12" s="52">
        <v>0.64</v>
      </c>
      <c r="K12" s="52">
        <v>244.07</v>
      </c>
      <c r="L12" s="52">
        <v>17.52</v>
      </c>
      <c r="M12" s="52">
        <v>87.83</v>
      </c>
      <c r="N12" s="52">
        <v>80.900000000000006</v>
      </c>
      <c r="O12" s="52">
        <v>0</v>
      </c>
      <c r="P12" s="52">
        <v>1.08</v>
      </c>
      <c r="Q12" s="52">
        <v>9.69</v>
      </c>
      <c r="R12" s="43"/>
      <c r="S12" s="43"/>
      <c r="T12" s="43"/>
      <c r="U12" s="43"/>
    </row>
    <row r="13" spans="1:21" s="11" customFormat="1" x14ac:dyDescent="0.25">
      <c r="A13" s="51" t="s">
        <v>112</v>
      </c>
      <c r="B13" s="52">
        <v>43</v>
      </c>
      <c r="C13" s="52">
        <v>50.73</v>
      </c>
      <c r="D13" s="52">
        <v>59.61</v>
      </c>
      <c r="E13" s="52">
        <v>5.98</v>
      </c>
      <c r="F13" s="52">
        <v>2.13</v>
      </c>
      <c r="G13" s="52">
        <v>114.36</v>
      </c>
      <c r="H13" s="52">
        <v>41.31</v>
      </c>
      <c r="I13" s="53" t="s">
        <v>15</v>
      </c>
      <c r="J13" s="52">
        <v>0.73</v>
      </c>
      <c r="K13" s="52">
        <v>255.23</v>
      </c>
      <c r="L13" s="52">
        <v>16.5</v>
      </c>
      <c r="M13" s="52">
        <v>89.62</v>
      </c>
      <c r="N13" s="52">
        <v>80.900000000000006</v>
      </c>
      <c r="O13" s="52">
        <v>0</v>
      </c>
      <c r="P13" s="52">
        <v>1.02</v>
      </c>
      <c r="Q13" s="52">
        <v>9.68</v>
      </c>
      <c r="R13" s="43"/>
      <c r="S13" s="43"/>
      <c r="T13" s="43"/>
      <c r="U13" s="43"/>
    </row>
    <row r="14" spans="1:21" s="11" customFormat="1" x14ac:dyDescent="0.25">
      <c r="A14" s="51" t="s">
        <v>113</v>
      </c>
      <c r="B14" s="52">
        <v>41.87</v>
      </c>
      <c r="C14" s="52">
        <v>48.74</v>
      </c>
      <c r="D14" s="52">
        <v>56.94</v>
      </c>
      <c r="E14" s="52">
        <v>5.74</v>
      </c>
      <c r="F14" s="52">
        <v>2.13</v>
      </c>
      <c r="G14" s="52">
        <v>87.35</v>
      </c>
      <c r="H14" s="52">
        <v>22.01</v>
      </c>
      <c r="I14" s="53" t="s">
        <v>15</v>
      </c>
      <c r="J14" s="52">
        <v>0.61</v>
      </c>
      <c r="K14" s="52">
        <v>311.83</v>
      </c>
      <c r="L14" s="52">
        <v>15.62</v>
      </c>
      <c r="M14" s="52">
        <v>93.23</v>
      </c>
      <c r="N14" s="52">
        <v>80.8</v>
      </c>
      <c r="O14" s="52">
        <v>0</v>
      </c>
      <c r="P14" s="52">
        <v>0.94</v>
      </c>
      <c r="Q14" s="52">
        <v>9.69</v>
      </c>
      <c r="R14" s="43"/>
      <c r="S14" s="43"/>
      <c r="T14" s="43"/>
      <c r="U14" s="43"/>
    </row>
    <row r="15" spans="1:21" s="11" customFormat="1" x14ac:dyDescent="0.25">
      <c r="A15" s="51" t="s">
        <v>114</v>
      </c>
      <c r="B15" s="52">
        <v>48.04</v>
      </c>
      <c r="C15" s="52">
        <v>48.35</v>
      </c>
      <c r="D15" s="52">
        <v>62.23</v>
      </c>
      <c r="E15" s="52">
        <v>6.04</v>
      </c>
      <c r="F15" s="52">
        <v>2.13</v>
      </c>
      <c r="G15" s="52">
        <v>85.45</v>
      </c>
      <c r="H15" s="52">
        <v>30.06</v>
      </c>
      <c r="I15" s="53" t="s">
        <v>15</v>
      </c>
      <c r="J15" s="52">
        <v>0.63</v>
      </c>
      <c r="K15" s="52">
        <v>293.31</v>
      </c>
      <c r="L15" s="52">
        <v>15.46</v>
      </c>
      <c r="M15" s="52">
        <v>95.38</v>
      </c>
      <c r="N15" s="52">
        <v>90.7</v>
      </c>
      <c r="O15" s="52">
        <v>0</v>
      </c>
      <c r="P15" s="52">
        <v>0.92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115</v>
      </c>
      <c r="B16" s="52">
        <v>51.43</v>
      </c>
      <c r="C16" s="52">
        <v>48.05</v>
      </c>
      <c r="D16" s="52">
        <v>64.98</v>
      </c>
      <c r="E16" s="52">
        <v>6.68</v>
      </c>
      <c r="F16" s="52">
        <v>2.13</v>
      </c>
      <c r="G16" s="52">
        <v>90.77</v>
      </c>
      <c r="H16" s="52">
        <v>31.73</v>
      </c>
      <c r="I16" s="53" t="s">
        <v>15</v>
      </c>
      <c r="J16" s="52">
        <v>0.84</v>
      </c>
      <c r="K16" s="52">
        <v>233.18</v>
      </c>
      <c r="L16" s="52">
        <v>18.86</v>
      </c>
      <c r="M16" s="52">
        <v>93.15</v>
      </c>
      <c r="N16" s="52">
        <v>224</v>
      </c>
      <c r="O16" s="52">
        <v>0</v>
      </c>
      <c r="P16" s="52">
        <v>0.91</v>
      </c>
      <c r="Q16" s="52">
        <v>9.68</v>
      </c>
      <c r="R16" s="43"/>
      <c r="S16" s="43"/>
      <c r="T16" s="43"/>
      <c r="U16" s="43"/>
    </row>
    <row r="17" spans="1:21" s="11" customFormat="1" x14ac:dyDescent="0.25">
      <c r="A17" s="51" t="s">
        <v>116</v>
      </c>
      <c r="B17" s="52">
        <v>49.6</v>
      </c>
      <c r="C17" s="52">
        <v>52.25</v>
      </c>
      <c r="D17" s="52">
        <v>64.010000000000005</v>
      </c>
      <c r="E17" s="52">
        <v>7.11</v>
      </c>
      <c r="F17" s="52">
        <v>2.13</v>
      </c>
      <c r="G17" s="52">
        <v>97.04</v>
      </c>
      <c r="H17" s="52">
        <v>69.819999999999993</v>
      </c>
      <c r="I17" s="53" t="s">
        <v>15</v>
      </c>
      <c r="J17" s="52">
        <v>0.98</v>
      </c>
      <c r="K17" s="52">
        <v>185.09</v>
      </c>
      <c r="L17" s="52">
        <v>23.17</v>
      </c>
      <c r="M17" s="52">
        <v>72.02</v>
      </c>
      <c r="N17" s="52">
        <v>397.1</v>
      </c>
      <c r="O17" s="52">
        <v>0</v>
      </c>
      <c r="P17" s="52">
        <v>0.94</v>
      </c>
      <c r="Q17" s="52">
        <v>9.69</v>
      </c>
      <c r="R17" s="43"/>
      <c r="S17" s="43"/>
      <c r="T17" s="43"/>
      <c r="U17" s="43"/>
    </row>
    <row r="18" spans="1:21" s="11" customFormat="1" x14ac:dyDescent="0.25">
      <c r="A18" s="51" t="s">
        <v>117</v>
      </c>
      <c r="B18" s="52">
        <v>45.38</v>
      </c>
      <c r="C18" s="52">
        <v>54.98</v>
      </c>
      <c r="D18" s="52">
        <v>63.74</v>
      </c>
      <c r="E18" s="52">
        <v>7.27</v>
      </c>
      <c r="F18" s="52">
        <v>2.13</v>
      </c>
      <c r="G18" s="52">
        <v>101.1</v>
      </c>
      <c r="H18" s="52">
        <v>69.819999999999993</v>
      </c>
      <c r="I18" s="53" t="s">
        <v>15</v>
      </c>
      <c r="J18" s="52">
        <v>1.43</v>
      </c>
      <c r="K18" s="52">
        <v>115.44</v>
      </c>
      <c r="L18" s="52">
        <v>24.18</v>
      </c>
      <c r="M18" s="52">
        <v>53.52</v>
      </c>
      <c r="N18" s="52">
        <v>502</v>
      </c>
      <c r="O18" s="52">
        <v>0</v>
      </c>
      <c r="P18" s="52">
        <v>0.94</v>
      </c>
      <c r="Q18" s="52">
        <v>9.7100000000000009</v>
      </c>
      <c r="R18" s="43"/>
      <c r="S18" s="43"/>
      <c r="T18" s="43"/>
      <c r="U18" s="43"/>
    </row>
    <row r="19" spans="1:21" s="11" customFormat="1" x14ac:dyDescent="0.25">
      <c r="A19" s="51" t="s">
        <v>118</v>
      </c>
      <c r="B19" s="52">
        <v>35.29</v>
      </c>
      <c r="C19" s="52">
        <v>58.34</v>
      </c>
      <c r="D19" s="52">
        <v>56.23</v>
      </c>
      <c r="E19" s="52">
        <v>6.88</v>
      </c>
      <c r="F19" s="52">
        <v>2.13</v>
      </c>
      <c r="G19" s="52">
        <v>94.39</v>
      </c>
      <c r="H19" s="52">
        <v>37.57</v>
      </c>
      <c r="I19" s="53" t="s">
        <v>15</v>
      </c>
      <c r="J19" s="52">
        <v>1.29</v>
      </c>
      <c r="K19" s="52">
        <v>126.7</v>
      </c>
      <c r="L19" s="52">
        <v>27.15</v>
      </c>
      <c r="M19" s="52">
        <v>48.11</v>
      </c>
      <c r="N19" s="52">
        <v>556.29999999999995</v>
      </c>
      <c r="O19" s="52">
        <v>0</v>
      </c>
      <c r="P19" s="52">
        <v>0.88</v>
      </c>
      <c r="Q19" s="52">
        <v>9.65</v>
      </c>
      <c r="R19" s="43"/>
      <c r="S19" s="43"/>
      <c r="T19" s="43"/>
      <c r="U19" s="43"/>
    </row>
    <row r="20" spans="1:21" s="11" customFormat="1" x14ac:dyDescent="0.25">
      <c r="A20" s="51" t="s">
        <v>119</v>
      </c>
      <c r="B20" s="52">
        <v>25.52</v>
      </c>
      <c r="C20" s="52">
        <v>62.94</v>
      </c>
      <c r="D20" s="52">
        <v>49.69</v>
      </c>
      <c r="E20" s="52">
        <v>6.92</v>
      </c>
      <c r="F20" s="52">
        <v>2.13</v>
      </c>
      <c r="G20" s="52">
        <v>89.68</v>
      </c>
      <c r="H20" s="52">
        <v>56.69</v>
      </c>
      <c r="I20" s="53" t="s">
        <v>15</v>
      </c>
      <c r="J20" s="52">
        <v>0.75</v>
      </c>
      <c r="K20" s="52">
        <v>336.06</v>
      </c>
      <c r="L20" s="52">
        <v>31.81</v>
      </c>
      <c r="M20" s="52">
        <v>38.22</v>
      </c>
      <c r="N20" s="52">
        <v>569.6</v>
      </c>
      <c r="O20" s="52">
        <v>0</v>
      </c>
      <c r="P20" s="52">
        <v>0.82</v>
      </c>
      <c r="Q20" s="52">
        <v>9.59</v>
      </c>
      <c r="R20" s="43"/>
      <c r="S20" s="43"/>
      <c r="T20" s="43"/>
      <c r="U20" s="43"/>
    </row>
    <row r="21" spans="1:21" s="11" customFormat="1" x14ac:dyDescent="0.25">
      <c r="A21" s="51" t="s">
        <v>120</v>
      </c>
      <c r="B21" s="52">
        <v>13.89</v>
      </c>
      <c r="C21" s="52">
        <v>69.55</v>
      </c>
      <c r="D21" s="52">
        <v>43.92</v>
      </c>
      <c r="E21" s="52">
        <v>6.6</v>
      </c>
      <c r="F21" s="52">
        <v>2.13</v>
      </c>
      <c r="G21" s="52">
        <v>80.8</v>
      </c>
      <c r="H21" s="52">
        <v>38.43</v>
      </c>
      <c r="I21" s="53" t="s">
        <v>15</v>
      </c>
      <c r="J21" s="52">
        <v>1.26</v>
      </c>
      <c r="K21" s="52">
        <v>346.62</v>
      </c>
      <c r="L21" s="52">
        <v>32.159999999999997</v>
      </c>
      <c r="M21" s="52">
        <v>31.46</v>
      </c>
      <c r="N21" s="52">
        <v>562</v>
      </c>
      <c r="O21" s="52">
        <v>0</v>
      </c>
      <c r="P21" s="52">
        <v>0.79</v>
      </c>
      <c r="Q21" s="52">
        <v>9.5500000000000007</v>
      </c>
      <c r="R21" s="43"/>
      <c r="S21" s="43"/>
      <c r="T21" s="43"/>
      <c r="U21" s="43"/>
    </row>
    <row r="22" spans="1:21" s="11" customFormat="1" x14ac:dyDescent="0.25">
      <c r="A22" s="51" t="s">
        <v>121</v>
      </c>
      <c r="B22" s="52">
        <v>5.04</v>
      </c>
      <c r="C22" s="52">
        <v>69.47</v>
      </c>
      <c r="D22" s="52">
        <v>38.96</v>
      </c>
      <c r="E22" s="52">
        <v>6.97</v>
      </c>
      <c r="F22" s="52">
        <v>2.2200000000000002</v>
      </c>
      <c r="G22" s="52">
        <v>77.78</v>
      </c>
      <c r="H22" s="52">
        <v>40.619999999999997</v>
      </c>
      <c r="I22" s="53" t="s">
        <v>15</v>
      </c>
      <c r="J22" s="52">
        <v>0.73</v>
      </c>
      <c r="K22" s="52">
        <v>327.08</v>
      </c>
      <c r="L22" s="52">
        <v>32.270000000000003</v>
      </c>
      <c r="M22" s="52">
        <v>33.33</v>
      </c>
      <c r="N22" s="52">
        <v>512.5</v>
      </c>
      <c r="O22" s="52">
        <v>0</v>
      </c>
      <c r="P22" s="52">
        <v>0.75</v>
      </c>
      <c r="Q22" s="52">
        <v>9.52</v>
      </c>
      <c r="R22" s="43"/>
      <c r="S22" s="43"/>
      <c r="T22" s="43"/>
      <c r="U22" s="43"/>
    </row>
    <row r="23" spans="1:21" s="11" customFormat="1" x14ac:dyDescent="0.25">
      <c r="A23" s="51" t="s">
        <v>122</v>
      </c>
      <c r="B23" s="52">
        <v>4.2699999999999996</v>
      </c>
      <c r="C23" s="52">
        <v>63.98</v>
      </c>
      <c r="D23" s="52">
        <v>34.96</v>
      </c>
      <c r="E23" s="52">
        <v>6.08</v>
      </c>
      <c r="F23" s="52">
        <v>2.36</v>
      </c>
      <c r="G23" s="52">
        <v>78.569999999999993</v>
      </c>
      <c r="H23" s="52">
        <v>26.05</v>
      </c>
      <c r="I23" s="53" t="s">
        <v>15</v>
      </c>
      <c r="J23" s="52">
        <v>1.41</v>
      </c>
      <c r="K23" s="52">
        <v>323.93</v>
      </c>
      <c r="L23" s="52">
        <v>30.8</v>
      </c>
      <c r="M23" s="52">
        <v>32.049999999999997</v>
      </c>
      <c r="N23" s="52">
        <v>415.8</v>
      </c>
      <c r="O23" s="52">
        <v>0</v>
      </c>
      <c r="P23" s="52">
        <v>0.76</v>
      </c>
      <c r="Q23" s="52">
        <v>9.49</v>
      </c>
      <c r="R23" s="43"/>
      <c r="S23" s="43"/>
      <c r="T23" s="43"/>
      <c r="U23" s="43"/>
    </row>
    <row r="24" spans="1:21" s="11" customFormat="1" x14ac:dyDescent="0.25">
      <c r="A24" s="51" t="s">
        <v>123</v>
      </c>
      <c r="B24" s="52">
        <v>4.1900000000000004</v>
      </c>
      <c r="C24" s="52">
        <v>62.1</v>
      </c>
      <c r="D24" s="52">
        <v>34.43</v>
      </c>
      <c r="E24" s="52">
        <v>6.44</v>
      </c>
      <c r="F24" s="52">
        <v>2.3199999999999998</v>
      </c>
      <c r="G24" s="52">
        <v>74.44</v>
      </c>
      <c r="H24" s="52">
        <v>25.97</v>
      </c>
      <c r="I24" s="53" t="s">
        <v>15</v>
      </c>
      <c r="J24" s="52">
        <v>1.33</v>
      </c>
      <c r="K24" s="52">
        <v>324.42</v>
      </c>
      <c r="L24" s="52">
        <v>30.16</v>
      </c>
      <c r="M24" s="52">
        <v>31.22</v>
      </c>
      <c r="N24" s="52">
        <v>198.3</v>
      </c>
      <c r="O24" s="52">
        <v>0</v>
      </c>
      <c r="P24" s="52">
        <v>0.72</v>
      </c>
      <c r="Q24" s="52">
        <v>9.5399999999999991</v>
      </c>
      <c r="R24" s="43"/>
      <c r="S24" s="43"/>
      <c r="T24" s="43"/>
      <c r="U24" s="43"/>
    </row>
    <row r="25" spans="1:21" s="11" customFormat="1" x14ac:dyDescent="0.25">
      <c r="A25" s="51" t="s">
        <v>124</v>
      </c>
      <c r="B25" s="52">
        <v>4.09</v>
      </c>
      <c r="C25" s="52">
        <v>62.4</v>
      </c>
      <c r="D25" s="52">
        <v>34.51</v>
      </c>
      <c r="E25" s="52">
        <v>6.56</v>
      </c>
      <c r="F25" s="52">
        <v>2.4500000000000002</v>
      </c>
      <c r="G25" s="52">
        <v>68.739999999999995</v>
      </c>
      <c r="H25" s="52">
        <v>53.06</v>
      </c>
      <c r="I25" s="53" t="s">
        <v>15</v>
      </c>
      <c r="J25" s="52">
        <v>1.49</v>
      </c>
      <c r="K25" s="52">
        <v>336.2</v>
      </c>
      <c r="L25" s="52">
        <v>28.99</v>
      </c>
      <c r="M25" s="52">
        <v>33.729999999999997</v>
      </c>
      <c r="N25" s="52">
        <v>124.8</v>
      </c>
      <c r="O25" s="52">
        <v>0</v>
      </c>
      <c r="P25" s="52">
        <v>0.78</v>
      </c>
      <c r="Q25" s="52">
        <v>9.5399999999999991</v>
      </c>
      <c r="R25" s="43"/>
      <c r="S25" s="43"/>
      <c r="T25" s="43"/>
      <c r="U25" s="43"/>
    </row>
    <row r="26" spans="1:21" s="11" customFormat="1" x14ac:dyDescent="0.25">
      <c r="A26" s="51" t="s">
        <v>125</v>
      </c>
      <c r="B26" s="52">
        <v>7.14</v>
      </c>
      <c r="C26" s="52">
        <v>68.430000000000007</v>
      </c>
      <c r="D26" s="52">
        <v>40.1</v>
      </c>
      <c r="E26" s="52">
        <v>6.58</v>
      </c>
      <c r="F26" s="52">
        <v>2.13</v>
      </c>
      <c r="G26" s="52">
        <v>67.010000000000005</v>
      </c>
      <c r="H26" s="52">
        <v>25.28</v>
      </c>
      <c r="I26" s="53" t="s">
        <v>15</v>
      </c>
      <c r="J26" s="52">
        <v>1.01</v>
      </c>
      <c r="K26" s="52">
        <v>342.84</v>
      </c>
      <c r="L26" s="52">
        <v>27.52</v>
      </c>
      <c r="M26" s="52">
        <v>44.28</v>
      </c>
      <c r="N26" s="52">
        <v>96.2</v>
      </c>
      <c r="O26" s="52">
        <v>0</v>
      </c>
      <c r="P26" s="52">
        <v>1.1599999999999999</v>
      </c>
      <c r="Q26" s="52">
        <v>9.57</v>
      </c>
      <c r="R26" s="43"/>
      <c r="S26" s="43"/>
      <c r="T26" s="43"/>
      <c r="U26" s="43"/>
    </row>
    <row r="27" spans="1:21" s="11" customFormat="1" x14ac:dyDescent="0.25">
      <c r="A27" s="51" t="s">
        <v>126</v>
      </c>
      <c r="B27" s="52">
        <v>20.02</v>
      </c>
      <c r="C27" s="52">
        <v>68.92</v>
      </c>
      <c r="D27" s="52">
        <v>50.68</v>
      </c>
      <c r="E27" s="52">
        <v>6.91</v>
      </c>
      <c r="F27" s="52">
        <v>2.13</v>
      </c>
      <c r="G27" s="52">
        <v>85.16</v>
      </c>
      <c r="H27" s="52">
        <v>27.53</v>
      </c>
      <c r="I27" s="53" t="s">
        <v>15</v>
      </c>
      <c r="J27" s="52">
        <v>0.62</v>
      </c>
      <c r="K27" s="52">
        <v>288.87</v>
      </c>
      <c r="L27" s="52">
        <v>24.09</v>
      </c>
      <c r="M27" s="52">
        <v>53.26</v>
      </c>
      <c r="N27" s="52">
        <v>77.7</v>
      </c>
      <c r="O27" s="52">
        <v>0</v>
      </c>
      <c r="P27" s="52">
        <v>1.61</v>
      </c>
      <c r="Q27" s="52">
        <v>9.59</v>
      </c>
      <c r="R27" s="43"/>
      <c r="S27" s="43"/>
      <c r="T27" s="43"/>
      <c r="U27" s="43"/>
    </row>
    <row r="28" spans="1:21" s="11" customFormat="1" x14ac:dyDescent="0.25">
      <c r="A28" s="51" t="s">
        <v>127</v>
      </c>
      <c r="B28" s="52">
        <v>43.29</v>
      </c>
      <c r="C28" s="52">
        <v>68.83</v>
      </c>
      <c r="D28" s="52">
        <v>68.83</v>
      </c>
      <c r="E28" s="52">
        <v>7.72</v>
      </c>
      <c r="F28" s="52">
        <v>2.13</v>
      </c>
      <c r="G28" s="52">
        <v>139.80000000000001</v>
      </c>
      <c r="H28" s="52">
        <v>37.99</v>
      </c>
      <c r="I28" s="53" t="s">
        <v>15</v>
      </c>
      <c r="J28" s="52">
        <v>0.57999999999999996</v>
      </c>
      <c r="K28" s="52">
        <v>293.82</v>
      </c>
      <c r="L28" s="52">
        <v>22.38</v>
      </c>
      <c r="M28" s="52">
        <v>58.29</v>
      </c>
      <c r="N28" s="52">
        <v>77.400000000000006</v>
      </c>
      <c r="O28" s="52">
        <v>0</v>
      </c>
      <c r="P28" s="52">
        <v>2.34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128</v>
      </c>
      <c r="B29" s="52">
        <v>64.58</v>
      </c>
      <c r="C29" s="52">
        <v>69.91</v>
      </c>
      <c r="D29" s="52">
        <v>86.94</v>
      </c>
      <c r="E29" s="52">
        <v>8.42</v>
      </c>
      <c r="F29" s="52">
        <v>2.13</v>
      </c>
      <c r="G29" s="52">
        <v>185.53</v>
      </c>
      <c r="H29" s="52">
        <v>45.28</v>
      </c>
      <c r="I29" s="53" t="s">
        <v>15</v>
      </c>
      <c r="J29" s="52">
        <v>0.62</v>
      </c>
      <c r="K29" s="52">
        <v>341.85</v>
      </c>
      <c r="L29" s="52">
        <v>21.92</v>
      </c>
      <c r="M29" s="52">
        <v>72.28</v>
      </c>
      <c r="N29" s="52">
        <v>77.400000000000006</v>
      </c>
      <c r="O29" s="52">
        <v>0</v>
      </c>
      <c r="P29" s="52">
        <v>2.5299999999999998</v>
      </c>
      <c r="Q29" s="52">
        <v>9.73</v>
      </c>
      <c r="R29" s="43"/>
      <c r="S29" s="43"/>
      <c r="T29" s="43"/>
      <c r="U29" s="43"/>
    </row>
    <row r="30" spans="1:21" s="11" customFormat="1" x14ac:dyDescent="0.25">
      <c r="A30" s="51" t="s">
        <v>129</v>
      </c>
      <c r="B30" s="52">
        <v>85.26</v>
      </c>
      <c r="C30" s="52">
        <v>68.67</v>
      </c>
      <c r="D30" s="52">
        <v>102.57</v>
      </c>
      <c r="E30" s="52">
        <v>8.8699999999999992</v>
      </c>
      <c r="F30" s="52">
        <v>2.13</v>
      </c>
      <c r="G30" s="52">
        <v>156.22</v>
      </c>
      <c r="H30" s="52">
        <v>42.48</v>
      </c>
      <c r="I30" s="53" t="s">
        <v>15</v>
      </c>
      <c r="J30" s="52">
        <v>0.64</v>
      </c>
      <c r="K30" s="52">
        <v>312.11</v>
      </c>
      <c r="L30" s="52">
        <v>20.94</v>
      </c>
      <c r="M30" s="52">
        <v>79.42</v>
      </c>
      <c r="N30" s="52">
        <v>76.599999999999994</v>
      </c>
      <c r="O30" s="52">
        <v>0</v>
      </c>
      <c r="P30" s="52">
        <v>1.91</v>
      </c>
      <c r="Q30" s="52">
        <v>9.9499999999999993</v>
      </c>
      <c r="R30" s="43"/>
      <c r="S30" s="43"/>
      <c r="T30" s="43"/>
      <c r="U30" s="43"/>
    </row>
    <row r="31" spans="1:21" s="11" customFormat="1" x14ac:dyDescent="0.25">
      <c r="A31" s="51" t="s">
        <v>130</v>
      </c>
      <c r="B31" s="52">
        <v>101.16</v>
      </c>
      <c r="C31" s="52">
        <v>65.930000000000007</v>
      </c>
      <c r="D31" s="52">
        <v>112.93</v>
      </c>
      <c r="E31" s="52">
        <v>8.4600000000000009</v>
      </c>
      <c r="F31" s="52">
        <v>2.13</v>
      </c>
      <c r="G31" s="52">
        <v>151.54</v>
      </c>
      <c r="H31" s="52">
        <v>41.27</v>
      </c>
      <c r="I31" s="53" t="s">
        <v>15</v>
      </c>
      <c r="J31" s="52">
        <v>0.61</v>
      </c>
      <c r="K31" s="52">
        <v>326.75</v>
      </c>
      <c r="L31" s="52">
        <v>20.69</v>
      </c>
      <c r="M31" s="52">
        <v>76.95</v>
      </c>
      <c r="N31" s="52">
        <v>75.400000000000006</v>
      </c>
      <c r="O31" s="52">
        <v>0</v>
      </c>
      <c r="P31" s="52">
        <v>2.25</v>
      </c>
      <c r="Q31" s="52">
        <v>9.9600000000000009</v>
      </c>
      <c r="R31" s="43"/>
      <c r="S31" s="43"/>
      <c r="T31" s="43"/>
      <c r="U31" s="43"/>
    </row>
    <row r="32" spans="1:21" s="11" customFormat="1" x14ac:dyDescent="0.25">
      <c r="A32" s="51" t="s">
        <v>131</v>
      </c>
      <c r="B32" s="52">
        <v>131.62</v>
      </c>
      <c r="C32" s="52">
        <v>63.27</v>
      </c>
      <c r="D32" s="52">
        <v>135.87</v>
      </c>
      <c r="E32" s="52">
        <v>8.6199999999999992</v>
      </c>
      <c r="F32" s="52">
        <v>2.13</v>
      </c>
      <c r="G32" s="52">
        <v>145.83000000000001</v>
      </c>
      <c r="H32" s="52">
        <v>42.82</v>
      </c>
      <c r="I32" s="53" t="s">
        <v>15</v>
      </c>
      <c r="J32" s="52">
        <v>0.65</v>
      </c>
      <c r="K32" s="52">
        <v>326.67</v>
      </c>
      <c r="L32" s="52">
        <v>19.64</v>
      </c>
      <c r="M32" s="52">
        <v>86.39</v>
      </c>
      <c r="N32" s="52">
        <v>75.099999999999994</v>
      </c>
      <c r="O32" s="52">
        <v>0</v>
      </c>
      <c r="P32" s="52">
        <v>2.11</v>
      </c>
      <c r="Q32" s="52">
        <v>10.09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4.09</v>
      </c>
      <c r="C34" s="28">
        <f t="shared" si="0"/>
        <v>48.05</v>
      </c>
      <c r="D34" s="28">
        <f t="shared" si="0"/>
        <v>34.43</v>
      </c>
      <c r="E34" s="28">
        <f t="shared" si="0"/>
        <v>5.74</v>
      </c>
      <c r="F34" s="28">
        <f t="shared" si="0"/>
        <v>2.13</v>
      </c>
      <c r="G34" s="28">
        <f t="shared" si="0"/>
        <v>67.010000000000005</v>
      </c>
      <c r="H34" s="28">
        <f t="shared" si="0"/>
        <v>22.01</v>
      </c>
      <c r="I34" s="28">
        <f t="shared" si="0"/>
        <v>0</v>
      </c>
      <c r="J34" s="28">
        <f t="shared" si="0"/>
        <v>0.57999999999999996</v>
      </c>
      <c r="K34" s="28">
        <f t="shared" si="0"/>
        <v>115.44</v>
      </c>
      <c r="L34" s="28">
        <f t="shared" si="0"/>
        <v>15.46</v>
      </c>
      <c r="M34" s="28">
        <f t="shared" si="0"/>
        <v>31.22</v>
      </c>
      <c r="N34" s="28">
        <f t="shared" si="0"/>
        <v>75.099999999999994</v>
      </c>
      <c r="O34" s="28">
        <f t="shared" si="0"/>
        <v>0</v>
      </c>
      <c r="P34" s="28">
        <f t="shared" si="0"/>
        <v>0.72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131.62</v>
      </c>
      <c r="C35" s="29">
        <f t="shared" si="1"/>
        <v>69.91</v>
      </c>
      <c r="D35" s="29">
        <f t="shared" si="1"/>
        <v>135.87</v>
      </c>
      <c r="E35" s="29">
        <f t="shared" si="1"/>
        <v>8.8699999999999992</v>
      </c>
      <c r="F35" s="29">
        <f t="shared" si="1"/>
        <v>2.4500000000000002</v>
      </c>
      <c r="G35" s="29">
        <f t="shared" si="1"/>
        <v>185.53</v>
      </c>
      <c r="H35" s="29">
        <f t="shared" si="1"/>
        <v>69.819999999999993</v>
      </c>
      <c r="I35" s="29">
        <f t="shared" si="1"/>
        <v>0</v>
      </c>
      <c r="J35" s="29">
        <f t="shared" si="1"/>
        <v>1.49</v>
      </c>
      <c r="K35" s="29">
        <f t="shared" si="1"/>
        <v>355.33</v>
      </c>
      <c r="L35" s="29">
        <f t="shared" si="1"/>
        <v>32.270000000000003</v>
      </c>
      <c r="M35" s="29">
        <f t="shared" si="1"/>
        <v>95.38</v>
      </c>
      <c r="N35" s="29">
        <f t="shared" si="1"/>
        <v>569.6</v>
      </c>
      <c r="O35" s="29">
        <f t="shared" si="1"/>
        <v>0</v>
      </c>
      <c r="P35" s="29">
        <f t="shared" si="1"/>
        <v>2.5299999999999998</v>
      </c>
      <c r="Q35" s="29">
        <f t="shared" si="1"/>
        <v>10.09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43.532916666666665</v>
      </c>
      <c r="C36" s="28">
        <f t="shared" si="2"/>
        <v>60.451666666666682</v>
      </c>
      <c r="D36" s="28">
        <f t="shared" si="2"/>
        <v>64.579583333333332</v>
      </c>
      <c r="E36" s="28">
        <f t="shared" si="2"/>
        <v>6.9574999999999996</v>
      </c>
      <c r="F36" s="28">
        <f t="shared" si="2"/>
        <v>2.1650000000000005</v>
      </c>
      <c r="G36" s="28">
        <f t="shared" si="2"/>
        <v>105.26375</v>
      </c>
      <c r="H36" s="28">
        <f t="shared" si="2"/>
        <v>40.445833333333333</v>
      </c>
      <c r="I36" s="28" t="e">
        <f t="shared" si="2"/>
        <v>#DIV/0!</v>
      </c>
      <c r="J36" s="28">
        <f t="shared" si="2"/>
        <v>0.8933333333333332</v>
      </c>
      <c r="K36" s="28">
        <f t="shared" si="2"/>
        <v>292.89999999999998</v>
      </c>
      <c r="L36" s="28">
        <f t="shared" si="2"/>
        <v>23.248750000000005</v>
      </c>
      <c r="M36" s="28">
        <f t="shared" si="2"/>
        <v>63.802916666666675</v>
      </c>
      <c r="N36" s="28">
        <f t="shared" si="2"/>
        <v>216.43333333333331</v>
      </c>
      <c r="O36" s="28">
        <f t="shared" si="2"/>
        <v>0</v>
      </c>
      <c r="P36" s="28">
        <f t="shared" si="2"/>
        <v>1.22875</v>
      </c>
      <c r="Q36" s="28">
        <f t="shared" si="2"/>
        <v>9.6849999999999987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31.845055377448382</v>
      </c>
      <c r="C37" s="28">
        <f t="shared" ref="C37:Q37" si="3">STDEV(C9:C32)</f>
        <v>7.6128179474783284</v>
      </c>
      <c r="D37" s="28">
        <f t="shared" si="3"/>
        <v>25.286306223478697</v>
      </c>
      <c r="E37" s="28">
        <f t="shared" si="3"/>
        <v>0.86231866398731694</v>
      </c>
      <c r="F37" s="28">
        <f t="shared" si="3"/>
        <v>8.6023252670426292E-2</v>
      </c>
      <c r="G37" s="28">
        <f t="shared" si="3"/>
        <v>31.110494638151227</v>
      </c>
      <c r="H37" s="28">
        <f t="shared" si="3"/>
        <v>12.602094000141664</v>
      </c>
      <c r="I37" s="28" t="e">
        <f t="shared" si="3"/>
        <v>#DIV/0!</v>
      </c>
      <c r="J37" s="28">
        <f t="shared" si="3"/>
        <v>0.31039479302371009</v>
      </c>
      <c r="K37" s="28">
        <f t="shared" si="3"/>
        <v>67.356384481612409</v>
      </c>
      <c r="L37" s="28">
        <f t="shared" si="3"/>
        <v>5.5676256062440084</v>
      </c>
      <c r="M37" s="28">
        <f t="shared" si="3"/>
        <v>22.801231560782099</v>
      </c>
      <c r="N37" s="28">
        <f t="shared" si="3"/>
        <v>194.24396508261074</v>
      </c>
      <c r="O37" s="28">
        <f t="shared" si="3"/>
        <v>0</v>
      </c>
      <c r="P37" s="28">
        <f t="shared" si="3"/>
        <v>0.56424102543382026</v>
      </c>
      <c r="Q37" s="28">
        <f t="shared" si="3"/>
        <v>0.14542292146342176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132</v>
      </c>
      <c r="B9" s="52">
        <v>139.69999999999999</v>
      </c>
      <c r="C9" s="52">
        <v>58.86</v>
      </c>
      <c r="D9" s="52">
        <v>141.32</v>
      </c>
      <c r="E9" s="52">
        <v>9.4600000000000009</v>
      </c>
      <c r="F9" s="52">
        <v>2.13</v>
      </c>
      <c r="G9" s="52">
        <v>140.21</v>
      </c>
      <c r="H9" s="52">
        <v>38.56</v>
      </c>
      <c r="I9" s="53" t="s">
        <v>15</v>
      </c>
      <c r="J9" s="52">
        <v>0.71</v>
      </c>
      <c r="K9" s="52">
        <v>342.38</v>
      </c>
      <c r="L9" s="52">
        <v>19.670000000000002</v>
      </c>
      <c r="M9" s="52">
        <v>89.34</v>
      </c>
      <c r="N9" s="52">
        <v>75.3</v>
      </c>
      <c r="O9" s="52">
        <v>0</v>
      </c>
      <c r="P9" s="52">
        <v>2.14</v>
      </c>
      <c r="Q9" s="52">
        <v>10.210000000000001</v>
      </c>
      <c r="R9" s="43"/>
      <c r="S9" s="43"/>
      <c r="T9" s="43"/>
      <c r="U9" s="43"/>
    </row>
    <row r="10" spans="1:21" s="11" customFormat="1" x14ac:dyDescent="0.25">
      <c r="A10" s="51" t="s">
        <v>133</v>
      </c>
      <c r="B10" s="52">
        <v>127.91</v>
      </c>
      <c r="C10" s="52">
        <v>58.64</v>
      </c>
      <c r="D10" s="52">
        <v>131.83000000000001</v>
      </c>
      <c r="E10" s="52">
        <v>9.1199999999999992</v>
      </c>
      <c r="F10" s="52">
        <v>2.13</v>
      </c>
      <c r="G10" s="52">
        <v>147.18</v>
      </c>
      <c r="H10" s="52">
        <v>42.49</v>
      </c>
      <c r="I10" s="53" t="s">
        <v>15</v>
      </c>
      <c r="J10" s="52">
        <v>0.78</v>
      </c>
      <c r="K10" s="52">
        <v>295.66000000000003</v>
      </c>
      <c r="L10" s="52">
        <v>18.97</v>
      </c>
      <c r="M10" s="52">
        <v>84.73</v>
      </c>
      <c r="N10" s="52">
        <v>75.400000000000006</v>
      </c>
      <c r="O10" s="52">
        <v>0</v>
      </c>
      <c r="P10" s="52">
        <v>1.96</v>
      </c>
      <c r="Q10" s="52">
        <v>10.220000000000001</v>
      </c>
      <c r="R10" s="43"/>
      <c r="S10" s="43"/>
      <c r="T10" s="43"/>
      <c r="U10" s="43"/>
    </row>
    <row r="11" spans="1:21" s="11" customFormat="1" x14ac:dyDescent="0.25">
      <c r="A11" s="51" t="s">
        <v>134</v>
      </c>
      <c r="B11" s="52">
        <v>114.82</v>
      </c>
      <c r="C11" s="52">
        <v>56.88</v>
      </c>
      <c r="D11" s="52">
        <v>120.42</v>
      </c>
      <c r="E11" s="52">
        <v>9.23</v>
      </c>
      <c r="F11" s="52">
        <v>2.13</v>
      </c>
      <c r="G11" s="52">
        <v>152.69999999999999</v>
      </c>
      <c r="H11" s="52">
        <v>48.39</v>
      </c>
      <c r="I11" s="53" t="s">
        <v>15</v>
      </c>
      <c r="J11" s="52">
        <v>0.95</v>
      </c>
      <c r="K11" s="52">
        <v>330.81</v>
      </c>
      <c r="L11" s="52">
        <v>18.760000000000002</v>
      </c>
      <c r="M11" s="52">
        <v>92.4</v>
      </c>
      <c r="N11" s="52">
        <v>75.599999999999994</v>
      </c>
      <c r="O11" s="52">
        <v>0</v>
      </c>
      <c r="P11" s="52">
        <v>1.88</v>
      </c>
      <c r="Q11" s="52">
        <v>10.15</v>
      </c>
      <c r="R11" s="43"/>
      <c r="S11" s="43"/>
      <c r="T11" s="43"/>
      <c r="U11" s="43"/>
    </row>
    <row r="12" spans="1:21" s="11" customFormat="1" x14ac:dyDescent="0.25">
      <c r="A12" s="51" t="s">
        <v>135</v>
      </c>
      <c r="B12" s="52">
        <v>105.27</v>
      </c>
      <c r="C12" s="52">
        <v>51.95</v>
      </c>
      <c r="D12" s="52">
        <v>110.18</v>
      </c>
      <c r="E12" s="52">
        <v>8.8000000000000007</v>
      </c>
      <c r="F12" s="52">
        <v>2.2200000000000002</v>
      </c>
      <c r="G12" s="52">
        <v>129.65</v>
      </c>
      <c r="H12" s="52">
        <v>42.58</v>
      </c>
      <c r="I12" s="53" t="s">
        <v>15</v>
      </c>
      <c r="J12" s="52">
        <v>0.56000000000000005</v>
      </c>
      <c r="K12" s="52">
        <v>226.3</v>
      </c>
      <c r="L12" s="52">
        <v>17.98</v>
      </c>
      <c r="M12" s="52">
        <v>89.38</v>
      </c>
      <c r="N12" s="52">
        <v>75.099999999999994</v>
      </c>
      <c r="O12" s="52">
        <v>0</v>
      </c>
      <c r="P12" s="52">
        <v>1.78</v>
      </c>
      <c r="Q12" s="52">
        <v>10.08</v>
      </c>
      <c r="R12" s="43"/>
      <c r="S12" s="43"/>
      <c r="T12" s="43"/>
      <c r="U12" s="43"/>
    </row>
    <row r="13" spans="1:21" s="11" customFormat="1" x14ac:dyDescent="0.25">
      <c r="A13" s="51" t="s">
        <v>136</v>
      </c>
      <c r="B13" s="52">
        <v>96.57</v>
      </c>
      <c r="C13" s="52">
        <v>52.94</v>
      </c>
      <c r="D13" s="52">
        <v>103.05</v>
      </c>
      <c r="E13" s="52">
        <v>8.65</v>
      </c>
      <c r="F13" s="52">
        <v>2.13</v>
      </c>
      <c r="G13" s="52">
        <v>134.07</v>
      </c>
      <c r="H13" s="52">
        <v>44.65</v>
      </c>
      <c r="I13" s="53" t="s">
        <v>15</v>
      </c>
      <c r="J13" s="52">
        <v>0.48</v>
      </c>
      <c r="K13" s="52">
        <v>354.53</v>
      </c>
      <c r="L13" s="52">
        <v>18.010000000000002</v>
      </c>
      <c r="M13" s="52">
        <v>77.989999999999995</v>
      </c>
      <c r="N13" s="52">
        <v>75</v>
      </c>
      <c r="O13" s="52">
        <v>0</v>
      </c>
      <c r="P13" s="52">
        <v>1.73</v>
      </c>
      <c r="Q13" s="52">
        <v>10.039999999999999</v>
      </c>
      <c r="R13" s="43"/>
      <c r="S13" s="43"/>
      <c r="T13" s="43"/>
      <c r="U13" s="43"/>
    </row>
    <row r="14" spans="1:21" s="11" customFormat="1" x14ac:dyDescent="0.25">
      <c r="A14" s="51" t="s">
        <v>137</v>
      </c>
      <c r="B14" s="52">
        <v>82.15</v>
      </c>
      <c r="C14" s="52">
        <v>53.51</v>
      </c>
      <c r="D14" s="52">
        <v>91.94</v>
      </c>
      <c r="E14" s="52">
        <v>8.09</v>
      </c>
      <c r="F14" s="52">
        <v>2.13</v>
      </c>
      <c r="G14" s="52">
        <v>119.84</v>
      </c>
      <c r="H14" s="52">
        <v>40.75</v>
      </c>
      <c r="I14" s="53" t="s">
        <v>15</v>
      </c>
      <c r="J14" s="52">
        <v>0.36</v>
      </c>
      <c r="K14" s="52">
        <v>75.06</v>
      </c>
      <c r="L14" s="52">
        <v>17.940000000000001</v>
      </c>
      <c r="M14" s="52">
        <v>77.02</v>
      </c>
      <c r="N14" s="52">
        <v>75.2</v>
      </c>
      <c r="O14" s="52">
        <v>0</v>
      </c>
      <c r="P14" s="52">
        <v>1.56</v>
      </c>
      <c r="Q14" s="52">
        <v>9.99</v>
      </c>
      <c r="R14" s="43"/>
      <c r="S14" s="43"/>
      <c r="T14" s="43"/>
      <c r="U14" s="43"/>
    </row>
    <row r="15" spans="1:21" s="11" customFormat="1" x14ac:dyDescent="0.25">
      <c r="A15" s="51" t="s">
        <v>138</v>
      </c>
      <c r="B15" s="52">
        <v>67.2</v>
      </c>
      <c r="C15" s="52">
        <v>53.62</v>
      </c>
      <c r="D15" s="52">
        <v>80.53</v>
      </c>
      <c r="E15" s="52">
        <v>7.65</v>
      </c>
      <c r="F15" s="52">
        <v>2.13</v>
      </c>
      <c r="G15" s="52">
        <v>103.63</v>
      </c>
      <c r="H15" s="52">
        <v>48.17</v>
      </c>
      <c r="I15" s="53" t="s">
        <v>15</v>
      </c>
      <c r="J15" s="52">
        <v>0.28000000000000003</v>
      </c>
      <c r="K15" s="52">
        <v>357.6</v>
      </c>
      <c r="L15" s="52">
        <v>17.489999999999998</v>
      </c>
      <c r="M15" s="52">
        <v>78.72</v>
      </c>
      <c r="N15" s="52">
        <v>91.3</v>
      </c>
      <c r="O15" s="52">
        <v>0</v>
      </c>
      <c r="P15" s="52">
        <v>1.36</v>
      </c>
      <c r="Q15" s="52">
        <v>9.93</v>
      </c>
      <c r="R15" s="43"/>
      <c r="S15" s="43"/>
      <c r="T15" s="43"/>
      <c r="U15" s="43"/>
    </row>
    <row r="16" spans="1:21" s="11" customFormat="1" x14ac:dyDescent="0.25">
      <c r="A16" s="51" t="s">
        <v>139</v>
      </c>
      <c r="B16" s="52">
        <v>59.24</v>
      </c>
      <c r="C16" s="52">
        <v>50.83</v>
      </c>
      <c r="D16" s="52">
        <v>72.16</v>
      </c>
      <c r="E16" s="52">
        <v>7.32</v>
      </c>
      <c r="F16" s="52">
        <v>2.13</v>
      </c>
      <c r="G16" s="52">
        <v>85.48</v>
      </c>
      <c r="H16" s="52">
        <v>52.28</v>
      </c>
      <c r="I16" s="53" t="s">
        <v>15</v>
      </c>
      <c r="J16" s="52">
        <v>1.45</v>
      </c>
      <c r="K16" s="52">
        <v>113.76</v>
      </c>
      <c r="L16" s="52">
        <v>19.86</v>
      </c>
      <c r="M16" s="52">
        <v>76.180000000000007</v>
      </c>
      <c r="N16" s="52">
        <v>237.6</v>
      </c>
      <c r="O16" s="52">
        <v>0</v>
      </c>
      <c r="P16" s="52">
        <v>1.25</v>
      </c>
      <c r="Q16" s="52">
        <v>9.82</v>
      </c>
      <c r="R16" s="43"/>
      <c r="S16" s="43"/>
      <c r="T16" s="43"/>
      <c r="U16" s="43"/>
    </row>
    <row r="17" spans="1:21" s="11" customFormat="1" x14ac:dyDescent="0.25">
      <c r="A17" s="51" t="s">
        <v>140</v>
      </c>
      <c r="B17" s="52">
        <v>49.83</v>
      </c>
      <c r="C17" s="52">
        <v>59.37</v>
      </c>
      <c r="D17" s="52">
        <v>66.510000000000005</v>
      </c>
      <c r="E17" s="52">
        <v>6.62</v>
      </c>
      <c r="F17" s="52">
        <v>2.13</v>
      </c>
      <c r="G17" s="52">
        <v>84.92</v>
      </c>
      <c r="H17" s="52">
        <v>60.66</v>
      </c>
      <c r="I17" s="53" t="s">
        <v>15</v>
      </c>
      <c r="J17" s="52">
        <v>0.68</v>
      </c>
      <c r="K17" s="52">
        <v>101.41</v>
      </c>
      <c r="L17" s="52">
        <v>24.47</v>
      </c>
      <c r="M17" s="52">
        <v>60.01</v>
      </c>
      <c r="N17" s="52">
        <v>403.5</v>
      </c>
      <c r="O17" s="52">
        <v>0</v>
      </c>
      <c r="P17" s="52">
        <v>1.17</v>
      </c>
      <c r="Q17" s="52">
        <v>9.7899999999999991</v>
      </c>
      <c r="R17" s="43"/>
      <c r="S17" s="43"/>
      <c r="T17" s="43"/>
      <c r="U17" s="43"/>
    </row>
    <row r="18" spans="1:21" s="11" customFormat="1" x14ac:dyDescent="0.25">
      <c r="A18" s="51" t="s">
        <v>141</v>
      </c>
      <c r="B18" s="52">
        <v>41.23</v>
      </c>
      <c r="C18" s="52">
        <v>62.29</v>
      </c>
      <c r="D18" s="52">
        <v>62.59</v>
      </c>
      <c r="E18" s="52">
        <v>6.31</v>
      </c>
      <c r="F18" s="52">
        <v>2.13</v>
      </c>
      <c r="G18" s="52">
        <v>97.06</v>
      </c>
      <c r="H18" s="52">
        <v>48.44</v>
      </c>
      <c r="I18" s="53" t="s">
        <v>15</v>
      </c>
      <c r="J18" s="52">
        <v>1.32</v>
      </c>
      <c r="K18" s="52">
        <v>117.08</v>
      </c>
      <c r="L18" s="52">
        <v>26.4</v>
      </c>
      <c r="M18" s="52">
        <v>47.49</v>
      </c>
      <c r="N18" s="52">
        <v>498.1</v>
      </c>
      <c r="O18" s="52">
        <v>0</v>
      </c>
      <c r="P18" s="52">
        <v>1.1100000000000001</v>
      </c>
      <c r="Q18" s="52">
        <v>9.76</v>
      </c>
      <c r="R18" s="43"/>
      <c r="S18" s="43"/>
      <c r="T18" s="43"/>
      <c r="U18" s="43"/>
    </row>
    <row r="19" spans="1:21" s="11" customFormat="1" x14ac:dyDescent="0.25">
      <c r="A19" s="51" t="s">
        <v>142</v>
      </c>
      <c r="B19" s="52">
        <v>27.52</v>
      </c>
      <c r="C19" s="52">
        <v>63.69</v>
      </c>
      <c r="D19" s="52">
        <v>53.97</v>
      </c>
      <c r="E19" s="52">
        <v>6.09</v>
      </c>
      <c r="F19" s="52">
        <v>2.13</v>
      </c>
      <c r="G19" s="52">
        <v>105.75</v>
      </c>
      <c r="H19" s="52">
        <v>49.79</v>
      </c>
      <c r="I19" s="53" t="s">
        <v>15</v>
      </c>
      <c r="J19" s="52">
        <v>1.28</v>
      </c>
      <c r="K19" s="52">
        <v>120.1</v>
      </c>
      <c r="L19" s="52">
        <v>27.47</v>
      </c>
      <c r="M19" s="52">
        <v>46.34</v>
      </c>
      <c r="N19" s="52">
        <v>546.4</v>
      </c>
      <c r="O19" s="52">
        <v>0</v>
      </c>
      <c r="P19" s="52">
        <v>0.99</v>
      </c>
      <c r="Q19" s="52">
        <v>9.74</v>
      </c>
      <c r="R19" s="43"/>
      <c r="S19" s="43"/>
      <c r="T19" s="43"/>
      <c r="U19" s="43"/>
    </row>
    <row r="20" spans="1:21" s="11" customFormat="1" x14ac:dyDescent="0.25">
      <c r="A20" s="51" t="s">
        <v>143</v>
      </c>
      <c r="B20" s="52">
        <v>14.37</v>
      </c>
      <c r="C20" s="52">
        <v>61.52</v>
      </c>
      <c r="D20" s="52">
        <v>42</v>
      </c>
      <c r="E20" s="52">
        <v>6.02</v>
      </c>
      <c r="F20" s="52">
        <v>2.16</v>
      </c>
      <c r="G20" s="52">
        <v>78.650000000000006</v>
      </c>
      <c r="H20" s="52">
        <v>41.08</v>
      </c>
      <c r="I20" s="53" t="s">
        <v>15</v>
      </c>
      <c r="J20" s="52">
        <v>1.29</v>
      </c>
      <c r="K20" s="52">
        <v>159.33000000000001</v>
      </c>
      <c r="L20" s="52">
        <v>29.63</v>
      </c>
      <c r="M20" s="52">
        <v>40.479999999999997</v>
      </c>
      <c r="N20" s="52">
        <v>564.6</v>
      </c>
      <c r="O20" s="52">
        <v>0</v>
      </c>
      <c r="P20" s="52">
        <v>0.8</v>
      </c>
      <c r="Q20" s="52">
        <v>9.64</v>
      </c>
      <c r="R20" s="43"/>
      <c r="S20" s="43"/>
      <c r="T20" s="43"/>
      <c r="U20" s="43"/>
    </row>
    <row r="21" spans="1:21" s="11" customFormat="1" x14ac:dyDescent="0.25">
      <c r="A21" s="51" t="s">
        <v>144</v>
      </c>
      <c r="B21" s="52">
        <v>7.08</v>
      </c>
      <c r="C21" s="52">
        <v>62.61</v>
      </c>
      <c r="D21" s="52">
        <v>36.26</v>
      </c>
      <c r="E21" s="52">
        <v>5.84</v>
      </c>
      <c r="F21" s="52">
        <v>2.17</v>
      </c>
      <c r="G21" s="52">
        <v>71.08</v>
      </c>
      <c r="H21" s="52">
        <v>26.91</v>
      </c>
      <c r="I21" s="53" t="s">
        <v>15</v>
      </c>
      <c r="J21" s="52">
        <v>1.08</v>
      </c>
      <c r="K21" s="52">
        <v>318.81</v>
      </c>
      <c r="L21" s="52">
        <v>33.85</v>
      </c>
      <c r="M21" s="52">
        <v>36.06</v>
      </c>
      <c r="N21" s="52">
        <v>563.5</v>
      </c>
      <c r="O21" s="52">
        <v>0</v>
      </c>
      <c r="P21" s="52">
        <v>0.7</v>
      </c>
      <c r="Q21" s="52">
        <v>9.57</v>
      </c>
      <c r="R21" s="43"/>
      <c r="S21" s="43"/>
      <c r="T21" s="43"/>
      <c r="U21" s="43"/>
    </row>
    <row r="22" spans="1:21" s="11" customFormat="1" x14ac:dyDescent="0.25">
      <c r="A22" s="51" t="s">
        <v>145</v>
      </c>
      <c r="B22" s="52">
        <v>3.82</v>
      </c>
      <c r="C22" s="52">
        <v>61.76</v>
      </c>
      <c r="D22" s="52">
        <v>33.78</v>
      </c>
      <c r="E22" s="52">
        <v>5.94</v>
      </c>
      <c r="F22" s="52">
        <v>2.17</v>
      </c>
      <c r="G22" s="52">
        <v>67.22</v>
      </c>
      <c r="H22" s="52">
        <v>35</v>
      </c>
      <c r="I22" s="53" t="s">
        <v>15</v>
      </c>
      <c r="J22" s="52">
        <v>0.88</v>
      </c>
      <c r="K22" s="52">
        <v>325.20999999999998</v>
      </c>
      <c r="L22" s="52">
        <v>33.729999999999997</v>
      </c>
      <c r="M22" s="52">
        <v>33.78</v>
      </c>
      <c r="N22" s="52">
        <v>523.70000000000005</v>
      </c>
      <c r="O22" s="52">
        <v>0</v>
      </c>
      <c r="P22" s="52">
        <v>0.7</v>
      </c>
      <c r="Q22" s="52">
        <v>9.56</v>
      </c>
      <c r="R22" s="43"/>
      <c r="S22" s="43"/>
      <c r="T22" s="43"/>
      <c r="U22" s="43"/>
    </row>
    <row r="23" spans="1:21" s="11" customFormat="1" x14ac:dyDescent="0.25">
      <c r="A23" s="51" t="s">
        <v>146</v>
      </c>
      <c r="B23" s="52">
        <v>3.28</v>
      </c>
      <c r="C23" s="52">
        <v>58.68</v>
      </c>
      <c r="D23" s="52">
        <v>31.91</v>
      </c>
      <c r="E23" s="52">
        <v>5.79</v>
      </c>
      <c r="F23" s="52">
        <v>2.76</v>
      </c>
      <c r="G23" s="52">
        <v>62.74</v>
      </c>
      <c r="H23" s="52">
        <v>36.74</v>
      </c>
      <c r="I23" s="53" t="s">
        <v>15</v>
      </c>
      <c r="J23" s="52">
        <v>0.47</v>
      </c>
      <c r="K23" s="52">
        <v>301.7</v>
      </c>
      <c r="L23" s="52">
        <v>32.04</v>
      </c>
      <c r="M23" s="52">
        <v>31.87</v>
      </c>
      <c r="N23" s="52">
        <v>489.1</v>
      </c>
      <c r="O23" s="52">
        <v>0</v>
      </c>
      <c r="P23" s="52">
        <v>0.66</v>
      </c>
      <c r="Q23" s="52">
        <v>9.58</v>
      </c>
      <c r="R23" s="43"/>
      <c r="S23" s="43"/>
      <c r="T23" s="43"/>
      <c r="U23" s="43"/>
    </row>
    <row r="24" spans="1:21" s="11" customFormat="1" x14ac:dyDescent="0.25">
      <c r="A24" s="51" t="s">
        <v>147</v>
      </c>
      <c r="B24" s="52">
        <v>4.0999999999999996</v>
      </c>
      <c r="C24" s="52">
        <v>55.25</v>
      </c>
      <c r="D24" s="52">
        <v>30.78</v>
      </c>
      <c r="E24" s="52">
        <v>5.59</v>
      </c>
      <c r="F24" s="52">
        <v>2.76</v>
      </c>
      <c r="G24" s="52">
        <v>56.34</v>
      </c>
      <c r="H24" s="52">
        <v>28.3</v>
      </c>
      <c r="I24" s="53" t="s">
        <v>15</v>
      </c>
      <c r="J24" s="52">
        <v>0.82</v>
      </c>
      <c r="K24" s="52">
        <v>312.27</v>
      </c>
      <c r="L24" s="52">
        <v>29.31</v>
      </c>
      <c r="M24" s="52">
        <v>32.94</v>
      </c>
      <c r="N24" s="52">
        <v>192.8</v>
      </c>
      <c r="O24" s="52">
        <v>0</v>
      </c>
      <c r="P24" s="52">
        <v>0.61</v>
      </c>
      <c r="Q24" s="52">
        <v>9.56</v>
      </c>
      <c r="R24" s="43"/>
      <c r="S24" s="43"/>
      <c r="T24" s="43"/>
      <c r="U24" s="43"/>
    </row>
    <row r="25" spans="1:21" s="11" customFormat="1" x14ac:dyDescent="0.25">
      <c r="A25" s="51" t="s">
        <v>148</v>
      </c>
      <c r="B25" s="52">
        <v>4.8</v>
      </c>
      <c r="C25" s="52">
        <v>59.56</v>
      </c>
      <c r="D25" s="52">
        <v>33.590000000000003</v>
      </c>
      <c r="E25" s="52">
        <v>5.75</v>
      </c>
      <c r="F25" s="52">
        <v>2.2000000000000002</v>
      </c>
      <c r="G25" s="52">
        <v>61.77</v>
      </c>
      <c r="H25" s="52">
        <v>24.31</v>
      </c>
      <c r="I25" s="53" t="s">
        <v>15</v>
      </c>
      <c r="J25" s="52">
        <v>1.41</v>
      </c>
      <c r="K25" s="52">
        <v>338.82</v>
      </c>
      <c r="L25" s="52">
        <v>28.61</v>
      </c>
      <c r="M25" s="52">
        <v>35.28</v>
      </c>
      <c r="N25" s="52">
        <v>130</v>
      </c>
      <c r="O25" s="52">
        <v>0</v>
      </c>
      <c r="P25" s="52">
        <v>0.72</v>
      </c>
      <c r="Q25" s="52">
        <v>9.56</v>
      </c>
      <c r="R25" s="43"/>
      <c r="S25" s="43"/>
      <c r="T25" s="43"/>
      <c r="U25" s="43"/>
    </row>
    <row r="26" spans="1:21" s="11" customFormat="1" x14ac:dyDescent="0.25">
      <c r="A26" s="51" t="s">
        <v>149</v>
      </c>
      <c r="B26" s="52">
        <v>6.72</v>
      </c>
      <c r="C26" s="52">
        <v>61.61</v>
      </c>
      <c r="D26" s="52">
        <v>36.200000000000003</v>
      </c>
      <c r="E26" s="52">
        <v>5.67</v>
      </c>
      <c r="F26" s="52">
        <v>2.13</v>
      </c>
      <c r="G26" s="52">
        <v>66.69</v>
      </c>
      <c r="H26" s="52">
        <v>27.69</v>
      </c>
      <c r="I26" s="53" t="s">
        <v>15</v>
      </c>
      <c r="J26" s="52">
        <v>1.62</v>
      </c>
      <c r="K26" s="52">
        <v>342.86</v>
      </c>
      <c r="L26" s="52">
        <v>27.43</v>
      </c>
      <c r="M26" s="52">
        <v>33.89</v>
      </c>
      <c r="N26" s="52">
        <v>107.8</v>
      </c>
      <c r="O26" s="52">
        <v>0</v>
      </c>
      <c r="P26" s="52">
        <v>0.85</v>
      </c>
      <c r="Q26" s="52">
        <v>9.57</v>
      </c>
      <c r="R26" s="43"/>
      <c r="S26" s="43"/>
      <c r="T26" s="43"/>
      <c r="U26" s="43"/>
    </row>
    <row r="27" spans="1:21" s="11" customFormat="1" x14ac:dyDescent="0.25">
      <c r="A27" s="51" t="s">
        <v>150</v>
      </c>
      <c r="B27" s="52">
        <v>30.51</v>
      </c>
      <c r="C27" s="52">
        <v>66.98</v>
      </c>
      <c r="D27" s="52">
        <v>58.09</v>
      </c>
      <c r="E27" s="52">
        <v>6.2</v>
      </c>
      <c r="F27" s="52">
        <v>2.13</v>
      </c>
      <c r="G27" s="52">
        <v>84.49</v>
      </c>
      <c r="H27" s="52">
        <v>24.09</v>
      </c>
      <c r="I27" s="53" t="s">
        <v>15</v>
      </c>
      <c r="J27" s="52">
        <v>0.61</v>
      </c>
      <c r="K27" s="52">
        <v>305.63</v>
      </c>
      <c r="L27" s="52">
        <v>24.87</v>
      </c>
      <c r="M27" s="52">
        <v>49.18</v>
      </c>
      <c r="N27" s="52">
        <v>79.8</v>
      </c>
      <c r="O27" s="52">
        <v>0</v>
      </c>
      <c r="P27" s="52">
        <v>1.51</v>
      </c>
      <c r="Q27" s="52">
        <v>9.6199999999999992</v>
      </c>
      <c r="R27" s="43"/>
      <c r="S27" s="43"/>
      <c r="T27" s="43"/>
      <c r="U27" s="43"/>
    </row>
    <row r="28" spans="1:21" s="11" customFormat="1" x14ac:dyDescent="0.25">
      <c r="A28" s="51" t="s">
        <v>151</v>
      </c>
      <c r="B28" s="52">
        <v>64.11</v>
      </c>
      <c r="C28" s="52">
        <v>63.45</v>
      </c>
      <c r="D28" s="52">
        <v>83.11</v>
      </c>
      <c r="E28" s="52">
        <v>7.06</v>
      </c>
      <c r="F28" s="52">
        <v>2.13</v>
      </c>
      <c r="G28" s="52">
        <v>133.94</v>
      </c>
      <c r="H28" s="52">
        <v>33.53</v>
      </c>
      <c r="I28" s="53" t="s">
        <v>15</v>
      </c>
      <c r="J28" s="52">
        <v>0.64</v>
      </c>
      <c r="K28" s="52">
        <v>286.43</v>
      </c>
      <c r="L28" s="52">
        <v>22.22</v>
      </c>
      <c r="M28" s="52">
        <v>53.88</v>
      </c>
      <c r="N28" s="52">
        <v>79.2</v>
      </c>
      <c r="O28" s="52">
        <v>0</v>
      </c>
      <c r="P28" s="52">
        <v>2.0099999999999998</v>
      </c>
      <c r="Q28" s="52">
        <v>9.73</v>
      </c>
      <c r="R28" s="43"/>
      <c r="S28" s="43"/>
      <c r="T28" s="43"/>
      <c r="U28" s="43"/>
    </row>
    <row r="29" spans="1:21" s="11" customFormat="1" x14ac:dyDescent="0.25">
      <c r="A29" s="51" t="s">
        <v>152</v>
      </c>
      <c r="B29" s="52">
        <v>96.67</v>
      </c>
      <c r="C29" s="52">
        <v>62.64</v>
      </c>
      <c r="D29" s="52">
        <v>107.82</v>
      </c>
      <c r="E29" s="52">
        <v>7.93</v>
      </c>
      <c r="F29" s="52">
        <v>2.13</v>
      </c>
      <c r="G29" s="52">
        <v>201.85</v>
      </c>
      <c r="H29" s="52">
        <v>37.729999999999997</v>
      </c>
      <c r="I29" s="53" t="s">
        <v>15</v>
      </c>
      <c r="J29" s="52">
        <v>0.66</v>
      </c>
      <c r="K29" s="52">
        <v>303.43</v>
      </c>
      <c r="L29" s="52">
        <v>21.53</v>
      </c>
      <c r="M29" s="52">
        <v>66.89</v>
      </c>
      <c r="N29" s="52">
        <v>79.2</v>
      </c>
      <c r="O29" s="52">
        <v>0</v>
      </c>
      <c r="P29" s="52">
        <v>3.16</v>
      </c>
      <c r="Q29" s="52">
        <v>9.83</v>
      </c>
      <c r="R29" s="43"/>
      <c r="S29" s="43"/>
      <c r="T29" s="43"/>
      <c r="U29" s="43"/>
    </row>
    <row r="30" spans="1:21" s="11" customFormat="1" x14ac:dyDescent="0.25">
      <c r="A30" s="51" t="s">
        <v>153</v>
      </c>
      <c r="B30" s="52">
        <v>153.5</v>
      </c>
      <c r="C30" s="52">
        <v>61.93</v>
      </c>
      <c r="D30" s="52">
        <v>154.08000000000001</v>
      </c>
      <c r="E30" s="52">
        <v>10.43</v>
      </c>
      <c r="F30" s="52">
        <v>2.13</v>
      </c>
      <c r="G30" s="52">
        <v>245.47</v>
      </c>
      <c r="H30" s="52">
        <v>47.52</v>
      </c>
      <c r="I30" s="53" t="s">
        <v>15</v>
      </c>
      <c r="J30" s="52">
        <v>0.69</v>
      </c>
      <c r="K30" s="52">
        <v>343.86</v>
      </c>
      <c r="L30" s="52">
        <v>20.51</v>
      </c>
      <c r="M30" s="52">
        <v>74.87</v>
      </c>
      <c r="N30" s="52">
        <v>79.099999999999994</v>
      </c>
      <c r="O30" s="52">
        <v>0</v>
      </c>
      <c r="P30" s="52">
        <v>2.71</v>
      </c>
      <c r="Q30" s="52">
        <v>10.08</v>
      </c>
      <c r="R30" s="43"/>
      <c r="S30" s="43"/>
      <c r="T30" s="43"/>
      <c r="U30" s="43"/>
    </row>
    <row r="31" spans="1:21" s="11" customFormat="1" x14ac:dyDescent="0.25">
      <c r="A31" s="51" t="s">
        <v>154</v>
      </c>
      <c r="B31" s="52">
        <v>213.1</v>
      </c>
      <c r="C31" s="52">
        <v>62.6</v>
      </c>
      <c r="D31" s="52">
        <v>202.22</v>
      </c>
      <c r="E31" s="52">
        <v>11.97</v>
      </c>
      <c r="F31" s="52">
        <v>2.13</v>
      </c>
      <c r="G31" s="52">
        <v>256.42</v>
      </c>
      <c r="H31" s="52">
        <v>58.16</v>
      </c>
      <c r="I31" s="53" t="s">
        <v>15</v>
      </c>
      <c r="J31" s="52">
        <v>0.61</v>
      </c>
      <c r="K31" s="52">
        <v>346.47</v>
      </c>
      <c r="L31" s="52">
        <v>19.850000000000001</v>
      </c>
      <c r="M31" s="52">
        <v>77.27</v>
      </c>
      <c r="N31" s="52">
        <v>79.099999999999994</v>
      </c>
      <c r="O31" s="52">
        <v>0</v>
      </c>
      <c r="P31" s="52">
        <v>3</v>
      </c>
      <c r="Q31" s="52">
        <v>10.44</v>
      </c>
      <c r="R31" s="43"/>
      <c r="S31" s="43"/>
      <c r="T31" s="43"/>
      <c r="U31" s="43"/>
    </row>
    <row r="32" spans="1:21" s="11" customFormat="1" x14ac:dyDescent="0.25">
      <c r="A32" s="51" t="s">
        <v>155</v>
      </c>
      <c r="B32" s="52">
        <v>219.32</v>
      </c>
      <c r="C32" s="52">
        <v>59.94</v>
      </c>
      <c r="D32" s="52">
        <v>204.18</v>
      </c>
      <c r="E32" s="52">
        <v>11.45</v>
      </c>
      <c r="F32" s="52">
        <v>2.13</v>
      </c>
      <c r="G32" s="52">
        <v>256.08999999999997</v>
      </c>
      <c r="H32" s="52">
        <v>63.81</v>
      </c>
      <c r="I32" s="53" t="s">
        <v>15</v>
      </c>
      <c r="J32" s="52">
        <v>0.65</v>
      </c>
      <c r="K32" s="52">
        <v>329.61</v>
      </c>
      <c r="L32" s="52">
        <v>19.47</v>
      </c>
      <c r="M32" s="52">
        <v>79.900000000000006</v>
      </c>
      <c r="N32" s="52">
        <v>79.2</v>
      </c>
      <c r="O32" s="52">
        <v>0</v>
      </c>
      <c r="P32" s="52">
        <v>3.27</v>
      </c>
      <c r="Q32" s="52">
        <v>10.59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3.28</v>
      </c>
      <c r="C34" s="28">
        <f t="shared" si="0"/>
        <v>50.83</v>
      </c>
      <c r="D34" s="28">
        <f t="shared" si="0"/>
        <v>30.78</v>
      </c>
      <c r="E34" s="28">
        <f t="shared" si="0"/>
        <v>5.59</v>
      </c>
      <c r="F34" s="28">
        <f t="shared" si="0"/>
        <v>2.13</v>
      </c>
      <c r="G34" s="28">
        <f t="shared" si="0"/>
        <v>56.34</v>
      </c>
      <c r="H34" s="28">
        <f t="shared" si="0"/>
        <v>24.09</v>
      </c>
      <c r="I34" s="28">
        <f t="shared" si="0"/>
        <v>0</v>
      </c>
      <c r="J34" s="28">
        <f t="shared" si="0"/>
        <v>0.28000000000000003</v>
      </c>
      <c r="K34" s="28">
        <f t="shared" si="0"/>
        <v>75.06</v>
      </c>
      <c r="L34" s="28">
        <f t="shared" si="0"/>
        <v>17.489999999999998</v>
      </c>
      <c r="M34" s="28">
        <f t="shared" si="0"/>
        <v>31.87</v>
      </c>
      <c r="N34" s="28">
        <f t="shared" si="0"/>
        <v>75</v>
      </c>
      <c r="O34" s="28">
        <f t="shared" si="0"/>
        <v>0</v>
      </c>
      <c r="P34" s="28">
        <f t="shared" si="0"/>
        <v>0.61</v>
      </c>
      <c r="Q34" s="28">
        <f t="shared" si="0"/>
        <v>9.56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219.32</v>
      </c>
      <c r="C35" s="29">
        <f t="shared" si="1"/>
        <v>66.98</v>
      </c>
      <c r="D35" s="29">
        <f t="shared" si="1"/>
        <v>204.18</v>
      </c>
      <c r="E35" s="29">
        <f t="shared" si="1"/>
        <v>11.97</v>
      </c>
      <c r="F35" s="29">
        <f t="shared" si="1"/>
        <v>2.76</v>
      </c>
      <c r="G35" s="29">
        <f t="shared" si="1"/>
        <v>256.42</v>
      </c>
      <c r="H35" s="29">
        <f t="shared" si="1"/>
        <v>63.81</v>
      </c>
      <c r="I35" s="29">
        <f t="shared" si="1"/>
        <v>0</v>
      </c>
      <c r="J35" s="29">
        <f t="shared" si="1"/>
        <v>1.62</v>
      </c>
      <c r="K35" s="29">
        <f t="shared" si="1"/>
        <v>357.6</v>
      </c>
      <c r="L35" s="29">
        <f t="shared" si="1"/>
        <v>33.85</v>
      </c>
      <c r="M35" s="29">
        <f t="shared" si="1"/>
        <v>92.4</v>
      </c>
      <c r="N35" s="29">
        <f t="shared" si="1"/>
        <v>564.6</v>
      </c>
      <c r="O35" s="29">
        <f t="shared" si="1"/>
        <v>0</v>
      </c>
      <c r="P35" s="29">
        <f t="shared" si="1"/>
        <v>3.27</v>
      </c>
      <c r="Q35" s="29">
        <f t="shared" si="1"/>
        <v>10.59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72.200833333333335</v>
      </c>
      <c r="C36" s="28">
        <f t="shared" si="2"/>
        <v>59.212916666666665</v>
      </c>
      <c r="D36" s="28">
        <f t="shared" si="2"/>
        <v>87.021666666666647</v>
      </c>
      <c r="E36" s="28">
        <f t="shared" si="2"/>
        <v>7.6241666666666674</v>
      </c>
      <c r="F36" s="28">
        <f t="shared" si="2"/>
        <v>2.1937500000000005</v>
      </c>
      <c r="G36" s="28">
        <f t="shared" si="2"/>
        <v>122.63500000000001</v>
      </c>
      <c r="H36" s="28">
        <f t="shared" si="2"/>
        <v>41.734583333333326</v>
      </c>
      <c r="I36" s="28" t="e">
        <f t="shared" si="2"/>
        <v>#DIV/0!</v>
      </c>
      <c r="J36" s="28">
        <f t="shared" si="2"/>
        <v>0.84500000000000008</v>
      </c>
      <c r="K36" s="28">
        <f t="shared" si="2"/>
        <v>268.71333333333331</v>
      </c>
      <c r="L36" s="28">
        <f t="shared" si="2"/>
        <v>23.752916666666675</v>
      </c>
      <c r="M36" s="28">
        <f t="shared" si="2"/>
        <v>61.078750000000014</v>
      </c>
      <c r="N36" s="28">
        <f t="shared" si="2"/>
        <v>219.81666666666672</v>
      </c>
      <c r="O36" s="28">
        <f t="shared" si="2"/>
        <v>0</v>
      </c>
      <c r="P36" s="28">
        <f t="shared" si="2"/>
        <v>1.5679166666666668</v>
      </c>
      <c r="Q36" s="28">
        <f t="shared" si="2"/>
        <v>9.8775000000000013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64.571988335006623</v>
      </c>
      <c r="C37" s="28">
        <f t="shared" ref="C37:Q37" si="3">STDEV(C9:C32)</f>
        <v>4.2540205833056817</v>
      </c>
      <c r="D37" s="28">
        <f t="shared" si="3"/>
        <v>51.548647742282959</v>
      </c>
      <c r="E37" s="28">
        <f t="shared" si="3"/>
        <v>1.9028923446591262</v>
      </c>
      <c r="F37" s="28">
        <f t="shared" si="3"/>
        <v>0.17611292079108001</v>
      </c>
      <c r="G37" s="28">
        <f t="shared" si="3"/>
        <v>61.588226924081653</v>
      </c>
      <c r="H37" s="28">
        <f t="shared" si="3"/>
        <v>11.117740222047271</v>
      </c>
      <c r="I37" s="28" t="e">
        <f t="shared" si="3"/>
        <v>#DIV/0!</v>
      </c>
      <c r="J37" s="28">
        <f t="shared" si="3"/>
        <v>0.37153032528811908</v>
      </c>
      <c r="K37" s="28">
        <f t="shared" si="3"/>
        <v>95.781001050933142</v>
      </c>
      <c r="L37" s="28">
        <f t="shared" si="3"/>
        <v>5.3796092303265182</v>
      </c>
      <c r="M37" s="28">
        <f t="shared" si="3"/>
        <v>21.367837739788069</v>
      </c>
      <c r="N37" s="28">
        <f t="shared" si="3"/>
        <v>198.00771760687516</v>
      </c>
      <c r="O37" s="28">
        <f t="shared" si="3"/>
        <v>0</v>
      </c>
      <c r="P37" s="28">
        <f t="shared" si="3"/>
        <v>0.82236128295910438</v>
      </c>
      <c r="Q37" s="28">
        <f t="shared" si="3"/>
        <v>0.29638767210178124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156</v>
      </c>
      <c r="B9" s="52">
        <v>212.26</v>
      </c>
      <c r="C9" s="52">
        <v>55.24</v>
      </c>
      <c r="D9" s="52">
        <v>197.7</v>
      </c>
      <c r="E9" s="52">
        <v>10.9</v>
      </c>
      <c r="F9" s="52">
        <v>2.13</v>
      </c>
      <c r="G9" s="52">
        <v>159.6</v>
      </c>
      <c r="H9" s="52">
        <v>46.86</v>
      </c>
      <c r="I9" s="53" t="s">
        <v>15</v>
      </c>
      <c r="J9" s="52">
        <v>0.62</v>
      </c>
      <c r="K9" s="52">
        <v>354.08</v>
      </c>
      <c r="L9" s="52">
        <v>19.309999999999999</v>
      </c>
      <c r="M9" s="52">
        <v>68.94</v>
      </c>
      <c r="N9" s="52">
        <v>79.099999999999994</v>
      </c>
      <c r="O9" s="52">
        <v>0</v>
      </c>
      <c r="P9" s="52">
        <v>2.25</v>
      </c>
      <c r="Q9" s="52">
        <v>10.6</v>
      </c>
      <c r="R9" s="43"/>
      <c r="S9" s="43"/>
      <c r="T9" s="43"/>
      <c r="U9" s="43"/>
    </row>
    <row r="10" spans="1:21" s="11" customFormat="1" x14ac:dyDescent="0.25">
      <c r="A10" s="51" t="s">
        <v>157</v>
      </c>
      <c r="B10" s="52">
        <v>187.34</v>
      </c>
      <c r="C10" s="52">
        <v>55.26</v>
      </c>
      <c r="D10" s="52">
        <v>177.73</v>
      </c>
      <c r="E10" s="52">
        <v>9.39</v>
      </c>
      <c r="F10" s="52">
        <v>2.13</v>
      </c>
      <c r="G10" s="52">
        <v>96.77</v>
      </c>
      <c r="H10" s="52">
        <v>28.49</v>
      </c>
      <c r="I10" s="53" t="s">
        <v>15</v>
      </c>
      <c r="J10" s="52">
        <v>0.4</v>
      </c>
      <c r="K10" s="52">
        <v>332.49</v>
      </c>
      <c r="L10" s="52">
        <v>18.09</v>
      </c>
      <c r="M10" s="52">
        <v>75.790000000000006</v>
      </c>
      <c r="N10" s="52">
        <v>79.2</v>
      </c>
      <c r="O10" s="52">
        <v>0</v>
      </c>
      <c r="P10" s="52">
        <v>2.16</v>
      </c>
      <c r="Q10" s="52">
        <v>10.5</v>
      </c>
      <c r="R10" s="43"/>
      <c r="S10" s="43"/>
      <c r="T10" s="43"/>
      <c r="U10" s="43"/>
    </row>
    <row r="11" spans="1:21" s="11" customFormat="1" x14ac:dyDescent="0.25">
      <c r="A11" s="51" t="s">
        <v>158</v>
      </c>
      <c r="B11" s="52">
        <v>156.62</v>
      </c>
      <c r="C11" s="52">
        <v>53.05</v>
      </c>
      <c r="D11" s="52">
        <v>151.94</v>
      </c>
      <c r="E11" s="52">
        <v>8.58</v>
      </c>
      <c r="F11" s="52">
        <v>2.13</v>
      </c>
      <c r="G11" s="52">
        <v>92.18</v>
      </c>
      <c r="H11" s="52">
        <v>42.83</v>
      </c>
      <c r="I11" s="53" t="s">
        <v>15</v>
      </c>
      <c r="J11" s="52">
        <v>0.62</v>
      </c>
      <c r="K11" s="52">
        <v>296.52999999999997</v>
      </c>
      <c r="L11" s="52">
        <v>17.37</v>
      </c>
      <c r="M11" s="52">
        <v>81.52</v>
      </c>
      <c r="N11" s="52">
        <v>79.2</v>
      </c>
      <c r="O11" s="52">
        <v>0</v>
      </c>
      <c r="P11" s="52">
        <v>1.92</v>
      </c>
      <c r="Q11" s="52">
        <v>10.4</v>
      </c>
      <c r="R11" s="43"/>
      <c r="S11" s="43"/>
      <c r="T11" s="43"/>
      <c r="U11" s="43"/>
    </row>
    <row r="12" spans="1:21" s="11" customFormat="1" x14ac:dyDescent="0.25">
      <c r="A12" s="51" t="s">
        <v>159</v>
      </c>
      <c r="B12" s="52">
        <v>130.47</v>
      </c>
      <c r="C12" s="52">
        <v>52.46</v>
      </c>
      <c r="D12" s="52">
        <v>130.66</v>
      </c>
      <c r="E12" s="52">
        <v>7.59</v>
      </c>
      <c r="F12" s="52">
        <v>2.13</v>
      </c>
      <c r="G12" s="52">
        <v>95.83</v>
      </c>
      <c r="H12" s="52">
        <v>45.48</v>
      </c>
      <c r="I12" s="53" t="s">
        <v>15</v>
      </c>
      <c r="J12" s="52">
        <v>0.62</v>
      </c>
      <c r="K12" s="52">
        <v>333.25</v>
      </c>
      <c r="L12" s="52">
        <v>16.88</v>
      </c>
      <c r="M12" s="52">
        <v>83.7</v>
      </c>
      <c r="N12" s="52">
        <v>79.099999999999994</v>
      </c>
      <c r="O12" s="52">
        <v>0</v>
      </c>
      <c r="P12" s="52">
        <v>1.57</v>
      </c>
      <c r="Q12" s="52">
        <v>10.28</v>
      </c>
      <c r="R12" s="43"/>
      <c r="S12" s="43"/>
      <c r="T12" s="43"/>
      <c r="U12" s="43"/>
    </row>
    <row r="13" spans="1:21" s="11" customFormat="1" x14ac:dyDescent="0.25">
      <c r="A13" s="51" t="s">
        <v>160</v>
      </c>
      <c r="B13" s="52">
        <v>113.28</v>
      </c>
      <c r="C13" s="52">
        <v>49.33</v>
      </c>
      <c r="D13" s="52">
        <v>114.9</v>
      </c>
      <c r="E13" s="52">
        <v>7.56</v>
      </c>
      <c r="F13" s="52">
        <v>2.13</v>
      </c>
      <c r="G13" s="52">
        <v>74.5</v>
      </c>
      <c r="H13" s="52">
        <v>33.01</v>
      </c>
      <c r="I13" s="53" t="s">
        <v>15</v>
      </c>
      <c r="J13" s="52">
        <v>0.74</v>
      </c>
      <c r="K13" s="52">
        <v>346.46</v>
      </c>
      <c r="L13" s="52">
        <v>16.670000000000002</v>
      </c>
      <c r="M13" s="52">
        <v>82.28</v>
      </c>
      <c r="N13" s="52">
        <v>79.099999999999994</v>
      </c>
      <c r="O13" s="52">
        <v>0</v>
      </c>
      <c r="P13" s="52">
        <v>1.23</v>
      </c>
      <c r="Q13" s="52">
        <v>10.11</v>
      </c>
      <c r="R13" s="43"/>
      <c r="S13" s="43"/>
      <c r="T13" s="43"/>
      <c r="U13" s="43"/>
    </row>
    <row r="14" spans="1:21" s="11" customFormat="1" x14ac:dyDescent="0.25">
      <c r="A14" s="51" t="s">
        <v>161</v>
      </c>
      <c r="B14" s="52">
        <v>102.26</v>
      </c>
      <c r="C14" s="52">
        <v>50.08</v>
      </c>
      <c r="D14" s="52">
        <v>105.91</v>
      </c>
      <c r="E14" s="52">
        <v>7.5</v>
      </c>
      <c r="F14" s="52">
        <v>2.13</v>
      </c>
      <c r="G14" s="52">
        <v>74.56</v>
      </c>
      <c r="H14" s="52">
        <v>26.19</v>
      </c>
      <c r="I14" s="53" t="s">
        <v>15</v>
      </c>
      <c r="J14" s="52">
        <v>0.51</v>
      </c>
      <c r="K14" s="52">
        <v>336.12</v>
      </c>
      <c r="L14" s="52">
        <v>16.899999999999999</v>
      </c>
      <c r="M14" s="52">
        <v>85.21</v>
      </c>
      <c r="N14" s="52">
        <v>79.5</v>
      </c>
      <c r="O14" s="52">
        <v>0</v>
      </c>
      <c r="P14" s="52">
        <v>1.22</v>
      </c>
      <c r="Q14" s="52">
        <v>10.07</v>
      </c>
      <c r="R14" s="43"/>
      <c r="S14" s="43"/>
      <c r="T14" s="43"/>
      <c r="U14" s="43"/>
    </row>
    <row r="15" spans="1:21" s="11" customFormat="1" x14ac:dyDescent="0.25">
      <c r="A15" s="51" t="s">
        <v>162</v>
      </c>
      <c r="B15" s="52">
        <v>90.57</v>
      </c>
      <c r="C15" s="52">
        <v>50.75</v>
      </c>
      <c r="D15" s="52">
        <v>97.29</v>
      </c>
      <c r="E15" s="52">
        <v>7.18</v>
      </c>
      <c r="F15" s="52">
        <v>2.13</v>
      </c>
      <c r="G15" s="52">
        <v>77.86</v>
      </c>
      <c r="H15" s="52">
        <v>23.48</v>
      </c>
      <c r="I15" s="53" t="s">
        <v>15</v>
      </c>
      <c r="J15" s="52">
        <v>0.51</v>
      </c>
      <c r="K15" s="52">
        <v>257.48</v>
      </c>
      <c r="L15" s="52">
        <v>16.62</v>
      </c>
      <c r="M15" s="52">
        <v>83.38</v>
      </c>
      <c r="N15" s="52">
        <v>95.3</v>
      </c>
      <c r="O15" s="52">
        <v>0</v>
      </c>
      <c r="P15" s="52">
        <v>1.1000000000000001</v>
      </c>
      <c r="Q15" s="52">
        <v>9.99</v>
      </c>
      <c r="R15" s="43"/>
      <c r="S15" s="43"/>
      <c r="T15" s="43"/>
      <c r="U15" s="43"/>
    </row>
    <row r="16" spans="1:21" s="11" customFormat="1" x14ac:dyDescent="0.25">
      <c r="A16" s="51" t="s">
        <v>163</v>
      </c>
      <c r="B16" s="18" t="s">
        <v>12</v>
      </c>
      <c r="C16" s="18" t="s">
        <v>12</v>
      </c>
      <c r="D16" s="18" t="s">
        <v>12</v>
      </c>
      <c r="E16" s="52">
        <v>7.44</v>
      </c>
      <c r="F16" s="52">
        <v>2.13</v>
      </c>
      <c r="G16" s="52">
        <v>94.3</v>
      </c>
      <c r="H16" s="52">
        <v>31.96</v>
      </c>
      <c r="I16" s="53" t="s">
        <v>15</v>
      </c>
      <c r="J16" s="52">
        <v>0.95</v>
      </c>
      <c r="K16" s="52">
        <v>343.6</v>
      </c>
      <c r="L16" s="52">
        <v>20.67</v>
      </c>
      <c r="M16" s="52">
        <v>84.23</v>
      </c>
      <c r="N16" s="52">
        <v>234.5</v>
      </c>
      <c r="O16" s="52">
        <v>0</v>
      </c>
      <c r="P16" s="52">
        <v>1.24</v>
      </c>
      <c r="Q16" s="52">
        <v>10.029999999999999</v>
      </c>
      <c r="R16" s="43"/>
      <c r="S16" s="43"/>
      <c r="T16" s="43"/>
      <c r="U16" s="43"/>
    </row>
    <row r="17" spans="1:21" s="11" customFormat="1" x14ac:dyDescent="0.25">
      <c r="A17" s="51" t="s">
        <v>164</v>
      </c>
      <c r="B17" s="18" t="s">
        <v>12</v>
      </c>
      <c r="C17" s="18" t="s">
        <v>12</v>
      </c>
      <c r="D17" s="18" t="s">
        <v>12</v>
      </c>
      <c r="E17" s="52">
        <v>7.22</v>
      </c>
      <c r="F17" s="52">
        <v>2.13</v>
      </c>
      <c r="G17" s="52">
        <v>182.84</v>
      </c>
      <c r="H17" s="52">
        <v>38.549999999999997</v>
      </c>
      <c r="I17" s="53" t="s">
        <v>15</v>
      </c>
      <c r="J17" s="52">
        <v>1.21</v>
      </c>
      <c r="K17" s="52">
        <v>344.54</v>
      </c>
      <c r="L17" s="52">
        <v>27.58</v>
      </c>
      <c r="M17" s="52">
        <v>56.65</v>
      </c>
      <c r="N17" s="52">
        <v>380.8</v>
      </c>
      <c r="O17" s="52">
        <v>0</v>
      </c>
      <c r="P17" s="52">
        <v>1.54</v>
      </c>
      <c r="Q17" s="52">
        <v>10.01</v>
      </c>
      <c r="R17" s="43"/>
      <c r="S17" s="43"/>
      <c r="T17" s="43"/>
      <c r="U17" s="43"/>
    </row>
    <row r="18" spans="1:21" s="11" customFormat="1" x14ac:dyDescent="0.25">
      <c r="A18" s="51" t="s">
        <v>165</v>
      </c>
      <c r="B18" s="52">
        <v>83.61</v>
      </c>
      <c r="C18" s="52">
        <v>65.38</v>
      </c>
      <c r="D18" s="52">
        <v>96.11</v>
      </c>
      <c r="E18" s="52">
        <v>7.5</v>
      </c>
      <c r="F18" s="52">
        <v>2.13</v>
      </c>
      <c r="G18" s="52">
        <v>271.63</v>
      </c>
      <c r="H18" s="52">
        <v>52.03</v>
      </c>
      <c r="I18" s="53" t="s">
        <v>15</v>
      </c>
      <c r="J18" s="52">
        <v>1.22</v>
      </c>
      <c r="K18" s="52">
        <v>351.89</v>
      </c>
      <c r="L18" s="52">
        <v>31.09</v>
      </c>
      <c r="M18" s="52">
        <v>37.590000000000003</v>
      </c>
      <c r="N18" s="52">
        <v>525.1</v>
      </c>
      <c r="O18" s="52">
        <v>0</v>
      </c>
      <c r="P18" s="52">
        <v>1.37</v>
      </c>
      <c r="Q18" s="52">
        <v>9.9700000000000006</v>
      </c>
      <c r="R18" s="43"/>
      <c r="S18" s="43"/>
      <c r="T18" s="43"/>
      <c r="U18" s="43"/>
    </row>
    <row r="19" spans="1:21" s="11" customFormat="1" x14ac:dyDescent="0.25">
      <c r="A19" s="51" t="s">
        <v>166</v>
      </c>
      <c r="B19" s="52">
        <v>66.89</v>
      </c>
      <c r="C19" s="52">
        <v>91.68</v>
      </c>
      <c r="D19" s="52">
        <v>87.15</v>
      </c>
      <c r="E19" s="52">
        <v>17.11</v>
      </c>
      <c r="F19" s="52">
        <v>29.9</v>
      </c>
      <c r="G19" s="52">
        <v>155.88999999999999</v>
      </c>
      <c r="H19" s="52">
        <v>58.97</v>
      </c>
      <c r="I19" s="53" t="s">
        <v>15</v>
      </c>
      <c r="J19" s="52">
        <v>0.98</v>
      </c>
      <c r="K19" s="52">
        <v>340.72</v>
      </c>
      <c r="L19" s="52">
        <v>32.299999999999997</v>
      </c>
      <c r="M19" s="52">
        <v>30.77</v>
      </c>
      <c r="N19" s="52">
        <v>575.9</v>
      </c>
      <c r="O19" s="52">
        <v>0</v>
      </c>
      <c r="P19" s="52">
        <v>1.26</v>
      </c>
      <c r="Q19" s="52">
        <v>10.06</v>
      </c>
      <c r="R19" s="43"/>
      <c r="S19" s="43"/>
      <c r="T19" s="43"/>
      <c r="U19" s="43"/>
    </row>
    <row r="20" spans="1:21" s="11" customFormat="1" x14ac:dyDescent="0.25">
      <c r="A20" s="51" t="s">
        <v>167</v>
      </c>
      <c r="B20" s="52">
        <v>2.42</v>
      </c>
      <c r="C20" s="52">
        <v>87.01</v>
      </c>
      <c r="D20" s="52">
        <v>46.03</v>
      </c>
      <c r="E20" s="52">
        <v>12.51</v>
      </c>
      <c r="F20" s="52">
        <v>15.26</v>
      </c>
      <c r="G20" s="18" t="s">
        <v>12</v>
      </c>
      <c r="H20" s="5" t="s">
        <v>14</v>
      </c>
      <c r="I20" s="53" t="s">
        <v>15</v>
      </c>
      <c r="J20" s="52">
        <v>0.75</v>
      </c>
      <c r="K20" s="52">
        <v>299.77999999999997</v>
      </c>
      <c r="L20" s="52">
        <v>32.46</v>
      </c>
      <c r="M20" s="52">
        <v>32.15</v>
      </c>
      <c r="N20" s="52">
        <v>583.70000000000005</v>
      </c>
      <c r="O20" s="52">
        <v>0</v>
      </c>
      <c r="P20" s="52">
        <v>0.62</v>
      </c>
      <c r="Q20" s="52">
        <v>9.73</v>
      </c>
      <c r="R20" s="43"/>
      <c r="S20" s="43"/>
      <c r="T20" s="43"/>
      <c r="U20" s="43"/>
    </row>
    <row r="21" spans="1:21" s="11" customFormat="1" x14ac:dyDescent="0.25">
      <c r="A21" s="51" t="s">
        <v>168</v>
      </c>
      <c r="B21" s="52">
        <v>2.0099999999999998</v>
      </c>
      <c r="C21" s="52">
        <v>68.83</v>
      </c>
      <c r="D21" s="52">
        <v>36.15</v>
      </c>
      <c r="E21" s="18" t="s">
        <v>12</v>
      </c>
      <c r="F21" s="52">
        <v>18.329999999999998</v>
      </c>
      <c r="G21" s="18" t="s">
        <v>12</v>
      </c>
      <c r="H21" s="5" t="s">
        <v>14</v>
      </c>
      <c r="I21" s="53" t="s">
        <v>15</v>
      </c>
      <c r="J21" s="52">
        <v>1.26</v>
      </c>
      <c r="K21" s="52">
        <v>214.01</v>
      </c>
      <c r="L21" s="52">
        <v>31.2</v>
      </c>
      <c r="M21" s="52">
        <v>32.299999999999997</v>
      </c>
      <c r="N21" s="52">
        <v>568.79999999999995</v>
      </c>
      <c r="O21" s="52">
        <v>0</v>
      </c>
      <c r="P21" s="52">
        <v>0.56999999999999995</v>
      </c>
      <c r="Q21" s="52">
        <v>9.59</v>
      </c>
      <c r="R21" s="43"/>
      <c r="S21" s="43"/>
      <c r="T21" s="43"/>
      <c r="U21" s="43"/>
    </row>
    <row r="22" spans="1:21" s="11" customFormat="1" x14ac:dyDescent="0.25">
      <c r="A22" s="51" t="s">
        <v>169</v>
      </c>
      <c r="B22" s="52">
        <v>4.01</v>
      </c>
      <c r="C22" s="52">
        <v>59.04</v>
      </c>
      <c r="D22" s="52">
        <v>31.1</v>
      </c>
      <c r="E22" s="52">
        <v>7.86</v>
      </c>
      <c r="F22" s="52">
        <v>15.76</v>
      </c>
      <c r="G22" s="18" t="s">
        <v>12</v>
      </c>
      <c r="H22" s="5" t="s">
        <v>14</v>
      </c>
      <c r="I22" s="53" t="s">
        <v>15</v>
      </c>
      <c r="J22" s="52">
        <v>0.87</v>
      </c>
      <c r="K22" s="52">
        <v>295.14999999999998</v>
      </c>
      <c r="L22" s="52">
        <v>31.86</v>
      </c>
      <c r="M22" s="52">
        <v>31.32</v>
      </c>
      <c r="N22" s="52">
        <v>513</v>
      </c>
      <c r="O22" s="52">
        <v>0</v>
      </c>
      <c r="P22" s="52">
        <v>0.61</v>
      </c>
      <c r="Q22" s="52">
        <v>9.6</v>
      </c>
      <c r="R22" s="43"/>
      <c r="S22" s="43"/>
      <c r="T22" s="43"/>
      <c r="U22" s="43"/>
    </row>
    <row r="23" spans="1:21" s="11" customFormat="1" x14ac:dyDescent="0.25">
      <c r="A23" s="51" t="s">
        <v>170</v>
      </c>
      <c r="B23" s="52">
        <v>3.05</v>
      </c>
      <c r="C23" s="52">
        <v>53.89</v>
      </c>
      <c r="D23" s="52">
        <v>29.15</v>
      </c>
      <c r="E23" s="52">
        <v>7.67</v>
      </c>
      <c r="F23" s="52">
        <v>11.88</v>
      </c>
      <c r="G23" s="52">
        <v>8.39</v>
      </c>
      <c r="H23" s="52">
        <v>4.0999999999999996</v>
      </c>
      <c r="I23" s="53" t="s">
        <v>15</v>
      </c>
      <c r="J23" s="52">
        <v>0.64</v>
      </c>
      <c r="K23" s="52">
        <v>290.26</v>
      </c>
      <c r="L23" s="52">
        <v>31.16</v>
      </c>
      <c r="M23" s="52">
        <v>26.63</v>
      </c>
      <c r="N23" s="52">
        <v>471.9</v>
      </c>
      <c r="O23" s="52">
        <v>0</v>
      </c>
      <c r="P23" s="52">
        <v>0.51</v>
      </c>
      <c r="Q23" s="52">
        <v>9.59</v>
      </c>
      <c r="R23" s="43"/>
      <c r="S23" s="43"/>
      <c r="T23" s="43"/>
      <c r="U23" s="43"/>
    </row>
    <row r="24" spans="1:21" s="11" customFormat="1" x14ac:dyDescent="0.25">
      <c r="A24" s="51" t="s">
        <v>171</v>
      </c>
      <c r="B24" s="52">
        <v>3.07</v>
      </c>
      <c r="C24" s="52">
        <v>57.66</v>
      </c>
      <c r="D24" s="52">
        <v>31.04</v>
      </c>
      <c r="E24" s="52">
        <v>7.76</v>
      </c>
      <c r="F24" s="52">
        <v>7.44</v>
      </c>
      <c r="G24" s="52">
        <v>75.55</v>
      </c>
      <c r="H24" s="52">
        <v>36.92</v>
      </c>
      <c r="I24" s="53" t="s">
        <v>15</v>
      </c>
      <c r="J24" s="52">
        <v>0.76</v>
      </c>
      <c r="K24" s="52">
        <v>308.23</v>
      </c>
      <c r="L24" s="52">
        <v>29.16</v>
      </c>
      <c r="M24" s="52">
        <v>28.29</v>
      </c>
      <c r="N24" s="52">
        <v>202.2</v>
      </c>
      <c r="O24" s="52">
        <v>0</v>
      </c>
      <c r="P24" s="52">
        <v>0.56000000000000005</v>
      </c>
      <c r="Q24" s="52">
        <v>9.6</v>
      </c>
      <c r="R24" s="43"/>
      <c r="S24" s="43"/>
      <c r="T24" s="43"/>
      <c r="U24" s="43"/>
    </row>
    <row r="25" spans="1:21" s="11" customFormat="1" x14ac:dyDescent="0.25">
      <c r="A25" s="51" t="s">
        <v>172</v>
      </c>
      <c r="B25" s="52">
        <v>3.15</v>
      </c>
      <c r="C25" s="52">
        <v>70.09</v>
      </c>
      <c r="D25" s="52">
        <v>37.76</v>
      </c>
      <c r="E25" s="52">
        <v>8.9</v>
      </c>
      <c r="F25" s="52">
        <v>11.64</v>
      </c>
      <c r="G25" s="52">
        <v>63.7</v>
      </c>
      <c r="H25" s="52">
        <v>28.17</v>
      </c>
      <c r="I25" s="53" t="s">
        <v>15</v>
      </c>
      <c r="J25" s="52">
        <v>0.69</v>
      </c>
      <c r="K25" s="52">
        <v>305.27999999999997</v>
      </c>
      <c r="L25" s="52">
        <v>28.82</v>
      </c>
      <c r="M25" s="52">
        <v>29.1</v>
      </c>
      <c r="N25" s="52">
        <v>134.30000000000001</v>
      </c>
      <c r="O25" s="52">
        <v>0</v>
      </c>
      <c r="P25" s="52">
        <v>0.59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173</v>
      </c>
      <c r="B26" s="52">
        <v>5.63</v>
      </c>
      <c r="C26" s="52">
        <v>71.28</v>
      </c>
      <c r="D26" s="52">
        <v>40.340000000000003</v>
      </c>
      <c r="E26" s="52">
        <v>7.68</v>
      </c>
      <c r="F26" s="52">
        <v>4.01</v>
      </c>
      <c r="G26" s="52">
        <v>44.07</v>
      </c>
      <c r="H26" s="52">
        <v>20.57</v>
      </c>
      <c r="I26" s="53" t="s">
        <v>15</v>
      </c>
      <c r="J26" s="52">
        <v>0.56000000000000005</v>
      </c>
      <c r="K26" s="52">
        <v>286.3</v>
      </c>
      <c r="L26" s="52">
        <v>27.73</v>
      </c>
      <c r="M26" s="52">
        <v>32.869999999999997</v>
      </c>
      <c r="N26" s="52">
        <v>101.9</v>
      </c>
      <c r="O26" s="52">
        <v>0</v>
      </c>
      <c r="P26" s="52">
        <v>0.65</v>
      </c>
      <c r="Q26" s="52">
        <v>9.57</v>
      </c>
      <c r="R26" s="43"/>
      <c r="S26" s="43"/>
      <c r="T26" s="43"/>
      <c r="U26" s="43"/>
    </row>
    <row r="27" spans="1:21" s="11" customFormat="1" x14ac:dyDescent="0.25">
      <c r="A27" s="51" t="s">
        <v>174</v>
      </c>
      <c r="B27" s="52">
        <v>15.89</v>
      </c>
      <c r="C27" s="52">
        <v>70.180000000000007</v>
      </c>
      <c r="D27" s="52">
        <v>48.04</v>
      </c>
      <c r="E27" s="52">
        <v>7</v>
      </c>
      <c r="F27" s="52">
        <v>2.13</v>
      </c>
      <c r="G27" s="52">
        <v>59.12</v>
      </c>
      <c r="H27" s="52">
        <v>21</v>
      </c>
      <c r="I27" s="53" t="s">
        <v>15</v>
      </c>
      <c r="J27" s="52">
        <v>0.57999999999999996</v>
      </c>
      <c r="K27" s="52">
        <v>332.72</v>
      </c>
      <c r="L27" s="52">
        <v>25.12</v>
      </c>
      <c r="M27" s="52">
        <v>42.29</v>
      </c>
      <c r="N27" s="52">
        <v>79.3</v>
      </c>
      <c r="O27" s="52">
        <v>0</v>
      </c>
      <c r="P27" s="52">
        <v>1.19</v>
      </c>
      <c r="Q27" s="52">
        <v>9.6</v>
      </c>
      <c r="R27" s="43"/>
      <c r="S27" s="43"/>
      <c r="T27" s="43"/>
      <c r="U27" s="43"/>
    </row>
    <row r="28" spans="1:21" s="11" customFormat="1" x14ac:dyDescent="0.25">
      <c r="A28" s="51" t="s">
        <v>175</v>
      </c>
      <c r="B28" s="52">
        <v>27.47</v>
      </c>
      <c r="C28" s="52">
        <v>69.760000000000005</v>
      </c>
      <c r="D28" s="52">
        <v>56.92</v>
      </c>
      <c r="E28" s="52">
        <v>7.23</v>
      </c>
      <c r="F28" s="52">
        <v>2.13</v>
      </c>
      <c r="G28" s="52">
        <v>66.290000000000006</v>
      </c>
      <c r="H28" s="52">
        <v>23.26</v>
      </c>
      <c r="I28" s="53" t="s">
        <v>15</v>
      </c>
      <c r="J28" s="52">
        <v>0.57999999999999996</v>
      </c>
      <c r="K28" s="52">
        <v>308.35000000000002</v>
      </c>
      <c r="L28" s="52">
        <v>23.19</v>
      </c>
      <c r="M28" s="52">
        <v>45.32</v>
      </c>
      <c r="N28" s="52">
        <v>78.900000000000006</v>
      </c>
      <c r="O28" s="52">
        <v>0</v>
      </c>
      <c r="P28" s="52">
        <v>1.35</v>
      </c>
      <c r="Q28" s="52">
        <v>9.65</v>
      </c>
      <c r="R28" s="43"/>
      <c r="S28" s="43"/>
      <c r="T28" s="43"/>
      <c r="U28" s="43"/>
    </row>
    <row r="29" spans="1:21" s="11" customFormat="1" x14ac:dyDescent="0.25">
      <c r="A29" s="51" t="s">
        <v>176</v>
      </c>
      <c r="B29" s="52">
        <v>39.700000000000003</v>
      </c>
      <c r="C29" s="52">
        <v>65.72</v>
      </c>
      <c r="D29" s="52">
        <v>64.02</v>
      </c>
      <c r="E29" s="52">
        <v>7.26</v>
      </c>
      <c r="F29" s="52">
        <v>2.13</v>
      </c>
      <c r="G29" s="52">
        <v>75.510000000000005</v>
      </c>
      <c r="H29" s="52">
        <v>15.12</v>
      </c>
      <c r="I29" s="53" t="s">
        <v>15</v>
      </c>
      <c r="J29" s="52">
        <v>0.55000000000000004</v>
      </c>
      <c r="K29" s="52">
        <v>326.33999999999997</v>
      </c>
      <c r="L29" s="52">
        <v>22.18</v>
      </c>
      <c r="M29" s="52">
        <v>54.82</v>
      </c>
      <c r="N29" s="52">
        <v>78.900000000000006</v>
      </c>
      <c r="O29" s="52">
        <v>0</v>
      </c>
      <c r="P29" s="52">
        <v>1.42</v>
      </c>
      <c r="Q29" s="52">
        <v>9.6999999999999993</v>
      </c>
      <c r="R29" s="43"/>
      <c r="S29" s="43"/>
      <c r="T29" s="43"/>
      <c r="U29" s="43"/>
    </row>
    <row r="30" spans="1:21" s="11" customFormat="1" x14ac:dyDescent="0.25">
      <c r="A30" s="51" t="s">
        <v>177</v>
      </c>
      <c r="B30" s="52">
        <v>59.73</v>
      </c>
      <c r="C30" s="52">
        <v>64.16</v>
      </c>
      <c r="D30" s="52">
        <v>80.040000000000006</v>
      </c>
      <c r="E30" s="52">
        <v>7.88</v>
      </c>
      <c r="F30" s="52">
        <v>2.17</v>
      </c>
      <c r="G30" s="52">
        <v>98.84</v>
      </c>
      <c r="H30" s="52">
        <v>21.36</v>
      </c>
      <c r="I30" s="53" t="s">
        <v>15</v>
      </c>
      <c r="J30" s="52">
        <v>0.69</v>
      </c>
      <c r="K30" s="52">
        <v>314.35000000000002</v>
      </c>
      <c r="L30" s="52">
        <v>20.98</v>
      </c>
      <c r="M30" s="52">
        <v>61.6</v>
      </c>
      <c r="N30" s="52">
        <v>78.8</v>
      </c>
      <c r="O30" s="52">
        <v>0</v>
      </c>
      <c r="P30" s="52">
        <v>1.7</v>
      </c>
      <c r="Q30" s="52">
        <v>9.74</v>
      </c>
      <c r="R30" s="43"/>
      <c r="S30" s="43"/>
      <c r="T30" s="43"/>
      <c r="U30" s="43"/>
    </row>
    <row r="31" spans="1:21" s="11" customFormat="1" x14ac:dyDescent="0.25">
      <c r="A31" s="51" t="s">
        <v>178</v>
      </c>
      <c r="B31" s="52">
        <v>59.98</v>
      </c>
      <c r="C31" s="52">
        <v>64.31</v>
      </c>
      <c r="D31" s="52">
        <v>80.319999999999993</v>
      </c>
      <c r="E31" s="52">
        <v>7.9</v>
      </c>
      <c r="F31" s="52">
        <v>2.13</v>
      </c>
      <c r="G31" s="52">
        <v>116.49</v>
      </c>
      <c r="H31" s="52">
        <v>87</v>
      </c>
      <c r="I31" s="53" t="s">
        <v>15</v>
      </c>
      <c r="J31" s="52">
        <v>0.68</v>
      </c>
      <c r="K31" s="52">
        <v>262.58</v>
      </c>
      <c r="L31" s="52">
        <v>21.01</v>
      </c>
      <c r="M31" s="52">
        <v>58.02</v>
      </c>
      <c r="N31" s="52">
        <v>78.900000000000006</v>
      </c>
      <c r="O31" s="52">
        <v>0</v>
      </c>
      <c r="P31" s="52">
        <v>1.1499999999999999</v>
      </c>
      <c r="Q31" s="52">
        <v>9.83</v>
      </c>
      <c r="R31" s="43"/>
      <c r="S31" s="43"/>
      <c r="T31" s="43"/>
      <c r="U31" s="43"/>
    </row>
    <row r="32" spans="1:21" s="11" customFormat="1" x14ac:dyDescent="0.25">
      <c r="A32" s="51" t="s">
        <v>179</v>
      </c>
      <c r="B32" s="52">
        <v>52.26</v>
      </c>
      <c r="C32" s="52">
        <v>59.78</v>
      </c>
      <c r="D32" s="52">
        <v>71.760000000000005</v>
      </c>
      <c r="E32" s="52">
        <v>6.84</v>
      </c>
      <c r="F32" s="52">
        <v>2.13</v>
      </c>
      <c r="G32" s="52">
        <v>90.57</v>
      </c>
      <c r="H32" s="52">
        <v>12.09</v>
      </c>
      <c r="I32" s="53" t="s">
        <v>15</v>
      </c>
      <c r="J32" s="52">
        <v>0.76</v>
      </c>
      <c r="K32" s="52">
        <v>323.95</v>
      </c>
      <c r="L32" s="52">
        <v>19.73</v>
      </c>
      <c r="M32" s="52">
        <v>65.69</v>
      </c>
      <c r="N32" s="52">
        <v>78.5</v>
      </c>
      <c r="O32" s="52">
        <v>0</v>
      </c>
      <c r="P32" s="52">
        <v>1.0900000000000001</v>
      </c>
      <c r="Q32" s="52">
        <v>9.83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2.0099999999999998</v>
      </c>
      <c r="C34" s="28">
        <f t="shared" si="0"/>
        <v>49.33</v>
      </c>
      <c r="D34" s="28">
        <f t="shared" si="0"/>
        <v>29.15</v>
      </c>
      <c r="E34" s="28">
        <f t="shared" si="0"/>
        <v>6.84</v>
      </c>
      <c r="F34" s="28">
        <f t="shared" si="0"/>
        <v>2.13</v>
      </c>
      <c r="G34" s="28">
        <f t="shared" si="0"/>
        <v>8.39</v>
      </c>
      <c r="H34" s="28">
        <f t="shared" si="0"/>
        <v>4.0999999999999996</v>
      </c>
      <c r="I34" s="28">
        <f t="shared" si="0"/>
        <v>0</v>
      </c>
      <c r="J34" s="28">
        <f t="shared" si="0"/>
        <v>0.4</v>
      </c>
      <c r="K34" s="28">
        <f t="shared" si="0"/>
        <v>214.01</v>
      </c>
      <c r="L34" s="28">
        <f t="shared" si="0"/>
        <v>16.62</v>
      </c>
      <c r="M34" s="28">
        <f t="shared" si="0"/>
        <v>26.63</v>
      </c>
      <c r="N34" s="28">
        <f t="shared" si="0"/>
        <v>78.5</v>
      </c>
      <c r="O34" s="28">
        <f t="shared" si="0"/>
        <v>0</v>
      </c>
      <c r="P34" s="28">
        <f t="shared" si="0"/>
        <v>0.51</v>
      </c>
      <c r="Q34" s="28">
        <f t="shared" si="0"/>
        <v>9.57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212.26</v>
      </c>
      <c r="C35" s="29">
        <f t="shared" si="1"/>
        <v>91.68</v>
      </c>
      <c r="D35" s="29">
        <f t="shared" si="1"/>
        <v>197.7</v>
      </c>
      <c r="E35" s="29">
        <f t="shared" si="1"/>
        <v>17.11</v>
      </c>
      <c r="F35" s="29">
        <f t="shared" si="1"/>
        <v>29.9</v>
      </c>
      <c r="G35" s="29">
        <f t="shared" si="1"/>
        <v>271.63</v>
      </c>
      <c r="H35" s="29">
        <f t="shared" si="1"/>
        <v>87</v>
      </c>
      <c r="I35" s="29">
        <f t="shared" si="1"/>
        <v>0</v>
      </c>
      <c r="J35" s="29">
        <f t="shared" si="1"/>
        <v>1.26</v>
      </c>
      <c r="K35" s="29">
        <f t="shared" si="1"/>
        <v>354.08</v>
      </c>
      <c r="L35" s="29">
        <f t="shared" si="1"/>
        <v>32.46</v>
      </c>
      <c r="M35" s="29">
        <f t="shared" si="1"/>
        <v>85.21</v>
      </c>
      <c r="N35" s="29">
        <f t="shared" si="1"/>
        <v>583.70000000000005</v>
      </c>
      <c r="O35" s="29">
        <f t="shared" si="1"/>
        <v>0</v>
      </c>
      <c r="P35" s="29">
        <f t="shared" si="1"/>
        <v>2.25</v>
      </c>
      <c r="Q35" s="29">
        <f t="shared" si="1"/>
        <v>10.6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64.621363636363654</v>
      </c>
      <c r="C36" s="28">
        <f t="shared" si="2"/>
        <v>62.951818181818183</v>
      </c>
      <c r="D36" s="28">
        <f t="shared" si="2"/>
        <v>82.36636363636363</v>
      </c>
      <c r="E36" s="28">
        <f t="shared" si="2"/>
        <v>8.4547826086956519</v>
      </c>
      <c r="F36" s="28">
        <f t="shared" si="2"/>
        <v>6.1808333333333314</v>
      </c>
      <c r="G36" s="28">
        <f t="shared" si="2"/>
        <v>98.785238095238086</v>
      </c>
      <c r="H36" s="28">
        <f t="shared" si="2"/>
        <v>33.211428571428577</v>
      </c>
      <c r="I36" s="28" t="e">
        <f t="shared" si="2"/>
        <v>#DIV/0!</v>
      </c>
      <c r="J36" s="28">
        <f t="shared" si="2"/>
        <v>0.73958333333333337</v>
      </c>
      <c r="K36" s="28">
        <f t="shared" si="2"/>
        <v>312.68583333333339</v>
      </c>
      <c r="L36" s="28">
        <f t="shared" si="2"/>
        <v>24.08666666666667</v>
      </c>
      <c r="M36" s="28">
        <f t="shared" si="2"/>
        <v>54.602499999999992</v>
      </c>
      <c r="N36" s="28">
        <f t="shared" si="2"/>
        <v>222.32916666666662</v>
      </c>
      <c r="O36" s="28">
        <f t="shared" si="2"/>
        <v>0</v>
      </c>
      <c r="P36" s="28">
        <f t="shared" si="2"/>
        <v>1.2029166666666669</v>
      </c>
      <c r="Q36" s="28">
        <f t="shared" si="2"/>
        <v>9.9020833333333336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63.753900668373987</v>
      </c>
      <c r="C37" s="28">
        <f t="shared" ref="C37:Q37" si="3">STDEV(C9:C32)</f>
        <v>11.205432626468301</v>
      </c>
      <c r="D37" s="28">
        <f t="shared" si="3"/>
        <v>48.406712791616449</v>
      </c>
      <c r="E37" s="28">
        <f t="shared" si="3"/>
        <v>2.2993949195489258</v>
      </c>
      <c r="F37" s="28">
        <f t="shared" si="3"/>
        <v>7.2687520109783277</v>
      </c>
      <c r="G37" s="28">
        <f t="shared" si="3"/>
        <v>55.713020077810164</v>
      </c>
      <c r="H37" s="28">
        <f t="shared" si="3"/>
        <v>18.36442574264554</v>
      </c>
      <c r="I37" s="28" t="e">
        <f t="shared" si="3"/>
        <v>#DIV/0!</v>
      </c>
      <c r="J37" s="28">
        <f t="shared" si="3"/>
        <v>0.23257498401248114</v>
      </c>
      <c r="K37" s="28">
        <f t="shared" si="3"/>
        <v>33.976998218956503</v>
      </c>
      <c r="L37" s="28">
        <f t="shared" si="3"/>
        <v>5.8785014850848611</v>
      </c>
      <c r="M37" s="28">
        <f t="shared" si="3"/>
        <v>21.927308217201983</v>
      </c>
      <c r="N37" s="28">
        <f t="shared" si="3"/>
        <v>200.49070775207403</v>
      </c>
      <c r="O37" s="28">
        <f t="shared" si="3"/>
        <v>0</v>
      </c>
      <c r="P37" s="28">
        <f t="shared" si="3"/>
        <v>0.50292603974071015</v>
      </c>
      <c r="Q37" s="28">
        <f t="shared" si="3"/>
        <v>0.31017497399492699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</f>
        <v>24</v>
      </c>
      <c r="C38" s="32">
        <f t="shared" ref="C38:D38" si="4">COUNT(C9:C32)+2</f>
        <v>24</v>
      </c>
      <c r="D38" s="32">
        <f t="shared" si="4"/>
        <v>24</v>
      </c>
      <c r="E38" s="32">
        <f>COUNT(E9:E32)+1</f>
        <v>24</v>
      </c>
      <c r="F38" s="32">
        <f t="shared" ref="B38:Q38" si="5">COUNT(F9:F32)</f>
        <v>24</v>
      </c>
      <c r="G38" s="32">
        <f>COUNT(G9:G32)+3</f>
        <v>24</v>
      </c>
      <c r="H38" s="32">
        <f>COUNT(H9:H32)+3</f>
        <v>24</v>
      </c>
      <c r="I38" s="32">
        <f t="shared" si="5"/>
        <v>0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&lt;90%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LESS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180</v>
      </c>
      <c r="B9" s="52">
        <v>49.32</v>
      </c>
      <c r="C9" s="52">
        <v>56.8</v>
      </c>
      <c r="D9" s="52">
        <v>67.849999999999994</v>
      </c>
      <c r="E9" s="52">
        <v>4.87</v>
      </c>
      <c r="F9" s="52">
        <v>2.13</v>
      </c>
      <c r="G9" s="52">
        <v>85.6</v>
      </c>
      <c r="H9" s="52">
        <v>20.76</v>
      </c>
      <c r="I9" s="53" t="s">
        <v>15</v>
      </c>
      <c r="J9" s="52">
        <v>1.55</v>
      </c>
      <c r="K9" s="52">
        <v>354.84</v>
      </c>
      <c r="L9" s="52">
        <v>19.47</v>
      </c>
      <c r="M9" s="52">
        <v>62.99</v>
      </c>
      <c r="N9" s="52">
        <v>78.400000000000006</v>
      </c>
      <c r="O9" s="52">
        <v>0</v>
      </c>
      <c r="P9" s="52">
        <v>0.94</v>
      </c>
      <c r="Q9" s="52">
        <v>9.82</v>
      </c>
      <c r="R9" s="43"/>
      <c r="S9" s="43"/>
      <c r="T9" s="43"/>
      <c r="U9" s="43"/>
    </row>
    <row r="10" spans="1:21" s="11" customFormat="1" x14ac:dyDescent="0.25">
      <c r="A10" s="51" t="s">
        <v>181</v>
      </c>
      <c r="B10" s="52">
        <v>42.94</v>
      </c>
      <c r="C10" s="52">
        <v>55.04</v>
      </c>
      <c r="D10" s="52">
        <v>61.81</v>
      </c>
      <c r="E10" s="52">
        <v>5.27</v>
      </c>
      <c r="F10" s="52">
        <v>2.13</v>
      </c>
      <c r="G10" s="52">
        <v>75.790000000000006</v>
      </c>
      <c r="H10" s="52">
        <v>20.56</v>
      </c>
      <c r="I10" s="53" t="s">
        <v>15</v>
      </c>
      <c r="J10" s="52">
        <v>1.0900000000000001</v>
      </c>
      <c r="K10" s="52">
        <v>355.84</v>
      </c>
      <c r="L10" s="52">
        <v>19.48</v>
      </c>
      <c r="M10" s="52">
        <v>64.22</v>
      </c>
      <c r="N10" s="52">
        <v>78.400000000000006</v>
      </c>
      <c r="O10" s="52">
        <v>0</v>
      </c>
      <c r="P10" s="52">
        <v>0.8</v>
      </c>
      <c r="Q10" s="52">
        <v>9.75</v>
      </c>
      <c r="R10" s="43"/>
      <c r="S10" s="43"/>
      <c r="T10" s="43"/>
      <c r="U10" s="43"/>
    </row>
    <row r="11" spans="1:21" s="11" customFormat="1" x14ac:dyDescent="0.25">
      <c r="A11" s="51" t="s">
        <v>182</v>
      </c>
      <c r="B11" s="52">
        <v>35.340000000000003</v>
      </c>
      <c r="C11" s="52">
        <v>53.66</v>
      </c>
      <c r="D11" s="52">
        <v>53.76</v>
      </c>
      <c r="E11" s="52">
        <v>5</v>
      </c>
      <c r="F11" s="52">
        <v>2.13</v>
      </c>
      <c r="G11" s="52">
        <v>78.53</v>
      </c>
      <c r="H11" s="52">
        <v>39.299999999999997</v>
      </c>
      <c r="I11" s="53" t="s">
        <v>15</v>
      </c>
      <c r="J11" s="52">
        <v>1.4</v>
      </c>
      <c r="K11" s="52">
        <v>355.59</v>
      </c>
      <c r="L11" s="52">
        <v>19.29</v>
      </c>
      <c r="M11" s="52">
        <v>65.7</v>
      </c>
      <c r="N11" s="52">
        <v>78.599999999999994</v>
      </c>
      <c r="O11" s="52">
        <v>0</v>
      </c>
      <c r="P11" s="52">
        <v>0.83</v>
      </c>
      <c r="Q11" s="52">
        <v>9.74</v>
      </c>
      <c r="R11" s="43"/>
      <c r="S11" s="43"/>
      <c r="T11" s="43"/>
      <c r="U11" s="43"/>
    </row>
    <row r="12" spans="1:21" s="11" customFormat="1" x14ac:dyDescent="0.25">
      <c r="A12" s="51" t="s">
        <v>183</v>
      </c>
      <c r="B12" s="52">
        <v>24.43</v>
      </c>
      <c r="C12" s="52">
        <v>55.56</v>
      </c>
      <c r="D12" s="52">
        <v>46.72</v>
      </c>
      <c r="E12" s="52">
        <v>5.17</v>
      </c>
      <c r="F12" s="52">
        <v>2.13</v>
      </c>
      <c r="G12" s="52">
        <v>63.47</v>
      </c>
      <c r="H12" s="52">
        <v>6.33</v>
      </c>
      <c r="I12" s="53" t="s">
        <v>15</v>
      </c>
      <c r="J12" s="52">
        <v>1.82</v>
      </c>
      <c r="K12" s="52">
        <v>354.13</v>
      </c>
      <c r="L12" s="52">
        <v>18.809999999999999</v>
      </c>
      <c r="M12" s="52">
        <v>68.73</v>
      </c>
      <c r="N12" s="52">
        <v>78.8</v>
      </c>
      <c r="O12" s="52">
        <v>0</v>
      </c>
      <c r="P12" s="52">
        <v>0.73</v>
      </c>
      <c r="Q12" s="52">
        <v>9.7100000000000009</v>
      </c>
      <c r="R12" s="43"/>
      <c r="S12" s="43"/>
      <c r="T12" s="43"/>
      <c r="U12" s="43"/>
    </row>
    <row r="13" spans="1:21" s="11" customFormat="1" x14ac:dyDescent="0.25">
      <c r="A13" s="51" t="s">
        <v>184</v>
      </c>
      <c r="B13" s="52">
        <v>14.93</v>
      </c>
      <c r="C13" s="52">
        <v>58.21</v>
      </c>
      <c r="D13" s="52">
        <v>40.340000000000003</v>
      </c>
      <c r="E13" s="52">
        <v>5.64</v>
      </c>
      <c r="F13" s="52">
        <v>2.13</v>
      </c>
      <c r="G13" s="52">
        <v>61.67</v>
      </c>
      <c r="H13" s="52">
        <v>26.74</v>
      </c>
      <c r="I13" s="53" t="s">
        <v>15</v>
      </c>
      <c r="J13" s="52">
        <v>2.06</v>
      </c>
      <c r="K13" s="52">
        <v>356.35</v>
      </c>
      <c r="L13" s="52">
        <v>18.07</v>
      </c>
      <c r="M13" s="52">
        <v>69.349999999999994</v>
      </c>
      <c r="N13" s="52">
        <v>78.8</v>
      </c>
      <c r="O13" s="52">
        <v>0</v>
      </c>
      <c r="P13" s="52">
        <v>0.64</v>
      </c>
      <c r="Q13" s="52">
        <v>9.68</v>
      </c>
      <c r="R13" s="43"/>
      <c r="S13" s="43"/>
      <c r="T13" s="43"/>
      <c r="U13" s="43"/>
    </row>
    <row r="14" spans="1:21" s="11" customFormat="1" x14ac:dyDescent="0.25">
      <c r="A14" s="51" t="s">
        <v>185</v>
      </c>
      <c r="B14" s="52">
        <v>10.84</v>
      </c>
      <c r="C14" s="52">
        <v>58.38</v>
      </c>
      <c r="D14" s="52">
        <v>37.82</v>
      </c>
      <c r="E14" s="52">
        <v>5.62</v>
      </c>
      <c r="F14" s="52">
        <v>2.13</v>
      </c>
      <c r="G14" s="52">
        <v>66.349999999999994</v>
      </c>
      <c r="H14" s="52">
        <v>6.53</v>
      </c>
      <c r="I14" s="53" t="s">
        <v>15</v>
      </c>
      <c r="J14" s="52">
        <v>1.68</v>
      </c>
      <c r="K14" s="52">
        <v>358.8</v>
      </c>
      <c r="L14" s="52">
        <v>17.73</v>
      </c>
      <c r="M14" s="52">
        <v>69.38</v>
      </c>
      <c r="N14" s="52">
        <v>78.5</v>
      </c>
      <c r="O14" s="52">
        <v>0</v>
      </c>
      <c r="P14" s="52">
        <v>0.56999999999999995</v>
      </c>
      <c r="Q14" s="52">
        <v>9.61</v>
      </c>
      <c r="R14" s="43"/>
      <c r="S14" s="43"/>
      <c r="T14" s="43"/>
      <c r="U14" s="43"/>
    </row>
    <row r="15" spans="1:21" s="11" customFormat="1" x14ac:dyDescent="0.25">
      <c r="A15" s="51" t="s">
        <v>186</v>
      </c>
      <c r="B15" s="52">
        <v>7.5</v>
      </c>
      <c r="C15" s="52">
        <v>54.5</v>
      </c>
      <c r="D15" s="52">
        <v>33.11</v>
      </c>
      <c r="E15" s="52">
        <v>5.41</v>
      </c>
      <c r="F15" s="52">
        <v>2.13</v>
      </c>
      <c r="G15" s="52">
        <v>67.66</v>
      </c>
      <c r="H15" s="52">
        <v>36.39</v>
      </c>
      <c r="I15" s="53" t="s">
        <v>15</v>
      </c>
      <c r="J15" s="52">
        <v>1.46</v>
      </c>
      <c r="K15" s="52">
        <v>354.3</v>
      </c>
      <c r="L15" s="52">
        <v>17.010000000000002</v>
      </c>
      <c r="M15" s="52">
        <v>72.87</v>
      </c>
      <c r="N15" s="52">
        <v>91.1</v>
      </c>
      <c r="O15" s="52">
        <v>0</v>
      </c>
      <c r="P15" s="52">
        <v>0.51</v>
      </c>
      <c r="Q15" s="52">
        <v>9.58</v>
      </c>
      <c r="R15" s="43"/>
      <c r="S15" s="43"/>
      <c r="T15" s="43"/>
      <c r="U15" s="43"/>
    </row>
    <row r="16" spans="1:21" s="11" customFormat="1" x14ac:dyDescent="0.25">
      <c r="A16" s="51" t="s">
        <v>187</v>
      </c>
      <c r="B16" s="52">
        <v>8.82</v>
      </c>
      <c r="C16" s="52">
        <v>54.16</v>
      </c>
      <c r="D16" s="52">
        <v>33.99</v>
      </c>
      <c r="E16" s="52">
        <v>5.58</v>
      </c>
      <c r="F16" s="52">
        <v>2.13</v>
      </c>
      <c r="G16" s="52">
        <v>60.42</v>
      </c>
      <c r="H16" s="52">
        <v>26.88</v>
      </c>
      <c r="I16" s="53" t="s">
        <v>15</v>
      </c>
      <c r="J16" s="52">
        <v>1.43</v>
      </c>
      <c r="K16" s="52">
        <v>358.55</v>
      </c>
      <c r="L16" s="52">
        <v>18.559999999999999</v>
      </c>
      <c r="M16" s="52">
        <v>73.55</v>
      </c>
      <c r="N16" s="52">
        <v>212.8</v>
      </c>
      <c r="O16" s="52">
        <v>0</v>
      </c>
      <c r="P16" s="52">
        <v>0.56000000000000005</v>
      </c>
      <c r="Q16" s="52">
        <v>9.61</v>
      </c>
      <c r="R16" s="43"/>
      <c r="S16" s="43"/>
      <c r="T16" s="43"/>
      <c r="U16" s="43"/>
    </row>
    <row r="17" spans="1:21" s="11" customFormat="1" x14ac:dyDescent="0.25">
      <c r="A17" s="51" t="s">
        <v>188</v>
      </c>
      <c r="B17" s="52">
        <v>9.15</v>
      </c>
      <c r="C17" s="52">
        <v>55</v>
      </c>
      <c r="D17" s="52">
        <v>34.700000000000003</v>
      </c>
      <c r="E17" s="52">
        <v>6.62</v>
      </c>
      <c r="F17" s="52">
        <v>2.13</v>
      </c>
      <c r="G17" s="52">
        <v>61.2</v>
      </c>
      <c r="H17" s="52">
        <v>28.78</v>
      </c>
      <c r="I17" s="53" t="s">
        <v>15</v>
      </c>
      <c r="J17" s="52">
        <v>1.37</v>
      </c>
      <c r="K17" s="52">
        <v>357.45</v>
      </c>
      <c r="L17" s="52">
        <v>21.18</v>
      </c>
      <c r="M17" s="52">
        <v>63.11</v>
      </c>
      <c r="N17" s="52">
        <v>375.5</v>
      </c>
      <c r="O17" s="52">
        <v>0</v>
      </c>
      <c r="P17" s="52">
        <v>0.59</v>
      </c>
      <c r="Q17" s="52">
        <v>9.6300000000000008</v>
      </c>
      <c r="R17" s="43"/>
      <c r="S17" s="43"/>
      <c r="T17" s="43"/>
      <c r="U17" s="43"/>
    </row>
    <row r="18" spans="1:21" s="11" customFormat="1" x14ac:dyDescent="0.25">
      <c r="A18" s="51" t="s">
        <v>189</v>
      </c>
      <c r="B18" s="52">
        <v>8.74</v>
      </c>
      <c r="C18" s="52">
        <v>56.46</v>
      </c>
      <c r="D18" s="52">
        <v>34.619999999999997</v>
      </c>
      <c r="E18" s="52">
        <v>6.87</v>
      </c>
      <c r="F18" s="52">
        <v>2.13</v>
      </c>
      <c r="G18" s="52">
        <v>59.3</v>
      </c>
      <c r="H18" s="52">
        <v>26.75</v>
      </c>
      <c r="I18" s="53" t="s">
        <v>15</v>
      </c>
      <c r="J18" s="52">
        <v>1.28</v>
      </c>
      <c r="K18" s="52">
        <v>23.66</v>
      </c>
      <c r="L18" s="52">
        <v>23.6</v>
      </c>
      <c r="M18" s="52">
        <v>52.1</v>
      </c>
      <c r="N18" s="52">
        <v>489.7</v>
      </c>
      <c r="O18" s="52">
        <v>0</v>
      </c>
      <c r="P18" s="52">
        <v>0.59</v>
      </c>
      <c r="Q18" s="52">
        <v>9.6</v>
      </c>
      <c r="R18" s="43"/>
      <c r="S18" s="43"/>
      <c r="T18" s="43"/>
      <c r="U18" s="43"/>
    </row>
    <row r="19" spans="1:21" s="11" customFormat="1" x14ac:dyDescent="0.25">
      <c r="A19" s="51" t="s">
        <v>190</v>
      </c>
      <c r="B19" s="52">
        <v>7.82</v>
      </c>
      <c r="C19" s="52">
        <v>59.6</v>
      </c>
      <c r="D19" s="52">
        <v>35.770000000000003</v>
      </c>
      <c r="E19" s="52">
        <v>6.85</v>
      </c>
      <c r="F19" s="52">
        <v>2.13</v>
      </c>
      <c r="G19" s="52">
        <v>58.18</v>
      </c>
      <c r="H19" s="52">
        <v>21.94</v>
      </c>
      <c r="I19" s="53" t="s">
        <v>15</v>
      </c>
      <c r="J19" s="52">
        <v>1.73</v>
      </c>
      <c r="K19" s="52">
        <v>349.45</v>
      </c>
      <c r="L19" s="52">
        <v>26.57</v>
      </c>
      <c r="M19" s="52">
        <v>42.18</v>
      </c>
      <c r="N19" s="52">
        <v>539.29999999999995</v>
      </c>
      <c r="O19" s="52">
        <v>0</v>
      </c>
      <c r="P19" s="52">
        <v>0.59</v>
      </c>
      <c r="Q19" s="52">
        <v>9.58</v>
      </c>
      <c r="R19" s="43"/>
      <c r="S19" s="43"/>
      <c r="T19" s="43"/>
      <c r="U19" s="43"/>
    </row>
    <row r="20" spans="1:21" s="11" customFormat="1" x14ac:dyDescent="0.25">
      <c r="A20" s="51" t="s">
        <v>191</v>
      </c>
      <c r="B20" s="52">
        <v>6.7</v>
      </c>
      <c r="C20" s="52">
        <v>58.97</v>
      </c>
      <c r="D20" s="52">
        <v>34.799999999999997</v>
      </c>
      <c r="E20" s="52">
        <v>7.2</v>
      </c>
      <c r="F20" s="52">
        <v>2.13</v>
      </c>
      <c r="G20" s="52">
        <v>61.84</v>
      </c>
      <c r="H20" s="52">
        <v>7.91</v>
      </c>
      <c r="I20" s="53" t="s">
        <v>15</v>
      </c>
      <c r="J20" s="52">
        <v>1.24</v>
      </c>
      <c r="K20" s="52">
        <v>358.01</v>
      </c>
      <c r="L20" s="52">
        <v>27.6</v>
      </c>
      <c r="M20" s="52">
        <v>42.03</v>
      </c>
      <c r="N20" s="52">
        <v>542.20000000000005</v>
      </c>
      <c r="O20" s="52">
        <v>0</v>
      </c>
      <c r="P20" s="52">
        <v>0.6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192</v>
      </c>
      <c r="B21" s="52">
        <v>5.58</v>
      </c>
      <c r="C21" s="52">
        <v>57.94</v>
      </c>
      <c r="D21" s="52">
        <v>33.369999999999997</v>
      </c>
      <c r="E21" s="52">
        <v>6.44</v>
      </c>
      <c r="F21" s="52">
        <v>2.13</v>
      </c>
      <c r="G21" s="52">
        <v>64.11</v>
      </c>
      <c r="H21" s="52">
        <v>29.06</v>
      </c>
      <c r="I21" s="53" t="s">
        <v>15</v>
      </c>
      <c r="J21" s="52">
        <v>1.97</v>
      </c>
      <c r="K21" s="52">
        <v>343.78</v>
      </c>
      <c r="L21" s="52">
        <v>29.65</v>
      </c>
      <c r="M21" s="52">
        <v>41.68</v>
      </c>
      <c r="N21" s="52">
        <v>540.5</v>
      </c>
      <c r="O21" s="52">
        <v>0</v>
      </c>
      <c r="P21" s="52">
        <v>0.6</v>
      </c>
      <c r="Q21" s="52">
        <v>9.6</v>
      </c>
      <c r="R21" s="43"/>
      <c r="S21" s="43"/>
      <c r="T21" s="43"/>
      <c r="U21" s="43"/>
    </row>
    <row r="22" spans="1:21" s="11" customFormat="1" x14ac:dyDescent="0.25">
      <c r="A22" s="51" t="s">
        <v>193</v>
      </c>
      <c r="B22" s="52">
        <v>5.24</v>
      </c>
      <c r="C22" s="52">
        <v>57.3</v>
      </c>
      <c r="D22" s="52">
        <v>32.76</v>
      </c>
      <c r="E22" s="52">
        <v>7.22</v>
      </c>
      <c r="F22" s="52">
        <v>2.1800000000000002</v>
      </c>
      <c r="G22" s="52">
        <v>62.05</v>
      </c>
      <c r="H22" s="52">
        <v>21.51</v>
      </c>
      <c r="I22" s="53" t="s">
        <v>15</v>
      </c>
      <c r="J22" s="52">
        <v>1.86</v>
      </c>
      <c r="K22" s="52">
        <v>344.2</v>
      </c>
      <c r="L22" s="52">
        <v>30.08</v>
      </c>
      <c r="M22" s="52">
        <v>34.75</v>
      </c>
      <c r="N22" s="52">
        <v>506.7</v>
      </c>
      <c r="O22" s="52">
        <v>0</v>
      </c>
      <c r="P22" s="52">
        <v>0.64</v>
      </c>
      <c r="Q22" s="52">
        <v>9.57</v>
      </c>
      <c r="R22" s="43"/>
      <c r="S22" s="43"/>
      <c r="T22" s="43"/>
      <c r="U22" s="43"/>
    </row>
    <row r="23" spans="1:21" s="11" customFormat="1" x14ac:dyDescent="0.25">
      <c r="A23" s="51" t="s">
        <v>194</v>
      </c>
      <c r="B23" s="52">
        <v>5.15</v>
      </c>
      <c r="C23" s="52">
        <v>61.3</v>
      </c>
      <c r="D23" s="52">
        <v>34.549999999999997</v>
      </c>
      <c r="E23" s="52">
        <v>7.4</v>
      </c>
      <c r="F23" s="52">
        <v>2.13</v>
      </c>
      <c r="G23" s="52">
        <v>67.37</v>
      </c>
      <c r="H23" s="52">
        <v>37.549999999999997</v>
      </c>
      <c r="I23" s="53" t="s">
        <v>15</v>
      </c>
      <c r="J23" s="52">
        <v>2.1800000000000002</v>
      </c>
      <c r="K23" s="52">
        <v>352.46</v>
      </c>
      <c r="L23" s="52">
        <v>28.31</v>
      </c>
      <c r="M23" s="52">
        <v>37.700000000000003</v>
      </c>
      <c r="N23" s="52">
        <v>434.3</v>
      </c>
      <c r="O23" s="52">
        <v>0</v>
      </c>
      <c r="P23" s="52">
        <v>0.64</v>
      </c>
      <c r="Q23" s="52">
        <v>9.56</v>
      </c>
      <c r="R23" s="43"/>
      <c r="S23" s="43"/>
      <c r="T23" s="43"/>
      <c r="U23" s="43"/>
    </row>
    <row r="24" spans="1:21" s="11" customFormat="1" x14ac:dyDescent="0.25">
      <c r="A24" s="51" t="s">
        <v>195</v>
      </c>
      <c r="B24" s="52">
        <v>4.9400000000000004</v>
      </c>
      <c r="C24" s="52">
        <v>62.6</v>
      </c>
      <c r="D24" s="52">
        <v>35.29</v>
      </c>
      <c r="E24" s="52">
        <v>7.09</v>
      </c>
      <c r="F24" s="52">
        <v>2.13</v>
      </c>
      <c r="G24" s="52">
        <v>78.94</v>
      </c>
      <c r="H24" s="52">
        <v>36.04</v>
      </c>
      <c r="I24" s="53" t="s">
        <v>15</v>
      </c>
      <c r="J24" s="52">
        <v>2.17</v>
      </c>
      <c r="K24" s="52">
        <v>350.6</v>
      </c>
      <c r="L24" s="52">
        <v>26.75</v>
      </c>
      <c r="M24" s="52">
        <v>39.99</v>
      </c>
      <c r="N24" s="52">
        <v>287.10000000000002</v>
      </c>
      <c r="O24" s="52">
        <v>0</v>
      </c>
      <c r="P24" s="52">
        <v>0.67</v>
      </c>
      <c r="Q24" s="52">
        <v>9.59</v>
      </c>
      <c r="R24" s="43"/>
      <c r="S24" s="43"/>
      <c r="T24" s="43"/>
      <c r="U24" s="43"/>
    </row>
    <row r="25" spans="1:21" s="11" customFormat="1" x14ac:dyDescent="0.25">
      <c r="A25" s="51" t="s">
        <v>196</v>
      </c>
      <c r="B25" s="52">
        <v>6.05</v>
      </c>
      <c r="C25" s="52">
        <v>63.01</v>
      </c>
      <c r="D25" s="52">
        <v>36.07</v>
      </c>
      <c r="E25" s="52">
        <v>5.42</v>
      </c>
      <c r="F25" s="52">
        <v>2.13</v>
      </c>
      <c r="G25" s="52">
        <v>77.66</v>
      </c>
      <c r="H25" s="52">
        <v>30.43</v>
      </c>
      <c r="I25" s="53" t="s">
        <v>15</v>
      </c>
      <c r="J25" s="52">
        <v>2.2799999999999998</v>
      </c>
      <c r="K25" s="52">
        <v>354.64</v>
      </c>
      <c r="L25" s="52">
        <v>25.16</v>
      </c>
      <c r="M25" s="52">
        <v>43.01</v>
      </c>
      <c r="N25" s="52">
        <v>134.30000000000001</v>
      </c>
      <c r="O25" s="52">
        <v>0</v>
      </c>
      <c r="P25" s="52">
        <v>0.7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197</v>
      </c>
      <c r="B26" s="52">
        <v>7.56</v>
      </c>
      <c r="C26" s="52">
        <v>64.16</v>
      </c>
      <c r="D26" s="52">
        <v>38.21</v>
      </c>
      <c r="E26" s="52">
        <v>5.87</v>
      </c>
      <c r="F26" s="52">
        <v>2.13</v>
      </c>
      <c r="G26" s="52">
        <v>81.73</v>
      </c>
      <c r="H26" s="52">
        <v>12.19</v>
      </c>
      <c r="I26" s="53" t="s">
        <v>15</v>
      </c>
      <c r="J26" s="52">
        <v>2.0299999999999998</v>
      </c>
      <c r="K26" s="52">
        <v>355.91</v>
      </c>
      <c r="L26" s="52">
        <v>23.34</v>
      </c>
      <c r="M26" s="52">
        <v>45.73</v>
      </c>
      <c r="N26" s="52">
        <v>100.3</v>
      </c>
      <c r="O26" s="52">
        <v>0</v>
      </c>
      <c r="P26" s="52">
        <v>0.91</v>
      </c>
      <c r="Q26" s="52">
        <v>9.6</v>
      </c>
      <c r="R26" s="43"/>
      <c r="S26" s="43"/>
      <c r="T26" s="43"/>
      <c r="U26" s="43"/>
    </row>
    <row r="27" spans="1:21" s="11" customFormat="1" x14ac:dyDescent="0.25">
      <c r="A27" s="51" t="s">
        <v>198</v>
      </c>
      <c r="B27" s="52">
        <v>11.79</v>
      </c>
      <c r="C27" s="52">
        <v>67.14</v>
      </c>
      <c r="D27" s="52">
        <v>43.16</v>
      </c>
      <c r="E27" s="52">
        <v>5.97</v>
      </c>
      <c r="F27" s="52">
        <v>2.13</v>
      </c>
      <c r="G27" s="52">
        <v>84.82</v>
      </c>
      <c r="H27" s="52">
        <v>25.93</v>
      </c>
      <c r="I27" s="53" t="s">
        <v>15</v>
      </c>
      <c r="J27" s="52">
        <v>1.5</v>
      </c>
      <c r="K27" s="52">
        <v>358.54</v>
      </c>
      <c r="L27" s="52">
        <v>21.92</v>
      </c>
      <c r="M27" s="52">
        <v>50.65</v>
      </c>
      <c r="N27" s="52">
        <v>78.099999999999994</v>
      </c>
      <c r="O27" s="52">
        <v>0</v>
      </c>
      <c r="P27" s="52">
        <v>0.97</v>
      </c>
      <c r="Q27" s="52">
        <v>9.59</v>
      </c>
      <c r="R27" s="43"/>
      <c r="S27" s="43"/>
      <c r="T27" s="43"/>
      <c r="U27" s="43"/>
    </row>
    <row r="28" spans="1:21" s="11" customFormat="1" x14ac:dyDescent="0.25">
      <c r="A28" s="51" t="s">
        <v>199</v>
      </c>
      <c r="B28" s="52">
        <v>15.58</v>
      </c>
      <c r="C28" s="52">
        <v>67.790000000000006</v>
      </c>
      <c r="D28" s="52">
        <v>46.43</v>
      </c>
      <c r="E28" s="52">
        <v>5.84</v>
      </c>
      <c r="F28" s="52">
        <v>2.13</v>
      </c>
      <c r="G28" s="52">
        <v>93.69</v>
      </c>
      <c r="H28" s="52">
        <v>57.1</v>
      </c>
      <c r="I28" s="53" t="s">
        <v>15</v>
      </c>
      <c r="J28" s="52">
        <v>1.57</v>
      </c>
      <c r="K28" s="52">
        <v>356.91</v>
      </c>
      <c r="L28" s="52">
        <v>21.2</v>
      </c>
      <c r="M28" s="52">
        <v>53.17</v>
      </c>
      <c r="N28" s="52">
        <v>78.099999999999994</v>
      </c>
      <c r="O28" s="52">
        <v>0</v>
      </c>
      <c r="P28" s="52">
        <v>0.99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200</v>
      </c>
      <c r="B29" s="52">
        <v>16.07</v>
      </c>
      <c r="C29" s="52">
        <v>67.540000000000006</v>
      </c>
      <c r="D29" s="52">
        <v>46.29</v>
      </c>
      <c r="E29" s="52">
        <v>5.94</v>
      </c>
      <c r="F29" s="52">
        <v>2.13</v>
      </c>
      <c r="G29" s="52">
        <v>97.5</v>
      </c>
      <c r="H29" s="52">
        <v>23.98</v>
      </c>
      <c r="I29" s="53" t="s">
        <v>15</v>
      </c>
      <c r="J29" s="52">
        <v>1.42</v>
      </c>
      <c r="K29" s="52">
        <v>355.48</v>
      </c>
      <c r="L29" s="52">
        <v>20.440000000000001</v>
      </c>
      <c r="M29" s="52">
        <v>49.73</v>
      </c>
      <c r="N29" s="52">
        <v>78.099999999999994</v>
      </c>
      <c r="O29" s="52">
        <v>0</v>
      </c>
      <c r="P29" s="52">
        <v>1.01</v>
      </c>
      <c r="Q29" s="52">
        <v>9.67</v>
      </c>
      <c r="R29" s="43"/>
      <c r="S29" s="43"/>
      <c r="T29" s="43"/>
      <c r="U29" s="43"/>
    </row>
    <row r="30" spans="1:21" s="11" customFormat="1" x14ac:dyDescent="0.25">
      <c r="A30" s="51" t="s">
        <v>201</v>
      </c>
      <c r="B30" s="52">
        <v>18.43</v>
      </c>
      <c r="C30" s="52">
        <v>63.65</v>
      </c>
      <c r="D30" s="52">
        <v>46.65</v>
      </c>
      <c r="E30" s="52">
        <v>5.32</v>
      </c>
      <c r="F30" s="52">
        <v>2.13</v>
      </c>
      <c r="G30" s="52">
        <v>90.18</v>
      </c>
      <c r="H30" s="52">
        <v>10.55</v>
      </c>
      <c r="I30" s="53" t="s">
        <v>15</v>
      </c>
      <c r="J30" s="52">
        <v>1.59</v>
      </c>
      <c r="K30" s="52">
        <v>357.41</v>
      </c>
      <c r="L30" s="52">
        <v>19.809999999999999</v>
      </c>
      <c r="M30" s="52">
        <v>43.79</v>
      </c>
      <c r="N30" s="52">
        <v>78.2</v>
      </c>
      <c r="O30" s="52">
        <v>0</v>
      </c>
      <c r="P30" s="52">
        <v>1.01</v>
      </c>
      <c r="Q30" s="52">
        <v>9.66</v>
      </c>
      <c r="R30" s="43"/>
      <c r="S30" s="43"/>
      <c r="T30" s="43"/>
      <c r="U30" s="43"/>
    </row>
    <row r="31" spans="1:21" s="11" customFormat="1" x14ac:dyDescent="0.25">
      <c r="A31" s="51" t="s">
        <v>202</v>
      </c>
      <c r="B31" s="52">
        <v>19.2</v>
      </c>
      <c r="C31" s="52">
        <v>63.69</v>
      </c>
      <c r="D31" s="52">
        <v>47.07</v>
      </c>
      <c r="E31" s="52">
        <v>5.17</v>
      </c>
      <c r="F31" s="52">
        <v>2.13</v>
      </c>
      <c r="G31" s="52">
        <v>86.77</v>
      </c>
      <c r="H31" s="52">
        <v>35.65</v>
      </c>
      <c r="I31" s="53" t="s">
        <v>15</v>
      </c>
      <c r="J31" s="52">
        <v>1.35</v>
      </c>
      <c r="K31" s="52">
        <v>355.87</v>
      </c>
      <c r="L31" s="52">
        <v>18.760000000000002</v>
      </c>
      <c r="M31" s="52">
        <v>37.869999999999997</v>
      </c>
      <c r="N31" s="52">
        <v>78.2</v>
      </c>
      <c r="O31" s="52">
        <v>0</v>
      </c>
      <c r="P31" s="52">
        <v>0.93</v>
      </c>
      <c r="Q31" s="52">
        <v>9.64</v>
      </c>
      <c r="R31" s="43"/>
      <c r="S31" s="43"/>
      <c r="T31" s="43"/>
      <c r="U31" s="43"/>
    </row>
    <row r="32" spans="1:21" s="11" customFormat="1" x14ac:dyDescent="0.25">
      <c r="A32" s="51" t="s">
        <v>203</v>
      </c>
      <c r="B32" s="52">
        <v>18.73</v>
      </c>
      <c r="C32" s="52">
        <v>62.7</v>
      </c>
      <c r="D32" s="52">
        <v>46.41</v>
      </c>
      <c r="E32" s="52">
        <v>5.0199999999999996</v>
      </c>
      <c r="F32" s="52">
        <v>2.13</v>
      </c>
      <c r="G32" s="52">
        <v>74.180000000000007</v>
      </c>
      <c r="H32" s="52">
        <v>351.28</v>
      </c>
      <c r="I32" s="53" t="s">
        <v>15</v>
      </c>
      <c r="J32" s="52">
        <v>0.65</v>
      </c>
      <c r="K32" s="52">
        <v>351.38</v>
      </c>
      <c r="L32" s="52">
        <v>17.850000000000001</v>
      </c>
      <c r="M32" s="52">
        <v>34.840000000000003</v>
      </c>
      <c r="N32" s="52">
        <v>78.2</v>
      </c>
      <c r="O32" s="52">
        <v>0</v>
      </c>
      <c r="P32" s="52">
        <v>0.91</v>
      </c>
      <c r="Q32" s="52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4.9400000000000004</v>
      </c>
      <c r="C34" s="28">
        <f t="shared" si="0"/>
        <v>53.66</v>
      </c>
      <c r="D34" s="28">
        <f t="shared" si="0"/>
        <v>32.76</v>
      </c>
      <c r="E34" s="28">
        <f t="shared" si="0"/>
        <v>4.87</v>
      </c>
      <c r="F34" s="28">
        <f t="shared" si="0"/>
        <v>2.13</v>
      </c>
      <c r="G34" s="28">
        <f t="shared" si="0"/>
        <v>58.18</v>
      </c>
      <c r="H34" s="28">
        <f t="shared" si="0"/>
        <v>6.33</v>
      </c>
      <c r="I34" s="28">
        <f t="shared" si="0"/>
        <v>0</v>
      </c>
      <c r="J34" s="28">
        <f t="shared" si="0"/>
        <v>0.65</v>
      </c>
      <c r="K34" s="28">
        <f t="shared" si="0"/>
        <v>23.66</v>
      </c>
      <c r="L34" s="28">
        <f t="shared" si="0"/>
        <v>17.010000000000002</v>
      </c>
      <c r="M34" s="28">
        <f t="shared" si="0"/>
        <v>34.75</v>
      </c>
      <c r="N34" s="28">
        <f t="shared" si="0"/>
        <v>78.099999999999994</v>
      </c>
      <c r="O34" s="28">
        <f t="shared" si="0"/>
        <v>0</v>
      </c>
      <c r="P34" s="28">
        <f t="shared" si="0"/>
        <v>0.51</v>
      </c>
      <c r="Q34" s="28">
        <f t="shared" si="0"/>
        <v>9.56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49.32</v>
      </c>
      <c r="C35" s="29">
        <f t="shared" si="1"/>
        <v>67.790000000000006</v>
      </c>
      <c r="D35" s="29">
        <f t="shared" si="1"/>
        <v>67.849999999999994</v>
      </c>
      <c r="E35" s="29">
        <f t="shared" si="1"/>
        <v>7.4</v>
      </c>
      <c r="F35" s="29">
        <f t="shared" si="1"/>
        <v>2.1800000000000002</v>
      </c>
      <c r="G35" s="29">
        <f t="shared" si="1"/>
        <v>97.5</v>
      </c>
      <c r="H35" s="29">
        <f t="shared" si="1"/>
        <v>351.28</v>
      </c>
      <c r="I35" s="29">
        <f t="shared" si="1"/>
        <v>0</v>
      </c>
      <c r="J35" s="29">
        <f t="shared" si="1"/>
        <v>2.2799999999999998</v>
      </c>
      <c r="K35" s="29">
        <f t="shared" si="1"/>
        <v>358.8</v>
      </c>
      <c r="L35" s="29">
        <f t="shared" si="1"/>
        <v>30.08</v>
      </c>
      <c r="M35" s="29">
        <f t="shared" si="1"/>
        <v>73.55</v>
      </c>
      <c r="N35" s="29">
        <f t="shared" si="1"/>
        <v>542.20000000000005</v>
      </c>
      <c r="O35" s="29">
        <f t="shared" si="1"/>
        <v>0</v>
      </c>
      <c r="P35" s="29">
        <f t="shared" si="1"/>
        <v>1.01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15.035416666666668</v>
      </c>
      <c r="C36" s="28">
        <f t="shared" si="2"/>
        <v>59.798333333333339</v>
      </c>
      <c r="D36" s="28">
        <f t="shared" si="2"/>
        <v>41.731249999999996</v>
      </c>
      <c r="E36" s="28">
        <f t="shared" si="2"/>
        <v>5.95</v>
      </c>
      <c r="F36" s="28">
        <f t="shared" si="2"/>
        <v>2.1320833333333336</v>
      </c>
      <c r="G36" s="28">
        <f t="shared" si="2"/>
        <v>73.292083333333338</v>
      </c>
      <c r="H36" s="28">
        <f t="shared" si="2"/>
        <v>39.172499999999999</v>
      </c>
      <c r="I36" s="28" t="e">
        <f t="shared" si="2"/>
        <v>#DIV/0!</v>
      </c>
      <c r="J36" s="28">
        <f t="shared" si="2"/>
        <v>1.6116666666666666</v>
      </c>
      <c r="K36" s="28">
        <f t="shared" si="2"/>
        <v>340.58958333333334</v>
      </c>
      <c r="L36" s="28">
        <f t="shared" si="2"/>
        <v>22.11</v>
      </c>
      <c r="M36" s="28">
        <f t="shared" si="2"/>
        <v>52.463333333333331</v>
      </c>
      <c r="N36" s="28">
        <f t="shared" si="2"/>
        <v>216.42500000000007</v>
      </c>
      <c r="O36" s="28">
        <f t="shared" si="2"/>
        <v>0</v>
      </c>
      <c r="P36" s="28">
        <f t="shared" si="2"/>
        <v>0.74708333333333332</v>
      </c>
      <c r="Q36" s="28">
        <f t="shared" si="2"/>
        <v>9.6370833333333312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12.049718011914912</v>
      </c>
      <c r="C37" s="28">
        <f t="shared" ref="C37:Q37" si="3">STDEV(C9:C32)</f>
        <v>4.4321186087828073</v>
      </c>
      <c r="D37" s="28">
        <f t="shared" si="3"/>
        <v>9.3189588485913806</v>
      </c>
      <c r="E37" s="28">
        <f t="shared" si="3"/>
        <v>0.803963010180893</v>
      </c>
      <c r="F37" s="28">
        <f t="shared" si="3"/>
        <v>1.0206207261596633E-2</v>
      </c>
      <c r="G37" s="28">
        <f t="shared" si="3"/>
        <v>12.040528653411522</v>
      </c>
      <c r="H37" s="28">
        <f t="shared" si="3"/>
        <v>67.528139400323809</v>
      </c>
      <c r="I37" s="28" t="e">
        <f t="shared" si="3"/>
        <v>#DIV/0!</v>
      </c>
      <c r="J37" s="28">
        <f t="shared" si="3"/>
        <v>0.38659794491757515</v>
      </c>
      <c r="K37" s="28">
        <f t="shared" si="3"/>
        <v>67.625820414804409</v>
      </c>
      <c r="L37" s="28">
        <f t="shared" si="3"/>
        <v>4.1148448119080987</v>
      </c>
      <c r="M37" s="28">
        <f t="shared" si="3"/>
        <v>13.183751088124495</v>
      </c>
      <c r="N37" s="28">
        <f t="shared" si="3"/>
        <v>188.446897721532</v>
      </c>
      <c r="O37" s="28">
        <f t="shared" si="3"/>
        <v>0</v>
      </c>
      <c r="P37" s="28">
        <f t="shared" si="3"/>
        <v>0.16979473968055783</v>
      </c>
      <c r="Q37" s="28">
        <f t="shared" si="3"/>
        <v>6.457076782856952E-2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204</v>
      </c>
      <c r="B9" s="52">
        <v>16.14</v>
      </c>
      <c r="C9" s="52">
        <v>58.74</v>
      </c>
      <c r="D9" s="52">
        <v>42.26</v>
      </c>
      <c r="E9" s="52">
        <v>4.68</v>
      </c>
      <c r="F9" s="52">
        <v>2.13</v>
      </c>
      <c r="G9" s="52">
        <v>60.57</v>
      </c>
      <c r="H9" s="54" t="s">
        <v>14</v>
      </c>
      <c r="I9" s="53" t="s">
        <v>15</v>
      </c>
      <c r="J9" s="52">
        <v>0.83</v>
      </c>
      <c r="K9" s="52">
        <v>351.46</v>
      </c>
      <c r="L9" s="52">
        <v>16.91</v>
      </c>
      <c r="M9" s="52">
        <v>35.24</v>
      </c>
      <c r="N9" s="52">
        <v>78</v>
      </c>
      <c r="O9" s="52">
        <v>0</v>
      </c>
      <c r="P9" s="52">
        <v>0.82</v>
      </c>
      <c r="Q9" s="52">
        <v>9.67</v>
      </c>
      <c r="R9" s="43"/>
      <c r="S9" s="43"/>
      <c r="T9" s="43"/>
      <c r="U9" s="43"/>
    </row>
    <row r="10" spans="1:21" s="11" customFormat="1" x14ac:dyDescent="0.25">
      <c r="A10" s="51" t="s">
        <v>205</v>
      </c>
      <c r="B10" s="52">
        <v>12.9</v>
      </c>
      <c r="C10" s="52">
        <v>53.63</v>
      </c>
      <c r="D10" s="52">
        <v>36.99</v>
      </c>
      <c r="E10" s="52">
        <v>4.78</v>
      </c>
      <c r="F10" s="52">
        <v>2.13</v>
      </c>
      <c r="G10" s="52">
        <v>53.86</v>
      </c>
      <c r="H10" s="54" t="s">
        <v>14</v>
      </c>
      <c r="I10" s="53" t="s">
        <v>15</v>
      </c>
      <c r="J10" s="52">
        <v>1.24</v>
      </c>
      <c r="K10" s="52">
        <v>359.64</v>
      </c>
      <c r="L10" s="52">
        <v>16.57</v>
      </c>
      <c r="M10" s="52">
        <v>35.47</v>
      </c>
      <c r="N10" s="52">
        <v>78.099999999999994</v>
      </c>
      <c r="O10" s="52">
        <v>0</v>
      </c>
      <c r="P10" s="52">
        <v>0.68</v>
      </c>
      <c r="Q10" s="52">
        <v>9.67</v>
      </c>
      <c r="R10" s="43"/>
      <c r="S10" s="43"/>
      <c r="T10" s="43"/>
      <c r="U10" s="43"/>
    </row>
    <row r="11" spans="1:21" s="11" customFormat="1" x14ac:dyDescent="0.25">
      <c r="A11" s="51" t="s">
        <v>206</v>
      </c>
      <c r="B11" s="52">
        <v>11.44</v>
      </c>
      <c r="C11" s="52">
        <v>49.94</v>
      </c>
      <c r="D11" s="52">
        <v>33.89</v>
      </c>
      <c r="E11" s="52">
        <v>4.72</v>
      </c>
      <c r="F11" s="52">
        <v>2.13</v>
      </c>
      <c r="G11" s="52">
        <v>45.73</v>
      </c>
      <c r="H11" s="54" t="s">
        <v>14</v>
      </c>
      <c r="I11" s="53" t="s">
        <v>15</v>
      </c>
      <c r="J11" s="52">
        <v>0.77</v>
      </c>
      <c r="K11" s="52">
        <v>83.36</v>
      </c>
      <c r="L11" s="52">
        <v>16.11</v>
      </c>
      <c r="M11" s="52">
        <v>35.229999999999997</v>
      </c>
      <c r="N11" s="52">
        <v>78.3</v>
      </c>
      <c r="O11" s="52">
        <v>0</v>
      </c>
      <c r="P11" s="52">
        <v>0.6</v>
      </c>
      <c r="Q11" s="52">
        <v>9.6</v>
      </c>
      <c r="R11" s="43"/>
      <c r="S11" s="43"/>
      <c r="T11" s="43"/>
      <c r="U11" s="43"/>
    </row>
    <row r="12" spans="1:21" s="11" customFormat="1" x14ac:dyDescent="0.25">
      <c r="A12" s="51" t="s">
        <v>207</v>
      </c>
      <c r="B12" s="52">
        <v>10.49</v>
      </c>
      <c r="C12" s="52">
        <v>47.96</v>
      </c>
      <c r="D12" s="52">
        <v>32</v>
      </c>
      <c r="E12" s="52">
        <v>5.08</v>
      </c>
      <c r="F12" s="52">
        <v>2.13</v>
      </c>
      <c r="G12" s="52">
        <v>41.59</v>
      </c>
      <c r="H12" s="54" t="s">
        <v>14</v>
      </c>
      <c r="I12" s="53" t="s">
        <v>15</v>
      </c>
      <c r="J12" s="52">
        <v>0.63</v>
      </c>
      <c r="K12" s="52">
        <v>353.04</v>
      </c>
      <c r="L12" s="52">
        <v>15.3</v>
      </c>
      <c r="M12" s="52">
        <v>36.26</v>
      </c>
      <c r="N12" s="52">
        <v>78.099999999999994</v>
      </c>
      <c r="O12" s="52">
        <v>0</v>
      </c>
      <c r="P12" s="52">
        <v>0.6</v>
      </c>
      <c r="Q12" s="52">
        <v>9.59</v>
      </c>
      <c r="R12" s="43"/>
      <c r="S12" s="43"/>
      <c r="T12" s="43"/>
      <c r="U12" s="43"/>
    </row>
    <row r="13" spans="1:21" s="11" customFormat="1" x14ac:dyDescent="0.25">
      <c r="A13" s="51" t="s">
        <v>208</v>
      </c>
      <c r="B13" s="52">
        <v>9.0399999999999991</v>
      </c>
      <c r="C13" s="52">
        <v>47.24</v>
      </c>
      <c r="D13" s="52">
        <v>30.43</v>
      </c>
      <c r="E13" s="52">
        <v>5.13</v>
      </c>
      <c r="F13" s="52">
        <v>2.13</v>
      </c>
      <c r="G13" s="52">
        <v>55.64</v>
      </c>
      <c r="H13" s="54" t="s">
        <v>14</v>
      </c>
      <c r="I13" s="53" t="s">
        <v>15</v>
      </c>
      <c r="J13" s="52">
        <v>0.56999999999999995</v>
      </c>
      <c r="K13" s="52">
        <v>359.25</v>
      </c>
      <c r="L13" s="52">
        <v>14.93</v>
      </c>
      <c r="M13" s="52">
        <v>35.39</v>
      </c>
      <c r="N13" s="52">
        <v>78</v>
      </c>
      <c r="O13" s="52">
        <v>0</v>
      </c>
      <c r="P13" s="52">
        <v>0.55000000000000004</v>
      </c>
      <c r="Q13" s="52">
        <v>9.5299999999999994</v>
      </c>
      <c r="R13" s="43"/>
      <c r="S13" s="43"/>
      <c r="T13" s="43"/>
      <c r="U13" s="43"/>
    </row>
    <row r="14" spans="1:21" s="11" customFormat="1" x14ac:dyDescent="0.25">
      <c r="A14" s="51" t="s">
        <v>209</v>
      </c>
      <c r="B14" s="52">
        <v>11.28</v>
      </c>
      <c r="C14" s="52">
        <v>47.56</v>
      </c>
      <c r="D14" s="52">
        <v>31.95</v>
      </c>
      <c r="E14" s="52">
        <v>4.2</v>
      </c>
      <c r="F14" s="52">
        <v>2.13</v>
      </c>
      <c r="G14" s="52">
        <v>53.73</v>
      </c>
      <c r="H14" s="54" t="s">
        <v>14</v>
      </c>
      <c r="I14" s="53" t="s">
        <v>15</v>
      </c>
      <c r="J14" s="52">
        <v>0.63</v>
      </c>
      <c r="K14" s="52">
        <v>352.58</v>
      </c>
      <c r="L14" s="52">
        <v>14.58</v>
      </c>
      <c r="M14" s="52">
        <v>38</v>
      </c>
      <c r="N14" s="52">
        <v>78.2</v>
      </c>
      <c r="O14" s="52">
        <v>0</v>
      </c>
      <c r="P14" s="52">
        <v>0.5</v>
      </c>
      <c r="Q14" s="52">
        <v>9.57</v>
      </c>
      <c r="R14" s="43"/>
      <c r="S14" s="43"/>
      <c r="T14" s="43"/>
      <c r="U14" s="43"/>
    </row>
    <row r="15" spans="1:21" s="11" customFormat="1" x14ac:dyDescent="0.25">
      <c r="A15" s="51" t="s">
        <v>210</v>
      </c>
      <c r="B15" s="52">
        <v>13.53</v>
      </c>
      <c r="C15" s="52">
        <v>47.14</v>
      </c>
      <c r="D15" s="52">
        <v>33.94</v>
      </c>
      <c r="E15" s="52">
        <v>4.7300000000000004</v>
      </c>
      <c r="F15" s="52">
        <v>2.13</v>
      </c>
      <c r="G15" s="52">
        <v>55.76</v>
      </c>
      <c r="H15" s="54" t="s">
        <v>14</v>
      </c>
      <c r="I15" s="53" t="s">
        <v>15</v>
      </c>
      <c r="J15" s="52">
        <v>0.44</v>
      </c>
      <c r="K15" s="52">
        <v>347.8</v>
      </c>
      <c r="L15" s="52">
        <v>14.07</v>
      </c>
      <c r="M15" s="52">
        <v>38.22</v>
      </c>
      <c r="N15" s="52">
        <v>93.2</v>
      </c>
      <c r="O15" s="52">
        <v>0</v>
      </c>
      <c r="P15" s="52">
        <v>0.46</v>
      </c>
      <c r="Q15" s="52">
        <v>9.61</v>
      </c>
      <c r="R15" s="43"/>
      <c r="S15" s="43"/>
      <c r="T15" s="43"/>
      <c r="U15" s="43"/>
    </row>
    <row r="16" spans="1:21" s="11" customFormat="1" x14ac:dyDescent="0.25">
      <c r="A16" s="51" t="s">
        <v>211</v>
      </c>
      <c r="B16" s="52">
        <v>15.47</v>
      </c>
      <c r="C16" s="52">
        <v>49.48</v>
      </c>
      <c r="D16" s="52">
        <v>36.880000000000003</v>
      </c>
      <c r="E16" s="52">
        <v>6.36</v>
      </c>
      <c r="F16" s="52">
        <v>2.13</v>
      </c>
      <c r="G16" s="52">
        <v>59.73</v>
      </c>
      <c r="H16" s="54" t="s">
        <v>14</v>
      </c>
      <c r="I16" s="53" t="s">
        <v>15</v>
      </c>
      <c r="J16" s="52">
        <v>0.93</v>
      </c>
      <c r="K16" s="52">
        <v>352.42</v>
      </c>
      <c r="L16" s="52">
        <v>17.420000000000002</v>
      </c>
      <c r="M16" s="52">
        <v>37.24</v>
      </c>
      <c r="N16" s="52">
        <v>236.7</v>
      </c>
      <c r="O16" s="52">
        <v>0</v>
      </c>
      <c r="P16" s="52">
        <v>0.53</v>
      </c>
      <c r="Q16" s="52">
        <v>9.6</v>
      </c>
      <c r="R16" s="43"/>
      <c r="S16" s="43"/>
      <c r="T16" s="43"/>
      <c r="U16" s="43"/>
    </row>
    <row r="17" spans="1:21" s="11" customFormat="1" x14ac:dyDescent="0.25">
      <c r="A17" s="51" t="s">
        <v>212</v>
      </c>
      <c r="B17" s="52">
        <v>16.649999999999999</v>
      </c>
      <c r="C17" s="52">
        <v>52.4</v>
      </c>
      <c r="D17" s="52">
        <v>38.85</v>
      </c>
      <c r="E17" s="52">
        <v>6.44</v>
      </c>
      <c r="F17" s="52">
        <v>2.13</v>
      </c>
      <c r="G17" s="52">
        <v>55.49</v>
      </c>
      <c r="H17" s="54" t="s">
        <v>14</v>
      </c>
      <c r="I17" s="53" t="s">
        <v>15</v>
      </c>
      <c r="J17" s="52">
        <v>1.94</v>
      </c>
      <c r="K17" s="52">
        <v>106.68</v>
      </c>
      <c r="L17" s="52">
        <v>18.72</v>
      </c>
      <c r="M17" s="52">
        <v>28.94</v>
      </c>
      <c r="N17" s="52">
        <v>415.1</v>
      </c>
      <c r="O17" s="52">
        <v>0</v>
      </c>
      <c r="P17" s="52">
        <v>0.54</v>
      </c>
      <c r="Q17" s="52">
        <v>9.68</v>
      </c>
      <c r="R17" s="43"/>
      <c r="S17" s="43"/>
      <c r="T17" s="43"/>
      <c r="U17" s="43"/>
    </row>
    <row r="18" spans="1:21" s="11" customFormat="1" x14ac:dyDescent="0.25">
      <c r="A18" s="51" t="s">
        <v>213</v>
      </c>
      <c r="B18" s="52">
        <v>16.48</v>
      </c>
      <c r="C18" s="52">
        <v>55.32</v>
      </c>
      <c r="D18" s="52">
        <v>40.75</v>
      </c>
      <c r="E18" s="52">
        <v>6.04</v>
      </c>
      <c r="F18" s="52">
        <v>2.13</v>
      </c>
      <c r="G18" s="52">
        <v>56.02</v>
      </c>
      <c r="H18" s="52">
        <v>13.84</v>
      </c>
      <c r="I18" s="53" t="s">
        <v>15</v>
      </c>
      <c r="J18" s="52">
        <v>1.81</v>
      </c>
      <c r="K18" s="52">
        <v>358.08</v>
      </c>
      <c r="L18" s="52">
        <v>24.39</v>
      </c>
      <c r="M18" s="52">
        <v>26.22</v>
      </c>
      <c r="N18" s="52">
        <v>528.79999999999995</v>
      </c>
      <c r="O18" s="52">
        <v>0</v>
      </c>
      <c r="P18" s="52">
        <v>0.54</v>
      </c>
      <c r="Q18" s="52">
        <v>9.67</v>
      </c>
      <c r="R18" s="43"/>
      <c r="S18" s="43"/>
      <c r="T18" s="43"/>
      <c r="U18" s="43"/>
    </row>
    <row r="19" spans="1:21" s="11" customFormat="1" x14ac:dyDescent="0.25">
      <c r="A19" s="51" t="s">
        <v>214</v>
      </c>
      <c r="B19" s="52">
        <v>17.12</v>
      </c>
      <c r="C19" s="52">
        <v>67.06</v>
      </c>
      <c r="D19" s="52">
        <v>41.89</v>
      </c>
      <c r="E19" s="52">
        <v>8.5399999999999991</v>
      </c>
      <c r="F19" s="52">
        <v>9.84</v>
      </c>
      <c r="G19" s="52">
        <v>57.7</v>
      </c>
      <c r="H19" s="52">
        <v>32.79</v>
      </c>
      <c r="I19" s="53" t="s">
        <v>15</v>
      </c>
      <c r="J19" s="52">
        <v>1.8</v>
      </c>
      <c r="K19" s="52">
        <v>106.49</v>
      </c>
      <c r="L19" s="52">
        <v>22.74</v>
      </c>
      <c r="M19" s="52">
        <v>24.3</v>
      </c>
      <c r="N19" s="52">
        <v>571.4</v>
      </c>
      <c r="O19" s="52">
        <v>0</v>
      </c>
      <c r="P19" s="52">
        <v>0.55000000000000004</v>
      </c>
      <c r="Q19" s="52">
        <v>9.73</v>
      </c>
      <c r="R19" s="43"/>
      <c r="S19" s="43"/>
      <c r="T19" s="43"/>
      <c r="U19" s="43"/>
    </row>
    <row r="20" spans="1:21" s="11" customFormat="1" x14ac:dyDescent="0.25">
      <c r="A20" s="51" t="s">
        <v>215</v>
      </c>
      <c r="B20" s="52">
        <v>7.89</v>
      </c>
      <c r="C20" s="52">
        <v>73.52</v>
      </c>
      <c r="D20" s="52">
        <v>43.36</v>
      </c>
      <c r="E20" s="52">
        <v>11.41</v>
      </c>
      <c r="F20" s="52">
        <v>3.04</v>
      </c>
      <c r="G20" s="52">
        <v>44.74</v>
      </c>
      <c r="H20" s="52">
        <v>1.97</v>
      </c>
      <c r="I20" s="53" t="s">
        <v>15</v>
      </c>
      <c r="J20" s="52">
        <v>1.1499999999999999</v>
      </c>
      <c r="K20" s="52">
        <v>350.14</v>
      </c>
      <c r="L20" s="52">
        <v>26.45</v>
      </c>
      <c r="M20" s="52">
        <v>21.23</v>
      </c>
      <c r="N20" s="52">
        <v>568.6</v>
      </c>
      <c r="O20" s="52">
        <v>0</v>
      </c>
      <c r="P20" s="52">
        <v>0.43</v>
      </c>
      <c r="Q20" s="52">
        <v>9.75</v>
      </c>
      <c r="R20" s="43"/>
      <c r="S20" s="43"/>
      <c r="T20" s="43"/>
      <c r="U20" s="43"/>
    </row>
    <row r="21" spans="1:21" s="11" customFormat="1" x14ac:dyDescent="0.25">
      <c r="A21" s="51" t="s">
        <v>216</v>
      </c>
      <c r="B21" s="52">
        <v>10.28</v>
      </c>
      <c r="C21" s="52">
        <v>77.33</v>
      </c>
      <c r="D21" s="52">
        <v>47.27</v>
      </c>
      <c r="E21" s="52">
        <v>9.58</v>
      </c>
      <c r="F21" s="52">
        <v>2.13</v>
      </c>
      <c r="G21" s="52">
        <v>47.06</v>
      </c>
      <c r="H21" s="52">
        <v>0.16</v>
      </c>
      <c r="I21" s="53" t="s">
        <v>15</v>
      </c>
      <c r="J21" s="52">
        <v>1.29</v>
      </c>
      <c r="K21" s="52">
        <v>350.44</v>
      </c>
      <c r="L21" s="52">
        <v>28.34</v>
      </c>
      <c r="M21" s="52">
        <v>16.41</v>
      </c>
      <c r="N21" s="52">
        <v>554.1</v>
      </c>
      <c r="O21" s="52">
        <v>0</v>
      </c>
      <c r="P21" s="52">
        <v>0.44</v>
      </c>
      <c r="Q21" s="52">
        <v>9.8800000000000008</v>
      </c>
      <c r="R21" s="43"/>
      <c r="S21" s="43"/>
      <c r="T21" s="43"/>
      <c r="U21" s="43"/>
    </row>
    <row r="22" spans="1:21" s="11" customFormat="1" x14ac:dyDescent="0.25">
      <c r="A22" s="51" t="s">
        <v>217</v>
      </c>
      <c r="B22" s="52">
        <v>12.91</v>
      </c>
      <c r="C22" s="52">
        <v>71.63</v>
      </c>
      <c r="D22" s="52">
        <v>45.86</v>
      </c>
      <c r="E22" s="52">
        <v>7.41</v>
      </c>
      <c r="F22" s="52">
        <v>2.13</v>
      </c>
      <c r="G22" s="52">
        <v>55.03</v>
      </c>
      <c r="H22" s="52">
        <v>2.61</v>
      </c>
      <c r="I22" s="53" t="s">
        <v>15</v>
      </c>
      <c r="J22" s="52">
        <v>1.64</v>
      </c>
      <c r="K22" s="52">
        <v>350.73</v>
      </c>
      <c r="L22" s="52">
        <v>29.47</v>
      </c>
      <c r="M22" s="52">
        <v>15.74</v>
      </c>
      <c r="N22" s="52">
        <v>521.4</v>
      </c>
      <c r="O22" s="52">
        <v>0</v>
      </c>
      <c r="P22" s="52">
        <v>0.51</v>
      </c>
      <c r="Q22" s="52">
        <v>10.130000000000001</v>
      </c>
      <c r="R22" s="43"/>
      <c r="S22" s="43"/>
      <c r="T22" s="43"/>
      <c r="U22" s="43"/>
    </row>
    <row r="23" spans="1:21" s="11" customFormat="1" x14ac:dyDescent="0.25">
      <c r="A23" s="51" t="s">
        <v>218</v>
      </c>
      <c r="B23" s="52">
        <v>14.1</v>
      </c>
      <c r="C23" s="52">
        <v>70.77</v>
      </c>
      <c r="D23" s="52">
        <v>46.38</v>
      </c>
      <c r="E23" s="52">
        <v>6.79</v>
      </c>
      <c r="F23" s="52">
        <v>2.13</v>
      </c>
      <c r="G23" s="52">
        <v>48.28</v>
      </c>
      <c r="H23" s="52">
        <v>21.09</v>
      </c>
      <c r="I23" s="53" t="s">
        <v>15</v>
      </c>
      <c r="J23" s="52">
        <v>1.51</v>
      </c>
      <c r="K23" s="52">
        <v>346.7</v>
      </c>
      <c r="L23" s="52">
        <v>27.42</v>
      </c>
      <c r="M23" s="52">
        <v>18.29</v>
      </c>
      <c r="N23" s="52">
        <v>347.4</v>
      </c>
      <c r="O23" s="52">
        <v>0</v>
      </c>
      <c r="P23" s="52">
        <v>0.64</v>
      </c>
      <c r="Q23" s="52">
        <v>10.18</v>
      </c>
      <c r="R23" s="43"/>
      <c r="S23" s="43"/>
      <c r="T23" s="43"/>
      <c r="U23" s="43"/>
    </row>
    <row r="24" spans="1:21" s="11" customFormat="1" x14ac:dyDescent="0.25">
      <c r="A24" s="51" t="s">
        <v>219</v>
      </c>
      <c r="B24" s="52">
        <v>15.44</v>
      </c>
      <c r="C24" s="52">
        <v>93.3</v>
      </c>
      <c r="D24" s="52">
        <v>56</v>
      </c>
      <c r="E24" s="52">
        <v>16.61</v>
      </c>
      <c r="F24" s="52">
        <v>2.61</v>
      </c>
      <c r="G24" s="52">
        <v>73.260000000000005</v>
      </c>
      <c r="H24" s="52">
        <v>2.95</v>
      </c>
      <c r="I24" s="53" t="s">
        <v>15</v>
      </c>
      <c r="J24" s="52">
        <v>1.86</v>
      </c>
      <c r="K24" s="52">
        <v>353.75</v>
      </c>
      <c r="L24" s="52">
        <v>27.01</v>
      </c>
      <c r="M24" s="52">
        <v>23.4</v>
      </c>
      <c r="N24" s="52">
        <v>253.5</v>
      </c>
      <c r="O24" s="52">
        <v>0</v>
      </c>
      <c r="P24" s="52">
        <v>0.69</v>
      </c>
      <c r="Q24" s="52">
        <v>10.33</v>
      </c>
      <c r="R24" s="43"/>
      <c r="S24" s="43"/>
      <c r="T24" s="43"/>
      <c r="U24" s="43"/>
    </row>
    <row r="25" spans="1:21" s="11" customFormat="1" x14ac:dyDescent="0.25">
      <c r="A25" s="51" t="s">
        <v>220</v>
      </c>
      <c r="B25" s="52">
        <v>14.77</v>
      </c>
      <c r="C25" s="52">
        <v>129.41999999999999</v>
      </c>
      <c r="D25" s="52">
        <v>77.040000000000006</v>
      </c>
      <c r="E25" s="52">
        <v>75.61</v>
      </c>
      <c r="F25" s="52">
        <v>17.07</v>
      </c>
      <c r="G25" s="52">
        <v>71.5</v>
      </c>
      <c r="H25" s="52">
        <v>0.47</v>
      </c>
      <c r="I25" s="53" t="s">
        <v>15</v>
      </c>
      <c r="J25" s="52">
        <v>1.44</v>
      </c>
      <c r="K25" s="52">
        <v>356.38</v>
      </c>
      <c r="L25" s="52">
        <v>24.88</v>
      </c>
      <c r="M25" s="52">
        <v>26.38</v>
      </c>
      <c r="N25" s="52">
        <v>148.69999999999999</v>
      </c>
      <c r="O25" s="52">
        <v>0</v>
      </c>
      <c r="P25" s="52">
        <v>0.97</v>
      </c>
      <c r="Q25" s="52">
        <v>10.45</v>
      </c>
      <c r="R25" s="43"/>
      <c r="S25" s="43"/>
      <c r="T25" s="43"/>
      <c r="U25" s="43"/>
    </row>
    <row r="26" spans="1:21" s="11" customFormat="1" x14ac:dyDescent="0.25">
      <c r="A26" s="51" t="s">
        <v>221</v>
      </c>
      <c r="B26" s="52">
        <v>40.69</v>
      </c>
      <c r="C26" s="52">
        <v>158.9</v>
      </c>
      <c r="D26" s="52">
        <v>114.27</v>
      </c>
      <c r="E26" s="52">
        <v>33.58</v>
      </c>
      <c r="F26" s="52">
        <v>11.86</v>
      </c>
      <c r="G26" s="52">
        <v>85.43</v>
      </c>
      <c r="H26" s="52">
        <v>31.47</v>
      </c>
      <c r="I26" s="53" t="s">
        <v>15</v>
      </c>
      <c r="J26" s="52">
        <v>0.9</v>
      </c>
      <c r="K26" s="52">
        <v>357.76</v>
      </c>
      <c r="L26" s="52">
        <v>22.55</v>
      </c>
      <c r="M26" s="52">
        <v>31.25</v>
      </c>
      <c r="N26" s="52">
        <v>100.8</v>
      </c>
      <c r="O26" s="52">
        <v>0</v>
      </c>
      <c r="P26" s="52">
        <v>1.6</v>
      </c>
      <c r="Q26" s="52">
        <v>10.37</v>
      </c>
      <c r="R26" s="43"/>
      <c r="S26" s="43"/>
      <c r="T26" s="43"/>
      <c r="U26" s="43"/>
    </row>
    <row r="27" spans="1:21" s="11" customFormat="1" x14ac:dyDescent="0.25">
      <c r="A27" s="51" t="s">
        <v>222</v>
      </c>
      <c r="B27" s="52">
        <v>42.73</v>
      </c>
      <c r="C27" s="52">
        <v>132.49</v>
      </c>
      <c r="D27" s="52">
        <v>97.68</v>
      </c>
      <c r="E27" s="52">
        <v>14.37</v>
      </c>
      <c r="F27" s="52">
        <v>2.87</v>
      </c>
      <c r="G27" s="52">
        <v>81.62</v>
      </c>
      <c r="H27" s="54" t="s">
        <v>14</v>
      </c>
      <c r="I27" s="53" t="s">
        <v>15</v>
      </c>
      <c r="J27" s="52">
        <v>0.76</v>
      </c>
      <c r="K27" s="52">
        <v>338.47</v>
      </c>
      <c r="L27" s="52">
        <v>20.7</v>
      </c>
      <c r="M27" s="52">
        <v>46.74</v>
      </c>
      <c r="N27" s="52">
        <v>77.8</v>
      </c>
      <c r="O27" s="52">
        <v>0</v>
      </c>
      <c r="P27" s="52">
        <v>1.86</v>
      </c>
      <c r="Q27" s="52">
        <v>10.39</v>
      </c>
      <c r="R27" s="43"/>
      <c r="S27" s="43"/>
      <c r="T27" s="43"/>
      <c r="U27" s="43"/>
    </row>
    <row r="28" spans="1:21" s="11" customFormat="1" x14ac:dyDescent="0.25">
      <c r="A28" s="51" t="s">
        <v>223</v>
      </c>
      <c r="B28" s="52">
        <v>65.14</v>
      </c>
      <c r="C28" s="52">
        <v>78.28</v>
      </c>
      <c r="D28" s="52">
        <v>79.790000000000006</v>
      </c>
      <c r="E28" s="52">
        <v>10.66</v>
      </c>
      <c r="F28" s="52">
        <v>2.57</v>
      </c>
      <c r="G28" s="52">
        <v>93.91</v>
      </c>
      <c r="H28" s="54" t="s">
        <v>14</v>
      </c>
      <c r="I28" s="53" t="s">
        <v>15</v>
      </c>
      <c r="J28" s="52">
        <v>0.66</v>
      </c>
      <c r="K28" s="52">
        <v>333.58</v>
      </c>
      <c r="L28" s="52">
        <v>18.850000000000001</v>
      </c>
      <c r="M28" s="52">
        <v>49.85</v>
      </c>
      <c r="N28" s="52">
        <v>77.5</v>
      </c>
      <c r="O28" s="52">
        <v>0</v>
      </c>
      <c r="P28" s="52">
        <v>1.59</v>
      </c>
      <c r="Q28" s="52">
        <v>10.64</v>
      </c>
      <c r="R28" s="43"/>
      <c r="S28" s="43"/>
      <c r="T28" s="43"/>
      <c r="U28" s="43"/>
    </row>
    <row r="29" spans="1:21" s="11" customFormat="1" x14ac:dyDescent="0.25">
      <c r="A29" s="51" t="s">
        <v>224</v>
      </c>
      <c r="B29" s="52">
        <v>92.98</v>
      </c>
      <c r="C29" s="52">
        <v>55.75</v>
      </c>
      <c r="D29" s="52">
        <v>97.26</v>
      </c>
      <c r="E29" s="52">
        <v>10.95</v>
      </c>
      <c r="F29" s="52">
        <v>2.13</v>
      </c>
      <c r="G29" s="52">
        <v>122.45</v>
      </c>
      <c r="H29" s="54" t="s">
        <v>14</v>
      </c>
      <c r="I29" s="53" t="s">
        <v>15</v>
      </c>
      <c r="J29" s="52">
        <v>0.61</v>
      </c>
      <c r="K29" s="52">
        <v>348.31</v>
      </c>
      <c r="L29" s="52">
        <v>18.53</v>
      </c>
      <c r="M29" s="52">
        <v>53.41</v>
      </c>
      <c r="N29" s="52">
        <v>77.5</v>
      </c>
      <c r="O29" s="52">
        <v>0</v>
      </c>
      <c r="P29" s="52">
        <v>1.91</v>
      </c>
      <c r="Q29" s="52">
        <v>11.09</v>
      </c>
      <c r="R29" s="43"/>
      <c r="S29" s="43"/>
      <c r="T29" s="43"/>
      <c r="U29" s="43"/>
    </row>
    <row r="30" spans="1:21" s="11" customFormat="1" x14ac:dyDescent="0.25">
      <c r="A30" s="51" t="s">
        <v>225</v>
      </c>
      <c r="B30" s="52">
        <v>124.28</v>
      </c>
      <c r="C30" s="52">
        <v>52.66</v>
      </c>
      <c r="D30" s="52">
        <v>121.19</v>
      </c>
      <c r="E30" s="52">
        <v>11.08</v>
      </c>
      <c r="F30" s="52">
        <v>2.13</v>
      </c>
      <c r="G30" s="52">
        <v>132.75</v>
      </c>
      <c r="H30" s="54" t="s">
        <v>14</v>
      </c>
      <c r="I30" s="53" t="s">
        <v>15</v>
      </c>
      <c r="J30" s="52">
        <v>0.67</v>
      </c>
      <c r="K30" s="52">
        <v>351.74</v>
      </c>
      <c r="L30" s="52">
        <v>17.329999999999998</v>
      </c>
      <c r="M30" s="52">
        <v>59.27</v>
      </c>
      <c r="N30" s="52">
        <v>77.400000000000006</v>
      </c>
      <c r="O30" s="52">
        <v>0</v>
      </c>
      <c r="P30" s="52">
        <v>2.6</v>
      </c>
      <c r="Q30" s="52">
        <v>11.1</v>
      </c>
      <c r="R30" s="43"/>
      <c r="S30" s="43"/>
      <c r="T30" s="43"/>
      <c r="U30" s="43"/>
    </row>
    <row r="31" spans="1:21" s="11" customFormat="1" x14ac:dyDescent="0.25">
      <c r="A31" s="51" t="s">
        <v>226</v>
      </c>
      <c r="B31" s="52">
        <v>134.80000000000001</v>
      </c>
      <c r="C31" s="52">
        <v>49.07</v>
      </c>
      <c r="D31" s="52">
        <v>132.36000000000001</v>
      </c>
      <c r="E31" s="52">
        <v>11.17</v>
      </c>
      <c r="F31" s="52">
        <v>2.13</v>
      </c>
      <c r="G31" s="52">
        <v>153.36000000000001</v>
      </c>
      <c r="H31" s="54" t="s">
        <v>14</v>
      </c>
      <c r="I31" s="53" t="s">
        <v>15</v>
      </c>
      <c r="J31" s="52">
        <v>0.68</v>
      </c>
      <c r="K31" s="52">
        <v>277.57</v>
      </c>
      <c r="L31" s="52">
        <v>17.149999999999999</v>
      </c>
      <c r="M31" s="52">
        <v>57.79</v>
      </c>
      <c r="N31" s="52">
        <v>77.5</v>
      </c>
      <c r="O31" s="52">
        <v>0</v>
      </c>
      <c r="P31" s="52">
        <v>2.87</v>
      </c>
      <c r="Q31" s="52">
        <v>11</v>
      </c>
      <c r="R31" s="43"/>
      <c r="S31" s="43"/>
      <c r="T31" s="43"/>
      <c r="U31" s="43"/>
    </row>
    <row r="32" spans="1:21" s="11" customFormat="1" x14ac:dyDescent="0.25">
      <c r="A32" s="51" t="s">
        <v>227</v>
      </c>
      <c r="B32" s="52">
        <v>150.86000000000001</v>
      </c>
      <c r="C32" s="52">
        <v>60.05</v>
      </c>
      <c r="D32" s="52">
        <v>148.66</v>
      </c>
      <c r="E32" s="52">
        <v>11.61</v>
      </c>
      <c r="F32" s="52">
        <v>2.1800000000000002</v>
      </c>
      <c r="G32" s="52">
        <v>175.32</v>
      </c>
      <c r="H32" s="54" t="s">
        <v>14</v>
      </c>
      <c r="I32" s="53" t="s">
        <v>15</v>
      </c>
      <c r="J32" s="52">
        <v>0.66</v>
      </c>
      <c r="K32" s="52">
        <v>340.84</v>
      </c>
      <c r="L32" s="52">
        <v>16.329999999999998</v>
      </c>
      <c r="M32" s="52">
        <v>66.72</v>
      </c>
      <c r="N32" s="52">
        <v>77.5</v>
      </c>
      <c r="O32" s="52">
        <v>0</v>
      </c>
      <c r="P32" s="52">
        <v>2.6</v>
      </c>
      <c r="Q32" s="52">
        <v>10.85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7.89</v>
      </c>
      <c r="C34" s="28">
        <f t="shared" si="0"/>
        <v>47.14</v>
      </c>
      <c r="D34" s="28">
        <f t="shared" si="0"/>
        <v>30.43</v>
      </c>
      <c r="E34" s="28">
        <f t="shared" si="0"/>
        <v>4.2</v>
      </c>
      <c r="F34" s="28">
        <f t="shared" si="0"/>
        <v>2.13</v>
      </c>
      <c r="G34" s="28">
        <f t="shared" si="0"/>
        <v>41.59</v>
      </c>
      <c r="H34" s="28">
        <f t="shared" si="0"/>
        <v>0.16</v>
      </c>
      <c r="I34" s="28">
        <f t="shared" si="0"/>
        <v>0</v>
      </c>
      <c r="J34" s="28">
        <f t="shared" si="0"/>
        <v>0.44</v>
      </c>
      <c r="K34" s="28">
        <f t="shared" si="0"/>
        <v>83.36</v>
      </c>
      <c r="L34" s="28">
        <f t="shared" si="0"/>
        <v>14.07</v>
      </c>
      <c r="M34" s="28">
        <f t="shared" si="0"/>
        <v>15.74</v>
      </c>
      <c r="N34" s="28">
        <f t="shared" si="0"/>
        <v>77.400000000000006</v>
      </c>
      <c r="O34" s="28">
        <f t="shared" si="0"/>
        <v>0</v>
      </c>
      <c r="P34" s="28">
        <f t="shared" si="0"/>
        <v>0.43</v>
      </c>
      <c r="Q34" s="28">
        <f t="shared" si="0"/>
        <v>9.5299999999999994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150.86000000000001</v>
      </c>
      <c r="C35" s="29">
        <f t="shared" si="1"/>
        <v>158.9</v>
      </c>
      <c r="D35" s="29">
        <f t="shared" si="1"/>
        <v>148.66</v>
      </c>
      <c r="E35" s="29">
        <f t="shared" si="1"/>
        <v>75.61</v>
      </c>
      <c r="F35" s="29">
        <f t="shared" si="1"/>
        <v>17.07</v>
      </c>
      <c r="G35" s="29">
        <f t="shared" si="1"/>
        <v>175.32</v>
      </c>
      <c r="H35" s="29">
        <f t="shared" si="1"/>
        <v>32.79</v>
      </c>
      <c r="I35" s="29">
        <f t="shared" si="1"/>
        <v>0</v>
      </c>
      <c r="J35" s="29">
        <f t="shared" si="1"/>
        <v>1.94</v>
      </c>
      <c r="K35" s="29">
        <f t="shared" si="1"/>
        <v>359.64</v>
      </c>
      <c r="L35" s="29">
        <f t="shared" si="1"/>
        <v>29.47</v>
      </c>
      <c r="M35" s="29">
        <f t="shared" si="1"/>
        <v>66.72</v>
      </c>
      <c r="N35" s="29">
        <f t="shared" si="1"/>
        <v>571.4</v>
      </c>
      <c r="O35" s="29">
        <f t="shared" si="1"/>
        <v>0</v>
      </c>
      <c r="P35" s="29">
        <f t="shared" si="1"/>
        <v>2.87</v>
      </c>
      <c r="Q35" s="29">
        <f t="shared" si="1"/>
        <v>11.1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36.558749999999996</v>
      </c>
      <c r="C36" s="28">
        <f t="shared" si="2"/>
        <v>69.984999999999999</v>
      </c>
      <c r="D36" s="28">
        <f t="shared" si="2"/>
        <v>62.789583333333333</v>
      </c>
      <c r="E36" s="28">
        <f t="shared" si="2"/>
        <v>12.147083333333335</v>
      </c>
      <c r="F36" s="28">
        <f t="shared" si="2"/>
        <v>3.5883333333333329</v>
      </c>
      <c r="G36" s="28">
        <f t="shared" si="2"/>
        <v>74.188750000000013</v>
      </c>
      <c r="H36" s="28">
        <f t="shared" si="2"/>
        <v>11.927777777777777</v>
      </c>
      <c r="I36" s="28" t="e">
        <f t="shared" si="2"/>
        <v>#DIV/0!</v>
      </c>
      <c r="J36" s="28">
        <f t="shared" si="2"/>
        <v>1.0591666666666668</v>
      </c>
      <c r="K36" s="28">
        <f t="shared" si="2"/>
        <v>316.13375000000002</v>
      </c>
      <c r="L36" s="28">
        <f t="shared" si="2"/>
        <v>20.28125</v>
      </c>
      <c r="M36" s="28">
        <f t="shared" si="2"/>
        <v>35.707916666666669</v>
      </c>
      <c r="N36" s="28">
        <f t="shared" si="2"/>
        <v>219.73333333333332</v>
      </c>
      <c r="O36" s="28">
        <f t="shared" si="2"/>
        <v>0</v>
      </c>
      <c r="P36" s="28">
        <f t="shared" si="2"/>
        <v>1.0450000000000002</v>
      </c>
      <c r="Q36" s="28">
        <f t="shared" si="2"/>
        <v>10.086666666666668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43.638505963396497</v>
      </c>
      <c r="C37" s="28">
        <f t="shared" ref="C37:Q37" si="3">STDEV(C9:C32)</f>
        <v>30.103171145968609</v>
      </c>
      <c r="D37" s="28">
        <f t="shared" si="3"/>
        <v>36.272121343744999</v>
      </c>
      <c r="E37" s="28">
        <f t="shared" si="3"/>
        <v>14.854339573561209</v>
      </c>
      <c r="F37" s="28">
        <f t="shared" si="3"/>
        <v>3.77682367889332</v>
      </c>
      <c r="G37" s="28">
        <f t="shared" si="3"/>
        <v>36.241062743859281</v>
      </c>
      <c r="H37" s="28">
        <f t="shared" si="3"/>
        <v>13.421408996243445</v>
      </c>
      <c r="I37" s="28" t="e">
        <f t="shared" si="3"/>
        <v>#DIV/0!</v>
      </c>
      <c r="J37" s="28">
        <f t="shared" si="3"/>
        <v>0.48382458792837046</v>
      </c>
      <c r="K37" s="28">
        <f t="shared" si="3"/>
        <v>85.51889172485717</v>
      </c>
      <c r="L37" s="28">
        <f t="shared" si="3"/>
        <v>4.8901118618840576</v>
      </c>
      <c r="M37" s="28">
        <f t="shared" si="3"/>
        <v>13.929769179137818</v>
      </c>
      <c r="N37" s="28">
        <f t="shared" si="3"/>
        <v>195.20968139450702</v>
      </c>
      <c r="O37" s="28">
        <f t="shared" si="3"/>
        <v>0</v>
      </c>
      <c r="P37" s="28">
        <f t="shared" si="3"/>
        <v>0.78004459181343677</v>
      </c>
      <c r="Q37" s="28">
        <f t="shared" si="3"/>
        <v>0.53667791868661519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COUNT(H9:H32)+15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228</v>
      </c>
      <c r="B9" s="52">
        <v>151.94999999999999</v>
      </c>
      <c r="C9" s="52">
        <v>56.36</v>
      </c>
      <c r="D9" s="52">
        <v>149.69999999999999</v>
      </c>
      <c r="E9" s="52">
        <v>10.73</v>
      </c>
      <c r="F9" s="52">
        <v>2.13</v>
      </c>
      <c r="G9" s="52">
        <v>196.03</v>
      </c>
      <c r="H9" s="52">
        <v>55.82</v>
      </c>
      <c r="I9" s="53" t="s">
        <v>15</v>
      </c>
      <c r="J9" s="52">
        <v>0.62</v>
      </c>
      <c r="K9" s="52">
        <v>326.62</v>
      </c>
      <c r="L9" s="52">
        <v>15.79</v>
      </c>
      <c r="M9" s="52">
        <v>63.7</v>
      </c>
      <c r="N9" s="52">
        <v>77.5</v>
      </c>
      <c r="O9" s="52">
        <v>0</v>
      </c>
      <c r="P9" s="52">
        <v>2.6</v>
      </c>
      <c r="Q9" s="52">
        <v>10.86</v>
      </c>
      <c r="R9" s="43"/>
      <c r="S9" s="43"/>
      <c r="T9" s="43"/>
      <c r="U9" s="43"/>
    </row>
    <row r="10" spans="1:21" s="11" customFormat="1" x14ac:dyDescent="0.25">
      <c r="A10" s="51" t="s">
        <v>229</v>
      </c>
      <c r="B10" s="52">
        <v>138.93</v>
      </c>
      <c r="C10" s="52">
        <v>57.76</v>
      </c>
      <c r="D10" s="52">
        <v>140.21</v>
      </c>
      <c r="E10" s="52">
        <v>9.73</v>
      </c>
      <c r="F10" s="52">
        <v>2.13</v>
      </c>
      <c r="G10" s="52">
        <v>172.45</v>
      </c>
      <c r="H10" s="52">
        <v>48.47</v>
      </c>
      <c r="I10" s="53" t="s">
        <v>15</v>
      </c>
      <c r="J10" s="52">
        <v>0.68</v>
      </c>
      <c r="K10" s="52">
        <v>257.83</v>
      </c>
      <c r="L10" s="52">
        <v>15.47</v>
      </c>
      <c r="M10" s="52">
        <v>72.680000000000007</v>
      </c>
      <c r="N10" s="52">
        <v>77.400000000000006</v>
      </c>
      <c r="O10" s="52">
        <v>0</v>
      </c>
      <c r="P10" s="52">
        <v>2.2200000000000002</v>
      </c>
      <c r="Q10" s="52">
        <v>10.75</v>
      </c>
      <c r="R10" s="43"/>
      <c r="S10" s="43"/>
      <c r="T10" s="43"/>
      <c r="U10" s="43"/>
    </row>
    <row r="11" spans="1:21" s="11" customFormat="1" x14ac:dyDescent="0.25">
      <c r="A11" s="51" t="s">
        <v>230</v>
      </c>
      <c r="B11" s="52">
        <v>125.82</v>
      </c>
      <c r="C11" s="52">
        <v>47.06</v>
      </c>
      <c r="D11" s="52">
        <v>124.11</v>
      </c>
      <c r="E11" s="52">
        <v>8.76</v>
      </c>
      <c r="F11" s="52">
        <v>2.13</v>
      </c>
      <c r="G11" s="52">
        <v>147.85</v>
      </c>
      <c r="H11" s="52">
        <v>46.7</v>
      </c>
      <c r="I11" s="53" t="s">
        <v>15</v>
      </c>
      <c r="J11" s="52">
        <v>0.67</v>
      </c>
      <c r="K11" s="52">
        <v>333.63</v>
      </c>
      <c r="L11" s="52">
        <v>15.08</v>
      </c>
      <c r="M11" s="52">
        <v>80.91</v>
      </c>
      <c r="N11" s="52">
        <v>77.7</v>
      </c>
      <c r="O11" s="52">
        <v>0</v>
      </c>
      <c r="P11" s="52">
        <v>1.94</v>
      </c>
      <c r="Q11" s="52">
        <v>10.56</v>
      </c>
      <c r="R11" s="43"/>
      <c r="S11" s="43"/>
      <c r="T11" s="43"/>
      <c r="U11" s="43"/>
    </row>
    <row r="12" spans="1:21" s="11" customFormat="1" x14ac:dyDescent="0.25">
      <c r="A12" s="51" t="s">
        <v>231</v>
      </c>
      <c r="B12" s="52">
        <v>115.43</v>
      </c>
      <c r="C12" s="52">
        <v>56.13</v>
      </c>
      <c r="D12" s="52">
        <v>115.29</v>
      </c>
      <c r="E12" s="52">
        <v>7.84</v>
      </c>
      <c r="F12" s="52">
        <v>2.13</v>
      </c>
      <c r="G12" s="52">
        <v>142.31</v>
      </c>
      <c r="H12" s="52">
        <v>34.090000000000003</v>
      </c>
      <c r="I12" s="53" t="s">
        <v>15</v>
      </c>
      <c r="J12" s="52">
        <v>1.24</v>
      </c>
      <c r="K12" s="52">
        <v>354.05</v>
      </c>
      <c r="L12" s="52">
        <v>15.01</v>
      </c>
      <c r="M12" s="52">
        <v>83.75</v>
      </c>
      <c r="N12" s="52">
        <v>77.400000000000006</v>
      </c>
      <c r="O12" s="52">
        <v>0</v>
      </c>
      <c r="P12" s="52">
        <v>1.77</v>
      </c>
      <c r="Q12" s="52">
        <v>10.39</v>
      </c>
      <c r="R12" s="43"/>
      <c r="S12" s="43"/>
      <c r="T12" s="43"/>
      <c r="U12" s="43"/>
    </row>
    <row r="13" spans="1:21" s="11" customFormat="1" x14ac:dyDescent="0.25">
      <c r="A13" s="51" t="s">
        <v>232</v>
      </c>
      <c r="B13" s="52">
        <v>97.58</v>
      </c>
      <c r="C13" s="52">
        <v>58.26</v>
      </c>
      <c r="D13" s="52">
        <v>107.32</v>
      </c>
      <c r="E13" s="52">
        <v>7.82</v>
      </c>
      <c r="F13" s="52">
        <v>2.13</v>
      </c>
      <c r="G13" s="52">
        <v>114.85</v>
      </c>
      <c r="H13" s="52">
        <v>51.97</v>
      </c>
      <c r="I13" s="53" t="s">
        <v>15</v>
      </c>
      <c r="J13" s="52">
        <v>1.38</v>
      </c>
      <c r="K13" s="52">
        <v>358.81</v>
      </c>
      <c r="L13" s="52">
        <v>15.01</v>
      </c>
      <c r="M13" s="52">
        <v>54.43</v>
      </c>
      <c r="N13" s="52">
        <v>77.2</v>
      </c>
      <c r="O13" s="52">
        <v>0</v>
      </c>
      <c r="P13" s="52">
        <v>1.6</v>
      </c>
      <c r="Q13" s="52">
        <v>10.29</v>
      </c>
      <c r="R13" s="43"/>
      <c r="S13" s="43"/>
      <c r="T13" s="43"/>
      <c r="U13" s="43"/>
    </row>
    <row r="14" spans="1:21" s="11" customFormat="1" x14ac:dyDescent="0.25">
      <c r="A14" s="51" t="s">
        <v>233</v>
      </c>
      <c r="B14" s="52">
        <v>79.34</v>
      </c>
      <c r="C14" s="52">
        <v>52.31</v>
      </c>
      <c r="D14" s="52">
        <v>89.58</v>
      </c>
      <c r="E14" s="52">
        <v>6.27</v>
      </c>
      <c r="F14" s="52">
        <v>2.13</v>
      </c>
      <c r="G14" s="52">
        <v>70.650000000000006</v>
      </c>
      <c r="H14" s="52">
        <v>149.6</v>
      </c>
      <c r="I14" s="53" t="s">
        <v>15</v>
      </c>
      <c r="J14" s="52">
        <v>1.2</v>
      </c>
      <c r="K14" s="52">
        <v>357.1</v>
      </c>
      <c r="L14" s="52">
        <v>14.84</v>
      </c>
      <c r="M14" s="52">
        <v>46.51</v>
      </c>
      <c r="N14" s="52">
        <v>77.599999999999994</v>
      </c>
      <c r="O14" s="52">
        <v>0</v>
      </c>
      <c r="P14" s="52">
        <v>1.27</v>
      </c>
      <c r="Q14" s="52">
        <v>10.19</v>
      </c>
      <c r="R14" s="43"/>
      <c r="S14" s="43"/>
      <c r="T14" s="43"/>
      <c r="U14" s="43"/>
    </row>
    <row r="15" spans="1:21" s="11" customFormat="1" x14ac:dyDescent="0.25">
      <c r="A15" s="51" t="s">
        <v>234</v>
      </c>
      <c r="B15" s="52">
        <v>66.44</v>
      </c>
      <c r="C15" s="52">
        <v>48.97</v>
      </c>
      <c r="D15" s="52">
        <v>77.489999999999995</v>
      </c>
      <c r="E15" s="52">
        <v>5.5</v>
      </c>
      <c r="F15" s="52">
        <v>2.13</v>
      </c>
      <c r="G15" s="52">
        <v>69.319999999999993</v>
      </c>
      <c r="H15" s="52">
        <v>19.989999999999998</v>
      </c>
      <c r="I15" s="53" t="s">
        <v>15</v>
      </c>
      <c r="J15" s="52">
        <v>0.7</v>
      </c>
      <c r="K15" s="52">
        <v>345.41</v>
      </c>
      <c r="L15" s="52">
        <v>14.1</v>
      </c>
      <c r="M15" s="52">
        <v>45.6</v>
      </c>
      <c r="N15" s="52">
        <v>91.4</v>
      </c>
      <c r="O15" s="52">
        <v>0</v>
      </c>
      <c r="P15" s="52">
        <v>1.02</v>
      </c>
      <c r="Q15" s="52">
        <v>10.1</v>
      </c>
      <c r="R15" s="43"/>
      <c r="S15" s="43"/>
      <c r="T15" s="43"/>
      <c r="U15" s="43"/>
    </row>
    <row r="16" spans="1:21" s="11" customFormat="1" x14ac:dyDescent="0.25">
      <c r="A16" s="51" t="s">
        <v>235</v>
      </c>
      <c r="B16" s="52">
        <v>59.39</v>
      </c>
      <c r="C16" s="52">
        <v>47.23</v>
      </c>
      <c r="D16" s="52">
        <v>70.22</v>
      </c>
      <c r="E16" s="52">
        <v>5.54</v>
      </c>
      <c r="F16" s="52">
        <v>2.13</v>
      </c>
      <c r="G16" s="52">
        <v>44.67</v>
      </c>
      <c r="H16" s="52">
        <v>19.989999999999998</v>
      </c>
      <c r="I16" s="53" t="s">
        <v>15</v>
      </c>
      <c r="J16" s="52">
        <v>0.65</v>
      </c>
      <c r="K16" s="52">
        <v>358.18</v>
      </c>
      <c r="L16" s="52">
        <v>16.57</v>
      </c>
      <c r="M16" s="52">
        <v>46.17</v>
      </c>
      <c r="N16" s="52">
        <v>237.5</v>
      </c>
      <c r="O16" s="52">
        <v>0</v>
      </c>
      <c r="P16" s="52">
        <v>1.03</v>
      </c>
      <c r="Q16" s="52">
        <v>9.98</v>
      </c>
      <c r="R16" s="43"/>
      <c r="S16" s="43"/>
      <c r="T16" s="43"/>
      <c r="U16" s="43"/>
    </row>
    <row r="17" spans="1:21" s="11" customFormat="1" x14ac:dyDescent="0.25">
      <c r="A17" s="51" t="s">
        <v>236</v>
      </c>
      <c r="B17" s="52">
        <v>55.32</v>
      </c>
      <c r="C17" s="52">
        <v>51.62</v>
      </c>
      <c r="D17" s="52">
        <v>68.92</v>
      </c>
      <c r="E17" s="52">
        <v>5.43</v>
      </c>
      <c r="F17" s="52">
        <v>2.13</v>
      </c>
      <c r="G17" s="52">
        <v>52.07</v>
      </c>
      <c r="H17" s="52">
        <v>19.989999999999998</v>
      </c>
      <c r="I17" s="53" t="s">
        <v>15</v>
      </c>
      <c r="J17" s="52">
        <v>1.07</v>
      </c>
      <c r="K17" s="52">
        <v>103.01</v>
      </c>
      <c r="L17" s="52">
        <v>20.09</v>
      </c>
      <c r="M17" s="52">
        <v>34.340000000000003</v>
      </c>
      <c r="N17" s="52">
        <v>411.2</v>
      </c>
      <c r="O17" s="52">
        <v>0</v>
      </c>
      <c r="P17" s="52">
        <v>0.96</v>
      </c>
      <c r="Q17" s="52">
        <v>9.9</v>
      </c>
      <c r="R17" s="43"/>
      <c r="S17" s="43"/>
      <c r="T17" s="43"/>
      <c r="U17" s="43"/>
    </row>
    <row r="18" spans="1:21" s="11" customFormat="1" x14ac:dyDescent="0.25">
      <c r="A18" s="51" t="s">
        <v>237</v>
      </c>
      <c r="B18" s="52">
        <v>51.23</v>
      </c>
      <c r="C18" s="52">
        <v>51.17</v>
      </c>
      <c r="D18" s="52">
        <v>66.06</v>
      </c>
      <c r="E18" s="52">
        <v>5.35</v>
      </c>
      <c r="F18" s="52">
        <v>2.13</v>
      </c>
      <c r="G18" s="52">
        <v>65.58</v>
      </c>
      <c r="H18" s="52">
        <v>19.989999999999998</v>
      </c>
      <c r="I18" s="53" t="s">
        <v>15</v>
      </c>
      <c r="J18" s="52">
        <v>1.76</v>
      </c>
      <c r="K18" s="52">
        <v>97.06</v>
      </c>
      <c r="L18" s="52">
        <v>22.12</v>
      </c>
      <c r="M18" s="52">
        <v>31.03</v>
      </c>
      <c r="N18" s="52">
        <v>544.20000000000005</v>
      </c>
      <c r="O18" s="52">
        <v>0</v>
      </c>
      <c r="P18" s="52">
        <v>0.87</v>
      </c>
      <c r="Q18" s="52">
        <v>9.89</v>
      </c>
      <c r="R18" s="43"/>
      <c r="S18" s="43"/>
      <c r="T18" s="43"/>
      <c r="U18" s="43"/>
    </row>
    <row r="19" spans="1:21" s="11" customFormat="1" x14ac:dyDescent="0.25">
      <c r="A19" s="51" t="s">
        <v>238</v>
      </c>
      <c r="B19" s="52">
        <v>42.33</v>
      </c>
      <c r="C19" s="52">
        <v>52.77</v>
      </c>
      <c r="D19" s="52">
        <v>60.14</v>
      </c>
      <c r="E19" s="52">
        <v>4.42</v>
      </c>
      <c r="F19" s="52">
        <v>2.13</v>
      </c>
      <c r="G19" s="52">
        <v>64.42</v>
      </c>
      <c r="H19" s="52">
        <v>19.989999999999998</v>
      </c>
      <c r="I19" s="53" t="s">
        <v>15</v>
      </c>
      <c r="J19" s="52">
        <v>1.99</v>
      </c>
      <c r="K19" s="52">
        <v>357.55</v>
      </c>
      <c r="L19" s="52">
        <v>26.63</v>
      </c>
      <c r="M19" s="52">
        <v>26.95</v>
      </c>
      <c r="N19" s="52">
        <v>581.79999999999995</v>
      </c>
      <c r="O19" s="52">
        <v>0</v>
      </c>
      <c r="P19" s="52">
        <v>0.75</v>
      </c>
      <c r="Q19" s="52">
        <v>9.8699999999999992</v>
      </c>
      <c r="R19" s="43"/>
      <c r="S19" s="43"/>
      <c r="T19" s="43"/>
      <c r="U19" s="43"/>
    </row>
    <row r="20" spans="1:21" s="11" customFormat="1" x14ac:dyDescent="0.25">
      <c r="A20" s="51" t="s">
        <v>239</v>
      </c>
      <c r="B20" s="52">
        <v>34.840000000000003</v>
      </c>
      <c r="C20" s="52">
        <v>51.3</v>
      </c>
      <c r="D20" s="52">
        <v>52.58</v>
      </c>
      <c r="E20" s="52">
        <v>4.54</v>
      </c>
      <c r="F20" s="52">
        <v>2.13</v>
      </c>
      <c r="G20" s="52">
        <v>47.97</v>
      </c>
      <c r="H20" s="52">
        <v>18.48</v>
      </c>
      <c r="I20" s="53" t="s">
        <v>15</v>
      </c>
      <c r="J20" s="52">
        <v>0.7</v>
      </c>
      <c r="K20" s="52">
        <v>338.05</v>
      </c>
      <c r="L20" s="52">
        <v>26.71</v>
      </c>
      <c r="M20" s="52">
        <v>25.24</v>
      </c>
      <c r="N20" s="52">
        <v>581.29999999999995</v>
      </c>
      <c r="O20" s="52">
        <v>0</v>
      </c>
      <c r="P20" s="52">
        <v>0.66</v>
      </c>
      <c r="Q20" s="52">
        <v>9.7899999999999991</v>
      </c>
      <c r="R20" s="43"/>
      <c r="S20" s="43"/>
      <c r="T20" s="43"/>
      <c r="U20" s="43"/>
    </row>
    <row r="21" spans="1:21" s="11" customFormat="1" x14ac:dyDescent="0.25">
      <c r="A21" s="51" t="s">
        <v>240</v>
      </c>
      <c r="B21" s="52">
        <v>29.7</v>
      </c>
      <c r="C21" s="52">
        <v>55.39</v>
      </c>
      <c r="D21" s="52">
        <v>49.48</v>
      </c>
      <c r="E21" s="52">
        <v>4.6100000000000003</v>
      </c>
      <c r="F21" s="52">
        <v>2.13</v>
      </c>
      <c r="G21" s="52">
        <v>42.7</v>
      </c>
      <c r="H21" s="52">
        <v>166.32</v>
      </c>
      <c r="I21" s="53" t="s">
        <v>15</v>
      </c>
      <c r="J21" s="52">
        <v>1.22</v>
      </c>
      <c r="K21" s="52">
        <v>351.32</v>
      </c>
      <c r="L21" s="52">
        <v>29.3</v>
      </c>
      <c r="M21" s="52">
        <v>21.11</v>
      </c>
      <c r="N21" s="52">
        <v>564.79999999999995</v>
      </c>
      <c r="O21" s="52">
        <v>0</v>
      </c>
      <c r="P21" s="52">
        <v>0.62</v>
      </c>
      <c r="Q21" s="52">
        <v>9.74</v>
      </c>
      <c r="R21" s="43"/>
      <c r="S21" s="43"/>
      <c r="T21" s="43"/>
      <c r="U21" s="43"/>
    </row>
    <row r="22" spans="1:21" s="11" customFormat="1" x14ac:dyDescent="0.25">
      <c r="A22" s="51" t="s">
        <v>241</v>
      </c>
      <c r="B22" s="52">
        <v>25.28</v>
      </c>
      <c r="C22" s="52">
        <v>58.22</v>
      </c>
      <c r="D22" s="52">
        <v>47.76</v>
      </c>
      <c r="E22" s="52">
        <v>4.4800000000000004</v>
      </c>
      <c r="F22" s="52">
        <v>2.13</v>
      </c>
      <c r="G22" s="52">
        <v>44.85</v>
      </c>
      <c r="H22" s="52">
        <v>88.31</v>
      </c>
      <c r="I22" s="53" t="s">
        <v>15</v>
      </c>
      <c r="J22" s="52">
        <v>1.0900000000000001</v>
      </c>
      <c r="K22" s="52">
        <v>350.04</v>
      </c>
      <c r="L22" s="52">
        <v>29.5</v>
      </c>
      <c r="M22" s="52">
        <v>20.37</v>
      </c>
      <c r="N22" s="52">
        <v>534.70000000000005</v>
      </c>
      <c r="O22" s="52">
        <v>0</v>
      </c>
      <c r="P22" s="52">
        <v>0.68</v>
      </c>
      <c r="Q22" s="52">
        <v>9.7200000000000006</v>
      </c>
      <c r="R22" s="43"/>
      <c r="S22" s="43"/>
      <c r="T22" s="43"/>
      <c r="U22" s="43"/>
    </row>
    <row r="23" spans="1:21" s="11" customFormat="1" x14ac:dyDescent="0.25">
      <c r="A23" s="51" t="s">
        <v>242</v>
      </c>
      <c r="B23" s="52">
        <v>19.059999999999999</v>
      </c>
      <c r="C23" s="52">
        <v>60.64</v>
      </c>
      <c r="D23" s="52">
        <v>44.63</v>
      </c>
      <c r="E23" s="52">
        <v>4.92</v>
      </c>
      <c r="F23" s="52">
        <v>2.13</v>
      </c>
      <c r="G23" s="52">
        <v>62.95</v>
      </c>
      <c r="H23" s="52">
        <v>78.06</v>
      </c>
      <c r="I23" s="53" t="s">
        <v>15</v>
      </c>
      <c r="J23" s="52">
        <v>1.91</v>
      </c>
      <c r="K23" s="52">
        <v>355.68</v>
      </c>
      <c r="L23" s="52">
        <v>29.29</v>
      </c>
      <c r="M23" s="52">
        <v>22.63</v>
      </c>
      <c r="N23" s="52">
        <v>425.1</v>
      </c>
      <c r="O23" s="52">
        <v>0</v>
      </c>
      <c r="P23" s="52">
        <v>0.69</v>
      </c>
      <c r="Q23" s="52">
        <v>9.6999999999999993</v>
      </c>
      <c r="R23" s="43"/>
      <c r="S23" s="43"/>
      <c r="T23" s="43"/>
      <c r="U23" s="43"/>
    </row>
    <row r="24" spans="1:21" s="11" customFormat="1" x14ac:dyDescent="0.25">
      <c r="A24" s="51" t="s">
        <v>243</v>
      </c>
      <c r="B24" s="52">
        <v>14.43</v>
      </c>
      <c r="C24" s="52">
        <v>57.36</v>
      </c>
      <c r="D24" s="52">
        <v>40.17</v>
      </c>
      <c r="E24" s="52">
        <v>5.83</v>
      </c>
      <c r="F24" s="52">
        <v>2.13</v>
      </c>
      <c r="G24" s="52">
        <v>75.67</v>
      </c>
      <c r="H24" s="52">
        <v>89.47</v>
      </c>
      <c r="I24" s="53" t="s">
        <v>15</v>
      </c>
      <c r="J24" s="52">
        <v>1.99</v>
      </c>
      <c r="K24" s="52">
        <v>354.42</v>
      </c>
      <c r="L24" s="52">
        <v>27.6</v>
      </c>
      <c r="M24" s="52">
        <v>25.7</v>
      </c>
      <c r="N24" s="52">
        <v>321.5</v>
      </c>
      <c r="O24" s="52">
        <v>0</v>
      </c>
      <c r="P24" s="52">
        <v>0.66</v>
      </c>
      <c r="Q24" s="52">
        <v>9.67</v>
      </c>
      <c r="R24" s="43"/>
      <c r="S24" s="43"/>
      <c r="T24" s="43"/>
      <c r="U24" s="43"/>
    </row>
    <row r="25" spans="1:21" s="11" customFormat="1" x14ac:dyDescent="0.25">
      <c r="A25" s="51" t="s">
        <v>244</v>
      </c>
      <c r="B25" s="52">
        <v>13.22</v>
      </c>
      <c r="C25" s="52">
        <v>56.66</v>
      </c>
      <c r="D25" s="52">
        <v>38.68</v>
      </c>
      <c r="E25" s="52">
        <v>6.1</v>
      </c>
      <c r="F25" s="52">
        <v>2.13</v>
      </c>
      <c r="G25" s="52">
        <v>79.02</v>
      </c>
      <c r="H25" s="52">
        <v>38.75</v>
      </c>
      <c r="I25" s="53" t="s">
        <v>15</v>
      </c>
      <c r="J25" s="52">
        <v>1.63</v>
      </c>
      <c r="K25" s="52">
        <v>339.76</v>
      </c>
      <c r="L25" s="52">
        <v>25.73</v>
      </c>
      <c r="M25" s="52">
        <v>27.24</v>
      </c>
      <c r="N25" s="52">
        <v>126.2</v>
      </c>
      <c r="O25" s="52">
        <v>0</v>
      </c>
      <c r="P25" s="52">
        <v>0.69</v>
      </c>
      <c r="Q25" s="52">
        <v>9.6300000000000008</v>
      </c>
      <c r="R25" s="43"/>
      <c r="S25" s="43"/>
      <c r="T25" s="43"/>
      <c r="U25" s="43"/>
    </row>
    <row r="26" spans="1:21" s="11" customFormat="1" x14ac:dyDescent="0.25">
      <c r="A26" s="51" t="s">
        <v>245</v>
      </c>
      <c r="B26" s="52">
        <v>17</v>
      </c>
      <c r="C26" s="52">
        <v>58.04</v>
      </c>
      <c r="D26" s="52">
        <v>42.58</v>
      </c>
      <c r="E26" s="52">
        <v>6.37</v>
      </c>
      <c r="F26" s="52">
        <v>2.13</v>
      </c>
      <c r="G26" s="52">
        <v>69.05</v>
      </c>
      <c r="H26" s="52">
        <v>55.94</v>
      </c>
      <c r="I26" s="53" t="s">
        <v>15</v>
      </c>
      <c r="J26" s="52">
        <v>1.57</v>
      </c>
      <c r="K26" s="52">
        <v>355.89</v>
      </c>
      <c r="L26" s="52">
        <v>24.56</v>
      </c>
      <c r="M26" s="52">
        <v>29.21</v>
      </c>
      <c r="N26" s="52">
        <v>101.8</v>
      </c>
      <c r="O26" s="52">
        <v>0</v>
      </c>
      <c r="P26" s="52">
        <v>0.8</v>
      </c>
      <c r="Q26" s="52">
        <v>9.61</v>
      </c>
      <c r="R26" s="43"/>
      <c r="S26" s="43"/>
      <c r="T26" s="43"/>
      <c r="U26" s="43"/>
    </row>
    <row r="27" spans="1:21" s="11" customFormat="1" x14ac:dyDescent="0.25">
      <c r="A27" s="51" t="s">
        <v>246</v>
      </c>
      <c r="B27" s="52">
        <v>26.21</v>
      </c>
      <c r="C27" s="52">
        <v>60.58</v>
      </c>
      <c r="D27" s="52">
        <v>51.29</v>
      </c>
      <c r="E27" s="52">
        <v>6.51</v>
      </c>
      <c r="F27" s="52">
        <v>2.13</v>
      </c>
      <c r="G27" s="52">
        <v>93.57</v>
      </c>
      <c r="H27" s="52">
        <v>57.73</v>
      </c>
      <c r="I27" s="53" t="s">
        <v>15</v>
      </c>
      <c r="J27" s="52">
        <v>0.92</v>
      </c>
      <c r="K27" s="52">
        <v>359.85</v>
      </c>
      <c r="L27" s="52">
        <v>22.09</v>
      </c>
      <c r="M27" s="52">
        <v>32.58</v>
      </c>
      <c r="N27" s="52">
        <v>79</v>
      </c>
      <c r="O27" s="52">
        <v>0</v>
      </c>
      <c r="P27" s="52">
        <v>1.1499999999999999</v>
      </c>
      <c r="Q27" s="52">
        <v>9.66</v>
      </c>
      <c r="R27" s="43"/>
      <c r="S27" s="43"/>
      <c r="T27" s="43"/>
      <c r="U27" s="43"/>
    </row>
    <row r="28" spans="1:21" s="11" customFormat="1" x14ac:dyDescent="0.25">
      <c r="A28" s="51" t="s">
        <v>247</v>
      </c>
      <c r="B28" s="52">
        <v>35.15</v>
      </c>
      <c r="C28" s="52">
        <v>61.26</v>
      </c>
      <c r="D28" s="52">
        <v>56.99</v>
      </c>
      <c r="E28" s="52">
        <v>6.81</v>
      </c>
      <c r="F28" s="52">
        <v>2.13</v>
      </c>
      <c r="G28" s="52">
        <v>78.86</v>
      </c>
      <c r="H28" s="52">
        <v>57.73</v>
      </c>
      <c r="I28" s="53" t="s">
        <v>15</v>
      </c>
      <c r="J28" s="52">
        <v>0.74</v>
      </c>
      <c r="K28" s="52">
        <v>353.96</v>
      </c>
      <c r="L28" s="52">
        <v>20.28</v>
      </c>
      <c r="M28" s="52">
        <v>35.630000000000003</v>
      </c>
      <c r="N28" s="52">
        <v>78.400000000000006</v>
      </c>
      <c r="O28" s="52">
        <v>0</v>
      </c>
      <c r="P28" s="52">
        <v>1.66</v>
      </c>
      <c r="Q28" s="52">
        <v>9.7100000000000009</v>
      </c>
      <c r="R28" s="43"/>
      <c r="S28" s="43"/>
      <c r="T28" s="43"/>
      <c r="U28" s="43"/>
    </row>
    <row r="29" spans="1:21" s="11" customFormat="1" x14ac:dyDescent="0.25">
      <c r="A29" s="51" t="s">
        <v>248</v>
      </c>
      <c r="B29" s="52">
        <v>38.21</v>
      </c>
      <c r="C29" s="52">
        <v>58.15</v>
      </c>
      <c r="D29" s="52">
        <v>59.03</v>
      </c>
      <c r="E29" s="52">
        <v>6.68</v>
      </c>
      <c r="F29" s="52">
        <v>2.13</v>
      </c>
      <c r="G29" s="52">
        <v>97.91</v>
      </c>
      <c r="H29" s="52">
        <v>77.09</v>
      </c>
      <c r="I29" s="53" t="s">
        <v>15</v>
      </c>
      <c r="J29" s="52">
        <v>0.77</v>
      </c>
      <c r="K29" s="52">
        <v>67.64</v>
      </c>
      <c r="L29" s="52">
        <v>19.059999999999999</v>
      </c>
      <c r="M29" s="52">
        <v>38.549999999999997</v>
      </c>
      <c r="N29" s="52">
        <v>78.099999999999994</v>
      </c>
      <c r="O29" s="52">
        <v>0</v>
      </c>
      <c r="P29" s="52">
        <v>1.68</v>
      </c>
      <c r="Q29" s="52">
        <v>9.7100000000000009</v>
      </c>
      <c r="R29" s="43"/>
      <c r="S29" s="43"/>
      <c r="T29" s="43"/>
      <c r="U29" s="43"/>
    </row>
    <row r="30" spans="1:21" s="11" customFormat="1" x14ac:dyDescent="0.25">
      <c r="A30" s="51" t="s">
        <v>249</v>
      </c>
      <c r="B30" s="52">
        <v>40.380000000000003</v>
      </c>
      <c r="C30" s="52">
        <v>58.81</v>
      </c>
      <c r="D30" s="52">
        <v>61.73</v>
      </c>
      <c r="E30" s="52">
        <v>6.95</v>
      </c>
      <c r="F30" s="52">
        <v>2.13</v>
      </c>
      <c r="G30" s="52">
        <v>111.69</v>
      </c>
      <c r="H30" s="52">
        <v>86.25</v>
      </c>
      <c r="I30" s="53" t="s">
        <v>15</v>
      </c>
      <c r="J30" s="52">
        <v>0.66</v>
      </c>
      <c r="K30" s="52">
        <v>61.7</v>
      </c>
      <c r="L30" s="52">
        <v>18.14</v>
      </c>
      <c r="M30" s="52">
        <v>38.450000000000003</v>
      </c>
      <c r="N30" s="52">
        <v>78.2</v>
      </c>
      <c r="O30" s="52">
        <v>0</v>
      </c>
      <c r="P30" s="52">
        <v>1.56</v>
      </c>
      <c r="Q30" s="52">
        <v>9.7200000000000006</v>
      </c>
      <c r="R30" s="43"/>
      <c r="S30" s="43"/>
      <c r="T30" s="43"/>
      <c r="U30" s="43"/>
    </row>
    <row r="31" spans="1:21" s="11" customFormat="1" x14ac:dyDescent="0.25">
      <c r="A31" s="51" t="s">
        <v>250</v>
      </c>
      <c r="B31" s="52">
        <v>46.43</v>
      </c>
      <c r="C31" s="52">
        <v>59.92</v>
      </c>
      <c r="D31" s="52">
        <v>67.17</v>
      </c>
      <c r="E31" s="52">
        <v>6.85</v>
      </c>
      <c r="F31" s="52">
        <v>2.13</v>
      </c>
      <c r="G31" s="52">
        <v>85.17</v>
      </c>
      <c r="H31" s="52">
        <v>132</v>
      </c>
      <c r="I31" s="53" t="s">
        <v>15</v>
      </c>
      <c r="J31" s="52">
        <v>0.57999999999999996</v>
      </c>
      <c r="K31" s="52">
        <v>348.5</v>
      </c>
      <c r="L31" s="52">
        <v>17.29</v>
      </c>
      <c r="M31" s="52">
        <v>40.130000000000003</v>
      </c>
      <c r="N31" s="52">
        <v>78.400000000000006</v>
      </c>
      <c r="O31" s="52">
        <v>0</v>
      </c>
      <c r="P31" s="52">
        <v>1.48</v>
      </c>
      <c r="Q31" s="52">
        <v>9.74</v>
      </c>
      <c r="R31" s="43"/>
      <c r="S31" s="43"/>
      <c r="T31" s="43"/>
      <c r="U31" s="43"/>
    </row>
    <row r="32" spans="1:21" s="11" customFormat="1" x14ac:dyDescent="0.25">
      <c r="A32" s="51" t="s">
        <v>251</v>
      </c>
      <c r="B32" s="52">
        <v>46.27</v>
      </c>
      <c r="C32" s="52">
        <v>59.97</v>
      </c>
      <c r="D32" s="52">
        <v>67.06</v>
      </c>
      <c r="E32" s="52">
        <v>7</v>
      </c>
      <c r="F32" s="52">
        <v>2.13</v>
      </c>
      <c r="G32" s="52">
        <v>87.74</v>
      </c>
      <c r="H32" s="52">
        <v>9.1300000000000008</v>
      </c>
      <c r="I32" s="53" t="s">
        <v>15</v>
      </c>
      <c r="J32" s="52">
        <v>0.63</v>
      </c>
      <c r="K32" s="52">
        <v>352.08</v>
      </c>
      <c r="L32" s="52">
        <v>16.86</v>
      </c>
      <c r="M32" s="52">
        <v>35.4</v>
      </c>
      <c r="N32" s="52">
        <v>78.099999999999994</v>
      </c>
      <c r="O32" s="52">
        <v>0</v>
      </c>
      <c r="P32" s="52">
        <v>1.46</v>
      </c>
      <c r="Q32" s="52">
        <v>9.7799999999999994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13.22</v>
      </c>
      <c r="C34" s="28">
        <f t="shared" si="0"/>
        <v>47.06</v>
      </c>
      <c r="D34" s="28">
        <f t="shared" si="0"/>
        <v>38.68</v>
      </c>
      <c r="E34" s="28">
        <f t="shared" si="0"/>
        <v>4.42</v>
      </c>
      <c r="F34" s="28">
        <f t="shared" si="0"/>
        <v>2.13</v>
      </c>
      <c r="G34" s="28">
        <f t="shared" si="0"/>
        <v>42.7</v>
      </c>
      <c r="H34" s="28">
        <f t="shared" si="0"/>
        <v>9.1300000000000008</v>
      </c>
      <c r="I34" s="28">
        <f t="shared" si="0"/>
        <v>0</v>
      </c>
      <c r="J34" s="28">
        <f t="shared" si="0"/>
        <v>0.57999999999999996</v>
      </c>
      <c r="K34" s="28">
        <f t="shared" si="0"/>
        <v>61.7</v>
      </c>
      <c r="L34" s="28">
        <f t="shared" si="0"/>
        <v>14.1</v>
      </c>
      <c r="M34" s="28">
        <f t="shared" si="0"/>
        <v>20.37</v>
      </c>
      <c r="N34" s="28">
        <f t="shared" si="0"/>
        <v>77.2</v>
      </c>
      <c r="O34" s="28">
        <f t="shared" si="0"/>
        <v>0</v>
      </c>
      <c r="P34" s="28">
        <f t="shared" si="0"/>
        <v>0.62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151.94999999999999</v>
      </c>
      <c r="C35" s="29">
        <f t="shared" si="1"/>
        <v>61.26</v>
      </c>
      <c r="D35" s="29">
        <f t="shared" si="1"/>
        <v>149.69999999999999</v>
      </c>
      <c r="E35" s="29">
        <f t="shared" si="1"/>
        <v>10.73</v>
      </c>
      <c r="F35" s="29">
        <f t="shared" si="1"/>
        <v>2.13</v>
      </c>
      <c r="G35" s="29">
        <f t="shared" si="1"/>
        <v>196.03</v>
      </c>
      <c r="H35" s="29">
        <f t="shared" si="1"/>
        <v>166.32</v>
      </c>
      <c r="I35" s="29">
        <f t="shared" si="1"/>
        <v>0</v>
      </c>
      <c r="J35" s="29">
        <f t="shared" si="1"/>
        <v>1.99</v>
      </c>
      <c r="K35" s="29">
        <f t="shared" si="1"/>
        <v>359.85</v>
      </c>
      <c r="L35" s="29">
        <f t="shared" si="1"/>
        <v>29.5</v>
      </c>
      <c r="M35" s="29">
        <f t="shared" si="1"/>
        <v>83.75</v>
      </c>
      <c r="N35" s="29">
        <f t="shared" si="1"/>
        <v>581.79999999999995</v>
      </c>
      <c r="O35" s="29">
        <f t="shared" si="1"/>
        <v>0</v>
      </c>
      <c r="P35" s="29">
        <f t="shared" si="1"/>
        <v>2.6</v>
      </c>
      <c r="Q35" s="29">
        <f t="shared" si="1"/>
        <v>10.86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57.080833333333352</v>
      </c>
      <c r="C36" s="28">
        <f t="shared" si="2"/>
        <v>55.664166666666667</v>
      </c>
      <c r="D36" s="28">
        <f t="shared" si="2"/>
        <v>72.841250000000002</v>
      </c>
      <c r="E36" s="28">
        <f t="shared" si="2"/>
        <v>6.46</v>
      </c>
      <c r="F36" s="28">
        <f t="shared" si="2"/>
        <v>2.1300000000000003</v>
      </c>
      <c r="G36" s="28">
        <f t="shared" si="2"/>
        <v>88.222916666666663</v>
      </c>
      <c r="H36" s="28">
        <f t="shared" si="2"/>
        <v>60.077500000000008</v>
      </c>
      <c r="I36" s="28" t="e">
        <f t="shared" si="2"/>
        <v>#DIV/0!</v>
      </c>
      <c r="J36" s="28">
        <f t="shared" si="2"/>
        <v>1.0987499999999997</v>
      </c>
      <c r="K36" s="28">
        <f t="shared" si="2"/>
        <v>301.58916666666676</v>
      </c>
      <c r="L36" s="28">
        <f t="shared" si="2"/>
        <v>20.713333333333338</v>
      </c>
      <c r="M36" s="28">
        <f t="shared" si="2"/>
        <v>40.762916666666676</v>
      </c>
      <c r="N36" s="28">
        <f t="shared" si="2"/>
        <v>227.35416666666666</v>
      </c>
      <c r="O36" s="28">
        <f t="shared" si="2"/>
        <v>0</v>
      </c>
      <c r="P36" s="28">
        <f t="shared" si="2"/>
        <v>1.2424999999999999</v>
      </c>
      <c r="Q36" s="28">
        <f t="shared" si="2"/>
        <v>9.956666666666667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40.466053182203531</v>
      </c>
      <c r="C37" s="28">
        <f t="shared" ref="C37:Q37" si="3">STDEV(C9:C32)</f>
        <v>4.3043021114539197</v>
      </c>
      <c r="D37" s="28">
        <f t="shared" si="3"/>
        <v>31.775846626082934</v>
      </c>
      <c r="E37" s="28">
        <f t="shared" si="3"/>
        <v>1.6288326040983798</v>
      </c>
      <c r="F37" s="28">
        <f t="shared" si="3"/>
        <v>4.5364060814922986E-16</v>
      </c>
      <c r="G37" s="28">
        <f t="shared" si="3"/>
        <v>40.886085809995528</v>
      </c>
      <c r="H37" s="28">
        <f t="shared" si="3"/>
        <v>42.400944129152101</v>
      </c>
      <c r="I37" s="28" t="e">
        <f t="shared" si="3"/>
        <v>#DIV/0!</v>
      </c>
      <c r="J37" s="28">
        <f t="shared" si="3"/>
        <v>0.48324368234022463</v>
      </c>
      <c r="K37" s="28">
        <f t="shared" si="3"/>
        <v>102.49806992527097</v>
      </c>
      <c r="L37" s="28">
        <f t="shared" si="3"/>
        <v>5.3857595376233842</v>
      </c>
      <c r="M37" s="28">
        <f t="shared" si="3"/>
        <v>18.239395127071763</v>
      </c>
      <c r="N37" s="28">
        <f t="shared" si="3"/>
        <v>203.65812354588729</v>
      </c>
      <c r="O37" s="28">
        <f t="shared" si="3"/>
        <v>0</v>
      </c>
      <c r="P37" s="28">
        <f t="shared" si="3"/>
        <v>0.55227001902424855</v>
      </c>
      <c r="Q37" s="28">
        <f t="shared" si="3"/>
        <v>0.3640672019507275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252</v>
      </c>
      <c r="B9" s="52">
        <v>46.33</v>
      </c>
      <c r="C9" s="52">
        <v>54.51</v>
      </c>
      <c r="D9" s="52">
        <v>64.25</v>
      </c>
      <c r="E9" s="52">
        <v>6.61</v>
      </c>
      <c r="F9" s="52">
        <v>2.13</v>
      </c>
      <c r="G9" s="52">
        <v>71.84</v>
      </c>
      <c r="H9" s="52">
        <v>82.2</v>
      </c>
      <c r="I9" s="53" t="s">
        <v>15</v>
      </c>
      <c r="J9" s="52">
        <v>0.6</v>
      </c>
      <c r="K9" s="52">
        <v>357.76</v>
      </c>
      <c r="L9" s="52">
        <v>16.57</v>
      </c>
      <c r="M9" s="52">
        <v>35.18</v>
      </c>
      <c r="N9" s="52">
        <v>77.900000000000006</v>
      </c>
      <c r="O9" s="52">
        <v>0</v>
      </c>
      <c r="P9" s="52">
        <v>1.2</v>
      </c>
      <c r="Q9" s="52">
        <v>9.7899999999999991</v>
      </c>
      <c r="R9" s="43"/>
      <c r="S9" s="43"/>
      <c r="T9" s="43"/>
      <c r="U9" s="43"/>
    </row>
    <row r="10" spans="1:21" s="11" customFormat="1" x14ac:dyDescent="0.25">
      <c r="A10" s="51" t="s">
        <v>253</v>
      </c>
      <c r="B10" s="52">
        <v>41.33</v>
      </c>
      <c r="C10" s="52">
        <v>52.11</v>
      </c>
      <c r="D10" s="52">
        <v>58.99</v>
      </c>
      <c r="E10" s="52">
        <v>6.51</v>
      </c>
      <c r="F10" s="52">
        <v>2.35</v>
      </c>
      <c r="G10" s="52">
        <v>65.510000000000005</v>
      </c>
      <c r="H10" s="52">
        <v>12.94</v>
      </c>
      <c r="I10" s="53" t="s">
        <v>15</v>
      </c>
      <c r="J10" s="52">
        <v>0.69</v>
      </c>
      <c r="K10" s="52">
        <v>349.19</v>
      </c>
      <c r="L10" s="52">
        <v>16.559999999999999</v>
      </c>
      <c r="M10" s="52">
        <v>33.78</v>
      </c>
      <c r="N10" s="52">
        <v>78.2</v>
      </c>
      <c r="O10" s="52">
        <v>0</v>
      </c>
      <c r="P10" s="52">
        <v>1</v>
      </c>
      <c r="Q10" s="52">
        <v>9.75</v>
      </c>
      <c r="R10" s="43"/>
      <c r="S10" s="43"/>
      <c r="T10" s="43"/>
      <c r="U10" s="43"/>
    </row>
    <row r="11" spans="1:21" s="11" customFormat="1" x14ac:dyDescent="0.25">
      <c r="A11" s="51" t="s">
        <v>254</v>
      </c>
      <c r="B11" s="52">
        <v>35.29</v>
      </c>
      <c r="C11" s="52">
        <v>51.88</v>
      </c>
      <c r="D11" s="52">
        <v>53.05</v>
      </c>
      <c r="E11" s="52">
        <v>6.26</v>
      </c>
      <c r="F11" s="52">
        <v>2.13</v>
      </c>
      <c r="G11" s="52">
        <v>58.33</v>
      </c>
      <c r="H11" s="52">
        <v>82.63</v>
      </c>
      <c r="I11" s="53" t="s">
        <v>15</v>
      </c>
      <c r="J11" s="52">
        <v>0.56999999999999995</v>
      </c>
      <c r="K11" s="52">
        <v>355.84</v>
      </c>
      <c r="L11" s="52">
        <v>15.51</v>
      </c>
      <c r="M11" s="52">
        <v>32.799999999999997</v>
      </c>
      <c r="N11" s="52">
        <v>78.400000000000006</v>
      </c>
      <c r="O11" s="52">
        <v>0</v>
      </c>
      <c r="P11" s="52">
        <v>0.97</v>
      </c>
      <c r="Q11" s="52">
        <v>9.7200000000000006</v>
      </c>
      <c r="R11" s="43"/>
      <c r="S11" s="43"/>
      <c r="T11" s="43"/>
      <c r="U11" s="43"/>
    </row>
    <row r="12" spans="1:21" s="11" customFormat="1" x14ac:dyDescent="0.25">
      <c r="A12" s="51" t="s">
        <v>255</v>
      </c>
      <c r="B12" s="52">
        <v>31.61</v>
      </c>
      <c r="C12" s="52">
        <v>52.32</v>
      </c>
      <c r="D12" s="52">
        <v>51.22</v>
      </c>
      <c r="E12" s="52">
        <v>5.65</v>
      </c>
      <c r="F12" s="52">
        <v>2.13</v>
      </c>
      <c r="G12" s="52">
        <v>60.68</v>
      </c>
      <c r="H12" s="52">
        <v>36.979999999999997</v>
      </c>
      <c r="I12" s="53" t="s">
        <v>15</v>
      </c>
      <c r="J12" s="52">
        <v>0.64</v>
      </c>
      <c r="K12" s="52">
        <v>344.44</v>
      </c>
      <c r="L12" s="52">
        <v>14.27</v>
      </c>
      <c r="M12" s="52">
        <v>39.15</v>
      </c>
      <c r="N12" s="52">
        <v>78.5</v>
      </c>
      <c r="O12" s="52">
        <v>0</v>
      </c>
      <c r="P12" s="52">
        <v>0.82</v>
      </c>
      <c r="Q12" s="52">
        <v>9.76</v>
      </c>
      <c r="R12" s="43"/>
      <c r="S12" s="43"/>
      <c r="T12" s="43"/>
      <c r="U12" s="43"/>
    </row>
    <row r="13" spans="1:21" s="11" customFormat="1" x14ac:dyDescent="0.25">
      <c r="A13" s="51" t="s">
        <v>256</v>
      </c>
      <c r="B13" s="52">
        <v>30.83</v>
      </c>
      <c r="C13" s="52">
        <v>52.22</v>
      </c>
      <c r="D13" s="52">
        <v>50.63</v>
      </c>
      <c r="E13" s="52">
        <v>5.49</v>
      </c>
      <c r="F13" s="52">
        <v>2.13</v>
      </c>
      <c r="G13" s="52">
        <v>60.03</v>
      </c>
      <c r="H13" s="52">
        <v>41.34</v>
      </c>
      <c r="I13" s="53" t="s">
        <v>15</v>
      </c>
      <c r="J13" s="52">
        <v>0.71</v>
      </c>
      <c r="K13" s="52">
        <v>301.92</v>
      </c>
      <c r="L13" s="52">
        <v>12.88</v>
      </c>
      <c r="M13" s="52">
        <v>43.97</v>
      </c>
      <c r="N13" s="52">
        <v>78.3</v>
      </c>
      <c r="O13" s="52">
        <v>0</v>
      </c>
      <c r="P13" s="52">
        <v>0.71</v>
      </c>
      <c r="Q13" s="52">
        <v>9.7200000000000006</v>
      </c>
      <c r="R13" s="43"/>
      <c r="S13" s="43"/>
      <c r="T13" s="43"/>
      <c r="U13" s="43"/>
    </row>
    <row r="14" spans="1:21" s="11" customFormat="1" x14ac:dyDescent="0.25">
      <c r="A14" s="51" t="s">
        <v>257</v>
      </c>
      <c r="B14" s="52">
        <v>34.29</v>
      </c>
      <c r="C14" s="52">
        <v>50.64</v>
      </c>
      <c r="D14" s="52">
        <v>52.01</v>
      </c>
      <c r="E14" s="52">
        <v>5.72</v>
      </c>
      <c r="F14" s="52">
        <v>2.13</v>
      </c>
      <c r="G14" s="52">
        <v>55.72</v>
      </c>
      <c r="H14" s="52">
        <v>34.340000000000003</v>
      </c>
      <c r="I14" s="53" t="s">
        <v>15</v>
      </c>
      <c r="J14" s="52">
        <v>0.75</v>
      </c>
      <c r="K14" s="52">
        <v>277.27</v>
      </c>
      <c r="L14" s="52">
        <v>12.63</v>
      </c>
      <c r="M14" s="52">
        <v>72.47</v>
      </c>
      <c r="N14" s="52">
        <v>78.400000000000006</v>
      </c>
      <c r="O14" s="52">
        <v>0</v>
      </c>
      <c r="P14" s="52">
        <v>0.61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258</v>
      </c>
      <c r="B15" s="52">
        <v>42.33</v>
      </c>
      <c r="C15" s="52">
        <v>48.93</v>
      </c>
      <c r="D15" s="52">
        <v>57.37</v>
      </c>
      <c r="E15" s="52">
        <v>6.42</v>
      </c>
      <c r="F15" s="52">
        <v>2.13</v>
      </c>
      <c r="G15" s="52">
        <v>69.239999999999995</v>
      </c>
      <c r="H15" s="52">
        <v>33.79</v>
      </c>
      <c r="I15" s="53" t="s">
        <v>15</v>
      </c>
      <c r="J15" s="52">
        <v>0.69</v>
      </c>
      <c r="K15" s="52">
        <v>305.54000000000002</v>
      </c>
      <c r="L15" s="52">
        <v>10.74</v>
      </c>
      <c r="M15" s="52">
        <v>80.92</v>
      </c>
      <c r="N15" s="52">
        <v>90.9</v>
      </c>
      <c r="O15" s="52">
        <v>0</v>
      </c>
      <c r="P15" s="52">
        <v>0.66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259</v>
      </c>
      <c r="B16" s="52">
        <v>64.11</v>
      </c>
      <c r="C16" s="52">
        <v>48.66</v>
      </c>
      <c r="D16" s="52">
        <v>75.459999999999994</v>
      </c>
      <c r="E16" s="52">
        <v>7.58</v>
      </c>
      <c r="F16" s="52">
        <v>2.13</v>
      </c>
      <c r="G16" s="52">
        <v>97.67</v>
      </c>
      <c r="H16" s="52">
        <v>30.74</v>
      </c>
      <c r="I16" s="53" t="s">
        <v>15</v>
      </c>
      <c r="J16" s="52">
        <v>0.56999999999999995</v>
      </c>
      <c r="K16" s="52">
        <v>296</v>
      </c>
      <c r="L16" s="52">
        <v>18.18</v>
      </c>
      <c r="M16" s="52">
        <v>80.78</v>
      </c>
      <c r="N16" s="52">
        <v>296.7</v>
      </c>
      <c r="O16" s="52">
        <v>0</v>
      </c>
      <c r="P16" s="52">
        <v>0.89</v>
      </c>
      <c r="Q16" s="52">
        <v>9.76</v>
      </c>
      <c r="R16" s="43"/>
      <c r="S16" s="43"/>
      <c r="T16" s="43"/>
      <c r="U16" s="43"/>
    </row>
    <row r="17" spans="1:21" s="11" customFormat="1" x14ac:dyDescent="0.25">
      <c r="A17" s="51" t="s">
        <v>260</v>
      </c>
      <c r="B17" s="52">
        <v>68.2</v>
      </c>
      <c r="C17" s="52">
        <v>52.15</v>
      </c>
      <c r="D17" s="52">
        <v>80.23</v>
      </c>
      <c r="E17" s="52">
        <v>7.46</v>
      </c>
      <c r="F17" s="52">
        <v>2.13</v>
      </c>
      <c r="G17" s="52">
        <v>115.9</v>
      </c>
      <c r="H17" s="52">
        <v>56.93</v>
      </c>
      <c r="I17" s="53" t="s">
        <v>15</v>
      </c>
      <c r="J17" s="52">
        <v>1.69</v>
      </c>
      <c r="K17" s="52">
        <v>103.85</v>
      </c>
      <c r="L17" s="52">
        <v>20.98</v>
      </c>
      <c r="M17" s="52">
        <v>38.21</v>
      </c>
      <c r="N17" s="52">
        <v>508.2</v>
      </c>
      <c r="O17" s="52">
        <v>0</v>
      </c>
      <c r="P17" s="52">
        <v>0.93</v>
      </c>
      <c r="Q17" s="52">
        <v>9.8800000000000008</v>
      </c>
      <c r="R17" s="43"/>
      <c r="S17" s="43"/>
      <c r="T17" s="43"/>
      <c r="U17" s="43"/>
    </row>
    <row r="18" spans="1:21" s="11" customFormat="1" x14ac:dyDescent="0.25">
      <c r="A18" s="51" t="s">
        <v>261</v>
      </c>
      <c r="B18" s="52">
        <v>60.75</v>
      </c>
      <c r="C18" s="52">
        <v>53.98</v>
      </c>
      <c r="D18" s="52">
        <v>73.87</v>
      </c>
      <c r="E18" s="52">
        <v>6.58</v>
      </c>
      <c r="F18" s="52">
        <v>2.13</v>
      </c>
      <c r="G18" s="52">
        <v>106.73</v>
      </c>
      <c r="H18" s="52">
        <v>63.98</v>
      </c>
      <c r="I18" s="53" t="s">
        <v>15</v>
      </c>
      <c r="J18" s="52">
        <v>1.83</v>
      </c>
      <c r="K18" s="52">
        <v>114.6</v>
      </c>
      <c r="L18" s="52">
        <v>23.97</v>
      </c>
      <c r="M18" s="52">
        <v>26.6</v>
      </c>
      <c r="N18" s="52">
        <v>621.20000000000005</v>
      </c>
      <c r="O18" s="52">
        <v>0</v>
      </c>
      <c r="P18" s="52">
        <v>0.9</v>
      </c>
      <c r="Q18" s="52">
        <v>9.8800000000000008</v>
      </c>
      <c r="R18" s="43"/>
      <c r="S18" s="43"/>
      <c r="T18" s="43"/>
      <c r="U18" s="43"/>
    </row>
    <row r="19" spans="1:21" s="11" customFormat="1" x14ac:dyDescent="0.25">
      <c r="A19" s="51" t="s">
        <v>262</v>
      </c>
      <c r="B19" s="52">
        <v>46.24</v>
      </c>
      <c r="C19" s="52">
        <v>58.12</v>
      </c>
      <c r="D19" s="52">
        <v>64.23</v>
      </c>
      <c r="E19" s="52">
        <v>6.14</v>
      </c>
      <c r="F19" s="52">
        <v>2.13</v>
      </c>
      <c r="G19" s="52">
        <v>82.55</v>
      </c>
      <c r="H19" s="52">
        <v>43.74</v>
      </c>
      <c r="I19" s="53" t="s">
        <v>15</v>
      </c>
      <c r="J19" s="52">
        <v>1.21</v>
      </c>
      <c r="K19" s="52">
        <v>102.61</v>
      </c>
      <c r="L19" s="52">
        <v>26.31</v>
      </c>
      <c r="M19" s="52">
        <v>22.81</v>
      </c>
      <c r="N19" s="52">
        <v>636.9</v>
      </c>
      <c r="O19" s="52">
        <v>0</v>
      </c>
      <c r="P19" s="52">
        <v>0.84</v>
      </c>
      <c r="Q19" s="52">
        <v>9.77</v>
      </c>
      <c r="R19" s="43"/>
      <c r="S19" s="43"/>
      <c r="T19" s="43"/>
      <c r="U19" s="43"/>
    </row>
    <row r="20" spans="1:21" s="11" customFormat="1" x14ac:dyDescent="0.25">
      <c r="A20" s="51" t="s">
        <v>263</v>
      </c>
      <c r="B20" s="52">
        <v>33.17</v>
      </c>
      <c r="C20" s="52">
        <v>58.84</v>
      </c>
      <c r="D20" s="52">
        <v>55.73</v>
      </c>
      <c r="E20" s="52">
        <v>5.59</v>
      </c>
      <c r="F20" s="52">
        <v>2.13</v>
      </c>
      <c r="G20" s="52">
        <v>77.459999999999994</v>
      </c>
      <c r="H20" s="52">
        <v>39.049999999999997</v>
      </c>
      <c r="I20" s="53" t="s">
        <v>15</v>
      </c>
      <c r="J20" s="52">
        <v>1.1599999999999999</v>
      </c>
      <c r="K20" s="52">
        <v>357.31</v>
      </c>
      <c r="L20" s="52">
        <v>29.21</v>
      </c>
      <c r="M20" s="52">
        <v>15.95</v>
      </c>
      <c r="N20" s="52">
        <v>628.1</v>
      </c>
      <c r="O20" s="52">
        <v>0</v>
      </c>
      <c r="P20" s="52">
        <v>0.78</v>
      </c>
      <c r="Q20" s="52">
        <v>9.7200000000000006</v>
      </c>
      <c r="R20" s="43"/>
      <c r="S20" s="43"/>
      <c r="T20" s="43"/>
      <c r="U20" s="43"/>
    </row>
    <row r="21" spans="1:21" s="11" customFormat="1" x14ac:dyDescent="0.25">
      <c r="A21" s="51" t="s">
        <v>264</v>
      </c>
      <c r="B21" s="52">
        <v>23.42</v>
      </c>
      <c r="C21" s="52">
        <v>58.25</v>
      </c>
      <c r="D21" s="52">
        <v>47.83</v>
      </c>
      <c r="E21" s="52">
        <v>5.22</v>
      </c>
      <c r="F21" s="52">
        <v>2.13</v>
      </c>
      <c r="G21" s="52">
        <v>68.930000000000007</v>
      </c>
      <c r="H21" s="52">
        <v>43.38</v>
      </c>
      <c r="I21" s="53" t="s">
        <v>15</v>
      </c>
      <c r="J21" s="52">
        <v>1.1200000000000001</v>
      </c>
      <c r="K21" s="52">
        <v>95.15</v>
      </c>
      <c r="L21" s="52">
        <v>29.4</v>
      </c>
      <c r="M21" s="52">
        <v>12.95</v>
      </c>
      <c r="N21" s="52">
        <v>627.4</v>
      </c>
      <c r="O21" s="52">
        <v>0</v>
      </c>
      <c r="P21" s="52">
        <v>0.71</v>
      </c>
      <c r="Q21" s="52">
        <v>9.69</v>
      </c>
      <c r="R21" s="43"/>
      <c r="S21" s="43"/>
      <c r="T21" s="43"/>
      <c r="U21" s="43"/>
    </row>
    <row r="22" spans="1:21" s="11" customFormat="1" x14ac:dyDescent="0.25">
      <c r="A22" s="51" t="s">
        <v>265</v>
      </c>
      <c r="B22" s="52">
        <v>15.48</v>
      </c>
      <c r="C22" s="52">
        <v>54.91</v>
      </c>
      <c r="D22" s="52">
        <v>39.729999999999997</v>
      </c>
      <c r="E22" s="52">
        <v>4.8499999999999996</v>
      </c>
      <c r="F22" s="52">
        <v>2.13</v>
      </c>
      <c r="G22" s="52">
        <v>53.34</v>
      </c>
      <c r="H22" s="52">
        <v>36.72</v>
      </c>
      <c r="I22" s="53" t="s">
        <v>15</v>
      </c>
      <c r="J22" s="52">
        <v>0.99</v>
      </c>
      <c r="K22" s="52">
        <v>353.25</v>
      </c>
      <c r="L22" s="52">
        <v>31.15</v>
      </c>
      <c r="M22" s="52">
        <v>10.69</v>
      </c>
      <c r="N22" s="52">
        <v>601.79999999999995</v>
      </c>
      <c r="O22" s="52">
        <v>0</v>
      </c>
      <c r="P22" s="52">
        <v>0.56999999999999995</v>
      </c>
      <c r="Q22" s="52">
        <v>9.65</v>
      </c>
      <c r="R22" s="43"/>
      <c r="S22" s="43"/>
      <c r="T22" s="43"/>
      <c r="U22" s="43"/>
    </row>
    <row r="23" spans="1:21" s="11" customFormat="1" x14ac:dyDescent="0.25">
      <c r="A23" s="51" t="s">
        <v>266</v>
      </c>
      <c r="B23" s="52">
        <v>11.51</v>
      </c>
      <c r="C23" s="52">
        <v>51.31</v>
      </c>
      <c r="D23" s="52">
        <v>34.659999999999997</v>
      </c>
      <c r="E23" s="52">
        <v>4.45</v>
      </c>
      <c r="F23" s="52">
        <v>2.13</v>
      </c>
      <c r="G23" s="52">
        <v>39.53</v>
      </c>
      <c r="H23" s="52">
        <v>33.799999999999997</v>
      </c>
      <c r="I23" s="53" t="s">
        <v>15</v>
      </c>
      <c r="J23" s="52">
        <v>1.3</v>
      </c>
      <c r="K23" s="52">
        <v>160.83000000000001</v>
      </c>
      <c r="L23" s="52">
        <v>29.37</v>
      </c>
      <c r="M23" s="52">
        <v>11.56</v>
      </c>
      <c r="N23" s="52">
        <v>488.9</v>
      </c>
      <c r="O23" s="52">
        <v>0</v>
      </c>
      <c r="P23" s="52">
        <v>0.51</v>
      </c>
      <c r="Q23" s="52">
        <v>9.58</v>
      </c>
      <c r="R23" s="43"/>
      <c r="S23" s="43"/>
      <c r="T23" s="43"/>
      <c r="U23" s="43"/>
    </row>
    <row r="24" spans="1:21" s="11" customFormat="1" x14ac:dyDescent="0.25">
      <c r="A24" s="51" t="s">
        <v>267</v>
      </c>
      <c r="B24" s="52">
        <v>7.98</v>
      </c>
      <c r="C24" s="52">
        <v>49.23</v>
      </c>
      <c r="D24" s="52">
        <v>30.74</v>
      </c>
      <c r="E24" s="52">
        <v>5.32</v>
      </c>
      <c r="F24" s="52">
        <v>2.13</v>
      </c>
      <c r="G24" s="52">
        <v>37.119999999999997</v>
      </c>
      <c r="H24" s="52">
        <v>31.98</v>
      </c>
      <c r="I24" s="53" t="s">
        <v>15</v>
      </c>
      <c r="J24" s="52">
        <v>0.91</v>
      </c>
      <c r="K24" s="52">
        <v>163.49</v>
      </c>
      <c r="L24" s="52">
        <v>27.81</v>
      </c>
      <c r="M24" s="52">
        <v>13.03</v>
      </c>
      <c r="N24" s="52">
        <v>338.9</v>
      </c>
      <c r="O24" s="52">
        <v>0</v>
      </c>
      <c r="P24" s="52">
        <v>0.52</v>
      </c>
      <c r="Q24" s="52">
        <v>9.42</v>
      </c>
      <c r="R24" s="43"/>
      <c r="S24" s="43"/>
      <c r="T24" s="43"/>
      <c r="U24" s="43"/>
    </row>
    <row r="25" spans="1:21" s="11" customFormat="1" x14ac:dyDescent="0.25">
      <c r="A25" s="51" t="s">
        <v>268</v>
      </c>
      <c r="B25" s="52">
        <v>5.1100000000000003</v>
      </c>
      <c r="C25" s="52">
        <v>48.94</v>
      </c>
      <c r="D25" s="52">
        <v>28.29</v>
      </c>
      <c r="E25" s="52">
        <v>5.9</v>
      </c>
      <c r="F25" s="52">
        <v>2.13</v>
      </c>
      <c r="G25" s="52">
        <v>37.64</v>
      </c>
      <c r="H25" s="52">
        <v>33.380000000000003</v>
      </c>
      <c r="I25" s="53" t="s">
        <v>15</v>
      </c>
      <c r="J25" s="52">
        <v>1.0900000000000001</v>
      </c>
      <c r="K25" s="52">
        <v>149.9</v>
      </c>
      <c r="L25" s="52">
        <v>26.42</v>
      </c>
      <c r="M25" s="52">
        <v>14.28</v>
      </c>
      <c r="N25" s="52">
        <v>120.5</v>
      </c>
      <c r="O25" s="52">
        <v>0</v>
      </c>
      <c r="P25" s="52">
        <v>0.51</v>
      </c>
      <c r="Q25" s="52">
        <v>9.27</v>
      </c>
      <c r="R25" s="43"/>
      <c r="S25" s="43"/>
      <c r="T25" s="43"/>
      <c r="U25" s="43"/>
    </row>
    <row r="26" spans="1:21" s="11" customFormat="1" x14ac:dyDescent="0.25">
      <c r="A26" s="51" t="s">
        <v>269</v>
      </c>
      <c r="B26" s="52">
        <v>7.58</v>
      </c>
      <c r="C26" s="52">
        <v>52.13</v>
      </c>
      <c r="D26" s="52">
        <v>31.94</v>
      </c>
      <c r="E26" s="52">
        <v>5.98</v>
      </c>
      <c r="F26" s="52">
        <v>2.13</v>
      </c>
      <c r="G26" s="52">
        <v>44.93</v>
      </c>
      <c r="H26" s="52">
        <v>18.82</v>
      </c>
      <c r="I26" s="53" t="s">
        <v>15</v>
      </c>
      <c r="J26" s="52">
        <v>0.63</v>
      </c>
      <c r="K26" s="52">
        <v>351.75</v>
      </c>
      <c r="L26" s="52">
        <v>25.3</v>
      </c>
      <c r="M26" s="52">
        <v>27.64</v>
      </c>
      <c r="N26" s="52">
        <v>96.2</v>
      </c>
      <c r="O26" s="52">
        <v>0</v>
      </c>
      <c r="P26" s="52">
        <v>1.05</v>
      </c>
      <c r="Q26" s="52">
        <v>9.4499999999999993</v>
      </c>
      <c r="R26" s="43"/>
      <c r="S26" s="43"/>
      <c r="T26" s="43"/>
      <c r="U26" s="43"/>
    </row>
    <row r="27" spans="1:21" s="11" customFormat="1" x14ac:dyDescent="0.25">
      <c r="A27" s="51" t="s">
        <v>270</v>
      </c>
      <c r="B27" s="52">
        <v>37.26</v>
      </c>
      <c r="C27" s="52">
        <v>60.61</v>
      </c>
      <c r="D27" s="52">
        <v>60.17</v>
      </c>
      <c r="E27" s="52">
        <v>6.79</v>
      </c>
      <c r="F27" s="52">
        <v>2.13</v>
      </c>
      <c r="G27" s="52">
        <v>69.11</v>
      </c>
      <c r="H27" s="52">
        <v>89.88</v>
      </c>
      <c r="I27" s="53" t="s">
        <v>15</v>
      </c>
      <c r="J27" s="52">
        <v>0.56000000000000005</v>
      </c>
      <c r="K27" s="52">
        <v>327.54000000000002</v>
      </c>
      <c r="L27" s="52">
        <v>21.35</v>
      </c>
      <c r="M27" s="52">
        <v>36.56</v>
      </c>
      <c r="N27" s="52">
        <v>75</v>
      </c>
      <c r="O27" s="52">
        <v>0</v>
      </c>
      <c r="P27" s="52">
        <v>1.39</v>
      </c>
      <c r="Q27" s="52">
        <v>9.65</v>
      </c>
      <c r="R27" s="43"/>
      <c r="S27" s="43"/>
      <c r="T27" s="43"/>
      <c r="U27" s="43"/>
    </row>
    <row r="28" spans="1:21" s="11" customFormat="1" x14ac:dyDescent="0.25">
      <c r="A28" s="51" t="s">
        <v>271</v>
      </c>
      <c r="B28" s="52">
        <v>59.34</v>
      </c>
      <c r="C28" s="52">
        <v>64.17</v>
      </c>
      <c r="D28" s="52">
        <v>79.739999999999995</v>
      </c>
      <c r="E28" s="52">
        <v>7.55</v>
      </c>
      <c r="F28" s="52">
        <v>2.13</v>
      </c>
      <c r="G28" s="52">
        <v>160.47</v>
      </c>
      <c r="H28" s="52">
        <v>95.21</v>
      </c>
      <c r="I28" s="53" t="s">
        <v>15</v>
      </c>
      <c r="J28" s="52">
        <v>0.63</v>
      </c>
      <c r="K28" s="52">
        <v>318.18</v>
      </c>
      <c r="L28" s="52">
        <v>20.100000000000001</v>
      </c>
      <c r="M28" s="52">
        <v>36.49</v>
      </c>
      <c r="N28" s="52">
        <v>74.400000000000006</v>
      </c>
      <c r="O28" s="52">
        <v>0</v>
      </c>
      <c r="P28" s="52">
        <v>1.6</v>
      </c>
      <c r="Q28" s="52">
        <v>9.8699999999999992</v>
      </c>
      <c r="R28" s="43"/>
      <c r="S28" s="43"/>
      <c r="T28" s="43"/>
      <c r="U28" s="43"/>
    </row>
    <row r="29" spans="1:21" s="11" customFormat="1" x14ac:dyDescent="0.25">
      <c r="A29" s="51" t="s">
        <v>272</v>
      </c>
      <c r="B29" s="52">
        <v>83.01</v>
      </c>
      <c r="C29" s="52">
        <v>65.83</v>
      </c>
      <c r="D29" s="52">
        <v>99.59</v>
      </c>
      <c r="E29" s="52">
        <v>8.11</v>
      </c>
      <c r="F29" s="52">
        <v>2.13</v>
      </c>
      <c r="G29" s="52">
        <v>112.16</v>
      </c>
      <c r="H29" s="52">
        <v>95.21</v>
      </c>
      <c r="I29" s="53" t="s">
        <v>15</v>
      </c>
      <c r="J29" s="52">
        <v>0.75</v>
      </c>
      <c r="K29" s="52">
        <v>318.32</v>
      </c>
      <c r="L29" s="52">
        <v>18.62</v>
      </c>
      <c r="M29" s="52">
        <v>44.02</v>
      </c>
      <c r="N29" s="52">
        <v>74.599999999999994</v>
      </c>
      <c r="O29" s="52">
        <v>0</v>
      </c>
      <c r="P29" s="52">
        <v>1.31</v>
      </c>
      <c r="Q29" s="52">
        <v>9.94</v>
      </c>
      <c r="R29" s="43"/>
      <c r="S29" s="43"/>
      <c r="T29" s="43"/>
      <c r="U29" s="43"/>
    </row>
    <row r="30" spans="1:21" s="11" customFormat="1" x14ac:dyDescent="0.25">
      <c r="A30" s="51" t="s">
        <v>273</v>
      </c>
      <c r="B30" s="52">
        <v>121.48</v>
      </c>
      <c r="C30" s="52">
        <v>69.709999999999994</v>
      </c>
      <c r="D30" s="52">
        <v>132.46</v>
      </c>
      <c r="E30" s="52">
        <v>9.25</v>
      </c>
      <c r="F30" s="52">
        <v>2.13</v>
      </c>
      <c r="G30" s="52">
        <v>121.35</v>
      </c>
      <c r="H30" s="52">
        <v>17.57</v>
      </c>
      <c r="I30" s="53" t="s">
        <v>15</v>
      </c>
      <c r="J30" s="52">
        <v>0.67</v>
      </c>
      <c r="K30" s="52">
        <v>318.3</v>
      </c>
      <c r="L30" s="52">
        <v>16.68</v>
      </c>
      <c r="M30" s="52">
        <v>47.53</v>
      </c>
      <c r="N30" s="52">
        <v>74.400000000000006</v>
      </c>
      <c r="O30" s="52">
        <v>0</v>
      </c>
      <c r="P30" s="52">
        <v>1.77</v>
      </c>
      <c r="Q30" s="52">
        <v>10.09</v>
      </c>
      <c r="R30" s="43"/>
      <c r="S30" s="43"/>
      <c r="T30" s="43"/>
      <c r="U30" s="43"/>
    </row>
    <row r="31" spans="1:21" s="11" customFormat="1" x14ac:dyDescent="0.25">
      <c r="A31" s="51" t="s">
        <v>274</v>
      </c>
      <c r="B31" s="52">
        <v>166.3</v>
      </c>
      <c r="C31" s="52">
        <v>68.95</v>
      </c>
      <c r="D31" s="52">
        <v>168.01</v>
      </c>
      <c r="E31" s="52">
        <v>9.65</v>
      </c>
      <c r="F31" s="52">
        <v>2.13</v>
      </c>
      <c r="G31" s="52">
        <v>157.91</v>
      </c>
      <c r="H31" s="52">
        <v>17.57</v>
      </c>
      <c r="I31" s="53" t="s">
        <v>15</v>
      </c>
      <c r="J31" s="52">
        <v>0.59</v>
      </c>
      <c r="K31" s="52">
        <v>347.13</v>
      </c>
      <c r="L31" s="52">
        <v>15.78</v>
      </c>
      <c r="M31" s="52">
        <v>51.7</v>
      </c>
      <c r="N31" s="52">
        <v>74.400000000000006</v>
      </c>
      <c r="O31" s="52">
        <v>0</v>
      </c>
      <c r="P31" s="52">
        <v>2.08</v>
      </c>
      <c r="Q31" s="52">
        <v>10.3</v>
      </c>
      <c r="R31" s="43"/>
      <c r="S31" s="43"/>
      <c r="T31" s="43"/>
      <c r="U31" s="43"/>
    </row>
    <row r="32" spans="1:21" s="11" customFormat="1" x14ac:dyDescent="0.25">
      <c r="A32" s="51" t="s">
        <v>275</v>
      </c>
      <c r="B32" s="52">
        <v>188.76</v>
      </c>
      <c r="C32" s="52">
        <v>68.89</v>
      </c>
      <c r="D32" s="52">
        <v>184.87</v>
      </c>
      <c r="E32" s="52">
        <v>9.81</v>
      </c>
      <c r="F32" s="52">
        <v>2.13</v>
      </c>
      <c r="G32" s="52">
        <v>142.07</v>
      </c>
      <c r="H32" s="52">
        <v>79.709999999999994</v>
      </c>
      <c r="I32" s="53" t="s">
        <v>15</v>
      </c>
      <c r="J32" s="52">
        <v>0.62</v>
      </c>
      <c r="K32" s="52">
        <v>297.14</v>
      </c>
      <c r="L32" s="52">
        <v>14.81</v>
      </c>
      <c r="M32" s="52">
        <v>53.68</v>
      </c>
      <c r="N32" s="52">
        <v>74.400000000000006</v>
      </c>
      <c r="O32" s="52">
        <v>0</v>
      </c>
      <c r="P32" s="52">
        <v>1.82</v>
      </c>
      <c r="Q32" s="52">
        <v>10.49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5.1100000000000003</v>
      </c>
      <c r="C34" s="28">
        <f t="shared" si="0"/>
        <v>48.66</v>
      </c>
      <c r="D34" s="28">
        <f t="shared" si="0"/>
        <v>28.29</v>
      </c>
      <c r="E34" s="28">
        <f t="shared" si="0"/>
        <v>4.45</v>
      </c>
      <c r="F34" s="28">
        <f t="shared" si="0"/>
        <v>2.13</v>
      </c>
      <c r="G34" s="28">
        <f t="shared" si="0"/>
        <v>37.119999999999997</v>
      </c>
      <c r="H34" s="28">
        <f t="shared" si="0"/>
        <v>12.94</v>
      </c>
      <c r="I34" s="28">
        <f t="shared" si="0"/>
        <v>0</v>
      </c>
      <c r="J34" s="28">
        <f t="shared" si="0"/>
        <v>0.56000000000000005</v>
      </c>
      <c r="K34" s="28">
        <f t="shared" si="0"/>
        <v>95.15</v>
      </c>
      <c r="L34" s="28">
        <f t="shared" si="0"/>
        <v>10.74</v>
      </c>
      <c r="M34" s="28">
        <f t="shared" si="0"/>
        <v>10.69</v>
      </c>
      <c r="N34" s="28">
        <f t="shared" si="0"/>
        <v>74.400000000000006</v>
      </c>
      <c r="O34" s="28">
        <f t="shared" si="0"/>
        <v>0</v>
      </c>
      <c r="P34" s="28">
        <f t="shared" si="0"/>
        <v>0.51</v>
      </c>
      <c r="Q34" s="28">
        <f t="shared" si="0"/>
        <v>9.27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188.76</v>
      </c>
      <c r="C35" s="29">
        <f t="shared" si="1"/>
        <v>69.709999999999994</v>
      </c>
      <c r="D35" s="29">
        <f t="shared" si="1"/>
        <v>184.87</v>
      </c>
      <c r="E35" s="29">
        <f t="shared" si="1"/>
        <v>9.81</v>
      </c>
      <c r="F35" s="29">
        <f t="shared" si="1"/>
        <v>2.35</v>
      </c>
      <c r="G35" s="29">
        <f t="shared" si="1"/>
        <v>160.47</v>
      </c>
      <c r="H35" s="29">
        <f t="shared" si="1"/>
        <v>95.21</v>
      </c>
      <c r="I35" s="29">
        <f t="shared" si="1"/>
        <v>0</v>
      </c>
      <c r="J35" s="29">
        <f t="shared" si="1"/>
        <v>1.83</v>
      </c>
      <c r="K35" s="29">
        <f t="shared" si="1"/>
        <v>357.76</v>
      </c>
      <c r="L35" s="29">
        <f t="shared" si="1"/>
        <v>31.15</v>
      </c>
      <c r="M35" s="29">
        <f t="shared" si="1"/>
        <v>80.92</v>
      </c>
      <c r="N35" s="29">
        <f t="shared" si="1"/>
        <v>636.9</v>
      </c>
      <c r="O35" s="29">
        <f t="shared" si="1"/>
        <v>0</v>
      </c>
      <c r="P35" s="29">
        <f t="shared" si="1"/>
        <v>2.08</v>
      </c>
      <c r="Q35" s="29">
        <f t="shared" si="1"/>
        <v>10.49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52.571249999999999</v>
      </c>
      <c r="C36" s="28">
        <f t="shared" si="2"/>
        <v>56.137083333333344</v>
      </c>
      <c r="D36" s="28">
        <f t="shared" si="2"/>
        <v>69.794583333333335</v>
      </c>
      <c r="E36" s="28">
        <f t="shared" si="2"/>
        <v>6.6204166666666673</v>
      </c>
      <c r="F36" s="28">
        <f t="shared" si="2"/>
        <v>2.1391666666666675</v>
      </c>
      <c r="G36" s="28">
        <f t="shared" si="2"/>
        <v>81.92583333333333</v>
      </c>
      <c r="H36" s="28">
        <f t="shared" si="2"/>
        <v>47.995416666666664</v>
      </c>
      <c r="I36" s="28" t="e">
        <f t="shared" si="2"/>
        <v>#DIV/0!</v>
      </c>
      <c r="J36" s="28">
        <f t="shared" si="2"/>
        <v>0.87375000000000014</v>
      </c>
      <c r="K36" s="28">
        <f t="shared" si="2"/>
        <v>269.47125</v>
      </c>
      <c r="L36" s="28">
        <f t="shared" si="2"/>
        <v>20.608333333333334</v>
      </c>
      <c r="M36" s="28">
        <f t="shared" si="2"/>
        <v>36.781250000000007</v>
      </c>
      <c r="N36" s="28">
        <f t="shared" si="2"/>
        <v>248.85833333333323</v>
      </c>
      <c r="O36" s="28">
        <f t="shared" si="2"/>
        <v>0</v>
      </c>
      <c r="P36" s="28">
        <f t="shared" si="2"/>
        <v>1.0062499999999999</v>
      </c>
      <c r="Q36" s="28">
        <f t="shared" si="2"/>
        <v>9.7687500000000007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46.759989522119177</v>
      </c>
      <c r="C37" s="28">
        <f t="shared" ref="C37:Q37" si="3">STDEV(C9:C32)</f>
        <v>6.824215501443593</v>
      </c>
      <c r="D37" s="28">
        <f t="shared" si="3"/>
        <v>40.21340237102082</v>
      </c>
      <c r="E37" s="28">
        <f t="shared" si="3"/>
        <v>1.4436863418427108</v>
      </c>
      <c r="F37" s="28">
        <f t="shared" si="3"/>
        <v>4.4907311951024952E-2</v>
      </c>
      <c r="G37" s="28">
        <f t="shared" si="3"/>
        <v>36.746968040165299</v>
      </c>
      <c r="H37" s="28">
        <f t="shared" si="3"/>
        <v>26.064080894255969</v>
      </c>
      <c r="I37" s="28" t="e">
        <f t="shared" si="3"/>
        <v>#DIV/0!</v>
      </c>
      <c r="J37" s="28">
        <f t="shared" si="3"/>
        <v>0.35645369843842889</v>
      </c>
      <c r="K37" s="28">
        <f t="shared" si="3"/>
        <v>96.94067304116426</v>
      </c>
      <c r="L37" s="28">
        <f t="shared" si="3"/>
        <v>6.2325524582571799</v>
      </c>
      <c r="M37" s="28">
        <f t="shared" si="3"/>
        <v>20.528180696724949</v>
      </c>
      <c r="N37" s="28">
        <f t="shared" si="3"/>
        <v>233.85399926239131</v>
      </c>
      <c r="O37" s="28">
        <f t="shared" si="3"/>
        <v>0</v>
      </c>
      <c r="P37" s="28">
        <f t="shared" si="3"/>
        <v>0.44463773725506511</v>
      </c>
      <c r="Q37" s="28">
        <f t="shared" si="3"/>
        <v>0.25945281048692703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276</v>
      </c>
      <c r="B9" s="52">
        <v>187.81</v>
      </c>
      <c r="C9" s="52">
        <v>65.930000000000007</v>
      </c>
      <c r="D9" s="52">
        <v>183.67</v>
      </c>
      <c r="E9" s="52">
        <v>8.26</v>
      </c>
      <c r="F9" s="52">
        <v>2.13</v>
      </c>
      <c r="G9" s="52">
        <v>135.15</v>
      </c>
      <c r="H9" s="52">
        <v>52.15</v>
      </c>
      <c r="I9" s="53" t="s">
        <v>15</v>
      </c>
      <c r="J9" s="52">
        <v>0.57999999999999996</v>
      </c>
      <c r="K9" s="52">
        <v>330.38</v>
      </c>
      <c r="L9" s="52">
        <v>14.56</v>
      </c>
      <c r="M9" s="52">
        <v>64.489999999999995</v>
      </c>
      <c r="N9" s="52">
        <v>74.5</v>
      </c>
      <c r="O9" s="52">
        <v>0</v>
      </c>
      <c r="P9" s="52">
        <v>1.86</v>
      </c>
      <c r="Q9" s="52">
        <v>10.57</v>
      </c>
      <c r="R9" s="43"/>
      <c r="S9" s="43"/>
      <c r="T9" s="43"/>
      <c r="U9" s="43"/>
    </row>
    <row r="10" spans="1:21" s="11" customFormat="1" x14ac:dyDescent="0.25">
      <c r="A10" s="51" t="s">
        <v>277</v>
      </c>
      <c r="B10" s="52">
        <v>188.23</v>
      </c>
      <c r="C10" s="52">
        <v>61.22</v>
      </c>
      <c r="D10" s="52">
        <v>181.56</v>
      </c>
      <c r="E10" s="52">
        <v>8.42</v>
      </c>
      <c r="F10" s="52">
        <v>2.13</v>
      </c>
      <c r="G10" s="52">
        <v>131.69999999999999</v>
      </c>
      <c r="H10" s="52">
        <v>6</v>
      </c>
      <c r="I10" s="53" t="s">
        <v>15</v>
      </c>
      <c r="J10" s="52">
        <v>0.63</v>
      </c>
      <c r="K10" s="52">
        <v>286.83999999999997</v>
      </c>
      <c r="L10" s="52">
        <v>14.23</v>
      </c>
      <c r="M10" s="52">
        <v>63.82</v>
      </c>
      <c r="N10" s="52">
        <v>74.5</v>
      </c>
      <c r="O10" s="52">
        <v>0</v>
      </c>
      <c r="P10" s="52">
        <v>1.7</v>
      </c>
      <c r="Q10" s="52">
        <v>10.58</v>
      </c>
      <c r="R10" s="43"/>
      <c r="S10" s="43"/>
      <c r="T10" s="43"/>
      <c r="U10" s="43"/>
    </row>
    <row r="11" spans="1:21" s="11" customFormat="1" x14ac:dyDescent="0.25">
      <c r="A11" s="51" t="s">
        <v>278</v>
      </c>
      <c r="B11" s="52">
        <v>179.04</v>
      </c>
      <c r="C11" s="52">
        <v>58.43</v>
      </c>
      <c r="D11" s="52">
        <v>172.73</v>
      </c>
      <c r="E11" s="52">
        <v>8.5500000000000007</v>
      </c>
      <c r="F11" s="52">
        <v>2.13</v>
      </c>
      <c r="G11" s="52">
        <v>107.05</v>
      </c>
      <c r="H11" s="52">
        <v>48.31</v>
      </c>
      <c r="I11" s="53" t="s">
        <v>15</v>
      </c>
      <c r="J11" s="52">
        <v>0.68</v>
      </c>
      <c r="K11" s="52">
        <v>301.02</v>
      </c>
      <c r="L11" s="52">
        <v>13.65</v>
      </c>
      <c r="M11" s="52">
        <v>60.38</v>
      </c>
      <c r="N11" s="52">
        <v>74.7</v>
      </c>
      <c r="O11" s="52">
        <v>0</v>
      </c>
      <c r="P11" s="52">
        <v>1.68</v>
      </c>
      <c r="Q11" s="52">
        <v>10.61</v>
      </c>
      <c r="R11" s="43"/>
      <c r="S11" s="43"/>
      <c r="T11" s="43"/>
      <c r="U11" s="43"/>
    </row>
    <row r="12" spans="1:21" s="11" customFormat="1" x14ac:dyDescent="0.25">
      <c r="A12" s="51" t="s">
        <v>279</v>
      </c>
      <c r="B12" s="52">
        <v>155.63</v>
      </c>
      <c r="C12" s="52">
        <v>55.24</v>
      </c>
      <c r="D12" s="52">
        <v>152.15</v>
      </c>
      <c r="E12" s="52">
        <v>7.94</v>
      </c>
      <c r="F12" s="52">
        <v>2.13</v>
      </c>
      <c r="G12" s="52">
        <v>34.119999999999997</v>
      </c>
      <c r="H12" s="52">
        <v>13.16</v>
      </c>
      <c r="I12" s="53" t="s">
        <v>15</v>
      </c>
      <c r="J12" s="52">
        <v>0.65</v>
      </c>
      <c r="K12" s="52">
        <v>335.86</v>
      </c>
      <c r="L12" s="52">
        <v>13.2</v>
      </c>
      <c r="M12" s="52">
        <v>70.22</v>
      </c>
      <c r="N12" s="52">
        <v>74.7</v>
      </c>
      <c r="O12" s="52">
        <v>0</v>
      </c>
      <c r="P12" s="52">
        <v>1.51</v>
      </c>
      <c r="Q12" s="52">
        <v>10.5</v>
      </c>
      <c r="R12" s="43"/>
      <c r="S12" s="43"/>
      <c r="T12" s="43"/>
      <c r="U12" s="43"/>
    </row>
    <row r="13" spans="1:21" s="11" customFormat="1" x14ac:dyDescent="0.25">
      <c r="A13" s="51" t="s">
        <v>280</v>
      </c>
      <c r="B13" s="52">
        <v>138.33000000000001</v>
      </c>
      <c r="C13" s="52">
        <v>52.8</v>
      </c>
      <c r="D13" s="52">
        <v>137.13999999999999</v>
      </c>
      <c r="E13" s="52">
        <v>7.96</v>
      </c>
      <c r="F13" s="52">
        <v>2.13</v>
      </c>
      <c r="G13" s="52">
        <v>100.87</v>
      </c>
      <c r="H13" s="52">
        <v>48.95</v>
      </c>
      <c r="I13" s="53" t="s">
        <v>15</v>
      </c>
      <c r="J13" s="52">
        <v>0.67</v>
      </c>
      <c r="K13" s="52">
        <v>325.07</v>
      </c>
      <c r="L13" s="52">
        <v>12.74</v>
      </c>
      <c r="M13" s="52">
        <v>77.87</v>
      </c>
      <c r="N13" s="52">
        <v>74.400000000000006</v>
      </c>
      <c r="O13" s="52">
        <v>0</v>
      </c>
      <c r="P13" s="52">
        <v>1.48</v>
      </c>
      <c r="Q13" s="52">
        <v>10.43</v>
      </c>
      <c r="R13" s="43"/>
      <c r="S13" s="43"/>
      <c r="T13" s="43"/>
      <c r="U13" s="43"/>
    </row>
    <row r="14" spans="1:21" s="11" customFormat="1" x14ac:dyDescent="0.25">
      <c r="A14" s="51" t="s">
        <v>281</v>
      </c>
      <c r="B14" s="52">
        <v>153.72</v>
      </c>
      <c r="C14" s="52">
        <v>51.48</v>
      </c>
      <c r="D14" s="52">
        <v>148.79</v>
      </c>
      <c r="E14" s="52">
        <v>9.06</v>
      </c>
      <c r="F14" s="52">
        <v>2.13</v>
      </c>
      <c r="G14" s="52">
        <v>117.28</v>
      </c>
      <c r="H14" s="52">
        <v>40.53</v>
      </c>
      <c r="I14" s="53" t="s">
        <v>15</v>
      </c>
      <c r="J14" s="52">
        <v>0.44</v>
      </c>
      <c r="K14" s="52">
        <v>334.04</v>
      </c>
      <c r="L14" s="52">
        <v>12.48</v>
      </c>
      <c r="M14" s="52">
        <v>79.37</v>
      </c>
      <c r="N14" s="52">
        <v>73.900000000000006</v>
      </c>
      <c r="O14" s="52">
        <v>0</v>
      </c>
      <c r="P14" s="52">
        <v>1.56</v>
      </c>
      <c r="Q14" s="52">
        <v>10.36</v>
      </c>
      <c r="R14" s="43"/>
      <c r="S14" s="43"/>
      <c r="T14" s="43"/>
      <c r="U14" s="43"/>
    </row>
    <row r="15" spans="1:21" s="11" customFormat="1" x14ac:dyDescent="0.25">
      <c r="A15" s="51" t="s">
        <v>282</v>
      </c>
      <c r="B15" s="52">
        <v>171.76</v>
      </c>
      <c r="C15" s="52">
        <v>51.97</v>
      </c>
      <c r="D15" s="52">
        <v>163.04</v>
      </c>
      <c r="E15" s="52">
        <v>9.83</v>
      </c>
      <c r="F15" s="52">
        <v>2.13</v>
      </c>
      <c r="G15" s="52">
        <v>163.36000000000001</v>
      </c>
      <c r="H15" s="52">
        <v>60.02</v>
      </c>
      <c r="I15" s="53" t="s">
        <v>15</v>
      </c>
      <c r="J15" s="52">
        <v>0.6</v>
      </c>
      <c r="K15" s="52">
        <v>326.12</v>
      </c>
      <c r="L15" s="52">
        <v>12.65</v>
      </c>
      <c r="M15" s="52">
        <v>84.74</v>
      </c>
      <c r="N15" s="52">
        <v>88.7</v>
      </c>
      <c r="O15" s="52">
        <v>0</v>
      </c>
      <c r="P15" s="52">
        <v>1.63</v>
      </c>
      <c r="Q15" s="52">
        <v>10.58</v>
      </c>
      <c r="R15" s="43"/>
      <c r="S15" s="43"/>
      <c r="T15" s="43"/>
      <c r="U15" s="43"/>
    </row>
    <row r="16" spans="1:21" s="11" customFormat="1" x14ac:dyDescent="0.25">
      <c r="A16" s="51" t="s">
        <v>283</v>
      </c>
      <c r="B16" s="52">
        <v>171.04</v>
      </c>
      <c r="C16" s="52">
        <v>48.66</v>
      </c>
      <c r="D16" s="52">
        <v>160.79</v>
      </c>
      <c r="E16" s="52">
        <v>9.6300000000000008</v>
      </c>
      <c r="F16" s="52">
        <v>2.13</v>
      </c>
      <c r="G16" s="52">
        <v>173.82</v>
      </c>
      <c r="H16" s="52">
        <v>52.95</v>
      </c>
      <c r="I16" s="53" t="s">
        <v>15</v>
      </c>
      <c r="J16" s="52">
        <v>0.86</v>
      </c>
      <c r="K16" s="52">
        <v>310.29000000000002</v>
      </c>
      <c r="L16" s="52">
        <v>17.21</v>
      </c>
      <c r="M16" s="52">
        <v>82.72</v>
      </c>
      <c r="N16" s="52">
        <v>255.6</v>
      </c>
      <c r="O16" s="52">
        <v>0</v>
      </c>
      <c r="P16" s="52">
        <v>1.58</v>
      </c>
      <c r="Q16" s="52">
        <v>10.65</v>
      </c>
      <c r="R16" s="43"/>
      <c r="S16" s="43"/>
      <c r="T16" s="43"/>
      <c r="U16" s="43"/>
    </row>
    <row r="17" spans="1:21" s="11" customFormat="1" x14ac:dyDescent="0.25">
      <c r="A17" s="51" t="s">
        <v>284</v>
      </c>
      <c r="B17" s="52">
        <v>158.16</v>
      </c>
      <c r="C17" s="52">
        <v>51.68</v>
      </c>
      <c r="D17" s="52">
        <v>151.25</v>
      </c>
      <c r="E17" s="52">
        <v>8.58</v>
      </c>
      <c r="F17" s="52">
        <v>2.13</v>
      </c>
      <c r="G17" s="52">
        <v>77.86</v>
      </c>
      <c r="H17" s="52">
        <v>66.930000000000007</v>
      </c>
      <c r="I17" s="53" t="s">
        <v>15</v>
      </c>
      <c r="J17" s="52">
        <v>1.1599999999999999</v>
      </c>
      <c r="K17" s="52">
        <v>198.48</v>
      </c>
      <c r="L17" s="52">
        <v>21.38</v>
      </c>
      <c r="M17" s="52">
        <v>44.45</v>
      </c>
      <c r="N17" s="52">
        <v>433.3</v>
      </c>
      <c r="O17" s="52">
        <v>0</v>
      </c>
      <c r="P17" s="52">
        <v>1.51</v>
      </c>
      <c r="Q17" s="52">
        <v>10.61</v>
      </c>
      <c r="R17" s="43"/>
      <c r="S17" s="43"/>
      <c r="T17" s="43"/>
      <c r="U17" s="43"/>
    </row>
    <row r="18" spans="1:21" s="11" customFormat="1" x14ac:dyDescent="0.25">
      <c r="A18" s="51" t="s">
        <v>285</v>
      </c>
      <c r="B18" s="52">
        <v>129.01</v>
      </c>
      <c r="C18" s="52">
        <v>56.67</v>
      </c>
      <c r="D18" s="52">
        <v>129.77000000000001</v>
      </c>
      <c r="E18" s="52">
        <v>7</v>
      </c>
      <c r="F18" s="52">
        <v>2.13</v>
      </c>
      <c r="G18" s="52">
        <v>69.73</v>
      </c>
      <c r="H18" s="52">
        <v>66.930000000000007</v>
      </c>
      <c r="I18" s="53" t="s">
        <v>15</v>
      </c>
      <c r="J18" s="52">
        <v>1.19</v>
      </c>
      <c r="K18" s="52">
        <v>186.57</v>
      </c>
      <c r="L18" s="52">
        <v>24.75</v>
      </c>
      <c r="M18" s="52">
        <v>33.590000000000003</v>
      </c>
      <c r="N18" s="52">
        <v>561.9</v>
      </c>
      <c r="O18" s="52">
        <v>0</v>
      </c>
      <c r="P18" s="52">
        <v>1.34</v>
      </c>
      <c r="Q18" s="52">
        <v>10.54</v>
      </c>
      <c r="R18" s="43"/>
      <c r="S18" s="43"/>
      <c r="T18" s="43"/>
      <c r="U18" s="43"/>
    </row>
    <row r="19" spans="1:21" s="11" customFormat="1" x14ac:dyDescent="0.25">
      <c r="A19" s="51" t="s">
        <v>286</v>
      </c>
      <c r="B19" s="52">
        <v>94.53</v>
      </c>
      <c r="C19" s="52">
        <v>83.99</v>
      </c>
      <c r="D19" s="52">
        <v>104.82</v>
      </c>
      <c r="E19" s="52">
        <v>7.56</v>
      </c>
      <c r="F19" s="52">
        <v>6.23</v>
      </c>
      <c r="G19" s="52">
        <v>54.37</v>
      </c>
      <c r="H19" s="52">
        <v>29.64</v>
      </c>
      <c r="I19" s="53" t="s">
        <v>15</v>
      </c>
      <c r="J19" s="52">
        <v>1.63</v>
      </c>
      <c r="K19" s="52">
        <v>227.54</v>
      </c>
      <c r="L19" s="52">
        <v>27.7</v>
      </c>
      <c r="M19" s="52">
        <v>24.22</v>
      </c>
      <c r="N19" s="52">
        <v>883.5</v>
      </c>
      <c r="O19" s="52">
        <v>0</v>
      </c>
      <c r="P19" s="52">
        <v>1.1299999999999999</v>
      </c>
      <c r="Q19" s="52">
        <v>10.67</v>
      </c>
      <c r="R19" s="43"/>
      <c r="S19" s="43"/>
      <c r="T19" s="43"/>
      <c r="U19" s="43"/>
    </row>
    <row r="20" spans="1:21" s="11" customFormat="1" x14ac:dyDescent="0.25">
      <c r="A20" s="51" t="s">
        <v>287</v>
      </c>
      <c r="B20" s="52">
        <v>4.58</v>
      </c>
      <c r="C20" s="52">
        <v>72.52</v>
      </c>
      <c r="D20" s="52">
        <v>40.19</v>
      </c>
      <c r="E20" s="52">
        <v>8.81</v>
      </c>
      <c r="F20" s="52">
        <v>19.760000000000002</v>
      </c>
      <c r="G20" s="52">
        <v>19.03</v>
      </c>
      <c r="H20" s="52">
        <v>6.15</v>
      </c>
      <c r="I20" s="53" t="s">
        <v>15</v>
      </c>
      <c r="J20" s="52">
        <v>0.83</v>
      </c>
      <c r="K20" s="52">
        <v>325.18</v>
      </c>
      <c r="L20" s="52">
        <v>31.14</v>
      </c>
      <c r="M20" s="52">
        <v>24.33</v>
      </c>
      <c r="N20" s="52">
        <v>937.7</v>
      </c>
      <c r="O20" s="52">
        <v>0</v>
      </c>
      <c r="P20" s="52">
        <v>0.42</v>
      </c>
      <c r="Q20" s="52">
        <v>10.15</v>
      </c>
      <c r="R20" s="43"/>
      <c r="S20" s="43"/>
      <c r="T20" s="43"/>
      <c r="U20" s="43"/>
    </row>
    <row r="21" spans="1:21" s="11" customFormat="1" x14ac:dyDescent="0.25">
      <c r="A21" s="51" t="s">
        <v>288</v>
      </c>
      <c r="B21" s="52">
        <v>3.47</v>
      </c>
      <c r="C21" s="52">
        <v>62.78</v>
      </c>
      <c r="D21" s="52">
        <v>33.81</v>
      </c>
      <c r="E21" s="52">
        <v>24.97</v>
      </c>
      <c r="F21" s="52">
        <v>24.5</v>
      </c>
      <c r="G21" s="52">
        <v>63.03</v>
      </c>
      <c r="H21" s="52">
        <v>19.760000000000002</v>
      </c>
      <c r="I21" s="53" t="s">
        <v>15</v>
      </c>
      <c r="J21" s="52">
        <v>0.77</v>
      </c>
      <c r="K21" s="52">
        <v>330.17</v>
      </c>
      <c r="L21" s="52">
        <v>31.95</v>
      </c>
      <c r="M21" s="52">
        <v>19.66</v>
      </c>
      <c r="N21" s="52">
        <v>867.6</v>
      </c>
      <c r="O21" s="52">
        <v>0</v>
      </c>
      <c r="P21" s="52">
        <v>0.39</v>
      </c>
      <c r="Q21" s="52">
        <v>9.9499999999999993</v>
      </c>
      <c r="R21" s="43"/>
      <c r="S21" s="43"/>
      <c r="T21" s="43"/>
      <c r="U21" s="43"/>
    </row>
    <row r="22" spans="1:21" s="11" customFormat="1" x14ac:dyDescent="0.25">
      <c r="A22" s="51" t="s">
        <v>289</v>
      </c>
      <c r="B22" s="52">
        <v>3.35</v>
      </c>
      <c r="C22" s="52">
        <v>55.86</v>
      </c>
      <c r="D22" s="52">
        <v>30.19</v>
      </c>
      <c r="E22" s="52">
        <v>15.08</v>
      </c>
      <c r="F22" s="52">
        <v>13.27</v>
      </c>
      <c r="G22" s="52">
        <v>67.17</v>
      </c>
      <c r="H22" s="52">
        <v>18.78</v>
      </c>
      <c r="I22" s="53" t="s">
        <v>15</v>
      </c>
      <c r="J22" s="52">
        <v>1.02</v>
      </c>
      <c r="K22" s="52">
        <v>313.23</v>
      </c>
      <c r="L22" s="52">
        <v>32.36</v>
      </c>
      <c r="M22" s="52">
        <v>20.69</v>
      </c>
      <c r="N22" s="52">
        <v>819.9</v>
      </c>
      <c r="O22" s="52">
        <v>0</v>
      </c>
      <c r="P22" s="52">
        <v>0.51</v>
      </c>
      <c r="Q22" s="52">
        <v>9.98</v>
      </c>
      <c r="R22" s="43"/>
      <c r="S22" s="43"/>
      <c r="T22" s="43"/>
      <c r="U22" s="43"/>
    </row>
    <row r="23" spans="1:21" s="11" customFormat="1" x14ac:dyDescent="0.25">
      <c r="A23" s="51" t="s">
        <v>290</v>
      </c>
      <c r="B23" s="52">
        <v>2.91</v>
      </c>
      <c r="C23" s="52">
        <v>64.319999999999993</v>
      </c>
      <c r="D23" s="52">
        <v>34.42</v>
      </c>
      <c r="E23" s="52">
        <v>10.27</v>
      </c>
      <c r="F23" s="52">
        <v>13.94</v>
      </c>
      <c r="G23" s="52">
        <v>60.59</v>
      </c>
      <c r="H23" s="52">
        <v>19.5</v>
      </c>
      <c r="I23" s="53" t="s">
        <v>15</v>
      </c>
      <c r="J23" s="52">
        <v>1.74</v>
      </c>
      <c r="K23" s="52">
        <v>321.45</v>
      </c>
      <c r="L23" s="52">
        <v>31.2</v>
      </c>
      <c r="M23" s="52">
        <v>22.6</v>
      </c>
      <c r="N23" s="52">
        <v>519.20000000000005</v>
      </c>
      <c r="O23" s="52">
        <v>0</v>
      </c>
      <c r="P23" s="52">
        <v>0.74</v>
      </c>
      <c r="Q23" s="52">
        <v>10.039999999999999</v>
      </c>
      <c r="R23" s="43"/>
      <c r="S23" s="43"/>
      <c r="T23" s="43"/>
      <c r="U23" s="43"/>
    </row>
    <row r="24" spans="1:21" s="11" customFormat="1" x14ac:dyDescent="0.25">
      <c r="A24" s="51" t="s">
        <v>291</v>
      </c>
      <c r="B24" s="52">
        <v>3.59</v>
      </c>
      <c r="C24" s="52">
        <v>62.76</v>
      </c>
      <c r="D24" s="52">
        <v>33.56</v>
      </c>
      <c r="E24" s="52">
        <v>8.15</v>
      </c>
      <c r="F24" s="52">
        <v>10.65</v>
      </c>
      <c r="G24" s="52">
        <v>62.52</v>
      </c>
      <c r="H24" s="52">
        <v>20.69</v>
      </c>
      <c r="I24" s="53" t="s">
        <v>15</v>
      </c>
      <c r="J24" s="52">
        <v>1.85</v>
      </c>
      <c r="K24" s="52">
        <v>341.57</v>
      </c>
      <c r="L24" s="52">
        <v>30.8</v>
      </c>
      <c r="M24" s="52">
        <v>24.57</v>
      </c>
      <c r="N24" s="52">
        <v>397</v>
      </c>
      <c r="O24" s="52">
        <v>0</v>
      </c>
      <c r="P24" s="52">
        <v>0.67</v>
      </c>
      <c r="Q24" s="52">
        <v>10.07</v>
      </c>
      <c r="R24" s="43"/>
      <c r="S24" s="43"/>
      <c r="T24" s="43"/>
      <c r="U24" s="43"/>
    </row>
    <row r="25" spans="1:21" s="11" customFormat="1" x14ac:dyDescent="0.25">
      <c r="A25" s="51" t="s">
        <v>292</v>
      </c>
      <c r="B25" s="52">
        <v>3.99</v>
      </c>
      <c r="C25" s="52">
        <v>63.12</v>
      </c>
      <c r="D25" s="52">
        <v>34.57</v>
      </c>
      <c r="E25" s="52">
        <v>8.2799999999999994</v>
      </c>
      <c r="F25" s="52">
        <v>7.88</v>
      </c>
      <c r="G25" s="52">
        <v>55.6</v>
      </c>
      <c r="H25" s="52">
        <v>18.05</v>
      </c>
      <c r="I25" s="53" t="s">
        <v>15</v>
      </c>
      <c r="J25" s="52">
        <v>1.34</v>
      </c>
      <c r="K25" s="52">
        <v>326</v>
      </c>
      <c r="L25" s="52">
        <v>28.7</v>
      </c>
      <c r="M25" s="52">
        <v>28.22</v>
      </c>
      <c r="N25" s="52">
        <v>165.2</v>
      </c>
      <c r="O25" s="52">
        <v>0</v>
      </c>
      <c r="P25" s="52">
        <v>0.71</v>
      </c>
      <c r="Q25" s="52">
        <v>10.07</v>
      </c>
      <c r="R25" s="43"/>
      <c r="S25" s="43"/>
      <c r="T25" s="43"/>
      <c r="U25" s="43"/>
    </row>
    <row r="26" spans="1:21" s="11" customFormat="1" x14ac:dyDescent="0.25">
      <c r="A26" s="51" t="s">
        <v>293</v>
      </c>
      <c r="B26" s="52">
        <v>17.079999999999998</v>
      </c>
      <c r="C26" s="52">
        <v>105.29</v>
      </c>
      <c r="D26" s="52">
        <v>67.33</v>
      </c>
      <c r="E26" s="52">
        <v>9.6999999999999993</v>
      </c>
      <c r="F26" s="52">
        <v>2.71</v>
      </c>
      <c r="G26" s="52">
        <v>66.08</v>
      </c>
      <c r="H26" s="52">
        <v>21.48</v>
      </c>
      <c r="I26" s="53" t="s">
        <v>15</v>
      </c>
      <c r="J26" s="52">
        <v>0.75</v>
      </c>
      <c r="K26" s="52">
        <v>320.44</v>
      </c>
      <c r="L26" s="52">
        <v>26.91</v>
      </c>
      <c r="M26" s="52">
        <v>39.299999999999997</v>
      </c>
      <c r="N26" s="52">
        <v>108</v>
      </c>
      <c r="O26" s="52">
        <v>0</v>
      </c>
      <c r="P26" s="52">
        <v>0.97</v>
      </c>
      <c r="Q26" s="52">
        <v>10.130000000000001</v>
      </c>
      <c r="R26" s="43"/>
      <c r="S26" s="43"/>
      <c r="T26" s="43"/>
      <c r="U26" s="43"/>
    </row>
    <row r="27" spans="1:21" s="11" customFormat="1" x14ac:dyDescent="0.25">
      <c r="A27" s="51" t="s">
        <v>294</v>
      </c>
      <c r="B27" s="52">
        <v>41.6</v>
      </c>
      <c r="C27" s="52">
        <v>102.12</v>
      </c>
      <c r="D27" s="52">
        <v>80.790000000000006</v>
      </c>
      <c r="E27" s="52">
        <v>7.98</v>
      </c>
      <c r="F27" s="52">
        <v>2.13</v>
      </c>
      <c r="G27" s="52">
        <v>102.65</v>
      </c>
      <c r="H27" s="52">
        <v>23.7</v>
      </c>
      <c r="I27" s="53" t="s">
        <v>15</v>
      </c>
      <c r="J27" s="52">
        <v>0.64</v>
      </c>
      <c r="K27" s="52">
        <v>349.12</v>
      </c>
      <c r="L27" s="52">
        <v>22.87</v>
      </c>
      <c r="M27" s="52">
        <v>51.32</v>
      </c>
      <c r="N27" s="52">
        <v>71.7</v>
      </c>
      <c r="O27" s="52">
        <v>0</v>
      </c>
      <c r="P27" s="52">
        <v>1.41</v>
      </c>
      <c r="Q27" s="52">
        <v>10.15</v>
      </c>
      <c r="R27" s="43"/>
      <c r="S27" s="43"/>
      <c r="T27" s="43"/>
      <c r="U27" s="43"/>
    </row>
    <row r="28" spans="1:21" s="11" customFormat="1" x14ac:dyDescent="0.25">
      <c r="A28" s="51" t="s">
        <v>295</v>
      </c>
      <c r="B28" s="52">
        <v>69.83</v>
      </c>
      <c r="C28" s="52">
        <v>91.33</v>
      </c>
      <c r="D28" s="52">
        <v>98.96</v>
      </c>
      <c r="E28" s="52">
        <v>9.2100000000000009</v>
      </c>
      <c r="F28" s="52">
        <v>2.13</v>
      </c>
      <c r="G28" s="52">
        <v>173.77</v>
      </c>
      <c r="H28" s="52">
        <v>28.75</v>
      </c>
      <c r="I28" s="53" t="s">
        <v>15</v>
      </c>
      <c r="J28" s="52">
        <v>0.81</v>
      </c>
      <c r="K28" s="52">
        <v>354.73</v>
      </c>
      <c r="L28" s="52">
        <v>20.83</v>
      </c>
      <c r="M28" s="52">
        <v>58.93</v>
      </c>
      <c r="N28" s="52">
        <v>70.7</v>
      </c>
      <c r="O28" s="52">
        <v>0</v>
      </c>
      <c r="P28" s="52">
        <v>1.9</v>
      </c>
      <c r="Q28" s="52">
        <v>10.31</v>
      </c>
      <c r="R28" s="43"/>
      <c r="S28" s="43"/>
      <c r="T28" s="43"/>
      <c r="U28" s="43"/>
    </row>
    <row r="29" spans="1:21" s="11" customFormat="1" x14ac:dyDescent="0.25">
      <c r="A29" s="51" t="s">
        <v>296</v>
      </c>
      <c r="B29" s="52">
        <v>84.5</v>
      </c>
      <c r="C29" s="52">
        <v>82.03</v>
      </c>
      <c r="D29" s="52">
        <v>105.93</v>
      </c>
      <c r="E29" s="52">
        <v>9.06</v>
      </c>
      <c r="F29" s="52">
        <v>2.13</v>
      </c>
      <c r="G29" s="52">
        <v>162.31</v>
      </c>
      <c r="H29" s="52">
        <v>34.729999999999997</v>
      </c>
      <c r="I29" s="53" t="s">
        <v>15</v>
      </c>
      <c r="J29" s="52">
        <v>0.65</v>
      </c>
      <c r="K29" s="52">
        <v>326.42</v>
      </c>
      <c r="L29" s="52">
        <v>20.49</v>
      </c>
      <c r="M29" s="52">
        <v>54.4</v>
      </c>
      <c r="N29" s="52">
        <v>70.7</v>
      </c>
      <c r="O29" s="52">
        <v>0</v>
      </c>
      <c r="P29" s="52">
        <v>2.4</v>
      </c>
      <c r="Q29" s="52">
        <v>10.34</v>
      </c>
      <c r="R29" s="43"/>
      <c r="S29" s="43"/>
      <c r="T29" s="43"/>
      <c r="U29" s="43"/>
    </row>
    <row r="30" spans="1:21" s="11" customFormat="1" x14ac:dyDescent="0.25">
      <c r="A30" s="51" t="s">
        <v>297</v>
      </c>
      <c r="B30" s="52">
        <v>131.57</v>
      </c>
      <c r="C30" s="52">
        <v>75.59</v>
      </c>
      <c r="D30" s="52">
        <v>143.1</v>
      </c>
      <c r="E30" s="52">
        <v>9.44</v>
      </c>
      <c r="F30" s="52">
        <v>2.13</v>
      </c>
      <c r="G30" s="52">
        <v>157.37</v>
      </c>
      <c r="H30" s="52">
        <v>39.69</v>
      </c>
      <c r="I30" s="53" t="s">
        <v>15</v>
      </c>
      <c r="J30" s="52">
        <v>0.45</v>
      </c>
      <c r="K30" s="52">
        <v>353.15</v>
      </c>
      <c r="L30" s="52">
        <v>19.97</v>
      </c>
      <c r="M30" s="52">
        <v>64.91</v>
      </c>
      <c r="N30" s="52">
        <v>70.7</v>
      </c>
      <c r="O30" s="52">
        <v>0</v>
      </c>
      <c r="P30" s="52">
        <v>2.5</v>
      </c>
      <c r="Q30" s="52">
        <v>10.36</v>
      </c>
      <c r="R30" s="43"/>
      <c r="S30" s="43"/>
      <c r="T30" s="43"/>
      <c r="U30" s="43"/>
    </row>
    <row r="31" spans="1:21" s="11" customFormat="1" x14ac:dyDescent="0.25">
      <c r="A31" s="51" t="s">
        <v>298</v>
      </c>
      <c r="B31" s="52">
        <v>158.61000000000001</v>
      </c>
      <c r="C31" s="52">
        <v>75.55</v>
      </c>
      <c r="D31" s="52">
        <v>164.75</v>
      </c>
      <c r="E31" s="52">
        <v>9.77</v>
      </c>
      <c r="F31" s="52">
        <v>2.13</v>
      </c>
      <c r="G31" s="52">
        <v>176.31</v>
      </c>
      <c r="H31" s="52">
        <v>43.85</v>
      </c>
      <c r="I31" s="53" t="s">
        <v>15</v>
      </c>
      <c r="J31" s="52">
        <v>0.66</v>
      </c>
      <c r="K31" s="52">
        <v>323.70999999999998</v>
      </c>
      <c r="L31" s="52">
        <v>19.170000000000002</v>
      </c>
      <c r="M31" s="52">
        <v>67.64</v>
      </c>
      <c r="N31" s="52">
        <v>70.8</v>
      </c>
      <c r="O31" s="52">
        <v>0</v>
      </c>
      <c r="P31" s="52">
        <v>2.2000000000000002</v>
      </c>
      <c r="Q31" s="52">
        <v>10.62</v>
      </c>
      <c r="R31" s="43"/>
      <c r="S31" s="43"/>
      <c r="T31" s="43"/>
      <c r="U31" s="43"/>
    </row>
    <row r="32" spans="1:21" s="11" customFormat="1" x14ac:dyDescent="0.25">
      <c r="A32" s="51" t="s">
        <v>299</v>
      </c>
      <c r="B32" s="52">
        <v>170.45</v>
      </c>
      <c r="C32" s="52">
        <v>74.069999999999993</v>
      </c>
      <c r="D32" s="52">
        <v>173.43</v>
      </c>
      <c r="E32" s="52">
        <v>11.91</v>
      </c>
      <c r="F32" s="52">
        <v>2.13</v>
      </c>
      <c r="G32" s="52">
        <v>170.68</v>
      </c>
      <c r="H32" s="52">
        <v>47.94</v>
      </c>
      <c r="I32" s="53" t="s">
        <v>15</v>
      </c>
      <c r="J32" s="52">
        <v>0.74</v>
      </c>
      <c r="K32" s="52">
        <v>292.86</v>
      </c>
      <c r="L32" s="52">
        <v>18.73</v>
      </c>
      <c r="M32" s="52">
        <v>69.97</v>
      </c>
      <c r="N32" s="52">
        <v>70.7</v>
      </c>
      <c r="O32" s="52">
        <v>0</v>
      </c>
      <c r="P32" s="52">
        <v>2.21</v>
      </c>
      <c r="Q32" s="52">
        <v>10.78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2.91</v>
      </c>
      <c r="C34" s="28">
        <f t="shared" si="0"/>
        <v>48.66</v>
      </c>
      <c r="D34" s="28">
        <f t="shared" si="0"/>
        <v>30.19</v>
      </c>
      <c r="E34" s="28">
        <f t="shared" si="0"/>
        <v>7</v>
      </c>
      <c r="F34" s="28">
        <f t="shared" si="0"/>
        <v>2.13</v>
      </c>
      <c r="G34" s="28">
        <f t="shared" si="0"/>
        <v>19.03</v>
      </c>
      <c r="H34" s="28">
        <f t="shared" si="0"/>
        <v>6</v>
      </c>
      <c r="I34" s="28">
        <f t="shared" si="0"/>
        <v>0</v>
      </c>
      <c r="J34" s="28">
        <f t="shared" si="0"/>
        <v>0.44</v>
      </c>
      <c r="K34" s="28">
        <f t="shared" si="0"/>
        <v>186.57</v>
      </c>
      <c r="L34" s="28">
        <f t="shared" si="0"/>
        <v>12.48</v>
      </c>
      <c r="M34" s="28">
        <f t="shared" si="0"/>
        <v>19.66</v>
      </c>
      <c r="N34" s="28">
        <f t="shared" si="0"/>
        <v>70.7</v>
      </c>
      <c r="O34" s="28">
        <f t="shared" si="0"/>
        <v>0</v>
      </c>
      <c r="P34" s="28">
        <f t="shared" si="0"/>
        <v>0.39</v>
      </c>
      <c r="Q34" s="28">
        <f t="shared" si="0"/>
        <v>9.9499999999999993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188.23</v>
      </c>
      <c r="C35" s="29">
        <f t="shared" si="1"/>
        <v>105.29</v>
      </c>
      <c r="D35" s="29">
        <f t="shared" si="1"/>
        <v>183.67</v>
      </c>
      <c r="E35" s="29">
        <f t="shared" si="1"/>
        <v>24.97</v>
      </c>
      <c r="F35" s="29">
        <f t="shared" si="1"/>
        <v>24.5</v>
      </c>
      <c r="G35" s="29">
        <f t="shared" si="1"/>
        <v>176.31</v>
      </c>
      <c r="H35" s="29">
        <f t="shared" si="1"/>
        <v>66.930000000000007</v>
      </c>
      <c r="I35" s="29">
        <f t="shared" si="1"/>
        <v>0</v>
      </c>
      <c r="J35" s="29">
        <f t="shared" si="1"/>
        <v>1.85</v>
      </c>
      <c r="K35" s="29">
        <f t="shared" si="1"/>
        <v>354.73</v>
      </c>
      <c r="L35" s="29">
        <f t="shared" si="1"/>
        <v>32.36</v>
      </c>
      <c r="M35" s="29">
        <f t="shared" si="1"/>
        <v>84.74</v>
      </c>
      <c r="N35" s="29">
        <f t="shared" si="1"/>
        <v>937.7</v>
      </c>
      <c r="O35" s="29">
        <f t="shared" si="1"/>
        <v>0</v>
      </c>
      <c r="P35" s="29">
        <f t="shared" si="1"/>
        <v>2.5</v>
      </c>
      <c r="Q35" s="29">
        <f t="shared" si="1"/>
        <v>10.78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100.94958333333331</v>
      </c>
      <c r="C36" s="28">
        <f t="shared" si="2"/>
        <v>67.725416666666661</v>
      </c>
      <c r="D36" s="28">
        <f t="shared" si="2"/>
        <v>113.61416666666663</v>
      </c>
      <c r="E36" s="28">
        <f t="shared" si="2"/>
        <v>9.8091666666666679</v>
      </c>
      <c r="F36" s="28">
        <f t="shared" si="2"/>
        <v>5.5424999999999978</v>
      </c>
      <c r="G36" s="28">
        <f t="shared" si="2"/>
        <v>104.26749999999998</v>
      </c>
      <c r="H36" s="28">
        <f t="shared" si="2"/>
        <v>34.526666666666671</v>
      </c>
      <c r="I36" s="28" t="e">
        <f t="shared" si="2"/>
        <v>#DIV/0!</v>
      </c>
      <c r="J36" s="28">
        <f t="shared" si="2"/>
        <v>0.88916666666666655</v>
      </c>
      <c r="K36" s="28">
        <f t="shared" si="2"/>
        <v>310.00999999999993</v>
      </c>
      <c r="L36" s="28">
        <f t="shared" si="2"/>
        <v>21.652916666666666</v>
      </c>
      <c r="M36" s="28">
        <f t="shared" si="2"/>
        <v>51.350416666666689</v>
      </c>
      <c r="N36" s="28">
        <f t="shared" si="2"/>
        <v>287.89999999999992</v>
      </c>
      <c r="O36" s="28">
        <f t="shared" si="2"/>
        <v>0</v>
      </c>
      <c r="P36" s="28">
        <f t="shared" si="2"/>
        <v>1.4170833333333333</v>
      </c>
      <c r="Q36" s="28">
        <f t="shared" si="2"/>
        <v>10.377083333333333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72.27847129583138</v>
      </c>
      <c r="C37" s="28">
        <f t="shared" ref="C37:Q37" si="3">STDEV(C9:C32)</f>
        <v>15.873633040542371</v>
      </c>
      <c r="D37" s="28">
        <f t="shared" si="3"/>
        <v>55.529726619224427</v>
      </c>
      <c r="E37" s="28">
        <f t="shared" si="3"/>
        <v>3.6154678771930033</v>
      </c>
      <c r="F37" s="28">
        <f t="shared" si="3"/>
        <v>6.3181073459369665</v>
      </c>
      <c r="G37" s="28">
        <f t="shared" si="3"/>
        <v>50.202771987385248</v>
      </c>
      <c r="H37" s="28">
        <f t="shared" si="3"/>
        <v>18.299950027650144</v>
      </c>
      <c r="I37" s="28" t="e">
        <f t="shared" si="3"/>
        <v>#DIV/0!</v>
      </c>
      <c r="J37" s="28">
        <f t="shared" si="3"/>
        <v>0.39608866669479248</v>
      </c>
      <c r="K37" s="28">
        <f t="shared" si="3"/>
        <v>44.488535210967193</v>
      </c>
      <c r="L37" s="28">
        <f t="shared" si="3"/>
        <v>7.0259076338726647</v>
      </c>
      <c r="M37" s="28">
        <f t="shared" si="3"/>
        <v>22.080137538789952</v>
      </c>
      <c r="N37" s="28">
        <f t="shared" si="3"/>
        <v>309.40071386331755</v>
      </c>
      <c r="O37" s="28">
        <f t="shared" si="3"/>
        <v>0</v>
      </c>
      <c r="P37" s="28">
        <f t="shared" si="3"/>
        <v>0.61676913563072178</v>
      </c>
      <c r="Q37" s="28">
        <f t="shared" si="3"/>
        <v>0.2525604390285992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300</v>
      </c>
      <c r="B9" s="52">
        <v>163.19</v>
      </c>
      <c r="C9" s="52">
        <v>69.28</v>
      </c>
      <c r="D9" s="52">
        <v>165.68</v>
      </c>
      <c r="E9" s="52">
        <v>14.94</v>
      </c>
      <c r="F9" s="52">
        <v>2.13</v>
      </c>
      <c r="G9" s="52">
        <v>197.86</v>
      </c>
      <c r="H9" s="52">
        <v>61.3</v>
      </c>
      <c r="I9" s="53" t="s">
        <v>15</v>
      </c>
      <c r="J9" s="52">
        <v>0.74</v>
      </c>
      <c r="K9" s="52">
        <v>327.44</v>
      </c>
      <c r="L9" s="52">
        <v>18.02</v>
      </c>
      <c r="M9" s="52">
        <v>73.5</v>
      </c>
      <c r="N9" s="52">
        <v>70.8</v>
      </c>
      <c r="O9" s="52">
        <v>0</v>
      </c>
      <c r="P9" s="52">
        <v>2.21</v>
      </c>
      <c r="Q9" s="52">
        <v>10.8</v>
      </c>
      <c r="R9" s="43"/>
      <c r="S9" s="43"/>
      <c r="T9" s="43"/>
      <c r="U9" s="43"/>
    </row>
    <row r="10" spans="1:21" s="11" customFormat="1" x14ac:dyDescent="0.25">
      <c r="A10" s="51" t="s">
        <v>301</v>
      </c>
      <c r="B10" s="52">
        <v>143.4</v>
      </c>
      <c r="C10" s="52">
        <v>59.75</v>
      </c>
      <c r="D10" s="52">
        <v>144.84</v>
      </c>
      <c r="E10" s="52">
        <v>14.24</v>
      </c>
      <c r="F10" s="52">
        <v>2.13</v>
      </c>
      <c r="G10" s="52">
        <v>179.93</v>
      </c>
      <c r="H10" s="52">
        <v>73.42</v>
      </c>
      <c r="I10" s="53" t="s">
        <v>15</v>
      </c>
      <c r="J10" s="52">
        <v>0.67</v>
      </c>
      <c r="K10" s="52">
        <v>310.16000000000003</v>
      </c>
      <c r="L10" s="52">
        <v>17.57</v>
      </c>
      <c r="M10" s="52">
        <v>74.36</v>
      </c>
      <c r="N10" s="52">
        <v>70.599999999999994</v>
      </c>
      <c r="O10" s="52">
        <v>0</v>
      </c>
      <c r="P10" s="52">
        <v>1.67</v>
      </c>
      <c r="Q10" s="52">
        <v>10.64</v>
      </c>
      <c r="R10" s="43"/>
      <c r="S10" s="43"/>
      <c r="T10" s="43"/>
      <c r="U10" s="43"/>
    </row>
    <row r="11" spans="1:21" s="11" customFormat="1" x14ac:dyDescent="0.25">
      <c r="A11" s="51" t="s">
        <v>302</v>
      </c>
      <c r="B11" s="52">
        <v>123.51</v>
      </c>
      <c r="C11" s="52">
        <v>56.15</v>
      </c>
      <c r="D11" s="52">
        <v>126.66</v>
      </c>
      <c r="E11" s="52">
        <v>9.66</v>
      </c>
      <c r="F11" s="52">
        <v>2.13</v>
      </c>
      <c r="G11" s="52">
        <v>92.23</v>
      </c>
      <c r="H11" s="52">
        <v>56.97</v>
      </c>
      <c r="I11" s="53" t="s">
        <v>15</v>
      </c>
      <c r="J11" s="52">
        <v>0.63</v>
      </c>
      <c r="K11" s="52">
        <v>311.22000000000003</v>
      </c>
      <c r="L11" s="52">
        <v>17.18</v>
      </c>
      <c r="M11" s="52">
        <v>79.489999999999995</v>
      </c>
      <c r="N11" s="52">
        <v>70.8</v>
      </c>
      <c r="O11" s="52">
        <v>0</v>
      </c>
      <c r="P11" s="52">
        <v>1.63</v>
      </c>
      <c r="Q11" s="52">
        <v>10.5</v>
      </c>
      <c r="R11" s="43"/>
      <c r="S11" s="43"/>
      <c r="T11" s="43"/>
      <c r="U11" s="43"/>
    </row>
    <row r="12" spans="1:21" s="11" customFormat="1" x14ac:dyDescent="0.25">
      <c r="A12" s="51" t="s">
        <v>303</v>
      </c>
      <c r="B12" s="52">
        <v>104.53</v>
      </c>
      <c r="C12" s="52">
        <v>53.95</v>
      </c>
      <c r="D12" s="52">
        <v>110.64</v>
      </c>
      <c r="E12" s="52">
        <v>7.99</v>
      </c>
      <c r="F12" s="52">
        <v>2.13</v>
      </c>
      <c r="G12" s="52">
        <v>77.010000000000005</v>
      </c>
      <c r="H12" s="52">
        <v>38.51</v>
      </c>
      <c r="I12" s="53" t="s">
        <v>15</v>
      </c>
      <c r="J12" s="52">
        <v>0.41</v>
      </c>
      <c r="K12" s="52">
        <v>326.37</v>
      </c>
      <c r="L12" s="52">
        <v>16.84</v>
      </c>
      <c r="M12" s="52">
        <v>81.53</v>
      </c>
      <c r="N12" s="52">
        <v>70.8</v>
      </c>
      <c r="O12" s="52">
        <v>0</v>
      </c>
      <c r="P12" s="52">
        <v>1.48</v>
      </c>
      <c r="Q12" s="52">
        <v>10.41</v>
      </c>
      <c r="R12" s="43"/>
      <c r="S12" s="43"/>
      <c r="T12" s="43"/>
      <c r="U12" s="43"/>
    </row>
    <row r="13" spans="1:21" s="11" customFormat="1" x14ac:dyDescent="0.25">
      <c r="A13" s="51" t="s">
        <v>304</v>
      </c>
      <c r="B13" s="52">
        <v>87.45</v>
      </c>
      <c r="C13" s="52">
        <v>52.23</v>
      </c>
      <c r="D13" s="52">
        <v>96.04</v>
      </c>
      <c r="E13" s="52">
        <v>7.45</v>
      </c>
      <c r="F13" s="52">
        <v>2.13</v>
      </c>
      <c r="G13" s="52">
        <v>85.22</v>
      </c>
      <c r="H13" s="52">
        <v>32.630000000000003</v>
      </c>
      <c r="I13" s="53" t="s">
        <v>15</v>
      </c>
      <c r="J13" s="52">
        <v>0.55000000000000004</v>
      </c>
      <c r="K13" s="52">
        <v>352.49</v>
      </c>
      <c r="L13" s="52">
        <v>16.64</v>
      </c>
      <c r="M13" s="52">
        <v>81.63</v>
      </c>
      <c r="N13" s="52">
        <v>70.599999999999994</v>
      </c>
      <c r="O13" s="52">
        <v>0</v>
      </c>
      <c r="P13" s="52">
        <v>1.3</v>
      </c>
      <c r="Q13" s="52">
        <v>10.33</v>
      </c>
      <c r="R13" s="43"/>
      <c r="S13" s="43"/>
      <c r="T13" s="43"/>
      <c r="U13" s="43"/>
    </row>
    <row r="14" spans="1:21" s="11" customFormat="1" x14ac:dyDescent="0.25">
      <c r="A14" s="51" t="s">
        <v>305</v>
      </c>
      <c r="B14" s="52">
        <v>76.760000000000005</v>
      </c>
      <c r="C14" s="52">
        <v>49.52</v>
      </c>
      <c r="D14" s="52">
        <v>85.34</v>
      </c>
      <c r="E14" s="52">
        <v>7.05</v>
      </c>
      <c r="F14" s="52">
        <v>2.13</v>
      </c>
      <c r="G14" s="52">
        <v>90.61</v>
      </c>
      <c r="H14" s="52">
        <v>29.47</v>
      </c>
      <c r="I14" s="53" t="s">
        <v>15</v>
      </c>
      <c r="J14" s="52">
        <v>0.74</v>
      </c>
      <c r="K14" s="52">
        <v>322.97000000000003</v>
      </c>
      <c r="L14" s="52">
        <v>16.059999999999999</v>
      </c>
      <c r="M14" s="52">
        <v>85.47</v>
      </c>
      <c r="N14" s="52">
        <v>70.8</v>
      </c>
      <c r="O14" s="52">
        <v>0</v>
      </c>
      <c r="P14" s="52">
        <v>1.07</v>
      </c>
      <c r="Q14" s="52">
        <v>10.23</v>
      </c>
      <c r="R14" s="43"/>
      <c r="S14" s="43"/>
      <c r="T14" s="43"/>
      <c r="U14" s="43"/>
    </row>
    <row r="15" spans="1:21" s="11" customFormat="1" x14ac:dyDescent="0.25">
      <c r="A15" s="51" t="s">
        <v>306</v>
      </c>
      <c r="B15" s="52">
        <v>73.62</v>
      </c>
      <c r="C15" s="52">
        <v>50.06</v>
      </c>
      <c r="D15" s="52">
        <v>83.62</v>
      </c>
      <c r="E15" s="52">
        <v>7.21</v>
      </c>
      <c r="F15" s="52">
        <v>2.13</v>
      </c>
      <c r="G15" s="52">
        <v>102.16</v>
      </c>
      <c r="H15" s="52">
        <v>32.79</v>
      </c>
      <c r="I15" s="53" t="s">
        <v>15</v>
      </c>
      <c r="J15" s="52">
        <v>0.42</v>
      </c>
      <c r="K15" s="52">
        <v>344.18</v>
      </c>
      <c r="L15" s="52">
        <v>15.88</v>
      </c>
      <c r="M15" s="52">
        <v>86.25</v>
      </c>
      <c r="N15" s="52">
        <v>90.3</v>
      </c>
      <c r="O15" s="52">
        <v>0</v>
      </c>
      <c r="P15" s="52">
        <v>1.04</v>
      </c>
      <c r="Q15" s="52">
        <v>10.11</v>
      </c>
      <c r="R15" s="43"/>
      <c r="S15" s="43"/>
      <c r="T15" s="43"/>
      <c r="U15" s="43"/>
    </row>
    <row r="16" spans="1:21" s="11" customFormat="1" x14ac:dyDescent="0.25">
      <c r="A16" s="51" t="s">
        <v>307</v>
      </c>
      <c r="B16" s="52">
        <v>83.42</v>
      </c>
      <c r="C16" s="52">
        <v>52.48</v>
      </c>
      <c r="D16" s="52">
        <v>92.66</v>
      </c>
      <c r="E16" s="52">
        <v>8.6199999999999992</v>
      </c>
      <c r="F16" s="52">
        <v>2.13</v>
      </c>
      <c r="G16" s="52">
        <v>100.36</v>
      </c>
      <c r="H16" s="52">
        <v>36.33</v>
      </c>
      <c r="I16" s="53" t="s">
        <v>15</v>
      </c>
      <c r="J16" s="52">
        <v>0.6</v>
      </c>
      <c r="K16" s="52">
        <v>224.6</v>
      </c>
      <c r="L16" s="52">
        <v>18.760000000000002</v>
      </c>
      <c r="M16" s="52">
        <v>84.43</v>
      </c>
      <c r="N16" s="52">
        <v>223</v>
      </c>
      <c r="O16" s="52">
        <v>0</v>
      </c>
      <c r="P16" s="52">
        <v>1.1599999999999999</v>
      </c>
      <c r="Q16" s="52">
        <v>10.1</v>
      </c>
      <c r="R16" s="43"/>
      <c r="S16" s="43"/>
      <c r="T16" s="43"/>
      <c r="U16" s="43"/>
    </row>
    <row r="17" spans="1:21" s="11" customFormat="1" x14ac:dyDescent="0.25">
      <c r="A17" s="51" t="s">
        <v>308</v>
      </c>
      <c r="B17" s="52">
        <v>80.010000000000005</v>
      </c>
      <c r="C17" s="52">
        <v>53.91</v>
      </c>
      <c r="D17" s="52">
        <v>90.45</v>
      </c>
      <c r="E17" s="52">
        <v>8.33</v>
      </c>
      <c r="F17" s="52">
        <v>2.13</v>
      </c>
      <c r="G17" s="52">
        <v>131.33000000000001</v>
      </c>
      <c r="H17" s="52">
        <v>38.74</v>
      </c>
      <c r="I17" s="53" t="s">
        <v>15</v>
      </c>
      <c r="J17" s="52">
        <v>1.0900000000000001</v>
      </c>
      <c r="K17" s="52">
        <v>208.37</v>
      </c>
      <c r="L17" s="52">
        <v>21.59</v>
      </c>
      <c r="M17" s="52">
        <v>67.14</v>
      </c>
      <c r="N17" s="52">
        <v>406.8</v>
      </c>
      <c r="O17" s="52">
        <v>0</v>
      </c>
      <c r="P17" s="52">
        <v>1.1399999999999999</v>
      </c>
      <c r="Q17" s="52">
        <v>10.14</v>
      </c>
      <c r="R17" s="43"/>
      <c r="S17" s="43"/>
      <c r="T17" s="43"/>
      <c r="U17" s="43"/>
    </row>
    <row r="18" spans="1:21" s="11" customFormat="1" x14ac:dyDescent="0.25">
      <c r="A18" s="51" t="s">
        <v>309</v>
      </c>
      <c r="B18" s="52">
        <v>61.57</v>
      </c>
      <c r="C18" s="52">
        <v>56.96</v>
      </c>
      <c r="D18" s="52">
        <v>76.72</v>
      </c>
      <c r="E18" s="52">
        <v>7.36</v>
      </c>
      <c r="F18" s="52">
        <v>2.13</v>
      </c>
      <c r="G18" s="52">
        <v>91.72</v>
      </c>
      <c r="H18" s="52">
        <v>36.299999999999997</v>
      </c>
      <c r="I18" s="53" t="s">
        <v>15</v>
      </c>
      <c r="J18" s="52">
        <v>0.75</v>
      </c>
      <c r="K18" s="52">
        <v>213.16</v>
      </c>
      <c r="L18" s="52">
        <v>23.8</v>
      </c>
      <c r="M18" s="52">
        <v>56.24</v>
      </c>
      <c r="N18" s="52">
        <v>606.4</v>
      </c>
      <c r="O18" s="52">
        <v>0</v>
      </c>
      <c r="P18" s="52">
        <v>1.03</v>
      </c>
      <c r="Q18" s="52">
        <v>10.09</v>
      </c>
      <c r="R18" s="43"/>
      <c r="S18" s="43"/>
      <c r="T18" s="43"/>
      <c r="U18" s="43"/>
    </row>
    <row r="19" spans="1:21" s="11" customFormat="1" x14ac:dyDescent="0.25">
      <c r="A19" s="51" t="s">
        <v>310</v>
      </c>
      <c r="B19" s="52">
        <v>42.84</v>
      </c>
      <c r="C19" s="52">
        <v>65.45</v>
      </c>
      <c r="D19" s="52">
        <v>63.5</v>
      </c>
      <c r="E19" s="52">
        <v>13.94</v>
      </c>
      <c r="F19" s="52">
        <v>33.08</v>
      </c>
      <c r="G19" s="52">
        <v>72.28</v>
      </c>
      <c r="H19" s="52">
        <v>34.01</v>
      </c>
      <c r="I19" s="53" t="s">
        <v>15</v>
      </c>
      <c r="J19" s="52">
        <v>0.62</v>
      </c>
      <c r="K19" s="52">
        <v>274.13</v>
      </c>
      <c r="L19" s="52">
        <v>28.82</v>
      </c>
      <c r="M19" s="52">
        <v>51.41</v>
      </c>
      <c r="N19" s="52">
        <v>733.2</v>
      </c>
      <c r="O19" s="52">
        <v>0</v>
      </c>
      <c r="P19" s="52">
        <v>0.91</v>
      </c>
      <c r="Q19" s="52">
        <v>10.01</v>
      </c>
      <c r="R19" s="43"/>
      <c r="S19" s="43"/>
      <c r="T19" s="43"/>
      <c r="U19" s="43"/>
    </row>
    <row r="20" spans="1:21" s="11" customFormat="1" x14ac:dyDescent="0.25">
      <c r="A20" s="51" t="s">
        <v>311</v>
      </c>
      <c r="B20" s="52">
        <v>3.62</v>
      </c>
      <c r="C20" s="52">
        <v>66.64</v>
      </c>
      <c r="D20" s="52">
        <v>36.020000000000003</v>
      </c>
      <c r="E20" s="52">
        <v>11.02</v>
      </c>
      <c r="F20" s="52">
        <v>12.29</v>
      </c>
      <c r="G20" s="52">
        <v>71.53</v>
      </c>
      <c r="H20" s="52">
        <v>30.5</v>
      </c>
      <c r="I20" s="53" t="s">
        <v>15</v>
      </c>
      <c r="J20" s="52">
        <v>0.66</v>
      </c>
      <c r="K20" s="52">
        <v>288.7</v>
      </c>
      <c r="L20" s="52">
        <v>29.18</v>
      </c>
      <c r="M20" s="52">
        <v>41.37</v>
      </c>
      <c r="N20" s="52">
        <v>768.3</v>
      </c>
      <c r="O20" s="52">
        <v>0</v>
      </c>
      <c r="P20" s="52">
        <v>0.8</v>
      </c>
      <c r="Q20" s="52">
        <v>9.67</v>
      </c>
      <c r="R20" s="43"/>
      <c r="S20" s="43"/>
      <c r="T20" s="43"/>
      <c r="U20" s="43"/>
    </row>
    <row r="21" spans="1:21" s="11" customFormat="1" x14ac:dyDescent="0.25">
      <c r="A21" s="51" t="s">
        <v>312</v>
      </c>
      <c r="B21" s="52">
        <v>3.77</v>
      </c>
      <c r="C21" s="52">
        <v>58.33</v>
      </c>
      <c r="D21" s="52">
        <v>32.119999999999997</v>
      </c>
      <c r="E21" s="52">
        <v>8.31</v>
      </c>
      <c r="F21" s="52">
        <v>2.75</v>
      </c>
      <c r="G21" s="52">
        <v>82.78</v>
      </c>
      <c r="H21" s="52">
        <v>29.54</v>
      </c>
      <c r="I21" s="53" t="s">
        <v>15</v>
      </c>
      <c r="J21" s="52">
        <v>1.1499999999999999</v>
      </c>
      <c r="K21" s="52">
        <v>302.31</v>
      </c>
      <c r="L21" s="52">
        <v>30.81</v>
      </c>
      <c r="M21" s="52">
        <v>38.880000000000003</v>
      </c>
      <c r="N21" s="52">
        <v>772.8</v>
      </c>
      <c r="O21" s="52">
        <v>0</v>
      </c>
      <c r="P21" s="52">
        <v>0.79</v>
      </c>
      <c r="Q21" s="52">
        <v>9.66</v>
      </c>
      <c r="R21" s="43"/>
      <c r="S21" s="43"/>
      <c r="T21" s="43"/>
      <c r="U21" s="43"/>
    </row>
    <row r="22" spans="1:21" s="11" customFormat="1" x14ac:dyDescent="0.25">
      <c r="A22" s="51" t="s">
        <v>313</v>
      </c>
      <c r="B22" s="52">
        <v>4</v>
      </c>
      <c r="C22" s="52">
        <v>57.31</v>
      </c>
      <c r="D22" s="52">
        <v>31.78</v>
      </c>
      <c r="E22" s="52">
        <v>7.07</v>
      </c>
      <c r="F22" s="52">
        <v>2.94</v>
      </c>
      <c r="G22" s="52">
        <v>80.459999999999994</v>
      </c>
      <c r="H22" s="52">
        <v>28.39</v>
      </c>
      <c r="I22" s="53" t="s">
        <v>15</v>
      </c>
      <c r="J22" s="52">
        <v>1.1200000000000001</v>
      </c>
      <c r="K22" s="52">
        <v>305.20999999999998</v>
      </c>
      <c r="L22" s="52">
        <v>31.81</v>
      </c>
      <c r="M22" s="52">
        <v>34.020000000000003</v>
      </c>
      <c r="N22" s="52">
        <v>697.7</v>
      </c>
      <c r="O22" s="52">
        <v>0</v>
      </c>
      <c r="P22" s="52">
        <v>0.81</v>
      </c>
      <c r="Q22" s="52">
        <v>9.65</v>
      </c>
      <c r="R22" s="43"/>
      <c r="S22" s="43"/>
      <c r="T22" s="43"/>
      <c r="U22" s="43"/>
    </row>
    <row r="23" spans="1:21" s="11" customFormat="1" x14ac:dyDescent="0.25">
      <c r="A23" s="51" t="s">
        <v>314</v>
      </c>
      <c r="B23" s="52">
        <v>4.38</v>
      </c>
      <c r="C23" s="52">
        <v>54.09</v>
      </c>
      <c r="D23" s="52">
        <v>30.4</v>
      </c>
      <c r="E23" s="52">
        <v>7.25</v>
      </c>
      <c r="F23" s="52">
        <v>4.75</v>
      </c>
      <c r="G23" s="52">
        <v>78.13</v>
      </c>
      <c r="H23" s="52">
        <v>30.18</v>
      </c>
      <c r="I23" s="53" t="s">
        <v>15</v>
      </c>
      <c r="J23" s="52">
        <v>1.22</v>
      </c>
      <c r="K23" s="52">
        <v>305.62</v>
      </c>
      <c r="L23" s="52">
        <v>30.56</v>
      </c>
      <c r="M23" s="52">
        <v>34.93</v>
      </c>
      <c r="N23" s="52">
        <v>522.9</v>
      </c>
      <c r="O23" s="52">
        <v>0</v>
      </c>
      <c r="P23" s="52">
        <v>0.78</v>
      </c>
      <c r="Q23" s="52">
        <v>9.58</v>
      </c>
      <c r="R23" s="43"/>
      <c r="S23" s="43"/>
      <c r="T23" s="43"/>
      <c r="U23" s="43"/>
    </row>
    <row r="24" spans="1:21" s="11" customFormat="1" x14ac:dyDescent="0.25">
      <c r="A24" s="51" t="s">
        <v>315</v>
      </c>
      <c r="B24" s="52">
        <v>4.33</v>
      </c>
      <c r="C24" s="52">
        <v>56.84</v>
      </c>
      <c r="D24" s="52">
        <v>31.47</v>
      </c>
      <c r="E24" s="52">
        <v>7.13</v>
      </c>
      <c r="F24" s="52">
        <v>3.54</v>
      </c>
      <c r="G24" s="52">
        <v>73.63</v>
      </c>
      <c r="H24" s="52">
        <v>26.25</v>
      </c>
      <c r="I24" s="53" t="s">
        <v>15</v>
      </c>
      <c r="J24" s="52">
        <v>1.42</v>
      </c>
      <c r="K24" s="52">
        <v>301.61</v>
      </c>
      <c r="L24" s="52">
        <v>29.73</v>
      </c>
      <c r="M24" s="52">
        <v>34.130000000000003</v>
      </c>
      <c r="N24" s="52">
        <v>407.1</v>
      </c>
      <c r="O24" s="52">
        <v>0</v>
      </c>
      <c r="P24" s="52">
        <v>0.72</v>
      </c>
      <c r="Q24" s="52">
        <v>9.4700000000000006</v>
      </c>
      <c r="R24" s="43"/>
      <c r="S24" s="43"/>
      <c r="T24" s="43"/>
      <c r="U24" s="43"/>
    </row>
    <row r="25" spans="1:21" s="11" customFormat="1" x14ac:dyDescent="0.25">
      <c r="A25" s="51" t="s">
        <v>316</v>
      </c>
      <c r="B25" s="52">
        <v>4.01</v>
      </c>
      <c r="C25" s="52">
        <v>55.77</v>
      </c>
      <c r="D25" s="52">
        <v>30.88</v>
      </c>
      <c r="E25" s="52">
        <v>6.84</v>
      </c>
      <c r="F25" s="52">
        <v>3.01</v>
      </c>
      <c r="G25" s="52">
        <v>71.349999999999994</v>
      </c>
      <c r="H25" s="52">
        <v>25.25</v>
      </c>
      <c r="I25" s="53" t="s">
        <v>15</v>
      </c>
      <c r="J25" s="52">
        <v>1.59</v>
      </c>
      <c r="K25" s="52">
        <v>314.17</v>
      </c>
      <c r="L25" s="52">
        <v>28.13</v>
      </c>
      <c r="M25" s="52">
        <v>37.4</v>
      </c>
      <c r="N25" s="52">
        <v>188.8</v>
      </c>
      <c r="O25" s="52">
        <v>0</v>
      </c>
      <c r="P25" s="52">
        <v>0.67</v>
      </c>
      <c r="Q25" s="52">
        <v>9.44</v>
      </c>
      <c r="R25" s="43"/>
      <c r="S25" s="43"/>
      <c r="T25" s="43"/>
      <c r="U25" s="43"/>
    </row>
    <row r="26" spans="1:21" s="11" customFormat="1" x14ac:dyDescent="0.25">
      <c r="A26" s="51" t="s">
        <v>317</v>
      </c>
      <c r="B26" s="52">
        <v>4.5999999999999996</v>
      </c>
      <c r="C26" s="52">
        <v>54.36</v>
      </c>
      <c r="D26" s="52">
        <v>30.71</v>
      </c>
      <c r="E26" s="52">
        <v>6.62</v>
      </c>
      <c r="F26" s="52">
        <v>2.15</v>
      </c>
      <c r="G26" s="52">
        <v>62.36</v>
      </c>
      <c r="H26" s="52">
        <v>25.81</v>
      </c>
      <c r="I26" s="53" t="s">
        <v>15</v>
      </c>
      <c r="J26" s="52">
        <v>1.5</v>
      </c>
      <c r="K26" s="52">
        <v>317.7</v>
      </c>
      <c r="L26" s="52">
        <v>26.8</v>
      </c>
      <c r="M26" s="52">
        <v>39.01</v>
      </c>
      <c r="N26" s="52">
        <v>122.7</v>
      </c>
      <c r="O26" s="52">
        <v>0</v>
      </c>
      <c r="P26" s="52">
        <v>0.64</v>
      </c>
      <c r="Q26" s="52">
        <v>9.44</v>
      </c>
      <c r="R26" s="43"/>
      <c r="S26" s="43"/>
      <c r="T26" s="43"/>
      <c r="U26" s="43"/>
    </row>
    <row r="27" spans="1:21" s="11" customFormat="1" x14ac:dyDescent="0.25">
      <c r="A27" s="51" t="s">
        <v>318</v>
      </c>
      <c r="B27" s="52">
        <v>11.65</v>
      </c>
      <c r="C27" s="52">
        <v>57.37</v>
      </c>
      <c r="D27" s="52">
        <v>37.94</v>
      </c>
      <c r="E27" s="52">
        <v>6.41</v>
      </c>
      <c r="F27" s="52">
        <v>2.13</v>
      </c>
      <c r="G27" s="52">
        <v>70.13</v>
      </c>
      <c r="H27" s="52">
        <v>24.8</v>
      </c>
      <c r="I27" s="53" t="s">
        <v>15</v>
      </c>
      <c r="J27" s="52">
        <v>0.47</v>
      </c>
      <c r="K27" s="52">
        <v>345.36</v>
      </c>
      <c r="L27" s="52">
        <v>24.34</v>
      </c>
      <c r="M27" s="52">
        <v>51.34</v>
      </c>
      <c r="N27" s="52">
        <v>80.099999999999994</v>
      </c>
      <c r="O27" s="52">
        <v>0</v>
      </c>
      <c r="P27" s="52">
        <v>1.1599999999999999</v>
      </c>
      <c r="Q27" s="52">
        <v>9.58</v>
      </c>
      <c r="R27" s="43"/>
      <c r="S27" s="43"/>
      <c r="T27" s="43"/>
      <c r="U27" s="43"/>
    </row>
    <row r="28" spans="1:21" s="11" customFormat="1" x14ac:dyDescent="0.25">
      <c r="A28" s="51" t="s">
        <v>319</v>
      </c>
      <c r="B28" s="52">
        <v>32.44</v>
      </c>
      <c r="C28" s="52">
        <v>59.83</v>
      </c>
      <c r="D28" s="52">
        <v>55.9</v>
      </c>
      <c r="E28" s="52">
        <v>6.94</v>
      </c>
      <c r="F28" s="52">
        <v>2.13</v>
      </c>
      <c r="G28" s="52">
        <v>106.95</v>
      </c>
      <c r="H28" s="52">
        <v>30.4</v>
      </c>
      <c r="I28" s="53" t="s">
        <v>15</v>
      </c>
      <c r="J28" s="52">
        <v>0.78</v>
      </c>
      <c r="K28" s="52">
        <v>339.47</v>
      </c>
      <c r="L28" s="52">
        <v>21.78</v>
      </c>
      <c r="M28" s="52">
        <v>57.34</v>
      </c>
      <c r="N28" s="52">
        <v>79</v>
      </c>
      <c r="O28" s="52">
        <v>0</v>
      </c>
      <c r="P28" s="52">
        <v>1.6</v>
      </c>
      <c r="Q28" s="52">
        <v>9.6</v>
      </c>
      <c r="R28" s="43"/>
      <c r="S28" s="43"/>
      <c r="T28" s="43"/>
      <c r="U28" s="43"/>
    </row>
    <row r="29" spans="1:21" s="11" customFormat="1" x14ac:dyDescent="0.25">
      <c r="A29" s="51" t="s">
        <v>320</v>
      </c>
      <c r="B29" s="52">
        <v>47.33</v>
      </c>
      <c r="C29" s="52">
        <v>59.77</v>
      </c>
      <c r="D29" s="52">
        <v>67.67</v>
      </c>
      <c r="E29" s="52">
        <v>7.57</v>
      </c>
      <c r="F29" s="52">
        <v>2.13</v>
      </c>
      <c r="G29" s="52">
        <v>129.97</v>
      </c>
      <c r="H29" s="52">
        <v>33.06</v>
      </c>
      <c r="I29" s="53" t="s">
        <v>15</v>
      </c>
      <c r="J29" s="52">
        <v>0.72</v>
      </c>
      <c r="K29" s="52">
        <v>329.89</v>
      </c>
      <c r="L29" s="52">
        <v>21.66</v>
      </c>
      <c r="M29" s="52">
        <v>64.98</v>
      </c>
      <c r="N29" s="52">
        <v>79</v>
      </c>
      <c r="O29" s="52">
        <v>0</v>
      </c>
      <c r="P29" s="52">
        <v>1.74</v>
      </c>
      <c r="Q29" s="52">
        <v>9.6300000000000008</v>
      </c>
      <c r="R29" s="43"/>
      <c r="S29" s="43"/>
      <c r="T29" s="43"/>
      <c r="U29" s="43"/>
    </row>
    <row r="30" spans="1:21" s="11" customFormat="1" x14ac:dyDescent="0.25">
      <c r="A30" s="51" t="s">
        <v>321</v>
      </c>
      <c r="B30" s="52">
        <v>70.53</v>
      </c>
      <c r="C30" s="52">
        <v>61.05</v>
      </c>
      <c r="D30" s="52">
        <v>87.02</v>
      </c>
      <c r="E30" s="52">
        <v>8.23</v>
      </c>
      <c r="F30" s="52">
        <v>2.13</v>
      </c>
      <c r="G30" s="52">
        <v>141.38</v>
      </c>
      <c r="H30" s="52">
        <v>36.520000000000003</v>
      </c>
      <c r="I30" s="53" t="s">
        <v>15</v>
      </c>
      <c r="J30" s="52">
        <v>0.76</v>
      </c>
      <c r="K30" s="52">
        <v>329.25</v>
      </c>
      <c r="L30" s="52">
        <v>20.22</v>
      </c>
      <c r="M30" s="52">
        <v>66.58</v>
      </c>
      <c r="N30" s="52">
        <v>78.7</v>
      </c>
      <c r="O30" s="52">
        <v>0</v>
      </c>
      <c r="P30" s="52">
        <v>1.54</v>
      </c>
      <c r="Q30" s="52">
        <v>9.81</v>
      </c>
      <c r="R30" s="43"/>
      <c r="S30" s="43"/>
      <c r="T30" s="43"/>
      <c r="U30" s="43"/>
    </row>
    <row r="31" spans="1:21" s="11" customFormat="1" x14ac:dyDescent="0.25">
      <c r="A31" s="51" t="s">
        <v>322</v>
      </c>
      <c r="B31" s="52">
        <v>76.290000000000006</v>
      </c>
      <c r="C31" s="52">
        <v>60.34</v>
      </c>
      <c r="D31" s="52">
        <v>89.74</v>
      </c>
      <c r="E31" s="52">
        <v>8.19</v>
      </c>
      <c r="F31" s="52">
        <v>2.13</v>
      </c>
      <c r="G31" s="52">
        <v>137.03</v>
      </c>
      <c r="H31" s="52">
        <v>38.57</v>
      </c>
      <c r="I31" s="53" t="s">
        <v>15</v>
      </c>
      <c r="J31" s="52">
        <v>0.6</v>
      </c>
      <c r="K31" s="52">
        <v>330.55</v>
      </c>
      <c r="L31" s="52">
        <v>20.09</v>
      </c>
      <c r="M31" s="52">
        <v>70.28</v>
      </c>
      <c r="N31" s="52">
        <v>78.900000000000006</v>
      </c>
      <c r="O31" s="52">
        <v>0</v>
      </c>
      <c r="P31" s="52">
        <v>1.54</v>
      </c>
      <c r="Q31" s="52">
        <v>9.86</v>
      </c>
      <c r="R31" s="43"/>
      <c r="S31" s="43"/>
      <c r="T31" s="43"/>
      <c r="U31" s="43"/>
    </row>
    <row r="32" spans="1:21" s="11" customFormat="1" x14ac:dyDescent="0.25">
      <c r="A32" s="51" t="s">
        <v>323</v>
      </c>
      <c r="B32" s="52">
        <v>80.09</v>
      </c>
      <c r="C32" s="52">
        <v>56.59</v>
      </c>
      <c r="D32" s="52">
        <v>91.96</v>
      </c>
      <c r="E32" s="52">
        <v>7.33</v>
      </c>
      <c r="F32" s="52">
        <v>2.13</v>
      </c>
      <c r="G32" s="52">
        <v>134.4</v>
      </c>
      <c r="H32" s="52">
        <v>38.92</v>
      </c>
      <c r="I32" s="53" t="s">
        <v>15</v>
      </c>
      <c r="J32" s="52">
        <v>0.39</v>
      </c>
      <c r="K32" s="52">
        <v>328.47</v>
      </c>
      <c r="L32" s="52">
        <v>19.34</v>
      </c>
      <c r="M32" s="52">
        <v>76.239999999999995</v>
      </c>
      <c r="N32" s="52">
        <v>79</v>
      </c>
      <c r="O32" s="52">
        <v>0</v>
      </c>
      <c r="P32" s="52">
        <v>1.49</v>
      </c>
      <c r="Q32" s="52">
        <v>9.8699999999999992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3.62</v>
      </c>
      <c r="C34" s="28">
        <f t="shared" si="0"/>
        <v>49.52</v>
      </c>
      <c r="D34" s="28">
        <f t="shared" si="0"/>
        <v>30.4</v>
      </c>
      <c r="E34" s="28">
        <f t="shared" si="0"/>
        <v>6.41</v>
      </c>
      <c r="F34" s="28">
        <f t="shared" si="0"/>
        <v>2.13</v>
      </c>
      <c r="G34" s="28">
        <f t="shared" si="0"/>
        <v>62.36</v>
      </c>
      <c r="H34" s="28">
        <f t="shared" si="0"/>
        <v>24.8</v>
      </c>
      <c r="I34" s="28">
        <f t="shared" si="0"/>
        <v>0</v>
      </c>
      <c r="J34" s="28">
        <f t="shared" si="0"/>
        <v>0.39</v>
      </c>
      <c r="K34" s="28">
        <f t="shared" si="0"/>
        <v>208.37</v>
      </c>
      <c r="L34" s="28">
        <f t="shared" si="0"/>
        <v>15.88</v>
      </c>
      <c r="M34" s="28">
        <f t="shared" si="0"/>
        <v>34.020000000000003</v>
      </c>
      <c r="N34" s="28">
        <f t="shared" si="0"/>
        <v>70.599999999999994</v>
      </c>
      <c r="O34" s="28">
        <f t="shared" si="0"/>
        <v>0</v>
      </c>
      <c r="P34" s="28">
        <f t="shared" si="0"/>
        <v>0.64</v>
      </c>
      <c r="Q34" s="28">
        <f t="shared" si="0"/>
        <v>9.44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163.19</v>
      </c>
      <c r="C35" s="29">
        <f t="shared" si="1"/>
        <v>69.28</v>
      </c>
      <c r="D35" s="29">
        <f t="shared" si="1"/>
        <v>165.68</v>
      </c>
      <c r="E35" s="29">
        <f t="shared" si="1"/>
        <v>14.94</v>
      </c>
      <c r="F35" s="29">
        <f t="shared" si="1"/>
        <v>33.08</v>
      </c>
      <c r="G35" s="29">
        <f t="shared" si="1"/>
        <v>197.86</v>
      </c>
      <c r="H35" s="29">
        <f t="shared" si="1"/>
        <v>73.42</v>
      </c>
      <c r="I35" s="29">
        <f t="shared" si="1"/>
        <v>0</v>
      </c>
      <c r="J35" s="29">
        <f t="shared" si="1"/>
        <v>1.59</v>
      </c>
      <c r="K35" s="29">
        <f t="shared" si="1"/>
        <v>352.49</v>
      </c>
      <c r="L35" s="29">
        <f t="shared" si="1"/>
        <v>31.81</v>
      </c>
      <c r="M35" s="29">
        <f t="shared" si="1"/>
        <v>86.25</v>
      </c>
      <c r="N35" s="29">
        <f t="shared" si="1"/>
        <v>772.8</v>
      </c>
      <c r="O35" s="29">
        <f t="shared" si="1"/>
        <v>0</v>
      </c>
      <c r="P35" s="29">
        <f t="shared" si="1"/>
        <v>2.21</v>
      </c>
      <c r="Q35" s="29">
        <f t="shared" si="1"/>
        <v>10.8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57.805833333333318</v>
      </c>
      <c r="C36" s="28">
        <f t="shared" si="2"/>
        <v>57.417916666666663</v>
      </c>
      <c r="D36" s="28">
        <f t="shared" si="2"/>
        <v>74.573333333333338</v>
      </c>
      <c r="E36" s="28">
        <f t="shared" si="2"/>
        <v>8.5708333333333329</v>
      </c>
      <c r="F36" s="28">
        <f t="shared" si="2"/>
        <v>4.1079166666666653</v>
      </c>
      <c r="G36" s="28">
        <f t="shared" si="2"/>
        <v>102.53375000000001</v>
      </c>
      <c r="H36" s="28">
        <f t="shared" si="2"/>
        <v>36.194166666666661</v>
      </c>
      <c r="I36" s="28" t="e">
        <f t="shared" si="2"/>
        <v>#DIV/0!</v>
      </c>
      <c r="J36" s="28">
        <f t="shared" si="2"/>
        <v>0.81666666666666676</v>
      </c>
      <c r="K36" s="28">
        <f t="shared" si="2"/>
        <v>306.39166666666665</v>
      </c>
      <c r="L36" s="28">
        <f t="shared" si="2"/>
        <v>22.733750000000001</v>
      </c>
      <c r="M36" s="28">
        <f t="shared" si="2"/>
        <v>61.164583333333326</v>
      </c>
      <c r="N36" s="28">
        <f t="shared" si="2"/>
        <v>268.29583333333335</v>
      </c>
      <c r="O36" s="28">
        <f t="shared" si="2"/>
        <v>0</v>
      </c>
      <c r="P36" s="28">
        <f t="shared" si="2"/>
        <v>1.2050000000000001</v>
      </c>
      <c r="Q36" s="28">
        <f t="shared" si="2"/>
        <v>9.9425000000000008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47.494307477355882</v>
      </c>
      <c r="C37" s="28">
        <f t="shared" ref="C37:Q37" si="3">STDEV(C9:C32)</f>
        <v>4.8801256034857445</v>
      </c>
      <c r="D37" s="28">
        <f t="shared" si="3"/>
        <v>38.337430304062345</v>
      </c>
      <c r="E37" s="28">
        <f t="shared" si="3"/>
        <v>2.4590328899026943</v>
      </c>
      <c r="F37" s="28">
        <f t="shared" si="3"/>
        <v>6.5205501096060967</v>
      </c>
      <c r="G37" s="28">
        <f t="shared" si="3"/>
        <v>35.835320178318547</v>
      </c>
      <c r="H37" s="28">
        <f t="shared" si="3"/>
        <v>11.833121502492661</v>
      </c>
      <c r="I37" s="28" t="e">
        <f t="shared" si="3"/>
        <v>#DIV/0!</v>
      </c>
      <c r="J37" s="28">
        <f t="shared" si="3"/>
        <v>0.34947994489535122</v>
      </c>
      <c r="K37" s="28">
        <f t="shared" si="3"/>
        <v>39.584785029062829</v>
      </c>
      <c r="L37" s="28">
        <f t="shared" si="3"/>
        <v>5.4087986390132139</v>
      </c>
      <c r="M37" s="28">
        <f t="shared" si="3"/>
        <v>18.6238026703946</v>
      </c>
      <c r="N37" s="28">
        <f t="shared" si="3"/>
        <v>266.44287988751665</v>
      </c>
      <c r="O37" s="28">
        <f t="shared" si="3"/>
        <v>0</v>
      </c>
      <c r="P37" s="28">
        <f t="shared" si="3"/>
        <v>0.41306910675638969</v>
      </c>
      <c r="Q37" s="28">
        <f t="shared" si="3"/>
        <v>0.39438725175622269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324</v>
      </c>
      <c r="B9" s="52">
        <v>82.27</v>
      </c>
      <c r="C9" s="52">
        <v>56.94</v>
      </c>
      <c r="D9" s="52">
        <v>93.55</v>
      </c>
      <c r="E9" s="52">
        <v>6.74</v>
      </c>
      <c r="F9" s="52">
        <v>2.1800000000000002</v>
      </c>
      <c r="G9" s="52">
        <v>129.47999999999999</v>
      </c>
      <c r="H9" s="52">
        <v>38.39</v>
      </c>
      <c r="I9" s="53" t="s">
        <v>15</v>
      </c>
      <c r="J9" s="52">
        <v>0.76</v>
      </c>
      <c r="K9" s="52">
        <v>336.73</v>
      </c>
      <c r="L9" s="52">
        <v>18.5</v>
      </c>
      <c r="M9" s="52">
        <v>80.849999999999994</v>
      </c>
      <c r="N9" s="52">
        <v>79</v>
      </c>
      <c r="O9" s="52">
        <v>0</v>
      </c>
      <c r="P9" s="52">
        <v>1.43</v>
      </c>
      <c r="Q9" s="52">
        <v>9.8699999999999992</v>
      </c>
      <c r="R9" s="43"/>
      <c r="S9" s="43"/>
      <c r="T9" s="43"/>
      <c r="U9" s="43"/>
    </row>
    <row r="10" spans="1:21" s="11" customFormat="1" x14ac:dyDescent="0.25">
      <c r="A10" s="51" t="s">
        <v>325</v>
      </c>
      <c r="B10" s="52">
        <v>78.89</v>
      </c>
      <c r="C10" s="52">
        <v>55.14</v>
      </c>
      <c r="D10" s="52">
        <v>90.69</v>
      </c>
      <c r="E10" s="52">
        <v>6.27</v>
      </c>
      <c r="F10" s="52">
        <v>2.13</v>
      </c>
      <c r="G10" s="52">
        <v>115.79</v>
      </c>
      <c r="H10" s="52">
        <v>36.4</v>
      </c>
      <c r="I10" s="53" t="s">
        <v>15</v>
      </c>
      <c r="J10" s="52">
        <v>0.86</v>
      </c>
      <c r="K10" s="52">
        <v>340.18</v>
      </c>
      <c r="L10" s="52">
        <v>18.77</v>
      </c>
      <c r="M10" s="52">
        <v>80.430000000000007</v>
      </c>
      <c r="N10" s="52">
        <v>78.8</v>
      </c>
      <c r="O10" s="52">
        <v>0</v>
      </c>
      <c r="P10" s="52">
        <v>1.18</v>
      </c>
      <c r="Q10" s="52">
        <v>9.8800000000000008</v>
      </c>
      <c r="R10" s="43"/>
      <c r="S10" s="43"/>
      <c r="T10" s="43"/>
      <c r="U10" s="43"/>
    </row>
    <row r="11" spans="1:21" s="11" customFormat="1" x14ac:dyDescent="0.25">
      <c r="A11" s="51" t="s">
        <v>326</v>
      </c>
      <c r="B11" s="52">
        <v>63.9</v>
      </c>
      <c r="C11" s="52">
        <v>53.26</v>
      </c>
      <c r="D11" s="52">
        <v>77.69</v>
      </c>
      <c r="E11" s="52">
        <v>6.08</v>
      </c>
      <c r="F11" s="52">
        <v>2.13</v>
      </c>
      <c r="G11" s="52">
        <v>91.06</v>
      </c>
      <c r="H11" s="52">
        <v>34.869999999999997</v>
      </c>
      <c r="I11" s="53" t="s">
        <v>15</v>
      </c>
      <c r="J11" s="52">
        <v>1.36</v>
      </c>
      <c r="K11" s="52">
        <v>343.52</v>
      </c>
      <c r="L11" s="52">
        <v>19.010000000000002</v>
      </c>
      <c r="M11" s="52">
        <v>72.53</v>
      </c>
      <c r="N11" s="52">
        <v>78.7</v>
      </c>
      <c r="O11" s="52">
        <v>0</v>
      </c>
      <c r="P11" s="52">
        <v>1.08</v>
      </c>
      <c r="Q11" s="52">
        <v>9.86</v>
      </c>
      <c r="R11" s="43"/>
      <c r="S11" s="43"/>
      <c r="T11" s="43"/>
      <c r="U11" s="43"/>
    </row>
    <row r="12" spans="1:21" s="11" customFormat="1" x14ac:dyDescent="0.25">
      <c r="A12" s="51" t="s">
        <v>327</v>
      </c>
      <c r="B12" s="52">
        <v>50.76</v>
      </c>
      <c r="C12" s="52">
        <v>52.06</v>
      </c>
      <c r="D12" s="52">
        <v>66.53</v>
      </c>
      <c r="E12" s="52">
        <v>5.93</v>
      </c>
      <c r="F12" s="52">
        <v>2.13</v>
      </c>
      <c r="G12" s="52">
        <v>86.04</v>
      </c>
      <c r="H12" s="52">
        <v>32.07</v>
      </c>
      <c r="I12" s="53" t="s">
        <v>15</v>
      </c>
      <c r="J12" s="52">
        <v>1.06</v>
      </c>
      <c r="K12" s="52">
        <v>356.57</v>
      </c>
      <c r="L12" s="52">
        <v>18.96</v>
      </c>
      <c r="M12" s="52">
        <v>74.48</v>
      </c>
      <c r="N12" s="52">
        <v>78.900000000000006</v>
      </c>
      <c r="O12" s="52">
        <v>0</v>
      </c>
      <c r="P12" s="52">
        <v>0.83</v>
      </c>
      <c r="Q12" s="52">
        <v>9.81</v>
      </c>
      <c r="R12" s="43"/>
      <c r="S12" s="43"/>
      <c r="T12" s="43"/>
      <c r="U12" s="43"/>
    </row>
    <row r="13" spans="1:21" s="11" customFormat="1" x14ac:dyDescent="0.25">
      <c r="A13" s="51" t="s">
        <v>328</v>
      </c>
      <c r="B13" s="52">
        <v>43.17</v>
      </c>
      <c r="C13" s="52">
        <v>49.87</v>
      </c>
      <c r="D13" s="52">
        <v>59.03</v>
      </c>
      <c r="E13" s="52">
        <v>5.6</v>
      </c>
      <c r="F13" s="52">
        <v>2.13</v>
      </c>
      <c r="G13" s="52">
        <v>83.94</v>
      </c>
      <c r="H13" s="52">
        <v>32.35</v>
      </c>
      <c r="I13" s="53" t="s">
        <v>15</v>
      </c>
      <c r="J13" s="52">
        <v>0.66</v>
      </c>
      <c r="K13" s="52">
        <v>347.04</v>
      </c>
      <c r="L13" s="52">
        <v>18.21</v>
      </c>
      <c r="M13" s="52">
        <v>73.09</v>
      </c>
      <c r="N13" s="52">
        <v>78.900000000000006</v>
      </c>
      <c r="O13" s="52">
        <v>0</v>
      </c>
      <c r="P13" s="52">
        <v>0.82</v>
      </c>
      <c r="Q13" s="52">
        <v>9.6999999999999993</v>
      </c>
      <c r="R13" s="43"/>
      <c r="S13" s="43"/>
      <c r="T13" s="43"/>
      <c r="U13" s="43"/>
    </row>
    <row r="14" spans="1:21" s="11" customFormat="1" x14ac:dyDescent="0.25">
      <c r="A14" s="51" t="s">
        <v>329</v>
      </c>
      <c r="B14" s="52">
        <v>39.6</v>
      </c>
      <c r="C14" s="52">
        <v>54.67</v>
      </c>
      <c r="D14" s="52">
        <v>58.93</v>
      </c>
      <c r="E14" s="52">
        <v>6.07</v>
      </c>
      <c r="F14" s="52">
        <v>2.13</v>
      </c>
      <c r="G14" s="52">
        <v>94.51</v>
      </c>
      <c r="H14" s="52">
        <v>40.89</v>
      </c>
      <c r="I14" s="53" t="s">
        <v>15</v>
      </c>
      <c r="J14" s="52">
        <v>0.63</v>
      </c>
      <c r="K14" s="52">
        <v>294.83999999999997</v>
      </c>
      <c r="L14" s="52">
        <v>18.05</v>
      </c>
      <c r="M14" s="52">
        <v>77.13</v>
      </c>
      <c r="N14" s="52">
        <v>78.599999999999994</v>
      </c>
      <c r="O14" s="52">
        <v>0</v>
      </c>
      <c r="P14" s="52">
        <v>0.87</v>
      </c>
      <c r="Q14" s="52">
        <v>9.67</v>
      </c>
      <c r="R14" s="43"/>
      <c r="S14" s="43"/>
      <c r="T14" s="43"/>
      <c r="U14" s="43"/>
    </row>
    <row r="15" spans="1:21" s="11" customFormat="1" x14ac:dyDescent="0.25">
      <c r="A15" s="51" t="s">
        <v>330</v>
      </c>
      <c r="B15" s="52">
        <v>38.409999999999997</v>
      </c>
      <c r="C15" s="52">
        <v>52.78</v>
      </c>
      <c r="D15" s="52">
        <v>57</v>
      </c>
      <c r="E15" s="52">
        <v>6.06</v>
      </c>
      <c r="F15" s="52">
        <v>2.13</v>
      </c>
      <c r="G15" s="52">
        <v>109.25</v>
      </c>
      <c r="H15" s="52">
        <v>51.54</v>
      </c>
      <c r="I15" s="53" t="s">
        <v>15</v>
      </c>
      <c r="J15" s="52">
        <v>0.81</v>
      </c>
      <c r="K15" s="52">
        <v>225.63</v>
      </c>
      <c r="L15" s="52">
        <v>17.61</v>
      </c>
      <c r="M15" s="52">
        <v>82.78</v>
      </c>
      <c r="N15" s="52">
        <v>98.7</v>
      </c>
      <c r="O15" s="52">
        <v>0</v>
      </c>
      <c r="P15" s="52">
        <v>0.85</v>
      </c>
      <c r="Q15" s="52">
        <v>9.67</v>
      </c>
      <c r="R15" s="43"/>
      <c r="S15" s="43"/>
      <c r="T15" s="43"/>
      <c r="U15" s="43"/>
    </row>
    <row r="16" spans="1:21" s="11" customFormat="1" x14ac:dyDescent="0.25">
      <c r="A16" s="51" t="s">
        <v>331</v>
      </c>
      <c r="B16" s="52">
        <v>35.840000000000003</v>
      </c>
      <c r="C16" s="52">
        <v>50.79</v>
      </c>
      <c r="D16" s="52">
        <v>53.89</v>
      </c>
      <c r="E16" s="52">
        <v>8.15</v>
      </c>
      <c r="F16" s="52">
        <v>2.13</v>
      </c>
      <c r="G16" s="52">
        <v>105.67</v>
      </c>
      <c r="H16" s="52">
        <v>41.9</v>
      </c>
      <c r="I16" s="53" t="s">
        <v>15</v>
      </c>
      <c r="J16" s="52">
        <v>1.1399999999999999</v>
      </c>
      <c r="K16" s="52">
        <v>202.34</v>
      </c>
      <c r="L16" s="52">
        <v>18.88</v>
      </c>
      <c r="M16" s="52">
        <v>85.65</v>
      </c>
      <c r="N16" s="52">
        <v>224.7</v>
      </c>
      <c r="O16" s="52">
        <v>0</v>
      </c>
      <c r="P16" s="52">
        <v>0.86</v>
      </c>
      <c r="Q16" s="52">
        <v>9.68</v>
      </c>
      <c r="R16" s="43"/>
      <c r="S16" s="43"/>
      <c r="T16" s="43"/>
      <c r="U16" s="43"/>
    </row>
    <row r="17" spans="1:21" s="11" customFormat="1" x14ac:dyDescent="0.25">
      <c r="A17" s="51" t="s">
        <v>332</v>
      </c>
      <c r="B17" s="52">
        <v>32.57</v>
      </c>
      <c r="C17" s="52">
        <v>47.85</v>
      </c>
      <c r="D17" s="52">
        <v>48.78</v>
      </c>
      <c r="E17" s="52">
        <v>7.27</v>
      </c>
      <c r="F17" s="52">
        <v>2.13</v>
      </c>
      <c r="G17" s="52">
        <v>99.4</v>
      </c>
      <c r="H17" s="52">
        <v>40.32</v>
      </c>
      <c r="I17" s="53" t="s">
        <v>15</v>
      </c>
      <c r="J17" s="52">
        <v>0.96</v>
      </c>
      <c r="K17" s="52">
        <v>212.74</v>
      </c>
      <c r="L17" s="52">
        <v>22.58</v>
      </c>
      <c r="M17" s="52">
        <v>74.900000000000006</v>
      </c>
      <c r="N17" s="52">
        <v>435.2</v>
      </c>
      <c r="O17" s="52">
        <v>0</v>
      </c>
      <c r="P17" s="52">
        <v>0.85</v>
      </c>
      <c r="Q17" s="52">
        <v>9.64</v>
      </c>
      <c r="R17" s="43"/>
      <c r="S17" s="43"/>
      <c r="T17" s="43"/>
      <c r="U17" s="43"/>
    </row>
    <row r="18" spans="1:21" s="11" customFormat="1" x14ac:dyDescent="0.25">
      <c r="A18" s="51" t="s">
        <v>333</v>
      </c>
      <c r="B18" s="52">
        <v>26.82</v>
      </c>
      <c r="C18" s="52">
        <v>56.82</v>
      </c>
      <c r="D18" s="52">
        <v>46.12</v>
      </c>
      <c r="E18" s="52">
        <v>7.6</v>
      </c>
      <c r="F18" s="52">
        <v>2.13</v>
      </c>
      <c r="G18" s="52">
        <v>94.66</v>
      </c>
      <c r="H18" s="52">
        <v>36.5</v>
      </c>
      <c r="I18" s="53" t="s">
        <v>15</v>
      </c>
      <c r="J18" s="52">
        <v>0.94</v>
      </c>
      <c r="K18" s="52">
        <v>282.13</v>
      </c>
      <c r="L18" s="52">
        <v>26.3</v>
      </c>
      <c r="M18" s="52">
        <v>59.59</v>
      </c>
      <c r="N18" s="52">
        <v>652.70000000000005</v>
      </c>
      <c r="O18" s="52">
        <v>0</v>
      </c>
      <c r="P18" s="52">
        <v>0.82</v>
      </c>
      <c r="Q18" s="52">
        <v>9.59</v>
      </c>
      <c r="R18" s="43"/>
      <c r="S18" s="43"/>
      <c r="T18" s="43"/>
      <c r="U18" s="43"/>
    </row>
    <row r="19" spans="1:21" s="11" customFormat="1" x14ac:dyDescent="0.25">
      <c r="A19" s="51" t="s">
        <v>334</v>
      </c>
      <c r="B19" s="52">
        <v>14.5</v>
      </c>
      <c r="C19" s="52">
        <v>61.26</v>
      </c>
      <c r="D19" s="52">
        <v>41.03</v>
      </c>
      <c r="E19" s="52">
        <v>7.8</v>
      </c>
      <c r="F19" s="52">
        <v>2.34</v>
      </c>
      <c r="G19" s="52">
        <v>89.86</v>
      </c>
      <c r="H19" s="52">
        <v>32.909999999999997</v>
      </c>
      <c r="I19" s="53" t="s">
        <v>15</v>
      </c>
      <c r="J19" s="52">
        <v>0.93</v>
      </c>
      <c r="K19" s="52">
        <v>273.39999999999998</v>
      </c>
      <c r="L19" s="52">
        <v>28.39</v>
      </c>
      <c r="M19" s="52">
        <v>49.1</v>
      </c>
      <c r="N19" s="52">
        <v>809.2</v>
      </c>
      <c r="O19" s="52">
        <v>0</v>
      </c>
      <c r="P19" s="52">
        <v>0.73</v>
      </c>
      <c r="Q19" s="52">
        <v>9.6</v>
      </c>
      <c r="R19" s="43"/>
      <c r="S19" s="43"/>
      <c r="T19" s="43"/>
      <c r="U19" s="43"/>
    </row>
    <row r="20" spans="1:21" s="11" customFormat="1" x14ac:dyDescent="0.25">
      <c r="A20" s="51" t="s">
        <v>335</v>
      </c>
      <c r="B20" s="52">
        <v>5.3</v>
      </c>
      <c r="C20" s="52">
        <v>61.51</v>
      </c>
      <c r="D20" s="52">
        <v>34.43</v>
      </c>
      <c r="E20" s="52">
        <v>8.27</v>
      </c>
      <c r="F20" s="52">
        <v>2.42</v>
      </c>
      <c r="G20" s="52">
        <v>85.16</v>
      </c>
      <c r="H20" s="52">
        <v>32.39</v>
      </c>
      <c r="I20" s="53" t="s">
        <v>15</v>
      </c>
      <c r="J20" s="52">
        <v>1.17</v>
      </c>
      <c r="K20" s="52">
        <v>296.83</v>
      </c>
      <c r="L20" s="52">
        <v>30.96</v>
      </c>
      <c r="M20" s="52">
        <v>42</v>
      </c>
      <c r="N20" s="52">
        <v>857.3</v>
      </c>
      <c r="O20" s="52">
        <v>0</v>
      </c>
      <c r="P20" s="52">
        <v>0.68</v>
      </c>
      <c r="Q20" s="52">
        <v>9.42</v>
      </c>
      <c r="R20" s="43"/>
      <c r="S20" s="43"/>
      <c r="T20" s="43"/>
      <c r="U20" s="43"/>
    </row>
    <row r="21" spans="1:21" s="11" customFormat="1" x14ac:dyDescent="0.25">
      <c r="A21" s="51" t="s">
        <v>336</v>
      </c>
      <c r="B21" s="52">
        <v>4.4800000000000004</v>
      </c>
      <c r="C21" s="52">
        <v>56.89</v>
      </c>
      <c r="D21" s="52">
        <v>31.83</v>
      </c>
      <c r="E21" s="52">
        <v>8.0399999999999991</v>
      </c>
      <c r="F21" s="52">
        <v>3.84</v>
      </c>
      <c r="G21" s="52">
        <v>82.05</v>
      </c>
      <c r="H21" s="52">
        <v>33.18</v>
      </c>
      <c r="I21" s="53" t="s">
        <v>15</v>
      </c>
      <c r="J21" s="52">
        <v>1.55</v>
      </c>
      <c r="K21" s="52">
        <v>307.95</v>
      </c>
      <c r="L21" s="52">
        <v>32.619999999999997</v>
      </c>
      <c r="M21" s="52">
        <v>34.409999999999997</v>
      </c>
      <c r="N21" s="52">
        <v>834.1</v>
      </c>
      <c r="O21" s="52">
        <v>0</v>
      </c>
      <c r="P21" s="52">
        <v>0.66</v>
      </c>
      <c r="Q21" s="52">
        <v>9.35</v>
      </c>
      <c r="R21" s="43"/>
      <c r="S21" s="43"/>
      <c r="T21" s="43"/>
      <c r="U21" s="43"/>
    </row>
    <row r="22" spans="1:21" s="11" customFormat="1" x14ac:dyDescent="0.25">
      <c r="A22" s="51" t="s">
        <v>337</v>
      </c>
      <c r="B22" s="52">
        <v>4.47</v>
      </c>
      <c r="C22" s="52">
        <v>56.4</v>
      </c>
      <c r="D22" s="52">
        <v>31.67</v>
      </c>
      <c r="E22" s="52">
        <v>7.65</v>
      </c>
      <c r="F22" s="52">
        <v>3.23</v>
      </c>
      <c r="G22" s="52">
        <v>72.849999999999994</v>
      </c>
      <c r="H22" s="52">
        <v>30.64</v>
      </c>
      <c r="I22" s="53" t="s">
        <v>15</v>
      </c>
      <c r="J22" s="52">
        <v>1.87</v>
      </c>
      <c r="K22" s="52">
        <v>315.38</v>
      </c>
      <c r="L22" s="52">
        <v>32.409999999999997</v>
      </c>
      <c r="M22" s="52">
        <v>26.22</v>
      </c>
      <c r="N22" s="52">
        <v>782.2</v>
      </c>
      <c r="O22" s="52">
        <v>0</v>
      </c>
      <c r="P22" s="52">
        <v>0.61</v>
      </c>
      <c r="Q22" s="52">
        <v>9.31</v>
      </c>
      <c r="R22" s="43"/>
      <c r="S22" s="43"/>
      <c r="T22" s="43"/>
      <c r="U22" s="43"/>
    </row>
    <row r="23" spans="1:21" s="11" customFormat="1" x14ac:dyDescent="0.25">
      <c r="A23" s="51" t="s">
        <v>338</v>
      </c>
      <c r="B23" s="52">
        <v>4.41</v>
      </c>
      <c r="C23" s="52">
        <v>56.86</v>
      </c>
      <c r="D23" s="52">
        <v>31.86</v>
      </c>
      <c r="E23" s="52">
        <v>7.18</v>
      </c>
      <c r="F23" s="52">
        <v>3.08</v>
      </c>
      <c r="G23" s="52">
        <v>69.8</v>
      </c>
      <c r="H23" s="52">
        <v>28.18</v>
      </c>
      <c r="I23" s="53" t="s">
        <v>15</v>
      </c>
      <c r="J23" s="52">
        <v>1.67</v>
      </c>
      <c r="K23" s="52">
        <v>308.06</v>
      </c>
      <c r="L23" s="52">
        <v>32.4</v>
      </c>
      <c r="M23" s="52">
        <v>26.01</v>
      </c>
      <c r="N23" s="52">
        <v>618</v>
      </c>
      <c r="O23" s="52">
        <v>0</v>
      </c>
      <c r="P23" s="52">
        <v>0.56000000000000005</v>
      </c>
      <c r="Q23" s="52">
        <v>9.25</v>
      </c>
      <c r="R23" s="43"/>
      <c r="S23" s="43"/>
      <c r="T23" s="43"/>
      <c r="U23" s="43"/>
    </row>
    <row r="24" spans="1:21" s="11" customFormat="1" x14ac:dyDescent="0.25">
      <c r="A24" s="51" t="s">
        <v>339</v>
      </c>
      <c r="B24" s="52">
        <v>4.0199999999999996</v>
      </c>
      <c r="C24" s="52">
        <v>54.51</v>
      </c>
      <c r="D24" s="52">
        <v>30.33</v>
      </c>
      <c r="E24" s="52">
        <v>7.54</v>
      </c>
      <c r="F24" s="52">
        <v>3.49</v>
      </c>
      <c r="G24" s="52">
        <v>62.86</v>
      </c>
      <c r="H24" s="52">
        <v>20.82</v>
      </c>
      <c r="I24" s="53" t="s">
        <v>15</v>
      </c>
      <c r="J24" s="52">
        <v>1.98</v>
      </c>
      <c r="K24" s="52">
        <v>309.86</v>
      </c>
      <c r="L24" s="52">
        <v>30.37</v>
      </c>
      <c r="M24" s="52">
        <v>24.9</v>
      </c>
      <c r="N24" s="52">
        <v>430.7</v>
      </c>
      <c r="O24" s="52">
        <v>0</v>
      </c>
      <c r="P24" s="52">
        <v>0.51</v>
      </c>
      <c r="Q24" s="52">
        <v>9.25</v>
      </c>
      <c r="R24" s="43"/>
      <c r="S24" s="43"/>
      <c r="T24" s="43"/>
      <c r="U24" s="43"/>
    </row>
    <row r="25" spans="1:21" s="11" customFormat="1" x14ac:dyDescent="0.25">
      <c r="A25" s="51" t="s">
        <v>340</v>
      </c>
      <c r="B25" s="52">
        <v>4.26</v>
      </c>
      <c r="C25" s="52">
        <v>53.41</v>
      </c>
      <c r="D25" s="52">
        <v>29.71</v>
      </c>
      <c r="E25" s="52">
        <v>7.63</v>
      </c>
      <c r="F25" s="52">
        <v>3.46</v>
      </c>
      <c r="G25" s="52">
        <v>54.91</v>
      </c>
      <c r="H25" s="52">
        <v>16.72</v>
      </c>
      <c r="I25" s="53" t="s">
        <v>15</v>
      </c>
      <c r="J25" s="52">
        <v>2.42</v>
      </c>
      <c r="K25" s="52">
        <v>311.73</v>
      </c>
      <c r="L25" s="52">
        <v>28.08</v>
      </c>
      <c r="M25" s="52">
        <v>26.23</v>
      </c>
      <c r="N25" s="52">
        <v>167.8</v>
      </c>
      <c r="O25" s="52">
        <v>0</v>
      </c>
      <c r="P25" s="52">
        <v>0.46</v>
      </c>
      <c r="Q25" s="52">
        <v>9.2100000000000009</v>
      </c>
      <c r="R25" s="43"/>
      <c r="S25" s="43"/>
      <c r="T25" s="43"/>
      <c r="U25" s="43"/>
    </row>
    <row r="26" spans="1:21" s="11" customFormat="1" x14ac:dyDescent="0.25">
      <c r="A26" s="51" t="s">
        <v>341</v>
      </c>
      <c r="B26" s="52">
        <v>5.63</v>
      </c>
      <c r="C26" s="52">
        <v>49.32</v>
      </c>
      <c r="D26" s="52">
        <v>28.91</v>
      </c>
      <c r="E26" s="52">
        <v>7.52</v>
      </c>
      <c r="F26" s="52">
        <v>2.36</v>
      </c>
      <c r="G26" s="52">
        <v>49.59</v>
      </c>
      <c r="H26" s="52">
        <v>14.73</v>
      </c>
      <c r="I26" s="53" t="s">
        <v>15</v>
      </c>
      <c r="J26" s="52">
        <v>1.88</v>
      </c>
      <c r="K26" s="52">
        <v>309.32</v>
      </c>
      <c r="L26" s="52">
        <v>26.65</v>
      </c>
      <c r="M26" s="52">
        <v>30.48</v>
      </c>
      <c r="N26" s="52">
        <v>113.5</v>
      </c>
      <c r="O26" s="52">
        <v>0</v>
      </c>
      <c r="P26" s="52">
        <v>0.47</v>
      </c>
      <c r="Q26" s="52">
        <v>9.18</v>
      </c>
      <c r="R26" s="43"/>
      <c r="S26" s="43"/>
      <c r="T26" s="43"/>
      <c r="U26" s="43"/>
    </row>
    <row r="27" spans="1:21" s="11" customFormat="1" x14ac:dyDescent="0.25">
      <c r="A27" s="51" t="s">
        <v>342</v>
      </c>
      <c r="B27" s="52">
        <v>6.93</v>
      </c>
      <c r="C27" s="52">
        <v>52.54</v>
      </c>
      <c r="D27" s="52">
        <v>31.56</v>
      </c>
      <c r="E27" s="52">
        <v>7.5</v>
      </c>
      <c r="F27" s="52">
        <v>2.13</v>
      </c>
      <c r="G27" s="52">
        <v>50.1</v>
      </c>
      <c r="H27" s="52">
        <v>15.97</v>
      </c>
      <c r="I27" s="53" t="s">
        <v>15</v>
      </c>
      <c r="J27" s="52">
        <v>1.54</v>
      </c>
      <c r="K27" s="52">
        <v>309.14</v>
      </c>
      <c r="L27" s="52">
        <v>24.51</v>
      </c>
      <c r="M27" s="52">
        <v>30.99</v>
      </c>
      <c r="N27" s="52">
        <v>74.7</v>
      </c>
      <c r="O27" s="52">
        <v>0</v>
      </c>
      <c r="P27" s="52">
        <v>0.5</v>
      </c>
      <c r="Q27" s="52">
        <v>9.25</v>
      </c>
      <c r="R27" s="43"/>
      <c r="S27" s="43"/>
      <c r="T27" s="43"/>
      <c r="U27" s="43"/>
    </row>
    <row r="28" spans="1:21" s="11" customFormat="1" x14ac:dyDescent="0.25">
      <c r="A28" s="51" t="s">
        <v>343</v>
      </c>
      <c r="B28" s="52">
        <v>6.5</v>
      </c>
      <c r="C28" s="52">
        <v>55.25</v>
      </c>
      <c r="D28" s="52">
        <v>32.65</v>
      </c>
      <c r="E28" s="52">
        <v>7.4</v>
      </c>
      <c r="F28" s="52">
        <v>2.13</v>
      </c>
      <c r="G28" s="52">
        <v>46.93</v>
      </c>
      <c r="H28" s="52">
        <v>14.41</v>
      </c>
      <c r="I28" s="53" t="s">
        <v>15</v>
      </c>
      <c r="J28" s="52">
        <v>1.1299999999999999</v>
      </c>
      <c r="K28" s="52">
        <v>319.83</v>
      </c>
      <c r="L28" s="52">
        <v>23.31</v>
      </c>
      <c r="M28" s="52">
        <v>33.6</v>
      </c>
      <c r="N28" s="52">
        <v>74</v>
      </c>
      <c r="O28" s="52">
        <v>0</v>
      </c>
      <c r="P28" s="52">
        <v>0.63</v>
      </c>
      <c r="Q28" s="52">
        <v>9.2799999999999994</v>
      </c>
      <c r="R28" s="43"/>
      <c r="S28" s="43"/>
      <c r="T28" s="43"/>
      <c r="U28" s="43"/>
    </row>
    <row r="29" spans="1:21" s="11" customFormat="1" x14ac:dyDescent="0.25">
      <c r="A29" s="51" t="s">
        <v>344</v>
      </c>
      <c r="B29" s="52">
        <v>8.3800000000000008</v>
      </c>
      <c r="C29" s="52">
        <v>56.17</v>
      </c>
      <c r="D29" s="52">
        <v>34.590000000000003</v>
      </c>
      <c r="E29" s="52">
        <v>7.48</v>
      </c>
      <c r="F29" s="52">
        <v>2.13</v>
      </c>
      <c r="G29" s="52">
        <v>43.47</v>
      </c>
      <c r="H29" s="52">
        <v>11.03</v>
      </c>
      <c r="I29" s="53" t="s">
        <v>15</v>
      </c>
      <c r="J29" s="52">
        <v>1.61</v>
      </c>
      <c r="K29" s="52">
        <v>321.11</v>
      </c>
      <c r="L29" s="52">
        <v>21.59</v>
      </c>
      <c r="M29" s="52">
        <v>35.82</v>
      </c>
      <c r="N29" s="52">
        <v>74.099999999999994</v>
      </c>
      <c r="O29" s="52">
        <v>0</v>
      </c>
      <c r="P29" s="52">
        <v>0.72</v>
      </c>
      <c r="Q29" s="52">
        <v>9.3699999999999992</v>
      </c>
      <c r="R29" s="43"/>
      <c r="S29" s="43"/>
      <c r="T29" s="43"/>
      <c r="U29" s="43"/>
    </row>
    <row r="30" spans="1:21" s="11" customFormat="1" x14ac:dyDescent="0.25">
      <c r="A30" s="51" t="s">
        <v>345</v>
      </c>
      <c r="B30" s="52">
        <v>14.42</v>
      </c>
      <c r="C30" s="52">
        <v>54.2</v>
      </c>
      <c r="D30" s="52">
        <v>38.5</v>
      </c>
      <c r="E30" s="52">
        <v>6.9</v>
      </c>
      <c r="F30" s="52">
        <v>2.13</v>
      </c>
      <c r="G30" s="52">
        <v>47.48</v>
      </c>
      <c r="H30" s="52">
        <v>11.7</v>
      </c>
      <c r="I30" s="53" t="s">
        <v>15</v>
      </c>
      <c r="J30" s="52">
        <v>1.01</v>
      </c>
      <c r="K30" s="52">
        <v>356.04</v>
      </c>
      <c r="L30" s="52">
        <v>20.83</v>
      </c>
      <c r="M30" s="52">
        <v>39.58</v>
      </c>
      <c r="N30" s="52">
        <v>74.7</v>
      </c>
      <c r="O30" s="52">
        <v>0</v>
      </c>
      <c r="P30" s="52">
        <v>1.01</v>
      </c>
      <c r="Q30" s="52">
        <v>9.4700000000000006</v>
      </c>
      <c r="R30" s="43"/>
      <c r="S30" s="43"/>
      <c r="T30" s="43"/>
      <c r="U30" s="43"/>
    </row>
    <row r="31" spans="1:21" s="11" customFormat="1" x14ac:dyDescent="0.25">
      <c r="A31" s="51" t="s">
        <v>346</v>
      </c>
      <c r="B31" s="52">
        <v>20.32</v>
      </c>
      <c r="C31" s="52">
        <v>54.83</v>
      </c>
      <c r="D31" s="52">
        <v>43.57</v>
      </c>
      <c r="E31" s="52">
        <v>7.39</v>
      </c>
      <c r="F31" s="52">
        <v>2.13</v>
      </c>
      <c r="G31" s="52">
        <v>52.21</v>
      </c>
      <c r="H31" s="52">
        <v>14.97</v>
      </c>
      <c r="I31" s="53" t="s">
        <v>15</v>
      </c>
      <c r="J31" s="52">
        <v>1.4</v>
      </c>
      <c r="K31" s="52">
        <v>356.37</v>
      </c>
      <c r="L31" s="52">
        <v>19.68</v>
      </c>
      <c r="M31" s="52">
        <v>41.55</v>
      </c>
      <c r="N31" s="52">
        <v>74.3</v>
      </c>
      <c r="O31" s="52">
        <v>0</v>
      </c>
      <c r="P31" s="52">
        <v>0.9</v>
      </c>
      <c r="Q31" s="52">
        <v>9.49</v>
      </c>
      <c r="R31" s="43"/>
      <c r="S31" s="43"/>
      <c r="T31" s="43"/>
      <c r="U31" s="43"/>
    </row>
    <row r="32" spans="1:21" s="11" customFormat="1" x14ac:dyDescent="0.25">
      <c r="A32" s="51" t="s">
        <v>347</v>
      </c>
      <c r="B32" s="52">
        <v>20.14</v>
      </c>
      <c r="C32" s="52">
        <v>55.52</v>
      </c>
      <c r="D32" s="52">
        <v>43.64</v>
      </c>
      <c r="E32" s="52">
        <v>7.49</v>
      </c>
      <c r="F32" s="52">
        <v>2.13</v>
      </c>
      <c r="G32" s="52">
        <v>60.56</v>
      </c>
      <c r="H32" s="52">
        <v>19.02</v>
      </c>
      <c r="I32" s="53" t="s">
        <v>15</v>
      </c>
      <c r="J32" s="52">
        <v>1.67</v>
      </c>
      <c r="K32" s="52">
        <v>337.74</v>
      </c>
      <c r="L32" s="52">
        <v>19.32</v>
      </c>
      <c r="M32" s="52">
        <v>45.11</v>
      </c>
      <c r="N32" s="52">
        <v>74.8</v>
      </c>
      <c r="O32" s="52">
        <v>0</v>
      </c>
      <c r="P32" s="52">
        <v>0.78</v>
      </c>
      <c r="Q32" s="52">
        <v>9.5500000000000007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4.0199999999999996</v>
      </c>
      <c r="C34" s="28">
        <f t="shared" si="0"/>
        <v>47.85</v>
      </c>
      <c r="D34" s="28">
        <f t="shared" si="0"/>
        <v>28.91</v>
      </c>
      <c r="E34" s="28">
        <f t="shared" si="0"/>
        <v>5.6</v>
      </c>
      <c r="F34" s="28">
        <f t="shared" si="0"/>
        <v>2.13</v>
      </c>
      <c r="G34" s="28">
        <f t="shared" si="0"/>
        <v>43.47</v>
      </c>
      <c r="H34" s="28">
        <f t="shared" si="0"/>
        <v>11.03</v>
      </c>
      <c r="I34" s="28">
        <f t="shared" si="0"/>
        <v>0</v>
      </c>
      <c r="J34" s="28">
        <f t="shared" si="0"/>
        <v>0.63</v>
      </c>
      <c r="K34" s="28">
        <f t="shared" si="0"/>
        <v>202.34</v>
      </c>
      <c r="L34" s="28">
        <f t="shared" si="0"/>
        <v>17.61</v>
      </c>
      <c r="M34" s="28">
        <f t="shared" si="0"/>
        <v>24.9</v>
      </c>
      <c r="N34" s="28">
        <f t="shared" si="0"/>
        <v>74</v>
      </c>
      <c r="O34" s="28">
        <f t="shared" si="0"/>
        <v>0</v>
      </c>
      <c r="P34" s="28">
        <f t="shared" si="0"/>
        <v>0.46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82.27</v>
      </c>
      <c r="C35" s="29">
        <f t="shared" si="1"/>
        <v>61.51</v>
      </c>
      <c r="D35" s="29">
        <f t="shared" si="1"/>
        <v>93.55</v>
      </c>
      <c r="E35" s="29">
        <f t="shared" si="1"/>
        <v>8.27</v>
      </c>
      <c r="F35" s="29">
        <f t="shared" si="1"/>
        <v>3.84</v>
      </c>
      <c r="G35" s="29">
        <f t="shared" si="1"/>
        <v>129.47999999999999</v>
      </c>
      <c r="H35" s="29">
        <f t="shared" si="1"/>
        <v>51.54</v>
      </c>
      <c r="I35" s="29">
        <f t="shared" si="1"/>
        <v>0</v>
      </c>
      <c r="J35" s="29">
        <f t="shared" si="1"/>
        <v>2.42</v>
      </c>
      <c r="K35" s="29">
        <f t="shared" si="1"/>
        <v>356.57</v>
      </c>
      <c r="L35" s="29">
        <f t="shared" si="1"/>
        <v>32.619999999999997</v>
      </c>
      <c r="M35" s="29">
        <f t="shared" si="1"/>
        <v>85.65</v>
      </c>
      <c r="N35" s="29">
        <f t="shared" si="1"/>
        <v>857.3</v>
      </c>
      <c r="O35" s="29">
        <f t="shared" si="1"/>
        <v>0</v>
      </c>
      <c r="P35" s="29">
        <f t="shared" si="1"/>
        <v>1.43</v>
      </c>
      <c r="Q35" s="29">
        <f t="shared" si="1"/>
        <v>9.8800000000000008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25.666249999999994</v>
      </c>
      <c r="C36" s="28">
        <f t="shared" si="2"/>
        <v>54.53541666666667</v>
      </c>
      <c r="D36" s="28">
        <f t="shared" si="2"/>
        <v>47.353749999999998</v>
      </c>
      <c r="E36" s="28">
        <f t="shared" si="2"/>
        <v>7.1483333333333334</v>
      </c>
      <c r="F36" s="28">
        <f t="shared" si="2"/>
        <v>2.4312500000000004</v>
      </c>
      <c r="G36" s="28">
        <f t="shared" si="2"/>
        <v>78.234583333333319</v>
      </c>
      <c r="H36" s="28">
        <f t="shared" si="2"/>
        <v>28.412500000000005</v>
      </c>
      <c r="I36" s="28" t="e">
        <f t="shared" si="2"/>
        <v>#DIV/0!</v>
      </c>
      <c r="J36" s="28">
        <f t="shared" si="2"/>
        <v>1.292083333333333</v>
      </c>
      <c r="K36" s="28">
        <f t="shared" si="2"/>
        <v>307.27</v>
      </c>
      <c r="L36" s="28">
        <f t="shared" si="2"/>
        <v>23.666249999999994</v>
      </c>
      <c r="M36" s="28">
        <f t="shared" si="2"/>
        <v>51.976249999999986</v>
      </c>
      <c r="N36" s="28">
        <f t="shared" si="2"/>
        <v>289.31666666666666</v>
      </c>
      <c r="O36" s="28">
        <f t="shared" si="2"/>
        <v>0</v>
      </c>
      <c r="P36" s="28">
        <f t="shared" si="2"/>
        <v>0.78375000000000006</v>
      </c>
      <c r="Q36" s="28">
        <f t="shared" si="2"/>
        <v>9.5145833333333361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24.105006842797295</v>
      </c>
      <c r="C37" s="28">
        <f t="shared" ref="C37:Q37" si="3">STDEV(C9:C32)</f>
        <v>3.2823625891523114</v>
      </c>
      <c r="D37" s="28">
        <f t="shared" si="3"/>
        <v>19.019653408011134</v>
      </c>
      <c r="E37" s="28">
        <f t="shared" si="3"/>
        <v>0.76096430052050201</v>
      </c>
      <c r="F37" s="28">
        <f t="shared" si="3"/>
        <v>0.53813940734639387</v>
      </c>
      <c r="G37" s="28">
        <f t="shared" si="3"/>
        <v>24.500345690403627</v>
      </c>
      <c r="H37" s="28">
        <f t="shared" si="3"/>
        <v>11.344867159626205</v>
      </c>
      <c r="I37" s="28" t="e">
        <f t="shared" si="3"/>
        <v>#DIV/0!</v>
      </c>
      <c r="J37" s="28">
        <f t="shared" si="3"/>
        <v>0.46900430299932749</v>
      </c>
      <c r="K37" s="28">
        <f t="shared" si="3"/>
        <v>42.783263794029992</v>
      </c>
      <c r="L37" s="28">
        <f t="shared" si="3"/>
        <v>5.3292497330666935</v>
      </c>
      <c r="M37" s="28">
        <f t="shared" si="3"/>
        <v>22.143487179225502</v>
      </c>
      <c r="N37" s="28">
        <f t="shared" si="3"/>
        <v>298.0412207654544</v>
      </c>
      <c r="O37" s="28">
        <f t="shared" si="3"/>
        <v>0</v>
      </c>
      <c r="P37" s="28">
        <f t="shared" si="3"/>
        <v>0.23308540140434778</v>
      </c>
      <c r="Q37" s="28">
        <f t="shared" si="3"/>
        <v>0.22627376966979559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348</v>
      </c>
      <c r="B9" s="52">
        <v>16.84</v>
      </c>
      <c r="C9" s="52">
        <v>54.95</v>
      </c>
      <c r="D9" s="52">
        <v>40.83</v>
      </c>
      <c r="E9" s="52">
        <v>5.4</v>
      </c>
      <c r="F9" s="52">
        <v>2.13</v>
      </c>
      <c r="G9" s="52">
        <v>68.38</v>
      </c>
      <c r="H9" s="52">
        <v>21.01</v>
      </c>
      <c r="I9" s="53" t="s">
        <v>15</v>
      </c>
      <c r="J9" s="52">
        <v>1.83</v>
      </c>
      <c r="K9" s="52">
        <v>350.94</v>
      </c>
      <c r="L9" s="52">
        <v>18.95</v>
      </c>
      <c r="M9" s="52">
        <v>41.42</v>
      </c>
      <c r="N9" s="52">
        <v>74.599999999999994</v>
      </c>
      <c r="O9" s="52">
        <v>0</v>
      </c>
      <c r="P9" s="52">
        <v>0.77</v>
      </c>
      <c r="Q9" s="52">
        <v>9.56</v>
      </c>
      <c r="R9" s="43"/>
      <c r="S9" s="43"/>
      <c r="T9" s="43"/>
      <c r="U9" s="43"/>
    </row>
    <row r="10" spans="1:21" s="11" customFormat="1" x14ac:dyDescent="0.25">
      <c r="A10" s="51" t="s">
        <v>349</v>
      </c>
      <c r="B10" s="52">
        <v>13.11</v>
      </c>
      <c r="C10" s="52">
        <v>52.29</v>
      </c>
      <c r="D10" s="52">
        <v>36.450000000000003</v>
      </c>
      <c r="E10" s="52">
        <v>5.46</v>
      </c>
      <c r="F10" s="52">
        <v>2.13</v>
      </c>
      <c r="G10" s="52">
        <v>71.2</v>
      </c>
      <c r="H10" s="52">
        <v>27.75</v>
      </c>
      <c r="I10" s="53" t="s">
        <v>15</v>
      </c>
      <c r="J10" s="52">
        <v>1.77</v>
      </c>
      <c r="K10" s="52">
        <v>352.29</v>
      </c>
      <c r="L10" s="52">
        <v>18.37</v>
      </c>
      <c r="M10" s="52">
        <v>39.24</v>
      </c>
      <c r="N10" s="52">
        <v>74.5</v>
      </c>
      <c r="O10" s="52">
        <v>0</v>
      </c>
      <c r="P10" s="52">
        <v>0.65</v>
      </c>
      <c r="Q10" s="52">
        <v>9.5399999999999991</v>
      </c>
      <c r="R10" s="43"/>
      <c r="S10" s="43"/>
      <c r="T10" s="43"/>
      <c r="U10" s="43"/>
    </row>
    <row r="11" spans="1:21" s="11" customFormat="1" x14ac:dyDescent="0.25">
      <c r="A11" s="51" t="s">
        <v>350</v>
      </c>
      <c r="B11" s="52">
        <v>11.08</v>
      </c>
      <c r="C11" s="52">
        <v>48.6</v>
      </c>
      <c r="D11" s="52">
        <v>32.9</v>
      </c>
      <c r="E11" s="52">
        <v>5.05</v>
      </c>
      <c r="F11" s="52">
        <v>2.13</v>
      </c>
      <c r="G11" s="52">
        <v>66.010000000000005</v>
      </c>
      <c r="H11" s="52">
        <v>33.72</v>
      </c>
      <c r="I11" s="53" t="s">
        <v>15</v>
      </c>
      <c r="J11" s="52">
        <v>1.74</v>
      </c>
      <c r="K11" s="52">
        <v>352.48</v>
      </c>
      <c r="L11" s="52">
        <v>17.78</v>
      </c>
      <c r="M11" s="52">
        <v>44.46</v>
      </c>
      <c r="N11" s="52">
        <v>74.900000000000006</v>
      </c>
      <c r="O11" s="52">
        <v>0</v>
      </c>
      <c r="P11" s="52">
        <v>0.55000000000000004</v>
      </c>
      <c r="Q11" s="52">
        <v>9.4</v>
      </c>
      <c r="R11" s="43"/>
      <c r="S11" s="43"/>
      <c r="T11" s="43"/>
      <c r="U11" s="43"/>
    </row>
    <row r="12" spans="1:21" s="11" customFormat="1" x14ac:dyDescent="0.25">
      <c r="A12" s="51" t="s">
        <v>351</v>
      </c>
      <c r="B12" s="52">
        <v>10.02</v>
      </c>
      <c r="C12" s="52">
        <v>46.7</v>
      </c>
      <c r="D12" s="52">
        <v>30.98</v>
      </c>
      <c r="E12" s="52">
        <v>5.51</v>
      </c>
      <c r="F12" s="52">
        <v>2.13</v>
      </c>
      <c r="G12" s="52">
        <v>65.7</v>
      </c>
      <c r="H12" s="52">
        <v>24.9</v>
      </c>
      <c r="I12" s="53" t="s">
        <v>15</v>
      </c>
      <c r="J12" s="52">
        <v>0.76</v>
      </c>
      <c r="K12" s="52">
        <v>296</v>
      </c>
      <c r="L12" s="52">
        <v>16.18</v>
      </c>
      <c r="M12" s="52">
        <v>51.61</v>
      </c>
      <c r="N12" s="52">
        <v>75.2</v>
      </c>
      <c r="O12" s="52">
        <v>0</v>
      </c>
      <c r="P12" s="52">
        <v>0.57999999999999996</v>
      </c>
      <c r="Q12" s="52">
        <v>9.31</v>
      </c>
      <c r="R12" s="43"/>
      <c r="S12" s="43"/>
      <c r="T12" s="43"/>
      <c r="U12" s="43"/>
    </row>
    <row r="13" spans="1:21" s="11" customFormat="1" x14ac:dyDescent="0.25">
      <c r="A13" s="51" t="s">
        <v>352</v>
      </c>
      <c r="B13" s="52">
        <v>11.97</v>
      </c>
      <c r="C13" s="52">
        <v>47.56</v>
      </c>
      <c r="D13" s="52">
        <v>33.07</v>
      </c>
      <c r="E13" s="52">
        <v>5.9</v>
      </c>
      <c r="F13" s="52">
        <v>2.13</v>
      </c>
      <c r="G13" s="52">
        <v>77.17</v>
      </c>
      <c r="H13" s="52">
        <v>29.46</v>
      </c>
      <c r="I13" s="53" t="s">
        <v>15</v>
      </c>
      <c r="J13" s="52">
        <v>0.78</v>
      </c>
      <c r="K13" s="52">
        <v>345.31</v>
      </c>
      <c r="L13" s="52">
        <v>15.43</v>
      </c>
      <c r="M13" s="52">
        <v>52.38</v>
      </c>
      <c r="N13" s="52">
        <v>74.8</v>
      </c>
      <c r="O13" s="52">
        <v>0</v>
      </c>
      <c r="P13" s="52">
        <v>0.61</v>
      </c>
      <c r="Q13" s="52">
        <v>9.39</v>
      </c>
      <c r="R13" s="43"/>
      <c r="S13" s="43"/>
      <c r="T13" s="43"/>
      <c r="U13" s="43"/>
    </row>
    <row r="14" spans="1:21" s="11" customFormat="1" x14ac:dyDescent="0.25">
      <c r="A14" s="51" t="s">
        <v>353</v>
      </c>
      <c r="B14" s="52">
        <v>14.37</v>
      </c>
      <c r="C14" s="52">
        <v>49.21</v>
      </c>
      <c r="D14" s="52">
        <v>35.6</v>
      </c>
      <c r="E14" s="52">
        <v>5.94</v>
      </c>
      <c r="F14" s="52">
        <v>2.14</v>
      </c>
      <c r="G14" s="52">
        <v>81.5</v>
      </c>
      <c r="H14" s="52">
        <v>31.09</v>
      </c>
      <c r="I14" s="53" t="s">
        <v>15</v>
      </c>
      <c r="J14" s="52">
        <v>1.33</v>
      </c>
      <c r="K14" s="52">
        <v>358.79</v>
      </c>
      <c r="L14" s="52">
        <v>15.47</v>
      </c>
      <c r="M14" s="52">
        <v>51.92</v>
      </c>
      <c r="N14" s="52">
        <v>75.3</v>
      </c>
      <c r="O14" s="52">
        <v>0</v>
      </c>
      <c r="P14" s="52">
        <v>0.62</v>
      </c>
      <c r="Q14" s="52">
        <v>9.49</v>
      </c>
      <c r="R14" s="43"/>
      <c r="S14" s="43"/>
      <c r="T14" s="43"/>
      <c r="U14" s="43"/>
    </row>
    <row r="15" spans="1:21" s="11" customFormat="1" x14ac:dyDescent="0.25">
      <c r="A15" s="51" t="s">
        <v>354</v>
      </c>
      <c r="B15" s="52">
        <v>20.059999999999999</v>
      </c>
      <c r="C15" s="52">
        <v>49.81</v>
      </c>
      <c r="D15" s="52">
        <v>40.729999999999997</v>
      </c>
      <c r="E15" s="52">
        <v>5.8</v>
      </c>
      <c r="F15" s="52">
        <v>2.13</v>
      </c>
      <c r="G15" s="52">
        <v>79.099999999999994</v>
      </c>
      <c r="H15" s="52">
        <v>31.08</v>
      </c>
      <c r="I15" s="53" t="s">
        <v>15</v>
      </c>
      <c r="J15" s="52">
        <v>1.0900000000000001</v>
      </c>
      <c r="K15" s="52">
        <v>357.6</v>
      </c>
      <c r="L15" s="52">
        <v>15.14</v>
      </c>
      <c r="M15" s="52">
        <v>53.83</v>
      </c>
      <c r="N15" s="52">
        <v>97.6</v>
      </c>
      <c r="O15" s="52">
        <v>0</v>
      </c>
      <c r="P15" s="52">
        <v>0.67</v>
      </c>
      <c r="Q15" s="52">
        <v>9.52</v>
      </c>
      <c r="R15" s="43"/>
      <c r="S15" s="43"/>
      <c r="T15" s="43"/>
      <c r="U15" s="43"/>
    </row>
    <row r="16" spans="1:21" s="11" customFormat="1" x14ac:dyDescent="0.25">
      <c r="A16" s="51" t="s">
        <v>355</v>
      </c>
      <c r="B16" s="52">
        <v>24.84</v>
      </c>
      <c r="C16" s="52">
        <v>53.86</v>
      </c>
      <c r="D16" s="52">
        <v>46.68</v>
      </c>
      <c r="E16" s="52">
        <v>6.53</v>
      </c>
      <c r="F16" s="52">
        <v>2.13</v>
      </c>
      <c r="G16" s="52">
        <v>85.22</v>
      </c>
      <c r="H16" s="52">
        <v>31.68</v>
      </c>
      <c r="I16" s="53" t="s">
        <v>15</v>
      </c>
      <c r="J16" s="52">
        <v>1.49</v>
      </c>
      <c r="K16" s="52">
        <v>359.29</v>
      </c>
      <c r="L16" s="52">
        <v>19.43</v>
      </c>
      <c r="M16" s="52">
        <v>51.53</v>
      </c>
      <c r="N16" s="52">
        <v>303.7</v>
      </c>
      <c r="O16" s="52">
        <v>0</v>
      </c>
      <c r="P16" s="52">
        <v>0.76</v>
      </c>
      <c r="Q16" s="52">
        <v>9.52</v>
      </c>
      <c r="R16" s="43"/>
      <c r="S16" s="43"/>
      <c r="T16" s="43"/>
      <c r="U16" s="43"/>
    </row>
    <row r="17" spans="1:21" s="11" customFormat="1" x14ac:dyDescent="0.25">
      <c r="A17" s="51" t="s">
        <v>356</v>
      </c>
      <c r="B17" s="52">
        <v>26.95</v>
      </c>
      <c r="C17" s="52">
        <v>56.4</v>
      </c>
      <c r="D17" s="52">
        <v>49.7</v>
      </c>
      <c r="E17" s="52">
        <v>6.06</v>
      </c>
      <c r="F17" s="52">
        <v>2.13</v>
      </c>
      <c r="G17" s="52">
        <v>86.71</v>
      </c>
      <c r="H17" s="52">
        <v>31.88</v>
      </c>
      <c r="I17" s="53" t="s">
        <v>15</v>
      </c>
      <c r="J17" s="52">
        <v>1.8</v>
      </c>
      <c r="K17" s="52">
        <v>355.44</v>
      </c>
      <c r="L17" s="52">
        <v>25.18</v>
      </c>
      <c r="M17" s="52">
        <v>36.909999999999997</v>
      </c>
      <c r="N17" s="52">
        <v>547</v>
      </c>
      <c r="O17" s="52">
        <v>0</v>
      </c>
      <c r="P17" s="52">
        <v>0.78</v>
      </c>
      <c r="Q17" s="52">
        <v>9.57</v>
      </c>
      <c r="R17" s="43"/>
      <c r="S17" s="43"/>
      <c r="T17" s="43"/>
      <c r="U17" s="43"/>
    </row>
    <row r="18" spans="1:21" s="11" customFormat="1" x14ac:dyDescent="0.25">
      <c r="A18" s="51" t="s">
        <v>357</v>
      </c>
      <c r="B18" s="52">
        <v>26.87</v>
      </c>
      <c r="C18" s="52">
        <v>60.64</v>
      </c>
      <c r="D18" s="52">
        <v>50.31</v>
      </c>
      <c r="E18" s="52">
        <v>6.01</v>
      </c>
      <c r="F18" s="52">
        <v>2.13</v>
      </c>
      <c r="G18" s="52">
        <v>91.05</v>
      </c>
      <c r="H18" s="52">
        <v>28.28</v>
      </c>
      <c r="I18" s="53" t="s">
        <v>15</v>
      </c>
      <c r="J18" s="52">
        <v>1.93</v>
      </c>
      <c r="K18" s="52">
        <v>358.06</v>
      </c>
      <c r="L18" s="52">
        <v>26.86</v>
      </c>
      <c r="M18" s="52">
        <v>30.75</v>
      </c>
      <c r="N18" s="52">
        <v>711.5</v>
      </c>
      <c r="O18" s="52">
        <v>0</v>
      </c>
      <c r="P18" s="52">
        <v>0.76</v>
      </c>
      <c r="Q18" s="52">
        <v>9.59</v>
      </c>
      <c r="R18" s="43"/>
      <c r="S18" s="43"/>
      <c r="T18" s="43"/>
      <c r="U18" s="43"/>
    </row>
    <row r="19" spans="1:21" s="11" customFormat="1" x14ac:dyDescent="0.25">
      <c r="A19" s="51" t="s">
        <v>358</v>
      </c>
      <c r="B19" s="52">
        <v>24.3</v>
      </c>
      <c r="C19" s="52">
        <v>74.8</v>
      </c>
      <c r="D19" s="52">
        <v>52.3</v>
      </c>
      <c r="E19" s="52">
        <v>9.0399999999999991</v>
      </c>
      <c r="F19" s="52">
        <v>2.13</v>
      </c>
      <c r="G19" s="52">
        <v>88.91</v>
      </c>
      <c r="H19" s="52">
        <v>28.1</v>
      </c>
      <c r="I19" s="53" t="s">
        <v>15</v>
      </c>
      <c r="J19" s="52">
        <v>1.68</v>
      </c>
      <c r="K19" s="52">
        <v>359.99</v>
      </c>
      <c r="L19" s="52">
        <v>28.37</v>
      </c>
      <c r="M19" s="52">
        <v>27.17</v>
      </c>
      <c r="N19" s="52">
        <v>844</v>
      </c>
      <c r="O19" s="52">
        <v>0</v>
      </c>
      <c r="P19" s="52">
        <v>0.78</v>
      </c>
      <c r="Q19" s="52">
        <v>9.61</v>
      </c>
      <c r="R19" s="43"/>
      <c r="S19" s="43"/>
      <c r="T19" s="43"/>
      <c r="U19" s="43"/>
    </row>
    <row r="20" spans="1:21" s="11" customFormat="1" x14ac:dyDescent="0.25">
      <c r="A20" s="51" t="s">
        <v>359</v>
      </c>
      <c r="B20" s="52">
        <v>16.260000000000002</v>
      </c>
      <c r="C20" s="52">
        <v>82.01</v>
      </c>
      <c r="D20" s="52">
        <v>52.32</v>
      </c>
      <c r="E20" s="52">
        <v>10.18</v>
      </c>
      <c r="F20" s="52">
        <v>3.89</v>
      </c>
      <c r="G20" s="52">
        <v>93.63</v>
      </c>
      <c r="H20" s="52">
        <v>28.11</v>
      </c>
      <c r="I20" s="53" t="s">
        <v>15</v>
      </c>
      <c r="J20" s="52">
        <v>2.52</v>
      </c>
      <c r="K20" s="52">
        <v>352.69</v>
      </c>
      <c r="L20" s="52">
        <v>29.17</v>
      </c>
      <c r="M20" s="52">
        <v>23.73</v>
      </c>
      <c r="N20" s="52">
        <v>929.8</v>
      </c>
      <c r="O20" s="52">
        <v>0</v>
      </c>
      <c r="P20" s="52">
        <v>0.76</v>
      </c>
      <c r="Q20" s="52">
        <v>9.5500000000000007</v>
      </c>
      <c r="R20" s="43"/>
      <c r="S20" s="43"/>
      <c r="T20" s="43"/>
      <c r="U20" s="43"/>
    </row>
    <row r="21" spans="1:21" s="11" customFormat="1" x14ac:dyDescent="0.25">
      <c r="A21" s="51" t="s">
        <v>360</v>
      </c>
      <c r="B21" s="52">
        <v>7.3</v>
      </c>
      <c r="C21" s="52">
        <v>82.57</v>
      </c>
      <c r="D21" s="52">
        <v>47.62</v>
      </c>
      <c r="E21" s="52">
        <v>9.16</v>
      </c>
      <c r="F21" s="52">
        <v>5.56</v>
      </c>
      <c r="G21" s="52">
        <v>95.55</v>
      </c>
      <c r="H21" s="52">
        <v>27.44</v>
      </c>
      <c r="I21" s="53" t="s">
        <v>15</v>
      </c>
      <c r="J21" s="52">
        <v>2.37</v>
      </c>
      <c r="K21" s="52">
        <v>347.39</v>
      </c>
      <c r="L21" s="52">
        <v>29.76</v>
      </c>
      <c r="M21" s="52">
        <v>20.57</v>
      </c>
      <c r="N21" s="52">
        <v>904.4</v>
      </c>
      <c r="O21" s="52">
        <v>0</v>
      </c>
      <c r="P21" s="52">
        <v>0.63</v>
      </c>
      <c r="Q21" s="52">
        <v>9.49</v>
      </c>
      <c r="R21" s="43"/>
      <c r="S21" s="43"/>
      <c r="T21" s="43"/>
      <c r="U21" s="43"/>
    </row>
    <row r="22" spans="1:21" s="11" customFormat="1" x14ac:dyDescent="0.25">
      <c r="A22" s="51" t="s">
        <v>361</v>
      </c>
      <c r="B22" s="52">
        <v>5.52</v>
      </c>
      <c r="C22" s="52">
        <v>76.81</v>
      </c>
      <c r="D22" s="52">
        <v>43.05</v>
      </c>
      <c r="E22" s="52">
        <v>6.22</v>
      </c>
      <c r="F22" s="52">
        <v>5.8</v>
      </c>
      <c r="G22" s="52">
        <v>84.99</v>
      </c>
      <c r="H22" s="52">
        <v>23.04</v>
      </c>
      <c r="I22" s="53" t="s">
        <v>15</v>
      </c>
      <c r="J22" s="52">
        <v>1.87</v>
      </c>
      <c r="K22" s="52">
        <v>352.7</v>
      </c>
      <c r="L22" s="52">
        <v>30.19</v>
      </c>
      <c r="M22" s="52">
        <v>21.09</v>
      </c>
      <c r="N22" s="52">
        <v>874.7</v>
      </c>
      <c r="O22" s="52">
        <v>0</v>
      </c>
      <c r="P22" s="52">
        <v>0.54</v>
      </c>
      <c r="Q22" s="52">
        <v>9.49</v>
      </c>
      <c r="R22" s="43"/>
      <c r="S22" s="43"/>
      <c r="T22" s="43"/>
      <c r="U22" s="43"/>
    </row>
    <row r="23" spans="1:21" s="11" customFormat="1" x14ac:dyDescent="0.25">
      <c r="A23" s="51" t="s">
        <v>362</v>
      </c>
      <c r="B23" s="52">
        <v>4.1500000000000004</v>
      </c>
      <c r="C23" s="52">
        <v>66.08</v>
      </c>
      <c r="D23" s="52">
        <v>36.47</v>
      </c>
      <c r="E23" s="52">
        <v>5.89</v>
      </c>
      <c r="F23" s="52">
        <v>7</v>
      </c>
      <c r="G23" s="52">
        <v>71.56</v>
      </c>
      <c r="H23" s="52">
        <v>20.66</v>
      </c>
      <c r="I23" s="53" t="s">
        <v>15</v>
      </c>
      <c r="J23" s="52">
        <v>1.97</v>
      </c>
      <c r="K23" s="52">
        <v>343.86</v>
      </c>
      <c r="L23" s="52">
        <v>29.66</v>
      </c>
      <c r="M23" s="52">
        <v>21.34</v>
      </c>
      <c r="N23" s="52">
        <v>729.3</v>
      </c>
      <c r="O23" s="52">
        <v>0</v>
      </c>
      <c r="P23" s="52">
        <v>0.48</v>
      </c>
      <c r="Q23" s="52">
        <v>9.4499999999999993</v>
      </c>
      <c r="R23" s="43"/>
      <c r="S23" s="43"/>
      <c r="T23" s="43"/>
      <c r="U23" s="43"/>
    </row>
    <row r="24" spans="1:21" s="11" customFormat="1" x14ac:dyDescent="0.25">
      <c r="A24" s="51" t="s">
        <v>363</v>
      </c>
      <c r="B24" s="52">
        <v>4.21</v>
      </c>
      <c r="C24" s="52">
        <v>60.82</v>
      </c>
      <c r="D24" s="52">
        <v>33.78</v>
      </c>
      <c r="E24" s="52">
        <v>5.9</v>
      </c>
      <c r="F24" s="52">
        <v>7.41</v>
      </c>
      <c r="G24" s="52">
        <v>42</v>
      </c>
      <c r="H24" s="52">
        <v>13.87</v>
      </c>
      <c r="I24" s="53" t="s">
        <v>15</v>
      </c>
      <c r="J24" s="52">
        <v>1.56</v>
      </c>
      <c r="K24" s="52">
        <v>341.78</v>
      </c>
      <c r="L24" s="52">
        <v>27.28</v>
      </c>
      <c r="M24" s="52">
        <v>24.29</v>
      </c>
      <c r="N24" s="52">
        <v>425.4</v>
      </c>
      <c r="O24" s="52">
        <v>0</v>
      </c>
      <c r="P24" s="52">
        <v>0.43</v>
      </c>
      <c r="Q24" s="52">
        <v>9.2899999999999991</v>
      </c>
      <c r="R24" s="43"/>
      <c r="S24" s="43"/>
      <c r="T24" s="43"/>
      <c r="U24" s="43"/>
    </row>
    <row r="25" spans="1:21" s="11" customFormat="1" x14ac:dyDescent="0.25">
      <c r="A25" s="51" t="s">
        <v>364</v>
      </c>
      <c r="B25" s="52">
        <v>5.23</v>
      </c>
      <c r="C25" s="52">
        <v>58.58</v>
      </c>
      <c r="D25" s="52">
        <v>33.200000000000003</v>
      </c>
      <c r="E25" s="52">
        <v>6.87</v>
      </c>
      <c r="F25" s="52">
        <v>4.96</v>
      </c>
      <c r="G25" s="52">
        <v>36.96</v>
      </c>
      <c r="H25" s="52">
        <v>11.01</v>
      </c>
      <c r="I25" s="53" t="s">
        <v>15</v>
      </c>
      <c r="J25" s="52">
        <v>1.47</v>
      </c>
      <c r="K25" s="52">
        <v>327.29000000000002</v>
      </c>
      <c r="L25" s="52">
        <v>25.16</v>
      </c>
      <c r="M25" s="52">
        <v>26.55</v>
      </c>
      <c r="N25" s="52">
        <v>168.9</v>
      </c>
      <c r="O25" s="52">
        <v>0</v>
      </c>
      <c r="P25" s="52">
        <v>0.44</v>
      </c>
      <c r="Q25" s="52">
        <v>9.3000000000000007</v>
      </c>
      <c r="R25" s="43"/>
      <c r="S25" s="43"/>
      <c r="T25" s="43"/>
      <c r="U25" s="43"/>
    </row>
    <row r="26" spans="1:21" s="11" customFormat="1" x14ac:dyDescent="0.25">
      <c r="A26" s="51" t="s">
        <v>365</v>
      </c>
      <c r="B26" s="52">
        <v>4.2</v>
      </c>
      <c r="C26" s="52">
        <v>62.35</v>
      </c>
      <c r="D26" s="52">
        <v>34.51</v>
      </c>
      <c r="E26" s="52">
        <v>7.11</v>
      </c>
      <c r="F26" s="52">
        <v>5.53</v>
      </c>
      <c r="G26" s="52">
        <v>44.38</v>
      </c>
      <c r="H26" s="52">
        <v>12.15</v>
      </c>
      <c r="I26" s="53" t="s">
        <v>15</v>
      </c>
      <c r="J26" s="52">
        <v>0.67</v>
      </c>
      <c r="K26" s="52">
        <v>240.42</v>
      </c>
      <c r="L26" s="52">
        <v>24.14</v>
      </c>
      <c r="M26" s="52">
        <v>29.26</v>
      </c>
      <c r="N26" s="52">
        <v>120.5</v>
      </c>
      <c r="O26" s="52">
        <v>0</v>
      </c>
      <c r="P26" s="52">
        <v>0.5</v>
      </c>
      <c r="Q26" s="52">
        <v>9.32</v>
      </c>
      <c r="R26" s="43"/>
      <c r="S26" s="43"/>
      <c r="T26" s="43"/>
      <c r="U26" s="43"/>
    </row>
    <row r="27" spans="1:21" s="11" customFormat="1" x14ac:dyDescent="0.25">
      <c r="A27" s="51" t="s">
        <v>366</v>
      </c>
      <c r="B27" s="52">
        <v>11.7</v>
      </c>
      <c r="C27" s="52">
        <v>67.099999999999994</v>
      </c>
      <c r="D27" s="52">
        <v>43.06</v>
      </c>
      <c r="E27" s="52">
        <v>6.49</v>
      </c>
      <c r="F27" s="52">
        <v>2.13</v>
      </c>
      <c r="G27" s="52">
        <v>85.38</v>
      </c>
      <c r="H27" s="52">
        <v>16.11</v>
      </c>
      <c r="I27" s="53" t="s">
        <v>15</v>
      </c>
      <c r="J27" s="52">
        <v>0.75</v>
      </c>
      <c r="K27" s="52">
        <v>322.43</v>
      </c>
      <c r="L27" s="52">
        <v>21.89</v>
      </c>
      <c r="M27" s="52">
        <v>44.8</v>
      </c>
      <c r="N27" s="52">
        <v>86.3</v>
      </c>
      <c r="O27" s="52">
        <v>0</v>
      </c>
      <c r="P27" s="52">
        <v>1.01</v>
      </c>
      <c r="Q27" s="52">
        <v>9.49</v>
      </c>
      <c r="R27" s="43"/>
      <c r="S27" s="43"/>
      <c r="T27" s="43"/>
      <c r="U27" s="43"/>
    </row>
    <row r="28" spans="1:21" s="11" customFormat="1" x14ac:dyDescent="0.25">
      <c r="A28" s="51" t="s">
        <v>367</v>
      </c>
      <c r="B28" s="52">
        <v>35.770000000000003</v>
      </c>
      <c r="C28" s="52">
        <v>68.53</v>
      </c>
      <c r="D28" s="52">
        <v>63.11</v>
      </c>
      <c r="E28" s="52">
        <v>7.07</v>
      </c>
      <c r="F28" s="52">
        <v>2.13</v>
      </c>
      <c r="G28" s="52">
        <v>161.04</v>
      </c>
      <c r="H28" s="52">
        <v>23.31</v>
      </c>
      <c r="I28" s="53" t="s">
        <v>15</v>
      </c>
      <c r="J28" s="52">
        <v>0.62</v>
      </c>
      <c r="K28" s="52">
        <v>291.61</v>
      </c>
      <c r="L28" s="52">
        <v>19.100000000000001</v>
      </c>
      <c r="M28" s="52">
        <v>55.8</v>
      </c>
      <c r="N28" s="52">
        <v>85.5</v>
      </c>
      <c r="O28" s="52">
        <v>0</v>
      </c>
      <c r="P28" s="52">
        <v>1.29</v>
      </c>
      <c r="Q28" s="52">
        <v>9.5299999999999994</v>
      </c>
      <c r="R28" s="43"/>
      <c r="S28" s="43"/>
      <c r="T28" s="43"/>
      <c r="U28" s="43"/>
    </row>
    <row r="29" spans="1:21" s="11" customFormat="1" x14ac:dyDescent="0.25">
      <c r="A29" s="51" t="s">
        <v>368</v>
      </c>
      <c r="B29" s="52">
        <v>49.23</v>
      </c>
      <c r="C29" s="52">
        <v>68.459999999999994</v>
      </c>
      <c r="D29" s="52">
        <v>73.36</v>
      </c>
      <c r="E29" s="52">
        <v>7.06</v>
      </c>
      <c r="F29" s="52">
        <v>2.13</v>
      </c>
      <c r="G29" s="52">
        <v>171.29</v>
      </c>
      <c r="H29" s="52">
        <v>26.67</v>
      </c>
      <c r="I29" s="53" t="s">
        <v>15</v>
      </c>
      <c r="J29" s="52">
        <v>1.51</v>
      </c>
      <c r="K29" s="52">
        <v>327.37</v>
      </c>
      <c r="L29" s="52">
        <v>18.850000000000001</v>
      </c>
      <c r="M29" s="52">
        <v>50.73</v>
      </c>
      <c r="N29" s="52">
        <v>85.2</v>
      </c>
      <c r="O29" s="52">
        <v>0</v>
      </c>
      <c r="P29" s="52">
        <v>1.43</v>
      </c>
      <c r="Q29" s="52">
        <v>9.66</v>
      </c>
      <c r="R29" s="43"/>
      <c r="S29" s="43"/>
      <c r="T29" s="43"/>
      <c r="U29" s="43"/>
    </row>
    <row r="30" spans="1:21" s="11" customFormat="1" x14ac:dyDescent="0.25">
      <c r="A30" s="51" t="s">
        <v>369</v>
      </c>
      <c r="B30" s="52">
        <v>45.86</v>
      </c>
      <c r="C30" s="52">
        <v>66.37</v>
      </c>
      <c r="D30" s="52">
        <v>70.069999999999993</v>
      </c>
      <c r="E30" s="52">
        <v>6.78</v>
      </c>
      <c r="F30" s="52">
        <v>2.13</v>
      </c>
      <c r="G30" s="52">
        <v>79.25</v>
      </c>
      <c r="H30" s="52">
        <v>27.37</v>
      </c>
      <c r="I30" s="53" t="s">
        <v>15</v>
      </c>
      <c r="J30" s="52">
        <v>1.72</v>
      </c>
      <c r="K30" s="52">
        <v>311.62</v>
      </c>
      <c r="L30" s="52">
        <v>18.71</v>
      </c>
      <c r="M30" s="52">
        <v>36.700000000000003</v>
      </c>
      <c r="N30" s="52">
        <v>85.2</v>
      </c>
      <c r="O30" s="52">
        <v>0</v>
      </c>
      <c r="P30" s="52">
        <v>0.96</v>
      </c>
      <c r="Q30" s="52">
        <v>9.73</v>
      </c>
      <c r="R30" s="43"/>
      <c r="S30" s="43"/>
      <c r="T30" s="43"/>
      <c r="U30" s="43"/>
    </row>
    <row r="31" spans="1:21" s="11" customFormat="1" x14ac:dyDescent="0.25">
      <c r="A31" s="51" t="s">
        <v>370</v>
      </c>
      <c r="B31" s="52">
        <v>32.86</v>
      </c>
      <c r="C31" s="52">
        <v>63.48</v>
      </c>
      <c r="D31" s="52">
        <v>58.14</v>
      </c>
      <c r="E31" s="52">
        <v>5.82</v>
      </c>
      <c r="F31" s="52">
        <v>2.13</v>
      </c>
      <c r="G31" s="52">
        <v>41.43</v>
      </c>
      <c r="H31" s="52">
        <v>18.899999999999999</v>
      </c>
      <c r="I31" s="53" t="s">
        <v>15</v>
      </c>
      <c r="J31" s="52">
        <v>2.42</v>
      </c>
      <c r="K31" s="52">
        <v>336.23</v>
      </c>
      <c r="L31" s="52">
        <v>17.57</v>
      </c>
      <c r="M31" s="52">
        <v>36.58</v>
      </c>
      <c r="N31" s="52">
        <v>85.6</v>
      </c>
      <c r="O31" s="52">
        <v>0</v>
      </c>
      <c r="P31" s="52">
        <v>0.84</v>
      </c>
      <c r="Q31" s="52">
        <v>9.7200000000000006</v>
      </c>
      <c r="R31" s="43"/>
      <c r="S31" s="43"/>
      <c r="T31" s="43"/>
      <c r="U31" s="43"/>
    </row>
    <row r="32" spans="1:21" s="11" customFormat="1" x14ac:dyDescent="0.25">
      <c r="A32" s="51" t="s">
        <v>371</v>
      </c>
      <c r="B32" s="52">
        <v>22.06</v>
      </c>
      <c r="C32" s="52">
        <v>60.01</v>
      </c>
      <c r="D32" s="52">
        <v>47.67</v>
      </c>
      <c r="E32" s="52">
        <v>6.34</v>
      </c>
      <c r="F32" s="52">
        <v>2.13</v>
      </c>
      <c r="G32" s="52">
        <v>52.18</v>
      </c>
      <c r="H32" s="52">
        <v>16.559999999999999</v>
      </c>
      <c r="I32" s="53" t="s">
        <v>15</v>
      </c>
      <c r="J32" s="52">
        <v>2.5499999999999998</v>
      </c>
      <c r="K32" s="52">
        <v>347.79</v>
      </c>
      <c r="L32" s="52">
        <v>17.03</v>
      </c>
      <c r="M32" s="52">
        <v>36.51</v>
      </c>
      <c r="N32" s="52">
        <v>85.5</v>
      </c>
      <c r="O32" s="52">
        <v>0</v>
      </c>
      <c r="P32" s="52">
        <v>0.72</v>
      </c>
      <c r="Q32" s="52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4.1500000000000004</v>
      </c>
      <c r="C34" s="28">
        <f t="shared" si="0"/>
        <v>46.7</v>
      </c>
      <c r="D34" s="28">
        <f t="shared" si="0"/>
        <v>30.98</v>
      </c>
      <c r="E34" s="28">
        <f t="shared" si="0"/>
        <v>5.05</v>
      </c>
      <c r="F34" s="28">
        <f t="shared" si="0"/>
        <v>2.13</v>
      </c>
      <c r="G34" s="28">
        <f t="shared" si="0"/>
        <v>36.96</v>
      </c>
      <c r="H34" s="28">
        <f t="shared" si="0"/>
        <v>11.01</v>
      </c>
      <c r="I34" s="28">
        <f t="shared" si="0"/>
        <v>0</v>
      </c>
      <c r="J34" s="28">
        <f t="shared" si="0"/>
        <v>0.62</v>
      </c>
      <c r="K34" s="28">
        <f t="shared" si="0"/>
        <v>240.42</v>
      </c>
      <c r="L34" s="28">
        <f t="shared" si="0"/>
        <v>15.14</v>
      </c>
      <c r="M34" s="28">
        <f t="shared" si="0"/>
        <v>20.57</v>
      </c>
      <c r="N34" s="28">
        <f t="shared" si="0"/>
        <v>74.5</v>
      </c>
      <c r="O34" s="28">
        <f t="shared" si="0"/>
        <v>0</v>
      </c>
      <c r="P34" s="28">
        <f t="shared" si="0"/>
        <v>0.43</v>
      </c>
      <c r="Q34" s="28">
        <f t="shared" si="0"/>
        <v>9.2899999999999991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49.23</v>
      </c>
      <c r="C35" s="29">
        <f t="shared" si="1"/>
        <v>82.57</v>
      </c>
      <c r="D35" s="29">
        <f t="shared" si="1"/>
        <v>73.36</v>
      </c>
      <c r="E35" s="29">
        <f t="shared" si="1"/>
        <v>10.18</v>
      </c>
      <c r="F35" s="29">
        <f t="shared" si="1"/>
        <v>7.41</v>
      </c>
      <c r="G35" s="29">
        <f t="shared" si="1"/>
        <v>171.29</v>
      </c>
      <c r="H35" s="29">
        <f t="shared" si="1"/>
        <v>33.72</v>
      </c>
      <c r="I35" s="29">
        <f t="shared" si="1"/>
        <v>0</v>
      </c>
      <c r="J35" s="29">
        <f t="shared" si="1"/>
        <v>2.5499999999999998</v>
      </c>
      <c r="K35" s="29">
        <f t="shared" si="1"/>
        <v>359.99</v>
      </c>
      <c r="L35" s="29">
        <f t="shared" si="1"/>
        <v>30.19</v>
      </c>
      <c r="M35" s="29">
        <f t="shared" si="1"/>
        <v>55.8</v>
      </c>
      <c r="N35" s="29">
        <f t="shared" si="1"/>
        <v>929.8</v>
      </c>
      <c r="O35" s="29">
        <f t="shared" si="1"/>
        <v>0</v>
      </c>
      <c r="P35" s="29">
        <f t="shared" si="1"/>
        <v>1.43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18.53166666666667</v>
      </c>
      <c r="C36" s="28">
        <f t="shared" si="2"/>
        <v>61.582916666666669</v>
      </c>
      <c r="D36" s="28">
        <f t="shared" si="2"/>
        <v>45.246250000000003</v>
      </c>
      <c r="E36" s="28">
        <f t="shared" si="2"/>
        <v>6.5662500000000001</v>
      </c>
      <c r="F36" s="28">
        <f t="shared" si="2"/>
        <v>3.1820833333333325</v>
      </c>
      <c r="G36" s="28">
        <f t="shared" si="2"/>
        <v>80.024583333333339</v>
      </c>
      <c r="H36" s="28">
        <f t="shared" si="2"/>
        <v>24.339583333333334</v>
      </c>
      <c r="I36" s="28" t="e">
        <f t="shared" si="2"/>
        <v>#DIV/0!</v>
      </c>
      <c r="J36" s="28">
        <f t="shared" si="2"/>
        <v>1.5916666666666668</v>
      </c>
      <c r="K36" s="28">
        <f t="shared" si="2"/>
        <v>337.05708333333325</v>
      </c>
      <c r="L36" s="28">
        <f t="shared" si="2"/>
        <v>21.90291666666667</v>
      </c>
      <c r="M36" s="28">
        <f t="shared" si="2"/>
        <v>37.882083333333334</v>
      </c>
      <c r="N36" s="28">
        <f t="shared" si="2"/>
        <v>317.47499999999997</v>
      </c>
      <c r="O36" s="28">
        <f t="shared" si="2"/>
        <v>0</v>
      </c>
      <c r="P36" s="28">
        <f t="shared" si="2"/>
        <v>0.73166666666666658</v>
      </c>
      <c r="Q36" s="28">
        <f t="shared" si="2"/>
        <v>9.5087499999999991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12.823387148917183</v>
      </c>
      <c r="C37" s="28">
        <f t="shared" ref="C37:Q37" si="3">STDEV(C9:C32)</f>
        <v>10.520814350678776</v>
      </c>
      <c r="D37" s="28">
        <f t="shared" si="3"/>
        <v>11.875843516951944</v>
      </c>
      <c r="E37" s="28">
        <f t="shared" si="3"/>
        <v>1.2590742372007373</v>
      </c>
      <c r="F37" s="28">
        <f t="shared" si="3"/>
        <v>1.7807008370342559</v>
      </c>
      <c r="G37" s="28">
        <f t="shared" si="3"/>
        <v>31.745510463708857</v>
      </c>
      <c r="H37" s="28">
        <f t="shared" si="3"/>
        <v>6.6499254517996427</v>
      </c>
      <c r="I37" s="28" t="e">
        <f t="shared" si="3"/>
        <v>#DIV/0!</v>
      </c>
      <c r="J37" s="28">
        <f t="shared" si="3"/>
        <v>0.58201050839658997</v>
      </c>
      <c r="K37" s="28">
        <f t="shared" si="3"/>
        <v>28.241784873876487</v>
      </c>
      <c r="L37" s="28">
        <f t="shared" si="3"/>
        <v>5.2792847664174563</v>
      </c>
      <c r="M37" s="28">
        <f t="shared" si="3"/>
        <v>11.873535050752556</v>
      </c>
      <c r="N37" s="28">
        <f t="shared" si="3"/>
        <v>328.47377666492929</v>
      </c>
      <c r="O37" s="28">
        <f t="shared" si="3"/>
        <v>0</v>
      </c>
      <c r="P37" s="28">
        <f t="shared" si="3"/>
        <v>0.24524462794571453</v>
      </c>
      <c r="Q37" s="28">
        <f t="shared" si="3"/>
        <v>0.12739232452477692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372</v>
      </c>
      <c r="B9" s="52">
        <v>15.53</v>
      </c>
      <c r="C9" s="52">
        <v>56.06</v>
      </c>
      <c r="D9" s="52">
        <v>40.36</v>
      </c>
      <c r="E9" s="52">
        <v>7.61</v>
      </c>
      <c r="F9" s="52">
        <v>2.13</v>
      </c>
      <c r="G9" s="52">
        <v>76.38</v>
      </c>
      <c r="H9" s="52">
        <v>17.47</v>
      </c>
      <c r="I9" s="53" t="s">
        <v>15</v>
      </c>
      <c r="J9" s="52">
        <v>2.38</v>
      </c>
      <c r="K9" s="52">
        <v>358.09</v>
      </c>
      <c r="L9" s="52">
        <v>16.739999999999998</v>
      </c>
      <c r="M9" s="52">
        <v>35.299999999999997</v>
      </c>
      <c r="N9" s="52">
        <v>85.6</v>
      </c>
      <c r="O9" s="52">
        <v>0</v>
      </c>
      <c r="P9" s="52">
        <v>0.6</v>
      </c>
      <c r="Q9" s="52">
        <v>9.69</v>
      </c>
      <c r="R9" s="43"/>
      <c r="S9" s="43"/>
      <c r="T9" s="43"/>
      <c r="U9" s="43"/>
    </row>
    <row r="10" spans="1:21" s="11" customFormat="1" x14ac:dyDescent="0.25">
      <c r="A10" s="51" t="s">
        <v>373</v>
      </c>
      <c r="B10" s="52">
        <v>10.74</v>
      </c>
      <c r="C10" s="52">
        <v>54.55</v>
      </c>
      <c r="D10" s="52">
        <v>35.729999999999997</v>
      </c>
      <c r="E10" s="52">
        <v>6.86</v>
      </c>
      <c r="F10" s="52">
        <v>2.13</v>
      </c>
      <c r="G10" s="52">
        <v>55.84</v>
      </c>
      <c r="H10" s="52">
        <v>18.63</v>
      </c>
      <c r="I10" s="53" t="s">
        <v>15</v>
      </c>
      <c r="J10" s="52">
        <v>2.4700000000000002</v>
      </c>
      <c r="K10" s="52">
        <v>359.51</v>
      </c>
      <c r="L10" s="52">
        <v>16.47</v>
      </c>
      <c r="M10" s="52">
        <v>34.520000000000003</v>
      </c>
      <c r="N10" s="52">
        <v>85.4</v>
      </c>
      <c r="O10" s="52">
        <v>0</v>
      </c>
      <c r="P10" s="52">
        <v>0.53</v>
      </c>
      <c r="Q10" s="52">
        <v>9.6999999999999993</v>
      </c>
      <c r="R10" s="43"/>
      <c r="S10" s="43"/>
      <c r="T10" s="43"/>
      <c r="U10" s="43"/>
    </row>
    <row r="11" spans="1:21" s="11" customFormat="1" x14ac:dyDescent="0.25">
      <c r="A11" s="51" t="s">
        <v>374</v>
      </c>
      <c r="B11" s="52">
        <v>6.49</v>
      </c>
      <c r="C11" s="52">
        <v>49.38</v>
      </c>
      <c r="D11" s="52">
        <v>29.62</v>
      </c>
      <c r="E11" s="52">
        <v>6.57</v>
      </c>
      <c r="F11" s="52">
        <v>2.13</v>
      </c>
      <c r="G11" s="52">
        <v>41.4</v>
      </c>
      <c r="H11" s="52">
        <v>16.510000000000002</v>
      </c>
      <c r="I11" s="53" t="s">
        <v>15</v>
      </c>
      <c r="J11" s="52">
        <v>2.29</v>
      </c>
      <c r="K11" s="52">
        <v>359.96</v>
      </c>
      <c r="L11" s="52">
        <v>15.72</v>
      </c>
      <c r="M11" s="52">
        <v>36.369999999999997</v>
      </c>
      <c r="N11" s="52">
        <v>85.4</v>
      </c>
      <c r="O11" s="52">
        <v>0</v>
      </c>
      <c r="P11" s="52">
        <v>0.48</v>
      </c>
      <c r="Q11" s="52">
        <v>9.56</v>
      </c>
      <c r="R11" s="43"/>
      <c r="S11" s="43"/>
      <c r="T11" s="43"/>
      <c r="U11" s="43"/>
    </row>
    <row r="12" spans="1:21" s="11" customFormat="1" x14ac:dyDescent="0.25">
      <c r="A12" s="51" t="s">
        <v>375</v>
      </c>
      <c r="B12" s="52">
        <v>6.44</v>
      </c>
      <c r="C12" s="52">
        <v>45.97</v>
      </c>
      <c r="D12" s="52">
        <v>27.81</v>
      </c>
      <c r="E12" s="52">
        <v>6.35</v>
      </c>
      <c r="F12" s="52">
        <v>2.13</v>
      </c>
      <c r="G12" s="52">
        <v>37.6</v>
      </c>
      <c r="H12" s="52">
        <v>13.55</v>
      </c>
      <c r="I12" s="53" t="s">
        <v>15</v>
      </c>
      <c r="J12" s="52">
        <v>1.81</v>
      </c>
      <c r="K12" s="52">
        <v>356.28</v>
      </c>
      <c r="L12" s="52">
        <v>14.97</v>
      </c>
      <c r="M12" s="52">
        <v>40.409999999999997</v>
      </c>
      <c r="N12" s="52">
        <v>85.4</v>
      </c>
      <c r="O12" s="52">
        <v>0</v>
      </c>
      <c r="P12" s="52">
        <v>0.43</v>
      </c>
      <c r="Q12" s="52">
        <v>9.67</v>
      </c>
      <c r="R12" s="43"/>
      <c r="S12" s="43"/>
      <c r="T12" s="43"/>
      <c r="U12" s="43"/>
    </row>
    <row r="13" spans="1:21" s="11" customFormat="1" x14ac:dyDescent="0.25">
      <c r="A13" s="51" t="s">
        <v>376</v>
      </c>
      <c r="B13" s="52">
        <v>10.57</v>
      </c>
      <c r="C13" s="52">
        <v>49.67</v>
      </c>
      <c r="D13" s="52">
        <v>33.049999999999997</v>
      </c>
      <c r="E13" s="52">
        <v>7.17</v>
      </c>
      <c r="F13" s="52">
        <v>2.13</v>
      </c>
      <c r="G13" s="52">
        <v>50.31</v>
      </c>
      <c r="H13" s="52">
        <v>11.84</v>
      </c>
      <c r="I13" s="53" t="s">
        <v>15</v>
      </c>
      <c r="J13" s="52">
        <v>1.22</v>
      </c>
      <c r="K13" s="52">
        <v>359.49</v>
      </c>
      <c r="L13" s="52">
        <v>13.96</v>
      </c>
      <c r="M13" s="52">
        <v>46.31</v>
      </c>
      <c r="N13" s="52">
        <v>85.8</v>
      </c>
      <c r="O13" s="52">
        <v>0</v>
      </c>
      <c r="P13" s="52">
        <v>0.47</v>
      </c>
      <c r="Q13" s="52">
        <v>9.92</v>
      </c>
      <c r="R13" s="43"/>
      <c r="S13" s="43"/>
      <c r="T13" s="43"/>
      <c r="U13" s="43"/>
    </row>
    <row r="14" spans="1:21" s="11" customFormat="1" x14ac:dyDescent="0.25">
      <c r="A14" s="51" t="s">
        <v>377</v>
      </c>
      <c r="B14" s="52">
        <v>14.55</v>
      </c>
      <c r="C14" s="52">
        <v>49.99</v>
      </c>
      <c r="D14" s="52">
        <v>36.270000000000003</v>
      </c>
      <c r="E14" s="52">
        <v>6.94</v>
      </c>
      <c r="F14" s="52">
        <v>2.13</v>
      </c>
      <c r="G14" s="52">
        <v>77.349999999999994</v>
      </c>
      <c r="H14" s="52">
        <v>17.47</v>
      </c>
      <c r="I14" s="53" t="s">
        <v>15</v>
      </c>
      <c r="J14" s="52">
        <v>0.93</v>
      </c>
      <c r="K14" s="52">
        <v>231.49</v>
      </c>
      <c r="L14" s="52">
        <v>12.91</v>
      </c>
      <c r="M14" s="52">
        <v>59.52</v>
      </c>
      <c r="N14" s="52">
        <v>85.6</v>
      </c>
      <c r="O14" s="52">
        <v>0</v>
      </c>
      <c r="P14" s="52">
        <v>0.48</v>
      </c>
      <c r="Q14" s="52">
        <v>9.98</v>
      </c>
      <c r="R14" s="43"/>
      <c r="S14" s="43"/>
      <c r="T14" s="43"/>
      <c r="U14" s="43"/>
    </row>
    <row r="15" spans="1:21" s="11" customFormat="1" x14ac:dyDescent="0.25">
      <c r="A15" s="51" t="s">
        <v>378</v>
      </c>
      <c r="B15" s="52">
        <v>22.09</v>
      </c>
      <c r="C15" s="52">
        <v>48.89</v>
      </c>
      <c r="D15" s="52">
        <v>41.81</v>
      </c>
      <c r="E15" s="52">
        <v>6.85</v>
      </c>
      <c r="F15" s="52">
        <v>2.13</v>
      </c>
      <c r="G15" s="52">
        <v>93.19</v>
      </c>
      <c r="H15" s="52">
        <v>25.26</v>
      </c>
      <c r="I15" s="53" t="s">
        <v>15</v>
      </c>
      <c r="J15" s="52">
        <v>0.79</v>
      </c>
      <c r="K15" s="52">
        <v>295.52999999999997</v>
      </c>
      <c r="L15" s="52">
        <v>11.08</v>
      </c>
      <c r="M15" s="52">
        <v>63.38</v>
      </c>
      <c r="N15" s="52">
        <v>106.5</v>
      </c>
      <c r="O15" s="52">
        <v>0</v>
      </c>
      <c r="P15" s="52">
        <v>0.51</v>
      </c>
      <c r="Q15" s="52">
        <v>10.08</v>
      </c>
      <c r="R15" s="43"/>
      <c r="S15" s="43"/>
      <c r="T15" s="43"/>
      <c r="U15" s="43"/>
    </row>
    <row r="16" spans="1:21" s="11" customFormat="1" x14ac:dyDescent="0.25">
      <c r="A16" s="51" t="s">
        <v>379</v>
      </c>
      <c r="B16" s="52">
        <v>24.25</v>
      </c>
      <c r="C16" s="52">
        <v>48.67</v>
      </c>
      <c r="D16" s="52">
        <v>43.41</v>
      </c>
      <c r="E16" s="52">
        <v>6.78</v>
      </c>
      <c r="F16" s="52">
        <v>2.13</v>
      </c>
      <c r="G16" s="52">
        <v>87.18</v>
      </c>
      <c r="H16" s="52">
        <v>26.83</v>
      </c>
      <c r="I16" s="53" t="s">
        <v>15</v>
      </c>
      <c r="J16" s="52">
        <v>1.1200000000000001</v>
      </c>
      <c r="K16" s="52">
        <v>219.43</v>
      </c>
      <c r="L16" s="52">
        <v>15.05</v>
      </c>
      <c r="M16" s="52">
        <v>61.45</v>
      </c>
      <c r="N16" s="52">
        <v>367.6</v>
      </c>
      <c r="O16" s="52">
        <v>0</v>
      </c>
      <c r="P16" s="52">
        <v>0.53</v>
      </c>
      <c r="Q16" s="52">
        <v>10.199999999999999</v>
      </c>
      <c r="R16" s="43"/>
      <c r="S16" s="43"/>
      <c r="T16" s="43"/>
      <c r="U16" s="43"/>
    </row>
    <row r="17" spans="1:21" s="11" customFormat="1" x14ac:dyDescent="0.25">
      <c r="A17" s="51" t="s">
        <v>380</v>
      </c>
      <c r="B17" s="52">
        <v>21.56</v>
      </c>
      <c r="C17" s="52">
        <v>48.6</v>
      </c>
      <c r="D17" s="52">
        <v>40.880000000000003</v>
      </c>
      <c r="E17" s="52">
        <v>5.57</v>
      </c>
      <c r="F17" s="52">
        <v>2.13</v>
      </c>
      <c r="G17" s="52">
        <v>73.819999999999993</v>
      </c>
      <c r="H17" s="52">
        <v>25.54</v>
      </c>
      <c r="I17" s="53" t="s">
        <v>15</v>
      </c>
      <c r="J17" s="52">
        <v>1.1200000000000001</v>
      </c>
      <c r="K17" s="52">
        <v>252.07</v>
      </c>
      <c r="L17" s="52">
        <v>20.65</v>
      </c>
      <c r="M17" s="52">
        <v>44.49</v>
      </c>
      <c r="N17" s="52">
        <v>621.20000000000005</v>
      </c>
      <c r="O17" s="52">
        <v>0</v>
      </c>
      <c r="P17" s="52">
        <v>0.52</v>
      </c>
      <c r="Q17" s="52">
        <v>10.199999999999999</v>
      </c>
      <c r="R17" s="43"/>
      <c r="S17" s="43"/>
      <c r="T17" s="43"/>
      <c r="U17" s="43"/>
    </row>
    <row r="18" spans="1:21" s="11" customFormat="1" x14ac:dyDescent="0.25">
      <c r="A18" s="51" t="s">
        <v>381</v>
      </c>
      <c r="B18" s="52">
        <v>19</v>
      </c>
      <c r="C18" s="52">
        <v>51.67</v>
      </c>
      <c r="D18" s="52">
        <v>40.14</v>
      </c>
      <c r="E18" s="52">
        <v>5.76</v>
      </c>
      <c r="F18" s="52">
        <v>2.13</v>
      </c>
      <c r="G18" s="52">
        <v>80.53</v>
      </c>
      <c r="H18" s="52">
        <v>24.71</v>
      </c>
      <c r="I18" s="53" t="s">
        <v>15</v>
      </c>
      <c r="J18" s="52">
        <v>1.03</v>
      </c>
      <c r="K18" s="52">
        <v>129.03</v>
      </c>
      <c r="L18" s="52">
        <v>23.42</v>
      </c>
      <c r="M18" s="52">
        <v>30.58</v>
      </c>
      <c r="N18" s="52">
        <v>842.2</v>
      </c>
      <c r="O18" s="52">
        <v>0</v>
      </c>
      <c r="P18" s="52">
        <v>0.53</v>
      </c>
      <c r="Q18" s="52">
        <v>10.119999999999999</v>
      </c>
      <c r="R18" s="43"/>
      <c r="S18" s="43"/>
      <c r="T18" s="43"/>
      <c r="U18" s="43"/>
    </row>
    <row r="19" spans="1:21" s="11" customFormat="1" x14ac:dyDescent="0.25">
      <c r="A19" s="51" t="s">
        <v>382</v>
      </c>
      <c r="B19" s="52">
        <v>16.52</v>
      </c>
      <c r="C19" s="52">
        <v>53.44</v>
      </c>
      <c r="D19" s="52">
        <v>39.090000000000003</v>
      </c>
      <c r="E19" s="52">
        <v>5.42</v>
      </c>
      <c r="F19" s="52">
        <v>2.13</v>
      </c>
      <c r="G19" s="52">
        <v>91.74</v>
      </c>
      <c r="H19" s="52">
        <v>24.14</v>
      </c>
      <c r="I19" s="53" t="s">
        <v>15</v>
      </c>
      <c r="J19" s="52">
        <v>1.28</v>
      </c>
      <c r="K19" s="52">
        <v>119.6</v>
      </c>
      <c r="L19" s="52">
        <v>23.41</v>
      </c>
      <c r="M19" s="52">
        <v>22.33</v>
      </c>
      <c r="N19" s="52">
        <v>1010.3</v>
      </c>
      <c r="O19" s="52">
        <v>0</v>
      </c>
      <c r="P19" s="52">
        <v>0.53</v>
      </c>
      <c r="Q19" s="52">
        <v>10.17</v>
      </c>
      <c r="R19" s="43"/>
      <c r="S19" s="43"/>
      <c r="T19" s="43"/>
      <c r="U19" s="43"/>
    </row>
    <row r="20" spans="1:21" s="11" customFormat="1" x14ac:dyDescent="0.25">
      <c r="A20" s="51" t="s">
        <v>383</v>
      </c>
      <c r="B20" s="52">
        <v>10.39</v>
      </c>
      <c r="C20" s="52">
        <v>54.83</v>
      </c>
      <c r="D20" s="52">
        <v>34.86</v>
      </c>
      <c r="E20" s="52">
        <v>5.43</v>
      </c>
      <c r="F20" s="52">
        <v>2.13</v>
      </c>
      <c r="G20" s="52">
        <v>68.75</v>
      </c>
      <c r="H20" s="52">
        <v>22.42</v>
      </c>
      <c r="I20" s="53" t="s">
        <v>15</v>
      </c>
      <c r="J20" s="52">
        <v>0.87</v>
      </c>
      <c r="K20" s="52">
        <v>310.58999999999997</v>
      </c>
      <c r="L20" s="52">
        <v>26.44</v>
      </c>
      <c r="M20" s="52">
        <v>15.95</v>
      </c>
      <c r="N20" s="52">
        <v>1016.4</v>
      </c>
      <c r="O20" s="52">
        <v>0</v>
      </c>
      <c r="P20" s="52">
        <v>0.5</v>
      </c>
      <c r="Q20" s="52">
        <v>10.16</v>
      </c>
      <c r="R20" s="43"/>
      <c r="S20" s="43"/>
      <c r="T20" s="43"/>
      <c r="U20" s="43"/>
    </row>
    <row r="21" spans="1:21" s="11" customFormat="1" x14ac:dyDescent="0.25">
      <c r="A21" s="51" t="s">
        <v>384</v>
      </c>
      <c r="B21" s="52">
        <v>9.02</v>
      </c>
      <c r="C21" s="52">
        <v>57.88</v>
      </c>
      <c r="D21" s="52">
        <v>35.97</v>
      </c>
      <c r="E21" s="52">
        <v>5.64</v>
      </c>
      <c r="F21" s="52">
        <v>2.15</v>
      </c>
      <c r="G21" s="52">
        <v>71.010000000000005</v>
      </c>
      <c r="H21" s="52">
        <v>16.02</v>
      </c>
      <c r="I21" s="53" t="s">
        <v>15</v>
      </c>
      <c r="J21" s="52">
        <v>1.42</v>
      </c>
      <c r="K21" s="52">
        <v>357.02</v>
      </c>
      <c r="L21" s="52">
        <v>29.37</v>
      </c>
      <c r="M21" s="52">
        <v>12.29</v>
      </c>
      <c r="N21" s="52">
        <v>917.9</v>
      </c>
      <c r="O21" s="52">
        <v>0</v>
      </c>
      <c r="P21" s="52">
        <v>0.52</v>
      </c>
      <c r="Q21" s="52">
        <v>10.16</v>
      </c>
      <c r="R21" s="43"/>
      <c r="S21" s="43"/>
      <c r="T21" s="43"/>
      <c r="U21" s="43"/>
    </row>
    <row r="22" spans="1:21" s="11" customFormat="1" x14ac:dyDescent="0.25">
      <c r="A22" s="51" t="s">
        <v>385</v>
      </c>
      <c r="B22" s="52">
        <v>9.27</v>
      </c>
      <c r="C22" s="52">
        <v>59.24</v>
      </c>
      <c r="D22" s="52">
        <v>36.83</v>
      </c>
      <c r="E22" s="52">
        <v>5.73</v>
      </c>
      <c r="F22" s="52">
        <v>2.13</v>
      </c>
      <c r="G22" s="52">
        <v>62.31</v>
      </c>
      <c r="H22" s="52">
        <v>18.09</v>
      </c>
      <c r="I22" s="53" t="s">
        <v>15</v>
      </c>
      <c r="J22" s="52">
        <v>1.05</v>
      </c>
      <c r="K22" s="52">
        <v>355.49</v>
      </c>
      <c r="L22" s="52">
        <v>28.51</v>
      </c>
      <c r="M22" s="52">
        <v>13.95</v>
      </c>
      <c r="N22" s="52">
        <v>796.9</v>
      </c>
      <c r="O22" s="52">
        <v>0</v>
      </c>
      <c r="P22" s="52">
        <v>0.54</v>
      </c>
      <c r="Q22" s="52">
        <v>10.06</v>
      </c>
      <c r="R22" s="43"/>
      <c r="S22" s="43"/>
      <c r="T22" s="43"/>
      <c r="U22" s="43"/>
    </row>
    <row r="23" spans="1:21" s="11" customFormat="1" x14ac:dyDescent="0.25">
      <c r="A23" s="51" t="s">
        <v>386</v>
      </c>
      <c r="B23" s="52">
        <v>8.6199999999999992</v>
      </c>
      <c r="C23" s="52">
        <v>59.35</v>
      </c>
      <c r="D23" s="52">
        <v>36.549999999999997</v>
      </c>
      <c r="E23" s="52">
        <v>5.93</v>
      </c>
      <c r="F23" s="52">
        <v>2.13</v>
      </c>
      <c r="G23" s="52">
        <v>72</v>
      </c>
      <c r="H23" s="52">
        <v>19.829999999999998</v>
      </c>
      <c r="I23" s="53" t="s">
        <v>15</v>
      </c>
      <c r="J23" s="52">
        <v>2.0499999999999998</v>
      </c>
      <c r="K23" s="52">
        <v>343.4</v>
      </c>
      <c r="L23" s="52">
        <v>28.93</v>
      </c>
      <c r="M23" s="52">
        <v>11.39</v>
      </c>
      <c r="N23" s="52">
        <v>719.9</v>
      </c>
      <c r="O23" s="52">
        <v>0</v>
      </c>
      <c r="P23" s="52">
        <v>0.55000000000000004</v>
      </c>
      <c r="Q23" s="52">
        <v>10.029999999999999</v>
      </c>
      <c r="R23" s="43"/>
      <c r="S23" s="43"/>
      <c r="T23" s="43"/>
      <c r="U23" s="43"/>
    </row>
    <row r="24" spans="1:21" s="11" customFormat="1" x14ac:dyDescent="0.25">
      <c r="A24" s="51" t="s">
        <v>387</v>
      </c>
      <c r="B24" s="52">
        <v>8.14</v>
      </c>
      <c r="C24" s="52">
        <v>57.81</v>
      </c>
      <c r="D24" s="52">
        <v>35.26</v>
      </c>
      <c r="E24" s="52">
        <v>5.62</v>
      </c>
      <c r="F24" s="52">
        <v>2.13</v>
      </c>
      <c r="G24" s="52">
        <v>53.54</v>
      </c>
      <c r="H24" s="52">
        <v>19.739999999999998</v>
      </c>
      <c r="I24" s="53" t="s">
        <v>15</v>
      </c>
      <c r="J24" s="52">
        <v>1.81</v>
      </c>
      <c r="K24" s="52">
        <v>349.41</v>
      </c>
      <c r="L24" s="52">
        <v>28.23</v>
      </c>
      <c r="M24" s="52">
        <v>13.58</v>
      </c>
      <c r="N24" s="52">
        <v>439.5</v>
      </c>
      <c r="O24" s="52">
        <v>0</v>
      </c>
      <c r="P24" s="52">
        <v>0.53</v>
      </c>
      <c r="Q24" s="52">
        <v>10.07</v>
      </c>
      <c r="R24" s="43"/>
      <c r="S24" s="43"/>
      <c r="T24" s="43"/>
      <c r="U24" s="43"/>
    </row>
    <row r="25" spans="1:21" s="11" customFormat="1" x14ac:dyDescent="0.25">
      <c r="A25" s="51" t="s">
        <v>388</v>
      </c>
      <c r="B25" s="52">
        <v>8.33</v>
      </c>
      <c r="C25" s="52">
        <v>55.48</v>
      </c>
      <c r="D25" s="52">
        <v>34.17</v>
      </c>
      <c r="E25" s="52">
        <v>5.17</v>
      </c>
      <c r="F25" s="52">
        <v>2.13</v>
      </c>
      <c r="G25" s="52">
        <v>52.2</v>
      </c>
      <c r="H25" s="52">
        <v>16.43</v>
      </c>
      <c r="I25" s="53" t="s">
        <v>15</v>
      </c>
      <c r="J25" s="52">
        <v>2.12</v>
      </c>
      <c r="K25" s="52">
        <v>354.11</v>
      </c>
      <c r="L25" s="52">
        <v>25.21</v>
      </c>
      <c r="M25" s="52">
        <v>21.4</v>
      </c>
      <c r="N25" s="52">
        <v>162.5</v>
      </c>
      <c r="O25" s="52">
        <v>0</v>
      </c>
      <c r="P25" s="52">
        <v>0.52</v>
      </c>
      <c r="Q25" s="52">
        <v>10.1</v>
      </c>
      <c r="R25" s="43"/>
      <c r="S25" s="43"/>
      <c r="T25" s="43"/>
      <c r="U25" s="43"/>
    </row>
    <row r="26" spans="1:21" s="11" customFormat="1" x14ac:dyDescent="0.25">
      <c r="A26" s="51" t="s">
        <v>389</v>
      </c>
      <c r="B26" s="52">
        <v>11.4</v>
      </c>
      <c r="C26" s="52">
        <v>55.51</v>
      </c>
      <c r="D26" s="52">
        <v>36.76</v>
      </c>
      <c r="E26" s="52">
        <v>5</v>
      </c>
      <c r="F26" s="52">
        <v>2.13</v>
      </c>
      <c r="G26" s="52">
        <v>41.74</v>
      </c>
      <c r="H26" s="52">
        <v>12.57</v>
      </c>
      <c r="I26" s="53" t="s">
        <v>15</v>
      </c>
      <c r="J26" s="52">
        <v>0.57999999999999996</v>
      </c>
      <c r="K26" s="52">
        <v>341.84</v>
      </c>
      <c r="L26" s="52">
        <v>23.12</v>
      </c>
      <c r="M26" s="52">
        <v>31.82</v>
      </c>
      <c r="N26" s="52">
        <v>110</v>
      </c>
      <c r="O26" s="52">
        <v>0</v>
      </c>
      <c r="P26" s="52">
        <v>0.59</v>
      </c>
      <c r="Q26" s="52">
        <v>10.08</v>
      </c>
      <c r="R26" s="43"/>
      <c r="S26" s="43"/>
      <c r="T26" s="43"/>
      <c r="U26" s="43"/>
    </row>
    <row r="27" spans="1:21" s="11" customFormat="1" x14ac:dyDescent="0.25">
      <c r="A27" s="51" t="s">
        <v>390</v>
      </c>
      <c r="B27" s="52">
        <v>23.62</v>
      </c>
      <c r="C27" s="52">
        <v>59.02</v>
      </c>
      <c r="D27" s="52">
        <v>48.4</v>
      </c>
      <c r="E27" s="52">
        <v>5.89</v>
      </c>
      <c r="F27" s="52">
        <v>2.13</v>
      </c>
      <c r="G27" s="52">
        <v>46.39</v>
      </c>
      <c r="H27" s="52">
        <v>15.06</v>
      </c>
      <c r="I27" s="53" t="s">
        <v>15</v>
      </c>
      <c r="J27" s="52">
        <v>0.54</v>
      </c>
      <c r="K27" s="52">
        <v>308.87</v>
      </c>
      <c r="L27" s="52">
        <v>20.68</v>
      </c>
      <c r="M27" s="52">
        <v>36.380000000000003</v>
      </c>
      <c r="N27" s="52">
        <v>79.099999999999994</v>
      </c>
      <c r="O27" s="52">
        <v>0</v>
      </c>
      <c r="P27" s="52">
        <v>1.19</v>
      </c>
      <c r="Q27" s="52">
        <v>9.99</v>
      </c>
      <c r="R27" s="43"/>
      <c r="S27" s="43"/>
      <c r="T27" s="43"/>
      <c r="U27" s="43"/>
    </row>
    <row r="28" spans="1:21" s="11" customFormat="1" x14ac:dyDescent="0.25">
      <c r="A28" s="51" t="s">
        <v>391</v>
      </c>
      <c r="B28" s="52">
        <v>53.53</v>
      </c>
      <c r="C28" s="52">
        <v>65.180000000000007</v>
      </c>
      <c r="D28" s="52">
        <v>75.36</v>
      </c>
      <c r="E28" s="52">
        <v>7.06</v>
      </c>
      <c r="F28" s="52">
        <v>2.13</v>
      </c>
      <c r="G28" s="52">
        <v>85.25</v>
      </c>
      <c r="H28" s="52">
        <v>18.43</v>
      </c>
      <c r="I28" s="53" t="s">
        <v>15</v>
      </c>
      <c r="J28" s="52">
        <v>0.87</v>
      </c>
      <c r="K28" s="52">
        <v>186.7</v>
      </c>
      <c r="L28" s="52">
        <v>19.57</v>
      </c>
      <c r="M28" s="52">
        <v>34.450000000000003</v>
      </c>
      <c r="N28" s="52">
        <v>77.8</v>
      </c>
      <c r="O28" s="52">
        <v>0</v>
      </c>
      <c r="P28" s="52">
        <v>0.82</v>
      </c>
      <c r="Q28" s="52">
        <v>10.210000000000001</v>
      </c>
      <c r="R28" s="43"/>
      <c r="S28" s="43"/>
      <c r="T28" s="43"/>
      <c r="U28" s="43"/>
    </row>
    <row r="29" spans="1:21" s="11" customFormat="1" x14ac:dyDescent="0.25">
      <c r="A29" s="51" t="s">
        <v>392</v>
      </c>
      <c r="B29" s="52">
        <v>50.75</v>
      </c>
      <c r="C29" s="52">
        <v>65.099999999999994</v>
      </c>
      <c r="D29" s="52">
        <v>73.33</v>
      </c>
      <c r="E29" s="52">
        <v>7.18</v>
      </c>
      <c r="F29" s="52">
        <v>2.13</v>
      </c>
      <c r="G29" s="52">
        <v>100.28</v>
      </c>
      <c r="H29" s="52">
        <v>23.38</v>
      </c>
      <c r="I29" s="53" t="s">
        <v>15</v>
      </c>
      <c r="J29" s="52">
        <v>1.04</v>
      </c>
      <c r="K29" s="52">
        <v>271.83999999999997</v>
      </c>
      <c r="L29" s="52">
        <v>19.39</v>
      </c>
      <c r="M29" s="52">
        <v>30.13</v>
      </c>
      <c r="N29" s="52">
        <v>78.2</v>
      </c>
      <c r="O29" s="52">
        <v>0</v>
      </c>
      <c r="P29" s="52">
        <v>0.86</v>
      </c>
      <c r="Q29" s="52">
        <v>10.29</v>
      </c>
      <c r="R29" s="43"/>
      <c r="S29" s="43"/>
      <c r="T29" s="43"/>
      <c r="U29" s="43"/>
    </row>
    <row r="30" spans="1:21" s="11" customFormat="1" x14ac:dyDescent="0.25">
      <c r="A30" s="51" t="s">
        <v>393</v>
      </c>
      <c r="B30" s="52">
        <v>46.62</v>
      </c>
      <c r="C30" s="52">
        <v>65.61</v>
      </c>
      <c r="D30" s="52">
        <v>70.03</v>
      </c>
      <c r="E30" s="52">
        <v>8.4700000000000006</v>
      </c>
      <c r="F30" s="52">
        <v>2.21</v>
      </c>
      <c r="G30" s="52">
        <v>138.80000000000001</v>
      </c>
      <c r="H30" s="52">
        <v>37.47</v>
      </c>
      <c r="I30" s="53" t="s">
        <v>15</v>
      </c>
      <c r="J30" s="52">
        <v>0.73</v>
      </c>
      <c r="K30" s="52">
        <v>305.41000000000003</v>
      </c>
      <c r="L30" s="52">
        <v>17.649999999999999</v>
      </c>
      <c r="M30" s="52">
        <v>38</v>
      </c>
      <c r="N30" s="52">
        <v>78.3</v>
      </c>
      <c r="O30" s="52">
        <v>0</v>
      </c>
      <c r="P30" s="52">
        <v>1.2</v>
      </c>
      <c r="Q30" s="52">
        <v>10.199999999999999</v>
      </c>
      <c r="R30" s="43"/>
      <c r="S30" s="43"/>
      <c r="T30" s="43"/>
      <c r="U30" s="43"/>
    </row>
    <row r="31" spans="1:21" s="11" customFormat="1" x14ac:dyDescent="0.25">
      <c r="A31" s="51" t="s">
        <v>394</v>
      </c>
      <c r="B31" s="52">
        <v>48.85</v>
      </c>
      <c r="C31" s="52">
        <v>64.37</v>
      </c>
      <c r="D31" s="52">
        <v>70.83</v>
      </c>
      <c r="E31" s="52">
        <v>8.49</v>
      </c>
      <c r="F31" s="52">
        <v>2.13</v>
      </c>
      <c r="G31" s="52">
        <v>222.77</v>
      </c>
      <c r="H31" s="52">
        <v>53.58</v>
      </c>
      <c r="I31" s="53" t="s">
        <v>15</v>
      </c>
      <c r="J31" s="52">
        <v>0.77</v>
      </c>
      <c r="K31" s="52">
        <v>343.33</v>
      </c>
      <c r="L31" s="52">
        <v>16.16</v>
      </c>
      <c r="M31" s="52">
        <v>44.63</v>
      </c>
      <c r="N31" s="52">
        <v>77.8</v>
      </c>
      <c r="O31" s="52">
        <v>0</v>
      </c>
      <c r="P31" s="52">
        <v>1.1100000000000001</v>
      </c>
      <c r="Q31" s="52">
        <v>10.1</v>
      </c>
      <c r="R31" s="43"/>
      <c r="S31" s="43"/>
      <c r="T31" s="43"/>
      <c r="U31" s="43"/>
    </row>
    <row r="32" spans="1:21" s="11" customFormat="1" x14ac:dyDescent="0.25">
      <c r="A32" s="51" t="s">
        <v>395</v>
      </c>
      <c r="B32" s="52">
        <v>59.45</v>
      </c>
      <c r="C32" s="52">
        <v>62.64</v>
      </c>
      <c r="D32" s="52">
        <v>78.95</v>
      </c>
      <c r="E32" s="52">
        <v>7.82</v>
      </c>
      <c r="F32" s="52">
        <v>2.13</v>
      </c>
      <c r="G32" s="52">
        <v>88.15</v>
      </c>
      <c r="H32" s="52">
        <v>40.89</v>
      </c>
      <c r="I32" s="53" t="s">
        <v>15</v>
      </c>
      <c r="J32" s="52">
        <v>0.66</v>
      </c>
      <c r="K32" s="52">
        <v>323.04000000000002</v>
      </c>
      <c r="L32" s="52">
        <v>14.67</v>
      </c>
      <c r="M32" s="52">
        <v>54.29</v>
      </c>
      <c r="N32" s="52">
        <v>78</v>
      </c>
      <c r="O32" s="52">
        <v>0</v>
      </c>
      <c r="P32" s="52">
        <v>1.08</v>
      </c>
      <c r="Q32" s="52">
        <v>10.15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6.44</v>
      </c>
      <c r="C34" s="28">
        <f t="shared" si="0"/>
        <v>45.97</v>
      </c>
      <c r="D34" s="28">
        <f t="shared" si="0"/>
        <v>27.81</v>
      </c>
      <c r="E34" s="28">
        <f t="shared" si="0"/>
        <v>5</v>
      </c>
      <c r="F34" s="28">
        <f t="shared" si="0"/>
        <v>2.13</v>
      </c>
      <c r="G34" s="28">
        <f t="shared" si="0"/>
        <v>37.6</v>
      </c>
      <c r="H34" s="28">
        <f t="shared" si="0"/>
        <v>11.84</v>
      </c>
      <c r="I34" s="28">
        <f t="shared" si="0"/>
        <v>0</v>
      </c>
      <c r="J34" s="28">
        <f t="shared" si="0"/>
        <v>0.54</v>
      </c>
      <c r="K34" s="28">
        <f t="shared" si="0"/>
        <v>119.6</v>
      </c>
      <c r="L34" s="28">
        <f t="shared" si="0"/>
        <v>11.08</v>
      </c>
      <c r="M34" s="28">
        <f t="shared" si="0"/>
        <v>11.39</v>
      </c>
      <c r="N34" s="28">
        <f t="shared" si="0"/>
        <v>77.8</v>
      </c>
      <c r="O34" s="28">
        <f t="shared" si="0"/>
        <v>0</v>
      </c>
      <c r="P34" s="28">
        <f t="shared" si="0"/>
        <v>0.43</v>
      </c>
      <c r="Q34" s="28">
        <f t="shared" si="0"/>
        <v>9.56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59.45</v>
      </c>
      <c r="C35" s="29">
        <f t="shared" si="1"/>
        <v>65.61</v>
      </c>
      <c r="D35" s="29">
        <f t="shared" si="1"/>
        <v>78.95</v>
      </c>
      <c r="E35" s="29">
        <f t="shared" si="1"/>
        <v>8.49</v>
      </c>
      <c r="F35" s="29">
        <f t="shared" si="1"/>
        <v>2.21</v>
      </c>
      <c r="G35" s="29">
        <f t="shared" si="1"/>
        <v>222.77</v>
      </c>
      <c r="H35" s="29">
        <f t="shared" si="1"/>
        <v>53.58</v>
      </c>
      <c r="I35" s="29">
        <f t="shared" si="1"/>
        <v>0</v>
      </c>
      <c r="J35" s="29">
        <f t="shared" si="1"/>
        <v>2.4700000000000002</v>
      </c>
      <c r="K35" s="29">
        <f t="shared" si="1"/>
        <v>359.96</v>
      </c>
      <c r="L35" s="29">
        <f t="shared" si="1"/>
        <v>29.37</v>
      </c>
      <c r="M35" s="29">
        <f t="shared" si="1"/>
        <v>63.38</v>
      </c>
      <c r="N35" s="29">
        <f t="shared" si="1"/>
        <v>1016.4</v>
      </c>
      <c r="O35" s="29">
        <f t="shared" si="1"/>
        <v>0</v>
      </c>
      <c r="P35" s="29">
        <f t="shared" si="1"/>
        <v>1.2</v>
      </c>
      <c r="Q35" s="29">
        <f t="shared" si="1"/>
        <v>10.29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21.488750000000007</v>
      </c>
      <c r="C36" s="28">
        <f t="shared" si="2"/>
        <v>55.787916666666668</v>
      </c>
      <c r="D36" s="28">
        <f t="shared" si="2"/>
        <v>44.811250000000001</v>
      </c>
      <c r="E36" s="28">
        <f t="shared" si="2"/>
        <v>6.4712500000000013</v>
      </c>
      <c r="F36" s="28">
        <f t="shared" si="2"/>
        <v>2.1341666666666668</v>
      </c>
      <c r="G36" s="28">
        <f t="shared" si="2"/>
        <v>77.85541666666667</v>
      </c>
      <c r="H36" s="28">
        <f t="shared" si="2"/>
        <v>22.327500000000001</v>
      </c>
      <c r="I36" s="28" t="e">
        <f t="shared" si="2"/>
        <v>#DIV/0!</v>
      </c>
      <c r="J36" s="28">
        <f t="shared" si="2"/>
        <v>1.2895833333333335</v>
      </c>
      <c r="K36" s="28">
        <f t="shared" si="2"/>
        <v>299.64708333333328</v>
      </c>
      <c r="L36" s="28">
        <f t="shared" si="2"/>
        <v>20.096250000000001</v>
      </c>
      <c r="M36" s="28">
        <f t="shared" si="2"/>
        <v>34.705000000000005</v>
      </c>
      <c r="N36" s="28">
        <f t="shared" si="2"/>
        <v>337.2208333333333</v>
      </c>
      <c r="O36" s="28">
        <f t="shared" si="2"/>
        <v>0</v>
      </c>
      <c r="P36" s="28">
        <f t="shared" si="2"/>
        <v>0.65083333333333326</v>
      </c>
      <c r="Q36" s="28">
        <f t="shared" si="2"/>
        <v>10.037083333333333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16.893614258570931</v>
      </c>
      <c r="C37" s="28">
        <f t="shared" ref="C37:Q37" si="3">STDEV(C9:C32)</f>
        <v>5.9676511868913469</v>
      </c>
      <c r="D37" s="28">
        <f t="shared" si="3"/>
        <v>15.784729084865807</v>
      </c>
      <c r="E37" s="28">
        <f t="shared" si="3"/>
        <v>1.0025763009020416</v>
      </c>
      <c r="F37" s="28">
        <f t="shared" si="3"/>
        <v>1.6659418713870496E-2</v>
      </c>
      <c r="G37" s="28">
        <f t="shared" si="3"/>
        <v>38.482758757110574</v>
      </c>
      <c r="H37" s="28">
        <f t="shared" si="3"/>
        <v>9.668995833838304</v>
      </c>
      <c r="I37" s="28" t="e">
        <f t="shared" si="3"/>
        <v>#DIV/0!</v>
      </c>
      <c r="J37" s="28">
        <f t="shared" si="3"/>
        <v>0.60559334301282497</v>
      </c>
      <c r="K37" s="28">
        <f t="shared" si="3"/>
        <v>73.450372567153337</v>
      </c>
      <c r="L37" s="28">
        <f t="shared" si="3"/>
        <v>5.582559653296026</v>
      </c>
      <c r="M37" s="28">
        <f t="shared" si="3"/>
        <v>15.557062425289283</v>
      </c>
      <c r="N37" s="28">
        <f t="shared" si="3"/>
        <v>353.51089766016088</v>
      </c>
      <c r="O37" s="28">
        <f t="shared" si="3"/>
        <v>0</v>
      </c>
      <c r="P37" s="28">
        <f t="shared" si="3"/>
        <v>0.24629280323942965</v>
      </c>
      <c r="Q37" s="28">
        <f t="shared" si="3"/>
        <v>0.19447765416883883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396</v>
      </c>
      <c r="B9" s="52">
        <v>59.71</v>
      </c>
      <c r="C9" s="52">
        <v>62.04</v>
      </c>
      <c r="D9" s="52">
        <v>78.92</v>
      </c>
      <c r="E9" s="52">
        <v>6.48</v>
      </c>
      <c r="F9" s="52">
        <v>2.13</v>
      </c>
      <c r="G9" s="52">
        <v>107.04</v>
      </c>
      <c r="H9" s="52">
        <v>36.33</v>
      </c>
      <c r="I9" s="53" t="s">
        <v>15</v>
      </c>
      <c r="J9" s="52">
        <v>0.52</v>
      </c>
      <c r="K9" s="52">
        <v>350.37</v>
      </c>
      <c r="L9" s="52">
        <v>14.38</v>
      </c>
      <c r="M9" s="52">
        <v>50.61</v>
      </c>
      <c r="N9" s="52">
        <v>78.099999999999994</v>
      </c>
      <c r="O9" s="52">
        <v>0</v>
      </c>
      <c r="P9" s="52">
        <v>1.04</v>
      </c>
      <c r="Q9" s="52">
        <v>10.27</v>
      </c>
      <c r="R9" s="43"/>
      <c r="S9" s="43"/>
      <c r="T9" s="43"/>
      <c r="U9" s="43"/>
    </row>
    <row r="10" spans="1:21" s="11" customFormat="1" x14ac:dyDescent="0.25">
      <c r="A10" s="51" t="s">
        <v>397</v>
      </c>
      <c r="B10" s="52">
        <v>49.05</v>
      </c>
      <c r="C10" s="52">
        <v>58.74</v>
      </c>
      <c r="D10" s="52">
        <v>68.650000000000006</v>
      </c>
      <c r="E10" s="52">
        <v>5.81</v>
      </c>
      <c r="F10" s="52">
        <v>2.13</v>
      </c>
      <c r="G10" s="52">
        <v>64.25</v>
      </c>
      <c r="H10" s="52">
        <v>31.15</v>
      </c>
      <c r="I10" s="53" t="s">
        <v>15</v>
      </c>
      <c r="J10" s="52">
        <v>0.69</v>
      </c>
      <c r="K10" s="52">
        <v>342.82</v>
      </c>
      <c r="L10" s="52">
        <v>14.52</v>
      </c>
      <c r="M10" s="52">
        <v>51.38</v>
      </c>
      <c r="N10" s="52">
        <v>78.2</v>
      </c>
      <c r="O10" s="52">
        <v>0</v>
      </c>
      <c r="P10" s="52">
        <v>0.95</v>
      </c>
      <c r="Q10" s="52">
        <v>10.25</v>
      </c>
      <c r="R10" s="43"/>
      <c r="S10" s="43"/>
      <c r="T10" s="43"/>
      <c r="U10" s="43"/>
    </row>
    <row r="11" spans="1:21" s="11" customFormat="1" x14ac:dyDescent="0.25">
      <c r="A11" s="51" t="s">
        <v>398</v>
      </c>
      <c r="B11" s="52">
        <v>42.11</v>
      </c>
      <c r="C11" s="52">
        <v>54.87</v>
      </c>
      <c r="D11" s="52">
        <v>61.06</v>
      </c>
      <c r="E11" s="52">
        <v>5.52</v>
      </c>
      <c r="F11" s="52">
        <v>2.13</v>
      </c>
      <c r="G11" s="52">
        <v>69.63</v>
      </c>
      <c r="H11" s="52">
        <v>29.73</v>
      </c>
      <c r="I11" s="53" t="s">
        <v>15</v>
      </c>
      <c r="J11" s="52">
        <v>1.1299999999999999</v>
      </c>
      <c r="K11" s="52">
        <v>350.76</v>
      </c>
      <c r="L11" s="52">
        <v>14.09</v>
      </c>
      <c r="M11" s="52">
        <v>51.46</v>
      </c>
      <c r="N11" s="52">
        <v>77.8</v>
      </c>
      <c r="O11" s="52">
        <v>0</v>
      </c>
      <c r="P11" s="52">
        <v>0.84</v>
      </c>
      <c r="Q11" s="52">
        <v>10.15</v>
      </c>
      <c r="R11" s="43"/>
      <c r="S11" s="43"/>
      <c r="T11" s="43"/>
      <c r="U11" s="43"/>
    </row>
    <row r="12" spans="1:21" s="11" customFormat="1" x14ac:dyDescent="0.25">
      <c r="A12" s="51" t="s">
        <v>399</v>
      </c>
      <c r="B12" s="52">
        <v>37.46</v>
      </c>
      <c r="C12" s="52">
        <v>53.05</v>
      </c>
      <c r="D12" s="52">
        <v>56.38</v>
      </c>
      <c r="E12" s="52">
        <v>5.68</v>
      </c>
      <c r="F12" s="52">
        <v>2.13</v>
      </c>
      <c r="G12" s="52">
        <v>71.8</v>
      </c>
      <c r="H12" s="52">
        <v>31.93</v>
      </c>
      <c r="I12" s="53" t="s">
        <v>15</v>
      </c>
      <c r="J12" s="52">
        <v>1.1599999999999999</v>
      </c>
      <c r="K12" s="52">
        <v>353.93</v>
      </c>
      <c r="L12" s="52">
        <v>14.3</v>
      </c>
      <c r="M12" s="52">
        <v>48.04</v>
      </c>
      <c r="N12" s="52">
        <v>77.8</v>
      </c>
      <c r="O12" s="52">
        <v>0</v>
      </c>
      <c r="P12" s="52">
        <v>0.79</v>
      </c>
      <c r="Q12" s="52">
        <v>10.08</v>
      </c>
      <c r="R12" s="43"/>
      <c r="S12" s="43"/>
      <c r="T12" s="43"/>
      <c r="U12" s="43"/>
    </row>
    <row r="13" spans="1:21" s="11" customFormat="1" x14ac:dyDescent="0.25">
      <c r="A13" s="51" t="s">
        <v>400</v>
      </c>
      <c r="B13" s="52">
        <v>33.32</v>
      </c>
      <c r="C13" s="52">
        <v>51.16</v>
      </c>
      <c r="D13" s="52">
        <v>52.08</v>
      </c>
      <c r="E13" s="52">
        <v>6.19</v>
      </c>
      <c r="F13" s="52">
        <v>2.13</v>
      </c>
      <c r="G13" s="52">
        <v>84.46</v>
      </c>
      <c r="H13" s="52">
        <v>35.729999999999997</v>
      </c>
      <c r="I13" s="53" t="s">
        <v>15</v>
      </c>
      <c r="J13" s="52">
        <v>0.96</v>
      </c>
      <c r="K13" s="52">
        <v>329.58</v>
      </c>
      <c r="L13" s="52">
        <v>13.82</v>
      </c>
      <c r="M13" s="52">
        <v>50.44</v>
      </c>
      <c r="N13" s="52">
        <v>79.099999999999994</v>
      </c>
      <c r="O13" s="52">
        <v>0</v>
      </c>
      <c r="P13" s="52">
        <v>0.77</v>
      </c>
      <c r="Q13" s="52">
        <v>10.09</v>
      </c>
      <c r="R13" s="43"/>
      <c r="S13" s="43"/>
      <c r="T13" s="43"/>
      <c r="U13" s="43"/>
    </row>
    <row r="14" spans="1:21" s="11" customFormat="1" x14ac:dyDescent="0.25">
      <c r="A14" s="51" t="s">
        <v>401</v>
      </c>
      <c r="B14" s="52">
        <v>34.880000000000003</v>
      </c>
      <c r="C14" s="52">
        <v>51.01</v>
      </c>
      <c r="D14" s="52">
        <v>53.05</v>
      </c>
      <c r="E14" s="52">
        <v>5.89</v>
      </c>
      <c r="F14" s="52">
        <v>2.13</v>
      </c>
      <c r="G14" s="52">
        <v>99.61</v>
      </c>
      <c r="H14" s="52">
        <v>38.71</v>
      </c>
      <c r="I14" s="53" t="s">
        <v>15</v>
      </c>
      <c r="J14" s="52">
        <v>0.72</v>
      </c>
      <c r="K14" s="52">
        <v>263.64</v>
      </c>
      <c r="L14" s="52">
        <v>13.08</v>
      </c>
      <c r="M14" s="52">
        <v>51.07</v>
      </c>
      <c r="N14" s="52">
        <v>78.8</v>
      </c>
      <c r="O14" s="52">
        <v>0</v>
      </c>
      <c r="P14" s="52">
        <v>0.75</v>
      </c>
      <c r="Q14" s="52">
        <v>10.09</v>
      </c>
      <c r="R14" s="43"/>
      <c r="S14" s="43"/>
      <c r="T14" s="43"/>
      <c r="U14" s="43"/>
    </row>
    <row r="15" spans="1:21" s="11" customFormat="1" x14ac:dyDescent="0.25">
      <c r="A15" s="51" t="s">
        <v>402</v>
      </c>
      <c r="B15" s="52">
        <v>46.65</v>
      </c>
      <c r="C15" s="52">
        <v>52.92</v>
      </c>
      <c r="D15" s="52">
        <v>63.68</v>
      </c>
      <c r="E15" s="52">
        <v>6.21</v>
      </c>
      <c r="F15" s="52">
        <v>2.13</v>
      </c>
      <c r="G15" s="52">
        <v>101.22</v>
      </c>
      <c r="H15" s="52">
        <v>42.28</v>
      </c>
      <c r="I15" s="53" t="s">
        <v>15</v>
      </c>
      <c r="J15" s="52">
        <v>0.69</v>
      </c>
      <c r="K15" s="52">
        <v>358.14</v>
      </c>
      <c r="L15" s="52">
        <v>12.63</v>
      </c>
      <c r="M15" s="52">
        <v>55.14</v>
      </c>
      <c r="N15" s="52">
        <v>101.2</v>
      </c>
      <c r="O15" s="52">
        <v>0</v>
      </c>
      <c r="P15" s="52">
        <v>0.88</v>
      </c>
      <c r="Q15" s="52">
        <v>10.039999999999999</v>
      </c>
      <c r="R15" s="43"/>
      <c r="S15" s="43"/>
      <c r="T15" s="43"/>
      <c r="U15" s="43"/>
    </row>
    <row r="16" spans="1:21" s="11" customFormat="1" x14ac:dyDescent="0.25">
      <c r="A16" s="51" t="s">
        <v>403</v>
      </c>
      <c r="B16" s="52">
        <v>62.56</v>
      </c>
      <c r="C16" s="52">
        <v>55.58</v>
      </c>
      <c r="D16" s="52">
        <v>77.81</v>
      </c>
      <c r="E16" s="52">
        <v>8.0399999999999991</v>
      </c>
      <c r="F16" s="52">
        <v>2.13</v>
      </c>
      <c r="G16" s="52">
        <v>132.56</v>
      </c>
      <c r="H16" s="52">
        <v>46.47</v>
      </c>
      <c r="I16" s="53" t="s">
        <v>15</v>
      </c>
      <c r="J16" s="52">
        <v>1.7</v>
      </c>
      <c r="K16" s="52">
        <v>306.77</v>
      </c>
      <c r="L16" s="52">
        <v>15.58</v>
      </c>
      <c r="M16" s="52">
        <v>57.86</v>
      </c>
      <c r="N16" s="52">
        <v>311.10000000000002</v>
      </c>
      <c r="O16" s="52">
        <v>0</v>
      </c>
      <c r="P16" s="52">
        <v>0.92</v>
      </c>
      <c r="Q16" s="52">
        <v>10.039999999999999</v>
      </c>
      <c r="R16" s="43"/>
      <c r="S16" s="43"/>
      <c r="T16" s="43"/>
      <c r="U16" s="43"/>
    </row>
    <row r="17" spans="1:21" s="11" customFormat="1" x14ac:dyDescent="0.25">
      <c r="A17" s="51" t="s">
        <v>404</v>
      </c>
      <c r="B17" s="52">
        <v>60.73</v>
      </c>
      <c r="C17" s="52">
        <v>54.99</v>
      </c>
      <c r="D17" s="52">
        <v>76.06</v>
      </c>
      <c r="E17" s="52">
        <v>7.47</v>
      </c>
      <c r="F17" s="52">
        <v>2.13</v>
      </c>
      <c r="G17" s="52">
        <v>160.06</v>
      </c>
      <c r="H17" s="52">
        <v>45.21</v>
      </c>
      <c r="I17" s="53" t="s">
        <v>15</v>
      </c>
      <c r="J17" s="52">
        <v>1.02</v>
      </c>
      <c r="K17" s="52">
        <v>190.89</v>
      </c>
      <c r="L17" s="52">
        <v>19.64</v>
      </c>
      <c r="M17" s="52">
        <v>58.5</v>
      </c>
      <c r="N17" s="52">
        <v>538.29999999999995</v>
      </c>
      <c r="O17" s="52">
        <v>0</v>
      </c>
      <c r="P17" s="52">
        <v>0.87</v>
      </c>
      <c r="Q17" s="52">
        <v>10.11</v>
      </c>
      <c r="R17" s="43"/>
      <c r="S17" s="43"/>
      <c r="T17" s="43"/>
      <c r="U17" s="43"/>
    </row>
    <row r="18" spans="1:21" s="11" customFormat="1" x14ac:dyDescent="0.25">
      <c r="A18" s="51" t="s">
        <v>405</v>
      </c>
      <c r="B18" s="52">
        <v>49.78</v>
      </c>
      <c r="C18" s="52">
        <v>67.33</v>
      </c>
      <c r="D18" s="52">
        <v>68.17</v>
      </c>
      <c r="E18" s="52">
        <v>7.83</v>
      </c>
      <c r="F18" s="52">
        <v>2.13</v>
      </c>
      <c r="G18" s="52">
        <v>117.77</v>
      </c>
      <c r="H18" s="52">
        <v>41.91</v>
      </c>
      <c r="I18" s="53" t="s">
        <v>15</v>
      </c>
      <c r="J18" s="52">
        <v>1.19</v>
      </c>
      <c r="K18" s="52">
        <v>333.57</v>
      </c>
      <c r="L18" s="52">
        <v>27.45</v>
      </c>
      <c r="M18" s="52">
        <v>36.090000000000003</v>
      </c>
      <c r="N18" s="52">
        <v>738.1</v>
      </c>
      <c r="O18" s="52">
        <v>0</v>
      </c>
      <c r="P18" s="52">
        <v>0.96</v>
      </c>
      <c r="Q18" s="52">
        <v>10.1</v>
      </c>
      <c r="R18" s="43"/>
      <c r="S18" s="43"/>
      <c r="T18" s="43"/>
      <c r="U18" s="43"/>
    </row>
    <row r="19" spans="1:21" s="11" customFormat="1" x14ac:dyDescent="0.25">
      <c r="A19" s="51" t="s">
        <v>406</v>
      </c>
      <c r="B19" s="52">
        <v>39.54</v>
      </c>
      <c r="C19" s="52">
        <v>73.44</v>
      </c>
      <c r="D19" s="52">
        <v>67.11</v>
      </c>
      <c r="E19" s="52">
        <v>7.55</v>
      </c>
      <c r="F19" s="52">
        <v>2.13</v>
      </c>
      <c r="G19" s="52">
        <v>136.28</v>
      </c>
      <c r="H19" s="52">
        <v>44.95</v>
      </c>
      <c r="I19" s="53" t="s">
        <v>15</v>
      </c>
      <c r="J19" s="52">
        <v>0.91</v>
      </c>
      <c r="K19" s="52">
        <v>100.25</v>
      </c>
      <c r="L19" s="52">
        <v>25.3</v>
      </c>
      <c r="M19" s="52">
        <v>25.9</v>
      </c>
      <c r="N19" s="52">
        <v>923.7</v>
      </c>
      <c r="O19" s="52">
        <v>0</v>
      </c>
      <c r="P19" s="52">
        <v>0.98</v>
      </c>
      <c r="Q19" s="52">
        <v>10.08</v>
      </c>
      <c r="R19" s="43"/>
      <c r="S19" s="43"/>
      <c r="T19" s="43"/>
      <c r="U19" s="43"/>
    </row>
    <row r="20" spans="1:21" s="11" customFormat="1" x14ac:dyDescent="0.25">
      <c r="A20" s="51" t="s">
        <v>407</v>
      </c>
      <c r="B20" s="52">
        <v>28.21</v>
      </c>
      <c r="C20" s="52">
        <v>72.819999999999993</v>
      </c>
      <c r="D20" s="52">
        <v>59.21</v>
      </c>
      <c r="E20" s="52">
        <v>7.1</v>
      </c>
      <c r="F20" s="52">
        <v>2.13</v>
      </c>
      <c r="G20" s="52">
        <v>92.69</v>
      </c>
      <c r="H20" s="52">
        <v>38.17</v>
      </c>
      <c r="I20" s="53" t="s">
        <v>15</v>
      </c>
      <c r="J20" s="52">
        <v>1.28</v>
      </c>
      <c r="K20" s="52">
        <v>104.37</v>
      </c>
      <c r="L20" s="52">
        <v>28.04</v>
      </c>
      <c r="M20" s="52">
        <v>24.23</v>
      </c>
      <c r="N20" s="52">
        <v>939.3</v>
      </c>
      <c r="O20" s="52">
        <v>0</v>
      </c>
      <c r="P20" s="52">
        <v>0.92</v>
      </c>
      <c r="Q20" s="52">
        <v>9.9499999999999993</v>
      </c>
      <c r="R20" s="43"/>
      <c r="S20" s="43"/>
      <c r="T20" s="43"/>
      <c r="U20" s="43"/>
    </row>
    <row r="21" spans="1:21" s="11" customFormat="1" x14ac:dyDescent="0.25">
      <c r="A21" s="51" t="s">
        <v>408</v>
      </c>
      <c r="B21" s="52">
        <v>22.8</v>
      </c>
      <c r="C21" s="52">
        <v>72.900000000000006</v>
      </c>
      <c r="D21" s="52">
        <v>54.99</v>
      </c>
      <c r="E21" s="52">
        <v>7</v>
      </c>
      <c r="F21" s="52">
        <v>2.13</v>
      </c>
      <c r="G21" s="52">
        <v>75.900000000000006</v>
      </c>
      <c r="H21" s="52">
        <v>30.43</v>
      </c>
      <c r="I21" s="53" t="s">
        <v>15</v>
      </c>
      <c r="J21" s="52">
        <v>1.1599999999999999</v>
      </c>
      <c r="K21" s="52">
        <v>91</v>
      </c>
      <c r="L21" s="52">
        <v>28.54</v>
      </c>
      <c r="M21" s="52">
        <v>18.829999999999998</v>
      </c>
      <c r="N21" s="52">
        <v>869.5</v>
      </c>
      <c r="O21" s="52">
        <v>0</v>
      </c>
      <c r="P21" s="52">
        <v>0.83</v>
      </c>
      <c r="Q21" s="52">
        <v>9.85</v>
      </c>
      <c r="R21" s="43"/>
      <c r="S21" s="43"/>
      <c r="T21" s="43"/>
      <c r="U21" s="43"/>
    </row>
    <row r="22" spans="1:21" s="11" customFormat="1" x14ac:dyDescent="0.25">
      <c r="A22" s="51" t="s">
        <v>409</v>
      </c>
      <c r="B22" s="52">
        <v>15.49</v>
      </c>
      <c r="C22" s="52">
        <v>71.349999999999994</v>
      </c>
      <c r="D22" s="52">
        <v>48.32</v>
      </c>
      <c r="E22" s="52">
        <v>6.75</v>
      </c>
      <c r="F22" s="52">
        <v>2.13</v>
      </c>
      <c r="G22" s="52">
        <v>63.58</v>
      </c>
      <c r="H22" s="52">
        <v>27.79</v>
      </c>
      <c r="I22" s="53" t="s">
        <v>15</v>
      </c>
      <c r="J22" s="52">
        <v>2.17</v>
      </c>
      <c r="K22" s="52">
        <v>358.79</v>
      </c>
      <c r="L22" s="52">
        <v>29.96</v>
      </c>
      <c r="M22" s="52">
        <v>17.88</v>
      </c>
      <c r="N22" s="52">
        <v>790</v>
      </c>
      <c r="O22" s="52">
        <v>0</v>
      </c>
      <c r="P22" s="52">
        <v>0.75</v>
      </c>
      <c r="Q22" s="52">
        <v>9.8699999999999992</v>
      </c>
      <c r="R22" s="43"/>
      <c r="S22" s="43"/>
      <c r="T22" s="43"/>
      <c r="U22" s="43"/>
    </row>
    <row r="23" spans="1:21" s="11" customFormat="1" x14ac:dyDescent="0.25">
      <c r="A23" s="51" t="s">
        <v>410</v>
      </c>
      <c r="B23" s="52">
        <v>9.94</v>
      </c>
      <c r="C23" s="52">
        <v>69.83</v>
      </c>
      <c r="D23" s="52">
        <v>42.89</v>
      </c>
      <c r="E23" s="52">
        <v>6</v>
      </c>
      <c r="F23" s="52">
        <v>2.13</v>
      </c>
      <c r="G23" s="52">
        <v>63.35</v>
      </c>
      <c r="H23" s="52">
        <v>24.16</v>
      </c>
      <c r="I23" s="53" t="s">
        <v>15</v>
      </c>
      <c r="J23" s="52">
        <v>2.17</v>
      </c>
      <c r="K23" s="52">
        <v>353.68</v>
      </c>
      <c r="L23" s="52">
        <v>30.44</v>
      </c>
      <c r="M23" s="52">
        <v>15.43</v>
      </c>
      <c r="N23" s="52">
        <v>731.1</v>
      </c>
      <c r="O23" s="52">
        <v>0</v>
      </c>
      <c r="P23" s="52">
        <v>0.68</v>
      </c>
      <c r="Q23" s="52">
        <v>9.85</v>
      </c>
      <c r="R23" s="43"/>
      <c r="S23" s="43"/>
      <c r="T23" s="43"/>
      <c r="U23" s="43"/>
    </row>
    <row r="24" spans="1:21" s="11" customFormat="1" x14ac:dyDescent="0.25">
      <c r="A24" s="51" t="s">
        <v>411</v>
      </c>
      <c r="B24" s="52">
        <v>10.92</v>
      </c>
      <c r="C24" s="52">
        <v>65.2</v>
      </c>
      <c r="D24" s="52">
        <v>40.96</v>
      </c>
      <c r="E24" s="52">
        <v>5.5</v>
      </c>
      <c r="F24" s="52">
        <v>2.14</v>
      </c>
      <c r="G24" s="52">
        <v>50.36</v>
      </c>
      <c r="H24" s="52">
        <v>19.45</v>
      </c>
      <c r="I24" s="53" t="s">
        <v>15</v>
      </c>
      <c r="J24" s="52">
        <v>1.64</v>
      </c>
      <c r="K24" s="52">
        <v>353.09</v>
      </c>
      <c r="L24" s="52">
        <v>29.07</v>
      </c>
      <c r="M24" s="52">
        <v>17.559999999999999</v>
      </c>
      <c r="N24" s="52">
        <v>422.8</v>
      </c>
      <c r="O24" s="52">
        <v>0</v>
      </c>
      <c r="P24" s="52">
        <v>0.55000000000000004</v>
      </c>
      <c r="Q24" s="52">
        <v>9.82</v>
      </c>
      <c r="R24" s="43"/>
      <c r="S24" s="43"/>
      <c r="T24" s="43"/>
      <c r="U24" s="43"/>
    </row>
    <row r="25" spans="1:21" s="11" customFormat="1" x14ac:dyDescent="0.25">
      <c r="A25" s="51" t="s">
        <v>412</v>
      </c>
      <c r="B25" s="52">
        <v>11.11</v>
      </c>
      <c r="C25" s="52">
        <v>62.25</v>
      </c>
      <c r="D25" s="52">
        <v>39.97</v>
      </c>
      <c r="E25" s="52">
        <v>5.85</v>
      </c>
      <c r="F25" s="52">
        <v>2.13</v>
      </c>
      <c r="G25" s="52">
        <v>41.58</v>
      </c>
      <c r="H25" s="52">
        <v>16.559999999999999</v>
      </c>
      <c r="I25" s="53" t="s">
        <v>15</v>
      </c>
      <c r="J25" s="52">
        <v>1.61</v>
      </c>
      <c r="K25" s="52">
        <v>355.77</v>
      </c>
      <c r="L25" s="52">
        <v>26.9</v>
      </c>
      <c r="M25" s="52">
        <v>20.96</v>
      </c>
      <c r="N25" s="52">
        <v>138.30000000000001</v>
      </c>
      <c r="O25" s="52">
        <v>0</v>
      </c>
      <c r="P25" s="52">
        <v>0.54</v>
      </c>
      <c r="Q25" s="52">
        <v>9.7799999999999994</v>
      </c>
      <c r="R25" s="43"/>
      <c r="S25" s="43"/>
      <c r="T25" s="43"/>
      <c r="U25" s="43"/>
    </row>
    <row r="26" spans="1:21" s="11" customFormat="1" x14ac:dyDescent="0.25">
      <c r="A26" s="51" t="s">
        <v>413</v>
      </c>
      <c r="B26" s="52">
        <v>15.22</v>
      </c>
      <c r="C26" s="52">
        <v>65.27</v>
      </c>
      <c r="D26" s="52">
        <v>44.93</v>
      </c>
      <c r="E26" s="52">
        <v>5.74</v>
      </c>
      <c r="F26" s="52">
        <v>2.13</v>
      </c>
      <c r="G26" s="52">
        <v>54.86</v>
      </c>
      <c r="H26" s="52">
        <v>15.74</v>
      </c>
      <c r="I26" s="53" t="s">
        <v>15</v>
      </c>
      <c r="J26" s="52">
        <v>1.1000000000000001</v>
      </c>
      <c r="K26" s="52">
        <v>351.86</v>
      </c>
      <c r="L26" s="52">
        <v>25.11</v>
      </c>
      <c r="M26" s="52">
        <v>27.75</v>
      </c>
      <c r="N26" s="52">
        <v>100.4</v>
      </c>
      <c r="O26" s="52">
        <v>0</v>
      </c>
      <c r="P26" s="52">
        <v>0.79</v>
      </c>
      <c r="Q26" s="52">
        <v>9.81</v>
      </c>
      <c r="R26" s="43"/>
      <c r="S26" s="43"/>
      <c r="T26" s="43"/>
      <c r="U26" s="43"/>
    </row>
    <row r="27" spans="1:21" s="11" customFormat="1" x14ac:dyDescent="0.25">
      <c r="A27" s="51" t="s">
        <v>414</v>
      </c>
      <c r="B27" s="52">
        <v>38.28</v>
      </c>
      <c r="C27" s="52">
        <v>71.59</v>
      </c>
      <c r="D27" s="52">
        <v>66.73</v>
      </c>
      <c r="E27" s="52">
        <v>7.95</v>
      </c>
      <c r="F27" s="52">
        <v>2.13</v>
      </c>
      <c r="G27" s="52">
        <v>78.819999999999993</v>
      </c>
      <c r="H27" s="52">
        <v>16.82</v>
      </c>
      <c r="I27" s="53" t="s">
        <v>15</v>
      </c>
      <c r="J27" s="52">
        <v>0.6</v>
      </c>
      <c r="K27" s="52">
        <v>315.11</v>
      </c>
      <c r="L27" s="52">
        <v>22.36</v>
      </c>
      <c r="M27" s="52">
        <v>39.79</v>
      </c>
      <c r="N27" s="52">
        <v>67.099999999999994</v>
      </c>
      <c r="O27" s="52">
        <v>0</v>
      </c>
      <c r="P27" s="52">
        <v>1.17</v>
      </c>
      <c r="Q27" s="52">
        <v>9.8000000000000007</v>
      </c>
      <c r="R27" s="43"/>
      <c r="S27" s="43"/>
      <c r="T27" s="43"/>
      <c r="U27" s="43"/>
    </row>
    <row r="28" spans="1:21" s="11" customFormat="1" x14ac:dyDescent="0.25">
      <c r="A28" s="51" t="s">
        <v>415</v>
      </c>
      <c r="B28" s="52">
        <v>65.14</v>
      </c>
      <c r="C28" s="52">
        <v>73.47</v>
      </c>
      <c r="D28" s="52">
        <v>88.79</v>
      </c>
      <c r="E28" s="52">
        <v>8.69</v>
      </c>
      <c r="F28" s="52">
        <v>2.13</v>
      </c>
      <c r="G28" s="52">
        <v>136.99</v>
      </c>
      <c r="H28" s="52">
        <v>21.57</v>
      </c>
      <c r="I28" s="53" t="s">
        <v>15</v>
      </c>
      <c r="J28" s="52">
        <v>1.2</v>
      </c>
      <c r="K28" s="52">
        <v>312.06</v>
      </c>
      <c r="L28" s="52">
        <v>20.92</v>
      </c>
      <c r="M28" s="52">
        <v>41.02</v>
      </c>
      <c r="N28" s="52">
        <v>66.400000000000006</v>
      </c>
      <c r="O28" s="52">
        <v>0</v>
      </c>
      <c r="P28" s="52">
        <v>1.24</v>
      </c>
      <c r="Q28" s="52">
        <v>9.9499999999999993</v>
      </c>
      <c r="R28" s="43"/>
      <c r="S28" s="43"/>
      <c r="T28" s="43"/>
      <c r="U28" s="43"/>
    </row>
    <row r="29" spans="1:21" s="11" customFormat="1" x14ac:dyDescent="0.25">
      <c r="A29" s="51" t="s">
        <v>416</v>
      </c>
      <c r="B29" s="52">
        <v>63.09</v>
      </c>
      <c r="C29" s="52">
        <v>72.19</v>
      </c>
      <c r="D29" s="52">
        <v>86.94</v>
      </c>
      <c r="E29" s="52">
        <v>7.41</v>
      </c>
      <c r="F29" s="52">
        <v>2.13</v>
      </c>
      <c r="G29" s="52">
        <v>138.09</v>
      </c>
      <c r="H29" s="52">
        <v>26.86</v>
      </c>
      <c r="I29" s="53" t="s">
        <v>15</v>
      </c>
      <c r="J29" s="52">
        <v>1.26</v>
      </c>
      <c r="K29" s="52">
        <v>200.89</v>
      </c>
      <c r="L29" s="52">
        <v>20.82</v>
      </c>
      <c r="M29" s="52">
        <v>33.65</v>
      </c>
      <c r="N29" s="52">
        <v>66.2</v>
      </c>
      <c r="O29" s="52">
        <v>0</v>
      </c>
      <c r="P29" s="52">
        <v>0.96</v>
      </c>
      <c r="Q29" s="52">
        <v>9.99</v>
      </c>
      <c r="R29" s="43"/>
      <c r="S29" s="43"/>
      <c r="T29" s="43"/>
      <c r="U29" s="43"/>
    </row>
    <row r="30" spans="1:21" s="11" customFormat="1" x14ac:dyDescent="0.25">
      <c r="A30" s="51" t="s">
        <v>417</v>
      </c>
      <c r="B30" s="52">
        <v>51.61</v>
      </c>
      <c r="C30" s="52">
        <v>71.17</v>
      </c>
      <c r="D30" s="52">
        <v>77.19</v>
      </c>
      <c r="E30" s="52">
        <v>6.94</v>
      </c>
      <c r="F30" s="52">
        <v>2.13</v>
      </c>
      <c r="G30" s="52">
        <v>72.11</v>
      </c>
      <c r="H30" s="52">
        <v>26.59</v>
      </c>
      <c r="I30" s="53" t="s">
        <v>15</v>
      </c>
      <c r="J30" s="52">
        <v>1.01</v>
      </c>
      <c r="K30" s="52">
        <v>203.03</v>
      </c>
      <c r="L30" s="52">
        <v>20.09</v>
      </c>
      <c r="M30" s="52">
        <v>32.85</v>
      </c>
      <c r="N30" s="52">
        <v>65.8</v>
      </c>
      <c r="O30" s="52">
        <v>0</v>
      </c>
      <c r="P30" s="52">
        <v>0.95</v>
      </c>
      <c r="Q30" s="52">
        <v>9.9499999999999993</v>
      </c>
      <c r="R30" s="43"/>
      <c r="S30" s="43"/>
      <c r="T30" s="43"/>
      <c r="U30" s="43"/>
    </row>
    <row r="31" spans="1:21" s="11" customFormat="1" x14ac:dyDescent="0.25">
      <c r="A31" s="51" t="s">
        <v>418</v>
      </c>
      <c r="B31" s="52">
        <v>38.630000000000003</v>
      </c>
      <c r="C31" s="52">
        <v>71.33</v>
      </c>
      <c r="D31" s="52">
        <v>66.38</v>
      </c>
      <c r="E31" s="52">
        <v>6.69</v>
      </c>
      <c r="F31" s="52">
        <v>2.13</v>
      </c>
      <c r="G31" s="52">
        <v>64.349999999999994</v>
      </c>
      <c r="H31" s="52">
        <v>26.13</v>
      </c>
      <c r="I31" s="53" t="s">
        <v>15</v>
      </c>
      <c r="J31" s="52">
        <v>0.57999999999999996</v>
      </c>
      <c r="K31" s="52">
        <v>283.11</v>
      </c>
      <c r="L31" s="52">
        <v>19.18</v>
      </c>
      <c r="M31" s="52">
        <v>39.909999999999997</v>
      </c>
      <c r="N31" s="52">
        <v>66.7</v>
      </c>
      <c r="O31" s="52">
        <v>0</v>
      </c>
      <c r="P31" s="52">
        <v>0.93</v>
      </c>
      <c r="Q31" s="52">
        <v>9.93</v>
      </c>
      <c r="R31" s="43"/>
      <c r="S31" s="43"/>
      <c r="T31" s="43"/>
      <c r="U31" s="43"/>
    </row>
    <row r="32" spans="1:21" s="11" customFormat="1" x14ac:dyDescent="0.25">
      <c r="A32" s="51" t="s">
        <v>419</v>
      </c>
      <c r="B32" s="52">
        <v>39.28</v>
      </c>
      <c r="C32" s="52">
        <v>71.97</v>
      </c>
      <c r="D32" s="52">
        <v>67.73</v>
      </c>
      <c r="E32" s="52">
        <v>7.16</v>
      </c>
      <c r="F32" s="52">
        <v>2.13</v>
      </c>
      <c r="G32" s="52">
        <v>78.900000000000006</v>
      </c>
      <c r="H32" s="52">
        <v>24.48</v>
      </c>
      <c r="I32" s="53" t="s">
        <v>15</v>
      </c>
      <c r="J32" s="52">
        <v>0.75</v>
      </c>
      <c r="K32" s="52">
        <v>332.35</v>
      </c>
      <c r="L32" s="52">
        <v>16.89</v>
      </c>
      <c r="M32" s="52">
        <v>50.65</v>
      </c>
      <c r="N32" s="52">
        <v>66.7</v>
      </c>
      <c r="O32" s="52">
        <v>0</v>
      </c>
      <c r="P32" s="52">
        <v>0.95</v>
      </c>
      <c r="Q32" s="52">
        <v>9.9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9.94</v>
      </c>
      <c r="C34" s="28">
        <f t="shared" si="0"/>
        <v>51.01</v>
      </c>
      <c r="D34" s="28">
        <f t="shared" si="0"/>
        <v>39.97</v>
      </c>
      <c r="E34" s="28">
        <f t="shared" si="0"/>
        <v>5.5</v>
      </c>
      <c r="F34" s="28">
        <f t="shared" si="0"/>
        <v>2.13</v>
      </c>
      <c r="G34" s="28">
        <f t="shared" si="0"/>
        <v>41.58</v>
      </c>
      <c r="H34" s="28">
        <f t="shared" si="0"/>
        <v>15.74</v>
      </c>
      <c r="I34" s="28">
        <f t="shared" si="0"/>
        <v>0</v>
      </c>
      <c r="J34" s="28">
        <f t="shared" si="0"/>
        <v>0.52</v>
      </c>
      <c r="K34" s="28">
        <f t="shared" si="0"/>
        <v>91</v>
      </c>
      <c r="L34" s="28">
        <f t="shared" si="0"/>
        <v>12.63</v>
      </c>
      <c r="M34" s="28">
        <f t="shared" si="0"/>
        <v>15.43</v>
      </c>
      <c r="N34" s="28">
        <f t="shared" si="0"/>
        <v>65.8</v>
      </c>
      <c r="O34" s="28">
        <f t="shared" si="0"/>
        <v>0</v>
      </c>
      <c r="P34" s="28">
        <f t="shared" si="0"/>
        <v>0.54</v>
      </c>
      <c r="Q34" s="28">
        <f t="shared" si="0"/>
        <v>9.7799999999999994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65.14</v>
      </c>
      <c r="C35" s="29">
        <f t="shared" si="1"/>
        <v>73.47</v>
      </c>
      <c r="D35" s="29">
        <f t="shared" si="1"/>
        <v>88.79</v>
      </c>
      <c r="E35" s="29">
        <f t="shared" si="1"/>
        <v>8.69</v>
      </c>
      <c r="F35" s="29">
        <f t="shared" si="1"/>
        <v>2.14</v>
      </c>
      <c r="G35" s="29">
        <f t="shared" si="1"/>
        <v>160.06</v>
      </c>
      <c r="H35" s="29">
        <f t="shared" si="1"/>
        <v>46.47</v>
      </c>
      <c r="I35" s="29">
        <f t="shared" si="1"/>
        <v>0</v>
      </c>
      <c r="J35" s="29">
        <f t="shared" si="1"/>
        <v>2.17</v>
      </c>
      <c r="K35" s="29">
        <f t="shared" si="1"/>
        <v>358.79</v>
      </c>
      <c r="L35" s="29">
        <f t="shared" si="1"/>
        <v>30.44</v>
      </c>
      <c r="M35" s="29">
        <f t="shared" si="1"/>
        <v>58.5</v>
      </c>
      <c r="N35" s="29">
        <f t="shared" si="1"/>
        <v>939.3</v>
      </c>
      <c r="O35" s="29">
        <f t="shared" si="1"/>
        <v>0</v>
      </c>
      <c r="P35" s="29">
        <f t="shared" si="1"/>
        <v>1.24</v>
      </c>
      <c r="Q35" s="29">
        <f t="shared" si="1"/>
        <v>10.27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38.562916666666666</v>
      </c>
      <c r="C36" s="28">
        <f t="shared" si="2"/>
        <v>64.436250000000001</v>
      </c>
      <c r="D36" s="28">
        <f t="shared" si="2"/>
        <v>62.83333333333335</v>
      </c>
      <c r="E36" s="28">
        <f t="shared" si="2"/>
        <v>6.7270833333333329</v>
      </c>
      <c r="F36" s="28">
        <f t="shared" si="2"/>
        <v>2.1304166666666671</v>
      </c>
      <c r="G36" s="28">
        <f t="shared" si="2"/>
        <v>89.844166666666638</v>
      </c>
      <c r="H36" s="28">
        <f t="shared" si="2"/>
        <v>30.797916666666669</v>
      </c>
      <c r="I36" s="28" t="e">
        <f t="shared" si="2"/>
        <v>#DIV/0!</v>
      </c>
      <c r="J36" s="28">
        <f t="shared" si="2"/>
        <v>1.1341666666666668</v>
      </c>
      <c r="K36" s="28">
        <f t="shared" si="2"/>
        <v>287.32625000000002</v>
      </c>
      <c r="L36" s="28">
        <f t="shared" si="2"/>
        <v>20.962916666666661</v>
      </c>
      <c r="M36" s="28">
        <f t="shared" si="2"/>
        <v>38.208333333333329</v>
      </c>
      <c r="N36" s="28">
        <f t="shared" si="2"/>
        <v>311.35416666666669</v>
      </c>
      <c r="O36" s="28">
        <f t="shared" si="2"/>
        <v>0</v>
      </c>
      <c r="P36" s="28">
        <f t="shared" si="2"/>
        <v>0.87541666666666662</v>
      </c>
      <c r="Q36" s="28">
        <f t="shared" si="2"/>
        <v>9.9895833333333339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17.594662352460812</v>
      </c>
      <c r="C37" s="28">
        <f t="shared" ref="C37:Q37" si="3">STDEV(C9:C32)</f>
        <v>8.269917097791657</v>
      </c>
      <c r="D37" s="28">
        <f t="shared" si="3"/>
        <v>14.007672328333742</v>
      </c>
      <c r="E37" s="28">
        <f t="shared" si="3"/>
        <v>0.90703760128504651</v>
      </c>
      <c r="F37" s="28">
        <f t="shared" si="3"/>
        <v>2.0412414523193617E-3</v>
      </c>
      <c r="G37" s="28">
        <f t="shared" si="3"/>
        <v>32.365127894435908</v>
      </c>
      <c r="H37" s="28">
        <f t="shared" si="3"/>
        <v>9.4874736542759148</v>
      </c>
      <c r="I37" s="28" t="e">
        <f t="shared" si="3"/>
        <v>#DIV/0!</v>
      </c>
      <c r="J37" s="28">
        <f t="shared" si="3"/>
        <v>0.45625047151057596</v>
      </c>
      <c r="K37" s="28">
        <f t="shared" si="3"/>
        <v>89.051910255247705</v>
      </c>
      <c r="L37" s="28">
        <f t="shared" si="3"/>
        <v>6.1489854088273166</v>
      </c>
      <c r="M37" s="28">
        <f t="shared" si="3"/>
        <v>14.308757934327799</v>
      </c>
      <c r="N37" s="28">
        <f t="shared" si="3"/>
        <v>332.08221085221163</v>
      </c>
      <c r="O37" s="28">
        <f t="shared" si="3"/>
        <v>0</v>
      </c>
      <c r="P37" s="28">
        <f t="shared" si="3"/>
        <v>0.16322774611397803</v>
      </c>
      <c r="Q37" s="28">
        <f t="shared" si="3"/>
        <v>0.14001488016159802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420</v>
      </c>
      <c r="B9" s="52">
        <v>41.32</v>
      </c>
      <c r="C9" s="52">
        <v>70.47</v>
      </c>
      <c r="D9" s="52">
        <v>68.31</v>
      </c>
      <c r="E9" s="52">
        <v>7.74</v>
      </c>
      <c r="F9" s="52">
        <v>2.29</v>
      </c>
      <c r="G9" s="52">
        <v>94.92</v>
      </c>
      <c r="H9" s="52">
        <v>26.79</v>
      </c>
      <c r="I9" s="53" t="s">
        <v>15</v>
      </c>
      <c r="J9" s="52">
        <v>0.78</v>
      </c>
      <c r="K9" s="52">
        <v>329.14</v>
      </c>
      <c r="L9" s="52">
        <v>15.23</v>
      </c>
      <c r="M9" s="52">
        <v>56.83</v>
      </c>
      <c r="N9" s="52">
        <v>66.3</v>
      </c>
      <c r="O9" s="52">
        <v>0</v>
      </c>
      <c r="P9" s="52">
        <v>0.93</v>
      </c>
      <c r="Q9" s="52">
        <v>9.8800000000000008</v>
      </c>
      <c r="R9" s="43"/>
      <c r="S9" s="43"/>
      <c r="T9" s="43"/>
      <c r="U9" s="43"/>
    </row>
    <row r="10" spans="1:21" s="11" customFormat="1" x14ac:dyDescent="0.25">
      <c r="A10" s="51" t="s">
        <v>421</v>
      </c>
      <c r="B10" s="52">
        <v>40</v>
      </c>
      <c r="C10" s="52">
        <v>67.790000000000006</v>
      </c>
      <c r="D10" s="52">
        <v>66.12</v>
      </c>
      <c r="E10" s="52">
        <v>7.03</v>
      </c>
      <c r="F10" s="52">
        <v>2.13</v>
      </c>
      <c r="G10" s="52">
        <v>86.92</v>
      </c>
      <c r="H10" s="52">
        <v>25.72</v>
      </c>
      <c r="I10" s="53" t="s">
        <v>15</v>
      </c>
      <c r="J10" s="52">
        <v>0.66</v>
      </c>
      <c r="K10" s="52">
        <v>320.3</v>
      </c>
      <c r="L10" s="52">
        <v>14.84</v>
      </c>
      <c r="M10" s="52">
        <v>62.74</v>
      </c>
      <c r="N10" s="52">
        <v>66.5</v>
      </c>
      <c r="O10" s="52">
        <v>0</v>
      </c>
      <c r="P10" s="52">
        <v>0.85</v>
      </c>
      <c r="Q10" s="52">
        <v>9.84</v>
      </c>
      <c r="R10" s="43"/>
      <c r="S10" s="43"/>
      <c r="T10" s="43"/>
      <c r="U10" s="43"/>
    </row>
    <row r="11" spans="1:21" s="11" customFormat="1" x14ac:dyDescent="0.25">
      <c r="A11" s="51" t="s">
        <v>422</v>
      </c>
      <c r="B11" s="52">
        <v>32.869999999999997</v>
      </c>
      <c r="C11" s="52">
        <v>62.97</v>
      </c>
      <c r="D11" s="52">
        <v>57.88</v>
      </c>
      <c r="E11" s="52">
        <v>6.8</v>
      </c>
      <c r="F11" s="52">
        <v>2.13</v>
      </c>
      <c r="G11" s="52">
        <v>65.83</v>
      </c>
      <c r="H11" s="52">
        <v>25.93</v>
      </c>
      <c r="I11" s="53" t="s">
        <v>15</v>
      </c>
      <c r="J11" s="52">
        <v>0.77</v>
      </c>
      <c r="K11" s="52">
        <v>355.87</v>
      </c>
      <c r="L11" s="52">
        <v>13.8</v>
      </c>
      <c r="M11" s="52">
        <v>68.75</v>
      </c>
      <c r="N11" s="52">
        <v>66.5</v>
      </c>
      <c r="O11" s="52">
        <v>0</v>
      </c>
      <c r="P11" s="52">
        <v>0.86</v>
      </c>
      <c r="Q11" s="52">
        <v>9.8800000000000008</v>
      </c>
      <c r="R11" s="43"/>
      <c r="S11" s="43"/>
      <c r="T11" s="43"/>
      <c r="U11" s="43"/>
    </row>
    <row r="12" spans="1:21" s="11" customFormat="1" x14ac:dyDescent="0.25">
      <c r="A12" s="51" t="s">
        <v>423</v>
      </c>
      <c r="B12" s="52">
        <v>26.96</v>
      </c>
      <c r="C12" s="52">
        <v>60.36</v>
      </c>
      <c r="D12" s="52">
        <v>51.78</v>
      </c>
      <c r="E12" s="52">
        <v>6.74</v>
      </c>
      <c r="F12" s="52">
        <v>2.13</v>
      </c>
      <c r="G12" s="52">
        <v>67.44</v>
      </c>
      <c r="H12" s="52">
        <v>24.48</v>
      </c>
      <c r="I12" s="53" t="s">
        <v>15</v>
      </c>
      <c r="J12" s="52">
        <v>0.66</v>
      </c>
      <c r="K12" s="52">
        <v>348.23</v>
      </c>
      <c r="L12" s="52">
        <v>13.38</v>
      </c>
      <c r="M12" s="52">
        <v>71.569999999999993</v>
      </c>
      <c r="N12" s="52">
        <v>66.3</v>
      </c>
      <c r="O12" s="52">
        <v>0</v>
      </c>
      <c r="P12" s="52">
        <v>0.79</v>
      </c>
      <c r="Q12" s="52">
        <v>9.86</v>
      </c>
      <c r="R12" s="43"/>
      <c r="S12" s="43"/>
      <c r="T12" s="43"/>
      <c r="U12" s="43"/>
    </row>
    <row r="13" spans="1:21" s="11" customFormat="1" x14ac:dyDescent="0.25">
      <c r="A13" s="51" t="s">
        <v>424</v>
      </c>
      <c r="B13" s="52">
        <v>27.66</v>
      </c>
      <c r="C13" s="52">
        <v>59.14</v>
      </c>
      <c r="D13" s="52">
        <v>51.02</v>
      </c>
      <c r="E13" s="52">
        <v>7.84</v>
      </c>
      <c r="F13" s="52">
        <v>2.13</v>
      </c>
      <c r="G13" s="52">
        <v>83.4</v>
      </c>
      <c r="H13" s="52">
        <v>24.7</v>
      </c>
      <c r="I13" s="53" t="s">
        <v>15</v>
      </c>
      <c r="J13" s="52">
        <v>0.61</v>
      </c>
      <c r="K13" s="52">
        <v>352.18</v>
      </c>
      <c r="L13" s="52">
        <v>12.76</v>
      </c>
      <c r="M13" s="52">
        <v>81.72</v>
      </c>
      <c r="N13" s="52">
        <v>66.2</v>
      </c>
      <c r="O13" s="52">
        <v>0</v>
      </c>
      <c r="P13" s="52">
        <v>0.79</v>
      </c>
      <c r="Q13" s="52">
        <v>9.83</v>
      </c>
      <c r="R13" s="43"/>
      <c r="S13" s="43"/>
      <c r="T13" s="43"/>
      <c r="U13" s="43"/>
    </row>
    <row r="14" spans="1:21" s="11" customFormat="1" x14ac:dyDescent="0.25">
      <c r="A14" s="51" t="s">
        <v>425</v>
      </c>
      <c r="B14" s="52">
        <v>39.380000000000003</v>
      </c>
      <c r="C14" s="52">
        <v>58.57</v>
      </c>
      <c r="D14" s="52">
        <v>60.17</v>
      </c>
      <c r="E14" s="52">
        <v>7.9</v>
      </c>
      <c r="F14" s="52">
        <v>2.13</v>
      </c>
      <c r="G14" s="52">
        <v>106.46</v>
      </c>
      <c r="H14" s="52">
        <v>28.03</v>
      </c>
      <c r="I14" s="53" t="s">
        <v>15</v>
      </c>
      <c r="J14" s="52">
        <v>0.67</v>
      </c>
      <c r="K14" s="52">
        <v>329.58</v>
      </c>
      <c r="L14" s="52">
        <v>12.36</v>
      </c>
      <c r="M14" s="52">
        <v>86.65</v>
      </c>
      <c r="N14" s="52">
        <v>66.2</v>
      </c>
      <c r="O14" s="52">
        <v>0</v>
      </c>
      <c r="P14" s="52">
        <v>0.83</v>
      </c>
      <c r="Q14" s="52">
        <v>9.7899999999999991</v>
      </c>
      <c r="R14" s="43"/>
      <c r="S14" s="43"/>
      <c r="T14" s="43"/>
      <c r="U14" s="43"/>
    </row>
    <row r="15" spans="1:21" s="11" customFormat="1" x14ac:dyDescent="0.25">
      <c r="A15" s="51" t="s">
        <v>426</v>
      </c>
      <c r="B15" s="52">
        <v>59.5</v>
      </c>
      <c r="C15" s="52">
        <v>59.29</v>
      </c>
      <c r="D15" s="52">
        <v>76.55</v>
      </c>
      <c r="E15" s="52">
        <v>8.17</v>
      </c>
      <c r="F15" s="52">
        <v>2.13</v>
      </c>
      <c r="G15" s="52">
        <v>107.56</v>
      </c>
      <c r="H15" s="52">
        <v>29.53</v>
      </c>
      <c r="I15" s="53" t="s">
        <v>15</v>
      </c>
      <c r="J15" s="52">
        <v>0.63</v>
      </c>
      <c r="K15" s="52">
        <v>287.89</v>
      </c>
      <c r="L15" s="52">
        <v>12.49</v>
      </c>
      <c r="M15" s="52">
        <v>85.72</v>
      </c>
      <c r="N15" s="52">
        <v>90.7</v>
      </c>
      <c r="O15" s="52">
        <v>0</v>
      </c>
      <c r="P15" s="52">
        <v>0.84</v>
      </c>
      <c r="Q15" s="52">
        <v>9.89</v>
      </c>
      <c r="R15" s="43"/>
      <c r="S15" s="43"/>
      <c r="T15" s="43"/>
      <c r="U15" s="43"/>
    </row>
    <row r="16" spans="1:21" s="11" customFormat="1" x14ac:dyDescent="0.25">
      <c r="A16" s="51" t="s">
        <v>427</v>
      </c>
      <c r="B16" s="52">
        <v>84.27</v>
      </c>
      <c r="C16" s="52">
        <v>58.79</v>
      </c>
      <c r="D16" s="52">
        <v>96.91</v>
      </c>
      <c r="E16" s="52">
        <v>8.91</v>
      </c>
      <c r="F16" s="52">
        <v>2.13</v>
      </c>
      <c r="G16" s="52">
        <v>115.7</v>
      </c>
      <c r="H16" s="52">
        <v>30.06</v>
      </c>
      <c r="I16" s="53" t="s">
        <v>15</v>
      </c>
      <c r="J16" s="52">
        <v>0.72</v>
      </c>
      <c r="K16" s="52">
        <v>243.64</v>
      </c>
      <c r="L16" s="52">
        <v>18.7</v>
      </c>
      <c r="M16" s="52">
        <v>79.739999999999995</v>
      </c>
      <c r="N16" s="52">
        <v>312.10000000000002</v>
      </c>
      <c r="O16" s="52">
        <v>0</v>
      </c>
      <c r="P16" s="52">
        <v>0.91</v>
      </c>
      <c r="Q16" s="52">
        <v>10.02</v>
      </c>
      <c r="R16" s="43"/>
      <c r="S16" s="43"/>
      <c r="T16" s="43"/>
      <c r="U16" s="43"/>
    </row>
    <row r="17" spans="1:21" s="11" customFormat="1" x14ac:dyDescent="0.25">
      <c r="A17" s="51" t="s">
        <v>428</v>
      </c>
      <c r="B17" s="52">
        <v>80.92</v>
      </c>
      <c r="C17" s="52">
        <v>61.61</v>
      </c>
      <c r="D17" s="52">
        <v>94.57</v>
      </c>
      <c r="E17" s="52">
        <v>7.96</v>
      </c>
      <c r="F17" s="52">
        <v>2.15</v>
      </c>
      <c r="G17" s="52">
        <v>129.31</v>
      </c>
      <c r="H17" s="52">
        <v>30.21</v>
      </c>
      <c r="I17" s="53" t="s">
        <v>15</v>
      </c>
      <c r="J17" s="52">
        <v>1.52</v>
      </c>
      <c r="K17" s="52">
        <v>191.8</v>
      </c>
      <c r="L17" s="52">
        <v>21.26</v>
      </c>
      <c r="M17" s="52">
        <v>47.19</v>
      </c>
      <c r="N17" s="52">
        <v>551.79999999999995</v>
      </c>
      <c r="O17" s="52">
        <v>0</v>
      </c>
      <c r="P17" s="52">
        <v>0.91</v>
      </c>
      <c r="Q17" s="52">
        <v>10.09</v>
      </c>
      <c r="R17" s="43"/>
      <c r="S17" s="43"/>
      <c r="T17" s="43"/>
      <c r="U17" s="43"/>
    </row>
    <row r="18" spans="1:21" s="11" customFormat="1" x14ac:dyDescent="0.25">
      <c r="A18" s="51" t="s">
        <v>429</v>
      </c>
      <c r="B18" s="52">
        <v>58.99</v>
      </c>
      <c r="C18" s="52">
        <v>65.989999999999995</v>
      </c>
      <c r="D18" s="52">
        <v>77.78</v>
      </c>
      <c r="E18" s="52">
        <v>7.13</v>
      </c>
      <c r="F18" s="52">
        <v>2.13</v>
      </c>
      <c r="G18" s="52">
        <v>97.49</v>
      </c>
      <c r="H18" s="52">
        <v>29.7</v>
      </c>
      <c r="I18" s="53" t="s">
        <v>15</v>
      </c>
      <c r="J18" s="52">
        <v>1.66</v>
      </c>
      <c r="K18" s="52">
        <v>229.13</v>
      </c>
      <c r="L18" s="52">
        <v>25.88</v>
      </c>
      <c r="M18" s="52">
        <v>36.01</v>
      </c>
      <c r="N18" s="52">
        <v>748.4</v>
      </c>
      <c r="O18" s="52">
        <v>0</v>
      </c>
      <c r="P18" s="52">
        <v>0.87</v>
      </c>
      <c r="Q18" s="52">
        <v>10.01</v>
      </c>
      <c r="R18" s="43"/>
      <c r="S18" s="43"/>
      <c r="T18" s="43"/>
      <c r="U18" s="43"/>
    </row>
    <row r="19" spans="1:21" s="11" customFormat="1" x14ac:dyDescent="0.25">
      <c r="A19" s="51" t="s">
        <v>430</v>
      </c>
      <c r="B19" s="52">
        <v>41.59</v>
      </c>
      <c r="C19" s="52">
        <v>73.12</v>
      </c>
      <c r="D19" s="52">
        <v>67.03</v>
      </c>
      <c r="E19" s="52">
        <v>7.16</v>
      </c>
      <c r="F19" s="52">
        <v>2.13</v>
      </c>
      <c r="G19" s="52">
        <v>76.010000000000005</v>
      </c>
      <c r="H19" s="52">
        <v>31.56</v>
      </c>
      <c r="I19" s="53" t="s">
        <v>15</v>
      </c>
      <c r="J19" s="52">
        <v>0.56000000000000005</v>
      </c>
      <c r="K19" s="52">
        <v>285.38</v>
      </c>
      <c r="L19" s="52">
        <v>29.38</v>
      </c>
      <c r="M19" s="52">
        <v>27.11</v>
      </c>
      <c r="N19" s="52">
        <v>869.2</v>
      </c>
      <c r="O19" s="52">
        <v>0</v>
      </c>
      <c r="P19" s="52">
        <v>0.86</v>
      </c>
      <c r="Q19" s="52">
        <v>9.8699999999999992</v>
      </c>
      <c r="R19" s="43"/>
      <c r="S19" s="43"/>
      <c r="T19" s="43"/>
      <c r="U19" s="43"/>
    </row>
    <row r="20" spans="1:21" s="11" customFormat="1" x14ac:dyDescent="0.25">
      <c r="A20" s="51" t="s">
        <v>431</v>
      </c>
      <c r="B20" s="52">
        <v>22.13</v>
      </c>
      <c r="C20" s="52">
        <v>79.37</v>
      </c>
      <c r="D20" s="52">
        <v>55.96</v>
      </c>
      <c r="E20" s="52">
        <v>7.14</v>
      </c>
      <c r="F20" s="52">
        <v>2.13</v>
      </c>
      <c r="G20" s="52">
        <v>81.16</v>
      </c>
      <c r="H20" s="52">
        <v>30.29</v>
      </c>
      <c r="I20" s="53" t="s">
        <v>15</v>
      </c>
      <c r="J20" s="52">
        <v>0.62</v>
      </c>
      <c r="K20" s="52">
        <v>296.39</v>
      </c>
      <c r="L20" s="52">
        <v>30.89</v>
      </c>
      <c r="M20" s="52">
        <v>24.94</v>
      </c>
      <c r="N20" s="52">
        <v>907.3</v>
      </c>
      <c r="O20" s="52">
        <v>0</v>
      </c>
      <c r="P20" s="52">
        <v>0.9</v>
      </c>
      <c r="Q20" s="52">
        <v>9.81</v>
      </c>
      <c r="R20" s="43"/>
      <c r="S20" s="43"/>
      <c r="T20" s="43"/>
      <c r="U20" s="43"/>
    </row>
    <row r="21" spans="1:21" s="11" customFormat="1" x14ac:dyDescent="0.25">
      <c r="A21" s="51" t="s">
        <v>432</v>
      </c>
      <c r="B21" s="52">
        <v>8.5</v>
      </c>
      <c r="C21" s="52">
        <v>79.180000000000007</v>
      </c>
      <c r="D21" s="52">
        <v>46.81</v>
      </c>
      <c r="E21" s="52">
        <v>7.34</v>
      </c>
      <c r="F21" s="52">
        <v>2.13</v>
      </c>
      <c r="G21" s="52">
        <v>81.81</v>
      </c>
      <c r="H21" s="52">
        <v>28.31</v>
      </c>
      <c r="I21" s="53" t="s">
        <v>15</v>
      </c>
      <c r="J21" s="52">
        <v>1.05</v>
      </c>
      <c r="K21" s="52">
        <v>316.49</v>
      </c>
      <c r="L21" s="52">
        <v>32.85</v>
      </c>
      <c r="M21" s="52">
        <v>17.73</v>
      </c>
      <c r="N21" s="52">
        <v>862</v>
      </c>
      <c r="O21" s="52">
        <v>0</v>
      </c>
      <c r="P21" s="52">
        <v>0.92</v>
      </c>
      <c r="Q21" s="52">
        <v>9.7100000000000009</v>
      </c>
      <c r="R21" s="43"/>
      <c r="S21" s="43"/>
      <c r="T21" s="43"/>
      <c r="U21" s="43"/>
    </row>
    <row r="22" spans="1:21" s="11" customFormat="1" x14ac:dyDescent="0.25">
      <c r="A22" s="51" t="s">
        <v>433</v>
      </c>
      <c r="B22" s="52">
        <v>5.71</v>
      </c>
      <c r="C22" s="52">
        <v>72.19</v>
      </c>
      <c r="D22" s="52">
        <v>40.909999999999997</v>
      </c>
      <c r="E22" s="52">
        <v>6.91</v>
      </c>
      <c r="F22" s="52">
        <v>2.62</v>
      </c>
      <c r="G22" s="52">
        <v>67.069999999999993</v>
      </c>
      <c r="H22" s="52">
        <v>25.75</v>
      </c>
      <c r="I22" s="53" t="s">
        <v>15</v>
      </c>
      <c r="J22" s="52">
        <v>0.93</v>
      </c>
      <c r="K22" s="52">
        <v>297.72000000000003</v>
      </c>
      <c r="L22" s="52">
        <v>31.23</v>
      </c>
      <c r="M22" s="52">
        <v>17.600000000000001</v>
      </c>
      <c r="N22" s="52">
        <v>834.9</v>
      </c>
      <c r="O22" s="52">
        <v>0</v>
      </c>
      <c r="P22" s="52">
        <v>0.8</v>
      </c>
      <c r="Q22" s="52">
        <v>9.68</v>
      </c>
      <c r="R22" s="43"/>
      <c r="S22" s="43"/>
      <c r="T22" s="43"/>
      <c r="U22" s="43"/>
    </row>
    <row r="23" spans="1:21" s="11" customFormat="1" x14ac:dyDescent="0.25">
      <c r="A23" s="51" t="s">
        <v>434</v>
      </c>
      <c r="B23" s="52">
        <v>4.84</v>
      </c>
      <c r="C23" s="52">
        <v>63.26</v>
      </c>
      <c r="D23" s="52">
        <v>35.549999999999997</v>
      </c>
      <c r="E23" s="52">
        <v>6.45</v>
      </c>
      <c r="F23" s="52">
        <v>4.09</v>
      </c>
      <c r="G23" s="52">
        <v>51.91</v>
      </c>
      <c r="H23" s="52">
        <v>21.82</v>
      </c>
      <c r="I23" s="53" t="s">
        <v>15</v>
      </c>
      <c r="J23" s="52">
        <v>0.79</v>
      </c>
      <c r="K23" s="52">
        <v>280.68</v>
      </c>
      <c r="L23" s="52">
        <v>30.91</v>
      </c>
      <c r="M23" s="52">
        <v>16.329999999999998</v>
      </c>
      <c r="N23" s="52">
        <v>702</v>
      </c>
      <c r="O23" s="52">
        <v>0</v>
      </c>
      <c r="P23" s="52">
        <v>0.68</v>
      </c>
      <c r="Q23" s="52">
        <v>9.58</v>
      </c>
      <c r="R23" s="43"/>
      <c r="S23" s="43"/>
      <c r="T23" s="43"/>
      <c r="U23" s="43"/>
    </row>
    <row r="24" spans="1:21" s="11" customFormat="1" x14ac:dyDescent="0.25">
      <c r="A24" s="51" t="s">
        <v>435</v>
      </c>
      <c r="B24" s="52">
        <v>4.6399999999999997</v>
      </c>
      <c r="C24" s="52">
        <v>57.04</v>
      </c>
      <c r="D24" s="52">
        <v>32.14</v>
      </c>
      <c r="E24" s="52">
        <v>7.96</v>
      </c>
      <c r="F24" s="52">
        <v>4.43</v>
      </c>
      <c r="G24" s="52">
        <v>51.54</v>
      </c>
      <c r="H24" s="52">
        <v>19.88</v>
      </c>
      <c r="I24" s="53" t="s">
        <v>15</v>
      </c>
      <c r="J24" s="52">
        <v>0.66</v>
      </c>
      <c r="K24" s="52">
        <v>284.47000000000003</v>
      </c>
      <c r="L24" s="52">
        <v>29.45</v>
      </c>
      <c r="M24" s="52">
        <v>16.75</v>
      </c>
      <c r="N24" s="52">
        <v>437.5</v>
      </c>
      <c r="O24" s="52">
        <v>0</v>
      </c>
      <c r="P24" s="52">
        <v>0.6</v>
      </c>
      <c r="Q24" s="52">
        <v>9.44</v>
      </c>
      <c r="R24" s="43"/>
      <c r="S24" s="43"/>
      <c r="T24" s="43"/>
      <c r="U24" s="43"/>
    </row>
    <row r="25" spans="1:21" s="11" customFormat="1" x14ac:dyDescent="0.25">
      <c r="A25" s="51" t="s">
        <v>436</v>
      </c>
      <c r="B25" s="52">
        <v>4.68</v>
      </c>
      <c r="C25" s="52">
        <v>50.86</v>
      </c>
      <c r="D25" s="52">
        <v>28.84</v>
      </c>
      <c r="E25" s="52">
        <v>7.37</v>
      </c>
      <c r="F25" s="52">
        <v>3.67</v>
      </c>
      <c r="G25" s="52">
        <v>49.93</v>
      </c>
      <c r="H25" s="52">
        <v>15.33</v>
      </c>
      <c r="I25" s="53" t="s">
        <v>15</v>
      </c>
      <c r="J25" s="52">
        <v>0.69</v>
      </c>
      <c r="K25" s="52">
        <v>298.57</v>
      </c>
      <c r="L25" s="52">
        <v>28.13</v>
      </c>
      <c r="M25" s="52">
        <v>18.739999999999998</v>
      </c>
      <c r="N25" s="52">
        <v>144.19999999999999</v>
      </c>
      <c r="O25" s="52">
        <v>0</v>
      </c>
      <c r="P25" s="52">
        <v>0.53</v>
      </c>
      <c r="Q25" s="52">
        <v>9.33</v>
      </c>
      <c r="R25" s="43"/>
      <c r="S25" s="43"/>
      <c r="T25" s="43"/>
      <c r="U25" s="43"/>
    </row>
    <row r="26" spans="1:21" s="11" customFormat="1" x14ac:dyDescent="0.25">
      <c r="A26" s="51" t="s">
        <v>437</v>
      </c>
      <c r="B26" s="52">
        <v>5.52</v>
      </c>
      <c r="C26" s="52">
        <v>53.94</v>
      </c>
      <c r="D26" s="52">
        <v>31.23</v>
      </c>
      <c r="E26" s="52">
        <v>7.22</v>
      </c>
      <c r="F26" s="52">
        <v>2.41</v>
      </c>
      <c r="G26" s="52">
        <v>40.630000000000003</v>
      </c>
      <c r="H26" s="52">
        <v>14.95</v>
      </c>
      <c r="I26" s="53" t="s">
        <v>15</v>
      </c>
      <c r="J26" s="52">
        <v>0.49</v>
      </c>
      <c r="K26" s="52">
        <v>301.63</v>
      </c>
      <c r="L26" s="52">
        <v>27.15</v>
      </c>
      <c r="M26" s="52">
        <v>21.49</v>
      </c>
      <c r="N26" s="52">
        <v>103</v>
      </c>
      <c r="O26" s="52">
        <v>0</v>
      </c>
      <c r="P26" s="52">
        <v>0.73</v>
      </c>
      <c r="Q26" s="52">
        <v>9.3800000000000008</v>
      </c>
      <c r="R26" s="43"/>
      <c r="S26" s="43"/>
      <c r="T26" s="43"/>
      <c r="U26" s="43"/>
    </row>
    <row r="27" spans="1:21" s="11" customFormat="1" x14ac:dyDescent="0.25">
      <c r="A27" s="51" t="s">
        <v>438</v>
      </c>
      <c r="B27" s="52">
        <v>7.35</v>
      </c>
      <c r="C27" s="52">
        <v>57.89</v>
      </c>
      <c r="D27" s="52">
        <v>34.770000000000003</v>
      </c>
      <c r="E27" s="52">
        <v>7.13</v>
      </c>
      <c r="F27" s="52">
        <v>2.13</v>
      </c>
      <c r="G27" s="52">
        <v>45.32</v>
      </c>
      <c r="H27" s="52">
        <v>13.71</v>
      </c>
      <c r="I27" s="53" t="s">
        <v>15</v>
      </c>
      <c r="J27" s="52">
        <v>0.62</v>
      </c>
      <c r="K27" s="52">
        <v>289.99</v>
      </c>
      <c r="L27" s="52">
        <v>25.13</v>
      </c>
      <c r="M27" s="52">
        <v>26.41</v>
      </c>
      <c r="N27" s="52">
        <v>68.400000000000006</v>
      </c>
      <c r="O27" s="52">
        <v>0</v>
      </c>
      <c r="P27" s="52">
        <v>1.0900000000000001</v>
      </c>
      <c r="Q27" s="52">
        <v>9.4600000000000009</v>
      </c>
      <c r="R27" s="43"/>
      <c r="S27" s="43"/>
      <c r="T27" s="43"/>
      <c r="U27" s="43"/>
    </row>
    <row r="28" spans="1:21" s="11" customFormat="1" x14ac:dyDescent="0.25">
      <c r="A28" s="51" t="s">
        <v>439</v>
      </c>
      <c r="B28" s="52">
        <v>16.66</v>
      </c>
      <c r="C28" s="52">
        <v>62.32</v>
      </c>
      <c r="D28" s="52">
        <v>44.54</v>
      </c>
      <c r="E28" s="52">
        <v>8.1199999999999992</v>
      </c>
      <c r="F28" s="52">
        <v>2.13</v>
      </c>
      <c r="G28" s="52">
        <v>53.15</v>
      </c>
      <c r="H28" s="52">
        <v>17</v>
      </c>
      <c r="I28" s="53" t="s">
        <v>15</v>
      </c>
      <c r="J28" s="52">
        <v>0.75</v>
      </c>
      <c r="K28" s="52">
        <v>316.29000000000002</v>
      </c>
      <c r="L28" s="52">
        <v>22.16</v>
      </c>
      <c r="M28" s="52">
        <v>35.07</v>
      </c>
      <c r="N28" s="52">
        <v>68.099999999999994</v>
      </c>
      <c r="O28" s="52">
        <v>0</v>
      </c>
      <c r="P28" s="52">
        <v>1.08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440</v>
      </c>
      <c r="B29" s="52">
        <v>32.06</v>
      </c>
      <c r="C29" s="52">
        <v>67.5</v>
      </c>
      <c r="D29" s="52">
        <v>59.6</v>
      </c>
      <c r="E29" s="52">
        <v>8.67</v>
      </c>
      <c r="F29" s="52">
        <v>2.13</v>
      </c>
      <c r="G29" s="52">
        <v>71.400000000000006</v>
      </c>
      <c r="H29" s="52">
        <v>19.399999999999999</v>
      </c>
      <c r="I29" s="53" t="s">
        <v>15</v>
      </c>
      <c r="J29" s="52">
        <v>0.61</v>
      </c>
      <c r="K29" s="52">
        <v>289.37</v>
      </c>
      <c r="L29" s="52">
        <v>20.64</v>
      </c>
      <c r="M29" s="52">
        <v>45.11</v>
      </c>
      <c r="N29" s="52">
        <v>67.900000000000006</v>
      </c>
      <c r="O29" s="52">
        <v>0</v>
      </c>
      <c r="P29" s="52">
        <v>1.1200000000000001</v>
      </c>
      <c r="Q29" s="52">
        <v>9.67</v>
      </c>
      <c r="R29" s="43"/>
      <c r="S29" s="43"/>
      <c r="T29" s="43"/>
      <c r="U29" s="43"/>
    </row>
    <row r="30" spans="1:21" s="11" customFormat="1" x14ac:dyDescent="0.25">
      <c r="A30" s="51" t="s">
        <v>441</v>
      </c>
      <c r="B30" s="52">
        <v>85.16</v>
      </c>
      <c r="C30" s="52">
        <v>73.260000000000005</v>
      </c>
      <c r="D30" s="52">
        <v>105.2</v>
      </c>
      <c r="E30" s="52">
        <v>9.65</v>
      </c>
      <c r="F30" s="52">
        <v>2.13</v>
      </c>
      <c r="G30" s="52">
        <v>102.95</v>
      </c>
      <c r="H30" s="52">
        <v>24</v>
      </c>
      <c r="I30" s="53" t="s">
        <v>15</v>
      </c>
      <c r="J30" s="52">
        <v>0.69</v>
      </c>
      <c r="K30" s="52">
        <v>325.70999999999998</v>
      </c>
      <c r="L30" s="52">
        <v>18.77</v>
      </c>
      <c r="M30" s="52">
        <v>48.05</v>
      </c>
      <c r="N30" s="52">
        <v>67.8</v>
      </c>
      <c r="O30" s="52">
        <v>0</v>
      </c>
      <c r="P30" s="52">
        <v>1.32</v>
      </c>
      <c r="Q30" s="52">
        <v>9.74</v>
      </c>
      <c r="R30" s="43"/>
      <c r="S30" s="43"/>
      <c r="T30" s="43"/>
      <c r="U30" s="43"/>
    </row>
    <row r="31" spans="1:21" s="11" customFormat="1" x14ac:dyDescent="0.25">
      <c r="A31" s="51" t="s">
        <v>442</v>
      </c>
      <c r="B31" s="52">
        <v>117.8</v>
      </c>
      <c r="C31" s="52">
        <v>71.849999999999994</v>
      </c>
      <c r="D31" s="52">
        <v>130.47999999999999</v>
      </c>
      <c r="E31" s="52">
        <v>9.7899999999999991</v>
      </c>
      <c r="F31" s="52">
        <v>2.19</v>
      </c>
      <c r="G31" s="52">
        <v>125.34</v>
      </c>
      <c r="H31" s="52">
        <v>30.72</v>
      </c>
      <c r="I31" s="53" t="s">
        <v>15</v>
      </c>
      <c r="J31" s="52">
        <v>0.7</v>
      </c>
      <c r="K31" s="52">
        <v>339.27</v>
      </c>
      <c r="L31" s="52">
        <v>18.11</v>
      </c>
      <c r="M31" s="52">
        <v>57.38</v>
      </c>
      <c r="N31" s="52">
        <v>67.900000000000006</v>
      </c>
      <c r="O31" s="52">
        <v>0</v>
      </c>
      <c r="P31" s="52">
        <v>1.85</v>
      </c>
      <c r="Q31" s="52">
        <v>9.9</v>
      </c>
      <c r="R31" s="43"/>
      <c r="S31" s="43"/>
      <c r="T31" s="43"/>
      <c r="U31" s="43"/>
    </row>
    <row r="32" spans="1:21" s="11" customFormat="1" x14ac:dyDescent="0.25">
      <c r="A32" s="51" t="s">
        <v>443</v>
      </c>
      <c r="B32" s="52">
        <v>134.65</v>
      </c>
      <c r="C32" s="52">
        <v>70.87</v>
      </c>
      <c r="D32" s="52">
        <v>142.65</v>
      </c>
      <c r="E32" s="52">
        <v>10.28</v>
      </c>
      <c r="F32" s="52">
        <v>2.13</v>
      </c>
      <c r="G32" s="52">
        <v>142.86000000000001</v>
      </c>
      <c r="H32" s="52">
        <v>36.61</v>
      </c>
      <c r="I32" s="53" t="s">
        <v>15</v>
      </c>
      <c r="J32" s="52">
        <v>0.63</v>
      </c>
      <c r="K32" s="52">
        <v>307.81</v>
      </c>
      <c r="L32" s="52">
        <v>17.02</v>
      </c>
      <c r="M32" s="52">
        <v>60.09</v>
      </c>
      <c r="N32" s="52">
        <v>67.900000000000006</v>
      </c>
      <c r="O32" s="52">
        <v>0</v>
      </c>
      <c r="P32" s="52">
        <v>1.67</v>
      </c>
      <c r="Q32" s="52">
        <v>10.08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4.6399999999999997</v>
      </c>
      <c r="C34" s="28">
        <f t="shared" si="0"/>
        <v>50.86</v>
      </c>
      <c r="D34" s="28">
        <f t="shared" si="0"/>
        <v>28.84</v>
      </c>
      <c r="E34" s="28">
        <f t="shared" si="0"/>
        <v>6.45</v>
      </c>
      <c r="F34" s="28">
        <f t="shared" si="0"/>
        <v>2.13</v>
      </c>
      <c r="G34" s="28">
        <f t="shared" si="0"/>
        <v>40.630000000000003</v>
      </c>
      <c r="H34" s="28">
        <f t="shared" si="0"/>
        <v>13.71</v>
      </c>
      <c r="I34" s="28">
        <f t="shared" si="0"/>
        <v>0</v>
      </c>
      <c r="J34" s="28">
        <f t="shared" si="0"/>
        <v>0.49</v>
      </c>
      <c r="K34" s="28">
        <f t="shared" si="0"/>
        <v>191.8</v>
      </c>
      <c r="L34" s="28">
        <f t="shared" si="0"/>
        <v>12.36</v>
      </c>
      <c r="M34" s="28">
        <f t="shared" si="0"/>
        <v>16.329999999999998</v>
      </c>
      <c r="N34" s="28">
        <f t="shared" si="0"/>
        <v>66.2</v>
      </c>
      <c r="O34" s="28">
        <f t="shared" si="0"/>
        <v>0</v>
      </c>
      <c r="P34" s="28">
        <f t="shared" si="0"/>
        <v>0.53</v>
      </c>
      <c r="Q34" s="28">
        <f t="shared" si="0"/>
        <v>9.33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134.65</v>
      </c>
      <c r="C35" s="29">
        <f t="shared" si="1"/>
        <v>79.37</v>
      </c>
      <c r="D35" s="29">
        <f t="shared" si="1"/>
        <v>142.65</v>
      </c>
      <c r="E35" s="29">
        <f t="shared" si="1"/>
        <v>10.28</v>
      </c>
      <c r="F35" s="29">
        <f t="shared" si="1"/>
        <v>4.43</v>
      </c>
      <c r="G35" s="29">
        <f t="shared" si="1"/>
        <v>142.86000000000001</v>
      </c>
      <c r="H35" s="29">
        <f t="shared" si="1"/>
        <v>36.61</v>
      </c>
      <c r="I35" s="29">
        <f t="shared" si="1"/>
        <v>0</v>
      </c>
      <c r="J35" s="29">
        <f t="shared" si="1"/>
        <v>1.66</v>
      </c>
      <c r="K35" s="29">
        <f t="shared" si="1"/>
        <v>355.87</v>
      </c>
      <c r="L35" s="29">
        <f t="shared" si="1"/>
        <v>32.85</v>
      </c>
      <c r="M35" s="29">
        <f t="shared" si="1"/>
        <v>86.65</v>
      </c>
      <c r="N35" s="29">
        <f t="shared" si="1"/>
        <v>907.3</v>
      </c>
      <c r="O35" s="29">
        <f t="shared" si="1"/>
        <v>0</v>
      </c>
      <c r="P35" s="29">
        <f t="shared" si="1"/>
        <v>1.85</v>
      </c>
      <c r="Q35" s="29">
        <f t="shared" si="1"/>
        <v>10.09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40.964999999999996</v>
      </c>
      <c r="C36" s="28">
        <f t="shared" si="2"/>
        <v>64.901250000000005</v>
      </c>
      <c r="D36" s="28">
        <f t="shared" si="2"/>
        <v>64.86666666666666</v>
      </c>
      <c r="E36" s="28">
        <f t="shared" si="2"/>
        <v>7.8087499999999999</v>
      </c>
      <c r="F36" s="28">
        <f t="shared" si="2"/>
        <v>2.4137499999999998</v>
      </c>
      <c r="G36" s="28">
        <f t="shared" si="2"/>
        <v>83.171250000000001</v>
      </c>
      <c r="H36" s="28">
        <f t="shared" si="2"/>
        <v>25.186666666666667</v>
      </c>
      <c r="I36" s="28" t="e">
        <f t="shared" si="2"/>
        <v>#DIV/0!</v>
      </c>
      <c r="J36" s="28">
        <f t="shared" si="2"/>
        <v>0.76958333333333329</v>
      </c>
      <c r="K36" s="28">
        <f t="shared" si="2"/>
        <v>300.73041666666671</v>
      </c>
      <c r="L36" s="28">
        <f t="shared" si="2"/>
        <v>21.771666666666665</v>
      </c>
      <c r="M36" s="28">
        <f t="shared" si="2"/>
        <v>46.238333333333344</v>
      </c>
      <c r="N36" s="28">
        <f t="shared" si="2"/>
        <v>307.04583333333329</v>
      </c>
      <c r="O36" s="28">
        <f t="shared" si="2"/>
        <v>0</v>
      </c>
      <c r="P36" s="28">
        <f t="shared" si="2"/>
        <v>0.9470833333333335</v>
      </c>
      <c r="Q36" s="28">
        <f t="shared" si="2"/>
        <v>9.7658333333333367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36.633103228827245</v>
      </c>
      <c r="C37" s="28">
        <f t="shared" ref="C37:Q37" si="3">STDEV(C9:C32)</f>
        <v>7.6609968204279948</v>
      </c>
      <c r="D37" s="28">
        <f t="shared" si="3"/>
        <v>30.454730862118275</v>
      </c>
      <c r="E37" s="28">
        <f t="shared" si="3"/>
        <v>1.0136645208694883</v>
      </c>
      <c r="F37" s="28">
        <f t="shared" si="3"/>
        <v>0.6567033113441979</v>
      </c>
      <c r="G37" s="28">
        <f t="shared" si="3"/>
        <v>28.470513856253611</v>
      </c>
      <c r="H37" s="28">
        <f t="shared" si="3"/>
        <v>5.9467204455877276</v>
      </c>
      <c r="I37" s="28" t="e">
        <f t="shared" si="3"/>
        <v>#DIV/0!</v>
      </c>
      <c r="J37" s="28">
        <f t="shared" si="3"/>
        <v>0.27849719640563236</v>
      </c>
      <c r="K37" s="28">
        <f t="shared" si="3"/>
        <v>38.568052162961322</v>
      </c>
      <c r="L37" s="28">
        <f t="shared" si="3"/>
        <v>7.0095287112346707</v>
      </c>
      <c r="M37" s="28">
        <f t="shared" si="3"/>
        <v>24.348244766068959</v>
      </c>
      <c r="N37" s="28">
        <f t="shared" si="3"/>
        <v>329.43489688591268</v>
      </c>
      <c r="O37" s="28">
        <f t="shared" si="3"/>
        <v>0</v>
      </c>
      <c r="P37" s="28">
        <f t="shared" si="3"/>
        <v>0.3014815470114306</v>
      </c>
      <c r="Q37" s="28">
        <f t="shared" si="3"/>
        <v>0.21147343684906048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444</v>
      </c>
      <c r="B9" s="52">
        <v>135.75</v>
      </c>
      <c r="C9" s="52">
        <v>69.040000000000006</v>
      </c>
      <c r="D9" s="52">
        <v>143.52000000000001</v>
      </c>
      <c r="E9" s="52">
        <v>9.6</v>
      </c>
      <c r="F9" s="52">
        <v>2.13</v>
      </c>
      <c r="G9" s="52">
        <v>135.24</v>
      </c>
      <c r="H9" s="52">
        <v>32.54</v>
      </c>
      <c r="I9" s="53" t="s">
        <v>15</v>
      </c>
      <c r="J9" s="52">
        <v>0.81</v>
      </c>
      <c r="K9" s="52">
        <v>332.97</v>
      </c>
      <c r="L9" s="52">
        <v>16.23</v>
      </c>
      <c r="M9" s="52">
        <v>60.4</v>
      </c>
      <c r="N9" s="52">
        <v>68.099999999999994</v>
      </c>
      <c r="O9" s="52">
        <v>0</v>
      </c>
      <c r="P9" s="52">
        <v>1.5</v>
      </c>
      <c r="Q9" s="52">
        <v>10.210000000000001</v>
      </c>
      <c r="R9" s="43"/>
      <c r="S9" s="43"/>
      <c r="T9" s="43"/>
      <c r="U9" s="43"/>
    </row>
    <row r="10" spans="1:21" s="11" customFormat="1" x14ac:dyDescent="0.25">
      <c r="A10" s="51" t="s">
        <v>445</v>
      </c>
      <c r="B10" s="52">
        <v>123.78</v>
      </c>
      <c r="C10" s="52">
        <v>65.290000000000006</v>
      </c>
      <c r="D10" s="52">
        <v>132</v>
      </c>
      <c r="E10" s="52">
        <v>8.8800000000000008</v>
      </c>
      <c r="F10" s="52">
        <v>2.13</v>
      </c>
      <c r="G10" s="52">
        <v>116.44</v>
      </c>
      <c r="H10" s="52">
        <v>33.020000000000003</v>
      </c>
      <c r="I10" s="53" t="s">
        <v>15</v>
      </c>
      <c r="J10" s="52">
        <v>0.65</v>
      </c>
      <c r="K10" s="52">
        <v>337.44</v>
      </c>
      <c r="L10" s="52">
        <v>15.95</v>
      </c>
      <c r="M10" s="52">
        <v>61.57</v>
      </c>
      <c r="N10" s="52">
        <v>68.3</v>
      </c>
      <c r="O10" s="52">
        <v>0</v>
      </c>
      <c r="P10" s="52">
        <v>1.29</v>
      </c>
      <c r="Q10" s="52">
        <v>10.199999999999999</v>
      </c>
      <c r="R10" s="43"/>
      <c r="S10" s="43"/>
      <c r="T10" s="43"/>
      <c r="U10" s="43"/>
    </row>
    <row r="11" spans="1:21" s="11" customFormat="1" x14ac:dyDescent="0.25">
      <c r="A11" s="51" t="s">
        <v>446</v>
      </c>
      <c r="B11" s="52">
        <v>100.76</v>
      </c>
      <c r="C11" s="52">
        <v>60.57</v>
      </c>
      <c r="D11" s="52">
        <v>111.07</v>
      </c>
      <c r="E11" s="52">
        <v>8.8000000000000007</v>
      </c>
      <c r="F11" s="52">
        <v>2.13</v>
      </c>
      <c r="G11" s="52">
        <v>86.66</v>
      </c>
      <c r="H11" s="52">
        <v>27.2</v>
      </c>
      <c r="I11" s="53" t="s">
        <v>15</v>
      </c>
      <c r="J11" s="52">
        <v>0.62</v>
      </c>
      <c r="K11" s="52">
        <v>288.29000000000002</v>
      </c>
      <c r="L11" s="52">
        <v>16.27</v>
      </c>
      <c r="M11" s="52">
        <v>59.99</v>
      </c>
      <c r="N11" s="52">
        <v>68.099999999999994</v>
      </c>
      <c r="O11" s="52">
        <v>0</v>
      </c>
      <c r="P11" s="52">
        <v>1.19</v>
      </c>
      <c r="Q11" s="52">
        <v>10.15</v>
      </c>
      <c r="R11" s="43"/>
      <c r="S11" s="43"/>
      <c r="T11" s="43"/>
      <c r="U11" s="43"/>
    </row>
    <row r="12" spans="1:21" s="11" customFormat="1" x14ac:dyDescent="0.25">
      <c r="A12" s="51" t="s">
        <v>447</v>
      </c>
      <c r="B12" s="52">
        <v>82.66</v>
      </c>
      <c r="C12" s="52">
        <v>55.86</v>
      </c>
      <c r="D12" s="52">
        <v>94.09</v>
      </c>
      <c r="E12" s="52">
        <v>8.32</v>
      </c>
      <c r="F12" s="52">
        <v>2.13</v>
      </c>
      <c r="G12" s="52">
        <v>66.739999999999995</v>
      </c>
      <c r="H12" s="52">
        <v>24.99</v>
      </c>
      <c r="I12" s="53" t="s">
        <v>15</v>
      </c>
      <c r="J12" s="52">
        <v>0.66</v>
      </c>
      <c r="K12" s="52">
        <v>273.61</v>
      </c>
      <c r="L12" s="52">
        <v>15.5</v>
      </c>
      <c r="M12" s="52">
        <v>66.13</v>
      </c>
      <c r="N12" s="52">
        <v>68.400000000000006</v>
      </c>
      <c r="O12" s="52">
        <v>0</v>
      </c>
      <c r="P12" s="52">
        <v>0.95</v>
      </c>
      <c r="Q12" s="52">
        <v>10.01</v>
      </c>
      <c r="R12" s="43"/>
      <c r="S12" s="43"/>
      <c r="T12" s="43"/>
      <c r="U12" s="43"/>
    </row>
    <row r="13" spans="1:21" s="11" customFormat="1" x14ac:dyDescent="0.25">
      <c r="A13" s="51" t="s">
        <v>448</v>
      </c>
      <c r="B13" s="52">
        <v>70.83</v>
      </c>
      <c r="C13" s="52">
        <v>53.56</v>
      </c>
      <c r="D13" s="52">
        <v>83.41</v>
      </c>
      <c r="E13" s="52">
        <v>8.6300000000000008</v>
      </c>
      <c r="F13" s="52">
        <v>2.13</v>
      </c>
      <c r="G13" s="52">
        <v>72.92</v>
      </c>
      <c r="H13" s="52">
        <v>24.15</v>
      </c>
      <c r="I13" s="53" t="s">
        <v>15</v>
      </c>
      <c r="J13" s="52">
        <v>0.75</v>
      </c>
      <c r="K13" s="52">
        <v>313.05</v>
      </c>
      <c r="L13" s="52">
        <v>14.28</v>
      </c>
      <c r="M13" s="52">
        <v>71.930000000000007</v>
      </c>
      <c r="N13" s="52">
        <v>68.3</v>
      </c>
      <c r="O13" s="52">
        <v>0</v>
      </c>
      <c r="P13" s="52">
        <v>0.93</v>
      </c>
      <c r="Q13" s="52">
        <v>9.93</v>
      </c>
      <c r="R13" s="43"/>
      <c r="S13" s="43"/>
      <c r="T13" s="43"/>
      <c r="U13" s="43"/>
    </row>
    <row r="14" spans="1:21" s="11" customFormat="1" x14ac:dyDescent="0.25">
      <c r="A14" s="51" t="s">
        <v>449</v>
      </c>
      <c r="B14" s="52">
        <v>82.58</v>
      </c>
      <c r="C14" s="52">
        <v>54.66</v>
      </c>
      <c r="D14" s="52">
        <v>93.4</v>
      </c>
      <c r="E14" s="52">
        <v>8.2799999999999994</v>
      </c>
      <c r="F14" s="52">
        <v>2.13</v>
      </c>
      <c r="G14" s="52">
        <v>86.4</v>
      </c>
      <c r="H14" s="52">
        <v>23.34</v>
      </c>
      <c r="I14" s="53" t="s">
        <v>15</v>
      </c>
      <c r="J14" s="52">
        <v>0.81</v>
      </c>
      <c r="K14" s="52">
        <v>276.16000000000003</v>
      </c>
      <c r="L14" s="52">
        <v>14.23</v>
      </c>
      <c r="M14" s="52">
        <v>71.709999999999994</v>
      </c>
      <c r="N14" s="52">
        <v>68.2</v>
      </c>
      <c r="O14" s="52">
        <v>0</v>
      </c>
      <c r="P14" s="52">
        <v>0.9</v>
      </c>
      <c r="Q14" s="52">
        <v>9.93</v>
      </c>
      <c r="R14" s="43"/>
      <c r="S14" s="43"/>
      <c r="T14" s="43"/>
      <c r="U14" s="43"/>
    </row>
    <row r="15" spans="1:21" s="11" customFormat="1" x14ac:dyDescent="0.25">
      <c r="A15" s="51" t="s">
        <v>450</v>
      </c>
      <c r="B15" s="52">
        <v>91.44</v>
      </c>
      <c r="C15" s="52">
        <v>54.87</v>
      </c>
      <c r="D15" s="52">
        <v>99.93</v>
      </c>
      <c r="E15" s="52">
        <v>8.44</v>
      </c>
      <c r="F15" s="52">
        <v>2.13</v>
      </c>
      <c r="G15" s="52">
        <v>88.64</v>
      </c>
      <c r="H15" s="52">
        <v>24.54</v>
      </c>
      <c r="I15" s="53" t="s">
        <v>15</v>
      </c>
      <c r="J15" s="52">
        <v>0.59</v>
      </c>
      <c r="K15" s="52">
        <v>327.01</v>
      </c>
      <c r="L15" s="52">
        <v>14.06</v>
      </c>
      <c r="M15" s="52">
        <v>75</v>
      </c>
      <c r="N15" s="52">
        <v>93</v>
      </c>
      <c r="O15" s="52">
        <v>0</v>
      </c>
      <c r="P15" s="52">
        <v>0.92</v>
      </c>
      <c r="Q15" s="52">
        <v>9.9600000000000009</v>
      </c>
      <c r="R15" s="43"/>
      <c r="S15" s="43"/>
      <c r="T15" s="43"/>
      <c r="U15" s="43"/>
    </row>
    <row r="16" spans="1:21" s="11" customFormat="1" x14ac:dyDescent="0.25">
      <c r="A16" s="51" t="s">
        <v>451</v>
      </c>
      <c r="B16" s="52">
        <v>103.27</v>
      </c>
      <c r="C16" s="52">
        <v>56.46</v>
      </c>
      <c r="D16" s="52">
        <v>110.94</v>
      </c>
      <c r="E16" s="52">
        <v>8.84</v>
      </c>
      <c r="F16" s="52">
        <v>2.13</v>
      </c>
      <c r="G16" s="52">
        <v>95.28</v>
      </c>
      <c r="H16" s="52">
        <v>24.64</v>
      </c>
      <c r="I16" s="53" t="s">
        <v>15</v>
      </c>
      <c r="J16" s="52">
        <v>1.41</v>
      </c>
      <c r="K16" s="52">
        <v>329.23</v>
      </c>
      <c r="L16" s="52">
        <v>18.02</v>
      </c>
      <c r="M16" s="52">
        <v>70.45</v>
      </c>
      <c r="N16" s="52">
        <v>285.7</v>
      </c>
      <c r="O16" s="52">
        <v>0</v>
      </c>
      <c r="P16" s="52">
        <v>1.03</v>
      </c>
      <c r="Q16" s="52">
        <v>10.01</v>
      </c>
      <c r="R16" s="43"/>
      <c r="S16" s="43"/>
      <c r="T16" s="43"/>
      <c r="U16" s="43"/>
    </row>
    <row r="17" spans="1:21" s="11" customFormat="1" x14ac:dyDescent="0.25">
      <c r="A17" s="51" t="s">
        <v>452</v>
      </c>
      <c r="B17" s="52">
        <v>99.6</v>
      </c>
      <c r="C17" s="52">
        <v>58.64</v>
      </c>
      <c r="D17" s="52">
        <v>108.02</v>
      </c>
      <c r="E17" s="52">
        <v>6.83</v>
      </c>
      <c r="F17" s="52">
        <v>2.13</v>
      </c>
      <c r="G17" s="52">
        <v>111.42</v>
      </c>
      <c r="H17" s="52">
        <v>26.29</v>
      </c>
      <c r="I17" s="53" t="s">
        <v>15</v>
      </c>
      <c r="J17" s="52">
        <v>1.24</v>
      </c>
      <c r="K17" s="52">
        <v>213.92</v>
      </c>
      <c r="L17" s="52">
        <v>22.39</v>
      </c>
      <c r="M17" s="52">
        <v>57.39</v>
      </c>
      <c r="N17" s="52">
        <v>499.6</v>
      </c>
      <c r="O17" s="52">
        <v>0</v>
      </c>
      <c r="P17" s="52">
        <v>0.9</v>
      </c>
      <c r="Q17" s="52">
        <v>10.07</v>
      </c>
      <c r="R17" s="43"/>
      <c r="S17" s="43"/>
      <c r="T17" s="43"/>
      <c r="U17" s="43"/>
    </row>
    <row r="18" spans="1:21" s="11" customFormat="1" x14ac:dyDescent="0.25">
      <c r="A18" s="51" t="s">
        <v>453</v>
      </c>
      <c r="B18" s="52">
        <v>79.260000000000005</v>
      </c>
      <c r="C18" s="52">
        <v>66.34</v>
      </c>
      <c r="D18" s="52">
        <v>93.31</v>
      </c>
      <c r="E18" s="52">
        <v>6.62</v>
      </c>
      <c r="F18" s="52">
        <v>2.13</v>
      </c>
      <c r="G18" s="52">
        <v>111.31</v>
      </c>
      <c r="H18" s="52">
        <v>29.22</v>
      </c>
      <c r="I18" s="53" t="s">
        <v>15</v>
      </c>
      <c r="J18" s="52">
        <v>1.03</v>
      </c>
      <c r="K18" s="52">
        <v>326.3</v>
      </c>
      <c r="L18" s="52">
        <v>28</v>
      </c>
      <c r="M18" s="52">
        <v>40.51</v>
      </c>
      <c r="N18" s="52">
        <v>687.7</v>
      </c>
      <c r="O18" s="52">
        <v>0</v>
      </c>
      <c r="P18" s="52">
        <v>0.91</v>
      </c>
      <c r="Q18" s="52">
        <v>9.99</v>
      </c>
      <c r="R18" s="43"/>
      <c r="S18" s="43"/>
      <c r="T18" s="43"/>
      <c r="U18" s="43"/>
    </row>
    <row r="19" spans="1:21" s="11" customFormat="1" x14ac:dyDescent="0.25">
      <c r="A19" s="51" t="s">
        <v>454</v>
      </c>
      <c r="B19" s="52">
        <v>57.44</v>
      </c>
      <c r="C19" s="52">
        <v>86.35</v>
      </c>
      <c r="D19" s="52">
        <v>81.650000000000006</v>
      </c>
      <c r="E19" s="52">
        <v>6.85</v>
      </c>
      <c r="F19" s="52">
        <v>2.13</v>
      </c>
      <c r="G19" s="52">
        <v>112.56</v>
      </c>
      <c r="H19" s="52">
        <v>32.53</v>
      </c>
      <c r="I19" s="53" t="s">
        <v>15</v>
      </c>
      <c r="J19" s="52">
        <v>1.52</v>
      </c>
      <c r="K19" s="52">
        <v>336</v>
      </c>
      <c r="L19" s="52">
        <v>30.61</v>
      </c>
      <c r="M19" s="52">
        <v>31.86</v>
      </c>
      <c r="N19" s="52">
        <v>805.5</v>
      </c>
      <c r="O19" s="52">
        <v>0</v>
      </c>
      <c r="P19" s="52">
        <v>1.01</v>
      </c>
      <c r="Q19" s="52">
        <v>9.91</v>
      </c>
      <c r="R19" s="43"/>
      <c r="S19" s="43"/>
      <c r="T19" s="43"/>
      <c r="U19" s="43"/>
    </row>
    <row r="20" spans="1:21" s="11" customFormat="1" x14ac:dyDescent="0.25">
      <c r="A20" s="51" t="s">
        <v>455</v>
      </c>
      <c r="B20" s="52">
        <v>32.57</v>
      </c>
      <c r="C20" s="52">
        <v>89.31</v>
      </c>
      <c r="D20" s="52">
        <v>71.41</v>
      </c>
      <c r="E20" s="52">
        <v>7</v>
      </c>
      <c r="F20" s="52">
        <v>2.13</v>
      </c>
      <c r="G20" s="52">
        <v>115.89</v>
      </c>
      <c r="H20" s="52">
        <v>35.69</v>
      </c>
      <c r="I20" s="53" t="s">
        <v>15</v>
      </c>
      <c r="J20" s="52">
        <v>0.96</v>
      </c>
      <c r="K20" s="52">
        <v>90.55</v>
      </c>
      <c r="L20" s="52">
        <v>29.78</v>
      </c>
      <c r="M20" s="52">
        <v>28.34</v>
      </c>
      <c r="N20" s="52">
        <v>843.9</v>
      </c>
      <c r="O20" s="52">
        <v>0</v>
      </c>
      <c r="P20" s="52">
        <v>1</v>
      </c>
      <c r="Q20" s="52">
        <v>9.81</v>
      </c>
      <c r="R20" s="43"/>
      <c r="S20" s="43"/>
      <c r="T20" s="43"/>
      <c r="U20" s="43"/>
    </row>
    <row r="21" spans="1:21" s="11" customFormat="1" x14ac:dyDescent="0.25">
      <c r="A21" s="51" t="s">
        <v>456</v>
      </c>
      <c r="B21" s="52">
        <v>20</v>
      </c>
      <c r="C21" s="52">
        <v>85.85</v>
      </c>
      <c r="D21" s="52">
        <v>59.52</v>
      </c>
      <c r="E21" s="52">
        <v>6.42</v>
      </c>
      <c r="F21" s="52">
        <v>2.13</v>
      </c>
      <c r="G21" s="52">
        <v>101.64</v>
      </c>
      <c r="H21" s="52">
        <v>31.95</v>
      </c>
      <c r="I21" s="53" t="s">
        <v>15</v>
      </c>
      <c r="J21" s="52">
        <v>2.0099999999999998</v>
      </c>
      <c r="K21" s="52">
        <v>357.87</v>
      </c>
      <c r="L21" s="52">
        <v>34.01</v>
      </c>
      <c r="M21" s="52">
        <v>22.58</v>
      </c>
      <c r="N21" s="52">
        <v>825.6</v>
      </c>
      <c r="O21" s="52">
        <v>0</v>
      </c>
      <c r="P21" s="52">
        <v>0.86</v>
      </c>
      <c r="Q21" s="52">
        <v>9.66</v>
      </c>
      <c r="R21" s="43"/>
      <c r="S21" s="43"/>
      <c r="T21" s="43"/>
      <c r="U21" s="43"/>
    </row>
    <row r="22" spans="1:21" s="11" customFormat="1" x14ac:dyDescent="0.25">
      <c r="A22" s="51" t="s">
        <v>457</v>
      </c>
      <c r="B22" s="52">
        <v>13.66</v>
      </c>
      <c r="C22" s="52">
        <v>77.930000000000007</v>
      </c>
      <c r="D22" s="52">
        <v>50.29</v>
      </c>
      <c r="E22" s="52">
        <v>5.39</v>
      </c>
      <c r="F22" s="52">
        <v>2.63</v>
      </c>
      <c r="G22" s="52">
        <v>85.82</v>
      </c>
      <c r="H22" s="52">
        <v>29.2</v>
      </c>
      <c r="I22" s="53" t="s">
        <v>15</v>
      </c>
      <c r="J22" s="52">
        <v>2.34</v>
      </c>
      <c r="K22" s="52">
        <v>350.54</v>
      </c>
      <c r="L22" s="52">
        <v>34.049999999999997</v>
      </c>
      <c r="M22" s="52">
        <v>17.98</v>
      </c>
      <c r="N22" s="52">
        <v>806.3</v>
      </c>
      <c r="O22" s="52">
        <v>0</v>
      </c>
      <c r="P22" s="52">
        <v>0.85</v>
      </c>
      <c r="Q22" s="52">
        <v>9.6199999999999992</v>
      </c>
      <c r="R22" s="43"/>
      <c r="S22" s="43"/>
      <c r="T22" s="43"/>
      <c r="U22" s="43"/>
    </row>
    <row r="23" spans="1:21" s="11" customFormat="1" x14ac:dyDescent="0.25">
      <c r="A23" s="51" t="s">
        <v>458</v>
      </c>
      <c r="B23" s="52">
        <v>9.0500000000000007</v>
      </c>
      <c r="C23" s="52">
        <v>71.91</v>
      </c>
      <c r="D23" s="52">
        <v>43.45</v>
      </c>
      <c r="E23" s="52">
        <v>5.33</v>
      </c>
      <c r="F23" s="52">
        <v>2.13</v>
      </c>
      <c r="G23" s="52">
        <v>75.010000000000005</v>
      </c>
      <c r="H23" s="52">
        <v>26.28</v>
      </c>
      <c r="I23" s="53" t="s">
        <v>15</v>
      </c>
      <c r="J23" s="52">
        <v>1.78</v>
      </c>
      <c r="K23" s="52">
        <v>326.32</v>
      </c>
      <c r="L23" s="52">
        <v>33.68</v>
      </c>
      <c r="M23" s="52">
        <v>20.329999999999998</v>
      </c>
      <c r="N23" s="52">
        <v>710.4</v>
      </c>
      <c r="O23" s="52">
        <v>0</v>
      </c>
      <c r="P23" s="52">
        <v>0.76</v>
      </c>
      <c r="Q23" s="52">
        <v>9.6199999999999992</v>
      </c>
      <c r="R23" s="43"/>
      <c r="S23" s="43"/>
      <c r="T23" s="43"/>
      <c r="U23" s="43"/>
    </row>
    <row r="24" spans="1:21" s="11" customFormat="1" x14ac:dyDescent="0.25">
      <c r="A24" s="51" t="s">
        <v>459</v>
      </c>
      <c r="B24" s="52">
        <v>6.42</v>
      </c>
      <c r="C24" s="52">
        <v>66.150000000000006</v>
      </c>
      <c r="D24" s="52">
        <v>38.33</v>
      </c>
      <c r="E24" s="52">
        <v>5.19</v>
      </c>
      <c r="F24" s="52">
        <v>2.13</v>
      </c>
      <c r="G24" s="52">
        <v>51.85</v>
      </c>
      <c r="H24" s="52">
        <v>23.26</v>
      </c>
      <c r="I24" s="53" t="s">
        <v>15</v>
      </c>
      <c r="J24" s="52">
        <v>1.63</v>
      </c>
      <c r="K24" s="52">
        <v>357.35</v>
      </c>
      <c r="L24" s="52">
        <v>31.48</v>
      </c>
      <c r="M24" s="52">
        <v>22.19</v>
      </c>
      <c r="N24" s="52">
        <v>399.8</v>
      </c>
      <c r="O24" s="52">
        <v>0</v>
      </c>
      <c r="P24" s="52">
        <v>0.6</v>
      </c>
      <c r="Q24" s="52">
        <v>9.6</v>
      </c>
      <c r="R24" s="43"/>
      <c r="S24" s="43"/>
      <c r="T24" s="43"/>
      <c r="U24" s="43"/>
    </row>
    <row r="25" spans="1:21" s="11" customFormat="1" x14ac:dyDescent="0.25">
      <c r="A25" s="51" t="s">
        <v>460</v>
      </c>
      <c r="B25" s="52">
        <v>8.4499999999999993</v>
      </c>
      <c r="C25" s="52">
        <v>61.5</v>
      </c>
      <c r="D25" s="52">
        <v>37.130000000000003</v>
      </c>
      <c r="E25" s="52">
        <v>5.33</v>
      </c>
      <c r="F25" s="52">
        <v>2.13</v>
      </c>
      <c r="G25" s="52">
        <v>40.44</v>
      </c>
      <c r="H25" s="52">
        <v>20.64</v>
      </c>
      <c r="I25" s="53" t="s">
        <v>15</v>
      </c>
      <c r="J25" s="52">
        <v>1.65</v>
      </c>
      <c r="K25" s="52">
        <v>342.52</v>
      </c>
      <c r="L25" s="52">
        <v>28.92</v>
      </c>
      <c r="M25" s="52">
        <v>25.81</v>
      </c>
      <c r="N25" s="52">
        <v>140.1</v>
      </c>
      <c r="O25" s="52">
        <v>0</v>
      </c>
      <c r="P25" s="52">
        <v>0.57999999999999996</v>
      </c>
      <c r="Q25" s="52">
        <v>9.59</v>
      </c>
      <c r="R25" s="43"/>
      <c r="S25" s="43"/>
      <c r="T25" s="43"/>
      <c r="U25" s="43"/>
    </row>
    <row r="26" spans="1:21" s="11" customFormat="1" x14ac:dyDescent="0.25">
      <c r="A26" s="51" t="s">
        <v>461</v>
      </c>
      <c r="B26" s="52">
        <v>12.52</v>
      </c>
      <c r="C26" s="52">
        <v>63.4</v>
      </c>
      <c r="D26" s="52">
        <v>41.79</v>
      </c>
      <c r="E26" s="52">
        <v>5.51</v>
      </c>
      <c r="F26" s="52">
        <v>2.13</v>
      </c>
      <c r="G26" s="52">
        <v>39.119999999999997</v>
      </c>
      <c r="H26" s="52">
        <v>14.64</v>
      </c>
      <c r="I26" s="53" t="s">
        <v>15</v>
      </c>
      <c r="J26" s="52">
        <v>1.37</v>
      </c>
      <c r="K26" s="52">
        <v>357.05</v>
      </c>
      <c r="L26" s="52">
        <v>27.01</v>
      </c>
      <c r="M26" s="52">
        <v>41.67</v>
      </c>
      <c r="N26" s="52">
        <v>101.2</v>
      </c>
      <c r="O26" s="52">
        <v>0</v>
      </c>
      <c r="P26" s="52">
        <v>0.95</v>
      </c>
      <c r="Q26" s="52">
        <v>9.61</v>
      </c>
      <c r="R26" s="43"/>
      <c r="S26" s="43"/>
      <c r="T26" s="43"/>
      <c r="U26" s="43"/>
    </row>
    <row r="27" spans="1:21" s="11" customFormat="1" x14ac:dyDescent="0.25">
      <c r="A27" s="51" t="s">
        <v>462</v>
      </c>
      <c r="B27" s="52">
        <v>23.57</v>
      </c>
      <c r="C27" s="52">
        <v>67.959999999999994</v>
      </c>
      <c r="D27" s="52">
        <v>53.03</v>
      </c>
      <c r="E27" s="52">
        <v>5.78</v>
      </c>
      <c r="F27" s="52">
        <v>2.13</v>
      </c>
      <c r="G27" s="52">
        <v>50.44</v>
      </c>
      <c r="H27" s="52">
        <v>16.71</v>
      </c>
      <c r="I27" s="53" t="s">
        <v>15</v>
      </c>
      <c r="J27" s="52">
        <v>0.77</v>
      </c>
      <c r="K27" s="52">
        <v>178.18</v>
      </c>
      <c r="L27" s="52">
        <v>23.66</v>
      </c>
      <c r="M27" s="52">
        <v>40.44</v>
      </c>
      <c r="N27" s="52">
        <v>66.2</v>
      </c>
      <c r="O27" s="52">
        <v>0</v>
      </c>
      <c r="P27" s="52">
        <v>1.29</v>
      </c>
      <c r="Q27" s="52">
        <v>9.66</v>
      </c>
      <c r="R27" s="43"/>
      <c r="S27" s="43"/>
      <c r="T27" s="43"/>
      <c r="U27" s="43"/>
    </row>
    <row r="28" spans="1:21" s="11" customFormat="1" x14ac:dyDescent="0.25">
      <c r="A28" s="51" t="s">
        <v>463</v>
      </c>
      <c r="B28" s="52">
        <v>47.06</v>
      </c>
      <c r="C28" s="52">
        <v>70.91</v>
      </c>
      <c r="D28" s="52">
        <v>73.41</v>
      </c>
      <c r="E28" s="52">
        <v>7.11</v>
      </c>
      <c r="F28" s="52">
        <v>2.13</v>
      </c>
      <c r="G28" s="52">
        <v>71.17</v>
      </c>
      <c r="H28" s="52">
        <v>19.22</v>
      </c>
      <c r="I28" s="53" t="s">
        <v>15</v>
      </c>
      <c r="J28" s="52">
        <v>0.65</v>
      </c>
      <c r="K28" s="52">
        <v>354.18</v>
      </c>
      <c r="L28" s="52">
        <v>22.26</v>
      </c>
      <c r="M28" s="52">
        <v>48.2</v>
      </c>
      <c r="N28" s="52">
        <v>65.5</v>
      </c>
      <c r="O28" s="52">
        <v>0</v>
      </c>
      <c r="P28" s="52">
        <v>1.79</v>
      </c>
      <c r="Q28" s="52">
        <v>9.66</v>
      </c>
      <c r="R28" s="43"/>
      <c r="S28" s="43"/>
      <c r="T28" s="43"/>
      <c r="U28" s="43"/>
    </row>
    <row r="29" spans="1:21" s="11" customFormat="1" x14ac:dyDescent="0.25">
      <c r="A29" s="51" t="s">
        <v>464</v>
      </c>
      <c r="B29" s="52">
        <v>72.400000000000006</v>
      </c>
      <c r="C29" s="52">
        <v>71.150000000000006</v>
      </c>
      <c r="D29" s="52">
        <v>93.86</v>
      </c>
      <c r="E29" s="52">
        <v>7.45</v>
      </c>
      <c r="F29" s="52">
        <v>2.13</v>
      </c>
      <c r="G29" s="52">
        <v>95.54</v>
      </c>
      <c r="H29" s="52">
        <v>23.94</v>
      </c>
      <c r="I29" s="53" t="s">
        <v>15</v>
      </c>
      <c r="J29" s="52">
        <v>0.81</v>
      </c>
      <c r="K29" s="52">
        <v>317.44</v>
      </c>
      <c r="L29" s="52">
        <v>20.88</v>
      </c>
      <c r="M29" s="52">
        <v>50.15</v>
      </c>
      <c r="N29" s="52">
        <v>65.400000000000006</v>
      </c>
      <c r="O29" s="52">
        <v>0</v>
      </c>
      <c r="P29" s="52">
        <v>2.5099999999999998</v>
      </c>
      <c r="Q29" s="52">
        <v>9.76</v>
      </c>
      <c r="R29" s="43"/>
      <c r="S29" s="43"/>
      <c r="T29" s="43"/>
      <c r="U29" s="43"/>
    </row>
    <row r="30" spans="1:21" s="11" customFormat="1" x14ac:dyDescent="0.25">
      <c r="A30" s="51" t="s">
        <v>465</v>
      </c>
      <c r="B30" s="52">
        <v>97.38</v>
      </c>
      <c r="C30" s="52">
        <v>71.39</v>
      </c>
      <c r="D30" s="52">
        <v>113.76</v>
      </c>
      <c r="E30" s="52">
        <v>8.4600000000000009</v>
      </c>
      <c r="F30" s="52">
        <v>2.13</v>
      </c>
      <c r="G30" s="52">
        <v>119.38</v>
      </c>
      <c r="H30" s="52">
        <v>27.72</v>
      </c>
      <c r="I30" s="53" t="s">
        <v>15</v>
      </c>
      <c r="J30" s="52">
        <v>0.68</v>
      </c>
      <c r="K30" s="52">
        <v>334.72</v>
      </c>
      <c r="L30" s="52">
        <v>20.25</v>
      </c>
      <c r="M30" s="52">
        <v>55.91</v>
      </c>
      <c r="N30" s="52">
        <v>65.5</v>
      </c>
      <c r="O30" s="52">
        <v>0</v>
      </c>
      <c r="P30" s="52">
        <v>2.44</v>
      </c>
      <c r="Q30" s="52">
        <v>9.86</v>
      </c>
      <c r="R30" s="43"/>
      <c r="S30" s="43"/>
      <c r="T30" s="43"/>
      <c r="U30" s="43"/>
    </row>
    <row r="31" spans="1:21" s="11" customFormat="1" x14ac:dyDescent="0.25">
      <c r="A31" s="51" t="s">
        <v>466</v>
      </c>
      <c r="B31" s="52">
        <v>134.69</v>
      </c>
      <c r="C31" s="52">
        <v>71.87</v>
      </c>
      <c r="D31" s="52">
        <v>143.94999999999999</v>
      </c>
      <c r="E31" s="52">
        <v>9.31</v>
      </c>
      <c r="F31" s="52">
        <v>2.13</v>
      </c>
      <c r="G31" s="52">
        <v>148.02000000000001</v>
      </c>
      <c r="H31" s="52">
        <v>33.770000000000003</v>
      </c>
      <c r="I31" s="53" t="s">
        <v>15</v>
      </c>
      <c r="J31" s="52">
        <v>0.76</v>
      </c>
      <c r="K31" s="52">
        <v>339.55</v>
      </c>
      <c r="L31" s="52">
        <v>18.62</v>
      </c>
      <c r="M31" s="52">
        <v>63.66</v>
      </c>
      <c r="N31" s="52">
        <v>65.5</v>
      </c>
      <c r="O31" s="52">
        <v>0</v>
      </c>
      <c r="P31" s="52">
        <v>2.21</v>
      </c>
      <c r="Q31" s="52">
        <v>9.9</v>
      </c>
      <c r="R31" s="43"/>
      <c r="S31" s="43"/>
      <c r="T31" s="43"/>
      <c r="U31" s="43"/>
    </row>
    <row r="32" spans="1:21" s="11" customFormat="1" x14ac:dyDescent="0.25">
      <c r="A32" s="51" t="s">
        <v>467</v>
      </c>
      <c r="B32" s="52">
        <v>142.13999999999999</v>
      </c>
      <c r="C32" s="52">
        <v>70.25</v>
      </c>
      <c r="D32" s="52">
        <v>149.31</v>
      </c>
      <c r="E32" s="52">
        <v>9.3699999999999992</v>
      </c>
      <c r="F32" s="52">
        <v>2.13</v>
      </c>
      <c r="G32" s="52">
        <v>171.39</v>
      </c>
      <c r="H32" s="52">
        <v>34.81</v>
      </c>
      <c r="I32" s="53" t="s">
        <v>15</v>
      </c>
      <c r="J32" s="52">
        <v>1.07</v>
      </c>
      <c r="K32" s="52">
        <v>319.24</v>
      </c>
      <c r="L32" s="52">
        <v>18.760000000000002</v>
      </c>
      <c r="M32" s="52">
        <v>64.849999999999994</v>
      </c>
      <c r="N32" s="52">
        <v>65.5</v>
      </c>
      <c r="O32" s="52">
        <v>0</v>
      </c>
      <c r="P32" s="52">
        <v>2.09</v>
      </c>
      <c r="Q32" s="52">
        <v>10.220000000000001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6.42</v>
      </c>
      <c r="C34" s="28">
        <f t="shared" si="0"/>
        <v>53.56</v>
      </c>
      <c r="D34" s="28">
        <f t="shared" si="0"/>
        <v>37.130000000000003</v>
      </c>
      <c r="E34" s="28">
        <f t="shared" si="0"/>
        <v>5.19</v>
      </c>
      <c r="F34" s="28">
        <f t="shared" si="0"/>
        <v>2.13</v>
      </c>
      <c r="G34" s="28">
        <f t="shared" si="0"/>
        <v>39.119999999999997</v>
      </c>
      <c r="H34" s="28">
        <f t="shared" si="0"/>
        <v>14.64</v>
      </c>
      <c r="I34" s="28">
        <f t="shared" si="0"/>
        <v>0</v>
      </c>
      <c r="J34" s="28">
        <f t="shared" si="0"/>
        <v>0.59</v>
      </c>
      <c r="K34" s="28">
        <f t="shared" si="0"/>
        <v>90.55</v>
      </c>
      <c r="L34" s="28">
        <f t="shared" si="0"/>
        <v>14.06</v>
      </c>
      <c r="M34" s="28">
        <f t="shared" si="0"/>
        <v>17.98</v>
      </c>
      <c r="N34" s="28">
        <f t="shared" si="0"/>
        <v>65.400000000000006</v>
      </c>
      <c r="O34" s="28">
        <f t="shared" si="0"/>
        <v>0</v>
      </c>
      <c r="P34" s="28">
        <f t="shared" si="0"/>
        <v>0.57999999999999996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142.13999999999999</v>
      </c>
      <c r="C35" s="29">
        <f t="shared" si="1"/>
        <v>89.31</v>
      </c>
      <c r="D35" s="29">
        <f t="shared" si="1"/>
        <v>149.31</v>
      </c>
      <c r="E35" s="29">
        <f t="shared" si="1"/>
        <v>9.6</v>
      </c>
      <c r="F35" s="29">
        <f t="shared" si="1"/>
        <v>2.63</v>
      </c>
      <c r="G35" s="29">
        <f t="shared" si="1"/>
        <v>171.39</v>
      </c>
      <c r="H35" s="29">
        <f t="shared" si="1"/>
        <v>35.69</v>
      </c>
      <c r="I35" s="29">
        <f t="shared" si="1"/>
        <v>0</v>
      </c>
      <c r="J35" s="29">
        <f t="shared" si="1"/>
        <v>2.34</v>
      </c>
      <c r="K35" s="29">
        <f t="shared" si="1"/>
        <v>357.87</v>
      </c>
      <c r="L35" s="29">
        <f t="shared" si="1"/>
        <v>34.049999999999997</v>
      </c>
      <c r="M35" s="29">
        <f t="shared" si="1"/>
        <v>75</v>
      </c>
      <c r="N35" s="29">
        <f t="shared" si="1"/>
        <v>843.9</v>
      </c>
      <c r="O35" s="29">
        <f t="shared" si="1"/>
        <v>0</v>
      </c>
      <c r="P35" s="29">
        <f t="shared" si="1"/>
        <v>2.5099999999999998</v>
      </c>
      <c r="Q35" s="29">
        <f t="shared" si="1"/>
        <v>10.220000000000001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68.636666666666656</v>
      </c>
      <c r="C36" s="28">
        <f t="shared" si="2"/>
        <v>67.550833333333344</v>
      </c>
      <c r="D36" s="28">
        <f t="shared" si="2"/>
        <v>88.357500000000002</v>
      </c>
      <c r="E36" s="28">
        <f t="shared" si="2"/>
        <v>7.4058333333333337</v>
      </c>
      <c r="F36" s="28">
        <f t="shared" si="2"/>
        <v>2.1508333333333338</v>
      </c>
      <c r="G36" s="28">
        <f t="shared" si="2"/>
        <v>93.72166666666665</v>
      </c>
      <c r="H36" s="28">
        <f t="shared" si="2"/>
        <v>26.678749999999997</v>
      </c>
      <c r="I36" s="28" t="e">
        <f t="shared" si="2"/>
        <v>#DIV/0!</v>
      </c>
      <c r="J36" s="28">
        <f t="shared" si="2"/>
        <v>1.1070833333333332</v>
      </c>
      <c r="K36" s="28">
        <f t="shared" si="2"/>
        <v>307.47875000000005</v>
      </c>
      <c r="L36" s="28">
        <f t="shared" si="2"/>
        <v>22.870833333333337</v>
      </c>
      <c r="M36" s="28">
        <f t="shared" si="2"/>
        <v>48.710416666666667</v>
      </c>
      <c r="N36" s="28">
        <f t="shared" si="2"/>
        <v>291.74166666666662</v>
      </c>
      <c r="O36" s="28">
        <f t="shared" si="2"/>
        <v>0</v>
      </c>
      <c r="P36" s="28">
        <f t="shared" si="2"/>
        <v>1.2274999999999998</v>
      </c>
      <c r="Q36" s="28">
        <f t="shared" si="2"/>
        <v>9.8725000000000005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44.659888497170613</v>
      </c>
      <c r="C37" s="28">
        <f t="shared" ref="C37:Q37" si="3">STDEV(C9:C32)</f>
        <v>10.062157654631731</v>
      </c>
      <c r="D37" s="28">
        <f t="shared" si="3"/>
        <v>34.565093884110802</v>
      </c>
      <c r="E37" s="28">
        <f t="shared" si="3"/>
        <v>1.4753685366174041</v>
      </c>
      <c r="F37" s="28">
        <f t="shared" si="3"/>
        <v>0.10206207261596573</v>
      </c>
      <c r="G37" s="28">
        <f t="shared" si="3"/>
        <v>33.017934081563823</v>
      </c>
      <c r="H37" s="28">
        <f t="shared" si="3"/>
        <v>5.6468354450504563</v>
      </c>
      <c r="I37" s="28" t="e">
        <f t="shared" si="3"/>
        <v>#DIV/0!</v>
      </c>
      <c r="J37" s="28">
        <f t="shared" si="3"/>
        <v>0.4963123067153401</v>
      </c>
      <c r="K37" s="28">
        <f t="shared" si="3"/>
        <v>63.839660925362033</v>
      </c>
      <c r="L37" s="28">
        <f t="shared" si="3"/>
        <v>6.9602279552041741</v>
      </c>
      <c r="M37" s="28">
        <f t="shared" si="3"/>
        <v>18.79236349972501</v>
      </c>
      <c r="N37" s="28">
        <f t="shared" si="3"/>
        <v>310.04583800894142</v>
      </c>
      <c r="O37" s="28">
        <f t="shared" si="3"/>
        <v>0</v>
      </c>
      <c r="P37" s="28">
        <f t="shared" si="3"/>
        <v>0.56428677568891505</v>
      </c>
      <c r="Q37" s="28">
        <f t="shared" si="3"/>
        <v>0.21148028996452209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468</v>
      </c>
      <c r="B9" s="52">
        <v>125.24</v>
      </c>
      <c r="C9" s="52">
        <v>63.76</v>
      </c>
      <c r="D9" s="52">
        <v>132.37</v>
      </c>
      <c r="E9" s="52">
        <v>8.4499999999999993</v>
      </c>
      <c r="F9" s="52">
        <v>2.13</v>
      </c>
      <c r="G9" s="52">
        <v>128.58000000000001</v>
      </c>
      <c r="H9" s="52">
        <v>32.29</v>
      </c>
      <c r="I9" s="9" t="s">
        <v>15</v>
      </c>
      <c r="J9" s="52">
        <v>1.25</v>
      </c>
      <c r="K9" s="52">
        <v>351.84</v>
      </c>
      <c r="L9" s="52">
        <v>16.920000000000002</v>
      </c>
      <c r="M9" s="52">
        <v>74.39</v>
      </c>
      <c r="N9" s="52">
        <v>65.5</v>
      </c>
      <c r="O9" s="52">
        <v>0</v>
      </c>
      <c r="P9" s="52">
        <v>1.83</v>
      </c>
      <c r="Q9" s="52">
        <v>10.17</v>
      </c>
      <c r="R9" s="43"/>
      <c r="S9" s="43"/>
      <c r="T9" s="43"/>
      <c r="U9" s="43"/>
    </row>
    <row r="10" spans="1:21" s="11" customFormat="1" x14ac:dyDescent="0.25">
      <c r="A10" s="51" t="s">
        <v>469</v>
      </c>
      <c r="B10" s="52">
        <v>115.15</v>
      </c>
      <c r="C10" s="52">
        <v>58.93</v>
      </c>
      <c r="D10" s="52">
        <v>121.19</v>
      </c>
      <c r="E10" s="52">
        <v>8.2200000000000006</v>
      </c>
      <c r="F10" s="52">
        <v>2.14</v>
      </c>
      <c r="G10" s="52">
        <v>107.69</v>
      </c>
      <c r="H10" s="52">
        <v>32.72</v>
      </c>
      <c r="I10" s="9" t="s">
        <v>15</v>
      </c>
      <c r="J10" s="52">
        <v>1.33</v>
      </c>
      <c r="K10" s="52">
        <v>352.23</v>
      </c>
      <c r="L10" s="52">
        <v>18.14</v>
      </c>
      <c r="M10" s="52">
        <v>58.78</v>
      </c>
      <c r="N10" s="52">
        <v>65.599999999999994</v>
      </c>
      <c r="O10" s="52">
        <v>0</v>
      </c>
      <c r="P10" s="52">
        <v>1.29</v>
      </c>
      <c r="Q10" s="52">
        <v>10.11</v>
      </c>
      <c r="R10" s="43"/>
      <c r="S10" s="43"/>
      <c r="T10" s="43"/>
      <c r="U10" s="43"/>
    </row>
    <row r="11" spans="1:21" s="11" customFormat="1" x14ac:dyDescent="0.25">
      <c r="A11" s="51" t="s">
        <v>470</v>
      </c>
      <c r="B11" s="52">
        <v>98.24</v>
      </c>
      <c r="C11" s="52">
        <v>59.3</v>
      </c>
      <c r="D11" s="52">
        <v>107.58</v>
      </c>
      <c r="E11" s="52">
        <v>8.41</v>
      </c>
      <c r="F11" s="52">
        <v>2.13</v>
      </c>
      <c r="G11" s="52">
        <v>125.89</v>
      </c>
      <c r="H11" s="52">
        <v>40.950000000000003</v>
      </c>
      <c r="I11" s="9" t="s">
        <v>15</v>
      </c>
      <c r="J11" s="52">
        <v>0.78</v>
      </c>
      <c r="K11" s="52">
        <v>342.6</v>
      </c>
      <c r="L11" s="52">
        <v>16.88</v>
      </c>
      <c r="M11" s="52">
        <v>71.680000000000007</v>
      </c>
      <c r="N11" s="52">
        <v>65.599999999999994</v>
      </c>
      <c r="O11" s="52">
        <v>0</v>
      </c>
      <c r="P11" s="52">
        <v>1.36</v>
      </c>
      <c r="Q11" s="52">
        <v>10.02</v>
      </c>
      <c r="R11" s="43"/>
      <c r="S11" s="43"/>
      <c r="T11" s="43"/>
      <c r="U11" s="43"/>
    </row>
    <row r="12" spans="1:21" s="11" customFormat="1" x14ac:dyDescent="0.25">
      <c r="A12" s="51" t="s">
        <v>471</v>
      </c>
      <c r="B12" s="57" t="s">
        <v>12</v>
      </c>
      <c r="C12" s="57" t="s">
        <v>12</v>
      </c>
      <c r="D12" s="57" t="s">
        <v>12</v>
      </c>
      <c r="E12" s="52">
        <v>8.5399999999999991</v>
      </c>
      <c r="F12" s="52">
        <v>2.13</v>
      </c>
      <c r="G12" s="52">
        <v>147.05000000000001</v>
      </c>
      <c r="H12" s="52">
        <v>48.05</v>
      </c>
      <c r="I12" s="9" t="s">
        <v>15</v>
      </c>
      <c r="J12" s="52">
        <v>0.89</v>
      </c>
      <c r="K12" s="52">
        <v>338.44</v>
      </c>
      <c r="L12" s="52">
        <v>16.52</v>
      </c>
      <c r="M12" s="52">
        <v>73.11</v>
      </c>
      <c r="N12" s="52">
        <v>65.599999999999994</v>
      </c>
      <c r="O12" s="52">
        <v>0</v>
      </c>
      <c r="P12" s="52">
        <v>1.29</v>
      </c>
      <c r="Q12" s="52">
        <v>9.9700000000000006</v>
      </c>
      <c r="R12" s="43"/>
      <c r="S12" s="43"/>
      <c r="T12" s="43"/>
      <c r="U12" s="43"/>
    </row>
    <row r="13" spans="1:21" s="11" customFormat="1" x14ac:dyDescent="0.25">
      <c r="A13" s="51" t="s">
        <v>472</v>
      </c>
      <c r="B13" s="57" t="s">
        <v>12</v>
      </c>
      <c r="C13" s="57" t="s">
        <v>12</v>
      </c>
      <c r="D13" s="57" t="s">
        <v>12</v>
      </c>
      <c r="E13" s="52">
        <v>9.09</v>
      </c>
      <c r="F13" s="52">
        <v>2.13</v>
      </c>
      <c r="G13" s="52">
        <v>139.55000000000001</v>
      </c>
      <c r="H13" s="52">
        <v>48.18</v>
      </c>
      <c r="I13" s="9" t="s">
        <v>15</v>
      </c>
      <c r="J13" s="52">
        <v>0.65</v>
      </c>
      <c r="K13" s="52">
        <v>308.54000000000002</v>
      </c>
      <c r="L13" s="52">
        <v>15.71</v>
      </c>
      <c r="M13" s="52">
        <v>73.17</v>
      </c>
      <c r="N13" s="52">
        <v>65.599999999999994</v>
      </c>
      <c r="O13" s="52">
        <v>0</v>
      </c>
      <c r="P13" s="52">
        <v>1.22</v>
      </c>
      <c r="Q13" s="52">
        <v>9.9600000000000009</v>
      </c>
      <c r="R13" s="43"/>
      <c r="S13" s="43"/>
      <c r="T13" s="43"/>
      <c r="U13" s="43"/>
    </row>
    <row r="14" spans="1:21" s="11" customFormat="1" x14ac:dyDescent="0.25">
      <c r="A14" s="51" t="s">
        <v>473</v>
      </c>
      <c r="B14" s="52">
        <v>80.430000000000007</v>
      </c>
      <c r="C14" s="52">
        <v>56.68</v>
      </c>
      <c r="D14" s="52">
        <v>92.63</v>
      </c>
      <c r="E14" s="52">
        <v>8.59</v>
      </c>
      <c r="F14" s="52">
        <v>2.13</v>
      </c>
      <c r="G14" s="52">
        <v>129.66</v>
      </c>
      <c r="H14" s="52">
        <v>46.6</v>
      </c>
      <c r="I14" s="9" t="s">
        <v>15</v>
      </c>
      <c r="J14" s="52">
        <v>0.59</v>
      </c>
      <c r="K14" s="52">
        <v>326.83</v>
      </c>
      <c r="L14" s="52">
        <v>15.58</v>
      </c>
      <c r="M14" s="52">
        <v>70.64</v>
      </c>
      <c r="N14" s="52">
        <v>65.400000000000006</v>
      </c>
      <c r="O14" s="52">
        <v>0</v>
      </c>
      <c r="P14" s="52">
        <v>1.1299999999999999</v>
      </c>
      <c r="Q14" s="52">
        <v>9.93</v>
      </c>
      <c r="R14" s="43"/>
      <c r="S14" s="43"/>
      <c r="T14" s="43"/>
      <c r="U14" s="43"/>
    </row>
    <row r="15" spans="1:21" s="11" customFormat="1" x14ac:dyDescent="0.25">
      <c r="A15" s="51" t="s">
        <v>474</v>
      </c>
      <c r="B15" s="52">
        <v>80.260000000000005</v>
      </c>
      <c r="C15" s="52">
        <v>58.81</v>
      </c>
      <c r="D15" s="52">
        <v>93.71</v>
      </c>
      <c r="E15" s="52">
        <v>8.61</v>
      </c>
      <c r="F15" s="52">
        <v>2.13</v>
      </c>
      <c r="G15" s="52">
        <v>110.66</v>
      </c>
      <c r="H15" s="52">
        <v>43.31</v>
      </c>
      <c r="I15" s="9" t="s">
        <v>15</v>
      </c>
      <c r="J15" s="52">
        <v>0.69</v>
      </c>
      <c r="K15" s="52">
        <v>294.75</v>
      </c>
      <c r="L15" s="52">
        <v>15.55</v>
      </c>
      <c r="M15" s="52">
        <v>70.959999999999994</v>
      </c>
      <c r="N15" s="52">
        <v>90.7</v>
      </c>
      <c r="O15" s="52">
        <v>0</v>
      </c>
      <c r="P15" s="52">
        <v>1.17</v>
      </c>
      <c r="Q15" s="52">
        <v>9.91</v>
      </c>
      <c r="R15" s="43"/>
      <c r="S15" s="43"/>
      <c r="T15" s="43"/>
      <c r="U15" s="43"/>
    </row>
    <row r="16" spans="1:21" s="11" customFormat="1" x14ac:dyDescent="0.25">
      <c r="A16" s="51" t="s">
        <v>475</v>
      </c>
      <c r="B16" s="52">
        <v>83.15</v>
      </c>
      <c r="C16" s="52">
        <v>59.28</v>
      </c>
      <c r="D16" s="52">
        <v>96.07</v>
      </c>
      <c r="E16" s="52">
        <v>10.28</v>
      </c>
      <c r="F16" s="52">
        <v>2.13</v>
      </c>
      <c r="G16" s="52">
        <v>145.81</v>
      </c>
      <c r="H16" s="52">
        <v>45.99</v>
      </c>
      <c r="I16" s="9" t="s">
        <v>15</v>
      </c>
      <c r="J16" s="52">
        <v>1.33</v>
      </c>
      <c r="K16" s="52">
        <v>340.32</v>
      </c>
      <c r="L16" s="52">
        <v>21.71</v>
      </c>
      <c r="M16" s="52">
        <v>71.34</v>
      </c>
      <c r="N16" s="52">
        <v>265.8</v>
      </c>
      <c r="O16" s="52">
        <v>0</v>
      </c>
      <c r="P16" s="52">
        <v>1.29</v>
      </c>
      <c r="Q16" s="52">
        <v>9.89</v>
      </c>
      <c r="R16" s="43"/>
      <c r="S16" s="43"/>
      <c r="T16" s="43"/>
      <c r="U16" s="43"/>
    </row>
    <row r="17" spans="1:21" s="11" customFormat="1" x14ac:dyDescent="0.25">
      <c r="A17" s="51" t="s">
        <v>476</v>
      </c>
      <c r="B17" s="52">
        <v>81.88</v>
      </c>
      <c r="C17" s="52">
        <v>64.510000000000005</v>
      </c>
      <c r="D17" s="52">
        <v>95.74</v>
      </c>
      <c r="E17" s="52">
        <v>10.55</v>
      </c>
      <c r="F17" s="52">
        <v>2.13</v>
      </c>
      <c r="G17" s="52">
        <v>221.27</v>
      </c>
      <c r="H17" s="52">
        <v>57.19</v>
      </c>
      <c r="I17" s="9" t="s">
        <v>15</v>
      </c>
      <c r="J17" s="52">
        <v>1.45</v>
      </c>
      <c r="K17" s="52">
        <v>349.15</v>
      </c>
      <c r="L17" s="52">
        <v>25.81</v>
      </c>
      <c r="M17" s="52">
        <v>42.73</v>
      </c>
      <c r="N17" s="52">
        <v>468</v>
      </c>
      <c r="O17" s="52">
        <v>0</v>
      </c>
      <c r="P17" s="52">
        <v>1.32</v>
      </c>
      <c r="Q17" s="52">
        <v>9.8800000000000008</v>
      </c>
      <c r="R17" s="43"/>
      <c r="S17" s="43"/>
      <c r="T17" s="43"/>
      <c r="U17" s="43"/>
    </row>
    <row r="18" spans="1:21" s="11" customFormat="1" x14ac:dyDescent="0.25">
      <c r="A18" s="51" t="s">
        <v>477</v>
      </c>
      <c r="B18" s="52">
        <v>75.260000000000005</v>
      </c>
      <c r="C18" s="52">
        <v>66.63</v>
      </c>
      <c r="D18" s="52">
        <v>93.46</v>
      </c>
      <c r="E18" s="52">
        <v>9.74</v>
      </c>
      <c r="F18" s="52">
        <v>2.13</v>
      </c>
      <c r="G18" s="52">
        <v>221.66</v>
      </c>
      <c r="H18" s="52">
        <v>68.56</v>
      </c>
      <c r="I18" s="9" t="s">
        <v>15</v>
      </c>
      <c r="J18" s="52">
        <v>1.26</v>
      </c>
      <c r="K18" s="52">
        <v>89.31</v>
      </c>
      <c r="L18" s="52">
        <v>25.26</v>
      </c>
      <c r="M18" s="52">
        <v>36.39</v>
      </c>
      <c r="N18" s="52">
        <v>656.1</v>
      </c>
      <c r="O18" s="52">
        <v>0</v>
      </c>
      <c r="P18" s="52">
        <v>1.31</v>
      </c>
      <c r="Q18" s="52">
        <v>9.8699999999999992</v>
      </c>
      <c r="R18" s="43"/>
      <c r="S18" s="43"/>
      <c r="T18" s="43"/>
      <c r="U18" s="43"/>
    </row>
    <row r="19" spans="1:21" s="11" customFormat="1" x14ac:dyDescent="0.25">
      <c r="A19" s="51" t="s">
        <v>478</v>
      </c>
      <c r="B19" s="52">
        <v>60.31</v>
      </c>
      <c r="C19" s="52">
        <v>89.03</v>
      </c>
      <c r="D19" s="52">
        <v>82.66</v>
      </c>
      <c r="E19" s="52">
        <v>10.5</v>
      </c>
      <c r="F19" s="52">
        <v>4.12</v>
      </c>
      <c r="G19" s="52">
        <v>118.75</v>
      </c>
      <c r="H19" s="52">
        <v>44.52</v>
      </c>
      <c r="I19" s="9" t="s">
        <v>15</v>
      </c>
      <c r="J19" s="52">
        <v>1.1499999999999999</v>
      </c>
      <c r="K19" s="52">
        <v>333.63</v>
      </c>
      <c r="L19" s="52">
        <v>30.27</v>
      </c>
      <c r="M19" s="52">
        <v>31.4</v>
      </c>
      <c r="N19" s="52">
        <v>772</v>
      </c>
      <c r="O19" s="52">
        <v>0</v>
      </c>
      <c r="P19" s="52">
        <v>1.17</v>
      </c>
      <c r="Q19" s="52">
        <v>9.9499999999999993</v>
      </c>
      <c r="R19" s="43"/>
      <c r="S19" s="43"/>
      <c r="T19" s="43"/>
      <c r="U19" s="43"/>
    </row>
    <row r="20" spans="1:21" s="11" customFormat="1" x14ac:dyDescent="0.25">
      <c r="A20" s="51" t="s">
        <v>479</v>
      </c>
      <c r="B20" s="52">
        <v>6.69</v>
      </c>
      <c r="C20" s="52">
        <v>92.43</v>
      </c>
      <c r="D20" s="52">
        <v>96.51</v>
      </c>
      <c r="E20" s="18" t="s">
        <v>12</v>
      </c>
      <c r="F20" s="52">
        <v>19.850000000000001</v>
      </c>
      <c r="G20" s="18" t="s">
        <v>12</v>
      </c>
      <c r="H20" s="18" t="s">
        <v>12</v>
      </c>
      <c r="I20" s="9" t="s">
        <v>15</v>
      </c>
      <c r="J20" s="52">
        <v>1.01</v>
      </c>
      <c r="K20" s="52">
        <v>326.5</v>
      </c>
      <c r="L20" s="52">
        <v>31.8</v>
      </c>
      <c r="M20" s="52">
        <v>28.11</v>
      </c>
      <c r="N20" s="52">
        <v>794.5</v>
      </c>
      <c r="O20" s="52">
        <v>0</v>
      </c>
      <c r="P20" s="52">
        <v>0.92</v>
      </c>
      <c r="Q20" s="52">
        <v>9.56</v>
      </c>
      <c r="R20" s="43"/>
      <c r="S20" s="43"/>
      <c r="T20" s="43"/>
      <c r="U20" s="43"/>
    </row>
    <row r="21" spans="1:21" s="11" customFormat="1" x14ac:dyDescent="0.25">
      <c r="A21" s="51" t="s">
        <v>480</v>
      </c>
      <c r="B21" s="52">
        <v>5.46</v>
      </c>
      <c r="C21" s="52">
        <v>85.02</v>
      </c>
      <c r="D21" s="52">
        <v>87.21</v>
      </c>
      <c r="E21" s="52">
        <v>15.99</v>
      </c>
      <c r="F21" s="52">
        <v>14.25</v>
      </c>
      <c r="G21" s="52">
        <v>125.6</v>
      </c>
      <c r="H21" s="52">
        <v>35.090000000000003</v>
      </c>
      <c r="I21" s="9" t="s">
        <v>15</v>
      </c>
      <c r="J21" s="52">
        <v>0.99</v>
      </c>
      <c r="K21" s="52">
        <v>298.18</v>
      </c>
      <c r="L21" s="52">
        <v>30.84</v>
      </c>
      <c r="M21" s="52">
        <v>30.27</v>
      </c>
      <c r="N21" s="52">
        <v>743.1</v>
      </c>
      <c r="O21" s="52">
        <v>0</v>
      </c>
      <c r="P21" s="52">
        <v>1</v>
      </c>
      <c r="Q21" s="52">
        <v>9.4700000000000006</v>
      </c>
      <c r="R21" s="43"/>
      <c r="S21" s="43"/>
      <c r="T21" s="43"/>
      <c r="U21" s="43"/>
    </row>
    <row r="22" spans="1:21" s="11" customFormat="1" x14ac:dyDescent="0.25">
      <c r="A22" s="51" t="s">
        <v>481</v>
      </c>
      <c r="B22" s="52">
        <v>4.18</v>
      </c>
      <c r="C22" s="52">
        <v>81.650000000000006</v>
      </c>
      <c r="D22" s="52">
        <v>83.66</v>
      </c>
      <c r="E22" s="52">
        <v>12.82</v>
      </c>
      <c r="F22" s="52">
        <v>21.28</v>
      </c>
      <c r="G22" s="52">
        <v>106.38</v>
      </c>
      <c r="H22" s="52">
        <v>32.01</v>
      </c>
      <c r="I22" s="9" t="s">
        <v>15</v>
      </c>
      <c r="J22" s="52">
        <v>1.45</v>
      </c>
      <c r="K22" s="52">
        <v>304.76</v>
      </c>
      <c r="L22" s="52">
        <v>31.34</v>
      </c>
      <c r="M22" s="52">
        <v>29.7</v>
      </c>
      <c r="N22" s="52">
        <v>705.1</v>
      </c>
      <c r="O22" s="52">
        <v>0</v>
      </c>
      <c r="P22" s="52">
        <v>0.91</v>
      </c>
      <c r="Q22" s="52">
        <v>9.5299999999999994</v>
      </c>
      <c r="R22" s="43"/>
      <c r="S22" s="43"/>
      <c r="T22" s="43"/>
      <c r="U22" s="43"/>
    </row>
    <row r="23" spans="1:21" s="11" customFormat="1" x14ac:dyDescent="0.25">
      <c r="A23" s="51" t="s">
        <v>482</v>
      </c>
      <c r="B23" s="52">
        <v>3.8</v>
      </c>
      <c r="C23" s="52">
        <v>64.64</v>
      </c>
      <c r="D23" s="52">
        <v>66.239999999999995</v>
      </c>
      <c r="E23" s="52">
        <v>16.260000000000002</v>
      </c>
      <c r="F23" s="52">
        <v>46.14</v>
      </c>
      <c r="G23" s="52">
        <v>101.02</v>
      </c>
      <c r="H23" s="52">
        <v>32.75</v>
      </c>
      <c r="I23" s="9" t="s">
        <v>15</v>
      </c>
      <c r="J23" s="52">
        <v>1.73</v>
      </c>
      <c r="K23" s="52">
        <v>309.11</v>
      </c>
      <c r="L23" s="52">
        <v>31.71</v>
      </c>
      <c r="M23" s="52">
        <v>29.37</v>
      </c>
      <c r="N23" s="52">
        <v>525.20000000000005</v>
      </c>
      <c r="O23" s="52">
        <v>0</v>
      </c>
      <c r="P23" s="52">
        <v>0.53</v>
      </c>
      <c r="Q23" s="52">
        <v>9.5399999999999991</v>
      </c>
      <c r="R23" s="43"/>
      <c r="S23" s="43"/>
      <c r="T23" s="43"/>
      <c r="U23" s="43"/>
    </row>
    <row r="24" spans="1:21" s="11" customFormat="1" x14ac:dyDescent="0.25">
      <c r="A24" s="51" t="s">
        <v>483</v>
      </c>
      <c r="B24" s="52">
        <v>4.5599999999999996</v>
      </c>
      <c r="C24" s="52">
        <v>61.52</v>
      </c>
      <c r="D24" s="52">
        <v>63.67</v>
      </c>
      <c r="E24" s="52">
        <v>9.6999999999999993</v>
      </c>
      <c r="F24" s="52">
        <v>7.01</v>
      </c>
      <c r="G24" s="52">
        <v>89.77</v>
      </c>
      <c r="H24" s="52">
        <v>28.7</v>
      </c>
      <c r="I24" s="9" t="s">
        <v>15</v>
      </c>
      <c r="J24" s="52">
        <v>1.75</v>
      </c>
      <c r="K24" s="52">
        <v>320.02</v>
      </c>
      <c r="L24" s="52">
        <v>30.4</v>
      </c>
      <c r="M24" s="52">
        <v>31.86</v>
      </c>
      <c r="N24" s="52">
        <v>318.3</v>
      </c>
      <c r="O24" s="52">
        <v>0</v>
      </c>
      <c r="P24" s="52">
        <v>0.55000000000000004</v>
      </c>
      <c r="Q24" s="52">
        <v>9.5500000000000007</v>
      </c>
      <c r="R24" s="43"/>
      <c r="S24" s="43"/>
      <c r="T24" s="43"/>
      <c r="U24" s="43"/>
    </row>
    <row r="25" spans="1:21" s="11" customFormat="1" x14ac:dyDescent="0.25">
      <c r="A25" s="51" t="s">
        <v>484</v>
      </c>
      <c r="B25" s="52">
        <v>4.33</v>
      </c>
      <c r="C25" s="52">
        <v>65.58</v>
      </c>
      <c r="D25" s="52">
        <v>67.540000000000006</v>
      </c>
      <c r="E25" s="52">
        <v>9.7100000000000009</v>
      </c>
      <c r="F25" s="52">
        <v>11.51</v>
      </c>
      <c r="G25" s="52">
        <v>71.260000000000005</v>
      </c>
      <c r="H25" s="52">
        <v>22.73</v>
      </c>
      <c r="I25" s="9" t="s">
        <v>15</v>
      </c>
      <c r="J25" s="52">
        <v>1.29</v>
      </c>
      <c r="K25" s="52">
        <v>342.3</v>
      </c>
      <c r="L25" s="52">
        <v>28.38</v>
      </c>
      <c r="M25" s="52">
        <v>33.409999999999997</v>
      </c>
      <c r="N25" s="52">
        <v>158.30000000000001</v>
      </c>
      <c r="O25" s="52">
        <v>0</v>
      </c>
      <c r="P25" s="52">
        <v>0.55000000000000004</v>
      </c>
      <c r="Q25" s="52">
        <v>9.5500000000000007</v>
      </c>
      <c r="R25" s="43"/>
      <c r="S25" s="43"/>
      <c r="T25" s="43"/>
      <c r="U25" s="43"/>
    </row>
    <row r="26" spans="1:21" s="11" customFormat="1" x14ac:dyDescent="0.25">
      <c r="A26" s="51" t="s">
        <v>485</v>
      </c>
      <c r="B26" s="52">
        <v>6.53</v>
      </c>
      <c r="C26" s="52">
        <v>70.34</v>
      </c>
      <c r="D26" s="52">
        <v>74.77</v>
      </c>
      <c r="E26" s="52">
        <v>8.8000000000000007</v>
      </c>
      <c r="F26" s="52">
        <v>2.61</v>
      </c>
      <c r="G26" s="52">
        <v>81.34</v>
      </c>
      <c r="H26" s="52">
        <v>25.36</v>
      </c>
      <c r="I26" s="9" t="s">
        <v>15</v>
      </c>
      <c r="J26" s="52">
        <v>1.47</v>
      </c>
      <c r="K26" s="52">
        <v>349.98</v>
      </c>
      <c r="L26" s="52">
        <v>26.94</v>
      </c>
      <c r="M26" s="52">
        <v>37.94</v>
      </c>
      <c r="N26" s="52">
        <v>102.8</v>
      </c>
      <c r="O26" s="52">
        <v>0</v>
      </c>
      <c r="P26" s="52">
        <v>0.81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486</v>
      </c>
      <c r="B27" s="52">
        <v>14.01</v>
      </c>
      <c r="C27" s="52">
        <v>79.03</v>
      </c>
      <c r="D27" s="52">
        <v>90.93</v>
      </c>
      <c r="E27" s="52">
        <v>8.1300000000000008</v>
      </c>
      <c r="F27" s="52">
        <v>2.13</v>
      </c>
      <c r="G27" s="52">
        <v>81.180000000000007</v>
      </c>
      <c r="H27" s="52">
        <v>25.28</v>
      </c>
      <c r="I27" s="9" t="s">
        <v>15</v>
      </c>
      <c r="J27" s="52">
        <v>0.56999999999999995</v>
      </c>
      <c r="K27" s="52">
        <v>352.6</v>
      </c>
      <c r="L27" s="52">
        <v>24.23</v>
      </c>
      <c r="M27" s="52">
        <v>51.85</v>
      </c>
      <c r="N27" s="52">
        <v>66.400000000000006</v>
      </c>
      <c r="O27" s="52">
        <v>0</v>
      </c>
      <c r="P27" s="52">
        <v>0.81</v>
      </c>
      <c r="Q27" s="52">
        <v>9.5399999999999991</v>
      </c>
      <c r="R27" s="43"/>
      <c r="S27" s="43"/>
      <c r="T27" s="43"/>
      <c r="U27" s="43"/>
    </row>
    <row r="28" spans="1:21" s="11" customFormat="1" x14ac:dyDescent="0.25">
      <c r="A28" s="51" t="s">
        <v>487</v>
      </c>
      <c r="B28" s="52">
        <v>26.67</v>
      </c>
      <c r="C28" s="52">
        <v>82.82</v>
      </c>
      <c r="D28" s="52">
        <v>107.39</v>
      </c>
      <c r="E28" s="52">
        <v>8.69</v>
      </c>
      <c r="F28" s="52">
        <v>2.13</v>
      </c>
      <c r="G28" s="52">
        <v>102.88</v>
      </c>
      <c r="H28" s="52">
        <v>27.51</v>
      </c>
      <c r="I28" s="9" t="s">
        <v>15</v>
      </c>
      <c r="J28" s="52">
        <v>0.59</v>
      </c>
      <c r="K28" s="52">
        <v>323.17</v>
      </c>
      <c r="L28" s="52">
        <v>22.44</v>
      </c>
      <c r="M28" s="52">
        <v>59.63</v>
      </c>
      <c r="N28" s="52">
        <v>65.5</v>
      </c>
      <c r="O28" s="52">
        <v>0</v>
      </c>
      <c r="P28" s="52">
        <v>0.81</v>
      </c>
      <c r="Q28" s="52">
        <v>9.4600000000000009</v>
      </c>
      <c r="R28" s="43"/>
      <c r="S28" s="43"/>
      <c r="T28" s="43"/>
      <c r="U28" s="43"/>
    </row>
    <row r="29" spans="1:21" s="11" customFormat="1" x14ac:dyDescent="0.25">
      <c r="A29" s="51" t="s">
        <v>488</v>
      </c>
      <c r="B29" s="52">
        <v>39.229999999999997</v>
      </c>
      <c r="C29" s="52">
        <v>85.27</v>
      </c>
      <c r="D29" s="52">
        <v>122.4</v>
      </c>
      <c r="E29" s="52">
        <v>9.93</v>
      </c>
      <c r="F29" s="52">
        <v>2.13</v>
      </c>
      <c r="G29" s="52">
        <v>119.99</v>
      </c>
      <c r="H29" s="52">
        <v>31.12</v>
      </c>
      <c r="I29" s="9" t="s">
        <v>15</v>
      </c>
      <c r="J29" s="52">
        <v>0.76</v>
      </c>
      <c r="K29" s="52">
        <v>309.73</v>
      </c>
      <c r="L29" s="52">
        <v>21.59</v>
      </c>
      <c r="M29" s="52">
        <v>58.6</v>
      </c>
      <c r="N29" s="52">
        <v>65.599999999999994</v>
      </c>
      <c r="O29" s="52">
        <v>0</v>
      </c>
      <c r="P29" s="52">
        <v>0.81</v>
      </c>
      <c r="Q29" s="52">
        <v>9.4700000000000006</v>
      </c>
      <c r="R29" s="43"/>
      <c r="S29" s="43"/>
      <c r="T29" s="43"/>
      <c r="U29" s="43"/>
    </row>
    <row r="30" spans="1:21" s="11" customFormat="1" x14ac:dyDescent="0.25">
      <c r="A30" s="51" t="s">
        <v>489</v>
      </c>
      <c r="B30" s="52">
        <v>77.84</v>
      </c>
      <c r="C30" s="52">
        <v>89.43</v>
      </c>
      <c r="D30" s="52">
        <v>165.16</v>
      </c>
      <c r="E30" s="52">
        <v>11.13</v>
      </c>
      <c r="F30" s="52">
        <v>2.13</v>
      </c>
      <c r="G30" s="52">
        <v>132.69999999999999</v>
      </c>
      <c r="H30" s="52">
        <v>33.270000000000003</v>
      </c>
      <c r="I30" s="9" t="s">
        <v>15</v>
      </c>
      <c r="J30" s="52">
        <v>0.45</v>
      </c>
      <c r="K30" s="52">
        <v>316.06</v>
      </c>
      <c r="L30" s="52">
        <v>20.149999999999999</v>
      </c>
      <c r="M30" s="52">
        <v>63.46</v>
      </c>
      <c r="N30" s="52">
        <v>65.5</v>
      </c>
      <c r="O30" s="52">
        <v>0</v>
      </c>
      <c r="P30" s="52">
        <v>0.81</v>
      </c>
      <c r="Q30" s="52">
        <v>9.61</v>
      </c>
      <c r="R30" s="43"/>
      <c r="S30" s="43"/>
      <c r="T30" s="43"/>
      <c r="U30" s="43"/>
    </row>
    <row r="31" spans="1:21" s="11" customFormat="1" x14ac:dyDescent="0.25">
      <c r="A31" s="51" t="s">
        <v>490</v>
      </c>
      <c r="B31" s="52">
        <v>96.73</v>
      </c>
      <c r="C31" s="52">
        <v>89.82</v>
      </c>
      <c r="D31" s="52">
        <v>182.21</v>
      </c>
      <c r="E31" s="52">
        <v>11.1</v>
      </c>
      <c r="F31" s="52">
        <v>2.13</v>
      </c>
      <c r="G31" s="52">
        <v>156.31</v>
      </c>
      <c r="H31" s="52">
        <v>40.43</v>
      </c>
      <c r="I31" s="9" t="s">
        <v>15</v>
      </c>
      <c r="J31" s="52">
        <v>0.56000000000000005</v>
      </c>
      <c r="K31" s="52">
        <v>347.84</v>
      </c>
      <c r="L31" s="52">
        <v>20.100000000000001</v>
      </c>
      <c r="M31" s="52">
        <v>66.47</v>
      </c>
      <c r="N31" s="52">
        <v>65.5</v>
      </c>
      <c r="O31" s="52">
        <v>0</v>
      </c>
      <c r="P31" s="52">
        <v>0.81</v>
      </c>
      <c r="Q31" s="52">
        <v>9.81</v>
      </c>
      <c r="R31" s="43"/>
      <c r="S31" s="43"/>
      <c r="T31" s="43"/>
      <c r="U31" s="43"/>
    </row>
    <row r="32" spans="1:21" s="11" customFormat="1" x14ac:dyDescent="0.25">
      <c r="A32" s="51" t="s">
        <v>491</v>
      </c>
      <c r="B32" s="52">
        <v>96.16</v>
      </c>
      <c r="C32" s="52">
        <v>86.44</v>
      </c>
      <c r="D32" s="52">
        <v>180.51</v>
      </c>
      <c r="E32" s="52">
        <v>9.86</v>
      </c>
      <c r="F32" s="52">
        <v>2.13</v>
      </c>
      <c r="G32" s="52">
        <v>131.57</v>
      </c>
      <c r="H32" s="52">
        <v>37.19</v>
      </c>
      <c r="I32" s="9" t="s">
        <v>15</v>
      </c>
      <c r="J32" s="52">
        <v>0.71</v>
      </c>
      <c r="K32" s="52">
        <v>325.70999999999998</v>
      </c>
      <c r="L32" s="52">
        <v>19.850000000000001</v>
      </c>
      <c r="M32" s="52">
        <v>58.99</v>
      </c>
      <c r="N32" s="52">
        <v>65.599999999999994</v>
      </c>
      <c r="O32" s="52">
        <v>0</v>
      </c>
      <c r="P32" s="52">
        <v>1.84</v>
      </c>
      <c r="Q32" s="52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</v>
      </c>
      <c r="C34" s="28">
        <f t="shared" si="0"/>
        <v>56.68</v>
      </c>
      <c r="D34" s="28">
        <f t="shared" si="0"/>
        <v>63.67</v>
      </c>
      <c r="E34" s="28">
        <f t="shared" si="0"/>
        <v>8.1300000000000008</v>
      </c>
      <c r="F34" s="28">
        <f t="shared" si="0"/>
        <v>2.13</v>
      </c>
      <c r="G34" s="28">
        <f t="shared" si="0"/>
        <v>71.260000000000005</v>
      </c>
      <c r="H34" s="28">
        <f t="shared" si="0"/>
        <v>22.73</v>
      </c>
      <c r="I34" s="28">
        <f t="shared" si="0"/>
        <v>0</v>
      </c>
      <c r="J34" s="28">
        <f t="shared" si="0"/>
        <v>0.45</v>
      </c>
      <c r="K34" s="28">
        <f t="shared" si="0"/>
        <v>89.31</v>
      </c>
      <c r="L34" s="28">
        <f t="shared" si="0"/>
        <v>15.55</v>
      </c>
      <c r="M34" s="28">
        <f t="shared" si="0"/>
        <v>28.11</v>
      </c>
      <c r="N34" s="28">
        <f t="shared" si="0"/>
        <v>65.400000000000006</v>
      </c>
      <c r="O34" s="28">
        <f t="shared" si="0"/>
        <v>0</v>
      </c>
      <c r="P34" s="28">
        <f t="shared" si="0"/>
        <v>0.53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125.24</v>
      </c>
      <c r="C35" s="29">
        <f t="shared" si="1"/>
        <v>92.43</v>
      </c>
      <c r="D35" s="29">
        <f t="shared" si="1"/>
        <v>182.21</v>
      </c>
      <c r="E35" s="29">
        <f t="shared" si="1"/>
        <v>16.260000000000002</v>
      </c>
      <c r="F35" s="29">
        <f t="shared" si="1"/>
        <v>46.14</v>
      </c>
      <c r="G35" s="29">
        <f t="shared" si="1"/>
        <v>221.66</v>
      </c>
      <c r="H35" s="29">
        <f t="shared" si="1"/>
        <v>68.56</v>
      </c>
      <c r="I35" s="29">
        <f t="shared" si="1"/>
        <v>0</v>
      </c>
      <c r="J35" s="29">
        <f t="shared" si="1"/>
        <v>1.75</v>
      </c>
      <c r="K35" s="29">
        <f t="shared" si="1"/>
        <v>352.6</v>
      </c>
      <c r="L35" s="29">
        <f t="shared" si="1"/>
        <v>31.8</v>
      </c>
      <c r="M35" s="29">
        <f t="shared" si="1"/>
        <v>74.39</v>
      </c>
      <c r="N35" s="29">
        <f t="shared" si="1"/>
        <v>794.5</v>
      </c>
      <c r="O35" s="29">
        <f t="shared" si="1"/>
        <v>0</v>
      </c>
      <c r="P35" s="29">
        <f t="shared" si="1"/>
        <v>1.84</v>
      </c>
      <c r="Q35" s="29">
        <f t="shared" si="1"/>
        <v>10.17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53.914090909090916</v>
      </c>
      <c r="C36" s="28">
        <f t="shared" si="2"/>
        <v>73.223636363636345</v>
      </c>
      <c r="D36" s="28">
        <f t="shared" si="2"/>
        <v>104.70954545454548</v>
      </c>
      <c r="E36" s="28">
        <f t="shared" si="2"/>
        <v>10.13478260869565</v>
      </c>
      <c r="F36" s="28">
        <f t="shared" si="2"/>
        <v>6.7024999999999997</v>
      </c>
      <c r="G36" s="28">
        <f t="shared" si="2"/>
        <v>125.93782608695651</v>
      </c>
      <c r="H36" s="28">
        <f t="shared" si="2"/>
        <v>38.252173913043478</v>
      </c>
      <c r="I36" s="28" t="e">
        <f t="shared" si="2"/>
        <v>#DIV/0!</v>
      </c>
      <c r="J36" s="28">
        <f t="shared" si="2"/>
        <v>1.0291666666666666</v>
      </c>
      <c r="K36" s="28">
        <f t="shared" si="2"/>
        <v>318.90000000000003</v>
      </c>
      <c r="L36" s="28">
        <f t="shared" si="2"/>
        <v>23.254999999999999</v>
      </c>
      <c r="M36" s="28">
        <f t="shared" si="2"/>
        <v>52.260416666666664</v>
      </c>
      <c r="N36" s="28">
        <f t="shared" si="2"/>
        <v>266.13750000000005</v>
      </c>
      <c r="O36" s="28">
        <f t="shared" si="2"/>
        <v>0</v>
      </c>
      <c r="P36" s="28">
        <f t="shared" si="2"/>
        <v>1.0641666666666667</v>
      </c>
      <c r="Q36" s="28">
        <f t="shared" si="2"/>
        <v>9.7545833333333345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42.412732775843992</v>
      </c>
      <c r="C37" s="28">
        <f t="shared" ref="C37:Q37" si="3">STDEV(C9:C32)</f>
        <v>12.673489219797874</v>
      </c>
      <c r="D37" s="28">
        <f t="shared" si="3"/>
        <v>33.985032906976983</v>
      </c>
      <c r="E37" s="28">
        <f t="shared" si="3"/>
        <v>2.2117267412285928</v>
      </c>
      <c r="F37" s="28">
        <f t="shared" si="3"/>
        <v>10.169645049596502</v>
      </c>
      <c r="G37" s="28">
        <f t="shared" si="3"/>
        <v>37.402149787086415</v>
      </c>
      <c r="H37" s="28">
        <f t="shared" si="3"/>
        <v>11.042240367426178</v>
      </c>
      <c r="I37" s="28" t="e">
        <f t="shared" si="3"/>
        <v>#DIV/0!</v>
      </c>
      <c r="J37" s="28">
        <f t="shared" si="3"/>
        <v>0.39527554139256948</v>
      </c>
      <c r="K37" s="28">
        <f t="shared" si="3"/>
        <v>52.179835768901555</v>
      </c>
      <c r="L37" s="28">
        <f t="shared" si="3"/>
        <v>5.836604134776219</v>
      </c>
      <c r="M37" s="28">
        <f t="shared" si="3"/>
        <v>17.636773953050891</v>
      </c>
      <c r="N37" s="28">
        <f t="shared" si="3"/>
        <v>277.37034544559492</v>
      </c>
      <c r="O37" s="28">
        <f t="shared" si="3"/>
        <v>0</v>
      </c>
      <c r="P37" s="28">
        <f t="shared" si="3"/>
        <v>0.35239450060687771</v>
      </c>
      <c r="Q37" s="28">
        <f t="shared" si="3"/>
        <v>0.227041064408041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</f>
        <v>24</v>
      </c>
      <c r="C38" s="32">
        <f t="shared" ref="C38:D38" si="4">COUNT(C9:C32)+2</f>
        <v>24</v>
      </c>
      <c r="D38" s="32">
        <f t="shared" si="4"/>
        <v>24</v>
      </c>
      <c r="E38" s="32">
        <f>COUNT(E9:E32)+1</f>
        <v>24</v>
      </c>
      <c r="F38" s="32">
        <f t="shared" ref="B38:Q38" si="5">COUNT(F9:F32)</f>
        <v>24</v>
      </c>
      <c r="G38" s="32">
        <f>COUNT(G9:G32)+1</f>
        <v>24</v>
      </c>
      <c r="H38" s="32">
        <f>COUNT(H9:H32)+1</f>
        <v>24</v>
      </c>
      <c r="I38" s="32">
        <f t="shared" si="5"/>
        <v>0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&lt;90%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LESS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492</v>
      </c>
      <c r="B9" s="52">
        <v>84.65</v>
      </c>
      <c r="C9" s="52">
        <v>83.72</v>
      </c>
      <c r="D9" s="52">
        <v>166.27</v>
      </c>
      <c r="E9" s="52">
        <v>7.48</v>
      </c>
      <c r="F9" s="52">
        <v>2.13</v>
      </c>
      <c r="G9" s="52">
        <v>112.69</v>
      </c>
      <c r="H9" s="52">
        <v>34.81</v>
      </c>
      <c r="I9" s="53" t="s">
        <v>15</v>
      </c>
      <c r="J9" s="52">
        <v>0.5</v>
      </c>
      <c r="K9" s="52">
        <v>346.58</v>
      </c>
      <c r="L9" s="52">
        <v>18.87</v>
      </c>
      <c r="M9" s="52">
        <v>65.3</v>
      </c>
      <c r="N9" s="52">
        <v>66.2</v>
      </c>
      <c r="O9" s="52">
        <v>0</v>
      </c>
      <c r="P9" s="52">
        <v>1.71</v>
      </c>
      <c r="Q9" s="52">
        <v>9.82</v>
      </c>
      <c r="R9" s="43"/>
      <c r="S9" s="43"/>
      <c r="T9" s="43"/>
      <c r="U9" s="43"/>
    </row>
    <row r="10" spans="1:21" s="11" customFormat="1" x14ac:dyDescent="0.25">
      <c r="A10" s="51" t="s">
        <v>493</v>
      </c>
      <c r="B10" s="52">
        <v>70.36</v>
      </c>
      <c r="C10" s="52">
        <v>76.540000000000006</v>
      </c>
      <c r="D10" s="52">
        <v>144.80000000000001</v>
      </c>
      <c r="E10" s="52">
        <v>6.66</v>
      </c>
      <c r="F10" s="52">
        <v>2.13</v>
      </c>
      <c r="G10" s="52">
        <v>101.49</v>
      </c>
      <c r="H10" s="52">
        <v>35.369999999999997</v>
      </c>
      <c r="I10" s="53" t="s">
        <v>15</v>
      </c>
      <c r="J10" s="52">
        <v>0.88</v>
      </c>
      <c r="K10" s="52">
        <v>345.64</v>
      </c>
      <c r="L10" s="52">
        <v>18.16</v>
      </c>
      <c r="M10" s="52">
        <v>67.23</v>
      </c>
      <c r="N10" s="52">
        <v>65.8</v>
      </c>
      <c r="O10" s="52">
        <v>0</v>
      </c>
      <c r="P10" s="52">
        <v>1.43</v>
      </c>
      <c r="Q10" s="52">
        <v>9.7799999999999994</v>
      </c>
      <c r="R10" s="43"/>
      <c r="S10" s="43"/>
      <c r="T10" s="43"/>
      <c r="U10" s="43"/>
    </row>
    <row r="11" spans="1:21" s="11" customFormat="1" x14ac:dyDescent="0.25">
      <c r="A11" s="51" t="s">
        <v>494</v>
      </c>
      <c r="B11" s="52">
        <v>57.66</v>
      </c>
      <c r="C11" s="52">
        <v>75.14</v>
      </c>
      <c r="D11" s="52">
        <v>130.69999999999999</v>
      </c>
      <c r="E11" s="52">
        <v>6.58</v>
      </c>
      <c r="F11" s="52">
        <v>2.13</v>
      </c>
      <c r="G11" s="52">
        <v>103.89</v>
      </c>
      <c r="H11" s="52">
        <v>34.28</v>
      </c>
      <c r="I11" s="53" t="s">
        <v>15</v>
      </c>
      <c r="J11" s="52">
        <v>0.65</v>
      </c>
      <c r="K11" s="52">
        <v>331.68</v>
      </c>
      <c r="L11" s="52">
        <v>17.04</v>
      </c>
      <c r="M11" s="52">
        <v>73.23</v>
      </c>
      <c r="N11" s="52">
        <v>65.8</v>
      </c>
      <c r="O11" s="52">
        <v>0</v>
      </c>
      <c r="P11" s="52">
        <v>1.3</v>
      </c>
      <c r="Q11" s="52">
        <v>9.6999999999999993</v>
      </c>
      <c r="R11" s="43"/>
      <c r="S11" s="43"/>
      <c r="T11" s="43"/>
      <c r="U11" s="43"/>
    </row>
    <row r="12" spans="1:21" s="11" customFormat="1" x14ac:dyDescent="0.25">
      <c r="A12" s="51" t="s">
        <v>495</v>
      </c>
      <c r="B12" s="52">
        <v>48.57</v>
      </c>
      <c r="C12" s="52">
        <v>71.53</v>
      </c>
      <c r="D12" s="52">
        <v>117.77</v>
      </c>
      <c r="E12" s="52">
        <v>6.53</v>
      </c>
      <c r="F12" s="52">
        <v>2.27</v>
      </c>
      <c r="G12" s="52">
        <v>132.75</v>
      </c>
      <c r="H12" s="52">
        <v>36.4</v>
      </c>
      <c r="I12" s="53" t="s">
        <v>15</v>
      </c>
      <c r="J12" s="52">
        <v>0.59</v>
      </c>
      <c r="K12" s="52">
        <v>344.56</v>
      </c>
      <c r="L12" s="52">
        <v>17.03</v>
      </c>
      <c r="M12" s="52">
        <v>74.72</v>
      </c>
      <c r="N12" s="52">
        <v>65.7</v>
      </c>
      <c r="O12" s="52">
        <v>0</v>
      </c>
      <c r="P12" s="52">
        <v>1.1499999999999999</v>
      </c>
      <c r="Q12" s="52">
        <v>9.68</v>
      </c>
      <c r="R12" s="43"/>
      <c r="S12" s="43"/>
      <c r="T12" s="43"/>
      <c r="U12" s="43"/>
    </row>
    <row r="13" spans="1:21" s="11" customFormat="1" x14ac:dyDescent="0.25">
      <c r="A13" s="51" t="s">
        <v>496</v>
      </c>
      <c r="B13" s="52">
        <v>43.09</v>
      </c>
      <c r="C13" s="52">
        <v>70.89</v>
      </c>
      <c r="D13" s="52">
        <v>111.78</v>
      </c>
      <c r="E13" s="52">
        <v>7.4</v>
      </c>
      <c r="F13" s="52">
        <v>2.13</v>
      </c>
      <c r="G13" s="52">
        <v>159.1</v>
      </c>
      <c r="H13" s="52">
        <v>40.520000000000003</v>
      </c>
      <c r="I13" s="53" t="s">
        <v>15</v>
      </c>
      <c r="J13" s="52">
        <v>1.0900000000000001</v>
      </c>
      <c r="K13" s="52">
        <v>52.68</v>
      </c>
      <c r="L13" s="52">
        <v>17.18</v>
      </c>
      <c r="M13" s="52">
        <v>69.75</v>
      </c>
      <c r="N13" s="52">
        <v>65.7</v>
      </c>
      <c r="O13" s="52">
        <v>0</v>
      </c>
      <c r="P13" s="52">
        <v>1.17</v>
      </c>
      <c r="Q13" s="52">
        <v>9.59</v>
      </c>
      <c r="R13" s="43"/>
      <c r="S13" s="43"/>
      <c r="T13" s="43"/>
      <c r="U13" s="43"/>
    </row>
    <row r="14" spans="1:21" s="11" customFormat="1" x14ac:dyDescent="0.25">
      <c r="A14" s="51" t="s">
        <v>497</v>
      </c>
      <c r="B14" s="52">
        <v>39.6</v>
      </c>
      <c r="C14" s="52">
        <v>72.58</v>
      </c>
      <c r="D14" s="52">
        <v>110.09</v>
      </c>
      <c r="E14" s="52">
        <v>7.64</v>
      </c>
      <c r="F14" s="52">
        <v>2.13</v>
      </c>
      <c r="G14" s="52">
        <v>189.67</v>
      </c>
      <c r="H14" s="52">
        <v>52.11</v>
      </c>
      <c r="I14" s="53" t="s">
        <v>15</v>
      </c>
      <c r="J14" s="52">
        <v>1.17</v>
      </c>
      <c r="K14" s="52">
        <v>322.83</v>
      </c>
      <c r="L14" s="52">
        <v>17.54</v>
      </c>
      <c r="M14" s="52">
        <v>64.69</v>
      </c>
      <c r="N14" s="52">
        <v>66.099999999999994</v>
      </c>
      <c r="O14" s="52">
        <v>0</v>
      </c>
      <c r="P14" s="52">
        <v>1.1499999999999999</v>
      </c>
      <c r="Q14" s="52">
        <v>9.61</v>
      </c>
      <c r="R14" s="43"/>
      <c r="S14" s="43"/>
      <c r="T14" s="43"/>
      <c r="U14" s="43"/>
    </row>
    <row r="15" spans="1:21" s="11" customFormat="1" x14ac:dyDescent="0.25">
      <c r="A15" s="51" t="s">
        <v>498</v>
      </c>
      <c r="B15" s="52">
        <v>36.020000000000003</v>
      </c>
      <c r="C15" s="52">
        <v>72.08</v>
      </c>
      <c r="D15" s="52">
        <v>104.93</v>
      </c>
      <c r="E15" s="52">
        <v>7.64</v>
      </c>
      <c r="F15" s="52">
        <v>2.13</v>
      </c>
      <c r="G15" s="52">
        <v>158.35</v>
      </c>
      <c r="H15" s="52">
        <v>53.94</v>
      </c>
      <c r="I15" s="53" t="s">
        <v>15</v>
      </c>
      <c r="J15" s="52">
        <v>0.94</v>
      </c>
      <c r="K15" s="52">
        <v>219.22</v>
      </c>
      <c r="L15" s="52">
        <v>17.25</v>
      </c>
      <c r="M15" s="52">
        <v>78.89</v>
      </c>
      <c r="N15" s="52">
        <v>89.3</v>
      </c>
      <c r="O15" s="52">
        <v>0</v>
      </c>
      <c r="P15" s="52">
        <v>1.0900000000000001</v>
      </c>
      <c r="Q15" s="52">
        <v>9.58</v>
      </c>
      <c r="R15" s="43"/>
      <c r="S15" s="43"/>
      <c r="T15" s="43"/>
      <c r="U15" s="43"/>
    </row>
    <row r="16" spans="1:21" s="11" customFormat="1" x14ac:dyDescent="0.25">
      <c r="A16" s="51" t="s">
        <v>499</v>
      </c>
      <c r="B16" s="52">
        <v>41.14</v>
      </c>
      <c r="C16" s="52">
        <v>69.69</v>
      </c>
      <c r="D16" s="52">
        <v>106.49</v>
      </c>
      <c r="E16" s="52">
        <v>8.39</v>
      </c>
      <c r="F16" s="52">
        <v>2.13</v>
      </c>
      <c r="G16" s="52">
        <v>172.35</v>
      </c>
      <c r="H16" s="52">
        <v>53.69</v>
      </c>
      <c r="I16" s="53" t="s">
        <v>15</v>
      </c>
      <c r="J16" s="52">
        <v>1.03</v>
      </c>
      <c r="K16" s="52">
        <v>328.76</v>
      </c>
      <c r="L16" s="52">
        <v>20.91</v>
      </c>
      <c r="M16" s="52">
        <v>79.58</v>
      </c>
      <c r="N16" s="52">
        <v>225.9</v>
      </c>
      <c r="O16" s="52">
        <v>0</v>
      </c>
      <c r="P16" s="52">
        <v>1.35</v>
      </c>
      <c r="Q16" s="52">
        <v>9.58</v>
      </c>
      <c r="R16" s="43"/>
      <c r="S16" s="43"/>
      <c r="T16" s="43"/>
      <c r="U16" s="43"/>
    </row>
    <row r="17" spans="1:21" s="11" customFormat="1" x14ac:dyDescent="0.25">
      <c r="A17" s="51" t="s">
        <v>500</v>
      </c>
      <c r="B17" s="52">
        <v>46.55</v>
      </c>
      <c r="C17" s="52">
        <v>73.08</v>
      </c>
      <c r="D17" s="52">
        <v>117.53</v>
      </c>
      <c r="E17" s="52">
        <v>9.85</v>
      </c>
      <c r="F17" s="52">
        <v>2.13</v>
      </c>
      <c r="G17" s="52">
        <v>212.63</v>
      </c>
      <c r="H17" s="52">
        <v>57.73</v>
      </c>
      <c r="I17" s="53" t="s">
        <v>15</v>
      </c>
      <c r="J17" s="52">
        <v>1.1599999999999999</v>
      </c>
      <c r="K17" s="52">
        <v>343.23</v>
      </c>
      <c r="L17" s="52">
        <v>25.34</v>
      </c>
      <c r="M17" s="52">
        <v>52.84</v>
      </c>
      <c r="N17" s="52">
        <v>388.8</v>
      </c>
      <c r="O17" s="52">
        <v>0</v>
      </c>
      <c r="P17" s="52">
        <v>1.43</v>
      </c>
      <c r="Q17" s="52">
        <v>9.56</v>
      </c>
      <c r="R17" s="43"/>
      <c r="S17" s="43"/>
      <c r="T17" s="43"/>
      <c r="U17" s="43"/>
    </row>
    <row r="18" spans="1:21" s="11" customFormat="1" x14ac:dyDescent="0.25">
      <c r="A18" s="51" t="s">
        <v>501</v>
      </c>
      <c r="B18" s="52">
        <v>47.7</v>
      </c>
      <c r="C18" s="52">
        <v>79.28</v>
      </c>
      <c r="D18" s="52">
        <v>123.57</v>
      </c>
      <c r="E18" s="52">
        <v>10.93</v>
      </c>
      <c r="F18" s="52">
        <v>2.13</v>
      </c>
      <c r="G18" s="52">
        <v>248.87</v>
      </c>
      <c r="H18" s="52">
        <v>75.77</v>
      </c>
      <c r="I18" s="53" t="s">
        <v>15</v>
      </c>
      <c r="J18" s="52">
        <v>1.38</v>
      </c>
      <c r="K18" s="52">
        <v>358.24</v>
      </c>
      <c r="L18" s="52">
        <v>26.92</v>
      </c>
      <c r="M18" s="52">
        <v>41.08</v>
      </c>
      <c r="N18" s="52">
        <v>582.1</v>
      </c>
      <c r="O18" s="52">
        <v>0</v>
      </c>
      <c r="P18" s="52">
        <v>1.41</v>
      </c>
      <c r="Q18" s="52">
        <v>9.59</v>
      </c>
      <c r="R18" s="43"/>
      <c r="S18" s="43"/>
      <c r="T18" s="43"/>
      <c r="U18" s="43"/>
    </row>
    <row r="19" spans="1:21" s="11" customFormat="1" x14ac:dyDescent="0.25">
      <c r="A19" s="51" t="s">
        <v>502</v>
      </c>
      <c r="B19" s="52">
        <v>45.47</v>
      </c>
      <c r="C19" s="52">
        <v>84.62</v>
      </c>
      <c r="D19" s="52">
        <v>124.5</v>
      </c>
      <c r="E19" s="52">
        <v>9.84</v>
      </c>
      <c r="F19" s="52">
        <v>2.13</v>
      </c>
      <c r="G19" s="52">
        <v>219.74</v>
      </c>
      <c r="H19" s="52">
        <v>76.97</v>
      </c>
      <c r="I19" s="53" t="s">
        <v>15</v>
      </c>
      <c r="J19" s="52">
        <v>1.71</v>
      </c>
      <c r="K19" s="52">
        <v>342.38</v>
      </c>
      <c r="L19" s="52">
        <v>27</v>
      </c>
      <c r="M19" s="52">
        <v>39.28</v>
      </c>
      <c r="N19" s="52">
        <v>708.6</v>
      </c>
      <c r="O19" s="52">
        <v>0</v>
      </c>
      <c r="P19" s="52">
        <v>1.35</v>
      </c>
      <c r="Q19" s="52">
        <v>9.6</v>
      </c>
      <c r="R19" s="43"/>
      <c r="S19" s="43"/>
      <c r="T19" s="43"/>
      <c r="U19" s="43"/>
    </row>
    <row r="20" spans="1:21" s="11" customFormat="1" x14ac:dyDescent="0.25">
      <c r="A20" s="51" t="s">
        <v>503</v>
      </c>
      <c r="B20" s="52">
        <v>33.85</v>
      </c>
      <c r="C20" s="52">
        <v>87.16</v>
      </c>
      <c r="D20" s="52">
        <v>117.6</v>
      </c>
      <c r="E20" s="52">
        <v>8.3699999999999992</v>
      </c>
      <c r="F20" s="52">
        <v>2.14</v>
      </c>
      <c r="G20" s="52">
        <v>124.92</v>
      </c>
      <c r="H20" s="52">
        <v>65.62</v>
      </c>
      <c r="I20" s="53" t="s">
        <v>15</v>
      </c>
      <c r="J20" s="52">
        <v>1.41</v>
      </c>
      <c r="K20" s="52">
        <v>351.58</v>
      </c>
      <c r="L20" s="52">
        <v>26.82</v>
      </c>
      <c r="M20" s="52">
        <v>36.840000000000003</v>
      </c>
      <c r="N20" s="52">
        <v>776</v>
      </c>
      <c r="O20" s="52">
        <v>0</v>
      </c>
      <c r="P20" s="52">
        <v>1.23</v>
      </c>
      <c r="Q20" s="52">
        <v>9.5500000000000007</v>
      </c>
      <c r="R20" s="43"/>
      <c r="S20" s="43"/>
      <c r="T20" s="43"/>
      <c r="U20" s="43"/>
    </row>
    <row r="21" spans="1:21" s="11" customFormat="1" x14ac:dyDescent="0.25">
      <c r="A21" s="51" t="s">
        <v>504</v>
      </c>
      <c r="B21" s="52">
        <v>22.92</v>
      </c>
      <c r="C21" s="52">
        <v>84.06</v>
      </c>
      <c r="D21" s="52">
        <v>104.87</v>
      </c>
      <c r="E21" s="52">
        <v>7.12</v>
      </c>
      <c r="F21" s="52">
        <v>2.13</v>
      </c>
      <c r="G21" s="52">
        <v>72.87</v>
      </c>
      <c r="H21" s="52">
        <v>48.96</v>
      </c>
      <c r="I21" s="53" t="s">
        <v>15</v>
      </c>
      <c r="J21" s="52">
        <v>1.53</v>
      </c>
      <c r="K21" s="52">
        <v>110.05</v>
      </c>
      <c r="L21" s="52">
        <v>27.99</v>
      </c>
      <c r="M21" s="52">
        <v>31.71</v>
      </c>
      <c r="N21" s="52">
        <v>758.6</v>
      </c>
      <c r="O21" s="52">
        <v>0</v>
      </c>
      <c r="P21" s="52">
        <v>0.94</v>
      </c>
      <c r="Q21" s="52">
        <v>9.5299999999999994</v>
      </c>
      <c r="R21" s="43"/>
      <c r="S21" s="43"/>
      <c r="T21" s="43"/>
      <c r="U21" s="43"/>
    </row>
    <row r="22" spans="1:21" s="11" customFormat="1" x14ac:dyDescent="0.25">
      <c r="A22" s="51" t="s">
        <v>505</v>
      </c>
      <c r="B22" s="52">
        <v>13.13</v>
      </c>
      <c r="C22" s="52">
        <v>81.75</v>
      </c>
      <c r="D22" s="52">
        <v>92.78</v>
      </c>
      <c r="E22" s="52">
        <v>7.44</v>
      </c>
      <c r="F22" s="52">
        <v>2.13</v>
      </c>
      <c r="G22" s="52">
        <v>77.48</v>
      </c>
      <c r="H22" s="52">
        <v>43.82</v>
      </c>
      <c r="I22" s="53" t="s">
        <v>15</v>
      </c>
      <c r="J22" s="52">
        <v>1.41</v>
      </c>
      <c r="K22" s="52">
        <v>159.22</v>
      </c>
      <c r="L22" s="52">
        <v>28.31</v>
      </c>
      <c r="M22" s="52">
        <v>34.93</v>
      </c>
      <c r="N22" s="52">
        <v>656</v>
      </c>
      <c r="O22" s="52">
        <v>0</v>
      </c>
      <c r="P22" s="52">
        <v>0.87</v>
      </c>
      <c r="Q22" s="52">
        <v>9.41</v>
      </c>
      <c r="R22" s="43"/>
      <c r="S22" s="43"/>
      <c r="T22" s="43"/>
      <c r="U22" s="43"/>
    </row>
    <row r="23" spans="1:21" s="11" customFormat="1" x14ac:dyDescent="0.25">
      <c r="A23" s="51" t="s">
        <v>506</v>
      </c>
      <c r="B23" s="52">
        <v>6.37</v>
      </c>
      <c r="C23" s="52">
        <v>78.59</v>
      </c>
      <c r="D23" s="52">
        <v>81.73</v>
      </c>
      <c r="E23" s="52">
        <v>7.28</v>
      </c>
      <c r="F23" s="52">
        <v>2.36</v>
      </c>
      <c r="G23" s="52">
        <v>72.8</v>
      </c>
      <c r="H23" s="52">
        <v>36.94</v>
      </c>
      <c r="I23" s="53" t="s">
        <v>15</v>
      </c>
      <c r="J23" s="52">
        <v>1.17</v>
      </c>
      <c r="K23" s="52">
        <v>343.87</v>
      </c>
      <c r="L23" s="52">
        <v>31.25</v>
      </c>
      <c r="M23" s="52">
        <v>31.44</v>
      </c>
      <c r="N23" s="52">
        <v>457.3</v>
      </c>
      <c r="O23" s="52">
        <v>0</v>
      </c>
      <c r="P23" s="52">
        <v>0.83</v>
      </c>
      <c r="Q23" s="52">
        <v>9.39</v>
      </c>
      <c r="R23" s="43"/>
      <c r="S23" s="43"/>
      <c r="T23" s="43"/>
      <c r="U23" s="43"/>
    </row>
    <row r="24" spans="1:21" s="11" customFormat="1" x14ac:dyDescent="0.25">
      <c r="A24" s="51" t="s">
        <v>507</v>
      </c>
      <c r="B24" s="52">
        <v>5.18</v>
      </c>
      <c r="C24" s="52">
        <v>79.05</v>
      </c>
      <c r="D24" s="52">
        <v>82</v>
      </c>
      <c r="E24" s="52">
        <v>7.61</v>
      </c>
      <c r="F24" s="52">
        <v>3.17</v>
      </c>
      <c r="G24" s="52">
        <v>105.55</v>
      </c>
      <c r="H24" s="52">
        <v>37.9</v>
      </c>
      <c r="I24" s="53" t="s">
        <v>15</v>
      </c>
      <c r="J24" s="52">
        <v>0.79</v>
      </c>
      <c r="K24" s="52">
        <v>355</v>
      </c>
      <c r="L24" s="52">
        <v>30.96</v>
      </c>
      <c r="M24" s="52">
        <v>30.9</v>
      </c>
      <c r="N24" s="52">
        <v>330.3</v>
      </c>
      <c r="O24" s="52">
        <v>0</v>
      </c>
      <c r="P24" s="52">
        <v>0.8</v>
      </c>
      <c r="Q24" s="52">
        <v>9.42</v>
      </c>
      <c r="R24" s="43"/>
      <c r="S24" s="43"/>
      <c r="T24" s="43"/>
      <c r="U24" s="43"/>
    </row>
    <row r="25" spans="1:21" s="11" customFormat="1" x14ac:dyDescent="0.25">
      <c r="A25" s="51" t="s">
        <v>508</v>
      </c>
      <c r="B25" s="52">
        <v>5.16</v>
      </c>
      <c r="C25" s="52">
        <v>76.97</v>
      </c>
      <c r="D25" s="52">
        <v>80.03</v>
      </c>
      <c r="E25" s="52">
        <v>7.41</v>
      </c>
      <c r="F25" s="52">
        <v>2.86</v>
      </c>
      <c r="G25" s="52">
        <v>94.83</v>
      </c>
      <c r="H25" s="52">
        <v>39.659999999999997</v>
      </c>
      <c r="I25" s="53" t="s">
        <v>15</v>
      </c>
      <c r="J25" s="52">
        <v>1.1399999999999999</v>
      </c>
      <c r="K25" s="52">
        <v>345.66</v>
      </c>
      <c r="L25" s="52">
        <v>28.59</v>
      </c>
      <c r="M25" s="52">
        <v>34.47</v>
      </c>
      <c r="N25" s="52">
        <v>165</v>
      </c>
      <c r="O25" s="52">
        <v>0</v>
      </c>
      <c r="P25" s="52">
        <v>0.87</v>
      </c>
      <c r="Q25" s="52">
        <v>9.43</v>
      </c>
      <c r="R25" s="43"/>
      <c r="S25" s="43"/>
      <c r="T25" s="43"/>
      <c r="U25" s="43"/>
    </row>
    <row r="26" spans="1:21" s="11" customFormat="1" x14ac:dyDescent="0.25">
      <c r="A26" s="51" t="s">
        <v>509</v>
      </c>
      <c r="B26" s="52">
        <v>7.59</v>
      </c>
      <c r="C26" s="52">
        <v>81.89</v>
      </c>
      <c r="D26" s="52">
        <v>87.37</v>
      </c>
      <c r="E26" s="52">
        <v>7.29</v>
      </c>
      <c r="F26" s="52">
        <v>2.1800000000000002</v>
      </c>
      <c r="G26" s="52">
        <v>106.05</v>
      </c>
      <c r="H26" s="52">
        <v>31.89</v>
      </c>
      <c r="I26" s="53" t="s">
        <v>15</v>
      </c>
      <c r="J26" s="52">
        <v>1.38</v>
      </c>
      <c r="K26" s="52">
        <v>358.13</v>
      </c>
      <c r="L26" s="52">
        <v>26.89</v>
      </c>
      <c r="M26" s="52">
        <v>38.44</v>
      </c>
      <c r="N26" s="52">
        <v>103.6</v>
      </c>
      <c r="O26" s="52">
        <v>0</v>
      </c>
      <c r="P26" s="52">
        <v>1.27</v>
      </c>
      <c r="Q26" s="52">
        <v>9.3699999999999992</v>
      </c>
      <c r="R26" s="43"/>
      <c r="S26" s="43"/>
      <c r="T26" s="43"/>
      <c r="U26" s="43"/>
    </row>
    <row r="27" spans="1:21" s="11" customFormat="1" x14ac:dyDescent="0.25">
      <c r="A27" s="51" t="s">
        <v>510</v>
      </c>
      <c r="B27" s="52">
        <v>16.79</v>
      </c>
      <c r="C27" s="52">
        <v>87.82</v>
      </c>
      <c r="D27" s="52">
        <v>102.5</v>
      </c>
      <c r="E27" s="52">
        <v>7.95</v>
      </c>
      <c r="F27" s="52">
        <v>2.13</v>
      </c>
      <c r="G27" s="52">
        <v>139.68</v>
      </c>
      <c r="H27" s="52">
        <v>18.54</v>
      </c>
      <c r="I27" s="53" t="s">
        <v>15</v>
      </c>
      <c r="J27" s="52">
        <v>0.95</v>
      </c>
      <c r="K27" s="52">
        <v>359.88</v>
      </c>
      <c r="L27" s="52">
        <v>24.63</v>
      </c>
      <c r="M27" s="52">
        <v>44.27</v>
      </c>
      <c r="N27" s="52">
        <v>64.5</v>
      </c>
      <c r="O27" s="52">
        <v>0</v>
      </c>
      <c r="P27" s="52">
        <v>1.75</v>
      </c>
      <c r="Q27" s="52">
        <v>9.4</v>
      </c>
      <c r="R27" s="43"/>
      <c r="S27" s="43"/>
      <c r="T27" s="43"/>
      <c r="U27" s="43"/>
    </row>
    <row r="28" spans="1:21" s="11" customFormat="1" x14ac:dyDescent="0.25">
      <c r="A28" s="51" t="s">
        <v>511</v>
      </c>
      <c r="B28" s="52">
        <v>24.52</v>
      </c>
      <c r="C28" s="52">
        <v>92.1</v>
      </c>
      <c r="D28" s="52">
        <v>114.52</v>
      </c>
      <c r="E28" s="52">
        <v>9.3000000000000007</v>
      </c>
      <c r="F28" s="52">
        <v>2.13</v>
      </c>
      <c r="G28" s="52">
        <v>160.11000000000001</v>
      </c>
      <c r="H28" s="52">
        <v>9.83</v>
      </c>
      <c r="I28" s="53" t="s">
        <v>15</v>
      </c>
      <c r="J28" s="52">
        <v>0.98</v>
      </c>
      <c r="K28" s="52">
        <v>78.12</v>
      </c>
      <c r="L28" s="52">
        <v>23.29</v>
      </c>
      <c r="M28" s="52">
        <v>46.92</v>
      </c>
      <c r="N28" s="52">
        <v>63.6</v>
      </c>
      <c r="O28" s="52">
        <v>0</v>
      </c>
      <c r="P28" s="52">
        <v>1.73</v>
      </c>
      <c r="Q28" s="52">
        <v>9.4499999999999993</v>
      </c>
      <c r="R28" s="43"/>
      <c r="S28" s="43"/>
      <c r="T28" s="43"/>
      <c r="U28" s="43"/>
    </row>
    <row r="29" spans="1:21" s="11" customFormat="1" x14ac:dyDescent="0.25">
      <c r="A29" s="51" t="s">
        <v>512</v>
      </c>
      <c r="B29" s="52">
        <v>23.55</v>
      </c>
      <c r="C29" s="52">
        <v>90.58</v>
      </c>
      <c r="D29" s="52">
        <v>112.02</v>
      </c>
      <c r="E29" s="52">
        <v>9.1999999999999993</v>
      </c>
      <c r="F29" s="52">
        <v>2.13</v>
      </c>
      <c r="G29" s="52">
        <v>178.46</v>
      </c>
      <c r="H29" s="52">
        <v>5.51</v>
      </c>
      <c r="I29" s="53" t="s">
        <v>15</v>
      </c>
      <c r="J29" s="52">
        <v>0.79</v>
      </c>
      <c r="K29" s="52">
        <v>328.95</v>
      </c>
      <c r="L29" s="52">
        <v>22.67</v>
      </c>
      <c r="M29" s="52">
        <v>52.77</v>
      </c>
      <c r="N29" s="52">
        <v>63.6</v>
      </c>
      <c r="O29" s="52">
        <v>0</v>
      </c>
      <c r="P29" s="52">
        <v>2.17</v>
      </c>
      <c r="Q29" s="52">
        <v>9.48</v>
      </c>
      <c r="R29" s="43"/>
      <c r="S29" s="43"/>
      <c r="T29" s="43"/>
      <c r="U29" s="43"/>
    </row>
    <row r="30" spans="1:21" s="11" customFormat="1" x14ac:dyDescent="0.25">
      <c r="A30" s="51" t="s">
        <v>513</v>
      </c>
      <c r="B30" s="52">
        <v>33.450000000000003</v>
      </c>
      <c r="C30" s="52">
        <v>87.69</v>
      </c>
      <c r="D30" s="52">
        <v>119.04</v>
      </c>
      <c r="E30" s="52">
        <v>9.2100000000000009</v>
      </c>
      <c r="F30" s="52">
        <v>2.13</v>
      </c>
      <c r="G30" s="52">
        <v>127.33</v>
      </c>
      <c r="H30" s="52">
        <v>3.34</v>
      </c>
      <c r="I30" s="53" t="s">
        <v>15</v>
      </c>
      <c r="J30" s="52">
        <v>0.57999999999999996</v>
      </c>
      <c r="K30" s="52">
        <v>351.75</v>
      </c>
      <c r="L30" s="52">
        <v>21.52</v>
      </c>
      <c r="M30" s="52">
        <v>58.99</v>
      </c>
      <c r="N30" s="52">
        <v>63.7</v>
      </c>
      <c r="O30" s="52">
        <v>0</v>
      </c>
      <c r="P30" s="52">
        <v>2.08</v>
      </c>
      <c r="Q30" s="52">
        <v>9.44</v>
      </c>
      <c r="R30" s="43"/>
      <c r="S30" s="43"/>
      <c r="T30" s="43"/>
      <c r="U30" s="43"/>
    </row>
    <row r="31" spans="1:21" s="11" customFormat="1" x14ac:dyDescent="0.25">
      <c r="A31" s="51" t="s">
        <v>514</v>
      </c>
      <c r="B31" s="52">
        <v>64.89</v>
      </c>
      <c r="C31" s="52">
        <v>88.69</v>
      </c>
      <c r="D31" s="52">
        <v>150.94</v>
      </c>
      <c r="E31" s="52">
        <v>10.4</v>
      </c>
      <c r="F31" s="52">
        <v>2.13</v>
      </c>
      <c r="G31" s="52">
        <v>153.07</v>
      </c>
      <c r="H31" s="52">
        <v>1.86</v>
      </c>
      <c r="I31" s="53" t="s">
        <v>15</v>
      </c>
      <c r="J31" s="52">
        <v>0.68</v>
      </c>
      <c r="K31" s="52">
        <v>336.4</v>
      </c>
      <c r="L31" s="52">
        <v>20.68</v>
      </c>
      <c r="M31" s="52">
        <v>68.73</v>
      </c>
      <c r="N31" s="52">
        <v>63.8</v>
      </c>
      <c r="O31" s="52">
        <v>0</v>
      </c>
      <c r="P31" s="52">
        <v>2.6</v>
      </c>
      <c r="Q31" s="52">
        <v>9.4499999999999993</v>
      </c>
      <c r="R31" s="43"/>
      <c r="S31" s="43"/>
      <c r="T31" s="43"/>
      <c r="U31" s="43"/>
    </row>
    <row r="32" spans="1:21" s="11" customFormat="1" x14ac:dyDescent="0.25">
      <c r="A32" s="51" t="s">
        <v>515</v>
      </c>
      <c r="B32" s="52">
        <v>74.22</v>
      </c>
      <c r="C32" s="52">
        <v>88.32</v>
      </c>
      <c r="D32" s="52">
        <v>159.99</v>
      </c>
      <c r="E32" s="52">
        <v>10.18</v>
      </c>
      <c r="F32" s="52">
        <v>2.13</v>
      </c>
      <c r="G32" s="52">
        <v>179.29</v>
      </c>
      <c r="H32" s="52">
        <v>20.239999999999998</v>
      </c>
      <c r="I32" s="53" t="s">
        <v>15</v>
      </c>
      <c r="J32" s="52">
        <v>0.73</v>
      </c>
      <c r="K32" s="52">
        <v>278.73</v>
      </c>
      <c r="L32" s="52">
        <v>20.03</v>
      </c>
      <c r="M32" s="52">
        <v>66.22</v>
      </c>
      <c r="N32" s="52">
        <v>63.7</v>
      </c>
      <c r="O32" s="52">
        <v>0</v>
      </c>
      <c r="P32" s="52">
        <v>1.75</v>
      </c>
      <c r="Q32" s="52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5.16</v>
      </c>
      <c r="C34" s="28">
        <f t="shared" si="0"/>
        <v>69.69</v>
      </c>
      <c r="D34" s="28">
        <f t="shared" si="0"/>
        <v>80.03</v>
      </c>
      <c r="E34" s="28">
        <f t="shared" si="0"/>
        <v>6.53</v>
      </c>
      <c r="F34" s="28">
        <f t="shared" si="0"/>
        <v>2.13</v>
      </c>
      <c r="G34" s="28">
        <f t="shared" si="0"/>
        <v>72.8</v>
      </c>
      <c r="H34" s="28">
        <f t="shared" si="0"/>
        <v>1.86</v>
      </c>
      <c r="I34" s="28">
        <f t="shared" si="0"/>
        <v>0</v>
      </c>
      <c r="J34" s="28">
        <f t="shared" si="0"/>
        <v>0.5</v>
      </c>
      <c r="K34" s="28">
        <f t="shared" si="0"/>
        <v>52.68</v>
      </c>
      <c r="L34" s="28">
        <f t="shared" si="0"/>
        <v>17.03</v>
      </c>
      <c r="M34" s="28">
        <f t="shared" si="0"/>
        <v>30.9</v>
      </c>
      <c r="N34" s="28">
        <f t="shared" si="0"/>
        <v>63.6</v>
      </c>
      <c r="O34" s="28">
        <f t="shared" si="0"/>
        <v>0</v>
      </c>
      <c r="P34" s="28">
        <f t="shared" si="0"/>
        <v>0.8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84.65</v>
      </c>
      <c r="C35" s="29">
        <f t="shared" si="1"/>
        <v>92.1</v>
      </c>
      <c r="D35" s="29">
        <f t="shared" si="1"/>
        <v>166.27</v>
      </c>
      <c r="E35" s="29">
        <f t="shared" si="1"/>
        <v>10.93</v>
      </c>
      <c r="F35" s="29">
        <f t="shared" si="1"/>
        <v>3.17</v>
      </c>
      <c r="G35" s="29">
        <f t="shared" si="1"/>
        <v>248.87</v>
      </c>
      <c r="H35" s="29">
        <f t="shared" si="1"/>
        <v>76.97</v>
      </c>
      <c r="I35" s="29">
        <f t="shared" si="1"/>
        <v>0</v>
      </c>
      <c r="J35" s="29">
        <f t="shared" si="1"/>
        <v>1.71</v>
      </c>
      <c r="K35" s="29">
        <f t="shared" si="1"/>
        <v>359.88</v>
      </c>
      <c r="L35" s="29">
        <f t="shared" si="1"/>
        <v>31.25</v>
      </c>
      <c r="M35" s="29">
        <f t="shared" si="1"/>
        <v>79.58</v>
      </c>
      <c r="N35" s="29">
        <f t="shared" si="1"/>
        <v>776</v>
      </c>
      <c r="O35" s="29">
        <f t="shared" si="1"/>
        <v>0</v>
      </c>
      <c r="P35" s="29">
        <f t="shared" si="1"/>
        <v>2.6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37.184583333333329</v>
      </c>
      <c r="C36" s="28">
        <f t="shared" si="2"/>
        <v>80.575833333333321</v>
      </c>
      <c r="D36" s="28">
        <f t="shared" si="2"/>
        <v>115.15916666666665</v>
      </c>
      <c r="E36" s="28">
        <f t="shared" si="2"/>
        <v>8.2375000000000007</v>
      </c>
      <c r="F36" s="28">
        <f t="shared" si="2"/>
        <v>2.2216666666666671</v>
      </c>
      <c r="G36" s="28">
        <f t="shared" si="2"/>
        <v>141.83208333333337</v>
      </c>
      <c r="H36" s="28">
        <f t="shared" si="2"/>
        <v>38.154166666666669</v>
      </c>
      <c r="I36" s="28" t="e">
        <f t="shared" si="2"/>
        <v>#DIV/0!</v>
      </c>
      <c r="J36" s="28">
        <f t="shared" si="2"/>
        <v>1.0266666666666666</v>
      </c>
      <c r="K36" s="28">
        <f t="shared" si="2"/>
        <v>295.54749999999996</v>
      </c>
      <c r="L36" s="28">
        <f t="shared" si="2"/>
        <v>23.202916666666663</v>
      </c>
      <c r="M36" s="28">
        <f t="shared" si="2"/>
        <v>53.467500000000008</v>
      </c>
      <c r="N36" s="28">
        <f t="shared" si="2"/>
        <v>250.82083333333341</v>
      </c>
      <c r="O36" s="28">
        <f t="shared" si="2"/>
        <v>0</v>
      </c>
      <c r="P36" s="28">
        <f t="shared" si="2"/>
        <v>1.3929166666666666</v>
      </c>
      <c r="Q36" s="28">
        <f t="shared" si="2"/>
        <v>9.5449999999999999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22.660965476796875</v>
      </c>
      <c r="C37" s="28">
        <f t="shared" ref="C37:Q37" si="3">STDEV(C9:C32)</f>
        <v>6.9152049965946434</v>
      </c>
      <c r="D37" s="28">
        <f t="shared" si="3"/>
        <v>23.248550383358079</v>
      </c>
      <c r="E37" s="28">
        <f t="shared" si="3"/>
        <v>1.3006762455169916</v>
      </c>
      <c r="F37" s="28">
        <f t="shared" si="3"/>
        <v>0.25434770221723585</v>
      </c>
      <c r="G37" s="28">
        <f t="shared" si="3"/>
        <v>47.778078926488725</v>
      </c>
      <c r="H37" s="28">
        <f t="shared" si="3"/>
        <v>20.936636272472153</v>
      </c>
      <c r="I37" s="28" t="e">
        <f t="shared" si="3"/>
        <v>#DIV/0!</v>
      </c>
      <c r="J37" s="28">
        <f t="shared" si="3"/>
        <v>0.33010758018069425</v>
      </c>
      <c r="K37" s="28">
        <f t="shared" si="3"/>
        <v>95.541423624838714</v>
      </c>
      <c r="L37" s="28">
        <f t="shared" si="3"/>
        <v>4.7243582303214415</v>
      </c>
      <c r="M37" s="28">
        <f t="shared" si="3"/>
        <v>16.778289089850823</v>
      </c>
      <c r="N37" s="28">
        <f t="shared" si="3"/>
        <v>260.09230297884739</v>
      </c>
      <c r="O37" s="28">
        <f t="shared" si="3"/>
        <v>0</v>
      </c>
      <c r="P37" s="28">
        <f t="shared" si="3"/>
        <v>0.45392471284072694</v>
      </c>
      <c r="Q37" s="28">
        <f t="shared" si="3"/>
        <v>0.12493476558658084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516</v>
      </c>
      <c r="B9" s="52">
        <v>67.75</v>
      </c>
      <c r="C9" s="52">
        <v>83.41</v>
      </c>
      <c r="D9" s="52">
        <v>149.07</v>
      </c>
      <c r="E9" s="52">
        <v>7.23</v>
      </c>
      <c r="F9" s="52">
        <v>2.13</v>
      </c>
      <c r="G9" s="52">
        <v>138.13</v>
      </c>
      <c r="H9" s="52">
        <v>14.2</v>
      </c>
      <c r="I9" s="53" t="s">
        <v>15</v>
      </c>
      <c r="J9" s="52">
        <v>0.68</v>
      </c>
      <c r="K9" s="52">
        <v>334.31</v>
      </c>
      <c r="L9" s="52">
        <v>19.010000000000002</v>
      </c>
      <c r="M9" s="52">
        <v>74.510000000000005</v>
      </c>
      <c r="N9" s="52">
        <v>63.8</v>
      </c>
      <c r="O9" s="52">
        <v>0</v>
      </c>
      <c r="P9" s="52">
        <v>1.64</v>
      </c>
      <c r="Q9" s="52">
        <v>9.69</v>
      </c>
      <c r="R9" s="43"/>
      <c r="S9" s="43"/>
      <c r="T9" s="43"/>
      <c r="U9" s="43"/>
    </row>
    <row r="10" spans="1:21" s="11" customFormat="1" x14ac:dyDescent="0.25">
      <c r="A10" s="51" t="s">
        <v>517</v>
      </c>
      <c r="B10" s="52">
        <v>62.22</v>
      </c>
      <c r="C10" s="52">
        <v>76.38</v>
      </c>
      <c r="D10" s="52">
        <v>136.5</v>
      </c>
      <c r="E10" s="52">
        <v>6.58</v>
      </c>
      <c r="F10" s="52">
        <v>2.13</v>
      </c>
      <c r="G10" s="52">
        <v>139.4</v>
      </c>
      <c r="H10" s="54" t="s">
        <v>14</v>
      </c>
      <c r="I10" s="53" t="s">
        <v>15</v>
      </c>
      <c r="J10" s="52">
        <v>0.78</v>
      </c>
      <c r="K10" s="52">
        <v>310.66000000000003</v>
      </c>
      <c r="L10" s="52">
        <v>18.82</v>
      </c>
      <c r="M10" s="52">
        <v>76.760000000000005</v>
      </c>
      <c r="N10" s="52">
        <v>63.6</v>
      </c>
      <c r="O10" s="52">
        <v>0</v>
      </c>
      <c r="P10" s="52">
        <v>1.26</v>
      </c>
      <c r="Q10" s="52">
        <v>9.67</v>
      </c>
      <c r="R10" s="43"/>
      <c r="S10" s="43"/>
      <c r="T10" s="43"/>
      <c r="U10" s="43"/>
    </row>
    <row r="11" spans="1:21" s="11" customFormat="1" x14ac:dyDescent="0.25">
      <c r="A11" s="51" t="s">
        <v>518</v>
      </c>
      <c r="B11" s="52">
        <v>57.48</v>
      </c>
      <c r="C11" s="52">
        <v>75.42</v>
      </c>
      <c r="D11" s="52">
        <v>130.80000000000001</v>
      </c>
      <c r="E11" s="52">
        <v>6.32</v>
      </c>
      <c r="F11" s="52">
        <v>2.13</v>
      </c>
      <c r="G11" s="52">
        <v>114.43</v>
      </c>
      <c r="H11" s="54" t="s">
        <v>14</v>
      </c>
      <c r="I11" s="53" t="s">
        <v>15</v>
      </c>
      <c r="J11" s="52">
        <v>1.72</v>
      </c>
      <c r="K11" s="52">
        <v>347.58</v>
      </c>
      <c r="L11" s="52">
        <v>18.47</v>
      </c>
      <c r="M11" s="52">
        <v>76.19</v>
      </c>
      <c r="N11" s="52">
        <v>63.7</v>
      </c>
      <c r="O11" s="52">
        <v>0</v>
      </c>
      <c r="P11" s="52">
        <v>1.1599999999999999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1" t="s">
        <v>519</v>
      </c>
      <c r="B12" s="52">
        <v>46.8</v>
      </c>
      <c r="C12" s="52">
        <v>68.8</v>
      </c>
      <c r="D12" s="52">
        <v>113.5</v>
      </c>
      <c r="E12" s="52">
        <v>6.84</v>
      </c>
      <c r="F12" s="52">
        <v>2.13</v>
      </c>
      <c r="G12" s="52">
        <v>94.8</v>
      </c>
      <c r="H12" s="54" t="s">
        <v>14</v>
      </c>
      <c r="I12" s="53" t="s">
        <v>15</v>
      </c>
      <c r="J12" s="52">
        <v>1.65</v>
      </c>
      <c r="K12" s="52">
        <v>357.36</v>
      </c>
      <c r="L12" s="52">
        <v>18.399999999999999</v>
      </c>
      <c r="M12" s="52">
        <v>73.12</v>
      </c>
      <c r="N12" s="52">
        <v>63.4</v>
      </c>
      <c r="O12" s="52">
        <v>0</v>
      </c>
      <c r="P12" s="52">
        <v>1.23</v>
      </c>
      <c r="Q12" s="52">
        <v>9.6</v>
      </c>
      <c r="R12" s="43"/>
      <c r="S12" s="43"/>
      <c r="T12" s="43"/>
      <c r="U12" s="43"/>
    </row>
    <row r="13" spans="1:21" s="11" customFormat="1" x14ac:dyDescent="0.25">
      <c r="A13" s="51" t="s">
        <v>520</v>
      </c>
      <c r="B13" s="52">
        <v>37.32</v>
      </c>
      <c r="C13" s="52">
        <v>70.040000000000006</v>
      </c>
      <c r="D13" s="52">
        <v>104.68</v>
      </c>
      <c r="E13" s="52">
        <v>7.07</v>
      </c>
      <c r="F13" s="52">
        <v>2.13</v>
      </c>
      <c r="G13" s="52">
        <v>151.05000000000001</v>
      </c>
      <c r="H13" s="54" t="s">
        <v>14</v>
      </c>
      <c r="I13" s="53" t="s">
        <v>15</v>
      </c>
      <c r="J13" s="52">
        <v>1.1100000000000001</v>
      </c>
      <c r="K13" s="52">
        <v>42.95</v>
      </c>
      <c r="L13" s="52">
        <v>18.41</v>
      </c>
      <c r="M13" s="52">
        <v>68.41</v>
      </c>
      <c r="N13" s="52">
        <v>63.6</v>
      </c>
      <c r="O13" s="52">
        <v>0</v>
      </c>
      <c r="P13" s="52">
        <v>1.19</v>
      </c>
      <c r="Q13" s="52">
        <v>9.5299999999999994</v>
      </c>
      <c r="R13" s="43"/>
      <c r="S13" s="43"/>
      <c r="T13" s="43"/>
      <c r="U13" s="43"/>
    </row>
    <row r="14" spans="1:21" s="11" customFormat="1" x14ac:dyDescent="0.25">
      <c r="A14" s="51" t="s">
        <v>521</v>
      </c>
      <c r="B14" s="52">
        <v>32.020000000000003</v>
      </c>
      <c r="C14" s="52">
        <v>69.88</v>
      </c>
      <c r="D14" s="52">
        <v>99.8</v>
      </c>
      <c r="E14" s="52">
        <v>6.61</v>
      </c>
      <c r="F14" s="52">
        <v>2.23</v>
      </c>
      <c r="G14" s="52">
        <v>158.68</v>
      </c>
      <c r="H14" s="54" t="s">
        <v>14</v>
      </c>
      <c r="I14" s="53" t="s">
        <v>15</v>
      </c>
      <c r="J14" s="52">
        <v>0.72</v>
      </c>
      <c r="K14" s="52">
        <v>321.45999999999998</v>
      </c>
      <c r="L14" s="52">
        <v>18.440000000000001</v>
      </c>
      <c r="M14" s="52">
        <v>65.209999999999994</v>
      </c>
      <c r="N14" s="52">
        <v>63.8</v>
      </c>
      <c r="O14" s="52">
        <v>0</v>
      </c>
      <c r="P14" s="52">
        <v>1.1499999999999999</v>
      </c>
      <c r="Q14" s="52">
        <v>9.5299999999999994</v>
      </c>
      <c r="R14" s="43"/>
      <c r="S14" s="43"/>
      <c r="T14" s="43"/>
      <c r="U14" s="43"/>
    </row>
    <row r="15" spans="1:21" s="11" customFormat="1" x14ac:dyDescent="0.25">
      <c r="A15" s="51" t="s">
        <v>522</v>
      </c>
      <c r="B15" s="52">
        <v>29.59</v>
      </c>
      <c r="C15" s="52">
        <v>70.95</v>
      </c>
      <c r="D15" s="52">
        <v>98.31</v>
      </c>
      <c r="E15" s="52">
        <v>6.1</v>
      </c>
      <c r="F15" s="52">
        <v>2.13</v>
      </c>
      <c r="G15" s="52">
        <v>121.27</v>
      </c>
      <c r="H15" s="54" t="s">
        <v>14</v>
      </c>
      <c r="I15" s="53" t="s">
        <v>15</v>
      </c>
      <c r="J15" s="52">
        <v>0.59</v>
      </c>
      <c r="K15" s="52">
        <v>351.57</v>
      </c>
      <c r="L15" s="52">
        <v>17.84</v>
      </c>
      <c r="M15" s="52">
        <v>67.02</v>
      </c>
      <c r="N15" s="52">
        <v>90.6</v>
      </c>
      <c r="O15" s="52">
        <v>0</v>
      </c>
      <c r="P15" s="52">
        <v>1.02</v>
      </c>
      <c r="Q15" s="52">
        <v>9.4700000000000006</v>
      </c>
      <c r="R15" s="43"/>
      <c r="S15" s="43"/>
      <c r="T15" s="43"/>
      <c r="U15" s="43"/>
    </row>
    <row r="16" spans="1:21" s="11" customFormat="1" x14ac:dyDescent="0.25">
      <c r="A16" s="51" t="s">
        <v>523</v>
      </c>
      <c r="B16" s="52">
        <v>35.01</v>
      </c>
      <c r="C16" s="52">
        <v>73.86</v>
      </c>
      <c r="D16" s="52">
        <v>106.77</v>
      </c>
      <c r="E16" s="52">
        <v>5.98</v>
      </c>
      <c r="F16" s="52">
        <v>2.13</v>
      </c>
      <c r="G16" s="52">
        <v>109.52</v>
      </c>
      <c r="H16" s="52">
        <v>62.43</v>
      </c>
      <c r="I16" s="53" t="s">
        <v>15</v>
      </c>
      <c r="J16" s="52">
        <v>1.08</v>
      </c>
      <c r="K16" s="52">
        <v>345.99</v>
      </c>
      <c r="L16" s="52">
        <v>19.09</v>
      </c>
      <c r="M16" s="52">
        <v>67.92</v>
      </c>
      <c r="N16" s="52">
        <v>243.4</v>
      </c>
      <c r="O16" s="52">
        <v>0</v>
      </c>
      <c r="P16" s="52">
        <v>1.04</v>
      </c>
      <c r="Q16" s="52">
        <v>9.4499999999999993</v>
      </c>
      <c r="R16" s="43"/>
      <c r="S16" s="43"/>
      <c r="T16" s="43"/>
      <c r="U16" s="43"/>
    </row>
    <row r="17" spans="1:21" s="11" customFormat="1" x14ac:dyDescent="0.25">
      <c r="A17" s="51" t="s">
        <v>524</v>
      </c>
      <c r="B17" s="52">
        <v>32.89</v>
      </c>
      <c r="C17" s="52">
        <v>73.02</v>
      </c>
      <c r="D17" s="52">
        <v>101.08</v>
      </c>
      <c r="E17" s="52">
        <v>6.75</v>
      </c>
      <c r="F17" s="52">
        <v>2.13</v>
      </c>
      <c r="G17" s="52">
        <v>132.28</v>
      </c>
      <c r="H17" s="52">
        <v>40.950000000000003</v>
      </c>
      <c r="I17" s="53" t="s">
        <v>15</v>
      </c>
      <c r="J17" s="52">
        <v>0.95</v>
      </c>
      <c r="K17" s="52">
        <v>343.3</v>
      </c>
      <c r="L17" s="52">
        <v>26.6</v>
      </c>
      <c r="M17" s="52">
        <v>58.77</v>
      </c>
      <c r="N17" s="52">
        <v>434.6</v>
      </c>
      <c r="O17" s="52">
        <v>0</v>
      </c>
      <c r="P17" s="52">
        <v>1.02</v>
      </c>
      <c r="Q17" s="52">
        <v>9.5</v>
      </c>
      <c r="R17" s="43"/>
      <c r="S17" s="43"/>
      <c r="T17" s="43"/>
      <c r="U17" s="43"/>
    </row>
    <row r="18" spans="1:21" s="11" customFormat="1" x14ac:dyDescent="0.25">
      <c r="A18" s="51" t="s">
        <v>525</v>
      </c>
      <c r="B18" s="52">
        <v>29.03</v>
      </c>
      <c r="C18" s="52">
        <v>77.069999999999993</v>
      </c>
      <c r="D18" s="52">
        <v>102.19</v>
      </c>
      <c r="E18" s="52">
        <v>6.58</v>
      </c>
      <c r="F18" s="52">
        <v>2.13</v>
      </c>
      <c r="G18" s="52">
        <v>123.82</v>
      </c>
      <c r="H18" s="52">
        <v>45.51</v>
      </c>
      <c r="I18" s="53" t="s">
        <v>15</v>
      </c>
      <c r="J18" s="52">
        <v>0.71</v>
      </c>
      <c r="K18" s="52">
        <v>281.75</v>
      </c>
      <c r="L18" s="52">
        <v>26.7</v>
      </c>
      <c r="M18" s="52">
        <v>45.48</v>
      </c>
      <c r="N18" s="52">
        <v>631.9</v>
      </c>
      <c r="O18" s="52">
        <v>0</v>
      </c>
      <c r="P18" s="52">
        <v>1.01</v>
      </c>
      <c r="Q18" s="52">
        <v>9.5</v>
      </c>
      <c r="R18" s="43"/>
      <c r="S18" s="43"/>
      <c r="T18" s="43"/>
      <c r="U18" s="43"/>
    </row>
    <row r="19" spans="1:21" s="11" customFormat="1" x14ac:dyDescent="0.25">
      <c r="A19" s="51" t="s">
        <v>526</v>
      </c>
      <c r="B19" s="52">
        <v>17.36</v>
      </c>
      <c r="C19" s="52">
        <v>76.87</v>
      </c>
      <c r="D19" s="52">
        <v>90.17</v>
      </c>
      <c r="E19" s="52">
        <v>9.8699999999999992</v>
      </c>
      <c r="F19" s="52">
        <v>18.78</v>
      </c>
      <c r="G19" s="52">
        <v>118.04</v>
      </c>
      <c r="H19" s="52">
        <v>40.08</v>
      </c>
      <c r="I19" s="53" t="s">
        <v>15</v>
      </c>
      <c r="J19" s="52">
        <v>0.92</v>
      </c>
      <c r="K19" s="52">
        <v>255.94</v>
      </c>
      <c r="L19" s="52">
        <v>27.18</v>
      </c>
      <c r="M19" s="52">
        <v>47.05</v>
      </c>
      <c r="N19" s="52">
        <v>765.6</v>
      </c>
      <c r="O19" s="52">
        <v>0</v>
      </c>
      <c r="P19" s="52">
        <v>0.91</v>
      </c>
      <c r="Q19" s="52">
        <v>9.48</v>
      </c>
      <c r="R19" s="43"/>
      <c r="S19" s="43"/>
      <c r="T19" s="43"/>
      <c r="U19" s="43"/>
    </row>
    <row r="20" spans="1:21" s="11" customFormat="1" x14ac:dyDescent="0.25">
      <c r="A20" s="51" t="s">
        <v>527</v>
      </c>
      <c r="B20" s="52">
        <v>3.78</v>
      </c>
      <c r="C20" s="52">
        <v>66.209999999999994</v>
      </c>
      <c r="D20" s="52">
        <v>67.88</v>
      </c>
      <c r="E20" s="52">
        <v>12.64</v>
      </c>
      <c r="F20" s="52">
        <v>17.87</v>
      </c>
      <c r="G20" s="52">
        <v>82.2</v>
      </c>
      <c r="H20" s="52">
        <v>33.44</v>
      </c>
      <c r="I20" s="53" t="s">
        <v>15</v>
      </c>
      <c r="J20" s="52">
        <v>1.21</v>
      </c>
      <c r="K20" s="52">
        <v>307.01</v>
      </c>
      <c r="L20" s="52">
        <v>31.19</v>
      </c>
      <c r="M20" s="52">
        <v>44.19</v>
      </c>
      <c r="N20" s="52">
        <v>785.1</v>
      </c>
      <c r="O20" s="52">
        <v>0</v>
      </c>
      <c r="P20" s="52">
        <v>0.78</v>
      </c>
      <c r="Q20" s="52">
        <v>9.35</v>
      </c>
      <c r="R20" s="43"/>
      <c r="S20" s="43"/>
      <c r="T20" s="43"/>
      <c r="U20" s="43"/>
    </row>
    <row r="21" spans="1:21" s="11" customFormat="1" x14ac:dyDescent="0.25">
      <c r="A21" s="51" t="s">
        <v>528</v>
      </c>
      <c r="B21" s="52">
        <v>3.69</v>
      </c>
      <c r="C21" s="52">
        <v>69.83</v>
      </c>
      <c r="D21" s="52">
        <v>71.099999999999994</v>
      </c>
      <c r="E21" s="52">
        <v>12.92</v>
      </c>
      <c r="F21" s="52">
        <v>21.94</v>
      </c>
      <c r="G21" s="52">
        <v>111.07</v>
      </c>
      <c r="H21" s="52">
        <v>42.73</v>
      </c>
      <c r="I21" s="53" t="s">
        <v>15</v>
      </c>
      <c r="J21" s="52">
        <v>1.26</v>
      </c>
      <c r="K21" s="52">
        <v>324.52999999999997</v>
      </c>
      <c r="L21" s="52">
        <v>32.39</v>
      </c>
      <c r="M21" s="52">
        <v>32.51</v>
      </c>
      <c r="N21" s="52">
        <v>750.5</v>
      </c>
      <c r="O21" s="52">
        <v>0</v>
      </c>
      <c r="P21" s="52">
        <v>0.88</v>
      </c>
      <c r="Q21" s="52">
        <v>9.36</v>
      </c>
      <c r="R21" s="43"/>
      <c r="S21" s="43"/>
      <c r="T21" s="43"/>
      <c r="U21" s="43"/>
    </row>
    <row r="22" spans="1:21" s="11" customFormat="1" x14ac:dyDescent="0.25">
      <c r="A22" s="51" t="s">
        <v>529</v>
      </c>
      <c r="B22" s="52">
        <v>3.65</v>
      </c>
      <c r="C22" s="52">
        <v>64.44</v>
      </c>
      <c r="D22" s="52">
        <v>65.930000000000007</v>
      </c>
      <c r="E22" s="52">
        <v>10.51</v>
      </c>
      <c r="F22" s="52">
        <v>13.11</v>
      </c>
      <c r="G22" s="52">
        <v>108.38</v>
      </c>
      <c r="H22" s="52">
        <v>38.04</v>
      </c>
      <c r="I22" s="53" t="s">
        <v>15</v>
      </c>
      <c r="J22" s="52">
        <v>1.31</v>
      </c>
      <c r="K22" s="52">
        <v>308.01</v>
      </c>
      <c r="L22" s="52">
        <v>32.65</v>
      </c>
      <c r="M22" s="52">
        <v>29.57</v>
      </c>
      <c r="N22" s="52">
        <v>739.2</v>
      </c>
      <c r="O22" s="52">
        <v>0</v>
      </c>
      <c r="P22" s="52">
        <v>0.82</v>
      </c>
      <c r="Q22" s="52">
        <v>9.4</v>
      </c>
      <c r="R22" s="43"/>
      <c r="S22" s="43"/>
      <c r="T22" s="43"/>
      <c r="U22" s="43"/>
    </row>
    <row r="23" spans="1:21" s="11" customFormat="1" x14ac:dyDescent="0.25">
      <c r="A23" s="51" t="s">
        <v>530</v>
      </c>
      <c r="B23" s="52">
        <v>3.86</v>
      </c>
      <c r="C23" s="52">
        <v>66.14</v>
      </c>
      <c r="D23" s="52">
        <v>67.75</v>
      </c>
      <c r="E23" s="52">
        <v>10.44</v>
      </c>
      <c r="F23" s="52">
        <v>16.809999999999999</v>
      </c>
      <c r="G23" s="52">
        <v>93.45</v>
      </c>
      <c r="H23" s="52">
        <v>29.96</v>
      </c>
      <c r="I23" s="53" t="s">
        <v>15</v>
      </c>
      <c r="J23" s="52">
        <v>1.74</v>
      </c>
      <c r="K23" s="52">
        <v>324.77999999999997</v>
      </c>
      <c r="L23" s="52">
        <v>31.96</v>
      </c>
      <c r="M23" s="52">
        <v>26.41</v>
      </c>
      <c r="N23" s="52">
        <v>594.5</v>
      </c>
      <c r="O23" s="52">
        <v>0</v>
      </c>
      <c r="P23" s="52">
        <v>0.67</v>
      </c>
      <c r="Q23" s="52">
        <v>9.3699999999999992</v>
      </c>
      <c r="R23" s="43"/>
      <c r="S23" s="43"/>
      <c r="T23" s="43"/>
      <c r="U23" s="43"/>
    </row>
    <row r="24" spans="1:21" s="11" customFormat="1" x14ac:dyDescent="0.25">
      <c r="A24" s="51" t="s">
        <v>531</v>
      </c>
      <c r="B24" s="52">
        <v>4.2</v>
      </c>
      <c r="C24" s="52">
        <v>65.58</v>
      </c>
      <c r="D24" s="52">
        <v>67.400000000000006</v>
      </c>
      <c r="E24" s="52">
        <v>8.84</v>
      </c>
      <c r="F24" s="52">
        <v>9.9600000000000009</v>
      </c>
      <c r="G24" s="52">
        <v>74.25</v>
      </c>
      <c r="H24" s="52">
        <v>30.59</v>
      </c>
      <c r="I24" s="53" t="s">
        <v>15</v>
      </c>
      <c r="J24" s="52">
        <v>2.2000000000000002</v>
      </c>
      <c r="K24" s="52">
        <v>322.93</v>
      </c>
      <c r="L24" s="52">
        <v>31.36</v>
      </c>
      <c r="M24" s="52">
        <v>26.65</v>
      </c>
      <c r="N24" s="52">
        <v>343.1</v>
      </c>
      <c r="O24" s="52">
        <v>0</v>
      </c>
      <c r="P24" s="52">
        <v>0.6</v>
      </c>
      <c r="Q24" s="52">
        <v>9.31</v>
      </c>
      <c r="R24" s="43"/>
      <c r="S24" s="43"/>
      <c r="T24" s="43"/>
      <c r="U24" s="43"/>
    </row>
    <row r="25" spans="1:21" s="11" customFormat="1" x14ac:dyDescent="0.25">
      <c r="A25" s="51" t="s">
        <v>532</v>
      </c>
      <c r="B25" s="52">
        <v>3.87</v>
      </c>
      <c r="C25" s="52">
        <v>59.51</v>
      </c>
      <c r="D25" s="52">
        <v>61.28</v>
      </c>
      <c r="E25" s="52">
        <v>11.09</v>
      </c>
      <c r="F25" s="52">
        <v>19.45</v>
      </c>
      <c r="G25" s="52">
        <v>67.010000000000005</v>
      </c>
      <c r="H25" s="52">
        <v>29.74</v>
      </c>
      <c r="I25" s="53" t="s">
        <v>15</v>
      </c>
      <c r="J25" s="52">
        <v>2</v>
      </c>
      <c r="K25" s="52">
        <v>316.70999999999998</v>
      </c>
      <c r="L25" s="52">
        <v>28.5</v>
      </c>
      <c r="M25" s="52">
        <v>30.27</v>
      </c>
      <c r="N25" s="52">
        <v>151.1</v>
      </c>
      <c r="O25" s="52">
        <v>0</v>
      </c>
      <c r="P25" s="52">
        <v>0.5</v>
      </c>
      <c r="Q25" s="52">
        <v>9.24</v>
      </c>
      <c r="R25" s="43"/>
      <c r="S25" s="43"/>
      <c r="T25" s="43"/>
      <c r="U25" s="43"/>
    </row>
    <row r="26" spans="1:21" s="11" customFormat="1" x14ac:dyDescent="0.25">
      <c r="A26" s="51" t="s">
        <v>533</v>
      </c>
      <c r="B26" s="52">
        <v>5.38</v>
      </c>
      <c r="C26" s="52">
        <v>64.16</v>
      </c>
      <c r="D26" s="52">
        <v>67.44</v>
      </c>
      <c r="E26" s="52">
        <v>9.08</v>
      </c>
      <c r="F26" s="52">
        <v>6.25</v>
      </c>
      <c r="G26" s="52">
        <v>46.29</v>
      </c>
      <c r="H26" s="52">
        <v>16.96</v>
      </c>
      <c r="I26" s="53" t="s">
        <v>15</v>
      </c>
      <c r="J26" s="52">
        <v>1.41</v>
      </c>
      <c r="K26" s="52">
        <v>355.04</v>
      </c>
      <c r="L26" s="52">
        <v>26.93</v>
      </c>
      <c r="M26" s="52">
        <v>36.909999999999997</v>
      </c>
      <c r="N26" s="52">
        <v>101.2</v>
      </c>
      <c r="O26" s="52">
        <v>0</v>
      </c>
      <c r="P26" s="52">
        <v>0.72</v>
      </c>
      <c r="Q26" s="52">
        <v>9.27</v>
      </c>
      <c r="R26" s="43"/>
      <c r="S26" s="43"/>
      <c r="T26" s="43"/>
      <c r="U26" s="43"/>
    </row>
    <row r="27" spans="1:21" s="11" customFormat="1" x14ac:dyDescent="0.25">
      <c r="A27" s="51" t="s">
        <v>534</v>
      </c>
      <c r="B27" s="52">
        <v>14.3</v>
      </c>
      <c r="C27" s="52">
        <v>71.430000000000007</v>
      </c>
      <c r="D27" s="52">
        <v>83.27</v>
      </c>
      <c r="E27" s="54" t="s">
        <v>14</v>
      </c>
      <c r="F27" s="52">
        <v>2.13</v>
      </c>
      <c r="G27" s="52">
        <v>73.58</v>
      </c>
      <c r="H27" s="52">
        <v>21.17</v>
      </c>
      <c r="I27" s="53" t="s">
        <v>15</v>
      </c>
      <c r="J27" s="52">
        <v>0.9</v>
      </c>
      <c r="K27" s="52">
        <v>358.65</v>
      </c>
      <c r="L27" s="52">
        <v>24.48</v>
      </c>
      <c r="M27" s="52">
        <v>46.58</v>
      </c>
      <c r="N27" s="52">
        <v>64.900000000000006</v>
      </c>
      <c r="O27" s="52">
        <v>0</v>
      </c>
      <c r="P27" s="52">
        <v>1.58</v>
      </c>
      <c r="Q27" s="52">
        <v>9.39</v>
      </c>
      <c r="R27" s="43"/>
      <c r="S27" s="43"/>
      <c r="T27" s="43"/>
      <c r="U27" s="43"/>
    </row>
    <row r="28" spans="1:21" s="11" customFormat="1" x14ac:dyDescent="0.25">
      <c r="A28" s="51" t="s">
        <v>535</v>
      </c>
      <c r="B28" s="52">
        <v>44.08</v>
      </c>
      <c r="C28" s="52">
        <v>79.7</v>
      </c>
      <c r="D28" s="52">
        <v>121.68</v>
      </c>
      <c r="E28" s="54" t="s">
        <v>14</v>
      </c>
      <c r="F28" s="52">
        <v>2.16</v>
      </c>
      <c r="G28" s="52">
        <v>100.86</v>
      </c>
      <c r="H28" s="52">
        <v>33.17</v>
      </c>
      <c r="I28" s="53" t="s">
        <v>15</v>
      </c>
      <c r="J28" s="52">
        <v>0.48</v>
      </c>
      <c r="K28" s="52">
        <v>311.76</v>
      </c>
      <c r="L28" s="52">
        <v>22.63</v>
      </c>
      <c r="M28" s="52">
        <v>52.73</v>
      </c>
      <c r="N28" s="52">
        <v>64</v>
      </c>
      <c r="O28" s="52">
        <v>0</v>
      </c>
      <c r="P28" s="52">
        <v>2.12</v>
      </c>
      <c r="Q28" s="52">
        <v>9.3800000000000008</v>
      </c>
      <c r="R28" s="43"/>
      <c r="S28" s="43"/>
      <c r="T28" s="43"/>
      <c r="U28" s="43"/>
    </row>
    <row r="29" spans="1:21" s="11" customFormat="1" x14ac:dyDescent="0.25">
      <c r="A29" s="51" t="s">
        <v>536</v>
      </c>
      <c r="B29" s="52">
        <v>74.38</v>
      </c>
      <c r="C29" s="52">
        <v>81.13</v>
      </c>
      <c r="D29" s="52">
        <v>151.76</v>
      </c>
      <c r="E29" s="54" t="s">
        <v>14</v>
      </c>
      <c r="F29" s="52">
        <v>2.13</v>
      </c>
      <c r="G29" s="52">
        <v>188.46</v>
      </c>
      <c r="H29" s="52">
        <v>43</v>
      </c>
      <c r="I29" s="53" t="s">
        <v>15</v>
      </c>
      <c r="J29" s="52">
        <v>0.52</v>
      </c>
      <c r="K29" s="52">
        <v>346.92</v>
      </c>
      <c r="L29" s="52">
        <v>21.79</v>
      </c>
      <c r="M29" s="52">
        <v>62.24</v>
      </c>
      <c r="N29" s="52">
        <v>63.9</v>
      </c>
      <c r="O29" s="52">
        <v>0</v>
      </c>
      <c r="P29" s="52">
        <v>2.13</v>
      </c>
      <c r="Q29" s="52">
        <v>9.52</v>
      </c>
      <c r="R29" s="43"/>
      <c r="S29" s="43"/>
      <c r="T29" s="43"/>
      <c r="U29" s="43"/>
    </row>
    <row r="30" spans="1:21" s="11" customFormat="1" x14ac:dyDescent="0.25">
      <c r="A30" s="51" t="s">
        <v>537</v>
      </c>
      <c r="B30" s="52">
        <v>111.01</v>
      </c>
      <c r="C30" s="52">
        <v>83.95</v>
      </c>
      <c r="D30" s="52">
        <v>192.86</v>
      </c>
      <c r="E30" s="54" t="s">
        <v>14</v>
      </c>
      <c r="F30" s="52">
        <v>2.15</v>
      </c>
      <c r="G30" s="52">
        <v>176.03</v>
      </c>
      <c r="H30" s="52">
        <v>54.85</v>
      </c>
      <c r="I30" s="53" t="s">
        <v>15</v>
      </c>
      <c r="J30" s="52">
        <v>0.82</v>
      </c>
      <c r="K30" s="52">
        <v>320.27</v>
      </c>
      <c r="L30" s="52">
        <v>20.46</v>
      </c>
      <c r="M30" s="52">
        <v>74.540000000000006</v>
      </c>
      <c r="N30" s="52">
        <v>63.9</v>
      </c>
      <c r="O30" s="52">
        <v>0</v>
      </c>
      <c r="P30" s="52">
        <v>2.54</v>
      </c>
      <c r="Q30" s="52">
        <v>9.5399999999999991</v>
      </c>
      <c r="R30" s="43"/>
      <c r="S30" s="43"/>
      <c r="T30" s="43"/>
      <c r="U30" s="43"/>
    </row>
    <row r="31" spans="1:21" s="11" customFormat="1" x14ac:dyDescent="0.25">
      <c r="A31" s="51" t="s">
        <v>538</v>
      </c>
      <c r="B31" s="52">
        <v>145.63999999999999</v>
      </c>
      <c r="C31" s="52">
        <v>85.28</v>
      </c>
      <c r="D31" s="52">
        <v>228.82</v>
      </c>
      <c r="E31" s="54" t="s">
        <v>14</v>
      </c>
      <c r="F31" s="52">
        <v>2.13</v>
      </c>
      <c r="G31" s="52">
        <v>215.47</v>
      </c>
      <c r="H31" s="52">
        <v>55.23</v>
      </c>
      <c r="I31" s="53" t="s">
        <v>15</v>
      </c>
      <c r="J31" s="52">
        <v>0.57999999999999996</v>
      </c>
      <c r="K31" s="52">
        <v>327.48</v>
      </c>
      <c r="L31" s="52">
        <v>19.239999999999998</v>
      </c>
      <c r="M31" s="52">
        <v>71.84</v>
      </c>
      <c r="N31" s="52">
        <v>63.9</v>
      </c>
      <c r="O31" s="52">
        <v>0</v>
      </c>
      <c r="P31" s="52">
        <v>2.52</v>
      </c>
      <c r="Q31" s="52">
        <v>9.76</v>
      </c>
      <c r="R31" s="43"/>
      <c r="S31" s="43"/>
      <c r="T31" s="43"/>
      <c r="U31" s="43"/>
    </row>
    <row r="32" spans="1:21" s="11" customFormat="1" x14ac:dyDescent="0.25">
      <c r="A32" s="51" t="s">
        <v>539</v>
      </c>
      <c r="B32" s="52">
        <v>180.47</v>
      </c>
      <c r="C32" s="52">
        <v>85.87</v>
      </c>
      <c r="D32" s="52">
        <v>264.24</v>
      </c>
      <c r="E32" s="54" t="s">
        <v>14</v>
      </c>
      <c r="F32" s="52">
        <v>2.2400000000000002</v>
      </c>
      <c r="G32" s="52">
        <v>196.92</v>
      </c>
      <c r="H32" s="52">
        <v>55.94</v>
      </c>
      <c r="I32" s="53" t="s">
        <v>15</v>
      </c>
      <c r="J32" s="52">
        <v>0.71</v>
      </c>
      <c r="K32" s="52">
        <v>354.95</v>
      </c>
      <c r="L32" s="52">
        <v>18.61</v>
      </c>
      <c r="M32" s="52">
        <v>82.23</v>
      </c>
      <c r="N32" s="52">
        <v>63.9</v>
      </c>
      <c r="O32" s="52">
        <v>0</v>
      </c>
      <c r="P32" s="52">
        <v>3.01</v>
      </c>
      <c r="Q32" s="52">
        <v>9.9700000000000006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3.65</v>
      </c>
      <c r="C34" s="28">
        <f t="shared" si="0"/>
        <v>59.51</v>
      </c>
      <c r="D34" s="28">
        <f t="shared" si="0"/>
        <v>61.28</v>
      </c>
      <c r="E34" s="28">
        <f t="shared" si="0"/>
        <v>5.98</v>
      </c>
      <c r="F34" s="28">
        <f t="shared" si="0"/>
        <v>2.13</v>
      </c>
      <c r="G34" s="28">
        <f t="shared" si="0"/>
        <v>46.29</v>
      </c>
      <c r="H34" s="28">
        <f t="shared" si="0"/>
        <v>14.2</v>
      </c>
      <c r="I34" s="28">
        <f t="shared" si="0"/>
        <v>0</v>
      </c>
      <c r="J34" s="28">
        <f t="shared" si="0"/>
        <v>0.48</v>
      </c>
      <c r="K34" s="28">
        <f t="shared" si="0"/>
        <v>42.95</v>
      </c>
      <c r="L34" s="28">
        <f t="shared" si="0"/>
        <v>17.84</v>
      </c>
      <c r="M34" s="28">
        <f t="shared" si="0"/>
        <v>26.41</v>
      </c>
      <c r="N34" s="28">
        <f t="shared" si="0"/>
        <v>63.4</v>
      </c>
      <c r="O34" s="28">
        <f t="shared" si="0"/>
        <v>0</v>
      </c>
      <c r="P34" s="28">
        <f t="shared" si="0"/>
        <v>0.5</v>
      </c>
      <c r="Q34" s="28">
        <f t="shared" si="0"/>
        <v>9.24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180.47</v>
      </c>
      <c r="C35" s="29">
        <f t="shared" si="1"/>
        <v>85.87</v>
      </c>
      <c r="D35" s="29">
        <f t="shared" si="1"/>
        <v>264.24</v>
      </c>
      <c r="E35" s="29">
        <f t="shared" si="1"/>
        <v>12.92</v>
      </c>
      <c r="F35" s="29">
        <f t="shared" si="1"/>
        <v>21.94</v>
      </c>
      <c r="G35" s="29">
        <f t="shared" si="1"/>
        <v>215.47</v>
      </c>
      <c r="H35" s="29">
        <f t="shared" si="1"/>
        <v>62.43</v>
      </c>
      <c r="I35" s="29">
        <f t="shared" si="1"/>
        <v>0</v>
      </c>
      <c r="J35" s="29">
        <f t="shared" si="1"/>
        <v>2.2000000000000002</v>
      </c>
      <c r="K35" s="29">
        <f t="shared" si="1"/>
        <v>358.65</v>
      </c>
      <c r="L35" s="29">
        <f t="shared" si="1"/>
        <v>32.65</v>
      </c>
      <c r="M35" s="29">
        <f t="shared" si="1"/>
        <v>82.23</v>
      </c>
      <c r="N35" s="29">
        <f t="shared" si="1"/>
        <v>785.1</v>
      </c>
      <c r="O35" s="29">
        <f t="shared" si="1"/>
        <v>0</v>
      </c>
      <c r="P35" s="29">
        <f t="shared" si="1"/>
        <v>3.01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43.574166666666656</v>
      </c>
      <c r="C36" s="28">
        <f t="shared" si="2"/>
        <v>73.288750000000007</v>
      </c>
      <c r="D36" s="28">
        <f t="shared" si="2"/>
        <v>114.34500000000003</v>
      </c>
      <c r="E36" s="28">
        <f t="shared" si="2"/>
        <v>8.4138888888888896</v>
      </c>
      <c r="F36" s="28">
        <f t="shared" si="2"/>
        <v>6.6045833333333333</v>
      </c>
      <c r="G36" s="28">
        <f t="shared" si="2"/>
        <v>122.30791666666666</v>
      </c>
      <c r="H36" s="28">
        <f t="shared" si="2"/>
        <v>38.221666666666664</v>
      </c>
      <c r="I36" s="28" t="e">
        <f t="shared" si="2"/>
        <v>#DIV/0!</v>
      </c>
      <c r="J36" s="28">
        <f t="shared" si="2"/>
        <v>1.0854166666666665</v>
      </c>
      <c r="K36" s="28">
        <f t="shared" si="2"/>
        <v>315.49624999999997</v>
      </c>
      <c r="L36" s="28">
        <f t="shared" si="2"/>
        <v>23.797916666666666</v>
      </c>
      <c r="M36" s="28">
        <f t="shared" si="2"/>
        <v>55.712916666666651</v>
      </c>
      <c r="N36" s="28">
        <f t="shared" si="2"/>
        <v>266.54999999999995</v>
      </c>
      <c r="O36" s="28">
        <f t="shared" si="2"/>
        <v>0</v>
      </c>
      <c r="P36" s="28">
        <f t="shared" si="2"/>
        <v>1.3125</v>
      </c>
      <c r="Q36" s="28">
        <f t="shared" si="2"/>
        <v>9.4966666666666679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46.172192922530364</v>
      </c>
      <c r="C37" s="28">
        <f t="shared" ref="C37:Q37" si="3">STDEV(C9:C32)</f>
        <v>7.3358146534951931</v>
      </c>
      <c r="D37" s="28">
        <f t="shared" si="3"/>
        <v>52.50953428953968</v>
      </c>
      <c r="E37" s="28">
        <f t="shared" si="3"/>
        <v>2.3094031286151666</v>
      </c>
      <c r="F37" s="28">
        <f t="shared" si="3"/>
        <v>7.0748562616627364</v>
      </c>
      <c r="G37" s="28">
        <f t="shared" si="3"/>
        <v>42.755818925530541</v>
      </c>
      <c r="H37" s="28">
        <f t="shared" si="3"/>
        <v>13.589903800031751</v>
      </c>
      <c r="I37" s="28" t="e">
        <f t="shared" si="3"/>
        <v>#DIV/0!</v>
      </c>
      <c r="J37" s="28">
        <f t="shared" si="3"/>
        <v>0.48641527406176349</v>
      </c>
      <c r="K37" s="28">
        <f t="shared" si="3"/>
        <v>63.131765229385664</v>
      </c>
      <c r="L37" s="28">
        <f t="shared" si="3"/>
        <v>5.4196927388974698</v>
      </c>
      <c r="M37" s="28">
        <f t="shared" si="3"/>
        <v>18.353325366067999</v>
      </c>
      <c r="N37" s="28">
        <f t="shared" si="3"/>
        <v>280.9776952311185</v>
      </c>
      <c r="O37" s="28">
        <f t="shared" si="3"/>
        <v>0</v>
      </c>
      <c r="P37" s="28">
        <f t="shared" si="3"/>
        <v>0.67770232018387577</v>
      </c>
      <c r="Q37" s="28">
        <f t="shared" si="3"/>
        <v>0.16714135300415028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COUNT(E9:E32)+6</f>
        <v>24</v>
      </c>
      <c r="F38" s="32">
        <f t="shared" si="4"/>
        <v>24</v>
      </c>
      <c r="G38" s="32">
        <f t="shared" si="4"/>
        <v>24</v>
      </c>
      <c r="H38" s="32">
        <f>COUNT(H9:H32)+6</f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540</v>
      </c>
      <c r="B9" s="52">
        <v>181.84</v>
      </c>
      <c r="C9" s="52">
        <v>85.91</v>
      </c>
      <c r="D9" s="52">
        <v>265.64999999999998</v>
      </c>
      <c r="E9" s="59" t="s">
        <v>8</v>
      </c>
      <c r="F9" s="52">
        <v>2.21</v>
      </c>
      <c r="G9" s="52">
        <v>229.44</v>
      </c>
      <c r="H9" s="52">
        <v>55.89</v>
      </c>
      <c r="I9" s="58" t="s">
        <v>15</v>
      </c>
      <c r="J9" s="52">
        <v>0.78</v>
      </c>
      <c r="K9" s="52">
        <v>331.63</v>
      </c>
      <c r="L9" s="52">
        <v>19.440000000000001</v>
      </c>
      <c r="M9" s="52">
        <v>65.72</v>
      </c>
      <c r="N9" s="52">
        <v>63.8</v>
      </c>
      <c r="O9" s="52">
        <v>0</v>
      </c>
      <c r="P9" s="52">
        <v>2.83</v>
      </c>
      <c r="Q9" s="52">
        <v>10.1</v>
      </c>
      <c r="R9" s="43"/>
      <c r="S9" s="43"/>
      <c r="T9" s="43"/>
      <c r="U9" s="43"/>
    </row>
    <row r="10" spans="1:21" s="11" customFormat="1" x14ac:dyDescent="0.25">
      <c r="A10" s="51" t="s">
        <v>541</v>
      </c>
      <c r="B10" s="52">
        <v>162.87</v>
      </c>
      <c r="C10" s="52">
        <v>78.33</v>
      </c>
      <c r="D10" s="52">
        <v>239.1</v>
      </c>
      <c r="E10" s="59" t="s">
        <v>8</v>
      </c>
      <c r="F10" s="52">
        <v>2.13</v>
      </c>
      <c r="G10" s="52">
        <v>202.08</v>
      </c>
      <c r="H10" s="52">
        <v>69.290000000000006</v>
      </c>
      <c r="I10" s="58" t="s">
        <v>15</v>
      </c>
      <c r="J10" s="52">
        <v>0.42</v>
      </c>
      <c r="K10" s="52">
        <v>357.75</v>
      </c>
      <c r="L10" s="52">
        <v>18.420000000000002</v>
      </c>
      <c r="M10" s="52">
        <v>74.97</v>
      </c>
      <c r="N10" s="52">
        <v>64.099999999999994</v>
      </c>
      <c r="O10" s="52">
        <v>0</v>
      </c>
      <c r="P10" s="52">
        <v>2.25</v>
      </c>
      <c r="Q10" s="52">
        <v>10.07</v>
      </c>
      <c r="R10" s="43"/>
      <c r="S10" s="43"/>
      <c r="T10" s="43"/>
      <c r="U10" s="43"/>
    </row>
    <row r="11" spans="1:21" s="11" customFormat="1" x14ac:dyDescent="0.25">
      <c r="A11" s="51" t="s">
        <v>542</v>
      </c>
      <c r="B11" s="52">
        <v>137.5</v>
      </c>
      <c r="C11" s="52">
        <v>75.87</v>
      </c>
      <c r="D11" s="52">
        <v>211.27</v>
      </c>
      <c r="E11" s="59" t="s">
        <v>8</v>
      </c>
      <c r="F11" s="52">
        <v>2.13</v>
      </c>
      <c r="G11" s="52">
        <v>165.15</v>
      </c>
      <c r="H11" s="52">
        <v>58.7</v>
      </c>
      <c r="I11" s="58" t="s">
        <v>15</v>
      </c>
      <c r="J11" s="52">
        <v>0.9</v>
      </c>
      <c r="K11" s="52">
        <v>331.22</v>
      </c>
      <c r="L11" s="52">
        <v>18.760000000000002</v>
      </c>
      <c r="M11" s="52">
        <v>68.88</v>
      </c>
      <c r="N11" s="52">
        <v>63.9</v>
      </c>
      <c r="O11" s="52">
        <v>0</v>
      </c>
      <c r="P11" s="52">
        <v>1.96</v>
      </c>
      <c r="Q11" s="52">
        <v>9.99</v>
      </c>
      <c r="R11" s="43"/>
      <c r="S11" s="43"/>
      <c r="T11" s="43"/>
      <c r="U11" s="43"/>
    </row>
    <row r="12" spans="1:21" s="11" customFormat="1" x14ac:dyDescent="0.25">
      <c r="A12" s="51" t="s">
        <v>543</v>
      </c>
      <c r="B12" s="52">
        <v>106.93</v>
      </c>
      <c r="C12" s="52">
        <v>73.760000000000005</v>
      </c>
      <c r="D12" s="52">
        <v>178.6</v>
      </c>
      <c r="E12" s="59" t="s">
        <v>8</v>
      </c>
      <c r="F12" s="52">
        <v>2.13</v>
      </c>
      <c r="G12" s="52">
        <v>84.14</v>
      </c>
      <c r="H12" s="52">
        <v>47.72</v>
      </c>
      <c r="I12" s="58" t="s">
        <v>15</v>
      </c>
      <c r="J12" s="52">
        <v>1.08</v>
      </c>
      <c r="K12" s="52">
        <v>176.11</v>
      </c>
      <c r="L12" s="52">
        <v>18.5</v>
      </c>
      <c r="M12" s="52">
        <v>78.3</v>
      </c>
      <c r="N12" s="52">
        <v>64.7</v>
      </c>
      <c r="O12" s="52">
        <v>0</v>
      </c>
      <c r="P12" s="52">
        <v>1.73</v>
      </c>
      <c r="Q12" s="52">
        <v>9.91</v>
      </c>
      <c r="R12" s="43"/>
      <c r="S12" s="43"/>
      <c r="T12" s="43"/>
      <c r="U12" s="43"/>
    </row>
    <row r="13" spans="1:21" s="11" customFormat="1" x14ac:dyDescent="0.25">
      <c r="A13" s="51" t="s">
        <v>544</v>
      </c>
      <c r="B13" s="52">
        <v>79.510000000000005</v>
      </c>
      <c r="C13" s="52">
        <v>70.819999999999993</v>
      </c>
      <c r="D13" s="52">
        <v>148.22999999999999</v>
      </c>
      <c r="E13" s="59" t="s">
        <v>8</v>
      </c>
      <c r="F13" s="52">
        <v>2.13</v>
      </c>
      <c r="G13" s="52">
        <v>90.07</v>
      </c>
      <c r="H13" s="52">
        <v>39.81</v>
      </c>
      <c r="I13" s="58" t="s">
        <v>15</v>
      </c>
      <c r="J13" s="52">
        <v>0.63</v>
      </c>
      <c r="K13" s="52">
        <v>342.59</v>
      </c>
      <c r="L13" s="52">
        <v>17.010000000000002</v>
      </c>
      <c r="M13" s="52">
        <v>84.48</v>
      </c>
      <c r="N13" s="52">
        <v>64.3</v>
      </c>
      <c r="O13" s="52">
        <v>0</v>
      </c>
      <c r="P13" s="52">
        <v>1.22</v>
      </c>
      <c r="Q13" s="52">
        <v>9.76</v>
      </c>
      <c r="R13" s="43"/>
      <c r="S13" s="43"/>
      <c r="T13" s="43"/>
      <c r="U13" s="43"/>
    </row>
    <row r="14" spans="1:21" s="11" customFormat="1" x14ac:dyDescent="0.25">
      <c r="A14" s="51" t="s">
        <v>545</v>
      </c>
      <c r="B14" s="52">
        <v>67.290000000000006</v>
      </c>
      <c r="C14" s="52">
        <v>69.650000000000006</v>
      </c>
      <c r="D14" s="52">
        <v>133.34</v>
      </c>
      <c r="E14" s="59" t="s">
        <v>8</v>
      </c>
      <c r="F14" s="52">
        <v>2.31</v>
      </c>
      <c r="G14" s="52">
        <v>114.13</v>
      </c>
      <c r="H14" s="52">
        <v>38.200000000000003</v>
      </c>
      <c r="I14" s="58" t="s">
        <v>15</v>
      </c>
      <c r="J14" s="52">
        <v>0.99</v>
      </c>
      <c r="K14" s="52">
        <v>87.95</v>
      </c>
      <c r="L14" s="52">
        <v>17.18</v>
      </c>
      <c r="M14" s="52">
        <v>81.95</v>
      </c>
      <c r="N14" s="52">
        <v>63.8</v>
      </c>
      <c r="O14" s="52">
        <v>0</v>
      </c>
      <c r="P14" s="52">
        <v>1.18</v>
      </c>
      <c r="Q14" s="52">
        <v>9.6300000000000008</v>
      </c>
      <c r="R14" s="43"/>
      <c r="S14" s="43"/>
      <c r="T14" s="43"/>
      <c r="U14" s="43"/>
    </row>
    <row r="15" spans="1:21" s="11" customFormat="1" x14ac:dyDescent="0.25">
      <c r="A15" s="51" t="s">
        <v>546</v>
      </c>
      <c r="B15" s="52">
        <v>54.38</v>
      </c>
      <c r="C15" s="52">
        <v>66.58</v>
      </c>
      <c r="D15" s="52">
        <v>118.86</v>
      </c>
      <c r="E15" s="59" t="s">
        <v>8</v>
      </c>
      <c r="F15" s="52">
        <v>2.13</v>
      </c>
      <c r="G15" s="52">
        <v>69.319999999999993</v>
      </c>
      <c r="H15" s="52">
        <v>34.46</v>
      </c>
      <c r="I15" s="58" t="s">
        <v>15</v>
      </c>
      <c r="J15" s="52">
        <v>1.43</v>
      </c>
      <c r="K15" s="52">
        <v>359.57</v>
      </c>
      <c r="L15" s="52">
        <v>16.97</v>
      </c>
      <c r="M15" s="52">
        <v>85.35</v>
      </c>
      <c r="N15" s="52">
        <v>90.8</v>
      </c>
      <c r="O15" s="52">
        <v>0</v>
      </c>
      <c r="P15" s="52">
        <v>1.05</v>
      </c>
      <c r="Q15" s="52">
        <v>9.59</v>
      </c>
      <c r="R15" s="43"/>
      <c r="S15" s="43"/>
      <c r="T15" s="43"/>
      <c r="U15" s="43"/>
    </row>
    <row r="16" spans="1:21" s="11" customFormat="1" x14ac:dyDescent="0.25">
      <c r="A16" s="51" t="s">
        <v>547</v>
      </c>
      <c r="B16" s="52">
        <v>47.26</v>
      </c>
      <c r="C16" s="52">
        <v>66.14</v>
      </c>
      <c r="D16" s="52">
        <v>110.5</v>
      </c>
      <c r="E16" s="59" t="s">
        <v>8</v>
      </c>
      <c r="F16" s="52">
        <v>2.13</v>
      </c>
      <c r="G16" s="52">
        <v>118.03</v>
      </c>
      <c r="H16" s="52">
        <v>40.82</v>
      </c>
      <c r="I16" s="58" t="s">
        <v>15</v>
      </c>
      <c r="J16" s="52">
        <v>1.38</v>
      </c>
      <c r="K16" s="52">
        <v>12.09</v>
      </c>
      <c r="L16" s="52">
        <v>19.63</v>
      </c>
      <c r="M16" s="52">
        <v>83.85</v>
      </c>
      <c r="N16" s="52">
        <v>256.39999999999998</v>
      </c>
      <c r="O16" s="52">
        <v>0</v>
      </c>
      <c r="P16" s="52">
        <v>1.1599999999999999</v>
      </c>
      <c r="Q16" s="52">
        <v>9.5399999999999991</v>
      </c>
      <c r="R16" s="43"/>
      <c r="S16" s="43"/>
      <c r="T16" s="43"/>
      <c r="U16" s="43"/>
    </row>
    <row r="17" spans="1:21" s="11" customFormat="1" x14ac:dyDescent="0.25">
      <c r="A17" s="51" t="s">
        <v>548</v>
      </c>
      <c r="B17" s="52">
        <v>43.05</v>
      </c>
      <c r="C17" s="52">
        <v>64.959999999999994</v>
      </c>
      <c r="D17" s="52">
        <v>103.07</v>
      </c>
      <c r="E17" s="59" t="s">
        <v>8</v>
      </c>
      <c r="F17" s="52">
        <v>2.13</v>
      </c>
      <c r="G17" s="52">
        <v>111.08</v>
      </c>
      <c r="H17" s="52">
        <v>37.880000000000003</v>
      </c>
      <c r="I17" s="58" t="s">
        <v>15</v>
      </c>
      <c r="J17" s="52">
        <v>1.01</v>
      </c>
      <c r="K17" s="52">
        <v>83.68</v>
      </c>
      <c r="L17" s="52">
        <v>21.66</v>
      </c>
      <c r="M17" s="52">
        <v>70.23</v>
      </c>
      <c r="N17" s="52">
        <v>445</v>
      </c>
      <c r="O17" s="52">
        <v>0</v>
      </c>
      <c r="P17" s="52">
        <v>1.0900000000000001</v>
      </c>
      <c r="Q17" s="52">
        <v>9.57</v>
      </c>
      <c r="R17" s="43"/>
      <c r="S17" s="43"/>
      <c r="T17" s="43"/>
      <c r="U17" s="43"/>
    </row>
    <row r="18" spans="1:21" s="11" customFormat="1" x14ac:dyDescent="0.25">
      <c r="A18" s="51" t="s">
        <v>549</v>
      </c>
      <c r="B18" s="52">
        <v>36.94</v>
      </c>
      <c r="C18" s="52">
        <v>65.819999999999993</v>
      </c>
      <c r="D18" s="52">
        <v>100.36</v>
      </c>
      <c r="E18" s="59" t="s">
        <v>8</v>
      </c>
      <c r="F18" s="52">
        <v>2.21</v>
      </c>
      <c r="G18" s="52">
        <v>95.57</v>
      </c>
      <c r="H18" s="52">
        <v>38.270000000000003</v>
      </c>
      <c r="I18" s="58" t="s">
        <v>15</v>
      </c>
      <c r="J18" s="52">
        <v>1.5</v>
      </c>
      <c r="K18" s="52">
        <v>91.93</v>
      </c>
      <c r="L18" s="52">
        <v>24.43</v>
      </c>
      <c r="M18" s="52">
        <v>66.75</v>
      </c>
      <c r="N18" s="52">
        <v>633.9</v>
      </c>
      <c r="O18" s="52">
        <v>0</v>
      </c>
      <c r="P18" s="52">
        <v>1</v>
      </c>
      <c r="Q18" s="52">
        <v>9.5</v>
      </c>
      <c r="R18" s="43"/>
      <c r="S18" s="43"/>
      <c r="T18" s="43"/>
      <c r="U18" s="43"/>
    </row>
    <row r="19" spans="1:21" s="11" customFormat="1" x14ac:dyDescent="0.25">
      <c r="A19" s="51" t="s">
        <v>550</v>
      </c>
      <c r="B19" s="52">
        <v>29.28</v>
      </c>
      <c r="C19" s="52">
        <v>66.41</v>
      </c>
      <c r="D19" s="52">
        <v>92.13</v>
      </c>
      <c r="E19" s="59" t="s">
        <v>8</v>
      </c>
      <c r="F19" s="52">
        <v>2.13</v>
      </c>
      <c r="G19" s="52">
        <v>83.84</v>
      </c>
      <c r="H19" s="52">
        <v>31.66</v>
      </c>
      <c r="I19" s="58" t="s">
        <v>15</v>
      </c>
      <c r="J19" s="52">
        <v>1.1200000000000001</v>
      </c>
      <c r="K19" s="52">
        <v>342.32</v>
      </c>
      <c r="L19" s="52">
        <v>28.26</v>
      </c>
      <c r="M19" s="52">
        <v>55.11</v>
      </c>
      <c r="N19" s="52">
        <v>746.1</v>
      </c>
      <c r="O19" s="52">
        <v>0</v>
      </c>
      <c r="P19" s="52">
        <v>0.9</v>
      </c>
      <c r="Q19" s="52">
        <v>9.4499999999999993</v>
      </c>
      <c r="R19" s="43"/>
      <c r="S19" s="43"/>
      <c r="T19" s="43"/>
      <c r="U19" s="43"/>
    </row>
    <row r="20" spans="1:21" s="11" customFormat="1" x14ac:dyDescent="0.25">
      <c r="A20" s="51" t="s">
        <v>551</v>
      </c>
      <c r="B20" s="52">
        <v>20.61</v>
      </c>
      <c r="C20" s="52">
        <v>70.39</v>
      </c>
      <c r="D20" s="52">
        <v>86.14</v>
      </c>
      <c r="E20" s="59" t="s">
        <v>8</v>
      </c>
      <c r="F20" s="52">
        <v>2.13</v>
      </c>
      <c r="G20" s="52">
        <v>75.27</v>
      </c>
      <c r="H20" s="52">
        <v>28.76</v>
      </c>
      <c r="I20" s="58" t="s">
        <v>15</v>
      </c>
      <c r="J20" s="52">
        <v>1.1399999999999999</v>
      </c>
      <c r="K20" s="52">
        <v>350.58</v>
      </c>
      <c r="L20" s="52">
        <v>30.07</v>
      </c>
      <c r="M20" s="52">
        <v>49.08</v>
      </c>
      <c r="N20" s="52">
        <v>752.4</v>
      </c>
      <c r="O20" s="52">
        <v>0</v>
      </c>
      <c r="P20" s="52">
        <v>0.84</v>
      </c>
      <c r="Q20" s="52">
        <v>9.44</v>
      </c>
      <c r="R20" s="43"/>
      <c r="S20" s="43"/>
      <c r="T20" s="43"/>
      <c r="U20" s="43"/>
    </row>
    <row r="21" spans="1:21" s="11" customFormat="1" x14ac:dyDescent="0.25">
      <c r="A21" s="51" t="s">
        <v>552</v>
      </c>
      <c r="B21" s="52">
        <v>12.98</v>
      </c>
      <c r="C21" s="52">
        <v>71.7</v>
      </c>
      <c r="D21" s="52">
        <v>82.29</v>
      </c>
      <c r="E21" s="59" t="s">
        <v>8</v>
      </c>
      <c r="F21" s="52">
        <v>2.2999999999999998</v>
      </c>
      <c r="G21" s="52">
        <v>83.75</v>
      </c>
      <c r="H21" s="52">
        <v>27.46</v>
      </c>
      <c r="I21" s="58" t="s">
        <v>15</v>
      </c>
      <c r="J21" s="52">
        <v>1.42</v>
      </c>
      <c r="K21" s="52">
        <v>344.73</v>
      </c>
      <c r="L21" s="52">
        <v>32.729999999999997</v>
      </c>
      <c r="M21" s="52">
        <v>40.61</v>
      </c>
      <c r="N21" s="52">
        <v>684.9</v>
      </c>
      <c r="O21" s="52">
        <v>0</v>
      </c>
      <c r="P21" s="52">
        <v>0.81</v>
      </c>
      <c r="Q21" s="52">
        <v>9.44</v>
      </c>
      <c r="R21" s="43"/>
      <c r="S21" s="43"/>
      <c r="T21" s="43"/>
      <c r="U21" s="43"/>
    </row>
    <row r="22" spans="1:21" s="11" customFormat="1" x14ac:dyDescent="0.25">
      <c r="A22" s="51" t="s">
        <v>553</v>
      </c>
      <c r="B22" s="52">
        <v>12.52</v>
      </c>
      <c r="C22" s="52">
        <v>73.08</v>
      </c>
      <c r="D22" s="52">
        <v>83.27</v>
      </c>
      <c r="E22" s="59" t="s">
        <v>8</v>
      </c>
      <c r="F22" s="52">
        <v>2.2599999999999998</v>
      </c>
      <c r="G22" s="52">
        <v>114.58</v>
      </c>
      <c r="H22" s="52">
        <v>32.99</v>
      </c>
      <c r="I22" s="58" t="s">
        <v>15</v>
      </c>
      <c r="J22" s="52">
        <v>1.63</v>
      </c>
      <c r="K22" s="52">
        <v>333.92</v>
      </c>
      <c r="L22" s="52">
        <v>32.369999999999997</v>
      </c>
      <c r="M22" s="52">
        <v>32.44</v>
      </c>
      <c r="N22" s="52">
        <v>749</v>
      </c>
      <c r="O22" s="52">
        <v>0</v>
      </c>
      <c r="P22" s="52">
        <v>0.84</v>
      </c>
      <c r="Q22" s="52">
        <v>9.39</v>
      </c>
      <c r="R22" s="43"/>
      <c r="S22" s="43"/>
      <c r="T22" s="43"/>
      <c r="U22" s="43"/>
    </row>
    <row r="23" spans="1:21" s="11" customFormat="1" x14ac:dyDescent="0.25">
      <c r="A23" s="51" t="s">
        <v>554</v>
      </c>
      <c r="B23" s="52">
        <v>9.81</v>
      </c>
      <c r="C23" s="52">
        <v>74.599999999999994</v>
      </c>
      <c r="D23" s="52">
        <v>81.47</v>
      </c>
      <c r="E23" s="59" t="s">
        <v>8</v>
      </c>
      <c r="F23" s="52">
        <v>2.13</v>
      </c>
      <c r="G23" s="52">
        <v>64.17</v>
      </c>
      <c r="H23" s="52">
        <v>30.81</v>
      </c>
      <c r="I23" s="58" t="s">
        <v>15</v>
      </c>
      <c r="J23" s="52">
        <v>1.64</v>
      </c>
      <c r="K23" s="52">
        <v>336.74</v>
      </c>
      <c r="L23" s="52">
        <v>32.99</v>
      </c>
      <c r="M23" s="52">
        <v>27.92</v>
      </c>
      <c r="N23" s="52">
        <v>570.79999999999995</v>
      </c>
      <c r="O23" s="52">
        <v>0</v>
      </c>
      <c r="P23" s="52">
        <v>0.77</v>
      </c>
      <c r="Q23" s="52">
        <v>9.3699999999999992</v>
      </c>
      <c r="R23" s="43"/>
      <c r="S23" s="43"/>
      <c r="T23" s="43"/>
      <c r="U23" s="43"/>
    </row>
    <row r="24" spans="1:21" s="11" customFormat="1" x14ac:dyDescent="0.25">
      <c r="A24" s="51" t="s">
        <v>555</v>
      </c>
      <c r="B24" s="52">
        <v>5.75</v>
      </c>
      <c r="C24" s="52">
        <v>70.010000000000005</v>
      </c>
      <c r="D24" s="52">
        <v>73.66</v>
      </c>
      <c r="E24" s="59" t="s">
        <v>8</v>
      </c>
      <c r="F24" s="52">
        <v>2.19</v>
      </c>
      <c r="G24" s="52">
        <v>62.25</v>
      </c>
      <c r="H24" s="52">
        <v>26.06</v>
      </c>
      <c r="I24" s="58" t="s">
        <v>15</v>
      </c>
      <c r="J24" s="52">
        <v>1.52</v>
      </c>
      <c r="K24" s="52">
        <v>332.57</v>
      </c>
      <c r="L24" s="52">
        <v>31.49</v>
      </c>
      <c r="M24" s="52">
        <v>26.36</v>
      </c>
      <c r="N24" s="52">
        <v>335.1</v>
      </c>
      <c r="O24" s="52">
        <v>0</v>
      </c>
      <c r="P24" s="52">
        <v>0.66</v>
      </c>
      <c r="Q24" s="52">
        <v>9.34</v>
      </c>
      <c r="R24" s="43"/>
      <c r="S24" s="43"/>
      <c r="T24" s="43"/>
      <c r="U24" s="43"/>
    </row>
    <row r="25" spans="1:21" s="11" customFormat="1" x14ac:dyDescent="0.25">
      <c r="A25" s="51" t="s">
        <v>556</v>
      </c>
      <c r="B25" s="52">
        <v>5.82</v>
      </c>
      <c r="C25" s="52">
        <v>66.95</v>
      </c>
      <c r="D25" s="52">
        <v>70.12</v>
      </c>
      <c r="E25" s="59" t="s">
        <v>8</v>
      </c>
      <c r="F25" s="52">
        <v>2.13</v>
      </c>
      <c r="G25" s="52">
        <v>40.65</v>
      </c>
      <c r="H25" s="52">
        <v>20.59</v>
      </c>
      <c r="I25" s="58" t="s">
        <v>15</v>
      </c>
      <c r="J25" s="52">
        <v>1.53</v>
      </c>
      <c r="K25" s="52">
        <v>325.67</v>
      </c>
      <c r="L25" s="52">
        <v>28.81</v>
      </c>
      <c r="M25" s="52">
        <v>26.29</v>
      </c>
      <c r="N25" s="52">
        <v>153.6</v>
      </c>
      <c r="O25" s="52">
        <v>0</v>
      </c>
      <c r="P25" s="52">
        <v>0.63</v>
      </c>
      <c r="Q25" s="52">
        <v>9.2799999999999994</v>
      </c>
      <c r="R25" s="43"/>
      <c r="S25" s="43"/>
      <c r="T25" s="43"/>
      <c r="U25" s="43"/>
    </row>
    <row r="26" spans="1:21" s="11" customFormat="1" x14ac:dyDescent="0.25">
      <c r="A26" s="51" t="s">
        <v>557</v>
      </c>
      <c r="B26" s="52">
        <v>6.2</v>
      </c>
      <c r="C26" s="52">
        <v>70.849999999999994</v>
      </c>
      <c r="D26" s="52">
        <v>72.78</v>
      </c>
      <c r="E26" s="52">
        <v>22.03</v>
      </c>
      <c r="F26" s="52">
        <v>30.66</v>
      </c>
      <c r="G26" s="52">
        <v>42.94</v>
      </c>
      <c r="H26" s="52">
        <v>20.059999999999999</v>
      </c>
      <c r="I26" s="58" t="s">
        <v>15</v>
      </c>
      <c r="J26" s="52">
        <v>0.69</v>
      </c>
      <c r="K26" s="52">
        <v>289.72000000000003</v>
      </c>
      <c r="L26" s="52">
        <v>26.82</v>
      </c>
      <c r="M26" s="52">
        <v>30.86</v>
      </c>
      <c r="N26" s="52">
        <v>99.1</v>
      </c>
      <c r="O26" s="52">
        <v>0</v>
      </c>
      <c r="P26" s="52">
        <v>0.69</v>
      </c>
      <c r="Q26" s="52">
        <v>9.26</v>
      </c>
      <c r="R26" s="43"/>
      <c r="S26" s="43"/>
      <c r="T26" s="43"/>
      <c r="U26" s="43"/>
    </row>
    <row r="27" spans="1:21" s="11" customFormat="1" x14ac:dyDescent="0.25">
      <c r="A27" s="51" t="s">
        <v>558</v>
      </c>
      <c r="B27" s="52">
        <v>23.35</v>
      </c>
      <c r="C27" s="52">
        <v>88.66</v>
      </c>
      <c r="D27" s="52">
        <v>109.91</v>
      </c>
      <c r="E27" s="52">
        <v>8.34</v>
      </c>
      <c r="F27" s="52">
        <v>3.12</v>
      </c>
      <c r="G27" s="52">
        <v>41.31</v>
      </c>
      <c r="H27" s="52">
        <v>19.420000000000002</v>
      </c>
      <c r="I27" s="58" t="s">
        <v>15</v>
      </c>
      <c r="J27" s="52">
        <v>0.67</v>
      </c>
      <c r="K27" s="52">
        <v>234.76</v>
      </c>
      <c r="L27" s="52">
        <v>24.17</v>
      </c>
      <c r="M27" s="52">
        <v>48.34</v>
      </c>
      <c r="N27" s="52">
        <v>63.9</v>
      </c>
      <c r="O27" s="52">
        <v>0</v>
      </c>
      <c r="P27" s="52">
        <v>1.67</v>
      </c>
      <c r="Q27" s="52">
        <v>9.34</v>
      </c>
      <c r="R27" s="43"/>
      <c r="S27" s="43"/>
      <c r="T27" s="43"/>
      <c r="U27" s="43"/>
    </row>
    <row r="28" spans="1:21" s="11" customFormat="1" x14ac:dyDescent="0.25">
      <c r="A28" s="51" t="s">
        <v>559</v>
      </c>
      <c r="B28" s="52">
        <v>42.65</v>
      </c>
      <c r="C28" s="52">
        <v>90.28</v>
      </c>
      <c r="D28" s="52">
        <v>130.41</v>
      </c>
      <c r="E28" s="52">
        <v>8.23</v>
      </c>
      <c r="F28" s="52">
        <v>2.13</v>
      </c>
      <c r="G28" s="52">
        <v>175.96</v>
      </c>
      <c r="H28" s="52">
        <v>22.49</v>
      </c>
      <c r="I28" s="58" t="s">
        <v>15</v>
      </c>
      <c r="J28" s="52">
        <v>0.65</v>
      </c>
      <c r="K28" s="52">
        <v>334.27</v>
      </c>
      <c r="L28" s="52">
        <v>22.47</v>
      </c>
      <c r="M28" s="52">
        <v>49.38</v>
      </c>
      <c r="N28" s="52">
        <v>62.7</v>
      </c>
      <c r="O28" s="52">
        <v>0</v>
      </c>
      <c r="P28" s="52">
        <v>1.25</v>
      </c>
      <c r="Q28" s="52">
        <v>9.48</v>
      </c>
      <c r="R28" s="43"/>
      <c r="S28" s="43"/>
      <c r="T28" s="43"/>
      <c r="U28" s="43"/>
    </row>
    <row r="29" spans="1:21" s="11" customFormat="1" x14ac:dyDescent="0.25">
      <c r="A29" s="51" t="s">
        <v>560</v>
      </c>
      <c r="B29" s="52">
        <v>74.66</v>
      </c>
      <c r="C29" s="52">
        <v>91.57</v>
      </c>
      <c r="D29" s="52">
        <v>164.12</v>
      </c>
      <c r="E29" s="52">
        <v>7.65</v>
      </c>
      <c r="F29" s="52">
        <v>2.13</v>
      </c>
      <c r="G29" s="52">
        <v>121.49</v>
      </c>
      <c r="H29" s="52">
        <v>22.78</v>
      </c>
      <c r="I29" s="58" t="s">
        <v>15</v>
      </c>
      <c r="J29" s="52">
        <v>0.73</v>
      </c>
      <c r="K29" s="52">
        <v>116.25</v>
      </c>
      <c r="L29" s="52">
        <v>21.32</v>
      </c>
      <c r="M29" s="52">
        <v>46.8</v>
      </c>
      <c r="N29" s="52">
        <v>63.2</v>
      </c>
      <c r="O29" s="52">
        <v>0</v>
      </c>
      <c r="P29" s="52">
        <v>1.3</v>
      </c>
      <c r="Q29" s="52">
        <v>9.48</v>
      </c>
      <c r="R29" s="43"/>
      <c r="S29" s="43"/>
      <c r="T29" s="43"/>
      <c r="U29" s="43"/>
    </row>
    <row r="30" spans="1:21" s="11" customFormat="1" x14ac:dyDescent="0.25">
      <c r="A30" s="51" t="s">
        <v>561</v>
      </c>
      <c r="B30" s="52">
        <v>110.65</v>
      </c>
      <c r="C30" s="52">
        <v>91.14</v>
      </c>
      <c r="D30" s="52">
        <v>199.18</v>
      </c>
      <c r="E30" s="52">
        <v>7.61</v>
      </c>
      <c r="F30" s="52">
        <v>2.13</v>
      </c>
      <c r="G30" s="52">
        <v>125.83</v>
      </c>
      <c r="H30" s="52">
        <v>25.69</v>
      </c>
      <c r="I30" s="58" t="s">
        <v>15</v>
      </c>
      <c r="J30" s="52">
        <v>0.72</v>
      </c>
      <c r="K30" s="52">
        <v>350.31</v>
      </c>
      <c r="L30" s="52">
        <v>19.809999999999999</v>
      </c>
      <c r="M30" s="52">
        <v>52.84</v>
      </c>
      <c r="N30" s="52">
        <v>63</v>
      </c>
      <c r="O30" s="52">
        <v>0</v>
      </c>
      <c r="P30" s="52">
        <v>1.71</v>
      </c>
      <c r="Q30" s="52">
        <v>9.61</v>
      </c>
      <c r="R30" s="43"/>
      <c r="S30" s="43"/>
      <c r="T30" s="43"/>
      <c r="U30" s="43"/>
    </row>
    <row r="31" spans="1:21" s="11" customFormat="1" x14ac:dyDescent="0.25">
      <c r="A31" s="51" t="s">
        <v>562</v>
      </c>
      <c r="B31" s="52">
        <v>128.31</v>
      </c>
      <c r="C31" s="52">
        <v>91.36</v>
      </c>
      <c r="D31" s="52">
        <v>216.65</v>
      </c>
      <c r="E31" s="52">
        <v>8.24</v>
      </c>
      <c r="F31" s="52">
        <v>2.13</v>
      </c>
      <c r="G31" s="52">
        <v>127.93</v>
      </c>
      <c r="H31" s="52">
        <v>27.93</v>
      </c>
      <c r="I31" s="58" t="s">
        <v>15</v>
      </c>
      <c r="J31" s="52">
        <v>0.64</v>
      </c>
      <c r="K31" s="52">
        <v>359.2</v>
      </c>
      <c r="L31" s="52">
        <v>19.29</v>
      </c>
      <c r="M31" s="52">
        <v>57.51</v>
      </c>
      <c r="N31" s="52">
        <v>63</v>
      </c>
      <c r="O31" s="52">
        <v>0</v>
      </c>
      <c r="P31" s="52">
        <v>1.73</v>
      </c>
      <c r="Q31" s="52">
        <v>9.82</v>
      </c>
      <c r="R31" s="43"/>
      <c r="S31" s="43"/>
      <c r="T31" s="43"/>
      <c r="U31" s="43"/>
    </row>
    <row r="32" spans="1:21" s="11" customFormat="1" x14ac:dyDescent="0.25">
      <c r="A32" s="51" t="s">
        <v>563</v>
      </c>
      <c r="B32" s="52">
        <v>125.98</v>
      </c>
      <c r="C32" s="52">
        <v>86.21</v>
      </c>
      <c r="D32" s="52">
        <v>210.09</v>
      </c>
      <c r="E32" s="52">
        <v>7.96</v>
      </c>
      <c r="F32" s="52">
        <v>2.13</v>
      </c>
      <c r="G32" s="52">
        <v>104.95</v>
      </c>
      <c r="H32" s="52">
        <v>33.28</v>
      </c>
      <c r="I32" s="58" t="s">
        <v>15</v>
      </c>
      <c r="J32" s="52">
        <v>0.68</v>
      </c>
      <c r="K32" s="52">
        <v>338.85</v>
      </c>
      <c r="L32" s="52">
        <v>19.66</v>
      </c>
      <c r="M32" s="52">
        <v>57.19</v>
      </c>
      <c r="N32" s="52">
        <v>63.5</v>
      </c>
      <c r="O32" s="52">
        <v>0</v>
      </c>
      <c r="P32" s="52">
        <v>1.43</v>
      </c>
      <c r="Q32" s="52">
        <v>9.8699999999999992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5.75</v>
      </c>
      <c r="C34" s="28">
        <f t="shared" si="0"/>
        <v>64.959999999999994</v>
      </c>
      <c r="D34" s="28">
        <f t="shared" si="0"/>
        <v>70.12</v>
      </c>
      <c r="E34" s="28">
        <f t="shared" si="0"/>
        <v>7.61</v>
      </c>
      <c r="F34" s="28">
        <f t="shared" si="0"/>
        <v>2.13</v>
      </c>
      <c r="G34" s="28">
        <f t="shared" si="0"/>
        <v>40.65</v>
      </c>
      <c r="H34" s="28">
        <f t="shared" si="0"/>
        <v>19.420000000000002</v>
      </c>
      <c r="I34" s="28">
        <f t="shared" si="0"/>
        <v>0</v>
      </c>
      <c r="J34" s="28">
        <f t="shared" si="0"/>
        <v>0.42</v>
      </c>
      <c r="K34" s="28">
        <f t="shared" si="0"/>
        <v>12.09</v>
      </c>
      <c r="L34" s="28">
        <f t="shared" si="0"/>
        <v>16.97</v>
      </c>
      <c r="M34" s="28">
        <f t="shared" si="0"/>
        <v>26.29</v>
      </c>
      <c r="N34" s="28">
        <f t="shared" si="0"/>
        <v>62.7</v>
      </c>
      <c r="O34" s="28">
        <f t="shared" si="0"/>
        <v>0</v>
      </c>
      <c r="P34" s="28">
        <f t="shared" si="0"/>
        <v>0.63</v>
      </c>
      <c r="Q34" s="28">
        <f t="shared" si="0"/>
        <v>9.26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181.84</v>
      </c>
      <c r="C35" s="29">
        <f t="shared" si="1"/>
        <v>91.57</v>
      </c>
      <c r="D35" s="29">
        <f t="shared" si="1"/>
        <v>265.64999999999998</v>
      </c>
      <c r="E35" s="29">
        <f t="shared" si="1"/>
        <v>22.03</v>
      </c>
      <c r="F35" s="29">
        <f t="shared" si="1"/>
        <v>30.66</v>
      </c>
      <c r="G35" s="29">
        <f t="shared" si="1"/>
        <v>229.44</v>
      </c>
      <c r="H35" s="29">
        <f t="shared" si="1"/>
        <v>69.290000000000006</v>
      </c>
      <c r="I35" s="29">
        <f t="shared" si="1"/>
        <v>0</v>
      </c>
      <c r="J35" s="29">
        <f t="shared" si="1"/>
        <v>1.64</v>
      </c>
      <c r="K35" s="29">
        <f t="shared" si="1"/>
        <v>359.57</v>
      </c>
      <c r="L35" s="29">
        <f t="shared" si="1"/>
        <v>32.99</v>
      </c>
      <c r="M35" s="29">
        <f t="shared" si="1"/>
        <v>85.35</v>
      </c>
      <c r="N35" s="29">
        <f t="shared" si="1"/>
        <v>752.4</v>
      </c>
      <c r="O35" s="29">
        <f t="shared" si="1"/>
        <v>0</v>
      </c>
      <c r="P35" s="29">
        <f t="shared" si="1"/>
        <v>2.83</v>
      </c>
      <c r="Q35" s="29">
        <f t="shared" si="1"/>
        <v>10.1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63.589166666666671</v>
      </c>
      <c r="C36" s="28">
        <f t="shared" si="2"/>
        <v>75.877083333333346</v>
      </c>
      <c r="D36" s="28">
        <f t="shared" si="2"/>
        <v>136.71666666666664</v>
      </c>
      <c r="E36" s="28">
        <f t="shared" si="2"/>
        <v>10.008571428571429</v>
      </c>
      <c r="F36" s="28">
        <f t="shared" si="2"/>
        <v>3.3891666666666662</v>
      </c>
      <c r="G36" s="28">
        <f t="shared" si="2"/>
        <v>105.99708333333329</v>
      </c>
      <c r="H36" s="28">
        <f t="shared" si="2"/>
        <v>34.625833333333325</v>
      </c>
      <c r="I36" s="28" t="e">
        <f t="shared" si="2"/>
        <v>#DIV/0!</v>
      </c>
      <c r="J36" s="28">
        <f t="shared" si="2"/>
        <v>1.0375000000000001</v>
      </c>
      <c r="K36" s="28">
        <f t="shared" si="2"/>
        <v>273.51708333333335</v>
      </c>
      <c r="L36" s="28">
        <f t="shared" si="2"/>
        <v>23.427499999999998</v>
      </c>
      <c r="M36" s="28">
        <f t="shared" si="2"/>
        <v>56.717083333333328</v>
      </c>
      <c r="N36" s="28">
        <f t="shared" si="2"/>
        <v>261.70833333333337</v>
      </c>
      <c r="O36" s="28">
        <f t="shared" si="2"/>
        <v>0</v>
      </c>
      <c r="P36" s="28">
        <f t="shared" si="2"/>
        <v>1.2791666666666668</v>
      </c>
      <c r="Q36" s="28">
        <f t="shared" si="2"/>
        <v>9.5929166666666656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53.758801416234583</v>
      </c>
      <c r="C37" s="28">
        <f t="shared" ref="C37:Q37" si="3">STDEV(C9:C32)</f>
        <v>9.4631268291224462</v>
      </c>
      <c r="D37" s="28">
        <f t="shared" si="3"/>
        <v>59.389172535848246</v>
      </c>
      <c r="E37" s="28">
        <f t="shared" si="3"/>
        <v>5.3088398876196061</v>
      </c>
      <c r="F37" s="28">
        <f t="shared" si="3"/>
        <v>5.8122194493615122</v>
      </c>
      <c r="G37" s="28">
        <f t="shared" si="3"/>
        <v>48.677933263187896</v>
      </c>
      <c r="H37" s="28">
        <f t="shared" si="3"/>
        <v>12.762636676155029</v>
      </c>
      <c r="I37" s="28" t="e">
        <f t="shared" si="3"/>
        <v>#DIV/0!</v>
      </c>
      <c r="J37" s="28">
        <f t="shared" si="3"/>
        <v>0.38237529936597259</v>
      </c>
      <c r="K37" s="28">
        <f t="shared" si="3"/>
        <v>111.22826574130713</v>
      </c>
      <c r="L37" s="28">
        <f t="shared" si="3"/>
        <v>5.5510330021811658</v>
      </c>
      <c r="M37" s="28">
        <f t="shared" si="3"/>
        <v>19.524724232126342</v>
      </c>
      <c r="N37" s="28">
        <f t="shared" si="3"/>
        <v>272.11415749671113</v>
      </c>
      <c r="O37" s="28">
        <f t="shared" si="3"/>
        <v>0</v>
      </c>
      <c r="P37" s="28">
        <f t="shared" si="3"/>
        <v>0.54909345578726876</v>
      </c>
      <c r="Q37" s="28">
        <f t="shared" si="3"/>
        <v>0.24961673520169611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COUNT(E9:E32)+17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564</v>
      </c>
      <c r="B9" s="52">
        <v>107.17</v>
      </c>
      <c r="C9" s="52">
        <v>79.819999999999993</v>
      </c>
      <c r="D9" s="52">
        <v>184.88</v>
      </c>
      <c r="E9" s="52">
        <v>6.98</v>
      </c>
      <c r="F9" s="52">
        <v>2.13</v>
      </c>
      <c r="G9" s="52">
        <v>67.3</v>
      </c>
      <c r="H9" s="52">
        <v>25.66</v>
      </c>
      <c r="I9" s="58" t="s">
        <v>15</v>
      </c>
      <c r="J9" s="52">
        <v>0.56000000000000005</v>
      </c>
      <c r="K9" s="52">
        <v>292.58</v>
      </c>
      <c r="L9" s="52">
        <v>17.63</v>
      </c>
      <c r="M9" s="52">
        <v>61.76</v>
      </c>
      <c r="N9" s="52">
        <v>63.2</v>
      </c>
      <c r="O9" s="52">
        <v>0</v>
      </c>
      <c r="P9" s="52">
        <v>1.27</v>
      </c>
      <c r="Q9" s="52">
        <v>9.81</v>
      </c>
      <c r="R9" s="43"/>
      <c r="S9" s="43"/>
      <c r="T9" s="43"/>
      <c r="U9" s="43"/>
    </row>
    <row r="10" spans="1:21" s="11" customFormat="1" x14ac:dyDescent="0.25">
      <c r="A10" s="51" t="s">
        <v>565</v>
      </c>
      <c r="B10" s="52">
        <v>91.34</v>
      </c>
      <c r="C10" s="52">
        <v>74.38</v>
      </c>
      <c r="D10" s="52">
        <v>163.63</v>
      </c>
      <c r="E10" s="52">
        <v>6.49</v>
      </c>
      <c r="F10" s="52">
        <v>2.13</v>
      </c>
      <c r="G10" s="52">
        <v>85.91</v>
      </c>
      <c r="H10" s="52">
        <v>23.3</v>
      </c>
      <c r="I10" s="58" t="s">
        <v>15</v>
      </c>
      <c r="J10" s="52">
        <v>0.46</v>
      </c>
      <c r="K10" s="52">
        <v>328.05</v>
      </c>
      <c r="L10" s="52">
        <v>17.149999999999999</v>
      </c>
      <c r="M10" s="52">
        <v>65.63</v>
      </c>
      <c r="N10" s="52">
        <v>63.2</v>
      </c>
      <c r="O10" s="52">
        <v>0</v>
      </c>
      <c r="P10" s="52">
        <v>1.1100000000000001</v>
      </c>
      <c r="Q10" s="52">
        <v>9.76</v>
      </c>
      <c r="R10" s="43"/>
      <c r="S10" s="43"/>
      <c r="T10" s="43"/>
      <c r="U10" s="43"/>
    </row>
    <row r="11" spans="1:21" s="11" customFormat="1" x14ac:dyDescent="0.25">
      <c r="A11" s="51" t="s">
        <v>566</v>
      </c>
      <c r="B11" s="52">
        <v>77.66</v>
      </c>
      <c r="C11" s="52">
        <v>69.45</v>
      </c>
      <c r="D11" s="52">
        <v>145.01</v>
      </c>
      <c r="E11" s="52">
        <v>6.72</v>
      </c>
      <c r="F11" s="52">
        <v>2.13</v>
      </c>
      <c r="G11" s="52">
        <v>72.650000000000006</v>
      </c>
      <c r="H11" s="52">
        <v>22.28</v>
      </c>
      <c r="I11" s="58" t="s">
        <v>15</v>
      </c>
      <c r="J11" s="52">
        <v>0.71</v>
      </c>
      <c r="K11" s="52">
        <v>335.05</v>
      </c>
      <c r="L11" s="52">
        <v>16.059999999999999</v>
      </c>
      <c r="M11" s="52">
        <v>70.489999999999995</v>
      </c>
      <c r="N11" s="52">
        <v>63.1</v>
      </c>
      <c r="O11" s="52">
        <v>0</v>
      </c>
      <c r="P11" s="52">
        <v>0.93</v>
      </c>
      <c r="Q11" s="52">
        <v>9.74</v>
      </c>
      <c r="R11" s="43"/>
      <c r="S11" s="43"/>
      <c r="T11" s="43"/>
      <c r="U11" s="43"/>
    </row>
    <row r="12" spans="1:21" s="11" customFormat="1" x14ac:dyDescent="0.25">
      <c r="A12" s="51" t="s">
        <v>567</v>
      </c>
      <c r="B12" s="52">
        <v>67.180000000000007</v>
      </c>
      <c r="C12" s="52">
        <v>66.7</v>
      </c>
      <c r="D12" s="52">
        <v>131.78</v>
      </c>
      <c r="E12" s="52">
        <v>7.2</v>
      </c>
      <c r="F12" s="52">
        <v>2.13</v>
      </c>
      <c r="G12" s="52">
        <v>98.48</v>
      </c>
      <c r="H12" s="52">
        <v>24.08</v>
      </c>
      <c r="I12" s="58" t="s">
        <v>15</v>
      </c>
      <c r="J12" s="52">
        <v>1.07</v>
      </c>
      <c r="K12" s="52">
        <v>342.04</v>
      </c>
      <c r="L12" s="52">
        <v>16.29</v>
      </c>
      <c r="M12" s="52">
        <v>70.400000000000006</v>
      </c>
      <c r="N12" s="52">
        <v>63</v>
      </c>
      <c r="O12" s="52">
        <v>0</v>
      </c>
      <c r="P12" s="52">
        <v>0.95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568</v>
      </c>
      <c r="B13" s="52">
        <v>56.52</v>
      </c>
      <c r="C13" s="52">
        <v>65.400000000000006</v>
      </c>
      <c r="D13" s="52">
        <v>119.83</v>
      </c>
      <c r="E13" s="52">
        <v>6.65</v>
      </c>
      <c r="F13" s="52">
        <v>2.1800000000000002</v>
      </c>
      <c r="G13" s="52">
        <v>120.58</v>
      </c>
      <c r="H13" s="52">
        <v>28.75</v>
      </c>
      <c r="I13" s="58" t="s">
        <v>15</v>
      </c>
      <c r="J13" s="52">
        <v>0.94</v>
      </c>
      <c r="K13" s="52">
        <v>244.74</v>
      </c>
      <c r="L13" s="52">
        <v>16.440000000000001</v>
      </c>
      <c r="M13" s="52">
        <v>81.08</v>
      </c>
      <c r="N13" s="52">
        <v>63.1</v>
      </c>
      <c r="O13" s="52">
        <v>0</v>
      </c>
      <c r="P13" s="52">
        <v>0.92</v>
      </c>
      <c r="Q13" s="52">
        <v>9.6</v>
      </c>
      <c r="R13" s="43"/>
      <c r="S13" s="43"/>
      <c r="T13" s="43"/>
      <c r="U13" s="43"/>
    </row>
    <row r="14" spans="1:21" s="11" customFormat="1" x14ac:dyDescent="0.25">
      <c r="A14" s="51" t="s">
        <v>569</v>
      </c>
      <c r="B14" s="52">
        <v>48.13</v>
      </c>
      <c r="C14" s="52">
        <v>62.15</v>
      </c>
      <c r="D14" s="52">
        <v>108.18</v>
      </c>
      <c r="E14" s="52">
        <v>6.05</v>
      </c>
      <c r="F14" s="52">
        <v>2.13</v>
      </c>
      <c r="G14" s="52">
        <v>93.16</v>
      </c>
      <c r="H14" s="52">
        <v>28.14</v>
      </c>
      <c r="I14" s="58" t="s">
        <v>15</v>
      </c>
      <c r="J14" s="52">
        <v>0.74</v>
      </c>
      <c r="K14" s="52">
        <v>260.86</v>
      </c>
      <c r="L14" s="52">
        <v>14.53</v>
      </c>
      <c r="M14" s="52">
        <v>83.96</v>
      </c>
      <c r="N14" s="52">
        <v>63.2</v>
      </c>
      <c r="O14" s="52">
        <v>0</v>
      </c>
      <c r="P14" s="52">
        <v>0.87</v>
      </c>
      <c r="Q14" s="52">
        <v>9.57</v>
      </c>
      <c r="R14" s="43"/>
      <c r="S14" s="43"/>
      <c r="T14" s="43"/>
      <c r="U14" s="43"/>
    </row>
    <row r="15" spans="1:21" s="11" customFormat="1" x14ac:dyDescent="0.25">
      <c r="A15" s="51" t="s">
        <v>570</v>
      </c>
      <c r="B15" s="52">
        <v>52.05</v>
      </c>
      <c r="C15" s="52">
        <v>63.02</v>
      </c>
      <c r="D15" s="52">
        <v>112.97</v>
      </c>
      <c r="E15" s="52">
        <v>6.14</v>
      </c>
      <c r="F15" s="52">
        <v>2.13</v>
      </c>
      <c r="G15" s="52">
        <v>63.54</v>
      </c>
      <c r="H15" s="52">
        <v>23.87</v>
      </c>
      <c r="I15" s="58" t="s">
        <v>15</v>
      </c>
      <c r="J15" s="52">
        <v>0.84</v>
      </c>
      <c r="K15" s="52">
        <v>265.74</v>
      </c>
      <c r="L15" s="52">
        <v>14.71</v>
      </c>
      <c r="M15" s="52">
        <v>78.28</v>
      </c>
      <c r="N15" s="52">
        <v>92.2</v>
      </c>
      <c r="O15" s="52">
        <v>0</v>
      </c>
      <c r="P15" s="52">
        <v>0.82</v>
      </c>
      <c r="Q15" s="52">
        <v>9.57</v>
      </c>
      <c r="R15" s="43"/>
      <c r="S15" s="43"/>
      <c r="T15" s="43"/>
      <c r="U15" s="43"/>
    </row>
    <row r="16" spans="1:21" s="11" customFormat="1" x14ac:dyDescent="0.25">
      <c r="A16" s="51" t="s">
        <v>571</v>
      </c>
      <c r="B16" s="52">
        <v>53.16</v>
      </c>
      <c r="C16" s="52">
        <v>64.53</v>
      </c>
      <c r="D16" s="52">
        <v>114.8</v>
      </c>
      <c r="E16" s="52">
        <v>6.41</v>
      </c>
      <c r="F16" s="52">
        <v>2.13</v>
      </c>
      <c r="G16" s="52">
        <v>78.64</v>
      </c>
      <c r="H16" s="52">
        <v>25.87</v>
      </c>
      <c r="I16" s="58" t="s">
        <v>15</v>
      </c>
      <c r="J16" s="52">
        <v>0.81</v>
      </c>
      <c r="K16" s="52">
        <v>228.37</v>
      </c>
      <c r="L16" s="52">
        <v>19.809999999999999</v>
      </c>
      <c r="M16" s="52">
        <v>64.08</v>
      </c>
      <c r="N16" s="52">
        <v>292.2</v>
      </c>
      <c r="O16" s="52">
        <v>0</v>
      </c>
      <c r="P16" s="52">
        <v>0.8</v>
      </c>
      <c r="Q16" s="52">
        <v>9.59</v>
      </c>
      <c r="R16" s="43"/>
      <c r="S16" s="43"/>
      <c r="T16" s="43"/>
      <c r="U16" s="43"/>
    </row>
    <row r="17" spans="1:21" s="11" customFormat="1" x14ac:dyDescent="0.25">
      <c r="A17" s="51" t="s">
        <v>572</v>
      </c>
      <c r="B17" s="52">
        <v>47.17</v>
      </c>
      <c r="C17" s="52">
        <v>64.900000000000006</v>
      </c>
      <c r="D17" s="52">
        <v>109.96</v>
      </c>
      <c r="E17" s="52">
        <v>6.68</v>
      </c>
      <c r="F17" s="52">
        <v>2.13</v>
      </c>
      <c r="G17" s="52">
        <v>79.680000000000007</v>
      </c>
      <c r="H17" s="52">
        <v>24.19</v>
      </c>
      <c r="I17" s="58" t="s">
        <v>15</v>
      </c>
      <c r="J17" s="52">
        <v>0.9</v>
      </c>
      <c r="K17" s="52">
        <v>247.24</v>
      </c>
      <c r="L17" s="52">
        <v>22.87</v>
      </c>
      <c r="M17" s="52">
        <v>47.48</v>
      </c>
      <c r="N17" s="52">
        <v>519</v>
      </c>
      <c r="O17" s="52">
        <v>0</v>
      </c>
      <c r="P17" s="52">
        <v>0.8</v>
      </c>
      <c r="Q17" s="52">
        <v>9.5299999999999994</v>
      </c>
      <c r="R17" s="43"/>
      <c r="S17" s="43"/>
      <c r="T17" s="43"/>
      <c r="U17" s="43"/>
    </row>
    <row r="18" spans="1:21" s="11" customFormat="1" x14ac:dyDescent="0.25">
      <c r="A18" s="51" t="s">
        <v>573</v>
      </c>
      <c r="B18" s="52">
        <v>37</v>
      </c>
      <c r="C18" s="52">
        <v>68.22</v>
      </c>
      <c r="D18" s="52">
        <v>100.1</v>
      </c>
      <c r="E18" s="52">
        <v>6.13</v>
      </c>
      <c r="F18" s="52">
        <v>2.13</v>
      </c>
      <c r="G18" s="52">
        <v>68.150000000000006</v>
      </c>
      <c r="H18" s="52">
        <v>23.7</v>
      </c>
      <c r="I18" s="58" t="s">
        <v>15</v>
      </c>
      <c r="J18" s="52">
        <v>0.71</v>
      </c>
      <c r="K18" s="52">
        <v>314.70999999999998</v>
      </c>
      <c r="L18" s="52">
        <v>27.89</v>
      </c>
      <c r="M18" s="52">
        <v>39.299999999999997</v>
      </c>
      <c r="N18" s="52">
        <v>705.4</v>
      </c>
      <c r="O18" s="52">
        <v>0</v>
      </c>
      <c r="P18" s="52">
        <v>0.76</v>
      </c>
      <c r="Q18" s="52">
        <v>9.56</v>
      </c>
      <c r="R18" s="43"/>
      <c r="S18" s="43"/>
      <c r="T18" s="43"/>
      <c r="U18" s="43"/>
    </row>
    <row r="19" spans="1:21" s="11" customFormat="1" x14ac:dyDescent="0.25">
      <c r="A19" s="51" t="s">
        <v>574</v>
      </c>
      <c r="B19" s="52">
        <v>27.04</v>
      </c>
      <c r="C19" s="52">
        <v>69.349999999999994</v>
      </c>
      <c r="D19" s="52">
        <v>94.28</v>
      </c>
      <c r="E19" s="52">
        <v>5.63</v>
      </c>
      <c r="F19" s="52">
        <v>2.13</v>
      </c>
      <c r="G19" s="52">
        <v>65.19</v>
      </c>
      <c r="H19" s="52">
        <v>22.57</v>
      </c>
      <c r="I19" s="58" t="s">
        <v>15</v>
      </c>
      <c r="J19" s="52">
        <v>0.73</v>
      </c>
      <c r="K19" s="52">
        <v>352.25</v>
      </c>
      <c r="L19" s="52">
        <v>31.03</v>
      </c>
      <c r="M19" s="52">
        <v>28.92</v>
      </c>
      <c r="N19" s="52">
        <v>844</v>
      </c>
      <c r="O19" s="52">
        <v>0</v>
      </c>
      <c r="P19" s="52">
        <v>0.72</v>
      </c>
      <c r="Q19" s="52">
        <v>9.48</v>
      </c>
      <c r="R19" s="43"/>
      <c r="S19" s="43"/>
      <c r="T19" s="43"/>
      <c r="U19" s="43"/>
    </row>
    <row r="20" spans="1:21" s="11" customFormat="1" x14ac:dyDescent="0.25">
      <c r="A20" s="51" t="s">
        <v>575</v>
      </c>
      <c r="B20" s="52">
        <v>19.440000000000001</v>
      </c>
      <c r="C20" s="52">
        <v>70.599999999999994</v>
      </c>
      <c r="D20" s="52">
        <v>86.53</v>
      </c>
      <c r="E20" s="52">
        <v>5.89</v>
      </c>
      <c r="F20" s="52">
        <v>2.13</v>
      </c>
      <c r="G20" s="52">
        <v>58.52</v>
      </c>
      <c r="H20" s="52">
        <v>19.8</v>
      </c>
      <c r="I20" s="58" t="s">
        <v>15</v>
      </c>
      <c r="J20" s="52">
        <v>1.34</v>
      </c>
      <c r="K20" s="52">
        <v>359.09</v>
      </c>
      <c r="L20" s="52">
        <v>32.96</v>
      </c>
      <c r="M20" s="52">
        <v>21.98</v>
      </c>
      <c r="N20" s="52">
        <v>853.5</v>
      </c>
      <c r="O20" s="52">
        <v>0</v>
      </c>
      <c r="P20" s="52">
        <v>0.65</v>
      </c>
      <c r="Q20" s="52">
        <v>9.43</v>
      </c>
      <c r="R20" s="43"/>
      <c r="S20" s="43"/>
      <c r="T20" s="43"/>
      <c r="U20" s="43"/>
    </row>
    <row r="21" spans="1:21" s="11" customFormat="1" x14ac:dyDescent="0.25">
      <c r="A21" s="51" t="s">
        <v>576</v>
      </c>
      <c r="B21" s="52">
        <v>14.87</v>
      </c>
      <c r="C21" s="52">
        <v>72.41</v>
      </c>
      <c r="D21" s="52">
        <v>84.17</v>
      </c>
      <c r="E21" s="52">
        <v>5.85</v>
      </c>
      <c r="F21" s="52">
        <v>2.13</v>
      </c>
      <c r="G21" s="52">
        <v>54.56</v>
      </c>
      <c r="H21" s="52">
        <v>19.52</v>
      </c>
      <c r="I21" s="58" t="s">
        <v>15</v>
      </c>
      <c r="J21" s="52">
        <v>1.62</v>
      </c>
      <c r="K21" s="52">
        <v>336.33</v>
      </c>
      <c r="L21" s="52">
        <v>33.130000000000003</v>
      </c>
      <c r="M21" s="52">
        <v>18.37</v>
      </c>
      <c r="N21" s="52">
        <v>814</v>
      </c>
      <c r="O21" s="52">
        <v>0</v>
      </c>
      <c r="P21" s="52">
        <v>0.62</v>
      </c>
      <c r="Q21" s="52">
        <v>9.4</v>
      </c>
      <c r="R21" s="43"/>
      <c r="S21" s="43"/>
      <c r="T21" s="43"/>
      <c r="U21" s="43"/>
    </row>
    <row r="22" spans="1:21" s="11" customFormat="1" x14ac:dyDescent="0.25">
      <c r="A22" s="51" t="s">
        <v>577</v>
      </c>
      <c r="B22" s="52">
        <v>9.8699999999999992</v>
      </c>
      <c r="C22" s="52">
        <v>70.12</v>
      </c>
      <c r="D22" s="52">
        <v>77.89</v>
      </c>
      <c r="E22" s="52">
        <v>5.17</v>
      </c>
      <c r="F22" s="52">
        <v>2.13</v>
      </c>
      <c r="G22" s="52">
        <v>47.73</v>
      </c>
      <c r="H22" s="52">
        <v>19.260000000000002</v>
      </c>
      <c r="I22" s="58" t="s">
        <v>15</v>
      </c>
      <c r="J22" s="52">
        <v>1.72</v>
      </c>
      <c r="K22" s="52">
        <v>342.44</v>
      </c>
      <c r="L22" s="52">
        <v>32.61</v>
      </c>
      <c r="M22" s="52">
        <v>17.510000000000002</v>
      </c>
      <c r="N22" s="52">
        <v>783.1</v>
      </c>
      <c r="O22" s="52">
        <v>0</v>
      </c>
      <c r="P22" s="52">
        <v>0.55000000000000004</v>
      </c>
      <c r="Q22" s="52">
        <v>9.39</v>
      </c>
      <c r="R22" s="43"/>
      <c r="S22" s="43"/>
      <c r="T22" s="43"/>
      <c r="U22" s="43"/>
    </row>
    <row r="23" spans="1:21" s="11" customFormat="1" x14ac:dyDescent="0.25">
      <c r="A23" s="51" t="s">
        <v>578</v>
      </c>
      <c r="B23" s="52">
        <v>7.31</v>
      </c>
      <c r="C23" s="52">
        <v>67.45</v>
      </c>
      <c r="D23" s="52">
        <v>72.66</v>
      </c>
      <c r="E23" s="52">
        <v>4.59</v>
      </c>
      <c r="F23" s="52">
        <v>2.2799999999999998</v>
      </c>
      <c r="G23" s="52">
        <v>39.51</v>
      </c>
      <c r="H23" s="52">
        <v>16.079999999999998</v>
      </c>
      <c r="I23" s="58" t="s">
        <v>15</v>
      </c>
      <c r="J23" s="52">
        <v>1.8</v>
      </c>
      <c r="K23" s="52">
        <v>339.25</v>
      </c>
      <c r="L23" s="52">
        <v>31.96</v>
      </c>
      <c r="M23" s="52">
        <v>18.489999999999998</v>
      </c>
      <c r="N23" s="52">
        <v>617.29999999999995</v>
      </c>
      <c r="O23" s="52">
        <v>0</v>
      </c>
      <c r="P23" s="52">
        <v>0.49</v>
      </c>
      <c r="Q23" s="52">
        <v>9.3800000000000008</v>
      </c>
      <c r="R23" s="43"/>
      <c r="S23" s="43"/>
      <c r="T23" s="43"/>
      <c r="U23" s="43"/>
    </row>
    <row r="24" spans="1:21" s="11" customFormat="1" x14ac:dyDescent="0.25">
      <c r="A24" s="51" t="s">
        <v>579</v>
      </c>
      <c r="B24" s="52">
        <v>7.42</v>
      </c>
      <c r="C24" s="52">
        <v>62.12</v>
      </c>
      <c r="D24" s="52">
        <v>67.38</v>
      </c>
      <c r="E24" s="52">
        <v>5.47</v>
      </c>
      <c r="F24" s="52">
        <v>2.2200000000000002</v>
      </c>
      <c r="G24" s="52">
        <v>35.880000000000003</v>
      </c>
      <c r="H24" s="52">
        <v>14.19</v>
      </c>
      <c r="I24" s="58" t="s">
        <v>15</v>
      </c>
      <c r="J24" s="52">
        <v>1.8</v>
      </c>
      <c r="K24" s="52">
        <v>345.94</v>
      </c>
      <c r="L24" s="52">
        <v>30.81</v>
      </c>
      <c r="M24" s="52">
        <v>22.2</v>
      </c>
      <c r="N24" s="52">
        <v>429.8</v>
      </c>
      <c r="O24" s="52">
        <v>0</v>
      </c>
      <c r="P24" s="52">
        <v>0.45</v>
      </c>
      <c r="Q24" s="52">
        <v>9.36</v>
      </c>
      <c r="R24" s="43"/>
      <c r="S24" s="43"/>
      <c r="T24" s="43"/>
      <c r="U24" s="43"/>
    </row>
    <row r="25" spans="1:21" s="11" customFormat="1" x14ac:dyDescent="0.25">
      <c r="A25" s="51" t="s">
        <v>580</v>
      </c>
      <c r="B25" s="52">
        <v>8.15</v>
      </c>
      <c r="C25" s="52">
        <v>61.65</v>
      </c>
      <c r="D25" s="52">
        <v>67.069999999999993</v>
      </c>
      <c r="E25" s="52">
        <v>4.93</v>
      </c>
      <c r="F25" s="52">
        <v>2.13</v>
      </c>
      <c r="G25" s="52">
        <v>24.79</v>
      </c>
      <c r="H25" s="52">
        <v>13.44</v>
      </c>
      <c r="I25" s="58" t="s">
        <v>15</v>
      </c>
      <c r="J25" s="52">
        <v>1.76</v>
      </c>
      <c r="K25" s="52">
        <v>349.32</v>
      </c>
      <c r="L25" s="52">
        <v>28.17</v>
      </c>
      <c r="M25" s="52">
        <v>25.01</v>
      </c>
      <c r="N25" s="52">
        <v>150.1</v>
      </c>
      <c r="O25" s="52">
        <v>0</v>
      </c>
      <c r="P25" s="52">
        <v>0.46</v>
      </c>
      <c r="Q25" s="52">
        <v>9.36</v>
      </c>
      <c r="R25" s="43"/>
      <c r="S25" s="43"/>
      <c r="T25" s="43"/>
      <c r="U25" s="43"/>
    </row>
    <row r="26" spans="1:21" s="11" customFormat="1" x14ac:dyDescent="0.25">
      <c r="A26" s="51" t="s">
        <v>581</v>
      </c>
      <c r="B26" s="52">
        <v>9.75</v>
      </c>
      <c r="C26" s="52">
        <v>64.33</v>
      </c>
      <c r="D26" s="52">
        <v>71.98</v>
      </c>
      <c r="E26" s="52">
        <v>4.97</v>
      </c>
      <c r="F26" s="52">
        <v>2.13</v>
      </c>
      <c r="G26" s="52">
        <v>35.17</v>
      </c>
      <c r="H26" s="52">
        <v>13.1</v>
      </c>
      <c r="I26" s="58" t="s">
        <v>15</v>
      </c>
      <c r="J26" s="52">
        <v>1.8</v>
      </c>
      <c r="K26" s="52">
        <v>355.14</v>
      </c>
      <c r="L26" s="52">
        <v>26.57</v>
      </c>
      <c r="M26" s="52">
        <v>28.85</v>
      </c>
      <c r="N26" s="52">
        <v>105.5</v>
      </c>
      <c r="O26" s="52">
        <v>0</v>
      </c>
      <c r="P26" s="52">
        <v>0.61</v>
      </c>
      <c r="Q26" s="52">
        <v>9.36</v>
      </c>
      <c r="R26" s="43"/>
      <c r="S26" s="43"/>
      <c r="T26" s="43"/>
      <c r="U26" s="43"/>
    </row>
    <row r="27" spans="1:21" s="11" customFormat="1" x14ac:dyDescent="0.25">
      <c r="A27" s="51" t="s">
        <v>582</v>
      </c>
      <c r="B27" s="52">
        <v>16.93</v>
      </c>
      <c r="C27" s="52">
        <v>70</v>
      </c>
      <c r="D27" s="52">
        <v>84.83</v>
      </c>
      <c r="E27" s="52">
        <v>5.72</v>
      </c>
      <c r="F27" s="52">
        <v>2.13</v>
      </c>
      <c r="G27" s="52">
        <v>44.53</v>
      </c>
      <c r="H27" s="52">
        <v>12.2</v>
      </c>
      <c r="I27" s="58" t="s">
        <v>15</v>
      </c>
      <c r="J27" s="52">
        <v>1.03</v>
      </c>
      <c r="K27" s="52">
        <v>358.92</v>
      </c>
      <c r="L27" s="52">
        <v>24.34</v>
      </c>
      <c r="M27" s="52">
        <v>32.92</v>
      </c>
      <c r="N27" s="52">
        <v>68.099999999999994</v>
      </c>
      <c r="O27" s="52">
        <v>0</v>
      </c>
      <c r="P27" s="52">
        <v>1.1399999999999999</v>
      </c>
      <c r="Q27" s="52">
        <v>9.4</v>
      </c>
      <c r="R27" s="43"/>
      <c r="S27" s="43"/>
      <c r="T27" s="43"/>
      <c r="U27" s="43"/>
    </row>
    <row r="28" spans="1:21" s="11" customFormat="1" x14ac:dyDescent="0.25">
      <c r="A28" s="51" t="s">
        <v>583</v>
      </c>
      <c r="B28" s="52">
        <v>33.83</v>
      </c>
      <c r="C28" s="52">
        <v>74.16</v>
      </c>
      <c r="D28" s="52">
        <v>105.89</v>
      </c>
      <c r="E28" s="52">
        <v>6.34</v>
      </c>
      <c r="F28" s="52">
        <v>2.13</v>
      </c>
      <c r="G28" s="52">
        <v>62.96</v>
      </c>
      <c r="H28" s="52">
        <v>15.49</v>
      </c>
      <c r="I28" s="58" t="s">
        <v>15</v>
      </c>
      <c r="J28" s="52">
        <v>0.6</v>
      </c>
      <c r="K28" s="52">
        <v>321.08</v>
      </c>
      <c r="L28" s="52">
        <v>22.58</v>
      </c>
      <c r="M28" s="52">
        <v>40.909999999999997</v>
      </c>
      <c r="N28" s="52">
        <v>67.2</v>
      </c>
      <c r="O28" s="52">
        <v>0</v>
      </c>
      <c r="P28" s="52">
        <v>1.91</v>
      </c>
      <c r="Q28" s="52">
        <v>9.41</v>
      </c>
      <c r="R28" s="43"/>
      <c r="S28" s="43"/>
      <c r="T28" s="43"/>
      <c r="U28" s="43"/>
    </row>
    <row r="29" spans="1:21" s="11" customFormat="1" x14ac:dyDescent="0.25">
      <c r="A29" s="51" t="s">
        <v>584</v>
      </c>
      <c r="B29" s="52">
        <v>39.6</v>
      </c>
      <c r="C29" s="52">
        <v>74.75</v>
      </c>
      <c r="D29" s="52">
        <v>112.18</v>
      </c>
      <c r="E29" s="52">
        <v>7.61</v>
      </c>
      <c r="F29" s="52">
        <v>2.13</v>
      </c>
      <c r="G29" s="52">
        <v>96.5</v>
      </c>
      <c r="H29" s="52">
        <v>25.71</v>
      </c>
      <c r="I29" s="58" t="s">
        <v>15</v>
      </c>
      <c r="J29" s="52">
        <v>1.93</v>
      </c>
      <c r="K29" s="52">
        <v>339.31</v>
      </c>
      <c r="L29" s="52">
        <v>21.82</v>
      </c>
      <c r="M29" s="52">
        <v>47.29</v>
      </c>
      <c r="N29" s="52">
        <v>66.599999999999994</v>
      </c>
      <c r="O29" s="52">
        <v>0</v>
      </c>
      <c r="P29" s="52">
        <v>2.04</v>
      </c>
      <c r="Q29" s="52">
        <v>9.48</v>
      </c>
      <c r="R29" s="43"/>
      <c r="S29" s="43"/>
      <c r="T29" s="43"/>
      <c r="U29" s="43"/>
    </row>
    <row r="30" spans="1:21" s="11" customFormat="1" x14ac:dyDescent="0.25">
      <c r="A30" s="51" t="s">
        <v>585</v>
      </c>
      <c r="B30" s="52">
        <v>36.26</v>
      </c>
      <c r="C30" s="52">
        <v>74.03</v>
      </c>
      <c r="D30" s="52">
        <v>108.19</v>
      </c>
      <c r="E30" s="52">
        <v>6.82</v>
      </c>
      <c r="F30" s="52">
        <v>2.13</v>
      </c>
      <c r="G30" s="52">
        <v>99.6</v>
      </c>
      <c r="H30" s="52">
        <v>27.75</v>
      </c>
      <c r="I30" s="58" t="s">
        <v>15</v>
      </c>
      <c r="J30" s="52">
        <v>2.17</v>
      </c>
      <c r="K30" s="52">
        <v>353.2</v>
      </c>
      <c r="L30" s="52">
        <v>21.68</v>
      </c>
      <c r="M30" s="52">
        <v>38.79</v>
      </c>
      <c r="N30" s="52">
        <v>66.8</v>
      </c>
      <c r="O30" s="52">
        <v>0</v>
      </c>
      <c r="P30" s="52">
        <v>1.1100000000000001</v>
      </c>
      <c r="Q30" s="52">
        <v>9.48</v>
      </c>
      <c r="R30" s="43"/>
      <c r="S30" s="43"/>
      <c r="T30" s="43"/>
      <c r="U30" s="43"/>
    </row>
    <row r="31" spans="1:21" s="11" customFormat="1" x14ac:dyDescent="0.25">
      <c r="A31" s="51" t="s">
        <v>586</v>
      </c>
      <c r="B31" s="52">
        <v>28.5</v>
      </c>
      <c r="C31" s="52">
        <v>71.34</v>
      </c>
      <c r="D31" s="52">
        <v>97.74</v>
      </c>
      <c r="E31" s="52">
        <v>6.54</v>
      </c>
      <c r="F31" s="52">
        <v>2.13</v>
      </c>
      <c r="G31" s="52">
        <v>87.28</v>
      </c>
      <c r="H31" s="52">
        <v>25.14</v>
      </c>
      <c r="I31" s="58" t="s">
        <v>15</v>
      </c>
      <c r="J31" s="52">
        <v>1.83</v>
      </c>
      <c r="K31" s="52">
        <v>342.61</v>
      </c>
      <c r="L31" s="52">
        <v>20.68</v>
      </c>
      <c r="M31" s="52">
        <v>43.48</v>
      </c>
      <c r="N31" s="52">
        <v>67.099999999999994</v>
      </c>
      <c r="O31" s="52">
        <v>0</v>
      </c>
      <c r="P31" s="52">
        <v>0.99</v>
      </c>
      <c r="Q31" s="52">
        <v>9.49</v>
      </c>
      <c r="R31" s="43"/>
      <c r="S31" s="43"/>
      <c r="T31" s="43"/>
      <c r="U31" s="43"/>
    </row>
    <row r="32" spans="1:21" s="11" customFormat="1" x14ac:dyDescent="0.25">
      <c r="A32" s="51" t="s">
        <v>587</v>
      </c>
      <c r="B32" s="52">
        <v>23.81</v>
      </c>
      <c r="C32" s="52">
        <v>69.25</v>
      </c>
      <c r="D32" s="52">
        <v>90.96</v>
      </c>
      <c r="E32" s="52">
        <v>6.22</v>
      </c>
      <c r="F32" s="52">
        <v>2.13</v>
      </c>
      <c r="G32" s="52">
        <v>82.21</v>
      </c>
      <c r="H32" s="52">
        <v>25.61</v>
      </c>
      <c r="I32" s="58" t="s">
        <v>15</v>
      </c>
      <c r="J32" s="52">
        <v>1.53</v>
      </c>
      <c r="K32" s="52">
        <v>353.23</v>
      </c>
      <c r="L32" s="52">
        <v>19.16</v>
      </c>
      <c r="M32" s="52">
        <v>46.35</v>
      </c>
      <c r="N32" s="52">
        <v>66.8</v>
      </c>
      <c r="O32" s="52">
        <v>0</v>
      </c>
      <c r="P32" s="52">
        <v>0.93</v>
      </c>
      <c r="Q32" s="52">
        <v>9.49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7.31</v>
      </c>
      <c r="C34" s="28">
        <f t="shared" si="0"/>
        <v>61.65</v>
      </c>
      <c r="D34" s="28">
        <f t="shared" si="0"/>
        <v>67.069999999999993</v>
      </c>
      <c r="E34" s="28">
        <f t="shared" si="0"/>
        <v>4.59</v>
      </c>
      <c r="F34" s="28">
        <f t="shared" si="0"/>
        <v>2.13</v>
      </c>
      <c r="G34" s="28">
        <f t="shared" si="0"/>
        <v>24.79</v>
      </c>
      <c r="H34" s="28">
        <f t="shared" si="0"/>
        <v>12.2</v>
      </c>
      <c r="I34" s="28">
        <f t="shared" si="0"/>
        <v>0</v>
      </c>
      <c r="J34" s="28">
        <f t="shared" si="0"/>
        <v>0.46</v>
      </c>
      <c r="K34" s="28">
        <f t="shared" si="0"/>
        <v>228.37</v>
      </c>
      <c r="L34" s="28">
        <f t="shared" si="0"/>
        <v>14.53</v>
      </c>
      <c r="M34" s="28">
        <f t="shared" si="0"/>
        <v>17.510000000000002</v>
      </c>
      <c r="N34" s="28">
        <f t="shared" si="0"/>
        <v>63</v>
      </c>
      <c r="O34" s="28">
        <f t="shared" si="0"/>
        <v>0</v>
      </c>
      <c r="P34" s="28">
        <f t="shared" si="0"/>
        <v>0.45</v>
      </c>
      <c r="Q34" s="28">
        <f t="shared" si="0"/>
        <v>9.36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107.17</v>
      </c>
      <c r="C35" s="29">
        <f t="shared" si="1"/>
        <v>79.819999999999993</v>
      </c>
      <c r="D35" s="29">
        <f t="shared" si="1"/>
        <v>184.88</v>
      </c>
      <c r="E35" s="29">
        <f t="shared" si="1"/>
        <v>7.61</v>
      </c>
      <c r="F35" s="29">
        <f t="shared" si="1"/>
        <v>2.2799999999999998</v>
      </c>
      <c r="G35" s="29">
        <f t="shared" si="1"/>
        <v>120.58</v>
      </c>
      <c r="H35" s="29">
        <f t="shared" si="1"/>
        <v>28.75</v>
      </c>
      <c r="I35" s="29">
        <f t="shared" si="1"/>
        <v>0</v>
      </c>
      <c r="J35" s="29">
        <f t="shared" si="1"/>
        <v>2.17</v>
      </c>
      <c r="K35" s="29">
        <f t="shared" si="1"/>
        <v>359.09</v>
      </c>
      <c r="L35" s="29">
        <f t="shared" si="1"/>
        <v>33.130000000000003</v>
      </c>
      <c r="M35" s="29">
        <f t="shared" si="1"/>
        <v>83.96</v>
      </c>
      <c r="N35" s="29">
        <f t="shared" si="1"/>
        <v>853.5</v>
      </c>
      <c r="O35" s="29">
        <f t="shared" si="1"/>
        <v>0</v>
      </c>
      <c r="P35" s="29">
        <f t="shared" si="1"/>
        <v>2.04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38.339999999999989</v>
      </c>
      <c r="C36" s="28">
        <f t="shared" si="2"/>
        <v>68.755416666666662</v>
      </c>
      <c r="D36" s="28">
        <f t="shared" si="2"/>
        <v>104.70375</v>
      </c>
      <c r="E36" s="28">
        <f t="shared" si="2"/>
        <v>6.1333333333333329</v>
      </c>
      <c r="F36" s="28">
        <f t="shared" si="2"/>
        <v>2.1420833333333338</v>
      </c>
      <c r="G36" s="28">
        <f t="shared" si="2"/>
        <v>69.271666666666661</v>
      </c>
      <c r="H36" s="28">
        <f t="shared" si="2"/>
        <v>21.654166666666665</v>
      </c>
      <c r="I36" s="28" t="e">
        <f t="shared" si="2"/>
        <v>#DIV/0!</v>
      </c>
      <c r="J36" s="28">
        <f t="shared" si="2"/>
        <v>1.2250000000000003</v>
      </c>
      <c r="K36" s="28">
        <f t="shared" si="2"/>
        <v>321.14541666666668</v>
      </c>
      <c r="L36" s="28">
        <f t="shared" si="2"/>
        <v>23.369999999999994</v>
      </c>
      <c r="M36" s="28">
        <f t="shared" si="2"/>
        <v>45.563749999999992</v>
      </c>
      <c r="N36" s="28">
        <f t="shared" si="2"/>
        <v>291.14583333333343</v>
      </c>
      <c r="O36" s="28">
        <f t="shared" si="2"/>
        <v>0</v>
      </c>
      <c r="P36" s="28">
        <f t="shared" si="2"/>
        <v>0.91249999999999998</v>
      </c>
      <c r="Q36" s="28">
        <f t="shared" si="2"/>
        <v>9.5120833333333366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27.286480487437466</v>
      </c>
      <c r="C37" s="28">
        <f t="shared" ref="C37:Q37" si="3">STDEV(C9:C32)</f>
        <v>4.7355096866919837</v>
      </c>
      <c r="D37" s="28">
        <f t="shared" si="3"/>
        <v>29.419449025742484</v>
      </c>
      <c r="E37" s="28">
        <f t="shared" si="3"/>
        <v>0.75059203685963949</v>
      </c>
      <c r="F37" s="28">
        <f t="shared" si="3"/>
        <v>3.5871651234907521E-2</v>
      </c>
      <c r="G37" s="28">
        <f t="shared" si="3"/>
        <v>24.08191034359821</v>
      </c>
      <c r="H37" s="28">
        <f t="shared" si="3"/>
        <v>5.1140445294576358</v>
      </c>
      <c r="I37" s="28" t="e">
        <f t="shared" si="3"/>
        <v>#DIV/0!</v>
      </c>
      <c r="J37" s="28">
        <f t="shared" si="3"/>
        <v>0.53322643856302554</v>
      </c>
      <c r="K37" s="28">
        <f t="shared" si="3"/>
        <v>40.862433047989612</v>
      </c>
      <c r="L37" s="28">
        <f t="shared" si="3"/>
        <v>6.376597838973411</v>
      </c>
      <c r="M37" s="28">
        <f t="shared" si="3"/>
        <v>21.539289038466656</v>
      </c>
      <c r="N37" s="28">
        <f t="shared" si="3"/>
        <v>308.81742316690821</v>
      </c>
      <c r="O37" s="28">
        <f t="shared" si="3"/>
        <v>0</v>
      </c>
      <c r="P37" s="28">
        <f t="shared" si="3"/>
        <v>0.39576288465388626</v>
      </c>
      <c r="Q37" s="28">
        <f t="shared" si="3"/>
        <v>0.13061657018080483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588</v>
      </c>
      <c r="B9" s="52">
        <v>22.66</v>
      </c>
      <c r="C9" s="52">
        <v>66.37</v>
      </c>
      <c r="D9" s="52">
        <v>86.93</v>
      </c>
      <c r="E9" s="52">
        <v>7.85</v>
      </c>
      <c r="F9" s="52">
        <v>2.13</v>
      </c>
      <c r="G9" s="52">
        <v>84.85</v>
      </c>
      <c r="H9" s="52">
        <v>25.93</v>
      </c>
      <c r="I9" s="53" t="s">
        <v>15</v>
      </c>
      <c r="J9" s="52">
        <v>1.41</v>
      </c>
      <c r="K9" s="52">
        <v>348.02</v>
      </c>
      <c r="L9" s="52">
        <v>18.329999999999998</v>
      </c>
      <c r="M9" s="52">
        <v>49.8</v>
      </c>
      <c r="N9" s="52">
        <v>67</v>
      </c>
      <c r="O9" s="52">
        <v>0</v>
      </c>
      <c r="P9" s="52">
        <v>0.91</v>
      </c>
      <c r="Q9" s="52">
        <v>9.49</v>
      </c>
      <c r="R9" s="43"/>
      <c r="S9" s="43"/>
      <c r="T9" s="43"/>
      <c r="U9" s="43"/>
    </row>
    <row r="10" spans="1:21" s="11" customFormat="1" x14ac:dyDescent="0.25">
      <c r="A10" s="51" t="s">
        <v>589</v>
      </c>
      <c r="B10" s="52">
        <v>20.72</v>
      </c>
      <c r="C10" s="52">
        <v>63.25</v>
      </c>
      <c r="D10" s="52">
        <v>81.87</v>
      </c>
      <c r="E10" s="52">
        <v>7.73</v>
      </c>
      <c r="F10" s="52">
        <v>2.13</v>
      </c>
      <c r="G10" s="52">
        <v>83.17</v>
      </c>
      <c r="H10" s="52">
        <v>28.5</v>
      </c>
      <c r="I10" s="53" t="s">
        <v>15</v>
      </c>
      <c r="J10" s="52">
        <v>1.18</v>
      </c>
      <c r="K10" s="52">
        <v>354.78</v>
      </c>
      <c r="L10" s="52">
        <v>17.27</v>
      </c>
      <c r="M10" s="52">
        <v>51.08</v>
      </c>
      <c r="N10" s="52">
        <v>66.900000000000006</v>
      </c>
      <c r="O10" s="52">
        <v>0</v>
      </c>
      <c r="P10" s="52">
        <v>0.81</v>
      </c>
      <c r="Q10" s="52">
        <v>9.43</v>
      </c>
      <c r="R10" s="43"/>
      <c r="S10" s="43"/>
      <c r="T10" s="43"/>
      <c r="U10" s="43"/>
    </row>
    <row r="11" spans="1:21" s="11" customFormat="1" x14ac:dyDescent="0.25">
      <c r="A11" s="51" t="s">
        <v>590</v>
      </c>
      <c r="B11" s="52">
        <v>18.829999999999998</v>
      </c>
      <c r="C11" s="52">
        <v>61.93</v>
      </c>
      <c r="D11" s="52">
        <v>78.66</v>
      </c>
      <c r="E11" s="52">
        <v>7.82</v>
      </c>
      <c r="F11" s="52">
        <v>2.13</v>
      </c>
      <c r="G11" s="52">
        <v>83.54</v>
      </c>
      <c r="H11" s="52">
        <v>26.48</v>
      </c>
      <c r="I11" s="53" t="s">
        <v>15</v>
      </c>
      <c r="J11" s="52">
        <v>1.68</v>
      </c>
      <c r="K11" s="52">
        <v>350.55</v>
      </c>
      <c r="L11" s="52">
        <v>17.690000000000001</v>
      </c>
      <c r="M11" s="52">
        <v>49.59</v>
      </c>
      <c r="N11" s="52">
        <v>66.5</v>
      </c>
      <c r="O11" s="52">
        <v>0</v>
      </c>
      <c r="P11" s="52">
        <v>0.77</v>
      </c>
      <c r="Q11" s="52">
        <v>9.4499999999999993</v>
      </c>
      <c r="R11" s="43"/>
      <c r="S11" s="43"/>
      <c r="T11" s="43"/>
      <c r="U11" s="43"/>
    </row>
    <row r="12" spans="1:21" s="11" customFormat="1" x14ac:dyDescent="0.25">
      <c r="A12" s="51" t="s">
        <v>591</v>
      </c>
      <c r="B12" s="52">
        <v>15.13</v>
      </c>
      <c r="C12" s="52">
        <v>62.97</v>
      </c>
      <c r="D12" s="52">
        <v>75.41</v>
      </c>
      <c r="E12" s="52">
        <v>8.07</v>
      </c>
      <c r="F12" s="52">
        <v>2.13</v>
      </c>
      <c r="G12" s="52">
        <v>77.12</v>
      </c>
      <c r="H12" s="52">
        <v>27.97</v>
      </c>
      <c r="I12" s="53" t="s">
        <v>15</v>
      </c>
      <c r="J12" s="52">
        <v>1.1100000000000001</v>
      </c>
      <c r="K12" s="52">
        <v>20.260000000000002</v>
      </c>
      <c r="L12" s="52">
        <v>17.43</v>
      </c>
      <c r="M12" s="52">
        <v>48.95</v>
      </c>
      <c r="N12" s="52">
        <v>67.099999999999994</v>
      </c>
      <c r="O12" s="52">
        <v>0</v>
      </c>
      <c r="P12" s="52">
        <v>0.7</v>
      </c>
      <c r="Q12" s="52">
        <v>9.4700000000000006</v>
      </c>
      <c r="R12" s="43"/>
      <c r="S12" s="43"/>
      <c r="T12" s="43"/>
      <c r="U12" s="43"/>
    </row>
    <row r="13" spans="1:21" s="11" customFormat="1" x14ac:dyDescent="0.25">
      <c r="A13" s="51" t="s">
        <v>592</v>
      </c>
      <c r="B13" s="52">
        <v>14.12</v>
      </c>
      <c r="C13" s="52">
        <v>60.54</v>
      </c>
      <c r="D13" s="52">
        <v>72.13</v>
      </c>
      <c r="E13" s="52">
        <v>6.85</v>
      </c>
      <c r="F13" s="52">
        <v>2.13</v>
      </c>
      <c r="G13" s="52">
        <v>80.91</v>
      </c>
      <c r="H13" s="52">
        <v>22.16</v>
      </c>
      <c r="I13" s="53" t="s">
        <v>15</v>
      </c>
      <c r="J13" s="52">
        <v>1.31</v>
      </c>
      <c r="K13" s="52">
        <v>25.81</v>
      </c>
      <c r="L13" s="52">
        <v>17.14</v>
      </c>
      <c r="M13" s="52">
        <v>48.93</v>
      </c>
      <c r="N13" s="52">
        <v>66.900000000000006</v>
      </c>
      <c r="O13" s="52">
        <v>0</v>
      </c>
      <c r="P13" s="52">
        <v>0.62</v>
      </c>
      <c r="Q13" s="52">
        <v>9.44</v>
      </c>
      <c r="R13" s="43"/>
      <c r="S13" s="43"/>
      <c r="T13" s="43"/>
      <c r="U13" s="43"/>
    </row>
    <row r="14" spans="1:21" s="11" customFormat="1" x14ac:dyDescent="0.25">
      <c r="A14" s="51" t="s">
        <v>593</v>
      </c>
      <c r="B14" s="52">
        <v>11.41</v>
      </c>
      <c r="C14" s="52">
        <v>60.12</v>
      </c>
      <c r="D14" s="52">
        <v>69.28</v>
      </c>
      <c r="E14" s="52">
        <v>7.2</v>
      </c>
      <c r="F14" s="52">
        <v>2.13</v>
      </c>
      <c r="G14" s="52">
        <v>75.73</v>
      </c>
      <c r="H14" s="52">
        <v>22.55</v>
      </c>
      <c r="I14" s="53" t="s">
        <v>15</v>
      </c>
      <c r="J14" s="52">
        <v>0.91</v>
      </c>
      <c r="K14" s="52">
        <v>42.39</v>
      </c>
      <c r="L14" s="52">
        <v>16.64</v>
      </c>
      <c r="M14" s="52">
        <v>48.21</v>
      </c>
      <c r="N14" s="52">
        <v>67.5</v>
      </c>
      <c r="O14" s="52">
        <v>0</v>
      </c>
      <c r="P14" s="52">
        <v>0.57999999999999996</v>
      </c>
      <c r="Q14" s="52">
        <v>9.41</v>
      </c>
      <c r="R14" s="43"/>
      <c r="S14" s="43"/>
      <c r="T14" s="43"/>
      <c r="U14" s="43"/>
    </row>
    <row r="15" spans="1:21" s="11" customFormat="1" x14ac:dyDescent="0.25">
      <c r="A15" s="51" t="s">
        <v>594</v>
      </c>
      <c r="B15" s="52">
        <v>10.45</v>
      </c>
      <c r="C15" s="52">
        <v>59.31</v>
      </c>
      <c r="D15" s="52">
        <v>67.66</v>
      </c>
      <c r="E15" s="52">
        <v>6.78</v>
      </c>
      <c r="F15" s="52">
        <v>2.13</v>
      </c>
      <c r="G15" s="52">
        <v>65.13</v>
      </c>
      <c r="H15" s="52">
        <v>22.64</v>
      </c>
      <c r="I15" s="53" t="s">
        <v>15</v>
      </c>
      <c r="J15" s="52">
        <v>0.67</v>
      </c>
      <c r="K15" s="52">
        <v>56.14</v>
      </c>
      <c r="L15" s="52">
        <v>15.99</v>
      </c>
      <c r="M15" s="52">
        <v>48.24</v>
      </c>
      <c r="N15" s="52">
        <v>99.4</v>
      </c>
      <c r="O15" s="52">
        <v>0</v>
      </c>
      <c r="P15" s="52">
        <v>0.56000000000000005</v>
      </c>
      <c r="Q15" s="52">
        <v>9.36</v>
      </c>
      <c r="R15" s="43"/>
      <c r="S15" s="43"/>
      <c r="T15" s="43"/>
      <c r="U15" s="43"/>
    </row>
    <row r="16" spans="1:21" s="11" customFormat="1" x14ac:dyDescent="0.25">
      <c r="A16" s="51" t="s">
        <v>595</v>
      </c>
      <c r="B16" s="52">
        <v>12.51</v>
      </c>
      <c r="C16" s="52">
        <v>62.77</v>
      </c>
      <c r="D16" s="52">
        <v>73.180000000000007</v>
      </c>
      <c r="E16" s="52">
        <v>6.51</v>
      </c>
      <c r="F16" s="52">
        <v>2.13</v>
      </c>
      <c r="G16" s="52">
        <v>60.58</v>
      </c>
      <c r="H16" s="52">
        <v>19</v>
      </c>
      <c r="I16" s="53" t="s">
        <v>15</v>
      </c>
      <c r="J16" s="52">
        <v>0.85</v>
      </c>
      <c r="K16" s="52">
        <v>76.489999999999995</v>
      </c>
      <c r="L16" s="52">
        <v>20.2</v>
      </c>
      <c r="M16" s="52">
        <v>45.9</v>
      </c>
      <c r="N16" s="52">
        <v>344</v>
      </c>
      <c r="O16" s="52">
        <v>0</v>
      </c>
      <c r="P16" s="52">
        <v>0.56999999999999995</v>
      </c>
      <c r="Q16" s="52">
        <v>9.44</v>
      </c>
      <c r="R16" s="43"/>
      <c r="S16" s="43"/>
      <c r="T16" s="43"/>
      <c r="U16" s="43"/>
    </row>
    <row r="17" spans="1:21" s="11" customFormat="1" x14ac:dyDescent="0.25">
      <c r="A17" s="51" t="s">
        <v>596</v>
      </c>
      <c r="B17" s="52">
        <v>15.61</v>
      </c>
      <c r="C17" s="52">
        <v>67.959999999999994</v>
      </c>
      <c r="D17" s="52">
        <v>81.47</v>
      </c>
      <c r="E17" s="52">
        <v>6.88</v>
      </c>
      <c r="F17" s="52">
        <v>2.13</v>
      </c>
      <c r="G17" s="52">
        <v>63.79</v>
      </c>
      <c r="H17" s="52">
        <v>20.03</v>
      </c>
      <c r="I17" s="53" t="s">
        <v>15</v>
      </c>
      <c r="J17" s="52">
        <v>1.08</v>
      </c>
      <c r="K17" s="52">
        <v>61.56</v>
      </c>
      <c r="L17" s="52">
        <v>23.82</v>
      </c>
      <c r="M17" s="52">
        <v>39</v>
      </c>
      <c r="N17" s="52">
        <v>580.1</v>
      </c>
      <c r="O17" s="52">
        <v>0</v>
      </c>
      <c r="P17" s="52">
        <v>0.57999999999999996</v>
      </c>
      <c r="Q17" s="52">
        <v>9.44</v>
      </c>
      <c r="R17" s="43"/>
      <c r="S17" s="43"/>
      <c r="T17" s="43"/>
      <c r="U17" s="43"/>
    </row>
    <row r="18" spans="1:21" s="11" customFormat="1" x14ac:dyDescent="0.25">
      <c r="A18" s="51" t="s">
        <v>597</v>
      </c>
      <c r="B18" s="52">
        <v>15.88</v>
      </c>
      <c r="C18" s="52">
        <v>70.19</v>
      </c>
      <c r="D18" s="52">
        <v>83.25</v>
      </c>
      <c r="E18" s="52">
        <v>7.25</v>
      </c>
      <c r="F18" s="52">
        <v>2.13</v>
      </c>
      <c r="G18" s="52">
        <v>69.569999999999993</v>
      </c>
      <c r="H18" s="52">
        <v>20.98</v>
      </c>
      <c r="I18" s="53" t="s">
        <v>15</v>
      </c>
      <c r="J18" s="52">
        <v>1.96</v>
      </c>
      <c r="K18" s="52">
        <v>62.16</v>
      </c>
      <c r="L18" s="52">
        <v>26.69</v>
      </c>
      <c r="M18" s="52">
        <v>28.93</v>
      </c>
      <c r="N18" s="52">
        <v>760.1</v>
      </c>
      <c r="O18" s="52">
        <v>0</v>
      </c>
      <c r="P18" s="52">
        <v>0.56000000000000005</v>
      </c>
      <c r="Q18" s="52">
        <v>9.44</v>
      </c>
      <c r="R18" s="43"/>
      <c r="S18" s="43"/>
      <c r="T18" s="43"/>
      <c r="U18" s="43"/>
    </row>
    <row r="19" spans="1:21" s="11" customFormat="1" x14ac:dyDescent="0.25">
      <c r="A19" s="51" t="s">
        <v>598</v>
      </c>
      <c r="B19" s="52">
        <v>11.68</v>
      </c>
      <c r="C19" s="52">
        <v>69.69</v>
      </c>
      <c r="D19" s="52">
        <v>79.27</v>
      </c>
      <c r="E19" s="52">
        <v>7.71</v>
      </c>
      <c r="F19" s="52">
        <v>2.13</v>
      </c>
      <c r="G19" s="52">
        <v>69.180000000000007</v>
      </c>
      <c r="H19" s="52">
        <v>19.190000000000001</v>
      </c>
      <c r="I19" s="53" t="s">
        <v>15</v>
      </c>
      <c r="J19" s="52">
        <v>1.59</v>
      </c>
      <c r="K19" s="52">
        <v>20.420000000000002</v>
      </c>
      <c r="L19" s="52">
        <v>28.87</v>
      </c>
      <c r="M19" s="52">
        <v>23.16</v>
      </c>
      <c r="N19" s="52">
        <v>897.6</v>
      </c>
      <c r="O19" s="52">
        <v>0</v>
      </c>
      <c r="P19" s="52">
        <v>0.54</v>
      </c>
      <c r="Q19" s="52">
        <v>9.42</v>
      </c>
      <c r="R19" s="43"/>
      <c r="S19" s="43"/>
      <c r="T19" s="43"/>
      <c r="U19" s="43"/>
    </row>
    <row r="20" spans="1:21" s="11" customFormat="1" x14ac:dyDescent="0.25">
      <c r="A20" s="51" t="s">
        <v>599</v>
      </c>
      <c r="B20" s="52">
        <v>11.4</v>
      </c>
      <c r="C20" s="52">
        <v>68.22</v>
      </c>
      <c r="D20" s="52">
        <v>77.48</v>
      </c>
      <c r="E20" s="52">
        <v>7.17</v>
      </c>
      <c r="F20" s="52">
        <v>2.13</v>
      </c>
      <c r="G20" s="52">
        <v>65.14</v>
      </c>
      <c r="H20" s="52">
        <v>16.809999999999999</v>
      </c>
      <c r="I20" s="53" t="s">
        <v>15</v>
      </c>
      <c r="J20" s="52">
        <v>1.54</v>
      </c>
      <c r="K20" s="52">
        <v>79.400000000000006</v>
      </c>
      <c r="L20" s="52">
        <v>28.34</v>
      </c>
      <c r="M20" s="52">
        <v>22.94</v>
      </c>
      <c r="N20" s="52">
        <v>920.9</v>
      </c>
      <c r="O20" s="52">
        <v>0</v>
      </c>
      <c r="P20" s="52">
        <v>0.51</v>
      </c>
      <c r="Q20" s="52">
        <v>9.44</v>
      </c>
      <c r="R20" s="43"/>
      <c r="S20" s="43"/>
      <c r="T20" s="43"/>
      <c r="U20" s="43"/>
    </row>
    <row r="21" spans="1:21" s="11" customFormat="1" x14ac:dyDescent="0.25">
      <c r="A21" s="51" t="s">
        <v>600</v>
      </c>
      <c r="B21" s="52">
        <v>11.3</v>
      </c>
      <c r="C21" s="52">
        <v>68.91</v>
      </c>
      <c r="D21" s="52">
        <v>77.63</v>
      </c>
      <c r="E21" s="52">
        <v>6.96</v>
      </c>
      <c r="F21" s="52">
        <v>2.15</v>
      </c>
      <c r="G21" s="52">
        <v>55.79</v>
      </c>
      <c r="H21" s="52">
        <v>12.9</v>
      </c>
      <c r="I21" s="53" t="s">
        <v>15</v>
      </c>
      <c r="J21" s="52">
        <v>1.23</v>
      </c>
      <c r="K21" s="52">
        <v>347.06</v>
      </c>
      <c r="L21" s="52">
        <v>30.25</v>
      </c>
      <c r="M21" s="52">
        <v>21.7</v>
      </c>
      <c r="N21" s="52">
        <v>861.3</v>
      </c>
      <c r="O21" s="52">
        <v>0</v>
      </c>
      <c r="P21" s="52">
        <v>0.5</v>
      </c>
      <c r="Q21" s="52">
        <v>9.43</v>
      </c>
      <c r="R21" s="43"/>
      <c r="S21" s="43"/>
      <c r="T21" s="43"/>
      <c r="U21" s="43"/>
    </row>
    <row r="22" spans="1:21" s="11" customFormat="1" x14ac:dyDescent="0.25">
      <c r="A22" s="51" t="s">
        <v>601</v>
      </c>
      <c r="B22" s="52">
        <v>10.11</v>
      </c>
      <c r="C22" s="52">
        <v>69.7</v>
      </c>
      <c r="D22" s="52">
        <v>77.709999999999994</v>
      </c>
      <c r="E22" s="52">
        <v>7.22</v>
      </c>
      <c r="F22" s="52">
        <v>2.88</v>
      </c>
      <c r="G22" s="52">
        <v>53.35</v>
      </c>
      <c r="H22" s="52">
        <v>14.51</v>
      </c>
      <c r="I22" s="53" t="s">
        <v>15</v>
      </c>
      <c r="J22" s="52">
        <v>2.54</v>
      </c>
      <c r="K22" s="52">
        <v>355.33</v>
      </c>
      <c r="L22" s="52">
        <v>30.7</v>
      </c>
      <c r="M22" s="52">
        <v>20.98</v>
      </c>
      <c r="N22" s="52">
        <v>791.3</v>
      </c>
      <c r="O22" s="52">
        <v>0</v>
      </c>
      <c r="P22" s="52">
        <v>0.5</v>
      </c>
      <c r="Q22" s="52">
        <v>9.44</v>
      </c>
      <c r="R22" s="43"/>
      <c r="S22" s="43"/>
      <c r="T22" s="43"/>
      <c r="U22" s="43"/>
    </row>
    <row r="23" spans="1:21" s="11" customFormat="1" x14ac:dyDescent="0.25">
      <c r="A23" s="51" t="s">
        <v>602</v>
      </c>
      <c r="B23" s="52">
        <v>9.89</v>
      </c>
      <c r="C23" s="52">
        <v>68.25</v>
      </c>
      <c r="D23" s="52">
        <v>76.03</v>
      </c>
      <c r="E23" s="52">
        <v>6.54</v>
      </c>
      <c r="F23" s="52">
        <v>2.13</v>
      </c>
      <c r="G23" s="52">
        <v>51.11</v>
      </c>
      <c r="H23" s="52">
        <v>13.93</v>
      </c>
      <c r="I23" s="53" t="s">
        <v>15</v>
      </c>
      <c r="J23" s="52">
        <v>2.02</v>
      </c>
      <c r="K23" s="52">
        <v>339.19</v>
      </c>
      <c r="L23" s="52">
        <v>31.23</v>
      </c>
      <c r="M23" s="52">
        <v>16.63</v>
      </c>
      <c r="N23" s="52">
        <v>657.5</v>
      </c>
      <c r="O23" s="52">
        <v>0</v>
      </c>
      <c r="P23" s="52">
        <v>0.48</v>
      </c>
      <c r="Q23" s="52">
        <v>9.43</v>
      </c>
      <c r="R23" s="43"/>
      <c r="S23" s="43"/>
      <c r="T23" s="43"/>
      <c r="U23" s="43"/>
    </row>
    <row r="24" spans="1:21" s="11" customFormat="1" x14ac:dyDescent="0.25">
      <c r="A24" s="51" t="s">
        <v>603</v>
      </c>
      <c r="B24" s="52">
        <v>8.3800000000000008</v>
      </c>
      <c r="C24" s="52">
        <v>63.12</v>
      </c>
      <c r="D24" s="52">
        <v>69.400000000000006</v>
      </c>
      <c r="E24" s="52">
        <v>6.26</v>
      </c>
      <c r="F24" s="52">
        <v>2.13</v>
      </c>
      <c r="G24" s="52">
        <v>42.67</v>
      </c>
      <c r="H24" s="52">
        <v>13</v>
      </c>
      <c r="I24" s="53" t="s">
        <v>15</v>
      </c>
      <c r="J24" s="52">
        <v>2.23</v>
      </c>
      <c r="K24" s="52">
        <v>356.43</v>
      </c>
      <c r="L24" s="52">
        <v>30.33</v>
      </c>
      <c r="M24" s="52">
        <v>16.25</v>
      </c>
      <c r="N24" s="52">
        <v>468.5</v>
      </c>
      <c r="O24" s="52">
        <v>0</v>
      </c>
      <c r="P24" s="52">
        <v>0.45</v>
      </c>
      <c r="Q24" s="52">
        <v>9.41</v>
      </c>
      <c r="R24" s="43"/>
      <c r="S24" s="43"/>
      <c r="T24" s="43"/>
      <c r="U24" s="43"/>
    </row>
    <row r="25" spans="1:21" s="11" customFormat="1" x14ac:dyDescent="0.25">
      <c r="A25" s="51" t="s">
        <v>604</v>
      </c>
      <c r="B25" s="52">
        <v>8.5299999999999994</v>
      </c>
      <c r="C25" s="52">
        <v>60.36</v>
      </c>
      <c r="D25" s="52">
        <v>66.25</v>
      </c>
      <c r="E25" s="52">
        <v>6.85</v>
      </c>
      <c r="F25" s="52">
        <v>2.13</v>
      </c>
      <c r="G25" s="52">
        <v>39.21</v>
      </c>
      <c r="H25" s="52">
        <v>19.97</v>
      </c>
      <c r="I25" s="53" t="s">
        <v>15</v>
      </c>
      <c r="J25" s="52">
        <v>1.33</v>
      </c>
      <c r="K25" s="52">
        <v>353.3</v>
      </c>
      <c r="L25" s="52">
        <v>25.79</v>
      </c>
      <c r="M25" s="52">
        <v>21.64</v>
      </c>
      <c r="N25" s="52">
        <v>150.80000000000001</v>
      </c>
      <c r="O25" s="52">
        <v>0</v>
      </c>
      <c r="P25" s="52">
        <v>0.44</v>
      </c>
      <c r="Q25" s="52">
        <v>9.32</v>
      </c>
      <c r="R25" s="43"/>
      <c r="S25" s="43"/>
      <c r="T25" s="43"/>
      <c r="U25" s="43"/>
    </row>
    <row r="26" spans="1:21" s="11" customFormat="1" x14ac:dyDescent="0.25">
      <c r="A26" s="51" t="s">
        <v>605</v>
      </c>
      <c r="B26" s="52">
        <v>12.12</v>
      </c>
      <c r="C26" s="52">
        <v>61.34</v>
      </c>
      <c r="D26" s="52">
        <v>71.36</v>
      </c>
      <c r="E26" s="52">
        <v>6.95</v>
      </c>
      <c r="F26" s="52">
        <v>2.27</v>
      </c>
      <c r="G26" s="52">
        <v>37.630000000000003</v>
      </c>
      <c r="H26" s="52">
        <v>19.05</v>
      </c>
      <c r="I26" s="53" t="s">
        <v>15</v>
      </c>
      <c r="J26" s="52">
        <v>1.34</v>
      </c>
      <c r="K26" s="52">
        <v>357.37</v>
      </c>
      <c r="L26" s="52">
        <v>24.93</v>
      </c>
      <c r="M26" s="52">
        <v>24.25</v>
      </c>
      <c r="N26" s="52">
        <v>108.1</v>
      </c>
      <c r="O26" s="52">
        <v>0</v>
      </c>
      <c r="P26" s="52">
        <v>0.72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606</v>
      </c>
      <c r="B27" s="52">
        <v>15.97</v>
      </c>
      <c r="C27" s="52">
        <v>62.5</v>
      </c>
      <c r="D27" s="52">
        <v>76.38</v>
      </c>
      <c r="E27" s="52">
        <v>7.59</v>
      </c>
      <c r="F27" s="52">
        <v>2.13</v>
      </c>
      <c r="G27" s="52">
        <v>39</v>
      </c>
      <c r="H27" s="52">
        <v>12.38</v>
      </c>
      <c r="I27" s="53" t="s">
        <v>15</v>
      </c>
      <c r="J27" s="52">
        <v>0.62</v>
      </c>
      <c r="K27" s="52">
        <v>60.44</v>
      </c>
      <c r="L27" s="52">
        <v>22.79</v>
      </c>
      <c r="M27" s="52">
        <v>29.45</v>
      </c>
      <c r="N27" s="52">
        <v>71.8</v>
      </c>
      <c r="O27" s="52">
        <v>0</v>
      </c>
      <c r="P27" s="52">
        <v>1.06</v>
      </c>
      <c r="Q27" s="52">
        <v>9.68</v>
      </c>
      <c r="R27" s="43"/>
      <c r="S27" s="43"/>
      <c r="T27" s="43"/>
      <c r="U27" s="43"/>
    </row>
    <row r="28" spans="1:21" s="11" customFormat="1" x14ac:dyDescent="0.25">
      <c r="A28" s="51" t="s">
        <v>607</v>
      </c>
      <c r="B28" s="52">
        <v>20.54</v>
      </c>
      <c r="C28" s="52">
        <v>63.92</v>
      </c>
      <c r="D28" s="52">
        <v>82.36</v>
      </c>
      <c r="E28" s="52">
        <v>8.6999999999999993</v>
      </c>
      <c r="F28" s="52">
        <v>2.13</v>
      </c>
      <c r="G28" s="52">
        <v>44.76</v>
      </c>
      <c r="H28" s="52">
        <v>22.02</v>
      </c>
      <c r="I28" s="53" t="s">
        <v>15</v>
      </c>
      <c r="J28" s="52">
        <v>0.86</v>
      </c>
      <c r="K28" s="52">
        <v>233.17</v>
      </c>
      <c r="L28" s="52">
        <v>21.14</v>
      </c>
      <c r="M28" s="52">
        <v>30.96</v>
      </c>
      <c r="N28" s="52">
        <v>70.599999999999994</v>
      </c>
      <c r="O28" s="52">
        <v>0</v>
      </c>
      <c r="P28" s="52">
        <v>0.86</v>
      </c>
      <c r="Q28" s="52">
        <v>9.76</v>
      </c>
      <c r="R28" s="43"/>
      <c r="S28" s="43"/>
      <c r="T28" s="43"/>
      <c r="U28" s="43"/>
    </row>
    <row r="29" spans="1:21" s="11" customFormat="1" x14ac:dyDescent="0.25">
      <c r="A29" s="51" t="s">
        <v>608</v>
      </c>
      <c r="B29" s="52">
        <v>41.91</v>
      </c>
      <c r="C29" s="52">
        <v>68.42</v>
      </c>
      <c r="D29" s="52">
        <v>108.23</v>
      </c>
      <c r="E29" s="52">
        <v>8.81</v>
      </c>
      <c r="F29" s="52">
        <v>2.13</v>
      </c>
      <c r="G29" s="52">
        <v>53.39</v>
      </c>
      <c r="H29" s="52">
        <v>16.8</v>
      </c>
      <c r="I29" s="53" t="s">
        <v>15</v>
      </c>
      <c r="J29" s="52">
        <v>0.64</v>
      </c>
      <c r="K29" s="52">
        <v>290.85000000000002</v>
      </c>
      <c r="L29" s="52">
        <v>20.37</v>
      </c>
      <c r="M29" s="52">
        <v>39.979999999999997</v>
      </c>
      <c r="N29" s="52">
        <v>71</v>
      </c>
      <c r="O29" s="52">
        <v>0</v>
      </c>
      <c r="P29" s="52">
        <v>1.1000000000000001</v>
      </c>
      <c r="Q29" s="52">
        <v>9.81</v>
      </c>
      <c r="R29" s="43"/>
      <c r="S29" s="43"/>
      <c r="T29" s="43"/>
      <c r="U29" s="43"/>
    </row>
    <row r="30" spans="1:21" s="11" customFormat="1" x14ac:dyDescent="0.25">
      <c r="A30" s="51" t="s">
        <v>609</v>
      </c>
      <c r="B30" s="52">
        <v>75.22</v>
      </c>
      <c r="C30" s="52">
        <v>70.92</v>
      </c>
      <c r="D30" s="52">
        <v>143.99</v>
      </c>
      <c r="E30" s="52">
        <v>9.1199999999999992</v>
      </c>
      <c r="F30" s="52">
        <v>2.13</v>
      </c>
      <c r="G30" s="52">
        <v>147.16</v>
      </c>
      <c r="H30" s="52">
        <v>25.73</v>
      </c>
      <c r="I30" s="53" t="s">
        <v>15</v>
      </c>
      <c r="J30" s="52">
        <v>0.68</v>
      </c>
      <c r="K30" s="52">
        <v>304.31</v>
      </c>
      <c r="L30" s="52">
        <v>18.600000000000001</v>
      </c>
      <c r="M30" s="52">
        <v>50.44</v>
      </c>
      <c r="N30" s="52">
        <v>70.8</v>
      </c>
      <c r="O30" s="52">
        <v>0</v>
      </c>
      <c r="P30" s="52">
        <v>1.6</v>
      </c>
      <c r="Q30" s="52">
        <v>9.9700000000000006</v>
      </c>
      <c r="R30" s="43"/>
      <c r="S30" s="43"/>
      <c r="T30" s="43"/>
      <c r="U30" s="43"/>
    </row>
    <row r="31" spans="1:21" s="11" customFormat="1" x14ac:dyDescent="0.25">
      <c r="A31" s="51" t="s">
        <v>610</v>
      </c>
      <c r="B31" s="52">
        <v>85.33</v>
      </c>
      <c r="C31" s="52">
        <v>70.64</v>
      </c>
      <c r="D31" s="52">
        <v>153.13999999999999</v>
      </c>
      <c r="E31" s="52">
        <v>9.7799999999999994</v>
      </c>
      <c r="F31" s="52">
        <v>2.13</v>
      </c>
      <c r="G31" s="52">
        <v>143.75</v>
      </c>
      <c r="H31" s="52">
        <v>30.14</v>
      </c>
      <c r="I31" s="53" t="s">
        <v>15</v>
      </c>
      <c r="J31" s="52">
        <v>0.59</v>
      </c>
      <c r="K31" s="52">
        <v>267.52</v>
      </c>
      <c r="L31" s="52">
        <v>18.52</v>
      </c>
      <c r="M31" s="52">
        <v>55.13</v>
      </c>
      <c r="N31" s="52">
        <v>71.3</v>
      </c>
      <c r="O31" s="52">
        <v>0</v>
      </c>
      <c r="P31" s="52">
        <v>1.34</v>
      </c>
      <c r="Q31" s="52">
        <v>10.08</v>
      </c>
      <c r="R31" s="43"/>
      <c r="S31" s="43"/>
      <c r="T31" s="43"/>
      <c r="U31" s="43"/>
    </row>
    <row r="32" spans="1:21" s="11" customFormat="1" x14ac:dyDescent="0.25">
      <c r="A32" s="51" t="s">
        <v>611</v>
      </c>
      <c r="B32" s="52">
        <v>96.82</v>
      </c>
      <c r="C32" s="52">
        <v>69.84</v>
      </c>
      <c r="D32" s="52">
        <v>162.31</v>
      </c>
      <c r="E32" s="52">
        <v>10.210000000000001</v>
      </c>
      <c r="F32" s="52">
        <v>2.13</v>
      </c>
      <c r="G32" s="52">
        <v>102.86</v>
      </c>
      <c r="H32" s="52">
        <v>30.48</v>
      </c>
      <c r="I32" s="53" t="s">
        <v>15</v>
      </c>
      <c r="J32" s="52">
        <v>0.52</v>
      </c>
      <c r="K32" s="52">
        <v>326.33999999999997</v>
      </c>
      <c r="L32" s="52">
        <v>17.059999999999999</v>
      </c>
      <c r="M32" s="52">
        <v>57.45</v>
      </c>
      <c r="N32" s="52">
        <v>70.7</v>
      </c>
      <c r="O32" s="52">
        <v>0</v>
      </c>
      <c r="P32" s="52">
        <v>1.25</v>
      </c>
      <c r="Q32" s="52">
        <v>10.19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8.3800000000000008</v>
      </c>
      <c r="C34" s="28">
        <f t="shared" si="0"/>
        <v>59.31</v>
      </c>
      <c r="D34" s="28">
        <f t="shared" si="0"/>
        <v>66.25</v>
      </c>
      <c r="E34" s="28">
        <f t="shared" si="0"/>
        <v>6.26</v>
      </c>
      <c r="F34" s="28">
        <f t="shared" si="0"/>
        <v>2.13</v>
      </c>
      <c r="G34" s="28">
        <f t="shared" si="0"/>
        <v>37.630000000000003</v>
      </c>
      <c r="H34" s="28">
        <f t="shared" si="0"/>
        <v>12.38</v>
      </c>
      <c r="I34" s="28">
        <f t="shared" si="0"/>
        <v>0</v>
      </c>
      <c r="J34" s="28">
        <f t="shared" si="0"/>
        <v>0.52</v>
      </c>
      <c r="K34" s="28">
        <f t="shared" si="0"/>
        <v>20.260000000000002</v>
      </c>
      <c r="L34" s="28">
        <f t="shared" si="0"/>
        <v>15.99</v>
      </c>
      <c r="M34" s="28">
        <f t="shared" si="0"/>
        <v>16.25</v>
      </c>
      <c r="N34" s="28">
        <f t="shared" si="0"/>
        <v>66.5</v>
      </c>
      <c r="O34" s="28">
        <f t="shared" si="0"/>
        <v>0</v>
      </c>
      <c r="P34" s="28">
        <f t="shared" si="0"/>
        <v>0.44</v>
      </c>
      <c r="Q34" s="28">
        <f t="shared" si="0"/>
        <v>9.32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96.82</v>
      </c>
      <c r="C35" s="29">
        <f t="shared" si="1"/>
        <v>70.92</v>
      </c>
      <c r="D35" s="29">
        <f t="shared" si="1"/>
        <v>162.31</v>
      </c>
      <c r="E35" s="29">
        <f t="shared" si="1"/>
        <v>10.210000000000001</v>
      </c>
      <c r="F35" s="29">
        <f t="shared" si="1"/>
        <v>2.88</v>
      </c>
      <c r="G35" s="29">
        <f t="shared" si="1"/>
        <v>147.16</v>
      </c>
      <c r="H35" s="29">
        <f t="shared" si="1"/>
        <v>30.48</v>
      </c>
      <c r="I35" s="29">
        <f t="shared" si="1"/>
        <v>0</v>
      </c>
      <c r="J35" s="29">
        <f t="shared" si="1"/>
        <v>2.54</v>
      </c>
      <c r="K35" s="29">
        <f t="shared" si="1"/>
        <v>357.37</v>
      </c>
      <c r="L35" s="29">
        <f t="shared" si="1"/>
        <v>31.23</v>
      </c>
      <c r="M35" s="29">
        <f t="shared" si="1"/>
        <v>57.45</v>
      </c>
      <c r="N35" s="29">
        <f t="shared" si="1"/>
        <v>920.9</v>
      </c>
      <c r="O35" s="29">
        <f t="shared" si="1"/>
        <v>0</v>
      </c>
      <c r="P35" s="29">
        <f t="shared" si="1"/>
        <v>1.6</v>
      </c>
      <c r="Q35" s="29">
        <f t="shared" si="1"/>
        <v>10.19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24.021666666666665</v>
      </c>
      <c r="C36" s="28">
        <f t="shared" si="2"/>
        <v>65.468333333333348</v>
      </c>
      <c r="D36" s="28">
        <f t="shared" si="2"/>
        <v>87.140833333333319</v>
      </c>
      <c r="E36" s="28">
        <f t="shared" si="2"/>
        <v>7.6170833333333334</v>
      </c>
      <c r="F36" s="28">
        <f t="shared" si="2"/>
        <v>2.1679166666666672</v>
      </c>
      <c r="G36" s="28">
        <f t="shared" si="2"/>
        <v>70.391250000000014</v>
      </c>
      <c r="H36" s="28">
        <f t="shared" si="2"/>
        <v>20.964583333333334</v>
      </c>
      <c r="I36" s="28" t="e">
        <f t="shared" si="2"/>
        <v>#DIV/0!</v>
      </c>
      <c r="J36" s="28">
        <f t="shared" si="2"/>
        <v>1.2454166666666666</v>
      </c>
      <c r="K36" s="28">
        <f t="shared" si="2"/>
        <v>212.05375000000004</v>
      </c>
      <c r="L36" s="28">
        <f t="shared" si="2"/>
        <v>22.504999999999999</v>
      </c>
      <c r="M36" s="28">
        <f t="shared" si="2"/>
        <v>37.066250000000011</v>
      </c>
      <c r="N36" s="28">
        <f t="shared" si="2"/>
        <v>311.15416666666675</v>
      </c>
      <c r="O36" s="28">
        <f t="shared" si="2"/>
        <v>0</v>
      </c>
      <c r="P36" s="28">
        <f t="shared" si="2"/>
        <v>0.75041666666666673</v>
      </c>
      <c r="Q36" s="28">
        <f t="shared" si="2"/>
        <v>9.5537499999999991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25.020988349204242</v>
      </c>
      <c r="C37" s="28">
        <f t="shared" ref="C37:Q37" si="3">STDEV(C9:C32)</f>
        <v>3.9460102763993499</v>
      </c>
      <c r="D37" s="28">
        <f t="shared" si="3"/>
        <v>26.932489014065435</v>
      </c>
      <c r="E37" s="28">
        <f t="shared" si="3"/>
        <v>1.0377629752277884</v>
      </c>
      <c r="F37" s="28">
        <f t="shared" si="3"/>
        <v>0.15435642454106482</v>
      </c>
      <c r="G37" s="28">
        <f t="shared" si="3"/>
        <v>28.648457627881474</v>
      </c>
      <c r="H37" s="28">
        <f t="shared" si="3"/>
        <v>5.5430857668667297</v>
      </c>
      <c r="I37" s="28" t="e">
        <f t="shared" si="3"/>
        <v>#DIV/0!</v>
      </c>
      <c r="J37" s="28">
        <f t="shared" si="3"/>
        <v>0.55284229347009617</v>
      </c>
      <c r="K37" s="28">
        <f t="shared" si="3"/>
        <v>143.18437195547068</v>
      </c>
      <c r="L37" s="28">
        <f t="shared" si="3"/>
        <v>5.3036919052756906</v>
      </c>
      <c r="M37" s="28">
        <f t="shared" si="3"/>
        <v>13.767955489816377</v>
      </c>
      <c r="N37" s="28">
        <f t="shared" si="3"/>
        <v>328.63589337847236</v>
      </c>
      <c r="O37" s="28">
        <f t="shared" si="3"/>
        <v>0</v>
      </c>
      <c r="P37" s="28">
        <f t="shared" si="3"/>
        <v>0.31272267428904588</v>
      </c>
      <c r="Q37" s="28">
        <f t="shared" si="3"/>
        <v>0.23555323408299145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612</v>
      </c>
      <c r="B9" s="52">
        <v>94.66</v>
      </c>
      <c r="C9" s="52">
        <v>66.63</v>
      </c>
      <c r="D9" s="52">
        <v>159.19</v>
      </c>
      <c r="E9" s="52">
        <v>7.41</v>
      </c>
      <c r="F9" s="52">
        <v>2.13</v>
      </c>
      <c r="G9" s="52">
        <v>131.41</v>
      </c>
      <c r="H9" s="52">
        <v>30.56</v>
      </c>
      <c r="I9" s="53" t="s">
        <v>15</v>
      </c>
      <c r="J9" s="52">
        <v>0.89</v>
      </c>
      <c r="K9" s="52">
        <v>358.19</v>
      </c>
      <c r="L9" s="52">
        <v>17.18</v>
      </c>
      <c r="M9" s="52">
        <v>55.11</v>
      </c>
      <c r="N9" s="52">
        <v>71.099999999999994</v>
      </c>
      <c r="O9" s="52">
        <v>0</v>
      </c>
      <c r="P9" s="52">
        <v>1.24</v>
      </c>
      <c r="Q9" s="52">
        <v>10.220000000000001</v>
      </c>
      <c r="R9" s="43"/>
      <c r="S9" s="43"/>
      <c r="T9" s="43"/>
      <c r="U9" s="43"/>
    </row>
    <row r="10" spans="1:21" s="11" customFormat="1" x14ac:dyDescent="0.25">
      <c r="A10" s="51" t="s">
        <v>613</v>
      </c>
      <c r="B10" s="52">
        <v>83.15</v>
      </c>
      <c r="C10" s="52">
        <v>65.22</v>
      </c>
      <c r="D10" s="52">
        <v>146.27000000000001</v>
      </c>
      <c r="E10" s="52">
        <v>6.97</v>
      </c>
      <c r="F10" s="52">
        <v>2.13</v>
      </c>
      <c r="G10" s="52">
        <v>138.58000000000001</v>
      </c>
      <c r="H10" s="52">
        <v>32.97</v>
      </c>
      <c r="I10" s="53" t="s">
        <v>15</v>
      </c>
      <c r="J10" s="52">
        <v>1.24</v>
      </c>
      <c r="K10" s="52">
        <v>27.63</v>
      </c>
      <c r="L10" s="52">
        <v>17</v>
      </c>
      <c r="M10" s="52">
        <v>43.46</v>
      </c>
      <c r="N10" s="52">
        <v>71</v>
      </c>
      <c r="O10" s="52">
        <v>0</v>
      </c>
      <c r="P10" s="52">
        <v>1.1399999999999999</v>
      </c>
      <c r="Q10" s="52">
        <v>10.25</v>
      </c>
      <c r="R10" s="43"/>
      <c r="S10" s="43"/>
      <c r="T10" s="43"/>
      <c r="U10" s="43"/>
    </row>
    <row r="11" spans="1:21" s="11" customFormat="1" x14ac:dyDescent="0.25">
      <c r="A11" s="51" t="s">
        <v>614</v>
      </c>
      <c r="B11" s="52">
        <v>68.5</v>
      </c>
      <c r="C11" s="52">
        <v>62.81</v>
      </c>
      <c r="D11" s="52">
        <v>129.1</v>
      </c>
      <c r="E11" s="52">
        <v>6.34</v>
      </c>
      <c r="F11" s="52">
        <v>2.13</v>
      </c>
      <c r="G11" s="52">
        <v>123.21</v>
      </c>
      <c r="H11" s="52">
        <v>30.22</v>
      </c>
      <c r="I11" s="53" t="s">
        <v>15</v>
      </c>
      <c r="J11" s="52">
        <v>0.74</v>
      </c>
      <c r="K11" s="52">
        <v>33.44</v>
      </c>
      <c r="L11" s="52">
        <v>17.010000000000002</v>
      </c>
      <c r="M11" s="52">
        <v>42.57</v>
      </c>
      <c r="N11" s="52">
        <v>71.2</v>
      </c>
      <c r="O11" s="52">
        <v>0</v>
      </c>
      <c r="P11" s="52">
        <v>0.95</v>
      </c>
      <c r="Q11" s="52">
        <v>10.199999999999999</v>
      </c>
      <c r="R11" s="43"/>
      <c r="S11" s="43"/>
      <c r="T11" s="43"/>
      <c r="U11" s="43"/>
    </row>
    <row r="12" spans="1:21" s="11" customFormat="1" x14ac:dyDescent="0.25">
      <c r="A12" s="51" t="s">
        <v>615</v>
      </c>
      <c r="B12" s="52">
        <v>56.23</v>
      </c>
      <c r="C12" s="52">
        <v>62.15</v>
      </c>
      <c r="D12" s="52">
        <v>116.28</v>
      </c>
      <c r="E12" s="52">
        <v>5.74</v>
      </c>
      <c r="F12" s="52">
        <v>2.13</v>
      </c>
      <c r="G12" s="52">
        <v>62.54</v>
      </c>
      <c r="H12" s="52">
        <v>31.23</v>
      </c>
      <c r="I12" s="53" t="s">
        <v>15</v>
      </c>
      <c r="J12" s="52">
        <v>1.47</v>
      </c>
      <c r="K12" s="52">
        <v>97.59</v>
      </c>
      <c r="L12" s="52">
        <v>16.920000000000002</v>
      </c>
      <c r="M12" s="52">
        <v>42.38</v>
      </c>
      <c r="N12" s="52">
        <v>70.5</v>
      </c>
      <c r="O12" s="52">
        <v>0</v>
      </c>
      <c r="P12" s="52">
        <v>0.88</v>
      </c>
      <c r="Q12" s="52">
        <v>10.119999999999999</v>
      </c>
      <c r="R12" s="43"/>
      <c r="S12" s="43"/>
      <c r="T12" s="43"/>
      <c r="U12" s="43"/>
    </row>
    <row r="13" spans="1:21" s="11" customFormat="1" x14ac:dyDescent="0.25">
      <c r="A13" s="51" t="s">
        <v>616</v>
      </c>
      <c r="B13" s="52">
        <v>47.13</v>
      </c>
      <c r="C13" s="52">
        <v>60.73</v>
      </c>
      <c r="D13" s="52">
        <v>105.76</v>
      </c>
      <c r="E13" s="52">
        <v>5.4</v>
      </c>
      <c r="F13" s="52">
        <v>2.13</v>
      </c>
      <c r="G13" s="52">
        <v>37.18</v>
      </c>
      <c r="H13" s="52">
        <v>22.74</v>
      </c>
      <c r="I13" s="53" t="s">
        <v>15</v>
      </c>
      <c r="J13" s="52">
        <v>1.23</v>
      </c>
      <c r="K13" s="52">
        <v>93.84</v>
      </c>
      <c r="L13" s="52">
        <v>16.91</v>
      </c>
      <c r="M13" s="52">
        <v>42.87</v>
      </c>
      <c r="N13" s="52">
        <v>71.5</v>
      </c>
      <c r="O13" s="52">
        <v>0</v>
      </c>
      <c r="P13" s="52">
        <v>0.86</v>
      </c>
      <c r="Q13" s="52">
        <v>10.11</v>
      </c>
      <c r="R13" s="43"/>
      <c r="S13" s="43"/>
      <c r="T13" s="43"/>
      <c r="U13" s="43"/>
    </row>
    <row r="14" spans="1:21" s="11" customFormat="1" x14ac:dyDescent="0.25">
      <c r="A14" s="51" t="s">
        <v>617</v>
      </c>
      <c r="B14" s="52">
        <v>38.24</v>
      </c>
      <c r="C14" s="52">
        <v>60.59</v>
      </c>
      <c r="D14" s="52">
        <v>96.29</v>
      </c>
      <c r="E14" s="52">
        <v>4.7699999999999996</v>
      </c>
      <c r="F14" s="52">
        <v>2.13</v>
      </c>
      <c r="G14" s="52">
        <v>41.54</v>
      </c>
      <c r="H14" s="52">
        <v>28.88</v>
      </c>
      <c r="I14" s="53" t="s">
        <v>15</v>
      </c>
      <c r="J14" s="52">
        <v>1.43</v>
      </c>
      <c r="K14" s="52">
        <v>345.19</v>
      </c>
      <c r="L14" s="52">
        <v>15.77</v>
      </c>
      <c r="M14" s="52">
        <v>48.52</v>
      </c>
      <c r="N14" s="52">
        <v>71.2</v>
      </c>
      <c r="O14" s="52">
        <v>0</v>
      </c>
      <c r="P14" s="52">
        <v>0.72</v>
      </c>
      <c r="Q14" s="52">
        <v>10.119999999999999</v>
      </c>
      <c r="R14" s="43"/>
      <c r="S14" s="43"/>
      <c r="T14" s="43"/>
      <c r="U14" s="43"/>
    </row>
    <row r="15" spans="1:21" s="11" customFormat="1" x14ac:dyDescent="0.25">
      <c r="A15" s="51" t="s">
        <v>618</v>
      </c>
      <c r="B15" s="52">
        <v>32.35</v>
      </c>
      <c r="C15" s="52">
        <v>61.11</v>
      </c>
      <c r="D15" s="52">
        <v>91.04</v>
      </c>
      <c r="E15" s="52">
        <v>4.6900000000000004</v>
      </c>
      <c r="F15" s="52">
        <v>2.13</v>
      </c>
      <c r="G15" s="52">
        <v>59.84</v>
      </c>
      <c r="H15" s="52">
        <v>16.739999999999998</v>
      </c>
      <c r="I15" s="53" t="s">
        <v>15</v>
      </c>
      <c r="J15" s="52">
        <v>1.51</v>
      </c>
      <c r="K15" s="52">
        <v>35.020000000000003</v>
      </c>
      <c r="L15" s="52">
        <v>14.99</v>
      </c>
      <c r="M15" s="52">
        <v>51.22</v>
      </c>
      <c r="N15" s="52">
        <v>105.5</v>
      </c>
      <c r="O15" s="52">
        <v>0</v>
      </c>
      <c r="P15" s="52">
        <v>0.68</v>
      </c>
      <c r="Q15" s="52">
        <v>10.07</v>
      </c>
      <c r="R15" s="43"/>
      <c r="S15" s="43"/>
      <c r="T15" s="43"/>
      <c r="U15" s="43"/>
    </row>
    <row r="16" spans="1:21" s="11" customFormat="1" x14ac:dyDescent="0.25">
      <c r="A16" s="51" t="s">
        <v>619</v>
      </c>
      <c r="B16" s="52">
        <v>32.81</v>
      </c>
      <c r="C16" s="52">
        <v>62.16</v>
      </c>
      <c r="D16" s="52">
        <v>92.87</v>
      </c>
      <c r="E16" s="52">
        <v>6.12</v>
      </c>
      <c r="F16" s="52">
        <v>2.13</v>
      </c>
      <c r="G16" s="52">
        <v>80.61</v>
      </c>
      <c r="H16" s="52">
        <v>23.4</v>
      </c>
      <c r="I16" s="53" t="s">
        <v>15</v>
      </c>
      <c r="J16" s="52">
        <v>1.59</v>
      </c>
      <c r="K16" s="52">
        <v>90.52</v>
      </c>
      <c r="L16" s="52">
        <v>18.52</v>
      </c>
      <c r="M16" s="52">
        <v>49.68</v>
      </c>
      <c r="N16" s="52">
        <v>356.6</v>
      </c>
      <c r="O16" s="52">
        <v>0</v>
      </c>
      <c r="P16" s="52">
        <v>0.74</v>
      </c>
      <c r="Q16" s="52">
        <v>10.02</v>
      </c>
      <c r="R16" s="43"/>
      <c r="S16" s="43"/>
      <c r="T16" s="43"/>
      <c r="U16" s="43"/>
    </row>
    <row r="17" spans="1:21" s="11" customFormat="1" x14ac:dyDescent="0.25">
      <c r="A17" s="51" t="s">
        <v>620</v>
      </c>
      <c r="B17" s="52">
        <v>31.59</v>
      </c>
      <c r="C17" s="52">
        <v>61.13</v>
      </c>
      <c r="D17" s="52">
        <v>90.62</v>
      </c>
      <c r="E17" s="52">
        <v>7.48</v>
      </c>
      <c r="F17" s="52">
        <v>2.13</v>
      </c>
      <c r="G17" s="52">
        <v>85.34</v>
      </c>
      <c r="H17" s="52">
        <v>29.36</v>
      </c>
      <c r="I17" s="53" t="s">
        <v>15</v>
      </c>
      <c r="J17" s="52">
        <v>1.74</v>
      </c>
      <c r="K17" s="52">
        <v>100.26</v>
      </c>
      <c r="L17" s="52">
        <v>22.02</v>
      </c>
      <c r="M17" s="52">
        <v>41.04</v>
      </c>
      <c r="N17" s="52">
        <v>566.20000000000005</v>
      </c>
      <c r="O17" s="52">
        <v>0</v>
      </c>
      <c r="P17" s="52">
        <v>0.69</v>
      </c>
      <c r="Q17" s="52">
        <v>10.02</v>
      </c>
      <c r="R17" s="43"/>
      <c r="S17" s="43"/>
      <c r="T17" s="43"/>
      <c r="U17" s="43"/>
    </row>
    <row r="18" spans="1:21" s="11" customFormat="1" x14ac:dyDescent="0.25">
      <c r="A18" s="51" t="s">
        <v>621</v>
      </c>
      <c r="B18" s="52">
        <v>26.14</v>
      </c>
      <c r="C18" s="52">
        <v>63.97</v>
      </c>
      <c r="D18" s="52">
        <v>85.71</v>
      </c>
      <c r="E18" s="52">
        <v>7.46</v>
      </c>
      <c r="F18" s="52">
        <v>2.13</v>
      </c>
      <c r="G18" s="52">
        <v>77.290000000000006</v>
      </c>
      <c r="H18" s="52">
        <v>30.42</v>
      </c>
      <c r="I18" s="53" t="s">
        <v>15</v>
      </c>
      <c r="J18" s="52">
        <v>1.89</v>
      </c>
      <c r="K18" s="52">
        <v>102.72</v>
      </c>
      <c r="L18" s="52">
        <v>25.3</v>
      </c>
      <c r="M18" s="52">
        <v>35.71</v>
      </c>
      <c r="N18" s="52">
        <v>739.4</v>
      </c>
      <c r="O18" s="52">
        <v>0</v>
      </c>
      <c r="P18" s="52">
        <v>0.68</v>
      </c>
      <c r="Q18" s="52">
        <v>10.029999999999999</v>
      </c>
      <c r="R18" s="43"/>
      <c r="S18" s="43"/>
      <c r="T18" s="43"/>
      <c r="U18" s="43"/>
    </row>
    <row r="19" spans="1:21" s="11" customFormat="1" x14ac:dyDescent="0.25">
      <c r="A19" s="51" t="s">
        <v>622</v>
      </c>
      <c r="B19" s="52">
        <v>21.37</v>
      </c>
      <c r="C19" s="52">
        <v>70.86</v>
      </c>
      <c r="D19" s="52">
        <v>83.88</v>
      </c>
      <c r="E19" s="52">
        <v>11.07</v>
      </c>
      <c r="F19" s="52">
        <v>2.13</v>
      </c>
      <c r="G19" s="52">
        <v>54.06</v>
      </c>
      <c r="H19" s="52">
        <v>22.95</v>
      </c>
      <c r="I19" s="53" t="s">
        <v>15</v>
      </c>
      <c r="J19" s="52">
        <v>2.4300000000000002</v>
      </c>
      <c r="K19" s="52">
        <v>102.47</v>
      </c>
      <c r="L19" s="52">
        <v>25.74</v>
      </c>
      <c r="M19" s="52">
        <v>28.8</v>
      </c>
      <c r="N19" s="52">
        <v>870.2</v>
      </c>
      <c r="O19" s="52">
        <v>0</v>
      </c>
      <c r="P19" s="52">
        <v>0.63</v>
      </c>
      <c r="Q19" s="52">
        <v>10.039999999999999</v>
      </c>
      <c r="R19" s="43"/>
      <c r="S19" s="43"/>
      <c r="T19" s="43"/>
      <c r="U19" s="43"/>
    </row>
    <row r="20" spans="1:21" s="11" customFormat="1" x14ac:dyDescent="0.25">
      <c r="A20" s="51" t="s">
        <v>623</v>
      </c>
      <c r="B20" s="52">
        <v>7.85</v>
      </c>
      <c r="C20" s="52">
        <v>70.45</v>
      </c>
      <c r="D20" s="52">
        <v>76.2</v>
      </c>
      <c r="E20" s="52">
        <v>9.17</v>
      </c>
      <c r="F20" s="52">
        <v>6.06</v>
      </c>
      <c r="G20" s="52">
        <v>30.4</v>
      </c>
      <c r="H20" s="52">
        <v>16.23</v>
      </c>
      <c r="I20" s="53" t="s">
        <v>15</v>
      </c>
      <c r="J20" s="52">
        <v>2.2799999999999998</v>
      </c>
      <c r="K20" s="52">
        <v>105.51</v>
      </c>
      <c r="L20" s="52">
        <v>25.97</v>
      </c>
      <c r="M20" s="52">
        <v>28.33</v>
      </c>
      <c r="N20" s="52">
        <v>885.5</v>
      </c>
      <c r="O20" s="52">
        <v>0</v>
      </c>
      <c r="P20" s="52">
        <v>0.47</v>
      </c>
      <c r="Q20" s="52">
        <v>9.94</v>
      </c>
      <c r="R20" s="43"/>
      <c r="S20" s="43"/>
      <c r="T20" s="43"/>
      <c r="U20" s="43"/>
    </row>
    <row r="21" spans="1:21" s="11" customFormat="1" x14ac:dyDescent="0.25">
      <c r="A21" s="51" t="s">
        <v>624</v>
      </c>
      <c r="B21" s="52">
        <v>4.78</v>
      </c>
      <c r="C21" s="52">
        <v>61.09</v>
      </c>
      <c r="D21" s="52">
        <v>63.32</v>
      </c>
      <c r="E21" s="52">
        <v>9.9499999999999993</v>
      </c>
      <c r="F21" s="52">
        <v>9.64</v>
      </c>
      <c r="G21" s="52">
        <v>66.430000000000007</v>
      </c>
      <c r="H21" s="52">
        <v>16.84</v>
      </c>
      <c r="I21" s="53" t="s">
        <v>15</v>
      </c>
      <c r="J21" s="52">
        <v>1.6</v>
      </c>
      <c r="K21" s="52">
        <v>333.43</v>
      </c>
      <c r="L21" s="52">
        <v>29.24</v>
      </c>
      <c r="M21" s="52">
        <v>25.06</v>
      </c>
      <c r="N21" s="52">
        <v>839.9</v>
      </c>
      <c r="O21" s="52">
        <v>0</v>
      </c>
      <c r="P21" s="52">
        <v>0.38</v>
      </c>
      <c r="Q21" s="52">
        <v>9.89</v>
      </c>
      <c r="R21" s="43"/>
      <c r="S21" s="43"/>
      <c r="T21" s="43"/>
      <c r="U21" s="43"/>
    </row>
    <row r="22" spans="1:21" s="11" customFormat="1" x14ac:dyDescent="0.25">
      <c r="A22" s="51" t="s">
        <v>625</v>
      </c>
      <c r="B22" s="52">
        <v>5.0199999999999996</v>
      </c>
      <c r="C22" s="52">
        <v>68.430000000000007</v>
      </c>
      <c r="D22" s="52">
        <v>70.849999999999994</v>
      </c>
      <c r="E22" s="52">
        <v>10.1</v>
      </c>
      <c r="F22" s="52">
        <v>7.32</v>
      </c>
      <c r="G22" s="52">
        <v>49.39</v>
      </c>
      <c r="H22" s="52">
        <v>19.46</v>
      </c>
      <c r="I22" s="53" t="s">
        <v>15</v>
      </c>
      <c r="J22" s="52">
        <v>1.73</v>
      </c>
      <c r="K22" s="52">
        <v>353.07</v>
      </c>
      <c r="L22" s="52">
        <v>31.42</v>
      </c>
      <c r="M22" s="52">
        <v>18.8</v>
      </c>
      <c r="N22" s="52">
        <v>802.9</v>
      </c>
      <c r="O22" s="52">
        <v>0</v>
      </c>
      <c r="P22" s="52">
        <v>0.41</v>
      </c>
      <c r="Q22" s="52">
        <v>9.8699999999999992</v>
      </c>
      <c r="R22" s="43"/>
      <c r="S22" s="43"/>
      <c r="T22" s="43"/>
      <c r="U22" s="43"/>
    </row>
    <row r="23" spans="1:21" s="11" customFormat="1" x14ac:dyDescent="0.25">
      <c r="A23" s="51" t="s">
        <v>626</v>
      </c>
      <c r="B23" s="52">
        <v>4.5199999999999996</v>
      </c>
      <c r="C23" s="52">
        <v>65</v>
      </c>
      <c r="D23" s="52">
        <v>67.42</v>
      </c>
      <c r="E23" s="52">
        <v>9.14</v>
      </c>
      <c r="F23" s="52">
        <v>7.72</v>
      </c>
      <c r="G23" s="52">
        <v>42.64</v>
      </c>
      <c r="H23" s="52">
        <v>16.670000000000002</v>
      </c>
      <c r="I23" s="53" t="s">
        <v>15</v>
      </c>
      <c r="J23" s="52">
        <v>1.63</v>
      </c>
      <c r="K23" s="52">
        <v>333.62</v>
      </c>
      <c r="L23" s="52">
        <v>30.95</v>
      </c>
      <c r="M23" s="52">
        <v>20.87</v>
      </c>
      <c r="N23" s="52">
        <v>611.4</v>
      </c>
      <c r="O23" s="52">
        <v>0</v>
      </c>
      <c r="P23" s="52">
        <v>0.41</v>
      </c>
      <c r="Q23" s="52">
        <v>9.8699999999999992</v>
      </c>
      <c r="R23" s="43"/>
      <c r="S23" s="43"/>
      <c r="T23" s="43"/>
      <c r="U23" s="43"/>
    </row>
    <row r="24" spans="1:21" s="11" customFormat="1" x14ac:dyDescent="0.25">
      <c r="A24" s="51" t="s">
        <v>627</v>
      </c>
      <c r="B24" s="52">
        <v>4.3</v>
      </c>
      <c r="C24" s="52">
        <v>62.95</v>
      </c>
      <c r="D24" s="52">
        <v>65.09</v>
      </c>
      <c r="E24" s="52">
        <v>8.8000000000000007</v>
      </c>
      <c r="F24" s="52">
        <v>10.19</v>
      </c>
      <c r="G24" s="52">
        <v>33.9</v>
      </c>
      <c r="H24" s="52">
        <v>11.1</v>
      </c>
      <c r="I24" s="53" t="s">
        <v>15</v>
      </c>
      <c r="J24" s="52">
        <v>0.97</v>
      </c>
      <c r="K24" s="52">
        <v>357.4</v>
      </c>
      <c r="L24" s="52">
        <v>29.42</v>
      </c>
      <c r="M24" s="52">
        <v>20.350000000000001</v>
      </c>
      <c r="N24" s="52">
        <v>425.5</v>
      </c>
      <c r="O24" s="52">
        <v>0</v>
      </c>
      <c r="P24" s="52">
        <v>0.4</v>
      </c>
      <c r="Q24" s="52">
        <v>9.81</v>
      </c>
      <c r="R24" s="43"/>
      <c r="S24" s="43"/>
      <c r="T24" s="43"/>
      <c r="U24" s="43"/>
    </row>
    <row r="25" spans="1:21" s="11" customFormat="1" x14ac:dyDescent="0.25">
      <c r="A25" s="51" t="s">
        <v>628</v>
      </c>
      <c r="B25" s="52">
        <v>5.4</v>
      </c>
      <c r="C25" s="52">
        <v>64.900000000000006</v>
      </c>
      <c r="D25" s="52">
        <v>68.2</v>
      </c>
      <c r="E25" s="52">
        <v>9.27</v>
      </c>
      <c r="F25" s="52">
        <v>16.309999999999999</v>
      </c>
      <c r="G25" s="52">
        <v>39.42</v>
      </c>
      <c r="H25" s="52">
        <v>15.81</v>
      </c>
      <c r="I25" s="53" t="s">
        <v>15</v>
      </c>
      <c r="J25" s="52">
        <v>1.74</v>
      </c>
      <c r="K25" s="52">
        <v>30.95</v>
      </c>
      <c r="L25" s="52">
        <v>27.28</v>
      </c>
      <c r="M25" s="52">
        <v>24.45</v>
      </c>
      <c r="N25" s="52">
        <v>167.3</v>
      </c>
      <c r="O25" s="52">
        <v>0</v>
      </c>
      <c r="P25" s="52">
        <v>0.56000000000000005</v>
      </c>
      <c r="Q25" s="52">
        <v>9.77</v>
      </c>
      <c r="R25" s="43"/>
      <c r="S25" s="43"/>
      <c r="T25" s="43"/>
      <c r="U25" s="43"/>
    </row>
    <row r="26" spans="1:21" s="11" customFormat="1" x14ac:dyDescent="0.25">
      <c r="A26" s="51" t="s">
        <v>629</v>
      </c>
      <c r="B26" s="52">
        <v>7.03</v>
      </c>
      <c r="C26" s="52">
        <v>76.150000000000006</v>
      </c>
      <c r="D26" s="52">
        <v>81.08</v>
      </c>
      <c r="E26" s="52">
        <v>9.4</v>
      </c>
      <c r="F26" s="52">
        <v>3</v>
      </c>
      <c r="G26" s="52">
        <v>52.38</v>
      </c>
      <c r="H26" s="52">
        <v>21.63</v>
      </c>
      <c r="I26" s="53" t="s">
        <v>15</v>
      </c>
      <c r="J26" s="52">
        <v>2.11</v>
      </c>
      <c r="K26" s="52">
        <v>359.36</v>
      </c>
      <c r="L26" s="52">
        <v>25.62</v>
      </c>
      <c r="M26" s="52">
        <v>26.33</v>
      </c>
      <c r="N26" s="52">
        <v>112.5</v>
      </c>
      <c r="O26" s="52">
        <v>0</v>
      </c>
      <c r="P26" s="52">
        <v>0.56000000000000005</v>
      </c>
      <c r="Q26" s="52">
        <v>9.85</v>
      </c>
      <c r="R26" s="43"/>
      <c r="S26" s="43"/>
      <c r="T26" s="43"/>
      <c r="U26" s="43"/>
    </row>
    <row r="27" spans="1:21" s="11" customFormat="1" x14ac:dyDescent="0.25">
      <c r="A27" s="51" t="s">
        <v>630</v>
      </c>
      <c r="B27" s="52">
        <v>11.32</v>
      </c>
      <c r="C27" s="52">
        <v>76.45</v>
      </c>
      <c r="D27" s="52">
        <v>85.66</v>
      </c>
      <c r="E27" s="52">
        <v>7.57</v>
      </c>
      <c r="F27" s="52">
        <v>2.13</v>
      </c>
      <c r="G27" s="52">
        <v>67.19</v>
      </c>
      <c r="H27" s="52">
        <v>18.399999999999999</v>
      </c>
      <c r="I27" s="53" t="s">
        <v>15</v>
      </c>
      <c r="J27" s="52">
        <v>1.8</v>
      </c>
      <c r="K27" s="52">
        <v>359.44</v>
      </c>
      <c r="L27" s="52">
        <v>23.64</v>
      </c>
      <c r="M27" s="52">
        <v>29.62</v>
      </c>
      <c r="N27" s="52">
        <v>72.400000000000006</v>
      </c>
      <c r="O27" s="52">
        <v>0</v>
      </c>
      <c r="P27" s="52">
        <v>0.75</v>
      </c>
      <c r="Q27" s="52">
        <v>9.85</v>
      </c>
      <c r="R27" s="43"/>
      <c r="S27" s="43"/>
      <c r="T27" s="43"/>
      <c r="U27" s="43"/>
    </row>
    <row r="28" spans="1:21" s="11" customFormat="1" x14ac:dyDescent="0.25">
      <c r="A28" s="51" t="s">
        <v>631</v>
      </c>
      <c r="B28" s="52">
        <v>18.21</v>
      </c>
      <c r="C28" s="52">
        <v>76.75</v>
      </c>
      <c r="D28" s="52">
        <v>92.77</v>
      </c>
      <c r="E28" s="52">
        <v>6.8</v>
      </c>
      <c r="F28" s="52">
        <v>2.19</v>
      </c>
      <c r="G28" s="52">
        <v>79.31</v>
      </c>
      <c r="H28" s="52">
        <v>20.260000000000002</v>
      </c>
      <c r="I28" s="53" t="s">
        <v>15</v>
      </c>
      <c r="J28" s="52">
        <v>1.51</v>
      </c>
      <c r="K28" s="52">
        <v>358.47</v>
      </c>
      <c r="L28" s="52">
        <v>22.27</v>
      </c>
      <c r="M28" s="52">
        <v>32.6</v>
      </c>
      <c r="N28" s="52">
        <v>71.5</v>
      </c>
      <c r="O28" s="52">
        <v>0</v>
      </c>
      <c r="P28" s="52">
        <v>1.38</v>
      </c>
      <c r="Q28" s="52">
        <v>9.82</v>
      </c>
      <c r="R28" s="43"/>
      <c r="S28" s="43"/>
      <c r="T28" s="43"/>
      <c r="U28" s="43"/>
    </row>
    <row r="29" spans="1:21" s="11" customFormat="1" x14ac:dyDescent="0.25">
      <c r="A29" s="51" t="s">
        <v>632</v>
      </c>
      <c r="B29" s="52">
        <v>29.09</v>
      </c>
      <c r="C29" s="52">
        <v>77.31</v>
      </c>
      <c r="D29" s="52">
        <v>104.01</v>
      </c>
      <c r="E29" s="52">
        <v>8.06</v>
      </c>
      <c r="F29" s="52">
        <v>2.13</v>
      </c>
      <c r="G29" s="52">
        <v>92.19</v>
      </c>
      <c r="H29" s="52">
        <v>16.77</v>
      </c>
      <c r="I29" s="53" t="s">
        <v>15</v>
      </c>
      <c r="J29" s="52">
        <v>0.7</v>
      </c>
      <c r="K29" s="52">
        <v>67.64</v>
      </c>
      <c r="L29" s="52">
        <v>20.96</v>
      </c>
      <c r="M29" s="52">
        <v>39.72</v>
      </c>
      <c r="N29" s="52">
        <v>71.8</v>
      </c>
      <c r="O29" s="52">
        <v>0</v>
      </c>
      <c r="P29" s="52">
        <v>1.75</v>
      </c>
      <c r="Q29" s="52">
        <v>9.7799999999999994</v>
      </c>
      <c r="R29" s="43"/>
      <c r="S29" s="43"/>
      <c r="T29" s="43"/>
      <c r="U29" s="43"/>
    </row>
    <row r="30" spans="1:21" s="11" customFormat="1" x14ac:dyDescent="0.25">
      <c r="A30" s="51" t="s">
        <v>633</v>
      </c>
      <c r="B30" s="52">
        <v>48.23</v>
      </c>
      <c r="C30" s="52">
        <v>77.39</v>
      </c>
      <c r="D30" s="52">
        <v>123.02</v>
      </c>
      <c r="E30" s="52">
        <v>8.5</v>
      </c>
      <c r="F30" s="52">
        <v>2.13</v>
      </c>
      <c r="G30" s="52">
        <v>124.54</v>
      </c>
      <c r="H30" s="52">
        <v>10.94</v>
      </c>
      <c r="I30" s="53" t="s">
        <v>15</v>
      </c>
      <c r="J30" s="52">
        <v>0.65</v>
      </c>
      <c r="K30" s="52">
        <v>356.31</v>
      </c>
      <c r="L30" s="52">
        <v>19.53</v>
      </c>
      <c r="M30" s="52">
        <v>46.81</v>
      </c>
      <c r="N30" s="52">
        <v>71.599999999999994</v>
      </c>
      <c r="O30" s="52">
        <v>0</v>
      </c>
      <c r="P30" s="52">
        <v>2.0299999999999998</v>
      </c>
      <c r="Q30" s="52">
        <v>9.82</v>
      </c>
      <c r="R30" s="43"/>
      <c r="S30" s="43"/>
      <c r="T30" s="43"/>
      <c r="U30" s="43"/>
    </row>
    <row r="31" spans="1:21" s="11" customFormat="1" x14ac:dyDescent="0.25">
      <c r="A31" s="51" t="s">
        <v>634</v>
      </c>
      <c r="B31" s="52">
        <v>74.2</v>
      </c>
      <c r="C31" s="52">
        <v>80.34</v>
      </c>
      <c r="D31" s="52">
        <v>152.44</v>
      </c>
      <c r="E31" s="52">
        <v>9.5500000000000007</v>
      </c>
      <c r="F31" s="52">
        <v>2.13</v>
      </c>
      <c r="G31" s="52">
        <v>147.18</v>
      </c>
      <c r="H31" s="52">
        <v>83.82</v>
      </c>
      <c r="I31" s="53" t="s">
        <v>15</v>
      </c>
      <c r="J31" s="52">
        <v>0.65</v>
      </c>
      <c r="K31" s="52">
        <v>323.12</v>
      </c>
      <c r="L31" s="52">
        <v>18.3</v>
      </c>
      <c r="M31" s="52">
        <v>50.14</v>
      </c>
      <c r="N31" s="52">
        <v>71.5</v>
      </c>
      <c r="O31" s="52">
        <v>0</v>
      </c>
      <c r="P31" s="52">
        <v>1.75</v>
      </c>
      <c r="Q31" s="52">
        <v>9.89</v>
      </c>
      <c r="R31" s="43"/>
      <c r="S31" s="43"/>
      <c r="T31" s="43"/>
      <c r="U31" s="43"/>
    </row>
    <row r="32" spans="1:21" s="11" customFormat="1" x14ac:dyDescent="0.25">
      <c r="A32" s="51" t="s">
        <v>635</v>
      </c>
      <c r="B32" s="52">
        <v>80.930000000000007</v>
      </c>
      <c r="C32" s="52">
        <v>81.08</v>
      </c>
      <c r="D32" s="52">
        <v>159.91</v>
      </c>
      <c r="E32" s="52">
        <v>9.59</v>
      </c>
      <c r="F32" s="52">
        <v>2.13</v>
      </c>
      <c r="G32" s="52">
        <v>150.54</v>
      </c>
      <c r="H32" s="52">
        <v>74.87</v>
      </c>
      <c r="I32" s="53" t="s">
        <v>15</v>
      </c>
      <c r="J32" s="52">
        <v>0.77</v>
      </c>
      <c r="K32" s="52">
        <v>93.72</v>
      </c>
      <c r="L32" s="52">
        <v>19.03</v>
      </c>
      <c r="M32" s="52">
        <v>48.15</v>
      </c>
      <c r="N32" s="52">
        <v>72</v>
      </c>
      <c r="O32" s="52">
        <v>0</v>
      </c>
      <c r="P32" s="52">
        <v>1.75</v>
      </c>
      <c r="Q32" s="52">
        <v>10.039999999999999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</v>
      </c>
      <c r="C34" s="28">
        <f t="shared" si="0"/>
        <v>60.59</v>
      </c>
      <c r="D34" s="28">
        <f t="shared" si="0"/>
        <v>63.32</v>
      </c>
      <c r="E34" s="28">
        <f t="shared" si="0"/>
        <v>4.6900000000000004</v>
      </c>
      <c r="F34" s="28">
        <f t="shared" si="0"/>
        <v>2.13</v>
      </c>
      <c r="G34" s="28">
        <f t="shared" si="0"/>
        <v>30.4</v>
      </c>
      <c r="H34" s="28">
        <f t="shared" si="0"/>
        <v>10.94</v>
      </c>
      <c r="I34" s="28">
        <f t="shared" si="0"/>
        <v>0</v>
      </c>
      <c r="J34" s="28">
        <f t="shared" si="0"/>
        <v>0.65</v>
      </c>
      <c r="K34" s="28">
        <f t="shared" si="0"/>
        <v>27.63</v>
      </c>
      <c r="L34" s="28">
        <f t="shared" si="0"/>
        <v>14.99</v>
      </c>
      <c r="M34" s="28">
        <f t="shared" si="0"/>
        <v>18.8</v>
      </c>
      <c r="N34" s="28">
        <f t="shared" si="0"/>
        <v>70.5</v>
      </c>
      <c r="O34" s="28">
        <f t="shared" si="0"/>
        <v>0</v>
      </c>
      <c r="P34" s="28">
        <f t="shared" si="0"/>
        <v>0.38</v>
      </c>
      <c r="Q34" s="28">
        <f t="shared" si="0"/>
        <v>9.77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94.66</v>
      </c>
      <c r="C35" s="29">
        <f t="shared" si="1"/>
        <v>81.08</v>
      </c>
      <c r="D35" s="29">
        <f t="shared" si="1"/>
        <v>159.91</v>
      </c>
      <c r="E35" s="29">
        <f t="shared" si="1"/>
        <v>11.07</v>
      </c>
      <c r="F35" s="29">
        <f t="shared" si="1"/>
        <v>16.309999999999999</v>
      </c>
      <c r="G35" s="29">
        <f t="shared" si="1"/>
        <v>150.54</v>
      </c>
      <c r="H35" s="29">
        <f t="shared" si="1"/>
        <v>83.82</v>
      </c>
      <c r="I35" s="29">
        <f t="shared" si="1"/>
        <v>0</v>
      </c>
      <c r="J35" s="29">
        <f t="shared" si="1"/>
        <v>2.4300000000000002</v>
      </c>
      <c r="K35" s="29">
        <f t="shared" si="1"/>
        <v>359.44</v>
      </c>
      <c r="L35" s="29">
        <f t="shared" si="1"/>
        <v>31.42</v>
      </c>
      <c r="M35" s="29">
        <f t="shared" si="1"/>
        <v>55.11</v>
      </c>
      <c r="N35" s="29">
        <f t="shared" si="1"/>
        <v>885.5</v>
      </c>
      <c r="O35" s="29">
        <f t="shared" si="1"/>
        <v>0</v>
      </c>
      <c r="P35" s="29">
        <f t="shared" si="1"/>
        <v>2.0299999999999998</v>
      </c>
      <c r="Q35" s="29">
        <f t="shared" si="1"/>
        <v>10.25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34.710416666666667</v>
      </c>
      <c r="C36" s="28">
        <f t="shared" si="2"/>
        <v>68.152083333333351</v>
      </c>
      <c r="D36" s="28">
        <f t="shared" si="2"/>
        <v>100.29083333333334</v>
      </c>
      <c r="E36" s="28">
        <f t="shared" si="2"/>
        <v>7.8895833333333343</v>
      </c>
      <c r="F36" s="28">
        <f t="shared" si="2"/>
        <v>4.0212499999999993</v>
      </c>
      <c r="G36" s="28">
        <f t="shared" si="2"/>
        <v>77.796250000000029</v>
      </c>
      <c r="H36" s="28">
        <f t="shared" si="2"/>
        <v>26.76125</v>
      </c>
      <c r="I36" s="28" t="e">
        <f t="shared" si="2"/>
        <v>#DIV/0!</v>
      </c>
      <c r="J36" s="28">
        <f t="shared" si="2"/>
        <v>1.4291666666666669</v>
      </c>
      <c r="K36" s="28">
        <f t="shared" si="2"/>
        <v>200.78791666666666</v>
      </c>
      <c r="L36" s="28">
        <f t="shared" si="2"/>
        <v>22.124583333333334</v>
      </c>
      <c r="M36" s="28">
        <f t="shared" si="2"/>
        <v>37.191250000000004</v>
      </c>
      <c r="N36" s="28">
        <f t="shared" si="2"/>
        <v>305.84166666666664</v>
      </c>
      <c r="O36" s="28">
        <f t="shared" si="2"/>
        <v>0</v>
      </c>
      <c r="P36" s="28">
        <f t="shared" si="2"/>
        <v>0.90875000000000028</v>
      </c>
      <c r="Q36" s="28">
        <f t="shared" si="2"/>
        <v>9.9749999999999979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28.492585683810368</v>
      </c>
      <c r="C37" s="28">
        <f t="shared" ref="C37:Q37" si="3">STDEV(C9:C32)</f>
        <v>7.0458455098926249</v>
      </c>
      <c r="D37" s="28">
        <f t="shared" si="3"/>
        <v>30.244163636278188</v>
      </c>
      <c r="E37" s="28">
        <f t="shared" si="3"/>
        <v>1.7760838189353712</v>
      </c>
      <c r="F37" s="28">
        <f t="shared" si="3"/>
        <v>3.6770845167711683</v>
      </c>
      <c r="G37" s="28">
        <f t="shared" si="3"/>
        <v>38.366737270770699</v>
      </c>
      <c r="H37" s="28">
        <f t="shared" si="3"/>
        <v>17.495889284281205</v>
      </c>
      <c r="I37" s="28" t="e">
        <f t="shared" si="3"/>
        <v>#DIV/0!</v>
      </c>
      <c r="J37" s="28">
        <f t="shared" si="3"/>
        <v>0.51773685331002073</v>
      </c>
      <c r="K37" s="28">
        <f t="shared" si="3"/>
        <v>141.28806435879017</v>
      </c>
      <c r="L37" s="28">
        <f t="shared" si="3"/>
        <v>5.1706882723816276</v>
      </c>
      <c r="M37" s="28">
        <f t="shared" si="3"/>
        <v>11.182951431415185</v>
      </c>
      <c r="N37" s="28">
        <f t="shared" si="3"/>
        <v>316.8351456084909</v>
      </c>
      <c r="O37" s="28">
        <f t="shared" si="3"/>
        <v>0</v>
      </c>
      <c r="P37" s="28">
        <f t="shared" si="3"/>
        <v>0.49174323894028038</v>
      </c>
      <c r="Q37" s="28">
        <f t="shared" si="3"/>
        <v>0.14676215600345544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636</v>
      </c>
      <c r="B9" s="52">
        <v>77.86</v>
      </c>
      <c r="C9" s="52">
        <v>77.52</v>
      </c>
      <c r="D9" s="52">
        <v>153.28</v>
      </c>
      <c r="E9" s="52">
        <v>8.23</v>
      </c>
      <c r="F9" s="52">
        <v>2.13</v>
      </c>
      <c r="G9" s="52">
        <v>137.04</v>
      </c>
      <c r="H9" s="52">
        <v>39.659999999999997</v>
      </c>
      <c r="I9" s="58" t="s">
        <v>15</v>
      </c>
      <c r="J9" s="52">
        <v>0.78</v>
      </c>
      <c r="K9" s="52">
        <v>54.74</v>
      </c>
      <c r="L9" s="52">
        <v>17.86</v>
      </c>
      <c r="M9" s="52">
        <v>56.68</v>
      </c>
      <c r="N9" s="52">
        <v>72</v>
      </c>
      <c r="O9" s="52">
        <v>0</v>
      </c>
      <c r="P9" s="52">
        <v>1.49</v>
      </c>
      <c r="Q9" s="52">
        <v>10.050000000000001</v>
      </c>
      <c r="R9" s="43"/>
      <c r="S9" s="43"/>
      <c r="T9" s="43"/>
      <c r="U9" s="43"/>
    </row>
    <row r="10" spans="1:21" s="11" customFormat="1" x14ac:dyDescent="0.25">
      <c r="A10" s="51" t="s">
        <v>637</v>
      </c>
      <c r="B10" s="52">
        <v>67.900000000000006</v>
      </c>
      <c r="C10" s="52">
        <v>73.73</v>
      </c>
      <c r="D10" s="52">
        <v>139.53</v>
      </c>
      <c r="E10" s="52">
        <v>7.9</v>
      </c>
      <c r="F10" s="52">
        <v>2.13</v>
      </c>
      <c r="G10" s="52">
        <v>120.87</v>
      </c>
      <c r="H10" s="52">
        <v>35.72</v>
      </c>
      <c r="I10" s="58" t="s">
        <v>15</v>
      </c>
      <c r="J10" s="52">
        <v>0.89</v>
      </c>
      <c r="K10" s="52">
        <v>62.61</v>
      </c>
      <c r="L10" s="52">
        <v>17.920000000000002</v>
      </c>
      <c r="M10" s="52">
        <v>45.52</v>
      </c>
      <c r="N10" s="52">
        <v>71.3</v>
      </c>
      <c r="O10" s="52">
        <v>0</v>
      </c>
      <c r="P10" s="52">
        <v>1.23</v>
      </c>
      <c r="Q10" s="52">
        <v>10</v>
      </c>
      <c r="R10" s="43"/>
      <c r="S10" s="43"/>
      <c r="T10" s="43"/>
      <c r="U10" s="43"/>
    </row>
    <row r="11" spans="1:21" s="11" customFormat="1" x14ac:dyDescent="0.25">
      <c r="A11" s="51" t="s">
        <v>638</v>
      </c>
      <c r="B11" s="52">
        <v>54.05</v>
      </c>
      <c r="C11" s="52">
        <v>68.7</v>
      </c>
      <c r="D11" s="52">
        <v>120.65</v>
      </c>
      <c r="E11" s="52">
        <v>6.79</v>
      </c>
      <c r="F11" s="52">
        <v>2.13</v>
      </c>
      <c r="G11" s="52">
        <v>88.58</v>
      </c>
      <c r="H11" s="52">
        <v>27.02</v>
      </c>
      <c r="I11" s="58" t="s">
        <v>15</v>
      </c>
      <c r="J11" s="52">
        <v>1.48</v>
      </c>
      <c r="K11" s="52">
        <v>94.02</v>
      </c>
      <c r="L11" s="52">
        <v>17.899999999999999</v>
      </c>
      <c r="M11" s="52">
        <v>46.29</v>
      </c>
      <c r="N11" s="52">
        <v>71.599999999999994</v>
      </c>
      <c r="O11" s="52">
        <v>0</v>
      </c>
      <c r="P11" s="52">
        <v>1.2</v>
      </c>
      <c r="Q11" s="52">
        <v>9.9499999999999993</v>
      </c>
      <c r="R11" s="43"/>
      <c r="S11" s="43"/>
      <c r="T11" s="43"/>
      <c r="U11" s="43"/>
    </row>
    <row r="12" spans="1:21" s="11" customFormat="1" x14ac:dyDescent="0.25">
      <c r="A12" s="51" t="s">
        <v>639</v>
      </c>
      <c r="B12" s="52">
        <v>39.57</v>
      </c>
      <c r="C12" s="52">
        <v>64.81</v>
      </c>
      <c r="D12" s="52">
        <v>102.28</v>
      </c>
      <c r="E12" s="52">
        <v>5.96</v>
      </c>
      <c r="F12" s="52">
        <v>2.13</v>
      </c>
      <c r="G12" s="52">
        <v>66.290000000000006</v>
      </c>
      <c r="H12" s="52">
        <v>3.38</v>
      </c>
      <c r="I12" s="58" t="s">
        <v>15</v>
      </c>
      <c r="J12" s="52">
        <v>2.62</v>
      </c>
      <c r="K12" s="52">
        <v>106.15</v>
      </c>
      <c r="L12" s="52">
        <v>17.690000000000001</v>
      </c>
      <c r="M12" s="52">
        <v>46.59</v>
      </c>
      <c r="N12" s="52">
        <v>72.3</v>
      </c>
      <c r="O12" s="52">
        <v>0</v>
      </c>
      <c r="P12" s="52">
        <v>0.99</v>
      </c>
      <c r="Q12" s="52">
        <v>9.94</v>
      </c>
      <c r="R12" s="43"/>
      <c r="S12" s="43"/>
      <c r="T12" s="43"/>
      <c r="U12" s="43"/>
    </row>
    <row r="13" spans="1:21" s="11" customFormat="1" x14ac:dyDescent="0.25">
      <c r="A13" s="51" t="s">
        <v>640</v>
      </c>
      <c r="B13" s="52">
        <v>28.19</v>
      </c>
      <c r="C13" s="52">
        <v>64.41</v>
      </c>
      <c r="D13" s="52">
        <v>90.5</v>
      </c>
      <c r="E13" s="52">
        <v>6.17</v>
      </c>
      <c r="F13" s="52">
        <v>2.13</v>
      </c>
      <c r="G13" s="52">
        <v>55.62</v>
      </c>
      <c r="H13" s="52">
        <v>0.7</v>
      </c>
      <c r="I13" s="58" t="s">
        <v>15</v>
      </c>
      <c r="J13" s="52">
        <v>0.73</v>
      </c>
      <c r="K13" s="52">
        <v>51.45</v>
      </c>
      <c r="L13" s="52">
        <v>16.239999999999998</v>
      </c>
      <c r="M13" s="52">
        <v>51.36</v>
      </c>
      <c r="N13" s="52">
        <v>72.2</v>
      </c>
      <c r="O13" s="52">
        <v>0</v>
      </c>
      <c r="P13" s="52">
        <v>0.79</v>
      </c>
      <c r="Q13" s="52">
        <v>9.8699999999999992</v>
      </c>
      <c r="R13" s="43"/>
      <c r="S13" s="43"/>
      <c r="T13" s="43"/>
      <c r="U13" s="43"/>
    </row>
    <row r="14" spans="1:21" s="11" customFormat="1" x14ac:dyDescent="0.25">
      <c r="A14" s="51" t="s">
        <v>641</v>
      </c>
      <c r="B14" s="52">
        <v>23.98</v>
      </c>
      <c r="C14" s="52">
        <v>63.39</v>
      </c>
      <c r="D14" s="52">
        <v>85.27</v>
      </c>
      <c r="E14" s="52">
        <v>6.04</v>
      </c>
      <c r="F14" s="52">
        <v>2.13</v>
      </c>
      <c r="G14" s="52">
        <v>51.58</v>
      </c>
      <c r="H14" s="52">
        <v>7.02</v>
      </c>
      <c r="I14" s="58" t="s">
        <v>15</v>
      </c>
      <c r="J14" s="52">
        <v>1.1000000000000001</v>
      </c>
      <c r="K14" s="52">
        <v>46.8</v>
      </c>
      <c r="L14" s="52">
        <v>15.47</v>
      </c>
      <c r="M14" s="52">
        <v>56</v>
      </c>
      <c r="N14" s="52">
        <v>71.5</v>
      </c>
      <c r="O14" s="52">
        <v>0</v>
      </c>
      <c r="P14" s="52">
        <v>0.63</v>
      </c>
      <c r="Q14" s="52">
        <v>9.7799999999999994</v>
      </c>
      <c r="R14" s="43"/>
      <c r="S14" s="43"/>
      <c r="T14" s="43"/>
      <c r="U14" s="43"/>
    </row>
    <row r="15" spans="1:21" s="11" customFormat="1" x14ac:dyDescent="0.25">
      <c r="A15" s="51" t="s">
        <v>642</v>
      </c>
      <c r="B15" s="52">
        <v>22.27</v>
      </c>
      <c r="C15" s="52">
        <v>62.27</v>
      </c>
      <c r="D15" s="52">
        <v>82.14</v>
      </c>
      <c r="E15" s="52">
        <v>6.57</v>
      </c>
      <c r="F15" s="52">
        <v>2.13</v>
      </c>
      <c r="G15" s="52">
        <v>57.37</v>
      </c>
      <c r="H15" s="52">
        <v>19.59</v>
      </c>
      <c r="I15" s="58" t="s">
        <v>15</v>
      </c>
      <c r="J15" s="52">
        <v>1.1299999999999999</v>
      </c>
      <c r="K15" s="52">
        <v>8.77</v>
      </c>
      <c r="L15" s="52">
        <v>15.74</v>
      </c>
      <c r="M15" s="52">
        <v>54.67</v>
      </c>
      <c r="N15" s="52">
        <v>107.4</v>
      </c>
      <c r="O15" s="52">
        <v>0</v>
      </c>
      <c r="P15" s="52">
        <v>0.63</v>
      </c>
      <c r="Q15" s="52">
        <v>9.75</v>
      </c>
      <c r="R15" s="43"/>
      <c r="S15" s="43"/>
      <c r="T15" s="43"/>
      <c r="U15" s="43"/>
    </row>
    <row r="16" spans="1:21" s="11" customFormat="1" x14ac:dyDescent="0.25">
      <c r="A16" s="51" t="s">
        <v>643</v>
      </c>
      <c r="B16" s="52">
        <v>24.66</v>
      </c>
      <c r="C16" s="52">
        <v>66.540000000000006</v>
      </c>
      <c r="D16" s="52">
        <v>89.1</v>
      </c>
      <c r="E16" s="52">
        <v>7.29</v>
      </c>
      <c r="F16" s="52">
        <v>2.13</v>
      </c>
      <c r="G16" s="52">
        <v>71.22</v>
      </c>
      <c r="H16" s="52">
        <v>25.75</v>
      </c>
      <c r="I16" s="58" t="s">
        <v>15</v>
      </c>
      <c r="J16" s="52">
        <v>1.33</v>
      </c>
      <c r="K16" s="52">
        <v>7.11</v>
      </c>
      <c r="L16" s="52">
        <v>20.71</v>
      </c>
      <c r="M16" s="52">
        <v>51.54</v>
      </c>
      <c r="N16" s="52">
        <v>327.3</v>
      </c>
      <c r="O16" s="52">
        <v>0</v>
      </c>
      <c r="P16" s="52">
        <v>0.78</v>
      </c>
      <c r="Q16" s="52">
        <v>9.77</v>
      </c>
      <c r="R16" s="43"/>
      <c r="S16" s="43"/>
      <c r="T16" s="43"/>
      <c r="U16" s="43"/>
    </row>
    <row r="17" spans="1:21" s="11" customFormat="1" x14ac:dyDescent="0.25">
      <c r="A17" s="51" t="s">
        <v>644</v>
      </c>
      <c r="B17" s="52">
        <v>32.94</v>
      </c>
      <c r="C17" s="52">
        <v>72.760000000000005</v>
      </c>
      <c r="D17" s="52">
        <v>103.6</v>
      </c>
      <c r="E17" s="52">
        <v>8.3000000000000007</v>
      </c>
      <c r="F17" s="52">
        <v>2.13</v>
      </c>
      <c r="G17" s="52">
        <v>89.76</v>
      </c>
      <c r="H17" s="52">
        <v>46.63</v>
      </c>
      <c r="I17" s="58" t="s">
        <v>15</v>
      </c>
      <c r="J17" s="52">
        <v>1.28</v>
      </c>
      <c r="K17" s="52">
        <v>45.06</v>
      </c>
      <c r="L17" s="52">
        <v>23.05</v>
      </c>
      <c r="M17" s="52">
        <v>38.06</v>
      </c>
      <c r="N17" s="52">
        <v>549.29999999999995</v>
      </c>
      <c r="O17" s="52">
        <v>0</v>
      </c>
      <c r="P17" s="52">
        <v>0.78</v>
      </c>
      <c r="Q17" s="52">
        <v>9.77</v>
      </c>
      <c r="R17" s="43"/>
      <c r="S17" s="43"/>
      <c r="T17" s="43"/>
      <c r="U17" s="43"/>
    </row>
    <row r="18" spans="1:21" s="11" customFormat="1" x14ac:dyDescent="0.25">
      <c r="A18" s="51" t="s">
        <v>645</v>
      </c>
      <c r="B18" s="52">
        <v>34.36</v>
      </c>
      <c r="C18" s="52">
        <v>74.61</v>
      </c>
      <c r="D18" s="52">
        <v>106.86</v>
      </c>
      <c r="E18" s="52">
        <v>7.13</v>
      </c>
      <c r="F18" s="52">
        <v>2.13</v>
      </c>
      <c r="G18" s="52">
        <v>92.57</v>
      </c>
      <c r="H18" s="52">
        <v>30.09</v>
      </c>
      <c r="I18" s="58" t="s">
        <v>15</v>
      </c>
      <c r="J18" s="52">
        <v>1.36</v>
      </c>
      <c r="K18" s="52">
        <v>359.74</v>
      </c>
      <c r="L18" s="52">
        <v>24.29</v>
      </c>
      <c r="M18" s="52">
        <v>32.82</v>
      </c>
      <c r="N18" s="52">
        <v>717.6</v>
      </c>
      <c r="O18" s="52">
        <v>0</v>
      </c>
      <c r="P18" s="52">
        <v>0.75</v>
      </c>
      <c r="Q18" s="52">
        <v>9.75</v>
      </c>
      <c r="R18" s="43"/>
      <c r="S18" s="43"/>
      <c r="T18" s="43"/>
      <c r="U18" s="43"/>
    </row>
    <row r="19" spans="1:21" s="11" customFormat="1" x14ac:dyDescent="0.25">
      <c r="A19" s="51" t="s">
        <v>646</v>
      </c>
      <c r="B19" s="52">
        <v>32.25</v>
      </c>
      <c r="C19" s="52">
        <v>79.61</v>
      </c>
      <c r="D19" s="52">
        <v>103.82</v>
      </c>
      <c r="E19" s="52">
        <v>9.8800000000000008</v>
      </c>
      <c r="F19" s="52">
        <v>2.13</v>
      </c>
      <c r="G19" s="52">
        <v>85.94</v>
      </c>
      <c r="H19" s="52">
        <v>18.260000000000002</v>
      </c>
      <c r="I19" s="58" t="s">
        <v>15</v>
      </c>
      <c r="J19" s="52">
        <v>1.88</v>
      </c>
      <c r="K19" s="52">
        <v>96.74</v>
      </c>
      <c r="L19" s="52">
        <v>25.86</v>
      </c>
      <c r="M19" s="52">
        <v>30.92</v>
      </c>
      <c r="N19" s="52">
        <v>841.2</v>
      </c>
      <c r="O19" s="52">
        <v>0</v>
      </c>
      <c r="P19" s="52">
        <v>0.71</v>
      </c>
      <c r="Q19" s="52">
        <v>9.76</v>
      </c>
      <c r="R19" s="43"/>
      <c r="S19" s="43"/>
      <c r="T19" s="43"/>
      <c r="U19" s="43"/>
    </row>
    <row r="20" spans="1:21" s="11" customFormat="1" x14ac:dyDescent="0.25">
      <c r="A20" s="51" t="s">
        <v>647</v>
      </c>
      <c r="B20" s="52">
        <v>11.86</v>
      </c>
      <c r="C20" s="52">
        <v>80.239999999999995</v>
      </c>
      <c r="D20" s="52">
        <v>90</v>
      </c>
      <c r="E20" s="52">
        <v>10.35</v>
      </c>
      <c r="F20" s="52">
        <v>5.7</v>
      </c>
      <c r="G20" s="52">
        <v>70.42</v>
      </c>
      <c r="H20" s="52">
        <v>5.04</v>
      </c>
      <c r="I20" s="58" t="s">
        <v>15</v>
      </c>
      <c r="J20" s="52">
        <v>2.19</v>
      </c>
      <c r="K20" s="52">
        <v>102.79</v>
      </c>
      <c r="L20" s="52">
        <v>27.88</v>
      </c>
      <c r="M20" s="52">
        <v>29.04</v>
      </c>
      <c r="N20" s="52">
        <v>850.9</v>
      </c>
      <c r="O20" s="52">
        <v>0</v>
      </c>
      <c r="P20" s="52">
        <v>0.55000000000000004</v>
      </c>
      <c r="Q20" s="52">
        <v>9.73</v>
      </c>
      <c r="R20" s="43"/>
      <c r="S20" s="43"/>
      <c r="T20" s="43"/>
      <c r="U20" s="43"/>
    </row>
    <row r="21" spans="1:21" s="11" customFormat="1" x14ac:dyDescent="0.25">
      <c r="A21" s="51" t="s">
        <v>648</v>
      </c>
      <c r="B21" s="52">
        <v>4.22</v>
      </c>
      <c r="C21" s="52">
        <v>68.16</v>
      </c>
      <c r="D21" s="52">
        <v>70.290000000000006</v>
      </c>
      <c r="E21" s="52">
        <v>10.79</v>
      </c>
      <c r="F21" s="52">
        <v>9.14</v>
      </c>
      <c r="G21" s="52">
        <v>39.950000000000003</v>
      </c>
      <c r="H21" s="52">
        <v>12.6</v>
      </c>
      <c r="I21" s="58" t="s">
        <v>15</v>
      </c>
      <c r="J21" s="52">
        <v>1.1200000000000001</v>
      </c>
      <c r="K21" s="52">
        <v>122.05</v>
      </c>
      <c r="L21" s="52">
        <v>29.13</v>
      </c>
      <c r="M21" s="52">
        <v>26.55</v>
      </c>
      <c r="N21" s="52">
        <v>806.5</v>
      </c>
      <c r="O21" s="52">
        <v>0</v>
      </c>
      <c r="P21" s="52">
        <v>0.44</v>
      </c>
      <c r="Q21" s="52">
        <v>9.66</v>
      </c>
      <c r="R21" s="43"/>
      <c r="S21" s="43"/>
      <c r="T21" s="43"/>
      <c r="U21" s="43"/>
    </row>
    <row r="22" spans="1:21" s="11" customFormat="1" x14ac:dyDescent="0.25">
      <c r="A22" s="51" t="s">
        <v>649</v>
      </c>
      <c r="B22" s="52">
        <v>4.13</v>
      </c>
      <c r="C22" s="52">
        <v>62.83</v>
      </c>
      <c r="D22" s="52">
        <v>64.63</v>
      </c>
      <c r="E22" s="52">
        <v>13.04</v>
      </c>
      <c r="F22" s="52">
        <v>15</v>
      </c>
      <c r="G22" s="52">
        <v>52.96</v>
      </c>
      <c r="H22" s="52">
        <v>16.7</v>
      </c>
      <c r="I22" s="58" t="s">
        <v>15</v>
      </c>
      <c r="J22" s="52">
        <v>0.94</v>
      </c>
      <c r="K22" s="52">
        <v>114.45</v>
      </c>
      <c r="L22" s="52">
        <v>28.66</v>
      </c>
      <c r="M22" s="52">
        <v>24.07</v>
      </c>
      <c r="N22" s="52">
        <v>774.1</v>
      </c>
      <c r="O22" s="52">
        <v>0</v>
      </c>
      <c r="P22" s="52">
        <v>0.47</v>
      </c>
      <c r="Q22" s="52">
        <v>9.64</v>
      </c>
      <c r="R22" s="43"/>
      <c r="S22" s="43"/>
      <c r="T22" s="43"/>
      <c r="U22" s="43"/>
    </row>
    <row r="23" spans="1:21" s="11" customFormat="1" x14ac:dyDescent="0.25">
      <c r="A23" s="51" t="s">
        <v>650</v>
      </c>
      <c r="B23" s="52">
        <v>4.8</v>
      </c>
      <c r="C23" s="52">
        <v>62.88</v>
      </c>
      <c r="D23" s="52">
        <v>65.58</v>
      </c>
      <c r="E23" s="52">
        <v>9.18</v>
      </c>
      <c r="F23" s="52">
        <v>8.3699999999999992</v>
      </c>
      <c r="G23" s="52">
        <v>53.06</v>
      </c>
      <c r="H23" s="52">
        <v>13.15</v>
      </c>
      <c r="I23" s="58" t="s">
        <v>15</v>
      </c>
      <c r="J23" s="52">
        <v>1.51</v>
      </c>
      <c r="K23" s="52">
        <v>350.88</v>
      </c>
      <c r="L23" s="52">
        <v>31.43</v>
      </c>
      <c r="M23" s="52">
        <v>23.6</v>
      </c>
      <c r="N23" s="52">
        <v>645.4</v>
      </c>
      <c r="O23" s="52">
        <v>0</v>
      </c>
      <c r="P23" s="52">
        <v>0.5</v>
      </c>
      <c r="Q23" s="52">
        <v>9.61</v>
      </c>
      <c r="R23" s="43"/>
      <c r="S23" s="43"/>
      <c r="T23" s="43"/>
      <c r="U23" s="43"/>
    </row>
    <row r="24" spans="1:21" s="11" customFormat="1" x14ac:dyDescent="0.25">
      <c r="A24" s="51" t="s">
        <v>651</v>
      </c>
      <c r="B24" s="52">
        <v>4.8</v>
      </c>
      <c r="C24" s="52">
        <v>62.88</v>
      </c>
      <c r="D24" s="52">
        <v>65.3</v>
      </c>
      <c r="E24" s="52">
        <v>8.33</v>
      </c>
      <c r="F24" s="52">
        <v>3.99</v>
      </c>
      <c r="G24" s="52">
        <v>61.81</v>
      </c>
      <c r="H24" s="52">
        <v>23.84</v>
      </c>
      <c r="I24" s="58" t="s">
        <v>15</v>
      </c>
      <c r="J24" s="52">
        <v>0.9</v>
      </c>
      <c r="K24" s="52">
        <v>312.14</v>
      </c>
      <c r="L24" s="52">
        <v>30.74</v>
      </c>
      <c r="M24" s="52">
        <v>22.37</v>
      </c>
      <c r="N24" s="52">
        <v>370.6</v>
      </c>
      <c r="O24" s="52">
        <v>0</v>
      </c>
      <c r="P24" s="52">
        <v>0.49</v>
      </c>
      <c r="Q24" s="52">
        <v>9.59</v>
      </c>
      <c r="R24" s="43"/>
      <c r="S24" s="43"/>
      <c r="T24" s="43"/>
      <c r="U24" s="43"/>
    </row>
    <row r="25" spans="1:21" s="11" customFormat="1" x14ac:dyDescent="0.25">
      <c r="A25" s="51" t="s">
        <v>652</v>
      </c>
      <c r="B25" s="52">
        <v>4.26</v>
      </c>
      <c r="C25" s="52">
        <v>63.37</v>
      </c>
      <c r="D25" s="52">
        <v>65.5</v>
      </c>
      <c r="E25" s="52">
        <v>7.94</v>
      </c>
      <c r="F25" s="52">
        <v>3.87</v>
      </c>
      <c r="G25" s="52">
        <v>59.79</v>
      </c>
      <c r="H25" s="52">
        <v>8.7899999999999991</v>
      </c>
      <c r="I25" s="58" t="s">
        <v>15</v>
      </c>
      <c r="J25" s="52">
        <v>1.75</v>
      </c>
      <c r="K25" s="52">
        <v>329.49</v>
      </c>
      <c r="L25" s="52">
        <v>27.65</v>
      </c>
      <c r="M25" s="52">
        <v>24.42</v>
      </c>
      <c r="N25" s="52">
        <v>162.30000000000001</v>
      </c>
      <c r="O25" s="52">
        <v>0</v>
      </c>
      <c r="P25" s="52">
        <v>0.54</v>
      </c>
      <c r="Q25" s="52">
        <v>9.48</v>
      </c>
      <c r="R25" s="43"/>
      <c r="S25" s="43"/>
      <c r="T25" s="43"/>
      <c r="U25" s="43"/>
    </row>
    <row r="26" spans="1:21" s="11" customFormat="1" x14ac:dyDescent="0.25">
      <c r="A26" s="51" t="s">
        <v>653</v>
      </c>
      <c r="B26" s="52">
        <v>6.33</v>
      </c>
      <c r="C26" s="52">
        <v>69.98</v>
      </c>
      <c r="D26" s="52">
        <v>74.209999999999994</v>
      </c>
      <c r="E26" s="52">
        <v>8.0399999999999991</v>
      </c>
      <c r="F26" s="52">
        <v>2.64</v>
      </c>
      <c r="G26" s="52">
        <v>61.12</v>
      </c>
      <c r="H26" s="52">
        <v>16.7</v>
      </c>
      <c r="I26" s="58" t="s">
        <v>15</v>
      </c>
      <c r="J26" s="52">
        <v>1.8</v>
      </c>
      <c r="K26" s="52">
        <v>359.39</v>
      </c>
      <c r="L26" s="52">
        <v>26.34</v>
      </c>
      <c r="M26" s="52">
        <v>30.5</v>
      </c>
      <c r="N26" s="52">
        <v>107.9</v>
      </c>
      <c r="O26" s="52">
        <v>0</v>
      </c>
      <c r="P26" s="52">
        <v>0.78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654</v>
      </c>
      <c r="B27" s="52">
        <v>15.13</v>
      </c>
      <c r="C27" s="52">
        <v>76.989999999999995</v>
      </c>
      <c r="D27" s="52">
        <v>90.02</v>
      </c>
      <c r="E27" s="52">
        <v>7.91</v>
      </c>
      <c r="F27" s="52">
        <v>2.13</v>
      </c>
      <c r="G27" s="52">
        <v>70.37</v>
      </c>
      <c r="H27" s="52">
        <v>27.71</v>
      </c>
      <c r="I27" s="58" t="s">
        <v>15</v>
      </c>
      <c r="J27" s="52">
        <v>1.18</v>
      </c>
      <c r="K27" s="52">
        <v>358.15</v>
      </c>
      <c r="L27" s="52">
        <v>23.79</v>
      </c>
      <c r="M27" s="52">
        <v>40.25</v>
      </c>
      <c r="N27" s="52">
        <v>68</v>
      </c>
      <c r="O27" s="52">
        <v>0</v>
      </c>
      <c r="P27" s="52">
        <v>1.35</v>
      </c>
      <c r="Q27" s="52">
        <v>9.6</v>
      </c>
      <c r="R27" s="43"/>
      <c r="S27" s="43"/>
      <c r="T27" s="43"/>
      <c r="U27" s="43"/>
    </row>
    <row r="28" spans="1:21" s="11" customFormat="1" x14ac:dyDescent="0.25">
      <c r="A28" s="51" t="s">
        <v>655</v>
      </c>
      <c r="B28" s="52">
        <v>46.47</v>
      </c>
      <c r="C28" s="52">
        <v>82.53</v>
      </c>
      <c r="D28" s="52">
        <v>126.9</v>
      </c>
      <c r="E28" s="52">
        <v>9.59</v>
      </c>
      <c r="F28" s="52">
        <v>2.13</v>
      </c>
      <c r="G28" s="52">
        <v>92.35</v>
      </c>
      <c r="H28" s="52">
        <v>34.39</v>
      </c>
      <c r="I28" s="58" t="s">
        <v>15</v>
      </c>
      <c r="J28" s="52">
        <v>0.37</v>
      </c>
      <c r="K28" s="52">
        <v>355.92</v>
      </c>
      <c r="L28" s="52">
        <v>21.54</v>
      </c>
      <c r="M28" s="52">
        <v>50.25</v>
      </c>
      <c r="N28" s="52">
        <v>67.099999999999994</v>
      </c>
      <c r="O28" s="52">
        <v>0</v>
      </c>
      <c r="P28" s="52">
        <v>1.82</v>
      </c>
      <c r="Q28" s="52">
        <v>9.59</v>
      </c>
      <c r="R28" s="43"/>
      <c r="S28" s="43"/>
      <c r="T28" s="43"/>
      <c r="U28" s="43"/>
    </row>
    <row r="29" spans="1:21" s="11" customFormat="1" x14ac:dyDescent="0.25">
      <c r="A29" s="51" t="s">
        <v>656</v>
      </c>
      <c r="B29" s="52">
        <v>79.989999999999995</v>
      </c>
      <c r="C29" s="52">
        <v>88.44</v>
      </c>
      <c r="D29" s="52">
        <v>166.33</v>
      </c>
      <c r="E29" s="52">
        <v>10.41</v>
      </c>
      <c r="F29" s="52">
        <v>2.13</v>
      </c>
      <c r="G29" s="52">
        <v>259.39999999999998</v>
      </c>
      <c r="H29" s="52">
        <v>46.47</v>
      </c>
      <c r="I29" s="58" t="s">
        <v>15</v>
      </c>
      <c r="J29" s="52">
        <v>0.54</v>
      </c>
      <c r="K29" s="52">
        <v>259.47000000000003</v>
      </c>
      <c r="L29" s="52">
        <v>20.079999999999998</v>
      </c>
      <c r="M29" s="52">
        <v>55.55</v>
      </c>
      <c r="N29" s="52">
        <v>66.900000000000006</v>
      </c>
      <c r="O29" s="52">
        <v>0</v>
      </c>
      <c r="P29" s="52">
        <v>2.0499999999999998</v>
      </c>
      <c r="Q29" s="52">
        <v>9.74</v>
      </c>
      <c r="R29" s="43"/>
      <c r="S29" s="43"/>
      <c r="T29" s="43"/>
      <c r="U29" s="43"/>
    </row>
    <row r="30" spans="1:21" s="11" customFormat="1" x14ac:dyDescent="0.25">
      <c r="A30" s="51" t="s">
        <v>657</v>
      </c>
      <c r="B30" s="52">
        <v>113.2</v>
      </c>
      <c r="C30" s="52">
        <v>93.24</v>
      </c>
      <c r="D30" s="52">
        <v>204.34</v>
      </c>
      <c r="E30" s="52">
        <v>11.13</v>
      </c>
      <c r="F30" s="52">
        <v>2.13</v>
      </c>
      <c r="G30" s="52">
        <v>182.76</v>
      </c>
      <c r="H30" s="52">
        <v>48.44</v>
      </c>
      <c r="I30" s="58" t="s">
        <v>15</v>
      </c>
      <c r="J30" s="52">
        <v>0.77</v>
      </c>
      <c r="K30" s="52">
        <v>356.14</v>
      </c>
      <c r="L30" s="52">
        <v>19.41</v>
      </c>
      <c r="M30" s="52">
        <v>58.52</v>
      </c>
      <c r="N30" s="52">
        <v>66.900000000000006</v>
      </c>
      <c r="O30" s="52">
        <v>0</v>
      </c>
      <c r="P30" s="52">
        <v>2.46</v>
      </c>
      <c r="Q30" s="52">
        <v>9.8699999999999992</v>
      </c>
      <c r="R30" s="43"/>
      <c r="S30" s="43"/>
      <c r="T30" s="43"/>
      <c r="U30" s="43"/>
    </row>
    <row r="31" spans="1:21" s="11" customFormat="1" x14ac:dyDescent="0.25">
      <c r="A31" s="51" t="s">
        <v>658</v>
      </c>
      <c r="B31" s="52">
        <v>138.16999999999999</v>
      </c>
      <c r="C31" s="52">
        <v>92.92</v>
      </c>
      <c r="D31" s="52">
        <v>229</v>
      </c>
      <c r="E31" s="52">
        <v>11.01</v>
      </c>
      <c r="F31" s="52">
        <v>2.13</v>
      </c>
      <c r="G31" s="52">
        <v>180.6</v>
      </c>
      <c r="H31" s="52">
        <v>47.13</v>
      </c>
      <c r="I31" s="58" t="s">
        <v>15</v>
      </c>
      <c r="J31" s="52">
        <v>0.68</v>
      </c>
      <c r="K31" s="52">
        <v>351.21</v>
      </c>
      <c r="L31" s="52">
        <v>18.93</v>
      </c>
      <c r="M31" s="52">
        <v>65.08</v>
      </c>
      <c r="N31" s="52">
        <v>67</v>
      </c>
      <c r="O31" s="52">
        <v>0</v>
      </c>
      <c r="P31" s="52">
        <v>3.04</v>
      </c>
      <c r="Q31" s="52">
        <v>9.9600000000000009</v>
      </c>
      <c r="R31" s="43"/>
      <c r="S31" s="43"/>
      <c r="T31" s="43"/>
      <c r="U31" s="43"/>
    </row>
    <row r="32" spans="1:21" s="11" customFormat="1" x14ac:dyDescent="0.25">
      <c r="A32" s="51" t="s">
        <v>659</v>
      </c>
      <c r="B32" s="52">
        <v>159.11000000000001</v>
      </c>
      <c r="C32" s="52">
        <v>93.43</v>
      </c>
      <c r="D32" s="52">
        <v>246.37</v>
      </c>
      <c r="E32" s="52">
        <v>11.58</v>
      </c>
      <c r="F32" s="52">
        <v>2.13</v>
      </c>
      <c r="G32" s="52">
        <v>207.88</v>
      </c>
      <c r="H32" s="52">
        <v>56.41</v>
      </c>
      <c r="I32" s="58" t="s">
        <v>15</v>
      </c>
      <c r="J32" s="52">
        <v>0.57999999999999996</v>
      </c>
      <c r="K32" s="52">
        <v>329.66</v>
      </c>
      <c r="L32" s="52">
        <v>17.87</v>
      </c>
      <c r="M32" s="52">
        <v>74.38</v>
      </c>
      <c r="N32" s="52">
        <v>66.900000000000006</v>
      </c>
      <c r="O32" s="52">
        <v>0</v>
      </c>
      <c r="P32" s="52">
        <v>2.91</v>
      </c>
      <c r="Q32" s="52">
        <v>10.039999999999999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4.13</v>
      </c>
      <c r="C34" s="28">
        <f t="shared" si="0"/>
        <v>62.27</v>
      </c>
      <c r="D34" s="28">
        <f t="shared" si="0"/>
        <v>64.63</v>
      </c>
      <c r="E34" s="28">
        <f t="shared" si="0"/>
        <v>5.96</v>
      </c>
      <c r="F34" s="28">
        <f t="shared" si="0"/>
        <v>2.13</v>
      </c>
      <c r="G34" s="28">
        <f t="shared" si="0"/>
        <v>39.950000000000003</v>
      </c>
      <c r="H34" s="28">
        <f t="shared" si="0"/>
        <v>0.7</v>
      </c>
      <c r="I34" s="28">
        <f t="shared" si="0"/>
        <v>0</v>
      </c>
      <c r="J34" s="28">
        <f t="shared" si="0"/>
        <v>0.37</v>
      </c>
      <c r="K34" s="28">
        <f t="shared" si="0"/>
        <v>7.11</v>
      </c>
      <c r="L34" s="28">
        <f t="shared" si="0"/>
        <v>15.47</v>
      </c>
      <c r="M34" s="28">
        <f t="shared" si="0"/>
        <v>22.37</v>
      </c>
      <c r="N34" s="28">
        <f t="shared" si="0"/>
        <v>66.900000000000006</v>
      </c>
      <c r="O34" s="28">
        <f t="shared" si="0"/>
        <v>0</v>
      </c>
      <c r="P34" s="28">
        <f t="shared" si="0"/>
        <v>0.44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159.11000000000001</v>
      </c>
      <c r="C35" s="29">
        <f t="shared" si="1"/>
        <v>93.43</v>
      </c>
      <c r="D35" s="29">
        <f t="shared" si="1"/>
        <v>246.37</v>
      </c>
      <c r="E35" s="29">
        <f t="shared" si="1"/>
        <v>13.04</v>
      </c>
      <c r="F35" s="29">
        <f t="shared" si="1"/>
        <v>15</v>
      </c>
      <c r="G35" s="29">
        <f t="shared" si="1"/>
        <v>259.39999999999998</v>
      </c>
      <c r="H35" s="29">
        <f t="shared" si="1"/>
        <v>56.41</v>
      </c>
      <c r="I35" s="29">
        <f t="shared" si="1"/>
        <v>0</v>
      </c>
      <c r="J35" s="29">
        <f t="shared" si="1"/>
        <v>2.62</v>
      </c>
      <c r="K35" s="29">
        <f t="shared" si="1"/>
        <v>359.74</v>
      </c>
      <c r="L35" s="29">
        <f t="shared" si="1"/>
        <v>31.43</v>
      </c>
      <c r="M35" s="29">
        <f t="shared" si="1"/>
        <v>74.38</v>
      </c>
      <c r="N35" s="29">
        <f t="shared" si="1"/>
        <v>850.9</v>
      </c>
      <c r="O35" s="29">
        <f t="shared" si="1"/>
        <v>0</v>
      </c>
      <c r="P35" s="29">
        <f t="shared" si="1"/>
        <v>3.04</v>
      </c>
      <c r="Q35" s="29">
        <f t="shared" si="1"/>
        <v>10.050000000000001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42.9375</v>
      </c>
      <c r="C36" s="28">
        <f t="shared" si="2"/>
        <v>73.593333333333348</v>
      </c>
      <c r="D36" s="28">
        <f t="shared" si="2"/>
        <v>113.97916666666667</v>
      </c>
      <c r="E36" s="28">
        <f t="shared" si="2"/>
        <v>8.7316666666666656</v>
      </c>
      <c r="F36" s="28">
        <f t="shared" si="2"/>
        <v>3.5383333333333322</v>
      </c>
      <c r="G36" s="28">
        <f t="shared" si="2"/>
        <v>96.221249999999998</v>
      </c>
      <c r="H36" s="28">
        <f t="shared" si="2"/>
        <v>25.466249999999999</v>
      </c>
      <c r="I36" s="28" t="e">
        <f t="shared" si="2"/>
        <v>#DIV/0!</v>
      </c>
      <c r="J36" s="28">
        <f t="shared" si="2"/>
        <v>1.2045833333333333</v>
      </c>
      <c r="K36" s="28">
        <f t="shared" si="2"/>
        <v>193.12208333333331</v>
      </c>
      <c r="L36" s="28">
        <f t="shared" si="2"/>
        <v>22.340833333333336</v>
      </c>
      <c r="M36" s="28">
        <f t="shared" si="2"/>
        <v>43.126249999999999</v>
      </c>
      <c r="N36" s="28">
        <f t="shared" si="2"/>
        <v>295.59166666666664</v>
      </c>
      <c r="O36" s="28">
        <f t="shared" si="2"/>
        <v>0</v>
      </c>
      <c r="P36" s="28">
        <f t="shared" si="2"/>
        <v>1.1408333333333334</v>
      </c>
      <c r="Q36" s="28">
        <f t="shared" si="2"/>
        <v>9.7683333333333344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43.228394578402821</v>
      </c>
      <c r="C37" s="28">
        <f t="shared" ref="C37:Q37" si="3">STDEV(C9:C32)</f>
        <v>10.472258452762153</v>
      </c>
      <c r="D37" s="28">
        <f t="shared" si="3"/>
        <v>51.758396749300218</v>
      </c>
      <c r="E37" s="28">
        <f t="shared" si="3"/>
        <v>1.9470572369753203</v>
      </c>
      <c r="F37" s="28">
        <f t="shared" si="3"/>
        <v>3.13191935409897</v>
      </c>
      <c r="G37" s="28">
        <f t="shared" si="3"/>
        <v>57.051314225802912</v>
      </c>
      <c r="H37" s="28">
        <f t="shared" si="3"/>
        <v>16.091618885915903</v>
      </c>
      <c r="I37" s="28" t="e">
        <f t="shared" si="3"/>
        <v>#DIV/0!</v>
      </c>
      <c r="J37" s="28">
        <f t="shared" si="3"/>
        <v>0.55093579809555726</v>
      </c>
      <c r="K37" s="28">
        <f t="shared" si="3"/>
        <v>140.75143610292665</v>
      </c>
      <c r="L37" s="28">
        <f t="shared" si="3"/>
        <v>5.06664275833411</v>
      </c>
      <c r="M37" s="28">
        <f t="shared" si="3"/>
        <v>14.739441264998741</v>
      </c>
      <c r="N37" s="28">
        <f t="shared" si="3"/>
        <v>307.12788005999232</v>
      </c>
      <c r="O37" s="28">
        <f t="shared" si="3"/>
        <v>0</v>
      </c>
      <c r="P37" s="28">
        <f t="shared" si="3"/>
        <v>0.77527507974612608</v>
      </c>
      <c r="Q37" s="28">
        <f t="shared" si="3"/>
        <v>0.16289945329576144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0"/>
      <c r="B8" s="61" t="s">
        <v>22</v>
      </c>
      <c r="C8" s="61" t="s">
        <v>22</v>
      </c>
      <c r="D8" s="29" t="s">
        <v>42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660</v>
      </c>
      <c r="B9" s="52">
        <v>157.57</v>
      </c>
      <c r="C9" s="52">
        <v>87.64</v>
      </c>
      <c r="D9" s="52">
        <v>243.11</v>
      </c>
      <c r="E9" s="52">
        <v>9.7100000000000009</v>
      </c>
      <c r="F9" s="52">
        <v>2.13</v>
      </c>
      <c r="G9" s="52">
        <v>219.36</v>
      </c>
      <c r="H9" s="52">
        <v>53.57</v>
      </c>
      <c r="I9" s="53" t="s">
        <v>15</v>
      </c>
      <c r="J9" s="52">
        <v>2.2400000000000002</v>
      </c>
      <c r="K9" s="52">
        <v>36.369999999999997</v>
      </c>
      <c r="L9" s="52">
        <v>18.57</v>
      </c>
      <c r="M9" s="52">
        <v>56.18</v>
      </c>
      <c r="N9" s="52">
        <v>67.2</v>
      </c>
      <c r="O9" s="52">
        <v>0</v>
      </c>
      <c r="P9" s="52">
        <v>2.4900000000000002</v>
      </c>
      <c r="Q9" s="52">
        <v>10.16</v>
      </c>
      <c r="R9" s="43"/>
      <c r="S9" s="43"/>
      <c r="T9" s="43"/>
      <c r="U9" s="43"/>
    </row>
    <row r="10" spans="1:21" s="11" customFormat="1" x14ac:dyDescent="0.25">
      <c r="A10" s="51" t="s">
        <v>661</v>
      </c>
      <c r="B10" s="52">
        <v>124.24</v>
      </c>
      <c r="C10" s="52">
        <v>84.18</v>
      </c>
      <c r="D10" s="52">
        <v>206.32</v>
      </c>
      <c r="E10" s="52">
        <v>8.7799999999999994</v>
      </c>
      <c r="F10" s="52">
        <v>2.13</v>
      </c>
      <c r="G10" s="52">
        <v>159.66</v>
      </c>
      <c r="H10" s="52">
        <v>46.14</v>
      </c>
      <c r="I10" s="53" t="s">
        <v>15</v>
      </c>
      <c r="J10" s="52">
        <v>0.89</v>
      </c>
      <c r="K10" s="52">
        <v>12.54</v>
      </c>
      <c r="L10" s="52">
        <v>17.850000000000001</v>
      </c>
      <c r="M10" s="52">
        <v>54.88</v>
      </c>
      <c r="N10" s="52">
        <v>66.900000000000006</v>
      </c>
      <c r="O10" s="52">
        <v>0</v>
      </c>
      <c r="P10" s="52">
        <v>1.85</v>
      </c>
      <c r="Q10" s="52">
        <v>10.11</v>
      </c>
      <c r="R10" s="43"/>
      <c r="S10" s="43"/>
      <c r="T10" s="43"/>
      <c r="U10" s="43"/>
    </row>
    <row r="11" spans="1:21" s="11" customFormat="1" x14ac:dyDescent="0.25">
      <c r="A11" s="51" t="s">
        <v>662</v>
      </c>
      <c r="B11" s="52">
        <v>95.17</v>
      </c>
      <c r="C11" s="52">
        <v>79.38</v>
      </c>
      <c r="D11" s="52">
        <v>172.45</v>
      </c>
      <c r="E11" s="52">
        <v>6.96</v>
      </c>
      <c r="F11" s="52">
        <v>2.13</v>
      </c>
      <c r="G11" s="52">
        <v>113.58</v>
      </c>
      <c r="H11" s="52">
        <v>43.01</v>
      </c>
      <c r="I11" s="53" t="s">
        <v>15</v>
      </c>
      <c r="J11" s="52">
        <v>1.56</v>
      </c>
      <c r="K11" s="52">
        <v>19.22</v>
      </c>
      <c r="L11" s="52">
        <v>17.920000000000002</v>
      </c>
      <c r="M11" s="52">
        <v>46.47</v>
      </c>
      <c r="N11" s="52">
        <v>67</v>
      </c>
      <c r="O11" s="52">
        <v>0</v>
      </c>
      <c r="P11" s="52">
        <v>1.61</v>
      </c>
      <c r="Q11" s="52">
        <v>10.01</v>
      </c>
      <c r="R11" s="43"/>
      <c r="S11" s="43"/>
      <c r="T11" s="43"/>
      <c r="U11" s="43"/>
    </row>
    <row r="12" spans="1:21" s="11" customFormat="1" x14ac:dyDescent="0.25">
      <c r="A12" s="51" t="s">
        <v>663</v>
      </c>
      <c r="B12" s="52">
        <v>69.88</v>
      </c>
      <c r="C12" s="52">
        <v>74.38</v>
      </c>
      <c r="D12" s="52">
        <v>142.16</v>
      </c>
      <c r="E12" s="52">
        <v>6.74</v>
      </c>
      <c r="F12" s="52">
        <v>2.13</v>
      </c>
      <c r="G12" s="52">
        <v>82.32</v>
      </c>
      <c r="H12" s="52">
        <v>26.94</v>
      </c>
      <c r="I12" s="53" t="s">
        <v>15</v>
      </c>
      <c r="J12" s="52">
        <v>1.42</v>
      </c>
      <c r="K12" s="52">
        <v>4.51</v>
      </c>
      <c r="L12" s="52">
        <v>16.88</v>
      </c>
      <c r="M12" s="52">
        <v>47.91</v>
      </c>
      <c r="N12" s="52">
        <v>66.900000000000006</v>
      </c>
      <c r="O12" s="52">
        <v>0</v>
      </c>
      <c r="P12" s="52">
        <v>1.19</v>
      </c>
      <c r="Q12" s="52">
        <v>9.86</v>
      </c>
      <c r="R12" s="43"/>
      <c r="S12" s="43"/>
      <c r="T12" s="43"/>
      <c r="U12" s="43"/>
    </row>
    <row r="13" spans="1:21" s="11" customFormat="1" x14ac:dyDescent="0.25">
      <c r="A13" s="51" t="s">
        <v>664</v>
      </c>
      <c r="B13" s="52">
        <v>53.23</v>
      </c>
      <c r="C13" s="52">
        <v>71.88</v>
      </c>
      <c r="D13" s="52">
        <v>123.01</v>
      </c>
      <c r="E13" s="52">
        <v>7.79</v>
      </c>
      <c r="F13" s="52">
        <v>2.13</v>
      </c>
      <c r="G13" s="52">
        <v>90.81</v>
      </c>
      <c r="H13" s="52">
        <v>27.77</v>
      </c>
      <c r="I13" s="53" t="s">
        <v>15</v>
      </c>
      <c r="J13" s="52">
        <v>1.1599999999999999</v>
      </c>
      <c r="K13" s="52">
        <v>355.2</v>
      </c>
      <c r="L13" s="52">
        <v>15.92</v>
      </c>
      <c r="M13" s="52">
        <v>52.55</v>
      </c>
      <c r="N13" s="52">
        <v>67</v>
      </c>
      <c r="O13" s="52">
        <v>0</v>
      </c>
      <c r="P13" s="52">
        <v>1.1200000000000001</v>
      </c>
      <c r="Q13" s="52">
        <v>9.75</v>
      </c>
      <c r="R13" s="43"/>
      <c r="S13" s="43"/>
      <c r="T13" s="43"/>
      <c r="U13" s="43"/>
    </row>
    <row r="14" spans="1:21" s="11" customFormat="1" x14ac:dyDescent="0.25">
      <c r="A14" s="51" t="s">
        <v>665</v>
      </c>
      <c r="B14" s="52">
        <v>46.37</v>
      </c>
      <c r="C14" s="52">
        <v>69.38</v>
      </c>
      <c r="D14" s="52">
        <v>113.65</v>
      </c>
      <c r="E14" s="52">
        <v>6.92</v>
      </c>
      <c r="F14" s="52">
        <v>2.13</v>
      </c>
      <c r="G14" s="52">
        <v>109.37</v>
      </c>
      <c r="H14" s="52">
        <v>33.46</v>
      </c>
      <c r="I14" s="53" t="s">
        <v>15</v>
      </c>
      <c r="J14" s="52">
        <v>1.03</v>
      </c>
      <c r="K14" s="52">
        <v>7</v>
      </c>
      <c r="L14" s="52">
        <v>15.44</v>
      </c>
      <c r="M14" s="52">
        <v>52.12</v>
      </c>
      <c r="N14" s="52">
        <v>66.900000000000006</v>
      </c>
      <c r="O14" s="52">
        <v>0</v>
      </c>
      <c r="P14" s="52">
        <v>1.04</v>
      </c>
      <c r="Q14" s="52">
        <v>9.74</v>
      </c>
      <c r="R14" s="43"/>
      <c r="S14" s="43"/>
      <c r="T14" s="43"/>
      <c r="U14" s="43"/>
    </row>
    <row r="15" spans="1:21" s="11" customFormat="1" x14ac:dyDescent="0.25">
      <c r="A15" s="51" t="s">
        <v>666</v>
      </c>
      <c r="B15" s="52">
        <v>41.94</v>
      </c>
      <c r="C15" s="52">
        <v>69.849999999999994</v>
      </c>
      <c r="D15" s="52">
        <v>109.38</v>
      </c>
      <c r="E15" s="52">
        <v>6.57</v>
      </c>
      <c r="F15" s="52">
        <v>2.13</v>
      </c>
      <c r="G15" s="52">
        <v>113.14</v>
      </c>
      <c r="H15" s="52">
        <v>31.83</v>
      </c>
      <c r="I15" s="53" t="s">
        <v>15</v>
      </c>
      <c r="J15" s="52">
        <v>0.79</v>
      </c>
      <c r="K15" s="52">
        <v>33.130000000000003</v>
      </c>
      <c r="L15" s="52">
        <v>15.19</v>
      </c>
      <c r="M15" s="52">
        <v>51.01</v>
      </c>
      <c r="N15" s="52">
        <v>104.7</v>
      </c>
      <c r="O15" s="52">
        <v>0</v>
      </c>
      <c r="P15" s="52">
        <v>0.99</v>
      </c>
      <c r="Q15" s="52">
        <v>9.69</v>
      </c>
      <c r="R15" s="43"/>
      <c r="S15" s="43"/>
      <c r="T15" s="43"/>
      <c r="U15" s="43"/>
    </row>
    <row r="16" spans="1:21" s="11" customFormat="1" x14ac:dyDescent="0.25">
      <c r="A16" s="51" t="s">
        <v>667</v>
      </c>
      <c r="B16" s="52">
        <v>43.4</v>
      </c>
      <c r="C16" s="52">
        <v>70.16</v>
      </c>
      <c r="D16" s="52">
        <v>110.99</v>
      </c>
      <c r="E16" s="52">
        <v>7.23</v>
      </c>
      <c r="F16" s="52">
        <v>2.13</v>
      </c>
      <c r="G16" s="52">
        <v>101.49</v>
      </c>
      <c r="H16" s="52">
        <v>20.8</v>
      </c>
      <c r="I16" s="53" t="s">
        <v>15</v>
      </c>
      <c r="J16" s="52">
        <v>1.1200000000000001</v>
      </c>
      <c r="K16" s="52">
        <v>41.78</v>
      </c>
      <c r="L16" s="52">
        <v>21.89</v>
      </c>
      <c r="M16" s="52">
        <v>47.2</v>
      </c>
      <c r="N16" s="52">
        <v>343.2</v>
      </c>
      <c r="O16" s="52">
        <v>0</v>
      </c>
      <c r="P16" s="52">
        <v>1.03</v>
      </c>
      <c r="Q16" s="52">
        <v>9.69</v>
      </c>
      <c r="R16" s="43"/>
      <c r="S16" s="43"/>
      <c r="T16" s="43"/>
      <c r="U16" s="43"/>
    </row>
    <row r="17" spans="1:21" s="11" customFormat="1" x14ac:dyDescent="0.25">
      <c r="A17" s="51" t="s">
        <v>668</v>
      </c>
      <c r="B17" s="52">
        <v>41.2</v>
      </c>
      <c r="C17" s="52">
        <v>71.56</v>
      </c>
      <c r="D17" s="52">
        <v>109.43</v>
      </c>
      <c r="E17" s="52">
        <v>9.2799999999999994</v>
      </c>
      <c r="F17" s="52">
        <v>2.13</v>
      </c>
      <c r="G17" s="52">
        <v>82.72</v>
      </c>
      <c r="H17" s="52">
        <v>20.399999999999999</v>
      </c>
      <c r="I17" s="53" t="s">
        <v>15</v>
      </c>
      <c r="J17" s="52">
        <v>1.17</v>
      </c>
      <c r="K17" s="52">
        <v>78.52</v>
      </c>
      <c r="L17" s="52">
        <v>23.1</v>
      </c>
      <c r="M17" s="52">
        <v>34.700000000000003</v>
      </c>
      <c r="N17" s="52">
        <v>564.9</v>
      </c>
      <c r="O17" s="52">
        <v>0</v>
      </c>
      <c r="P17" s="52">
        <v>0.95</v>
      </c>
      <c r="Q17" s="52">
        <v>9.68</v>
      </c>
      <c r="R17" s="43"/>
      <c r="S17" s="43"/>
      <c r="T17" s="43"/>
      <c r="U17" s="43"/>
    </row>
    <row r="18" spans="1:21" s="11" customFormat="1" x14ac:dyDescent="0.25">
      <c r="A18" s="51" t="s">
        <v>669</v>
      </c>
      <c r="B18" s="57" t="s">
        <v>12</v>
      </c>
      <c r="C18" s="57" t="s">
        <v>12</v>
      </c>
      <c r="D18" s="57" t="s">
        <v>12</v>
      </c>
      <c r="E18" s="52">
        <v>8.61</v>
      </c>
      <c r="F18" s="52">
        <v>2.13</v>
      </c>
      <c r="G18" s="52">
        <v>85.44</v>
      </c>
      <c r="H18" s="52">
        <v>22.34</v>
      </c>
      <c r="I18" s="53" t="s">
        <v>15</v>
      </c>
      <c r="J18" s="52">
        <v>1.64</v>
      </c>
      <c r="K18" s="52">
        <v>355.99</v>
      </c>
      <c r="L18" s="52">
        <v>28.98</v>
      </c>
      <c r="M18" s="52">
        <v>33.31</v>
      </c>
      <c r="N18" s="52">
        <v>725.3</v>
      </c>
      <c r="O18" s="52">
        <v>0</v>
      </c>
      <c r="P18" s="52">
        <v>0.92</v>
      </c>
      <c r="Q18" s="52">
        <v>9.67</v>
      </c>
      <c r="R18" s="43"/>
      <c r="S18" s="43"/>
      <c r="T18" s="43"/>
      <c r="U18" s="43"/>
    </row>
    <row r="19" spans="1:21" s="11" customFormat="1" x14ac:dyDescent="0.25">
      <c r="A19" s="51" t="s">
        <v>670</v>
      </c>
      <c r="B19" s="57" t="s">
        <v>12</v>
      </c>
      <c r="C19" s="57" t="s">
        <v>12</v>
      </c>
      <c r="D19" s="57" t="s">
        <v>12</v>
      </c>
      <c r="E19" s="52">
        <v>13.96</v>
      </c>
      <c r="F19" s="52">
        <v>2.33</v>
      </c>
      <c r="G19" s="52">
        <v>80.8</v>
      </c>
      <c r="H19" s="52">
        <v>21.57</v>
      </c>
      <c r="I19" s="52">
        <v>4.04</v>
      </c>
      <c r="J19" s="52">
        <v>1.33</v>
      </c>
      <c r="K19" s="52">
        <v>45.33</v>
      </c>
      <c r="L19" s="52">
        <v>29.22</v>
      </c>
      <c r="M19" s="52">
        <v>27.9</v>
      </c>
      <c r="N19" s="52">
        <v>849.8</v>
      </c>
      <c r="O19" s="52">
        <v>0</v>
      </c>
      <c r="P19" s="52">
        <v>0.85</v>
      </c>
      <c r="Q19" s="52">
        <v>9.66</v>
      </c>
      <c r="R19" s="43"/>
      <c r="S19" s="43"/>
      <c r="T19" s="43"/>
      <c r="U19" s="43"/>
    </row>
    <row r="20" spans="1:21" s="11" customFormat="1" x14ac:dyDescent="0.25">
      <c r="A20" s="51" t="s">
        <v>671</v>
      </c>
      <c r="B20" s="52">
        <v>16.96</v>
      </c>
      <c r="C20" s="52">
        <v>98.31</v>
      </c>
      <c r="D20" s="52">
        <v>83.85</v>
      </c>
      <c r="E20" s="52">
        <v>10.23</v>
      </c>
      <c r="F20" s="57" t="s">
        <v>12</v>
      </c>
      <c r="G20" s="57" t="s">
        <v>12</v>
      </c>
      <c r="H20" s="57" t="s">
        <v>12</v>
      </c>
      <c r="I20" s="52">
        <v>4.09</v>
      </c>
      <c r="J20" s="52">
        <v>1.86</v>
      </c>
      <c r="K20" s="52">
        <v>351.66</v>
      </c>
      <c r="L20" s="52">
        <v>31.13</v>
      </c>
      <c r="M20" s="52">
        <v>21.18</v>
      </c>
      <c r="N20" s="52">
        <v>860.8</v>
      </c>
      <c r="O20" s="52">
        <v>0</v>
      </c>
      <c r="P20" s="52">
        <v>0.66</v>
      </c>
      <c r="Q20" s="52">
        <v>9.5500000000000007</v>
      </c>
      <c r="R20" s="43"/>
      <c r="S20" s="43"/>
      <c r="T20" s="43"/>
      <c r="U20" s="43"/>
    </row>
    <row r="21" spans="1:21" s="11" customFormat="1" x14ac:dyDescent="0.25">
      <c r="A21" s="51" t="s">
        <v>672</v>
      </c>
      <c r="B21" s="52">
        <v>12.4</v>
      </c>
      <c r="C21" s="52">
        <v>96.9</v>
      </c>
      <c r="D21" s="52">
        <v>59.19</v>
      </c>
      <c r="E21" s="52">
        <v>40.369999999999997</v>
      </c>
      <c r="F21" s="52">
        <v>3.19</v>
      </c>
      <c r="G21" s="52">
        <v>83.61</v>
      </c>
      <c r="H21" s="52">
        <v>23.56</v>
      </c>
      <c r="I21" s="52">
        <v>4.21</v>
      </c>
      <c r="J21" s="52">
        <v>1.81</v>
      </c>
      <c r="K21" s="52">
        <v>356.92</v>
      </c>
      <c r="L21" s="52">
        <v>30.96</v>
      </c>
      <c r="M21" s="52">
        <v>19.75</v>
      </c>
      <c r="N21" s="52">
        <v>800.4</v>
      </c>
      <c r="O21" s="52">
        <v>0</v>
      </c>
      <c r="P21" s="52">
        <v>0.6</v>
      </c>
      <c r="Q21" s="52">
        <v>9.52</v>
      </c>
      <c r="R21" s="43"/>
      <c r="S21" s="43"/>
      <c r="T21" s="43"/>
      <c r="U21" s="43"/>
    </row>
    <row r="22" spans="1:21" s="11" customFormat="1" x14ac:dyDescent="0.25">
      <c r="A22" s="51" t="s">
        <v>673</v>
      </c>
      <c r="B22" s="52">
        <v>4.6900000000000004</v>
      </c>
      <c r="C22" s="52">
        <v>87.4</v>
      </c>
      <c r="D22" s="52">
        <v>48.04</v>
      </c>
      <c r="E22" s="52">
        <v>8.32</v>
      </c>
      <c r="F22" s="52">
        <v>11.33</v>
      </c>
      <c r="G22" s="52">
        <v>88.98</v>
      </c>
      <c r="H22" s="52">
        <v>26.37</v>
      </c>
      <c r="I22" s="52">
        <v>4.16</v>
      </c>
      <c r="J22" s="52">
        <v>1.85</v>
      </c>
      <c r="K22" s="52">
        <v>342.68</v>
      </c>
      <c r="L22" s="52">
        <v>32.01</v>
      </c>
      <c r="M22" s="52">
        <v>16.440000000000001</v>
      </c>
      <c r="N22" s="52">
        <v>767.9</v>
      </c>
      <c r="O22" s="52">
        <v>0</v>
      </c>
      <c r="P22" s="52">
        <v>0.56999999999999995</v>
      </c>
      <c r="Q22" s="52">
        <v>9.5299999999999994</v>
      </c>
      <c r="R22" s="43"/>
      <c r="S22" s="43"/>
      <c r="T22" s="43"/>
      <c r="U22" s="43"/>
    </row>
    <row r="23" spans="1:21" s="11" customFormat="1" x14ac:dyDescent="0.25">
      <c r="A23" s="51" t="s">
        <v>674</v>
      </c>
      <c r="B23" s="52">
        <v>6.43</v>
      </c>
      <c r="C23" s="52">
        <v>75.930000000000007</v>
      </c>
      <c r="D23" s="52">
        <v>42.37</v>
      </c>
      <c r="E23" s="52">
        <v>7.6</v>
      </c>
      <c r="F23" s="52">
        <v>11.43</v>
      </c>
      <c r="G23" s="52">
        <v>83.2</v>
      </c>
      <c r="H23" s="52">
        <v>25.38</v>
      </c>
      <c r="I23" s="52">
        <v>4.07</v>
      </c>
      <c r="J23" s="52">
        <v>2.1800000000000002</v>
      </c>
      <c r="K23" s="52">
        <v>358.67</v>
      </c>
      <c r="L23" s="52">
        <v>31.94</v>
      </c>
      <c r="M23" s="52">
        <v>12.49</v>
      </c>
      <c r="N23" s="52">
        <v>671.6</v>
      </c>
      <c r="O23" s="52">
        <v>0</v>
      </c>
      <c r="P23" s="52">
        <v>0.55000000000000004</v>
      </c>
      <c r="Q23" s="52">
        <v>9.5500000000000007</v>
      </c>
      <c r="R23" s="43"/>
      <c r="S23" s="43"/>
      <c r="T23" s="43"/>
      <c r="U23" s="43"/>
    </row>
    <row r="24" spans="1:21" s="11" customFormat="1" x14ac:dyDescent="0.25">
      <c r="A24" s="51" t="s">
        <v>675</v>
      </c>
      <c r="B24" s="52">
        <v>12.44</v>
      </c>
      <c r="C24" s="52">
        <v>61.98</v>
      </c>
      <c r="D24" s="52">
        <v>38.56</v>
      </c>
      <c r="E24" s="52">
        <v>15</v>
      </c>
      <c r="F24" s="52">
        <v>21.08</v>
      </c>
      <c r="G24" s="52">
        <v>63.11</v>
      </c>
      <c r="H24" s="52">
        <v>21.69</v>
      </c>
      <c r="I24" s="52">
        <v>4.07</v>
      </c>
      <c r="J24" s="52">
        <v>2.34</v>
      </c>
      <c r="K24" s="52">
        <v>354.34</v>
      </c>
      <c r="L24" s="52">
        <v>30.05</v>
      </c>
      <c r="M24" s="52">
        <v>11.22</v>
      </c>
      <c r="N24" s="52">
        <v>444.4</v>
      </c>
      <c r="O24" s="52">
        <v>0</v>
      </c>
      <c r="P24" s="52">
        <v>0.44</v>
      </c>
      <c r="Q24" s="52">
        <v>9.51</v>
      </c>
      <c r="R24" s="43"/>
      <c r="S24" s="43"/>
      <c r="T24" s="43"/>
      <c r="U24" s="43"/>
    </row>
    <row r="25" spans="1:21" s="11" customFormat="1" x14ac:dyDescent="0.25">
      <c r="A25" s="51" t="s">
        <v>676</v>
      </c>
      <c r="B25" s="52">
        <v>12.79</v>
      </c>
      <c r="C25" s="52">
        <v>68.53</v>
      </c>
      <c r="D25" s="52">
        <v>43.58</v>
      </c>
      <c r="E25" s="52">
        <v>22.34</v>
      </c>
      <c r="F25" s="52">
        <v>26.9</v>
      </c>
      <c r="G25" s="52">
        <v>43.56</v>
      </c>
      <c r="H25" s="52">
        <v>17.22</v>
      </c>
      <c r="I25" s="52">
        <v>4.0999999999999996</v>
      </c>
      <c r="J25" s="52">
        <v>2.2000000000000002</v>
      </c>
      <c r="K25" s="52">
        <v>359.27</v>
      </c>
      <c r="L25" s="52">
        <v>27.36</v>
      </c>
      <c r="M25" s="52">
        <v>12.68</v>
      </c>
      <c r="N25" s="52">
        <v>155.9</v>
      </c>
      <c r="O25" s="52">
        <v>0</v>
      </c>
      <c r="P25" s="52">
        <v>0.49</v>
      </c>
      <c r="Q25" s="52">
        <v>9.61</v>
      </c>
      <c r="R25" s="43"/>
      <c r="S25" s="43"/>
      <c r="T25" s="43"/>
      <c r="U25" s="43"/>
    </row>
    <row r="26" spans="1:21" s="11" customFormat="1" x14ac:dyDescent="0.25">
      <c r="A26" s="51" t="s">
        <v>677</v>
      </c>
      <c r="B26" s="52">
        <v>25.45</v>
      </c>
      <c r="C26" s="52">
        <v>83.37</v>
      </c>
      <c r="D26" s="52">
        <v>59.04</v>
      </c>
      <c r="E26" s="52">
        <v>27.54</v>
      </c>
      <c r="F26" s="52">
        <v>19.399999999999999</v>
      </c>
      <c r="G26" s="52">
        <v>58.45</v>
      </c>
      <c r="H26" s="52">
        <v>15.67</v>
      </c>
      <c r="I26" s="52">
        <v>4.1399999999999997</v>
      </c>
      <c r="J26" s="52">
        <v>1.24</v>
      </c>
      <c r="K26" s="52">
        <v>77.150000000000006</v>
      </c>
      <c r="L26" s="52">
        <v>25.88</v>
      </c>
      <c r="M26" s="52">
        <v>15.77</v>
      </c>
      <c r="N26" s="52">
        <v>102.8</v>
      </c>
      <c r="O26" s="52">
        <v>0</v>
      </c>
      <c r="P26" s="52">
        <v>0.7</v>
      </c>
      <c r="Q26" s="52">
        <v>9.42</v>
      </c>
      <c r="R26" s="43"/>
      <c r="S26" s="43"/>
      <c r="T26" s="43"/>
      <c r="U26" s="43"/>
    </row>
    <row r="27" spans="1:21" s="11" customFormat="1" x14ac:dyDescent="0.25">
      <c r="A27" s="51" t="s">
        <v>678</v>
      </c>
      <c r="B27" s="52">
        <v>40.450000000000003</v>
      </c>
      <c r="C27" s="52">
        <v>90.8</v>
      </c>
      <c r="D27" s="52">
        <v>75.790000000000006</v>
      </c>
      <c r="E27" s="52">
        <v>15.34</v>
      </c>
      <c r="F27" s="52">
        <v>9.02</v>
      </c>
      <c r="G27" s="52">
        <v>57.47</v>
      </c>
      <c r="H27" s="52">
        <v>15.67</v>
      </c>
      <c r="I27" s="52">
        <v>4.0999999999999996</v>
      </c>
      <c r="J27" s="52">
        <v>0.62</v>
      </c>
      <c r="K27" s="52">
        <v>350.68</v>
      </c>
      <c r="L27" s="52">
        <v>23.08</v>
      </c>
      <c r="M27" s="52">
        <v>28.69</v>
      </c>
      <c r="N27" s="52">
        <v>66.2</v>
      </c>
      <c r="O27" s="52">
        <v>0</v>
      </c>
      <c r="P27" s="52">
        <v>1.2</v>
      </c>
      <c r="Q27" s="52">
        <v>9.56</v>
      </c>
      <c r="R27" s="43"/>
      <c r="S27" s="43"/>
      <c r="T27" s="43"/>
      <c r="U27" s="43"/>
    </row>
    <row r="28" spans="1:21" s="11" customFormat="1" x14ac:dyDescent="0.25">
      <c r="A28" s="51" t="s">
        <v>679</v>
      </c>
      <c r="B28" s="52">
        <v>102.77</v>
      </c>
      <c r="C28" s="52">
        <v>105.54</v>
      </c>
      <c r="D28" s="52">
        <v>136.18</v>
      </c>
      <c r="E28" s="52">
        <v>9.66</v>
      </c>
      <c r="F28" s="52">
        <v>7.43</v>
      </c>
      <c r="G28" s="52">
        <v>71.739999999999995</v>
      </c>
      <c r="H28" s="52">
        <v>15.2</v>
      </c>
      <c r="I28" s="52">
        <v>4.01</v>
      </c>
      <c r="J28" s="52">
        <v>0.62</v>
      </c>
      <c r="K28" s="52">
        <v>329.22</v>
      </c>
      <c r="L28" s="52">
        <v>20.79</v>
      </c>
      <c r="M28" s="52">
        <v>34.130000000000003</v>
      </c>
      <c r="N28" s="52">
        <v>64.400000000000006</v>
      </c>
      <c r="O28" s="52">
        <v>0</v>
      </c>
      <c r="P28" s="52">
        <v>2.6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680</v>
      </c>
      <c r="B29" s="52">
        <v>153.22999999999999</v>
      </c>
      <c r="C29" s="52">
        <v>115.23</v>
      </c>
      <c r="D29" s="52">
        <v>181.7</v>
      </c>
      <c r="E29" s="52">
        <v>17.239999999999998</v>
      </c>
      <c r="F29" s="52">
        <v>8.32</v>
      </c>
      <c r="G29" s="52">
        <v>102.45</v>
      </c>
      <c r="H29" s="52">
        <v>14.45</v>
      </c>
      <c r="I29" s="52">
        <v>4.1900000000000004</v>
      </c>
      <c r="J29" s="52">
        <v>0.63</v>
      </c>
      <c r="K29" s="52">
        <v>329.18</v>
      </c>
      <c r="L29" s="52">
        <v>19.600000000000001</v>
      </c>
      <c r="M29" s="52">
        <v>41.63</v>
      </c>
      <c r="N29" s="52">
        <v>64.3</v>
      </c>
      <c r="O29" s="52">
        <v>0</v>
      </c>
      <c r="P29" s="52">
        <v>3.78</v>
      </c>
      <c r="Q29" s="52">
        <v>9.81</v>
      </c>
      <c r="R29" s="43"/>
      <c r="S29" s="43"/>
      <c r="T29" s="43"/>
      <c r="U29" s="43"/>
    </row>
    <row r="30" spans="1:21" s="11" customFormat="1" x14ac:dyDescent="0.25">
      <c r="A30" s="51" t="s">
        <v>681</v>
      </c>
      <c r="B30" s="52">
        <v>204.29</v>
      </c>
      <c r="C30" s="52">
        <v>130.88</v>
      </c>
      <c r="D30" s="52">
        <v>230.83</v>
      </c>
      <c r="E30" s="52">
        <v>20.03</v>
      </c>
      <c r="F30" s="52">
        <v>8.16</v>
      </c>
      <c r="G30" s="52">
        <v>135.77000000000001</v>
      </c>
      <c r="H30" s="52">
        <v>31.49</v>
      </c>
      <c r="I30" s="52">
        <v>4.07</v>
      </c>
      <c r="J30" s="52">
        <v>0.69</v>
      </c>
      <c r="K30" s="52">
        <v>353.35</v>
      </c>
      <c r="L30" s="52">
        <v>19.329999999999998</v>
      </c>
      <c r="M30" s="52">
        <v>44.5</v>
      </c>
      <c r="N30" s="52">
        <v>64.400000000000006</v>
      </c>
      <c r="O30" s="52">
        <v>0</v>
      </c>
      <c r="P30" s="52">
        <v>3.8</v>
      </c>
      <c r="Q30" s="52">
        <v>9.89</v>
      </c>
      <c r="R30" s="43"/>
      <c r="S30" s="43"/>
      <c r="T30" s="43"/>
      <c r="U30" s="43"/>
    </row>
    <row r="31" spans="1:21" s="11" customFormat="1" x14ac:dyDescent="0.25">
      <c r="A31" s="51" t="s">
        <v>682</v>
      </c>
      <c r="B31" s="52">
        <v>177.37</v>
      </c>
      <c r="C31" s="52">
        <v>92.05</v>
      </c>
      <c r="D31" s="52">
        <v>188.96</v>
      </c>
      <c r="E31" s="52">
        <v>10.65</v>
      </c>
      <c r="F31" s="52">
        <v>7.42</v>
      </c>
      <c r="G31" s="52">
        <v>249.41</v>
      </c>
      <c r="H31" s="52">
        <v>43.58</v>
      </c>
      <c r="I31" s="52">
        <v>4.09</v>
      </c>
      <c r="J31" s="52">
        <v>0.65</v>
      </c>
      <c r="K31" s="52">
        <v>359.95</v>
      </c>
      <c r="L31" s="52">
        <v>18.260000000000002</v>
      </c>
      <c r="M31" s="52">
        <v>53.29</v>
      </c>
      <c r="N31" s="52">
        <v>64.599999999999994</v>
      </c>
      <c r="O31" s="52">
        <v>0</v>
      </c>
      <c r="P31" s="52">
        <v>3.2</v>
      </c>
      <c r="Q31" s="52">
        <v>10.01</v>
      </c>
      <c r="R31" s="43"/>
      <c r="S31" s="43"/>
      <c r="T31" s="43"/>
      <c r="U31" s="43"/>
    </row>
    <row r="32" spans="1:21" s="11" customFormat="1" x14ac:dyDescent="0.25">
      <c r="A32" s="51" t="s">
        <v>683</v>
      </c>
      <c r="B32" s="52">
        <v>223.37</v>
      </c>
      <c r="C32" s="52">
        <v>99.46</v>
      </c>
      <c r="D32" s="52">
        <v>229.41</v>
      </c>
      <c r="E32" s="52">
        <v>10.63</v>
      </c>
      <c r="F32" s="52">
        <v>7.23</v>
      </c>
      <c r="G32" s="52">
        <v>270.45999999999998</v>
      </c>
      <c r="H32" s="52">
        <v>61.24</v>
      </c>
      <c r="I32" s="52">
        <v>4.2</v>
      </c>
      <c r="J32" s="52">
        <v>0.59</v>
      </c>
      <c r="K32" s="52">
        <v>313.75</v>
      </c>
      <c r="L32" s="52">
        <v>17.04</v>
      </c>
      <c r="M32" s="52">
        <v>56.26</v>
      </c>
      <c r="N32" s="52">
        <v>64.599999999999994</v>
      </c>
      <c r="O32" s="52">
        <v>0</v>
      </c>
      <c r="P32" s="52">
        <v>3.4</v>
      </c>
      <c r="Q32" s="52">
        <v>10.29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4.6900000000000004</v>
      </c>
      <c r="C34" s="28">
        <f t="shared" si="0"/>
        <v>61.98</v>
      </c>
      <c r="D34" s="28">
        <f t="shared" si="0"/>
        <v>38.56</v>
      </c>
      <c r="E34" s="28">
        <f t="shared" si="0"/>
        <v>6.57</v>
      </c>
      <c r="F34" s="28">
        <f t="shared" si="0"/>
        <v>2.13</v>
      </c>
      <c r="G34" s="28">
        <f t="shared" si="0"/>
        <v>43.56</v>
      </c>
      <c r="H34" s="28">
        <f t="shared" si="0"/>
        <v>14.45</v>
      </c>
      <c r="I34" s="28">
        <f t="shared" si="0"/>
        <v>4.01</v>
      </c>
      <c r="J34" s="28">
        <f t="shared" si="0"/>
        <v>0.59</v>
      </c>
      <c r="K34" s="28">
        <f t="shared" si="0"/>
        <v>4.51</v>
      </c>
      <c r="L34" s="28">
        <f t="shared" si="0"/>
        <v>15.19</v>
      </c>
      <c r="M34" s="28">
        <f t="shared" si="0"/>
        <v>11.22</v>
      </c>
      <c r="N34" s="28">
        <f t="shared" si="0"/>
        <v>64.3</v>
      </c>
      <c r="O34" s="28">
        <f t="shared" si="0"/>
        <v>0</v>
      </c>
      <c r="P34" s="28">
        <f t="shared" si="0"/>
        <v>0.44</v>
      </c>
      <c r="Q34" s="28">
        <f t="shared" si="0"/>
        <v>9.42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223.37</v>
      </c>
      <c r="C35" s="29">
        <f t="shared" si="1"/>
        <v>130.88</v>
      </c>
      <c r="D35" s="29">
        <f t="shared" si="1"/>
        <v>243.11</v>
      </c>
      <c r="E35" s="29">
        <f t="shared" si="1"/>
        <v>40.369999999999997</v>
      </c>
      <c r="F35" s="29">
        <f t="shared" si="1"/>
        <v>26.9</v>
      </c>
      <c r="G35" s="29">
        <f t="shared" si="1"/>
        <v>270.45999999999998</v>
      </c>
      <c r="H35" s="29">
        <f t="shared" si="1"/>
        <v>61.24</v>
      </c>
      <c r="I35" s="29">
        <f t="shared" si="1"/>
        <v>4.21</v>
      </c>
      <c r="J35" s="29">
        <f t="shared" si="1"/>
        <v>2.34</v>
      </c>
      <c r="K35" s="29">
        <f t="shared" si="1"/>
        <v>359.95</v>
      </c>
      <c r="L35" s="29">
        <f t="shared" si="1"/>
        <v>32.01</v>
      </c>
      <c r="M35" s="29">
        <f t="shared" si="1"/>
        <v>56.26</v>
      </c>
      <c r="N35" s="29">
        <f t="shared" si="1"/>
        <v>860.8</v>
      </c>
      <c r="O35" s="29">
        <f t="shared" si="1"/>
        <v>0</v>
      </c>
      <c r="P35" s="29">
        <f t="shared" si="1"/>
        <v>3.8</v>
      </c>
      <c r="Q35" s="29">
        <f t="shared" si="1"/>
        <v>10.29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75.710909090909084</v>
      </c>
      <c r="C36" s="28">
        <f t="shared" si="2"/>
        <v>85.672272727272713</v>
      </c>
      <c r="D36" s="28">
        <f t="shared" si="2"/>
        <v>124.90909090909089</v>
      </c>
      <c r="E36" s="28">
        <f t="shared" si="2"/>
        <v>12.8125</v>
      </c>
      <c r="F36" s="28">
        <f t="shared" si="2"/>
        <v>7.1539130434782594</v>
      </c>
      <c r="G36" s="28">
        <f t="shared" si="2"/>
        <v>110.73478260869565</v>
      </c>
      <c r="H36" s="28">
        <f t="shared" si="2"/>
        <v>28.667391304347827</v>
      </c>
      <c r="I36" s="28">
        <f t="shared" si="2"/>
        <v>4.1100000000000003</v>
      </c>
      <c r="J36" s="28">
        <f t="shared" si="2"/>
        <v>1.3179166666666666</v>
      </c>
      <c r="K36" s="28">
        <f t="shared" si="2"/>
        <v>217.76708333333337</v>
      </c>
      <c r="L36" s="28">
        <f t="shared" si="2"/>
        <v>22.849583333333332</v>
      </c>
      <c r="M36" s="28">
        <f t="shared" si="2"/>
        <v>36.344166666666666</v>
      </c>
      <c r="N36" s="28">
        <f t="shared" si="2"/>
        <v>299.25416666666666</v>
      </c>
      <c r="O36" s="28">
        <f t="shared" si="2"/>
        <v>0</v>
      </c>
      <c r="P36" s="28">
        <f t="shared" si="2"/>
        <v>1.50125</v>
      </c>
      <c r="Q36" s="28">
        <f t="shared" si="2"/>
        <v>9.7458333333333318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68.541836227372215</v>
      </c>
      <c r="C37" s="28">
        <f t="shared" ref="C37:Q37" si="3">STDEV(C9:C32)</f>
        <v>17.088495972107886</v>
      </c>
      <c r="D37" s="28">
        <f t="shared" si="3"/>
        <v>66.584942735833337</v>
      </c>
      <c r="E37" s="28">
        <f t="shared" si="3"/>
        <v>8.0268756442775189</v>
      </c>
      <c r="F37" s="28">
        <f t="shared" si="3"/>
        <v>6.963939414865199</v>
      </c>
      <c r="G37" s="28">
        <f t="shared" si="3"/>
        <v>59.96097790681452</v>
      </c>
      <c r="H37" s="28">
        <f t="shared" si="3"/>
        <v>12.833109598857336</v>
      </c>
      <c r="I37" s="28">
        <f t="shared" si="3"/>
        <v>6.1142959843808221E-2</v>
      </c>
      <c r="J37" s="28">
        <f t="shared" si="3"/>
        <v>0.58468110346891122</v>
      </c>
      <c r="K37" s="28">
        <f t="shared" si="3"/>
        <v>158.53038588120867</v>
      </c>
      <c r="L37" s="28">
        <f t="shared" si="3"/>
        <v>5.9282283292049867</v>
      </c>
      <c r="M37" s="28">
        <f t="shared" si="3"/>
        <v>15.91795538450803</v>
      </c>
      <c r="N37" s="28">
        <f t="shared" si="3"/>
        <v>313.0205952095842</v>
      </c>
      <c r="O37" s="28">
        <f t="shared" si="3"/>
        <v>0</v>
      </c>
      <c r="P37" s="28">
        <f t="shared" si="3"/>
        <v>1.0927480814740504</v>
      </c>
      <c r="Q37" s="28">
        <f t="shared" si="3"/>
        <v>0.22879488947368407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</f>
        <v>24</v>
      </c>
      <c r="C38" s="32">
        <f t="shared" ref="C38:D38" si="4">COUNT(C9:C32)+2</f>
        <v>24</v>
      </c>
      <c r="D38" s="32">
        <f t="shared" si="4"/>
        <v>24</v>
      </c>
      <c r="E38" s="32">
        <f t="shared" ref="B38:Q38" si="5">COUNT(E9:E32)</f>
        <v>24</v>
      </c>
      <c r="F38" s="32">
        <f>COUNT(F9:F32)+1</f>
        <v>24</v>
      </c>
      <c r="G38" s="32">
        <f t="shared" ref="G38:H38" si="6">COUNT(G9:G32)+1</f>
        <v>24</v>
      </c>
      <c r="H38" s="32">
        <f t="shared" si="6"/>
        <v>24</v>
      </c>
      <c r="I38" s="32">
        <f t="shared" si="5"/>
        <v>14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7">IF(C38&gt;=22,"&gt;90%",IF(C38&lt;=22,"&lt;90%"))</f>
        <v>&gt;90%</v>
      </c>
      <c r="D39" s="29" t="str">
        <f t="shared" si="7"/>
        <v>&gt;90%</v>
      </c>
      <c r="E39" s="29" t="str">
        <f t="shared" si="7"/>
        <v>&gt;90%</v>
      </c>
      <c r="F39" s="29" t="str">
        <f t="shared" si="7"/>
        <v>&gt;90%</v>
      </c>
      <c r="G39" s="29" t="str">
        <f t="shared" si="7"/>
        <v>&gt;90%</v>
      </c>
      <c r="H39" s="29" t="str">
        <f t="shared" si="7"/>
        <v>&gt;90%</v>
      </c>
      <c r="I39" s="29" t="str">
        <f t="shared" si="7"/>
        <v>&lt;90%</v>
      </c>
      <c r="J39" s="29" t="str">
        <f t="shared" si="7"/>
        <v>&gt;90%</v>
      </c>
      <c r="K39" s="29" t="str">
        <f t="shared" si="7"/>
        <v>&gt;90%</v>
      </c>
      <c r="L39" s="29" t="str">
        <f t="shared" si="7"/>
        <v>&gt;90%</v>
      </c>
      <c r="M39" s="29" t="str">
        <f t="shared" si="7"/>
        <v>&gt;90%</v>
      </c>
      <c r="N39" s="29" t="str">
        <f t="shared" si="7"/>
        <v>&gt;90%</v>
      </c>
      <c r="O39" s="29" t="str">
        <f t="shared" si="7"/>
        <v>&gt;90%</v>
      </c>
      <c r="P39" s="29" t="str">
        <f t="shared" si="7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8">IF(C38&gt;=22,"OK",IF(C38&lt;=22,"LESS"))</f>
        <v>OK</v>
      </c>
      <c r="D40" s="29" t="str">
        <f t="shared" si="8"/>
        <v>OK</v>
      </c>
      <c r="E40" s="29" t="str">
        <f t="shared" si="8"/>
        <v>OK</v>
      </c>
      <c r="F40" s="29" t="str">
        <f t="shared" si="8"/>
        <v>OK</v>
      </c>
      <c r="G40" s="29" t="str">
        <f t="shared" si="8"/>
        <v>OK</v>
      </c>
      <c r="H40" s="29" t="str">
        <f t="shared" si="8"/>
        <v>OK</v>
      </c>
      <c r="I40" s="29" t="str">
        <f t="shared" si="8"/>
        <v>LESS</v>
      </c>
      <c r="J40" s="29" t="str">
        <f t="shared" si="8"/>
        <v>OK</v>
      </c>
      <c r="K40" s="29" t="str">
        <f t="shared" si="8"/>
        <v>OK</v>
      </c>
      <c r="L40" s="29" t="str">
        <f t="shared" si="8"/>
        <v>OK</v>
      </c>
      <c r="M40" s="29" t="str">
        <f t="shared" si="8"/>
        <v>OK</v>
      </c>
      <c r="N40" s="29" t="str">
        <f t="shared" si="8"/>
        <v>OK</v>
      </c>
      <c r="O40" s="29" t="str">
        <f t="shared" si="8"/>
        <v>OK</v>
      </c>
      <c r="P40" s="29" t="str">
        <f t="shared" si="8"/>
        <v>OK</v>
      </c>
      <c r="Q40" s="29" t="str">
        <f t="shared" si="8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684</v>
      </c>
      <c r="B9" s="52">
        <v>245.65</v>
      </c>
      <c r="C9" s="52">
        <v>104.17</v>
      </c>
      <c r="D9" s="52">
        <v>250.04</v>
      </c>
      <c r="E9" s="52">
        <v>9.73</v>
      </c>
      <c r="F9" s="52">
        <v>7.79</v>
      </c>
      <c r="G9" s="52">
        <v>278.14999999999998</v>
      </c>
      <c r="H9" s="52">
        <v>66.2</v>
      </c>
      <c r="I9" s="52">
        <v>3.95</v>
      </c>
      <c r="J9" s="52">
        <v>0.75</v>
      </c>
      <c r="K9" s="52">
        <v>345.6</v>
      </c>
      <c r="L9" s="52">
        <v>16.649999999999999</v>
      </c>
      <c r="M9" s="52">
        <v>60.28</v>
      </c>
      <c r="N9" s="52">
        <v>64.599999999999994</v>
      </c>
      <c r="O9" s="52">
        <v>0</v>
      </c>
      <c r="P9" s="52">
        <v>3.51</v>
      </c>
      <c r="Q9" s="52">
        <v>10.47</v>
      </c>
      <c r="R9" s="43"/>
      <c r="S9" s="43"/>
      <c r="T9" s="43"/>
      <c r="U9" s="43"/>
    </row>
    <row r="10" spans="1:21" s="11" customFormat="1" x14ac:dyDescent="0.25">
      <c r="A10" s="51" t="s">
        <v>685</v>
      </c>
      <c r="B10" s="52">
        <v>193.17</v>
      </c>
      <c r="C10" s="52">
        <v>95.41</v>
      </c>
      <c r="D10" s="52">
        <v>203.38</v>
      </c>
      <c r="E10" s="52">
        <v>9.7799999999999994</v>
      </c>
      <c r="F10" s="52">
        <v>9.25</v>
      </c>
      <c r="G10" s="52">
        <v>250.47</v>
      </c>
      <c r="H10" s="52">
        <v>68.86</v>
      </c>
      <c r="I10" s="52">
        <v>4.0599999999999996</v>
      </c>
      <c r="J10" s="52">
        <v>1.1399999999999999</v>
      </c>
      <c r="K10" s="52">
        <v>351.49</v>
      </c>
      <c r="L10" s="52">
        <v>16.09</v>
      </c>
      <c r="M10" s="52">
        <v>53.3</v>
      </c>
      <c r="N10" s="52">
        <v>64.3</v>
      </c>
      <c r="O10" s="52">
        <v>0</v>
      </c>
      <c r="P10" s="52">
        <v>2.66</v>
      </c>
      <c r="Q10" s="52">
        <v>10.55</v>
      </c>
      <c r="R10" s="43"/>
      <c r="S10" s="43"/>
      <c r="T10" s="43"/>
      <c r="U10" s="43"/>
    </row>
    <row r="11" spans="1:21" s="11" customFormat="1" x14ac:dyDescent="0.25">
      <c r="A11" s="51" t="s">
        <v>686</v>
      </c>
      <c r="B11" s="52">
        <v>191.21</v>
      </c>
      <c r="C11" s="52">
        <v>85.43</v>
      </c>
      <c r="D11" s="52">
        <v>196.59</v>
      </c>
      <c r="E11" s="52">
        <v>8.48</v>
      </c>
      <c r="F11" s="52">
        <v>8.7100000000000009</v>
      </c>
      <c r="G11" s="52">
        <v>172.27</v>
      </c>
      <c r="H11" s="52">
        <v>63.72</v>
      </c>
      <c r="I11" s="52">
        <v>4.03</v>
      </c>
      <c r="J11" s="52">
        <v>0.88</v>
      </c>
      <c r="K11" s="52">
        <v>356.97</v>
      </c>
      <c r="L11" s="52">
        <v>16.41</v>
      </c>
      <c r="M11" s="52">
        <v>46.97</v>
      </c>
      <c r="N11" s="52">
        <v>64.400000000000006</v>
      </c>
      <c r="O11" s="52">
        <v>0</v>
      </c>
      <c r="P11" s="52">
        <v>2.58</v>
      </c>
      <c r="Q11" s="52">
        <v>10.53</v>
      </c>
      <c r="R11" s="43"/>
      <c r="S11" s="43"/>
      <c r="T11" s="43"/>
      <c r="U11" s="43"/>
    </row>
    <row r="12" spans="1:21" s="11" customFormat="1" x14ac:dyDescent="0.25">
      <c r="A12" s="51" t="s">
        <v>687</v>
      </c>
      <c r="B12" s="52">
        <v>158.59</v>
      </c>
      <c r="C12" s="52">
        <v>80.180000000000007</v>
      </c>
      <c r="D12" s="52">
        <v>167.69</v>
      </c>
      <c r="E12" s="52">
        <v>7.94</v>
      </c>
      <c r="F12" s="52">
        <v>6.76</v>
      </c>
      <c r="G12" s="52">
        <v>115.39</v>
      </c>
      <c r="H12" s="52">
        <v>54.39</v>
      </c>
      <c r="I12" s="52">
        <v>4.08</v>
      </c>
      <c r="J12" s="52">
        <v>0.71</v>
      </c>
      <c r="K12" s="52">
        <v>298.25</v>
      </c>
      <c r="L12" s="52">
        <v>15.67</v>
      </c>
      <c r="M12" s="52">
        <v>60.25</v>
      </c>
      <c r="N12" s="52">
        <v>64.900000000000006</v>
      </c>
      <c r="O12" s="52">
        <v>0</v>
      </c>
      <c r="P12" s="52">
        <v>2.21</v>
      </c>
      <c r="Q12" s="52">
        <v>10.38</v>
      </c>
      <c r="R12" s="43"/>
      <c r="S12" s="43"/>
      <c r="T12" s="43"/>
      <c r="U12" s="43"/>
    </row>
    <row r="13" spans="1:21" s="11" customFormat="1" x14ac:dyDescent="0.25">
      <c r="A13" s="51" t="s">
        <v>688</v>
      </c>
      <c r="B13" s="52">
        <v>135.63999999999999</v>
      </c>
      <c r="C13" s="52">
        <v>77.16</v>
      </c>
      <c r="D13" s="52">
        <v>146.79</v>
      </c>
      <c r="E13" s="52">
        <v>7.53</v>
      </c>
      <c r="F13" s="52">
        <v>7.19</v>
      </c>
      <c r="G13" s="52">
        <v>115.86</v>
      </c>
      <c r="H13" s="52">
        <v>59.51</v>
      </c>
      <c r="I13" s="52">
        <v>4.1500000000000004</v>
      </c>
      <c r="J13" s="52">
        <v>0.62</v>
      </c>
      <c r="K13" s="52">
        <v>337.99</v>
      </c>
      <c r="L13" s="52">
        <v>14.73</v>
      </c>
      <c r="M13" s="52">
        <v>66.88</v>
      </c>
      <c r="N13" s="52">
        <v>64.599999999999994</v>
      </c>
      <c r="O13" s="52">
        <v>0</v>
      </c>
      <c r="P13" s="52">
        <v>1.84</v>
      </c>
      <c r="Q13" s="52">
        <v>10.19</v>
      </c>
      <c r="R13" s="43"/>
      <c r="S13" s="43"/>
      <c r="T13" s="43"/>
      <c r="U13" s="43"/>
    </row>
    <row r="14" spans="1:21" s="11" customFormat="1" x14ac:dyDescent="0.25">
      <c r="A14" s="51" t="s">
        <v>689</v>
      </c>
      <c r="B14" s="52">
        <v>114.89</v>
      </c>
      <c r="C14" s="52">
        <v>74.2</v>
      </c>
      <c r="D14" s="52">
        <v>129.52000000000001</v>
      </c>
      <c r="E14" s="52">
        <v>7.69</v>
      </c>
      <c r="F14" s="52">
        <v>9.32</v>
      </c>
      <c r="G14" s="52">
        <v>188.81</v>
      </c>
      <c r="H14" s="52">
        <v>58.4</v>
      </c>
      <c r="I14" s="52">
        <v>4.1399999999999997</v>
      </c>
      <c r="J14" s="52">
        <v>0.87</v>
      </c>
      <c r="K14" s="52">
        <v>303.16000000000003</v>
      </c>
      <c r="L14" s="52">
        <v>15.97</v>
      </c>
      <c r="M14" s="52">
        <v>62.21</v>
      </c>
      <c r="N14" s="52">
        <v>64.2</v>
      </c>
      <c r="O14" s="52">
        <v>0</v>
      </c>
      <c r="P14" s="52">
        <v>1.44</v>
      </c>
      <c r="Q14" s="52">
        <v>10.119999999999999</v>
      </c>
      <c r="R14" s="43"/>
      <c r="S14" s="43"/>
      <c r="T14" s="43"/>
      <c r="U14" s="43"/>
    </row>
    <row r="15" spans="1:21" s="11" customFormat="1" x14ac:dyDescent="0.25">
      <c r="A15" s="51" t="s">
        <v>690</v>
      </c>
      <c r="B15" s="52">
        <v>100.06</v>
      </c>
      <c r="C15" s="52">
        <v>69.47</v>
      </c>
      <c r="D15" s="52">
        <v>114.3</v>
      </c>
      <c r="E15" s="52">
        <v>6.91</v>
      </c>
      <c r="F15" s="52">
        <v>8.3699999999999992</v>
      </c>
      <c r="G15" s="52">
        <v>158.85</v>
      </c>
      <c r="H15" s="52">
        <v>54.97</v>
      </c>
      <c r="I15" s="52">
        <v>4.1100000000000003</v>
      </c>
      <c r="J15" s="52">
        <v>1.49</v>
      </c>
      <c r="K15" s="52">
        <v>96.55</v>
      </c>
      <c r="L15" s="52">
        <v>15.93</v>
      </c>
      <c r="M15" s="52">
        <v>48.53</v>
      </c>
      <c r="N15" s="52">
        <v>105.5</v>
      </c>
      <c r="O15" s="52">
        <v>0</v>
      </c>
      <c r="P15" s="52">
        <v>1.29</v>
      </c>
      <c r="Q15" s="52">
        <v>10.11</v>
      </c>
      <c r="R15" s="43"/>
      <c r="S15" s="43"/>
      <c r="T15" s="43"/>
      <c r="U15" s="43"/>
    </row>
    <row r="16" spans="1:21" s="11" customFormat="1" x14ac:dyDescent="0.25">
      <c r="A16" s="51" t="s">
        <v>691</v>
      </c>
      <c r="B16" s="52">
        <v>87.39</v>
      </c>
      <c r="C16" s="52">
        <v>70.25</v>
      </c>
      <c r="D16" s="52">
        <v>105.41</v>
      </c>
      <c r="E16" s="52">
        <v>6.65</v>
      </c>
      <c r="F16" s="52">
        <v>6.88</v>
      </c>
      <c r="G16" s="52">
        <v>94.34</v>
      </c>
      <c r="H16" s="52">
        <v>48.4</v>
      </c>
      <c r="I16" s="52">
        <v>4.0999999999999996</v>
      </c>
      <c r="J16" s="52">
        <v>1.02</v>
      </c>
      <c r="K16" s="52">
        <v>87.41</v>
      </c>
      <c r="L16" s="52">
        <v>21.09</v>
      </c>
      <c r="M16" s="52">
        <v>45.8</v>
      </c>
      <c r="N16" s="52">
        <v>337</v>
      </c>
      <c r="O16" s="52">
        <v>0</v>
      </c>
      <c r="P16" s="52">
        <v>1.37</v>
      </c>
      <c r="Q16" s="52">
        <v>10.01</v>
      </c>
      <c r="R16" s="43"/>
      <c r="S16" s="43"/>
      <c r="T16" s="43"/>
      <c r="U16" s="43"/>
    </row>
    <row r="17" spans="1:21" s="11" customFormat="1" x14ac:dyDescent="0.25">
      <c r="A17" s="51" t="s">
        <v>692</v>
      </c>
      <c r="B17" s="52">
        <v>71.41</v>
      </c>
      <c r="C17" s="52">
        <v>77.73</v>
      </c>
      <c r="D17" s="52">
        <v>93.57</v>
      </c>
      <c r="E17" s="52">
        <v>6.59</v>
      </c>
      <c r="F17" s="52">
        <v>7.73</v>
      </c>
      <c r="G17" s="52">
        <v>75.900000000000006</v>
      </c>
      <c r="H17" s="52">
        <v>35.32</v>
      </c>
      <c r="I17" s="52">
        <v>4.08</v>
      </c>
      <c r="J17" s="52">
        <v>1.58</v>
      </c>
      <c r="K17" s="52">
        <v>356.92</v>
      </c>
      <c r="L17" s="52">
        <v>26.15</v>
      </c>
      <c r="M17" s="52">
        <v>32.340000000000003</v>
      </c>
      <c r="N17" s="52">
        <v>555.20000000000005</v>
      </c>
      <c r="O17" s="52">
        <v>0</v>
      </c>
      <c r="P17" s="52">
        <v>1.21</v>
      </c>
      <c r="Q17" s="52">
        <v>9.93</v>
      </c>
      <c r="R17" s="43"/>
      <c r="S17" s="43"/>
      <c r="T17" s="43"/>
      <c r="U17" s="43"/>
    </row>
    <row r="18" spans="1:21" s="11" customFormat="1" x14ac:dyDescent="0.25">
      <c r="A18" s="51" t="s">
        <v>693</v>
      </c>
      <c r="B18" s="52">
        <v>62.8</v>
      </c>
      <c r="C18" s="52">
        <v>89.74</v>
      </c>
      <c r="D18" s="52">
        <v>94.25</v>
      </c>
      <c r="E18" s="52">
        <v>10.78</v>
      </c>
      <c r="F18" s="52">
        <v>11.06</v>
      </c>
      <c r="G18" s="52">
        <v>79.209999999999994</v>
      </c>
      <c r="H18" s="52">
        <v>20.76</v>
      </c>
      <c r="I18" s="52">
        <v>4.0999999999999996</v>
      </c>
      <c r="J18" s="52">
        <v>1.49</v>
      </c>
      <c r="K18" s="52">
        <v>83.73</v>
      </c>
      <c r="L18" s="52">
        <v>26.12</v>
      </c>
      <c r="M18" s="52">
        <v>29.31</v>
      </c>
      <c r="N18" s="52">
        <v>751.5</v>
      </c>
      <c r="O18" s="52">
        <v>0</v>
      </c>
      <c r="P18" s="52">
        <v>1.01</v>
      </c>
      <c r="Q18" s="52">
        <v>9.82</v>
      </c>
      <c r="R18" s="43"/>
      <c r="S18" s="43"/>
      <c r="T18" s="43"/>
      <c r="U18" s="43"/>
    </row>
    <row r="19" spans="1:21" s="11" customFormat="1" x14ac:dyDescent="0.25">
      <c r="A19" s="51" t="s">
        <v>694</v>
      </c>
      <c r="B19" s="52">
        <v>49.3</v>
      </c>
      <c r="C19" s="52">
        <v>82.69</v>
      </c>
      <c r="D19" s="52">
        <v>80.33</v>
      </c>
      <c r="E19" s="52">
        <v>10.39</v>
      </c>
      <c r="F19" s="52">
        <v>11.49</v>
      </c>
      <c r="G19" s="52">
        <v>78.239999999999995</v>
      </c>
      <c r="H19" s="52">
        <v>35.69</v>
      </c>
      <c r="I19" s="52">
        <v>4.0199999999999996</v>
      </c>
      <c r="J19" s="52">
        <v>1.31</v>
      </c>
      <c r="K19" s="52">
        <v>75.69</v>
      </c>
      <c r="L19" s="52">
        <v>27.39</v>
      </c>
      <c r="M19" s="52">
        <v>26.76</v>
      </c>
      <c r="N19" s="52">
        <v>903.1</v>
      </c>
      <c r="O19" s="52">
        <v>0</v>
      </c>
      <c r="P19" s="52">
        <v>0.85</v>
      </c>
      <c r="Q19" s="52">
        <v>9.83</v>
      </c>
      <c r="R19" s="43"/>
      <c r="S19" s="43"/>
      <c r="T19" s="43"/>
      <c r="U19" s="43"/>
    </row>
    <row r="20" spans="1:21" s="11" customFormat="1" x14ac:dyDescent="0.25">
      <c r="A20" s="51" t="s">
        <v>695</v>
      </c>
      <c r="B20" s="52">
        <v>39.36</v>
      </c>
      <c r="C20" s="52">
        <v>80.13</v>
      </c>
      <c r="D20" s="52">
        <v>71.44</v>
      </c>
      <c r="E20" s="52">
        <v>7.93</v>
      </c>
      <c r="F20" s="52">
        <v>9.5399999999999991</v>
      </c>
      <c r="G20" s="52">
        <v>72.34</v>
      </c>
      <c r="H20" s="52">
        <v>34.29</v>
      </c>
      <c r="I20" s="52">
        <v>4.0199999999999996</v>
      </c>
      <c r="J20" s="52">
        <v>1.1000000000000001</v>
      </c>
      <c r="K20" s="52">
        <v>54.37</v>
      </c>
      <c r="L20" s="52">
        <v>29.19</v>
      </c>
      <c r="M20" s="52">
        <v>23.8</v>
      </c>
      <c r="N20" s="52">
        <v>913.7</v>
      </c>
      <c r="O20" s="52">
        <v>0</v>
      </c>
      <c r="P20" s="52">
        <v>0.77</v>
      </c>
      <c r="Q20" s="52">
        <v>9.77</v>
      </c>
      <c r="R20" s="43"/>
      <c r="S20" s="43"/>
      <c r="T20" s="43"/>
      <c r="U20" s="43"/>
    </row>
    <row r="21" spans="1:21" s="11" customFormat="1" x14ac:dyDescent="0.25">
      <c r="A21" s="51" t="s">
        <v>696</v>
      </c>
      <c r="B21" s="52">
        <v>26.21</v>
      </c>
      <c r="C21" s="52">
        <v>77.540000000000006</v>
      </c>
      <c r="D21" s="52">
        <v>59.98</v>
      </c>
      <c r="E21" s="52">
        <v>8.2799999999999994</v>
      </c>
      <c r="F21" s="52">
        <v>11.35</v>
      </c>
      <c r="G21" s="52">
        <v>62.78</v>
      </c>
      <c r="H21" s="52">
        <v>29.85</v>
      </c>
      <c r="I21" s="52">
        <v>4.18</v>
      </c>
      <c r="J21" s="52">
        <v>1</v>
      </c>
      <c r="K21" s="52">
        <v>347.05</v>
      </c>
      <c r="L21" s="52">
        <v>31.62</v>
      </c>
      <c r="M21" s="52">
        <v>24.34</v>
      </c>
      <c r="N21" s="52">
        <v>854.7</v>
      </c>
      <c r="O21" s="52">
        <v>0</v>
      </c>
      <c r="P21" s="52">
        <v>0.65</v>
      </c>
      <c r="Q21" s="52">
        <v>9.7200000000000006</v>
      </c>
      <c r="R21" s="43"/>
      <c r="S21" s="43"/>
      <c r="T21" s="43"/>
      <c r="U21" s="43"/>
    </row>
    <row r="22" spans="1:21" s="11" customFormat="1" x14ac:dyDescent="0.25">
      <c r="A22" s="51" t="s">
        <v>697</v>
      </c>
      <c r="B22" s="52">
        <v>16.510000000000002</v>
      </c>
      <c r="C22" s="52">
        <v>77.069999999999993</v>
      </c>
      <c r="D22" s="52">
        <v>52.1</v>
      </c>
      <c r="E22" s="52">
        <v>21.17</v>
      </c>
      <c r="F22" s="52">
        <v>25.66</v>
      </c>
      <c r="G22" s="52">
        <v>55.48</v>
      </c>
      <c r="H22" s="52">
        <v>24.07</v>
      </c>
      <c r="I22" s="52">
        <v>4.2</v>
      </c>
      <c r="J22" s="52">
        <v>2.2400000000000002</v>
      </c>
      <c r="K22" s="52">
        <v>330.32</v>
      </c>
      <c r="L22" s="52">
        <v>31.09</v>
      </c>
      <c r="M22" s="52">
        <v>21.98</v>
      </c>
      <c r="N22" s="52">
        <v>839.8</v>
      </c>
      <c r="O22" s="52">
        <v>0</v>
      </c>
      <c r="P22" s="52">
        <v>0.65</v>
      </c>
      <c r="Q22" s="52">
        <v>9.66</v>
      </c>
      <c r="R22" s="43"/>
      <c r="S22" s="43"/>
      <c r="T22" s="43"/>
      <c r="U22" s="43"/>
    </row>
    <row r="23" spans="1:21" s="11" customFormat="1" x14ac:dyDescent="0.25">
      <c r="A23" s="51" t="s">
        <v>698</v>
      </c>
      <c r="B23" s="52">
        <v>11.92</v>
      </c>
      <c r="C23" s="52">
        <v>71</v>
      </c>
      <c r="D23" s="52">
        <v>44.93</v>
      </c>
      <c r="E23" s="52">
        <v>18.55</v>
      </c>
      <c r="F23" s="52">
        <v>26.88</v>
      </c>
      <c r="G23" s="52">
        <v>49.88</v>
      </c>
      <c r="H23" s="52">
        <v>19.760000000000002</v>
      </c>
      <c r="I23" s="52">
        <v>4.0199999999999996</v>
      </c>
      <c r="J23" s="52">
        <v>1.47</v>
      </c>
      <c r="K23" s="52">
        <v>349.5</v>
      </c>
      <c r="L23" s="52">
        <v>32.14</v>
      </c>
      <c r="M23" s="52">
        <v>17.75</v>
      </c>
      <c r="N23" s="52">
        <v>611.20000000000005</v>
      </c>
      <c r="O23" s="52">
        <v>0</v>
      </c>
      <c r="P23" s="52">
        <v>0.56000000000000005</v>
      </c>
      <c r="Q23" s="52">
        <v>9.6</v>
      </c>
      <c r="R23" s="43"/>
      <c r="S23" s="43"/>
      <c r="T23" s="43"/>
      <c r="U23" s="43"/>
    </row>
    <row r="24" spans="1:21" s="11" customFormat="1" x14ac:dyDescent="0.25">
      <c r="A24" s="51" t="s">
        <v>699</v>
      </c>
      <c r="B24" s="52">
        <v>12.3</v>
      </c>
      <c r="C24" s="52">
        <v>75.09</v>
      </c>
      <c r="D24" s="52">
        <v>46.62</v>
      </c>
      <c r="E24" s="52">
        <v>21.2</v>
      </c>
      <c r="F24" s="52">
        <v>30.92</v>
      </c>
      <c r="G24" s="52">
        <v>74.209999999999994</v>
      </c>
      <c r="H24" s="52">
        <v>19.79</v>
      </c>
      <c r="I24" s="52">
        <v>4.1100000000000003</v>
      </c>
      <c r="J24" s="52">
        <v>1.87</v>
      </c>
      <c r="K24" s="52">
        <v>354.43</v>
      </c>
      <c r="L24" s="52">
        <v>30.79</v>
      </c>
      <c r="M24" s="52">
        <v>19.760000000000002</v>
      </c>
      <c r="N24" s="52">
        <v>356.9</v>
      </c>
      <c r="O24" s="52">
        <v>0</v>
      </c>
      <c r="P24" s="52">
        <v>0.56999999999999995</v>
      </c>
      <c r="Q24" s="52">
        <v>9.6</v>
      </c>
      <c r="R24" s="43"/>
      <c r="S24" s="43"/>
      <c r="T24" s="43"/>
      <c r="U24" s="43"/>
    </row>
    <row r="25" spans="1:21" s="11" customFormat="1" x14ac:dyDescent="0.25">
      <c r="A25" s="51" t="s">
        <v>700</v>
      </c>
      <c r="B25" s="52">
        <v>10.7</v>
      </c>
      <c r="C25" s="52">
        <v>75.48</v>
      </c>
      <c r="D25" s="52">
        <v>45.91</v>
      </c>
      <c r="E25" s="52">
        <v>11.97</v>
      </c>
      <c r="F25" s="52">
        <v>13.71</v>
      </c>
      <c r="G25" s="52">
        <v>70.540000000000006</v>
      </c>
      <c r="H25" s="52">
        <v>19.66</v>
      </c>
      <c r="I25" s="52">
        <v>4.04</v>
      </c>
      <c r="J25" s="52">
        <v>2.09</v>
      </c>
      <c r="K25" s="52">
        <v>355.52</v>
      </c>
      <c r="L25" s="52">
        <v>29.01</v>
      </c>
      <c r="M25" s="52">
        <v>22.27</v>
      </c>
      <c r="N25" s="52">
        <v>160.1</v>
      </c>
      <c r="O25" s="52">
        <v>0</v>
      </c>
      <c r="P25" s="52">
        <v>0.57999999999999996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701</v>
      </c>
      <c r="B26" s="52">
        <v>30.3</v>
      </c>
      <c r="C26" s="52">
        <v>82.08</v>
      </c>
      <c r="D26" s="52">
        <v>65.81</v>
      </c>
      <c r="E26" s="52">
        <v>10.35</v>
      </c>
      <c r="F26" s="52">
        <v>12.87</v>
      </c>
      <c r="G26" s="52">
        <v>72.22</v>
      </c>
      <c r="H26" s="52">
        <v>17.2</v>
      </c>
      <c r="I26" s="52">
        <v>4.17</v>
      </c>
      <c r="J26" s="52">
        <v>1.98</v>
      </c>
      <c r="K26" s="52">
        <v>356.92</v>
      </c>
      <c r="L26" s="52">
        <v>26.78</v>
      </c>
      <c r="M26" s="52">
        <v>23.88</v>
      </c>
      <c r="N26" s="52">
        <v>98.1</v>
      </c>
      <c r="O26" s="52">
        <v>0</v>
      </c>
      <c r="P26" s="52">
        <v>0.73</v>
      </c>
      <c r="Q26" s="52">
        <v>9.59</v>
      </c>
      <c r="R26" s="43"/>
      <c r="S26" s="43"/>
      <c r="T26" s="43"/>
      <c r="U26" s="43"/>
    </row>
    <row r="27" spans="1:21" s="11" customFormat="1" x14ac:dyDescent="0.25">
      <c r="A27" s="51" t="s">
        <v>702</v>
      </c>
      <c r="B27" s="52">
        <v>97.38</v>
      </c>
      <c r="C27" s="52">
        <v>113.5</v>
      </c>
      <c r="D27" s="52">
        <v>136.01</v>
      </c>
      <c r="E27" s="52">
        <v>14.63</v>
      </c>
      <c r="F27" s="52">
        <v>10</v>
      </c>
      <c r="G27" s="52">
        <v>74.37</v>
      </c>
      <c r="H27" s="52">
        <v>16.559999999999999</v>
      </c>
      <c r="I27" s="52">
        <v>4.1500000000000004</v>
      </c>
      <c r="J27" s="52">
        <v>0.68</v>
      </c>
      <c r="K27" s="52">
        <v>250.69</v>
      </c>
      <c r="L27" s="52">
        <v>24.06</v>
      </c>
      <c r="M27" s="52">
        <v>31.01</v>
      </c>
      <c r="N27" s="52">
        <v>68.2</v>
      </c>
      <c r="O27" s="52">
        <v>0</v>
      </c>
      <c r="P27" s="52">
        <v>1.45</v>
      </c>
      <c r="Q27" s="52">
        <v>9.61</v>
      </c>
      <c r="R27" s="43"/>
      <c r="S27" s="43"/>
      <c r="T27" s="43"/>
      <c r="U27" s="43"/>
    </row>
    <row r="28" spans="1:21" s="11" customFormat="1" x14ac:dyDescent="0.25">
      <c r="A28" s="51" t="s">
        <v>703</v>
      </c>
      <c r="B28" s="52">
        <v>167.75</v>
      </c>
      <c r="C28" s="52">
        <v>115.49</v>
      </c>
      <c r="D28" s="52">
        <v>192.99</v>
      </c>
      <c r="E28" s="52">
        <v>13.15</v>
      </c>
      <c r="F28" s="52">
        <v>8.77</v>
      </c>
      <c r="G28" s="52">
        <v>111.81</v>
      </c>
      <c r="H28" s="52">
        <v>24.57</v>
      </c>
      <c r="I28" s="52">
        <v>4.04</v>
      </c>
      <c r="J28" s="52">
        <v>0.73</v>
      </c>
      <c r="K28" s="52">
        <v>358.17</v>
      </c>
      <c r="L28" s="52">
        <v>22.12</v>
      </c>
      <c r="M28" s="52">
        <v>46.78</v>
      </c>
      <c r="N28" s="52">
        <v>66.7</v>
      </c>
      <c r="O28" s="52">
        <v>0</v>
      </c>
      <c r="P28" s="52">
        <v>2.79</v>
      </c>
      <c r="Q28" s="52">
        <v>9.6</v>
      </c>
      <c r="R28" s="43"/>
      <c r="S28" s="43"/>
      <c r="T28" s="43"/>
      <c r="U28" s="43"/>
    </row>
    <row r="29" spans="1:21" s="11" customFormat="1" x14ac:dyDescent="0.25">
      <c r="A29" s="51" t="s">
        <v>704</v>
      </c>
      <c r="B29" s="52">
        <v>107.47</v>
      </c>
      <c r="C29" s="52">
        <v>93.02</v>
      </c>
      <c r="D29" s="52">
        <v>132.26</v>
      </c>
      <c r="E29" s="52">
        <v>8.59</v>
      </c>
      <c r="F29" s="52">
        <v>7.41</v>
      </c>
      <c r="G29" s="52">
        <v>178.04</v>
      </c>
      <c r="H29" s="52">
        <v>94.3</v>
      </c>
      <c r="I29" s="52">
        <v>4.0599999999999996</v>
      </c>
      <c r="J29" s="52">
        <v>0.76</v>
      </c>
      <c r="K29" s="52">
        <v>350.96</v>
      </c>
      <c r="L29" s="52">
        <v>20.9</v>
      </c>
      <c r="M29" s="52">
        <v>45.6</v>
      </c>
      <c r="N29" s="52">
        <v>66.7</v>
      </c>
      <c r="O29" s="52">
        <v>0</v>
      </c>
      <c r="P29" s="52">
        <v>2.13</v>
      </c>
      <c r="Q29" s="52">
        <v>9.8000000000000007</v>
      </c>
      <c r="R29" s="43"/>
      <c r="S29" s="43"/>
      <c r="T29" s="43"/>
      <c r="U29" s="43"/>
    </row>
    <row r="30" spans="1:21" s="11" customFormat="1" x14ac:dyDescent="0.25">
      <c r="A30" s="51" t="s">
        <v>705</v>
      </c>
      <c r="B30" s="52">
        <v>112.26</v>
      </c>
      <c r="C30" s="52">
        <v>84.28</v>
      </c>
      <c r="D30" s="52">
        <v>131.02000000000001</v>
      </c>
      <c r="E30" s="52">
        <v>7.3</v>
      </c>
      <c r="F30" s="52">
        <v>7.28</v>
      </c>
      <c r="G30" s="52">
        <v>180.9</v>
      </c>
      <c r="H30" s="52">
        <v>93.52</v>
      </c>
      <c r="I30" s="52">
        <v>4.18</v>
      </c>
      <c r="J30" s="52">
        <v>0.72</v>
      </c>
      <c r="K30" s="52">
        <v>327.75</v>
      </c>
      <c r="L30" s="52">
        <v>20.41</v>
      </c>
      <c r="M30" s="52">
        <v>48.13</v>
      </c>
      <c r="N30" s="52">
        <v>66.900000000000006</v>
      </c>
      <c r="O30" s="52">
        <v>0</v>
      </c>
      <c r="P30" s="52">
        <v>2</v>
      </c>
      <c r="Q30" s="52">
        <v>9.92</v>
      </c>
      <c r="R30" s="43"/>
      <c r="S30" s="43"/>
      <c r="T30" s="43"/>
      <c r="U30" s="43"/>
    </row>
    <row r="31" spans="1:21" s="11" customFormat="1" x14ac:dyDescent="0.25">
      <c r="A31" s="51" t="s">
        <v>706</v>
      </c>
      <c r="B31" s="52">
        <v>289.58999999999997</v>
      </c>
      <c r="C31" s="52">
        <v>120.58</v>
      </c>
      <c r="D31" s="52">
        <v>293.85000000000002</v>
      </c>
      <c r="E31" s="52">
        <v>9.65</v>
      </c>
      <c r="F31" s="52">
        <v>8.0399999999999991</v>
      </c>
      <c r="G31" s="52">
        <v>189.83</v>
      </c>
      <c r="H31" s="52">
        <v>80.290000000000006</v>
      </c>
      <c r="I31" s="52">
        <v>4.03</v>
      </c>
      <c r="J31" s="52">
        <v>0.56999999999999995</v>
      </c>
      <c r="K31" s="52">
        <v>331.4</v>
      </c>
      <c r="L31" s="52">
        <v>18.78</v>
      </c>
      <c r="M31" s="52">
        <v>55.47</v>
      </c>
      <c r="N31" s="52">
        <v>66.7</v>
      </c>
      <c r="O31" s="52">
        <v>0</v>
      </c>
      <c r="P31" s="52">
        <v>2.33</v>
      </c>
      <c r="Q31" s="52">
        <v>9.9700000000000006</v>
      </c>
      <c r="R31" s="43"/>
      <c r="S31" s="43"/>
      <c r="T31" s="43"/>
      <c r="U31" s="43"/>
    </row>
    <row r="32" spans="1:21" s="11" customFormat="1" x14ac:dyDescent="0.25">
      <c r="A32" s="51" t="s">
        <v>707</v>
      </c>
      <c r="B32" s="52">
        <v>199.99</v>
      </c>
      <c r="C32" s="52">
        <v>96.5</v>
      </c>
      <c r="D32" s="52">
        <v>207.75</v>
      </c>
      <c r="E32" s="52">
        <v>9.26</v>
      </c>
      <c r="F32" s="52">
        <v>7.97</v>
      </c>
      <c r="G32" s="52">
        <v>189.73</v>
      </c>
      <c r="H32" s="52">
        <v>53.91</v>
      </c>
      <c r="I32" s="52">
        <v>4.13</v>
      </c>
      <c r="J32" s="52">
        <v>0.51</v>
      </c>
      <c r="K32" s="52">
        <v>335.84</v>
      </c>
      <c r="L32" s="52">
        <v>17.75</v>
      </c>
      <c r="M32" s="52">
        <v>60.79</v>
      </c>
      <c r="N32" s="52">
        <v>66.7</v>
      </c>
      <c r="O32" s="52">
        <v>0</v>
      </c>
      <c r="P32" s="52">
        <v>2.2000000000000002</v>
      </c>
      <c r="Q32" s="52">
        <v>10.1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10.7</v>
      </c>
      <c r="C34" s="28">
        <f t="shared" si="0"/>
        <v>69.47</v>
      </c>
      <c r="D34" s="28">
        <f t="shared" si="0"/>
        <v>44.93</v>
      </c>
      <c r="E34" s="28">
        <f t="shared" si="0"/>
        <v>6.59</v>
      </c>
      <c r="F34" s="28">
        <f t="shared" si="0"/>
        <v>6.76</v>
      </c>
      <c r="G34" s="28">
        <f t="shared" si="0"/>
        <v>49.88</v>
      </c>
      <c r="H34" s="28">
        <f t="shared" si="0"/>
        <v>16.559999999999999</v>
      </c>
      <c r="I34" s="28">
        <f t="shared" si="0"/>
        <v>3.95</v>
      </c>
      <c r="J34" s="28">
        <f t="shared" si="0"/>
        <v>0.51</v>
      </c>
      <c r="K34" s="28">
        <f t="shared" si="0"/>
        <v>54.37</v>
      </c>
      <c r="L34" s="28">
        <f t="shared" si="0"/>
        <v>14.73</v>
      </c>
      <c r="M34" s="28">
        <f t="shared" si="0"/>
        <v>17.75</v>
      </c>
      <c r="N34" s="28">
        <f t="shared" si="0"/>
        <v>64.2</v>
      </c>
      <c r="O34" s="28">
        <f t="shared" si="0"/>
        <v>0</v>
      </c>
      <c r="P34" s="28">
        <f t="shared" si="0"/>
        <v>0.56000000000000005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289.58999999999997</v>
      </c>
      <c r="C35" s="29">
        <f t="shared" si="1"/>
        <v>120.58</v>
      </c>
      <c r="D35" s="29">
        <f t="shared" si="1"/>
        <v>293.85000000000002</v>
      </c>
      <c r="E35" s="29">
        <f t="shared" si="1"/>
        <v>21.2</v>
      </c>
      <c r="F35" s="29">
        <f t="shared" si="1"/>
        <v>30.92</v>
      </c>
      <c r="G35" s="29">
        <f t="shared" si="1"/>
        <v>278.14999999999998</v>
      </c>
      <c r="H35" s="29">
        <f t="shared" si="1"/>
        <v>94.3</v>
      </c>
      <c r="I35" s="29">
        <f t="shared" si="1"/>
        <v>4.2</v>
      </c>
      <c r="J35" s="29">
        <f t="shared" si="1"/>
        <v>2.2400000000000002</v>
      </c>
      <c r="K35" s="29">
        <f t="shared" si="1"/>
        <v>358.17</v>
      </c>
      <c r="L35" s="29">
        <f t="shared" si="1"/>
        <v>32.14</v>
      </c>
      <c r="M35" s="29">
        <f t="shared" si="1"/>
        <v>66.88</v>
      </c>
      <c r="N35" s="29">
        <f t="shared" si="1"/>
        <v>913.7</v>
      </c>
      <c r="O35" s="29">
        <f t="shared" si="1"/>
        <v>0</v>
      </c>
      <c r="P35" s="29">
        <f t="shared" si="1"/>
        <v>3.51</v>
      </c>
      <c r="Q35" s="29">
        <f t="shared" si="1"/>
        <v>10.55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105.49375000000002</v>
      </c>
      <c r="C36" s="28">
        <f t="shared" si="2"/>
        <v>86.174583333333317</v>
      </c>
      <c r="D36" s="28">
        <f t="shared" si="2"/>
        <v>127.60583333333334</v>
      </c>
      <c r="E36" s="28">
        <f t="shared" si="2"/>
        <v>10.604166666666668</v>
      </c>
      <c r="F36" s="28">
        <f t="shared" si="2"/>
        <v>11.456250000000002</v>
      </c>
      <c r="G36" s="28">
        <f t="shared" si="2"/>
        <v>124.5675</v>
      </c>
      <c r="H36" s="28">
        <f t="shared" si="2"/>
        <v>45.582916666666669</v>
      </c>
      <c r="I36" s="28">
        <f t="shared" si="2"/>
        <v>4.0895833333333336</v>
      </c>
      <c r="J36" s="28">
        <f t="shared" si="2"/>
        <v>1.1491666666666669</v>
      </c>
      <c r="K36" s="28">
        <f t="shared" si="2"/>
        <v>283.19499999999999</v>
      </c>
      <c r="L36" s="28">
        <f t="shared" si="2"/>
        <v>22.784999999999997</v>
      </c>
      <c r="M36" s="28">
        <f t="shared" si="2"/>
        <v>40.591249999999995</v>
      </c>
      <c r="N36" s="28">
        <f t="shared" si="2"/>
        <v>303.15416666666664</v>
      </c>
      <c r="O36" s="28">
        <f t="shared" si="2"/>
        <v>0</v>
      </c>
      <c r="P36" s="28">
        <f t="shared" si="2"/>
        <v>1.5574999999999999</v>
      </c>
      <c r="Q36" s="28">
        <f t="shared" si="2"/>
        <v>9.9366666666666656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78.702809728999654</v>
      </c>
      <c r="C37" s="28">
        <f t="shared" ref="C37:Q37" si="3">STDEV(C9:C32)</f>
        <v>14.632010762341567</v>
      </c>
      <c r="D37" s="28">
        <f t="shared" si="3"/>
        <v>68.651616081340094</v>
      </c>
      <c r="E37" s="28">
        <f t="shared" si="3"/>
        <v>4.2650081978275525</v>
      </c>
      <c r="F37" s="28">
        <f t="shared" si="3"/>
        <v>6.6312572173463957</v>
      </c>
      <c r="G37" s="28">
        <f t="shared" si="3"/>
        <v>64.933117379413503</v>
      </c>
      <c r="H37" s="28">
        <f t="shared" si="3"/>
        <v>24.248471126913412</v>
      </c>
      <c r="I37" s="28">
        <f t="shared" si="3"/>
        <v>6.4435958545079414E-2</v>
      </c>
      <c r="J37" s="28">
        <f t="shared" si="3"/>
        <v>0.51630726162411889</v>
      </c>
      <c r="K37" s="28">
        <f t="shared" si="3"/>
        <v>109.58888605979196</v>
      </c>
      <c r="L37" s="28">
        <f t="shared" si="3"/>
        <v>5.991231999310787</v>
      </c>
      <c r="M37" s="28">
        <f t="shared" si="3"/>
        <v>16.038004405975411</v>
      </c>
      <c r="N37" s="28">
        <f t="shared" si="3"/>
        <v>327.4629816173275</v>
      </c>
      <c r="O37" s="28">
        <f t="shared" si="3"/>
        <v>0</v>
      </c>
      <c r="P37" s="28">
        <f t="shared" si="3"/>
        <v>0.84857553275039022</v>
      </c>
      <c r="Q37" s="28">
        <f t="shared" si="3"/>
        <v>0.31247492653034586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708</v>
      </c>
      <c r="B9" s="52">
        <v>225.4</v>
      </c>
      <c r="C9" s="52">
        <v>96.49</v>
      </c>
      <c r="D9" s="52">
        <v>229.79</v>
      </c>
      <c r="E9" s="52">
        <v>8.41</v>
      </c>
      <c r="F9" s="52">
        <v>7.55</v>
      </c>
      <c r="G9" s="52">
        <v>215.54</v>
      </c>
      <c r="H9" s="52">
        <v>44.1</v>
      </c>
      <c r="I9" s="52">
        <v>4.1900000000000004</v>
      </c>
      <c r="J9" s="52">
        <v>0.55000000000000004</v>
      </c>
      <c r="K9" s="52">
        <v>326.07</v>
      </c>
      <c r="L9" s="52">
        <v>17.41</v>
      </c>
      <c r="M9" s="52">
        <v>64.19</v>
      </c>
      <c r="N9" s="52">
        <v>66.7</v>
      </c>
      <c r="O9" s="52">
        <v>0</v>
      </c>
      <c r="P9" s="52">
        <v>2.13</v>
      </c>
      <c r="Q9" s="52">
        <v>10.23</v>
      </c>
      <c r="R9" s="43"/>
      <c r="S9" s="43"/>
      <c r="T9" s="43"/>
      <c r="U9" s="43"/>
    </row>
    <row r="10" spans="1:21" s="11" customFormat="1" x14ac:dyDescent="0.25">
      <c r="A10" s="51" t="s">
        <v>709</v>
      </c>
      <c r="B10" s="52">
        <v>177.38</v>
      </c>
      <c r="C10" s="52">
        <v>78.930000000000007</v>
      </c>
      <c r="D10" s="52">
        <v>182.11</v>
      </c>
      <c r="E10" s="52">
        <v>7.04</v>
      </c>
      <c r="F10" s="52">
        <v>6.94</v>
      </c>
      <c r="G10" s="52">
        <v>183.03</v>
      </c>
      <c r="H10" s="52">
        <v>30.48</v>
      </c>
      <c r="I10" s="52">
        <v>4.1500000000000004</v>
      </c>
      <c r="J10" s="52">
        <v>0.54</v>
      </c>
      <c r="K10" s="52">
        <v>351.59</v>
      </c>
      <c r="L10" s="52">
        <v>16.940000000000001</v>
      </c>
      <c r="M10" s="52">
        <v>71.88</v>
      </c>
      <c r="N10" s="52">
        <v>66.8</v>
      </c>
      <c r="O10" s="52">
        <v>0</v>
      </c>
      <c r="P10" s="52">
        <v>1.83</v>
      </c>
      <c r="Q10" s="52">
        <v>10.31</v>
      </c>
      <c r="R10" s="43"/>
      <c r="S10" s="43"/>
      <c r="T10" s="43"/>
      <c r="U10" s="43"/>
    </row>
    <row r="11" spans="1:21" s="11" customFormat="1" x14ac:dyDescent="0.25">
      <c r="A11" s="51" t="s">
        <v>710</v>
      </c>
      <c r="B11" s="52">
        <v>164.83</v>
      </c>
      <c r="C11" s="52">
        <v>76.13</v>
      </c>
      <c r="D11" s="52">
        <v>170.58</v>
      </c>
      <c r="E11" s="52">
        <v>6.94</v>
      </c>
      <c r="F11" s="52">
        <v>7.27</v>
      </c>
      <c r="G11" s="52">
        <v>120.68</v>
      </c>
      <c r="H11" s="52">
        <v>56.23</v>
      </c>
      <c r="I11" s="52">
        <v>4.17</v>
      </c>
      <c r="J11" s="52">
        <v>0.75</v>
      </c>
      <c r="K11" s="52">
        <v>312.51</v>
      </c>
      <c r="L11" s="52">
        <v>16.649999999999999</v>
      </c>
      <c r="M11" s="52">
        <v>75.36</v>
      </c>
      <c r="N11" s="52">
        <v>67</v>
      </c>
      <c r="O11" s="52">
        <v>0</v>
      </c>
      <c r="P11" s="52">
        <v>1.78</v>
      </c>
      <c r="Q11" s="52">
        <v>10.24</v>
      </c>
      <c r="R11" s="43"/>
      <c r="S11" s="43"/>
      <c r="T11" s="43"/>
      <c r="U11" s="43"/>
    </row>
    <row r="12" spans="1:21" s="11" customFormat="1" x14ac:dyDescent="0.25">
      <c r="A12" s="51" t="s">
        <v>711</v>
      </c>
      <c r="B12" s="52">
        <v>135.46</v>
      </c>
      <c r="C12" s="52">
        <v>68.73</v>
      </c>
      <c r="D12" s="52">
        <v>143.16</v>
      </c>
      <c r="E12" s="52">
        <v>6.98</v>
      </c>
      <c r="F12" s="52">
        <v>7.33</v>
      </c>
      <c r="G12" s="52">
        <v>114.98</v>
      </c>
      <c r="H12" s="52">
        <v>52.81</v>
      </c>
      <c r="I12" s="52">
        <v>4.0999999999999996</v>
      </c>
      <c r="J12" s="52">
        <v>0.79</v>
      </c>
      <c r="K12" s="52">
        <v>277.27</v>
      </c>
      <c r="L12" s="52">
        <v>15.61</v>
      </c>
      <c r="M12" s="52">
        <v>77.180000000000007</v>
      </c>
      <c r="N12" s="52">
        <v>67</v>
      </c>
      <c r="O12" s="52">
        <v>0</v>
      </c>
      <c r="P12" s="52">
        <v>1.53</v>
      </c>
      <c r="Q12" s="52">
        <v>10.199999999999999</v>
      </c>
      <c r="R12" s="43"/>
      <c r="S12" s="43"/>
      <c r="T12" s="43"/>
      <c r="U12" s="43"/>
    </row>
    <row r="13" spans="1:21" s="11" customFormat="1" x14ac:dyDescent="0.25">
      <c r="A13" s="51" t="s">
        <v>712</v>
      </c>
      <c r="B13" s="52">
        <v>147.13</v>
      </c>
      <c r="C13" s="52">
        <v>69.11</v>
      </c>
      <c r="D13" s="52">
        <v>152.72</v>
      </c>
      <c r="E13" s="52">
        <v>6.81</v>
      </c>
      <c r="F13" s="52">
        <v>7.18</v>
      </c>
      <c r="G13" s="52">
        <v>117.47</v>
      </c>
      <c r="H13" s="52">
        <v>39.049999999999997</v>
      </c>
      <c r="I13" s="52">
        <v>4.07</v>
      </c>
      <c r="J13" s="52">
        <v>0.54</v>
      </c>
      <c r="K13" s="52">
        <v>261.69</v>
      </c>
      <c r="L13" s="52">
        <v>15.53</v>
      </c>
      <c r="M13" s="52">
        <v>82.69</v>
      </c>
      <c r="N13" s="52">
        <v>66.900000000000006</v>
      </c>
      <c r="O13" s="52">
        <v>0</v>
      </c>
      <c r="P13" s="52">
        <v>1.54</v>
      </c>
      <c r="Q13" s="52">
        <v>10.14</v>
      </c>
      <c r="R13" s="43"/>
      <c r="S13" s="43"/>
      <c r="T13" s="43"/>
      <c r="U13" s="43"/>
    </row>
    <row r="14" spans="1:21" s="11" customFormat="1" x14ac:dyDescent="0.25">
      <c r="A14" s="51" t="s">
        <v>713</v>
      </c>
      <c r="B14" s="52">
        <v>141.82</v>
      </c>
      <c r="C14" s="52">
        <v>67.92</v>
      </c>
      <c r="D14" s="52">
        <v>147.77000000000001</v>
      </c>
      <c r="E14" s="52">
        <v>7.05</v>
      </c>
      <c r="F14" s="52">
        <v>7.24</v>
      </c>
      <c r="G14" s="52">
        <v>116.9</v>
      </c>
      <c r="H14" s="52">
        <v>39.51</v>
      </c>
      <c r="I14" s="52">
        <v>4.0599999999999996</v>
      </c>
      <c r="J14" s="52">
        <v>0.54</v>
      </c>
      <c r="K14" s="52">
        <v>254.29</v>
      </c>
      <c r="L14" s="52">
        <v>15.5</v>
      </c>
      <c r="M14" s="52">
        <v>72.23</v>
      </c>
      <c r="N14" s="52">
        <v>66.900000000000006</v>
      </c>
      <c r="O14" s="52">
        <v>0</v>
      </c>
      <c r="P14" s="52">
        <v>1.54</v>
      </c>
      <c r="Q14" s="52">
        <v>10.08</v>
      </c>
      <c r="R14" s="43"/>
      <c r="S14" s="43"/>
      <c r="T14" s="43"/>
      <c r="U14" s="43"/>
    </row>
    <row r="15" spans="1:21" s="11" customFormat="1" x14ac:dyDescent="0.25">
      <c r="A15" s="51" t="s">
        <v>714</v>
      </c>
      <c r="B15" s="52">
        <v>140.75</v>
      </c>
      <c r="C15" s="52">
        <v>66.760000000000005</v>
      </c>
      <c r="D15" s="52">
        <v>146.38</v>
      </c>
      <c r="E15" s="52">
        <v>6.86</v>
      </c>
      <c r="F15" s="52">
        <v>6.95</v>
      </c>
      <c r="G15" s="52">
        <v>132.79</v>
      </c>
      <c r="H15" s="52">
        <v>44.09</v>
      </c>
      <c r="I15" s="52">
        <v>4.01</v>
      </c>
      <c r="J15" s="52">
        <v>0.86</v>
      </c>
      <c r="K15" s="52">
        <v>300.63</v>
      </c>
      <c r="L15" s="52">
        <v>14.97</v>
      </c>
      <c r="M15" s="52">
        <v>79.56</v>
      </c>
      <c r="N15" s="52">
        <v>115.9</v>
      </c>
      <c r="O15" s="52">
        <v>0</v>
      </c>
      <c r="P15" s="52">
        <v>1.52</v>
      </c>
      <c r="Q15" s="52">
        <v>10.08</v>
      </c>
      <c r="R15" s="43"/>
      <c r="S15" s="43"/>
      <c r="T15" s="43"/>
      <c r="U15" s="43"/>
    </row>
    <row r="16" spans="1:21" s="11" customFormat="1" x14ac:dyDescent="0.25">
      <c r="A16" s="51" t="s">
        <v>715</v>
      </c>
      <c r="B16" s="52">
        <v>122.78</v>
      </c>
      <c r="C16" s="52">
        <v>71.790000000000006</v>
      </c>
      <c r="D16" s="52">
        <v>130.07</v>
      </c>
      <c r="E16" s="52">
        <v>6.68</v>
      </c>
      <c r="F16" s="52">
        <v>8.92</v>
      </c>
      <c r="G16" s="52">
        <v>122</v>
      </c>
      <c r="H16" s="52">
        <v>39.57</v>
      </c>
      <c r="I16" s="52">
        <v>4.07</v>
      </c>
      <c r="J16" s="52">
        <v>0.92</v>
      </c>
      <c r="K16" s="52">
        <v>227.04</v>
      </c>
      <c r="L16" s="52">
        <v>19.64</v>
      </c>
      <c r="M16" s="52">
        <v>68.53</v>
      </c>
      <c r="N16" s="52">
        <v>295.8</v>
      </c>
      <c r="O16" s="52">
        <v>0</v>
      </c>
      <c r="P16" s="52">
        <v>1.4</v>
      </c>
      <c r="Q16" s="52">
        <v>10.07</v>
      </c>
      <c r="R16" s="43"/>
      <c r="S16" s="43"/>
      <c r="T16" s="43"/>
      <c r="U16" s="43"/>
    </row>
    <row r="17" spans="1:21" s="11" customFormat="1" x14ac:dyDescent="0.25">
      <c r="A17" s="51" t="s">
        <v>716</v>
      </c>
      <c r="B17" s="52">
        <v>101.5</v>
      </c>
      <c r="C17" s="52">
        <v>80.59</v>
      </c>
      <c r="D17" s="52">
        <v>119.44</v>
      </c>
      <c r="E17" s="52">
        <v>7.58</v>
      </c>
      <c r="F17" s="52">
        <v>10.26</v>
      </c>
      <c r="G17" s="52">
        <v>97.98</v>
      </c>
      <c r="H17" s="52">
        <v>28.67</v>
      </c>
      <c r="I17" s="52">
        <v>4.05</v>
      </c>
      <c r="J17" s="52">
        <v>1.27</v>
      </c>
      <c r="K17" s="52">
        <v>344.26</v>
      </c>
      <c r="L17" s="52">
        <v>25.21</v>
      </c>
      <c r="M17" s="52">
        <v>40.81</v>
      </c>
      <c r="N17" s="52">
        <v>522.1</v>
      </c>
      <c r="O17" s="52">
        <v>0</v>
      </c>
      <c r="P17" s="52">
        <v>1.31</v>
      </c>
      <c r="Q17" s="52">
        <v>10.029999999999999</v>
      </c>
      <c r="R17" s="43"/>
      <c r="S17" s="43"/>
      <c r="T17" s="43"/>
      <c r="U17" s="43"/>
    </row>
    <row r="18" spans="1:21" s="11" customFormat="1" x14ac:dyDescent="0.25">
      <c r="A18" s="51" t="s">
        <v>717</v>
      </c>
      <c r="B18" s="52">
        <v>93.82</v>
      </c>
      <c r="C18" s="52">
        <v>81</v>
      </c>
      <c r="D18" s="52">
        <v>113.61</v>
      </c>
      <c r="E18" s="52">
        <v>7.31</v>
      </c>
      <c r="F18" s="52">
        <v>8</v>
      </c>
      <c r="G18" s="52">
        <v>83.76</v>
      </c>
      <c r="H18" s="52">
        <v>16.98</v>
      </c>
      <c r="I18" s="52">
        <v>4.01</v>
      </c>
      <c r="J18" s="52">
        <v>2.27</v>
      </c>
      <c r="K18" s="52">
        <v>190.73</v>
      </c>
      <c r="L18" s="52">
        <v>24.33</v>
      </c>
      <c r="M18" s="52">
        <v>35.619999999999997</v>
      </c>
      <c r="N18" s="52">
        <v>699</v>
      </c>
      <c r="O18" s="52">
        <v>0</v>
      </c>
      <c r="P18" s="52">
        <v>1.26</v>
      </c>
      <c r="Q18" s="52">
        <v>9.93</v>
      </c>
      <c r="R18" s="43"/>
      <c r="S18" s="43"/>
      <c r="T18" s="43"/>
      <c r="U18" s="43"/>
    </row>
    <row r="19" spans="1:21" s="11" customFormat="1" x14ac:dyDescent="0.25">
      <c r="A19" s="51" t="s">
        <v>718</v>
      </c>
      <c r="B19" s="52">
        <v>55.56</v>
      </c>
      <c r="C19" s="52">
        <v>88.51</v>
      </c>
      <c r="D19" s="52">
        <v>85.74</v>
      </c>
      <c r="E19" s="52">
        <v>6.6</v>
      </c>
      <c r="F19" s="52">
        <v>11.04</v>
      </c>
      <c r="G19" s="52">
        <v>71.709999999999994</v>
      </c>
      <c r="H19" s="52">
        <v>5.35</v>
      </c>
      <c r="I19" s="52">
        <v>4.24</v>
      </c>
      <c r="J19" s="52">
        <v>1.22</v>
      </c>
      <c r="K19" s="52">
        <v>228.13</v>
      </c>
      <c r="L19" s="52">
        <v>27.13</v>
      </c>
      <c r="M19" s="52">
        <v>33.47</v>
      </c>
      <c r="N19" s="52">
        <v>860.8</v>
      </c>
      <c r="O19" s="52">
        <v>0</v>
      </c>
      <c r="P19" s="52">
        <v>1.04</v>
      </c>
      <c r="Q19" s="52">
        <v>9.81</v>
      </c>
      <c r="R19" s="43"/>
      <c r="S19" s="43"/>
      <c r="T19" s="43"/>
      <c r="U19" s="43"/>
    </row>
    <row r="20" spans="1:21" s="11" customFormat="1" x14ac:dyDescent="0.25">
      <c r="A20" s="51" t="s">
        <v>719</v>
      </c>
      <c r="B20" s="52">
        <v>6.7</v>
      </c>
      <c r="C20" s="52">
        <v>82.81</v>
      </c>
      <c r="D20" s="52">
        <v>47.26</v>
      </c>
      <c r="E20" s="52">
        <v>8.86</v>
      </c>
      <c r="F20" s="52">
        <v>31.55</v>
      </c>
      <c r="G20" s="52">
        <v>62.35</v>
      </c>
      <c r="H20" s="52">
        <v>85.63</v>
      </c>
      <c r="I20" s="52">
        <v>4.1399999999999997</v>
      </c>
      <c r="J20" s="52">
        <v>1.6</v>
      </c>
      <c r="K20" s="52">
        <v>229.79</v>
      </c>
      <c r="L20" s="52">
        <v>29.16</v>
      </c>
      <c r="M20" s="52">
        <v>29.14</v>
      </c>
      <c r="N20" s="52">
        <v>859.4</v>
      </c>
      <c r="O20" s="52">
        <v>0</v>
      </c>
      <c r="P20" s="52">
        <v>0.65</v>
      </c>
      <c r="Q20" s="52">
        <v>9.67</v>
      </c>
      <c r="R20" s="43"/>
      <c r="S20" s="43"/>
      <c r="T20" s="43"/>
      <c r="U20" s="43"/>
    </row>
    <row r="21" spans="1:21" s="11" customFormat="1" x14ac:dyDescent="0.25">
      <c r="A21" s="51" t="s">
        <v>720</v>
      </c>
      <c r="B21" s="52">
        <v>5.91</v>
      </c>
      <c r="C21" s="52">
        <v>52.99</v>
      </c>
      <c r="D21" s="52">
        <v>30.32</v>
      </c>
      <c r="E21" s="52">
        <v>9.57</v>
      </c>
      <c r="F21" s="52">
        <v>26.74</v>
      </c>
      <c r="G21" s="52">
        <v>86.7</v>
      </c>
      <c r="H21" s="52">
        <v>147.07</v>
      </c>
      <c r="I21" s="52">
        <v>4.01</v>
      </c>
      <c r="J21" s="52">
        <v>1.41</v>
      </c>
      <c r="K21" s="52">
        <v>256.62</v>
      </c>
      <c r="L21" s="52">
        <v>31.46</v>
      </c>
      <c r="M21" s="52">
        <v>22.46</v>
      </c>
      <c r="N21" s="52">
        <v>843.9</v>
      </c>
      <c r="O21" s="52">
        <v>0</v>
      </c>
      <c r="P21" s="52">
        <v>0.39</v>
      </c>
      <c r="Q21" s="52">
        <v>9.42</v>
      </c>
      <c r="R21" s="43"/>
      <c r="S21" s="43"/>
      <c r="T21" s="43"/>
      <c r="U21" s="43"/>
    </row>
    <row r="22" spans="1:21" s="11" customFormat="1" x14ac:dyDescent="0.25">
      <c r="A22" s="51" t="s">
        <v>721</v>
      </c>
      <c r="B22" s="52">
        <v>7.34</v>
      </c>
      <c r="C22" s="52">
        <v>58.65</v>
      </c>
      <c r="D22" s="52">
        <v>35.15</v>
      </c>
      <c r="E22" s="52">
        <v>13.25</v>
      </c>
      <c r="F22" s="52">
        <v>50.78</v>
      </c>
      <c r="G22" s="52">
        <v>68.34</v>
      </c>
      <c r="H22" s="52">
        <v>105.1</v>
      </c>
      <c r="I22" s="52">
        <v>4.08</v>
      </c>
      <c r="J22" s="52">
        <v>1.06</v>
      </c>
      <c r="K22" s="52">
        <v>358.6</v>
      </c>
      <c r="L22" s="52">
        <v>32.76</v>
      </c>
      <c r="M22" s="52">
        <v>20.85</v>
      </c>
      <c r="N22" s="52">
        <v>784.6</v>
      </c>
      <c r="O22" s="52">
        <v>0</v>
      </c>
      <c r="P22" s="52">
        <v>0.51</v>
      </c>
      <c r="Q22" s="52">
        <v>9.39</v>
      </c>
      <c r="R22" s="43"/>
      <c r="S22" s="43"/>
      <c r="T22" s="43"/>
      <c r="U22" s="43"/>
    </row>
    <row r="23" spans="1:21" s="11" customFormat="1" x14ac:dyDescent="0.25">
      <c r="A23" s="51" t="s">
        <v>722</v>
      </c>
      <c r="B23" s="52">
        <v>7.75</v>
      </c>
      <c r="C23" s="52">
        <v>57.85</v>
      </c>
      <c r="D23" s="52">
        <v>35.06</v>
      </c>
      <c r="E23" s="52">
        <v>15.48</v>
      </c>
      <c r="F23" s="52">
        <v>45.16</v>
      </c>
      <c r="G23" s="52">
        <v>35.15</v>
      </c>
      <c r="H23" s="52">
        <v>52.48</v>
      </c>
      <c r="I23" s="52">
        <v>4.07</v>
      </c>
      <c r="J23" s="52">
        <v>0.96</v>
      </c>
      <c r="K23" s="52">
        <v>332.35</v>
      </c>
      <c r="L23" s="52">
        <v>32.72</v>
      </c>
      <c r="M23" s="52">
        <v>20.64</v>
      </c>
      <c r="N23" s="52">
        <v>700.4</v>
      </c>
      <c r="O23" s="52">
        <v>0</v>
      </c>
      <c r="P23" s="52">
        <v>0.48</v>
      </c>
      <c r="Q23" s="52">
        <v>9.44</v>
      </c>
      <c r="R23" s="43"/>
      <c r="S23" s="43"/>
      <c r="T23" s="43"/>
      <c r="U23" s="43"/>
    </row>
    <row r="24" spans="1:21" s="11" customFormat="1" x14ac:dyDescent="0.25">
      <c r="A24" s="51" t="s">
        <v>723</v>
      </c>
      <c r="B24" s="52">
        <v>9.1300000000000008</v>
      </c>
      <c r="C24" s="52">
        <v>77.03</v>
      </c>
      <c r="D24" s="52">
        <v>45.16</v>
      </c>
      <c r="E24" s="52">
        <v>16.13</v>
      </c>
      <c r="F24" s="52">
        <v>56.25</v>
      </c>
      <c r="G24" s="52">
        <v>53.31</v>
      </c>
      <c r="H24" s="52">
        <v>40.479999999999997</v>
      </c>
      <c r="I24" s="52">
        <v>4.05</v>
      </c>
      <c r="J24" s="52">
        <v>1.35</v>
      </c>
      <c r="K24" s="52">
        <v>340.27</v>
      </c>
      <c r="L24" s="52">
        <v>32.96</v>
      </c>
      <c r="M24" s="52">
        <v>18.37</v>
      </c>
      <c r="N24" s="52">
        <v>352.9</v>
      </c>
      <c r="O24" s="52">
        <v>0</v>
      </c>
      <c r="P24" s="52">
        <v>0.68</v>
      </c>
      <c r="Q24" s="52">
        <v>9.48</v>
      </c>
      <c r="R24" s="43"/>
      <c r="S24" s="43"/>
      <c r="T24" s="43"/>
      <c r="U24" s="43"/>
    </row>
    <row r="25" spans="1:21" s="11" customFormat="1" x14ac:dyDescent="0.25">
      <c r="A25" s="51" t="s">
        <v>724</v>
      </c>
      <c r="B25" s="52">
        <v>27.24</v>
      </c>
      <c r="C25" s="52">
        <v>99.37</v>
      </c>
      <c r="D25" s="52">
        <v>72.39</v>
      </c>
      <c r="E25" s="52">
        <v>24.25</v>
      </c>
      <c r="F25" s="52">
        <v>54.28</v>
      </c>
      <c r="G25" s="52">
        <v>54.42</v>
      </c>
      <c r="H25" s="52">
        <v>49.54</v>
      </c>
      <c r="I25" s="52">
        <v>4.13</v>
      </c>
      <c r="J25" s="52">
        <v>1.28</v>
      </c>
      <c r="K25" s="52">
        <v>348.22</v>
      </c>
      <c r="L25" s="52">
        <v>30.06</v>
      </c>
      <c r="M25" s="52">
        <v>21.53</v>
      </c>
      <c r="N25" s="52">
        <v>176.4</v>
      </c>
      <c r="O25" s="52">
        <v>0</v>
      </c>
      <c r="P25" s="52">
        <v>0.79</v>
      </c>
      <c r="Q25" s="52">
        <v>9.5299999999999994</v>
      </c>
      <c r="R25" s="43"/>
      <c r="S25" s="43"/>
      <c r="T25" s="43"/>
      <c r="U25" s="43"/>
    </row>
    <row r="26" spans="1:21" s="11" customFormat="1" x14ac:dyDescent="0.25">
      <c r="A26" s="51" t="s">
        <v>725</v>
      </c>
      <c r="B26" s="52">
        <v>22.35</v>
      </c>
      <c r="C26" s="52">
        <v>116</v>
      </c>
      <c r="D26" s="52">
        <v>74.180000000000007</v>
      </c>
      <c r="E26" s="52">
        <v>19.88</v>
      </c>
      <c r="F26" s="52">
        <v>47.53</v>
      </c>
      <c r="G26" s="52">
        <v>86.84</v>
      </c>
      <c r="H26" s="52">
        <v>39.89</v>
      </c>
      <c r="I26" s="52">
        <v>4.17</v>
      </c>
      <c r="J26" s="52">
        <v>1.01</v>
      </c>
      <c r="K26" s="52">
        <v>358.87</v>
      </c>
      <c r="L26" s="52">
        <v>28.7</v>
      </c>
      <c r="M26" s="52">
        <v>25.53</v>
      </c>
      <c r="N26" s="52">
        <v>105.3</v>
      </c>
      <c r="O26" s="52">
        <v>0</v>
      </c>
      <c r="P26" s="52">
        <v>1.1499999999999999</v>
      </c>
      <c r="Q26" s="52">
        <v>9.56</v>
      </c>
      <c r="R26" s="43"/>
      <c r="S26" s="43"/>
      <c r="T26" s="43"/>
      <c r="U26" s="43"/>
    </row>
    <row r="27" spans="1:21" s="11" customFormat="1" x14ac:dyDescent="0.25">
      <c r="A27" s="51" t="s">
        <v>726</v>
      </c>
      <c r="B27" s="52">
        <v>137.13999999999999</v>
      </c>
      <c r="C27" s="52">
        <v>156.91</v>
      </c>
      <c r="D27" s="52">
        <v>190.58</v>
      </c>
      <c r="E27" s="52">
        <v>11.33</v>
      </c>
      <c r="F27" s="52">
        <v>14.28</v>
      </c>
      <c r="G27" s="52">
        <v>83.59</v>
      </c>
      <c r="H27" s="52">
        <v>23.09</v>
      </c>
      <c r="I27" s="52">
        <v>4.09</v>
      </c>
      <c r="J27" s="52">
        <v>0.64</v>
      </c>
      <c r="K27" s="52">
        <v>309.74</v>
      </c>
      <c r="L27" s="52">
        <v>25.5</v>
      </c>
      <c r="M27" s="52">
        <v>40.18</v>
      </c>
      <c r="N27" s="52">
        <v>66.400000000000006</v>
      </c>
      <c r="O27" s="52">
        <v>0</v>
      </c>
      <c r="P27" s="52">
        <v>2.29</v>
      </c>
      <c r="Q27" s="52">
        <v>9.5500000000000007</v>
      </c>
      <c r="R27" s="43"/>
      <c r="S27" s="43"/>
      <c r="T27" s="43"/>
      <c r="U27" s="43"/>
    </row>
    <row r="28" spans="1:21" s="11" customFormat="1" x14ac:dyDescent="0.25">
      <c r="A28" s="51" t="s">
        <v>727</v>
      </c>
      <c r="B28" s="52">
        <v>282.45</v>
      </c>
      <c r="C28" s="52">
        <v>183.27</v>
      </c>
      <c r="D28" s="52">
        <v>320.88</v>
      </c>
      <c r="E28" s="52">
        <v>10.5</v>
      </c>
      <c r="F28" s="52">
        <v>8.99</v>
      </c>
      <c r="G28" s="52">
        <v>162.06</v>
      </c>
      <c r="H28" s="52">
        <v>26.8</v>
      </c>
      <c r="I28" s="52">
        <v>4.09</v>
      </c>
      <c r="J28" s="52">
        <v>0.54</v>
      </c>
      <c r="K28" s="52">
        <v>297.52</v>
      </c>
      <c r="L28" s="52">
        <v>22.89</v>
      </c>
      <c r="M28" s="52">
        <v>43.78</v>
      </c>
      <c r="N28" s="52">
        <v>65.2</v>
      </c>
      <c r="O28" s="52">
        <v>0</v>
      </c>
      <c r="P28" s="52">
        <v>2.33</v>
      </c>
      <c r="Q28" s="52">
        <v>9.56</v>
      </c>
      <c r="R28" s="43"/>
      <c r="S28" s="43"/>
      <c r="T28" s="43"/>
      <c r="U28" s="43"/>
    </row>
    <row r="29" spans="1:21" s="11" customFormat="1" x14ac:dyDescent="0.25">
      <c r="A29" s="51" t="s">
        <v>728</v>
      </c>
      <c r="B29" s="52">
        <v>309.57</v>
      </c>
      <c r="C29" s="52">
        <v>202.44</v>
      </c>
      <c r="D29" s="52">
        <v>352.65</v>
      </c>
      <c r="E29" s="52">
        <v>11.41</v>
      </c>
      <c r="F29" s="52">
        <v>10.1</v>
      </c>
      <c r="G29" s="52">
        <v>209.9</v>
      </c>
      <c r="H29" s="52">
        <v>45.37</v>
      </c>
      <c r="I29" s="52">
        <v>4.09</v>
      </c>
      <c r="J29" s="52">
        <v>0.72</v>
      </c>
      <c r="K29" s="52">
        <v>275.89</v>
      </c>
      <c r="L29" s="52">
        <v>21.82</v>
      </c>
      <c r="M29" s="52">
        <v>62.74</v>
      </c>
      <c r="N29" s="52">
        <v>65.3</v>
      </c>
      <c r="O29" s="52">
        <v>0</v>
      </c>
      <c r="P29" s="52">
        <v>3.26</v>
      </c>
      <c r="Q29" s="52">
        <v>9.9</v>
      </c>
      <c r="R29" s="43"/>
      <c r="S29" s="43"/>
      <c r="T29" s="43"/>
      <c r="U29" s="43"/>
    </row>
    <row r="30" spans="1:21" s="11" customFormat="1" x14ac:dyDescent="0.25">
      <c r="A30" s="51" t="s">
        <v>729</v>
      </c>
      <c r="B30" s="52">
        <v>231.23</v>
      </c>
      <c r="C30" s="52">
        <v>190.31</v>
      </c>
      <c r="D30" s="52">
        <v>283.48</v>
      </c>
      <c r="E30" s="52">
        <v>11.35</v>
      </c>
      <c r="F30" s="52">
        <v>10.119999999999999</v>
      </c>
      <c r="G30" s="52">
        <v>241.45</v>
      </c>
      <c r="H30" s="52">
        <v>35.51</v>
      </c>
      <c r="I30" s="52">
        <v>4.13</v>
      </c>
      <c r="J30" s="52">
        <v>0.68</v>
      </c>
      <c r="K30" s="52">
        <v>309.8</v>
      </c>
      <c r="L30" s="52">
        <v>21.13</v>
      </c>
      <c r="M30" s="52">
        <v>66.3</v>
      </c>
      <c r="N30" s="52">
        <v>65.099999999999994</v>
      </c>
      <c r="O30" s="52">
        <v>0</v>
      </c>
      <c r="P30" s="52">
        <v>3.6</v>
      </c>
      <c r="Q30" s="52">
        <v>10.07</v>
      </c>
      <c r="R30" s="43"/>
      <c r="S30" s="43"/>
      <c r="T30" s="43"/>
      <c r="U30" s="43"/>
    </row>
    <row r="31" spans="1:21" s="11" customFormat="1" x14ac:dyDescent="0.25">
      <c r="A31" s="51" t="s">
        <v>730</v>
      </c>
      <c r="B31" s="52">
        <v>198.61</v>
      </c>
      <c r="C31" s="52">
        <v>148.66999999999999</v>
      </c>
      <c r="D31" s="52">
        <v>235.57</v>
      </c>
      <c r="E31" s="52">
        <v>10.01</v>
      </c>
      <c r="F31" s="52">
        <v>8.9499999999999993</v>
      </c>
      <c r="G31" s="52">
        <v>237.44</v>
      </c>
      <c r="H31" s="52">
        <v>124.09</v>
      </c>
      <c r="I31" s="52">
        <v>4.1399999999999997</v>
      </c>
      <c r="J31" s="52">
        <v>0.55000000000000004</v>
      </c>
      <c r="K31" s="52">
        <v>336.37</v>
      </c>
      <c r="L31" s="52">
        <v>20.34</v>
      </c>
      <c r="M31" s="52">
        <v>60.16</v>
      </c>
      <c r="N31" s="52">
        <v>65.400000000000006</v>
      </c>
      <c r="O31" s="52">
        <v>0</v>
      </c>
      <c r="P31" s="52">
        <v>3.04</v>
      </c>
      <c r="Q31" s="52">
        <v>10.16</v>
      </c>
      <c r="R31" s="43"/>
      <c r="S31" s="43"/>
      <c r="T31" s="43"/>
      <c r="U31" s="43"/>
    </row>
    <row r="32" spans="1:21" s="11" customFormat="1" x14ac:dyDescent="0.25">
      <c r="A32" s="51" t="s">
        <v>731</v>
      </c>
      <c r="B32" s="52">
        <v>184.97</v>
      </c>
      <c r="C32" s="52">
        <v>118.26</v>
      </c>
      <c r="D32" s="52">
        <v>208.74</v>
      </c>
      <c r="E32" s="52">
        <v>7.81</v>
      </c>
      <c r="F32" s="52">
        <v>8.51</v>
      </c>
      <c r="G32" s="52">
        <v>223.45</v>
      </c>
      <c r="H32" s="52">
        <v>93.52</v>
      </c>
      <c r="I32" s="52">
        <v>4.0999999999999996</v>
      </c>
      <c r="J32" s="52">
        <v>0.56999999999999995</v>
      </c>
      <c r="K32" s="52">
        <v>336.35</v>
      </c>
      <c r="L32" s="52">
        <v>19.510000000000002</v>
      </c>
      <c r="M32" s="52">
        <v>59.27</v>
      </c>
      <c r="N32" s="52">
        <v>65.400000000000006</v>
      </c>
      <c r="O32" s="52">
        <v>0</v>
      </c>
      <c r="P32" s="52">
        <v>2.56</v>
      </c>
      <c r="Q32" s="52">
        <v>10.26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5.91</v>
      </c>
      <c r="C34" s="28">
        <f t="shared" si="0"/>
        <v>52.99</v>
      </c>
      <c r="D34" s="28">
        <f t="shared" si="0"/>
        <v>30.32</v>
      </c>
      <c r="E34" s="28">
        <f t="shared" si="0"/>
        <v>6.6</v>
      </c>
      <c r="F34" s="28">
        <f t="shared" si="0"/>
        <v>6.94</v>
      </c>
      <c r="G34" s="28">
        <f t="shared" si="0"/>
        <v>35.15</v>
      </c>
      <c r="H34" s="28">
        <f t="shared" si="0"/>
        <v>5.35</v>
      </c>
      <c r="I34" s="28">
        <f t="shared" si="0"/>
        <v>4.01</v>
      </c>
      <c r="J34" s="28">
        <f t="shared" si="0"/>
        <v>0.54</v>
      </c>
      <c r="K34" s="28">
        <f t="shared" si="0"/>
        <v>190.73</v>
      </c>
      <c r="L34" s="28">
        <f t="shared" si="0"/>
        <v>14.97</v>
      </c>
      <c r="M34" s="28">
        <f t="shared" si="0"/>
        <v>18.37</v>
      </c>
      <c r="N34" s="28">
        <f t="shared" si="0"/>
        <v>65.099999999999994</v>
      </c>
      <c r="O34" s="28">
        <f t="shared" si="0"/>
        <v>0</v>
      </c>
      <c r="P34" s="28">
        <f t="shared" si="0"/>
        <v>0.39</v>
      </c>
      <c r="Q34" s="28">
        <f t="shared" si="0"/>
        <v>9.39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309.57</v>
      </c>
      <c r="C35" s="29">
        <f t="shared" si="1"/>
        <v>202.44</v>
      </c>
      <c r="D35" s="29">
        <f t="shared" si="1"/>
        <v>352.65</v>
      </c>
      <c r="E35" s="29">
        <f t="shared" si="1"/>
        <v>24.25</v>
      </c>
      <c r="F35" s="29">
        <f t="shared" si="1"/>
        <v>56.25</v>
      </c>
      <c r="G35" s="29">
        <f t="shared" si="1"/>
        <v>241.45</v>
      </c>
      <c r="H35" s="29">
        <f t="shared" si="1"/>
        <v>147.07</v>
      </c>
      <c r="I35" s="29">
        <f t="shared" si="1"/>
        <v>4.24</v>
      </c>
      <c r="J35" s="29">
        <f t="shared" si="1"/>
        <v>2.27</v>
      </c>
      <c r="K35" s="29">
        <f t="shared" si="1"/>
        <v>358.87</v>
      </c>
      <c r="L35" s="29">
        <f t="shared" si="1"/>
        <v>32.96</v>
      </c>
      <c r="M35" s="29">
        <f t="shared" si="1"/>
        <v>82.69</v>
      </c>
      <c r="N35" s="29">
        <f t="shared" si="1"/>
        <v>860.8</v>
      </c>
      <c r="O35" s="29">
        <f t="shared" si="1"/>
        <v>0</v>
      </c>
      <c r="P35" s="29">
        <f t="shared" si="1"/>
        <v>3.6</v>
      </c>
      <c r="Q35" s="29">
        <f t="shared" si="1"/>
        <v>10.31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122.36749999999999</v>
      </c>
      <c r="C36" s="28">
        <f t="shared" si="2"/>
        <v>99.605000000000018</v>
      </c>
      <c r="D36" s="28">
        <f t="shared" si="2"/>
        <v>148.03291666666669</v>
      </c>
      <c r="E36" s="28">
        <f t="shared" si="2"/>
        <v>10.337083333333334</v>
      </c>
      <c r="F36" s="28">
        <f t="shared" si="2"/>
        <v>19.246666666666663</v>
      </c>
      <c r="G36" s="28">
        <f t="shared" si="2"/>
        <v>124.24333333333333</v>
      </c>
      <c r="H36" s="28">
        <f t="shared" si="2"/>
        <v>52.725416666666661</v>
      </c>
      <c r="I36" s="28">
        <f t="shared" si="2"/>
        <v>4.1004166666666668</v>
      </c>
      <c r="J36" s="28">
        <f t="shared" si="2"/>
        <v>0.94250000000000023</v>
      </c>
      <c r="K36" s="28">
        <f t="shared" si="2"/>
        <v>298.52500000000003</v>
      </c>
      <c r="L36" s="28">
        <f t="shared" si="2"/>
        <v>23.247083333333332</v>
      </c>
      <c r="M36" s="28">
        <f t="shared" si="2"/>
        <v>49.686250000000001</v>
      </c>
      <c r="N36" s="28">
        <f t="shared" si="2"/>
        <v>296.27499999999992</v>
      </c>
      <c r="O36" s="28">
        <f t="shared" si="2"/>
        <v>0</v>
      </c>
      <c r="P36" s="28">
        <f t="shared" si="2"/>
        <v>1.6087499999999999</v>
      </c>
      <c r="Q36" s="28">
        <f t="shared" si="2"/>
        <v>9.8795833333333345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90.965259935963445</v>
      </c>
      <c r="C37" s="28">
        <f t="shared" ref="C37:Q37" si="3">STDEV(C9:C32)</f>
        <v>44.259356564214272</v>
      </c>
      <c r="D37" s="28">
        <f t="shared" si="3"/>
        <v>90.681556654096653</v>
      </c>
      <c r="E37" s="28">
        <f t="shared" si="3"/>
        <v>4.5798077415187777</v>
      </c>
      <c r="F37" s="28">
        <f t="shared" si="3"/>
        <v>17.673299848535137</v>
      </c>
      <c r="G37" s="28">
        <f t="shared" si="3"/>
        <v>63.100127586632333</v>
      </c>
      <c r="H37" s="28">
        <f t="shared" si="3"/>
        <v>34.263205766303564</v>
      </c>
      <c r="I37" s="28">
        <f t="shared" si="3"/>
        <v>5.8716649491743322E-2</v>
      </c>
      <c r="J37" s="28">
        <f t="shared" si="3"/>
        <v>0.43079552296732987</v>
      </c>
      <c r="K37" s="28">
        <f t="shared" si="3"/>
        <v>48.4694551058789</v>
      </c>
      <c r="L37" s="28">
        <f t="shared" si="3"/>
        <v>6.200167935430164</v>
      </c>
      <c r="M37" s="28">
        <f t="shared" si="3"/>
        <v>22.332890311688548</v>
      </c>
      <c r="N37" s="28">
        <f t="shared" si="3"/>
        <v>314.33827009048434</v>
      </c>
      <c r="O37" s="28">
        <f t="shared" si="3"/>
        <v>0</v>
      </c>
      <c r="P37" s="28">
        <f t="shared" si="3"/>
        <v>0.88979876816395298</v>
      </c>
      <c r="Q37" s="28">
        <f t="shared" si="3"/>
        <v>0.31608308163005749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3" sqref="G53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01/02/2025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01/02/2025 01:00</v>
      </c>
      <c r="B9" s="24">
        <f>'01'!B36</f>
        <v>47.449583333333322</v>
      </c>
      <c r="C9" s="24">
        <f>'01'!C36</f>
        <v>55.27208333333332</v>
      </c>
      <c r="D9" s="24">
        <f>'01'!D36</f>
        <v>65.064583333333331</v>
      </c>
      <c r="E9" s="24">
        <f>'01'!E36</f>
        <v>6.663333333333334</v>
      </c>
      <c r="F9" s="24">
        <f>'01'!F36</f>
        <v>2.1300000000000003</v>
      </c>
      <c r="G9" s="24">
        <f>'01'!G36</f>
        <v>86.749166666666653</v>
      </c>
      <c r="H9" s="24">
        <f>'01'!H36</f>
        <v>27.989166666666666</v>
      </c>
      <c r="I9" s="53" t="s">
        <v>15</v>
      </c>
      <c r="J9" s="24">
        <f>'01'!J36</f>
        <v>0.86624999999999996</v>
      </c>
      <c r="K9" s="24">
        <f>'01'!K36</f>
        <v>276.93458333333331</v>
      </c>
      <c r="L9" s="24">
        <f>'01'!L36</f>
        <v>22.137083333333333</v>
      </c>
      <c r="M9" s="24">
        <f>'01'!M36</f>
        <v>71.056666666666658</v>
      </c>
      <c r="N9" s="24">
        <f>'01'!N36</f>
        <v>223.73333333333335</v>
      </c>
      <c r="O9" s="24">
        <f>'01'!O36</f>
        <v>0</v>
      </c>
      <c r="P9" s="30">
        <f>'01'!$P$36</f>
        <v>1.1004166666666666</v>
      </c>
      <c r="Q9" s="24">
        <f>'01'!Q36</f>
        <v>9.6295833333333345</v>
      </c>
      <c r="R9" s="44"/>
      <c r="S9" s="44"/>
      <c r="T9" s="44"/>
      <c r="U9" s="45"/>
    </row>
    <row r="10" spans="1:21" s="34" customFormat="1" x14ac:dyDescent="0.25">
      <c r="A10" s="36" t="str">
        <f>'02'!$B$2</f>
        <v>02/02/2025 01:00</v>
      </c>
      <c r="B10" s="33">
        <f>'02'!B36</f>
        <v>45.363750000000003</v>
      </c>
      <c r="C10" s="33">
        <f>'02'!C36</f>
        <v>58.097916666666663</v>
      </c>
      <c r="D10" s="33">
        <f>'02'!D36</f>
        <v>64.803333333333327</v>
      </c>
      <c r="E10" s="33">
        <f>'02'!E36</f>
        <v>6.4108333333333336</v>
      </c>
      <c r="F10" s="33">
        <f>'02'!F36</f>
        <v>2.1412500000000003</v>
      </c>
      <c r="G10" s="33">
        <f>'02'!G36</f>
        <v>83.227499999999978</v>
      </c>
      <c r="H10" s="33">
        <f>'02'!H36</f>
        <v>34.716250000000002</v>
      </c>
      <c r="I10" s="53" t="s">
        <v>15</v>
      </c>
      <c r="J10" s="33">
        <f>'02'!J36</f>
        <v>0.82041666666666668</v>
      </c>
      <c r="K10" s="33">
        <f>'02'!K36</f>
        <v>297.56374999999997</v>
      </c>
      <c r="L10" s="33">
        <f>'02'!L36</f>
        <v>22.75</v>
      </c>
      <c r="M10" s="33">
        <f>'02'!M36</f>
        <v>63.66875000000001</v>
      </c>
      <c r="N10" s="33">
        <f>'02'!N36</f>
        <v>225.20416666666668</v>
      </c>
      <c r="O10" s="33">
        <f>'02'!O36</f>
        <v>0</v>
      </c>
      <c r="P10" s="30">
        <f>'02'!$P$36</f>
        <v>1.0695833333333333</v>
      </c>
      <c r="Q10" s="33">
        <f>'02'!Q36</f>
        <v>9.6574999999999989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03/02/2025 01:00</v>
      </c>
      <c r="B11" s="33">
        <f>'03'!B36</f>
        <v>43.532916666666665</v>
      </c>
      <c r="C11" s="33">
        <f>'03'!C36</f>
        <v>60.451666666666682</v>
      </c>
      <c r="D11" s="33">
        <f>'03'!D36</f>
        <v>64.579583333333332</v>
      </c>
      <c r="E11" s="33">
        <f>'03'!E36</f>
        <v>6.9574999999999996</v>
      </c>
      <c r="F11" s="33">
        <f>'03'!F36</f>
        <v>2.1650000000000005</v>
      </c>
      <c r="G11" s="33">
        <f>'03'!G36</f>
        <v>105.26375</v>
      </c>
      <c r="H11" s="33">
        <f>'03'!H36</f>
        <v>40.445833333333333</v>
      </c>
      <c r="I11" s="53" t="s">
        <v>15</v>
      </c>
      <c r="J11" s="33">
        <f>'03'!J36</f>
        <v>0.8933333333333332</v>
      </c>
      <c r="K11" s="33">
        <f>'03'!K36</f>
        <v>292.89999999999998</v>
      </c>
      <c r="L11" s="33">
        <f>'03'!L36</f>
        <v>23.248750000000005</v>
      </c>
      <c r="M11" s="33">
        <f>'03'!M36</f>
        <v>63.802916666666675</v>
      </c>
      <c r="N11" s="33">
        <f>'03'!N36</f>
        <v>216.43333333333331</v>
      </c>
      <c r="O11" s="33">
        <f>'03'!O36</f>
        <v>0</v>
      </c>
      <c r="P11" s="30">
        <f>'03'!$P$36</f>
        <v>1.22875</v>
      </c>
      <c r="Q11" s="33">
        <f>'03'!Q36</f>
        <v>9.6849999999999987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04/02/2025 01:00</v>
      </c>
      <c r="B12" s="33">
        <f>'04'!B36</f>
        <v>72.200833333333335</v>
      </c>
      <c r="C12" s="33">
        <f>'04'!C36</f>
        <v>59.212916666666665</v>
      </c>
      <c r="D12" s="33">
        <f>'04'!D36</f>
        <v>87.021666666666647</v>
      </c>
      <c r="E12" s="33">
        <f>'04'!E36</f>
        <v>7.6241666666666674</v>
      </c>
      <c r="F12" s="33">
        <f>'04'!F36</f>
        <v>2.1937500000000005</v>
      </c>
      <c r="G12" s="33">
        <f>'04'!G36</f>
        <v>122.63500000000001</v>
      </c>
      <c r="H12" s="33">
        <f>'04'!H36</f>
        <v>41.734583333333326</v>
      </c>
      <c r="I12" s="53" t="s">
        <v>15</v>
      </c>
      <c r="J12" s="33">
        <f>'04'!J36</f>
        <v>0.84500000000000008</v>
      </c>
      <c r="K12" s="33">
        <f>'04'!K36</f>
        <v>268.71333333333331</v>
      </c>
      <c r="L12" s="33">
        <f>'04'!L36</f>
        <v>23.752916666666675</v>
      </c>
      <c r="M12" s="33">
        <f>'04'!M36</f>
        <v>61.078750000000014</v>
      </c>
      <c r="N12" s="33">
        <f>'04'!N36</f>
        <v>219.81666666666672</v>
      </c>
      <c r="O12" s="33">
        <f>'04'!O36</f>
        <v>0</v>
      </c>
      <c r="P12" s="30">
        <f>'04'!$P$36</f>
        <v>1.5679166666666668</v>
      </c>
      <c r="Q12" s="33">
        <f>'04'!Q36</f>
        <v>9.8775000000000013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05/02/2025 01:00</v>
      </c>
      <c r="B13" s="33">
        <f>'05'!B36</f>
        <v>64.621363636363654</v>
      </c>
      <c r="C13" s="33">
        <f>'05'!C36</f>
        <v>62.951818181818183</v>
      </c>
      <c r="D13" s="33">
        <f>'05'!D36</f>
        <v>82.36636363636363</v>
      </c>
      <c r="E13" s="33">
        <f>'05'!E36</f>
        <v>8.4547826086956519</v>
      </c>
      <c r="F13" s="33">
        <f>'05'!F36</f>
        <v>6.1808333333333314</v>
      </c>
      <c r="G13" s="33">
        <f>'05'!G36</f>
        <v>98.785238095238086</v>
      </c>
      <c r="H13" s="33">
        <f>'05'!H36</f>
        <v>33.211428571428577</v>
      </c>
      <c r="I13" s="53" t="s">
        <v>15</v>
      </c>
      <c r="J13" s="33">
        <f>'05'!J36</f>
        <v>0.73958333333333337</v>
      </c>
      <c r="K13" s="33">
        <f>'05'!K36</f>
        <v>312.68583333333339</v>
      </c>
      <c r="L13" s="33">
        <f>'05'!L36</f>
        <v>24.08666666666667</v>
      </c>
      <c r="M13" s="33">
        <f>'05'!M36</f>
        <v>54.602499999999992</v>
      </c>
      <c r="N13" s="33">
        <f>'05'!N36</f>
        <v>222.32916666666662</v>
      </c>
      <c r="O13" s="33">
        <f>'05'!O36</f>
        <v>0</v>
      </c>
      <c r="P13" s="30">
        <f>'05'!$P$36</f>
        <v>1.2029166666666669</v>
      </c>
      <c r="Q13" s="33">
        <f>'05'!Q36</f>
        <v>9.9020833333333336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06/02/2025 01:00</v>
      </c>
      <c r="B14" s="33">
        <f>'06'!B36</f>
        <v>15.035416666666668</v>
      </c>
      <c r="C14" s="33">
        <f>'06'!C36</f>
        <v>59.798333333333339</v>
      </c>
      <c r="D14" s="33">
        <f>'06'!D36</f>
        <v>41.731249999999996</v>
      </c>
      <c r="E14" s="33">
        <f>'06'!E36</f>
        <v>5.95</v>
      </c>
      <c r="F14" s="33">
        <f>'06'!F36</f>
        <v>2.1320833333333336</v>
      </c>
      <c r="G14" s="33">
        <f>'06'!G36</f>
        <v>73.292083333333338</v>
      </c>
      <c r="H14" s="33">
        <f>'06'!H36</f>
        <v>39.172499999999999</v>
      </c>
      <c r="I14" s="53" t="s">
        <v>15</v>
      </c>
      <c r="J14" s="33">
        <f>'06'!J36</f>
        <v>1.6116666666666666</v>
      </c>
      <c r="K14" s="33">
        <f>'06'!K36</f>
        <v>340.58958333333334</v>
      </c>
      <c r="L14" s="33">
        <f>'06'!L36</f>
        <v>22.11</v>
      </c>
      <c r="M14" s="33">
        <f>'06'!M36</f>
        <v>52.463333333333331</v>
      </c>
      <c r="N14" s="33">
        <f>'06'!N36</f>
        <v>216.42500000000007</v>
      </c>
      <c r="O14" s="33">
        <f>'06'!O36</f>
        <v>0</v>
      </c>
      <c r="P14" s="30">
        <f>'06'!$P$36</f>
        <v>0.74708333333333332</v>
      </c>
      <c r="Q14" s="33">
        <f>'06'!Q36</f>
        <v>9.6370833333333312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07/02/2025 01:00</v>
      </c>
      <c r="B15" s="33">
        <f>'07'!B36</f>
        <v>36.558749999999996</v>
      </c>
      <c r="C15" s="33">
        <f>'07'!C36</f>
        <v>69.984999999999999</v>
      </c>
      <c r="D15" s="33">
        <f>'07'!D36</f>
        <v>62.789583333333333</v>
      </c>
      <c r="E15" s="33">
        <f>'07'!E36</f>
        <v>12.147083333333335</v>
      </c>
      <c r="F15" s="33">
        <f>'07'!F36</f>
        <v>3.5883333333333329</v>
      </c>
      <c r="G15" s="33">
        <f>'07'!G36</f>
        <v>74.188750000000013</v>
      </c>
      <c r="H15" s="33">
        <f>'07'!H36</f>
        <v>11.927777777777777</v>
      </c>
      <c r="I15" s="53" t="s">
        <v>15</v>
      </c>
      <c r="J15" s="33">
        <f>'07'!J36</f>
        <v>1.0591666666666668</v>
      </c>
      <c r="K15" s="33">
        <f>'07'!K36</f>
        <v>316.13375000000002</v>
      </c>
      <c r="L15" s="33">
        <f>'07'!L36</f>
        <v>20.28125</v>
      </c>
      <c r="M15" s="33">
        <f>'07'!M36</f>
        <v>35.707916666666669</v>
      </c>
      <c r="N15" s="33">
        <f>'07'!N36</f>
        <v>219.73333333333332</v>
      </c>
      <c r="O15" s="33">
        <f>'07'!O36</f>
        <v>0</v>
      </c>
      <c r="P15" s="33">
        <f>'07'!P36</f>
        <v>1.0450000000000002</v>
      </c>
      <c r="Q15" s="33">
        <f>'07'!Q36</f>
        <v>10.086666666666668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08/02/2025 01:00</v>
      </c>
      <c r="B16" s="33">
        <f>'08'!B36</f>
        <v>57.080833333333352</v>
      </c>
      <c r="C16" s="33">
        <f>'08'!C36</f>
        <v>55.664166666666667</v>
      </c>
      <c r="D16" s="33">
        <f>'08'!D36</f>
        <v>72.841250000000002</v>
      </c>
      <c r="E16" s="33">
        <f>'08'!E36</f>
        <v>6.46</v>
      </c>
      <c r="F16" s="33">
        <f>'08'!F36</f>
        <v>2.1300000000000003</v>
      </c>
      <c r="G16" s="33">
        <f>'08'!G36</f>
        <v>88.222916666666663</v>
      </c>
      <c r="H16" s="33">
        <f>'08'!H36</f>
        <v>60.077500000000008</v>
      </c>
      <c r="I16" s="53" t="s">
        <v>15</v>
      </c>
      <c r="J16" s="33">
        <f>'08'!J36</f>
        <v>1.0987499999999997</v>
      </c>
      <c r="K16" s="33">
        <f>'08'!K36</f>
        <v>301.58916666666676</v>
      </c>
      <c r="L16" s="33">
        <f>'08'!L36</f>
        <v>20.713333333333338</v>
      </c>
      <c r="M16" s="33">
        <f>'08'!M36</f>
        <v>40.762916666666676</v>
      </c>
      <c r="N16" s="33">
        <f>'08'!N36</f>
        <v>227.35416666666666</v>
      </c>
      <c r="O16" s="33">
        <f>'08'!O36</f>
        <v>0</v>
      </c>
      <c r="P16" s="30">
        <f>'08'!$P$36</f>
        <v>1.2424999999999999</v>
      </c>
      <c r="Q16" s="33">
        <f>'08'!Q36</f>
        <v>9.956666666666667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09/02/2025 01:00</v>
      </c>
      <c r="B17" s="33">
        <f>'09'!B36</f>
        <v>52.571249999999999</v>
      </c>
      <c r="C17" s="33">
        <f>'09'!C36</f>
        <v>56.137083333333344</v>
      </c>
      <c r="D17" s="33">
        <f>'09'!D36</f>
        <v>69.794583333333335</v>
      </c>
      <c r="E17" s="33">
        <f>'09'!E36</f>
        <v>6.6204166666666673</v>
      </c>
      <c r="F17" s="33">
        <f>'09'!F36</f>
        <v>2.1391666666666675</v>
      </c>
      <c r="G17" s="33">
        <f>'09'!G36</f>
        <v>81.92583333333333</v>
      </c>
      <c r="H17" s="33">
        <f>'09'!H36</f>
        <v>47.995416666666664</v>
      </c>
      <c r="I17" s="53" t="s">
        <v>15</v>
      </c>
      <c r="J17" s="33">
        <f>'09'!J36</f>
        <v>0.87375000000000014</v>
      </c>
      <c r="K17" s="33">
        <f>'09'!K36</f>
        <v>269.47125</v>
      </c>
      <c r="L17" s="33">
        <f>'09'!L36</f>
        <v>20.608333333333334</v>
      </c>
      <c r="M17" s="33">
        <f>'09'!M36</f>
        <v>36.781250000000007</v>
      </c>
      <c r="N17" s="33">
        <f>'09'!N36</f>
        <v>248.85833333333323</v>
      </c>
      <c r="O17" s="33">
        <f>'09'!O36</f>
        <v>0</v>
      </c>
      <c r="P17" s="33">
        <f>'09'!P36</f>
        <v>1.0062499999999999</v>
      </c>
      <c r="Q17" s="33">
        <f>'09'!Q36</f>
        <v>9.7687500000000007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10/02/2025 01:00</v>
      </c>
      <c r="B18" s="33">
        <f>'10'!B36</f>
        <v>100.94958333333331</v>
      </c>
      <c r="C18" s="33">
        <f>'10'!C36</f>
        <v>67.725416666666661</v>
      </c>
      <c r="D18" s="33">
        <f>'10'!D36</f>
        <v>113.61416666666663</v>
      </c>
      <c r="E18" s="33">
        <f>'10'!E36</f>
        <v>9.8091666666666679</v>
      </c>
      <c r="F18" s="33">
        <f>'10'!F36</f>
        <v>5.5424999999999978</v>
      </c>
      <c r="G18" s="33">
        <f>'10'!G36</f>
        <v>104.26749999999998</v>
      </c>
      <c r="H18" s="33">
        <f>'10'!H36</f>
        <v>34.526666666666671</v>
      </c>
      <c r="I18" s="53" t="s">
        <v>15</v>
      </c>
      <c r="J18" s="33">
        <f>'10'!J36</f>
        <v>0.88916666666666655</v>
      </c>
      <c r="K18" s="33">
        <f>'10'!K36</f>
        <v>310.00999999999993</v>
      </c>
      <c r="L18" s="33">
        <f>'10'!L36</f>
        <v>21.652916666666666</v>
      </c>
      <c r="M18" s="33">
        <f>'10'!M36</f>
        <v>51.350416666666689</v>
      </c>
      <c r="N18" s="33">
        <f>'10'!N36</f>
        <v>287.89999999999992</v>
      </c>
      <c r="O18" s="33">
        <f>'10'!O36</f>
        <v>0</v>
      </c>
      <c r="P18" s="30">
        <f>'10'!$P$36</f>
        <v>1.4170833333333333</v>
      </c>
      <c r="Q18" s="33">
        <f>'10'!Q36</f>
        <v>10.377083333333333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11/02/2025 01:00</v>
      </c>
      <c r="B19" s="33">
        <f>'11'!B36</f>
        <v>57.805833333333318</v>
      </c>
      <c r="C19" s="33">
        <f>'11'!C36</f>
        <v>57.417916666666663</v>
      </c>
      <c r="D19" s="33">
        <f>'11'!D36</f>
        <v>74.573333333333338</v>
      </c>
      <c r="E19" s="33">
        <f>'11'!E36</f>
        <v>8.5708333333333329</v>
      </c>
      <c r="F19" s="33">
        <f>'11'!F36</f>
        <v>4.1079166666666653</v>
      </c>
      <c r="G19" s="33">
        <f>'11'!G36</f>
        <v>102.53375000000001</v>
      </c>
      <c r="H19" s="33">
        <f>'11'!H36</f>
        <v>36.194166666666661</v>
      </c>
      <c r="I19" s="53" t="s">
        <v>15</v>
      </c>
      <c r="J19" s="33">
        <f>'11'!J36</f>
        <v>0.81666666666666676</v>
      </c>
      <c r="K19" s="33">
        <f>'11'!K36</f>
        <v>306.39166666666665</v>
      </c>
      <c r="L19" s="33">
        <f>'11'!L36</f>
        <v>22.733750000000001</v>
      </c>
      <c r="M19" s="33">
        <f>'11'!M36</f>
        <v>61.164583333333326</v>
      </c>
      <c r="N19" s="33">
        <f>'11'!N36</f>
        <v>268.29583333333335</v>
      </c>
      <c r="O19" s="33">
        <f>'11'!O36</f>
        <v>0</v>
      </c>
      <c r="P19" s="33">
        <f>'11'!P36</f>
        <v>1.2050000000000001</v>
      </c>
      <c r="Q19" s="33">
        <f>'11'!Q36</f>
        <v>9.9425000000000008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12/02/2025 01:00</v>
      </c>
      <c r="B20" s="33">
        <f>'12'!B36</f>
        <v>25.666249999999994</v>
      </c>
      <c r="C20" s="33">
        <f>'12'!C36</f>
        <v>54.53541666666667</v>
      </c>
      <c r="D20" s="33">
        <f>'12'!D36</f>
        <v>47.353749999999998</v>
      </c>
      <c r="E20" s="33">
        <f>'12'!E36</f>
        <v>7.1483333333333334</v>
      </c>
      <c r="F20" s="33">
        <f>'12'!F36</f>
        <v>2.4312500000000004</v>
      </c>
      <c r="G20" s="33">
        <f>'12'!G36</f>
        <v>78.234583333333319</v>
      </c>
      <c r="H20" s="33">
        <f>'12'!H36</f>
        <v>28.412500000000005</v>
      </c>
      <c r="I20" s="53" t="s">
        <v>15</v>
      </c>
      <c r="J20" s="33">
        <f>'12'!J36</f>
        <v>1.292083333333333</v>
      </c>
      <c r="K20" s="33">
        <f>'12'!K36</f>
        <v>307.27</v>
      </c>
      <c r="L20" s="33">
        <f>'12'!L36</f>
        <v>23.666249999999994</v>
      </c>
      <c r="M20" s="33">
        <f>'12'!M36</f>
        <v>51.976249999999986</v>
      </c>
      <c r="N20" s="33">
        <f>'12'!N36</f>
        <v>289.31666666666666</v>
      </c>
      <c r="O20" s="33">
        <f>'12'!O36</f>
        <v>0</v>
      </c>
      <c r="P20" s="33">
        <f>'12'!P36</f>
        <v>0.78375000000000006</v>
      </c>
      <c r="Q20" s="33">
        <f>'12'!Q36</f>
        <v>9.5145833333333361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13/02/2025 01:00</v>
      </c>
      <c r="B21" s="33">
        <f>'13'!B36</f>
        <v>18.53166666666667</v>
      </c>
      <c r="C21" s="33">
        <f>'13'!C36</f>
        <v>61.582916666666669</v>
      </c>
      <c r="D21" s="33">
        <f>'13'!D36</f>
        <v>45.246250000000003</v>
      </c>
      <c r="E21" s="33">
        <f>'13'!E36</f>
        <v>6.5662500000000001</v>
      </c>
      <c r="F21" s="33">
        <f>'13'!F36</f>
        <v>3.1820833333333325</v>
      </c>
      <c r="G21" s="33">
        <f>'13'!G36</f>
        <v>80.024583333333339</v>
      </c>
      <c r="H21" s="33">
        <f>'13'!H36</f>
        <v>24.339583333333334</v>
      </c>
      <c r="I21" s="53" t="s">
        <v>15</v>
      </c>
      <c r="J21" s="33">
        <f>'13'!J36</f>
        <v>1.5916666666666668</v>
      </c>
      <c r="K21" s="33">
        <f>'13'!K36</f>
        <v>337.05708333333325</v>
      </c>
      <c r="L21" s="33">
        <f>'13'!L36</f>
        <v>21.90291666666667</v>
      </c>
      <c r="M21" s="33">
        <f>'13'!M36</f>
        <v>37.882083333333334</v>
      </c>
      <c r="N21" s="33">
        <f>'13'!N36</f>
        <v>317.47499999999997</v>
      </c>
      <c r="O21" s="33">
        <f>'13'!O36</f>
        <v>0</v>
      </c>
      <c r="P21" s="33">
        <f>'13'!P36</f>
        <v>0.73166666666666658</v>
      </c>
      <c r="Q21" s="33">
        <f>'13'!Q36</f>
        <v>9.5087499999999991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14/02/2025 01:00</v>
      </c>
      <c r="B22" s="30">
        <f>'14'!B36</f>
        <v>21.488750000000007</v>
      </c>
      <c r="C22" s="30">
        <f>'14'!C36</f>
        <v>55.787916666666668</v>
      </c>
      <c r="D22" s="30">
        <f>'14'!D36</f>
        <v>44.811250000000001</v>
      </c>
      <c r="E22" s="30">
        <f>'14'!E36</f>
        <v>6.4712500000000013</v>
      </c>
      <c r="F22" s="30">
        <f>'14'!F36</f>
        <v>2.1341666666666668</v>
      </c>
      <c r="G22" s="30">
        <f>'14'!G36</f>
        <v>77.85541666666667</v>
      </c>
      <c r="H22" s="30">
        <f>'14'!H36</f>
        <v>22.327500000000001</v>
      </c>
      <c r="I22" s="53" t="s">
        <v>15</v>
      </c>
      <c r="J22" s="30">
        <f>'14'!J36</f>
        <v>1.2895833333333335</v>
      </c>
      <c r="K22" s="30">
        <f>'14'!K36</f>
        <v>299.64708333333328</v>
      </c>
      <c r="L22" s="30">
        <f>'14'!L36</f>
        <v>20.096250000000001</v>
      </c>
      <c r="M22" s="30">
        <f>'14'!M36</f>
        <v>34.705000000000005</v>
      </c>
      <c r="N22" s="30">
        <f>'14'!N36</f>
        <v>337.2208333333333</v>
      </c>
      <c r="O22" s="30">
        <f>'14'!O36</f>
        <v>0</v>
      </c>
      <c r="P22" s="30">
        <f>'14'!P36</f>
        <v>0.65083333333333326</v>
      </c>
      <c r="Q22" s="30">
        <f>'14'!Q36</f>
        <v>10.037083333333333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15/02/2025 01:00</v>
      </c>
      <c r="B23" s="33">
        <f>'15'!B36</f>
        <v>38.562916666666666</v>
      </c>
      <c r="C23" s="33">
        <f>'15'!C36</f>
        <v>64.436250000000001</v>
      </c>
      <c r="D23" s="33">
        <f>'15'!D36</f>
        <v>62.83333333333335</v>
      </c>
      <c r="E23" s="33">
        <f>'15'!E36</f>
        <v>6.7270833333333329</v>
      </c>
      <c r="F23" s="33">
        <f>'15'!F36</f>
        <v>2.1304166666666671</v>
      </c>
      <c r="G23" s="33">
        <f>'15'!G36</f>
        <v>89.844166666666638</v>
      </c>
      <c r="H23" s="33">
        <f>'15'!H36</f>
        <v>30.797916666666669</v>
      </c>
      <c r="I23" s="53" t="s">
        <v>15</v>
      </c>
      <c r="J23" s="33">
        <f>'15'!J36</f>
        <v>1.1341666666666668</v>
      </c>
      <c r="K23" s="33">
        <f>'15'!K36</f>
        <v>287.32625000000002</v>
      </c>
      <c r="L23" s="33">
        <f>'15'!L36</f>
        <v>20.962916666666661</v>
      </c>
      <c r="M23" s="33">
        <f>'15'!M36</f>
        <v>38.208333333333329</v>
      </c>
      <c r="N23" s="33">
        <f>'15'!N36</f>
        <v>311.35416666666669</v>
      </c>
      <c r="O23" s="33">
        <f>'15'!O36</f>
        <v>0</v>
      </c>
      <c r="P23" s="30">
        <f>'15'!P36</f>
        <v>0.87541666666666662</v>
      </c>
      <c r="Q23" s="30">
        <f>'15'!Q36</f>
        <v>9.9895833333333339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16/02/2025 01:00</v>
      </c>
      <c r="B24" s="33">
        <f>'16'!B36</f>
        <v>40.964999999999996</v>
      </c>
      <c r="C24" s="33">
        <f>'16'!C36</f>
        <v>64.901250000000005</v>
      </c>
      <c r="D24" s="33">
        <f>'16'!D36</f>
        <v>64.86666666666666</v>
      </c>
      <c r="E24" s="33">
        <f>'16'!E36</f>
        <v>7.8087499999999999</v>
      </c>
      <c r="F24" s="33">
        <f>'16'!F36</f>
        <v>2.4137499999999998</v>
      </c>
      <c r="G24" s="33">
        <f>'16'!G36</f>
        <v>83.171250000000001</v>
      </c>
      <c r="H24" s="33">
        <f>'16'!H36</f>
        <v>25.186666666666667</v>
      </c>
      <c r="I24" s="53" t="s">
        <v>15</v>
      </c>
      <c r="J24" s="33">
        <f>'16'!J36</f>
        <v>0.76958333333333329</v>
      </c>
      <c r="K24" s="33">
        <f>'16'!K36</f>
        <v>300.73041666666671</v>
      </c>
      <c r="L24" s="33">
        <f>'16'!L36</f>
        <v>21.771666666666665</v>
      </c>
      <c r="M24" s="33">
        <f>'16'!M36</f>
        <v>46.238333333333344</v>
      </c>
      <c r="N24" s="33">
        <f>'16'!N36</f>
        <v>307.04583333333329</v>
      </c>
      <c r="O24" s="33">
        <f>'16'!O36</f>
        <v>0</v>
      </c>
      <c r="P24" s="30">
        <f>'16'!P36</f>
        <v>0.9470833333333335</v>
      </c>
      <c r="Q24" s="30">
        <f>'16'!Q36</f>
        <v>9.7658333333333367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17/02/2025 01:00</v>
      </c>
      <c r="B25" s="33">
        <f>'17'!B36</f>
        <v>68.636666666666656</v>
      </c>
      <c r="C25" s="33">
        <f>'17'!C36</f>
        <v>67.550833333333344</v>
      </c>
      <c r="D25" s="33">
        <f>'17'!D36</f>
        <v>88.357500000000002</v>
      </c>
      <c r="E25" s="33">
        <f>'17'!E36</f>
        <v>7.4058333333333337</v>
      </c>
      <c r="F25" s="33">
        <f>'17'!F36</f>
        <v>2.1508333333333338</v>
      </c>
      <c r="G25" s="33">
        <f>'17'!G36</f>
        <v>93.72166666666665</v>
      </c>
      <c r="H25" s="33">
        <f>'17'!H36</f>
        <v>26.678749999999997</v>
      </c>
      <c r="I25" s="53" t="s">
        <v>15</v>
      </c>
      <c r="J25" s="33">
        <f>'17'!J36</f>
        <v>1.1070833333333332</v>
      </c>
      <c r="K25" s="33">
        <f>'17'!K36</f>
        <v>307.47875000000005</v>
      </c>
      <c r="L25" s="33">
        <f>'17'!L36</f>
        <v>22.870833333333337</v>
      </c>
      <c r="M25" s="33">
        <f>'17'!M36</f>
        <v>48.710416666666667</v>
      </c>
      <c r="N25" s="33">
        <f>'17'!N36</f>
        <v>291.74166666666662</v>
      </c>
      <c r="O25" s="33">
        <f>'17'!O36</f>
        <v>0</v>
      </c>
      <c r="P25" s="30">
        <f>'17'!P36</f>
        <v>1.2274999999999998</v>
      </c>
      <c r="Q25" s="30">
        <f>'17'!Q36</f>
        <v>9.8725000000000005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18/02/2025 01:00</v>
      </c>
      <c r="B26" s="33">
        <f>'18'!B36</f>
        <v>53.914090909090916</v>
      </c>
      <c r="C26" s="33">
        <f>'18'!C36</f>
        <v>73.223636363636345</v>
      </c>
      <c r="D26" s="33">
        <f>'18'!D36</f>
        <v>104.70954545454548</v>
      </c>
      <c r="E26" s="33">
        <f>'18'!E36</f>
        <v>10.13478260869565</v>
      </c>
      <c r="F26" s="33">
        <f>'18'!F36</f>
        <v>6.7024999999999997</v>
      </c>
      <c r="G26" s="33">
        <f>'18'!G36</f>
        <v>125.93782608695651</v>
      </c>
      <c r="H26" s="33">
        <f>'18'!H36</f>
        <v>38.252173913043478</v>
      </c>
      <c r="I26" s="53" t="s">
        <v>15</v>
      </c>
      <c r="J26" s="33">
        <f>'18'!J36</f>
        <v>1.0291666666666666</v>
      </c>
      <c r="K26" s="33">
        <f>'18'!K36</f>
        <v>318.90000000000003</v>
      </c>
      <c r="L26" s="33">
        <f>'18'!L36</f>
        <v>23.254999999999999</v>
      </c>
      <c r="M26" s="33">
        <f>'18'!M36</f>
        <v>52.260416666666664</v>
      </c>
      <c r="N26" s="33">
        <f>'18'!N36</f>
        <v>266.13750000000005</v>
      </c>
      <c r="O26" s="33">
        <f>'18'!O36</f>
        <v>0</v>
      </c>
      <c r="P26" s="30">
        <f>'18'!P36</f>
        <v>1.0641666666666667</v>
      </c>
      <c r="Q26" s="30">
        <f>'18'!Q36</f>
        <v>9.7545833333333345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19/02/2025 01:00</v>
      </c>
      <c r="B27" s="33">
        <f>'19'!B36</f>
        <v>37.184583333333329</v>
      </c>
      <c r="C27" s="33">
        <f>'19'!C36</f>
        <v>80.575833333333321</v>
      </c>
      <c r="D27" s="33">
        <f>'19'!D36</f>
        <v>115.15916666666665</v>
      </c>
      <c r="E27" s="33">
        <f>'19'!E36</f>
        <v>8.2375000000000007</v>
      </c>
      <c r="F27" s="33">
        <f>'19'!F36</f>
        <v>2.2216666666666671</v>
      </c>
      <c r="G27" s="33">
        <f>'19'!G36</f>
        <v>141.83208333333337</v>
      </c>
      <c r="H27" s="33">
        <f>'19'!H36</f>
        <v>38.154166666666669</v>
      </c>
      <c r="I27" s="53" t="s">
        <v>15</v>
      </c>
      <c r="J27" s="33">
        <f>'19'!J36</f>
        <v>1.0266666666666666</v>
      </c>
      <c r="K27" s="33">
        <f>'19'!K36</f>
        <v>295.54749999999996</v>
      </c>
      <c r="L27" s="33">
        <f>'19'!L36</f>
        <v>23.202916666666663</v>
      </c>
      <c r="M27" s="33">
        <f>'19'!M36</f>
        <v>53.467500000000008</v>
      </c>
      <c r="N27" s="33">
        <f>'19'!N36</f>
        <v>250.82083333333341</v>
      </c>
      <c r="O27" s="33">
        <f>'19'!O36</f>
        <v>0</v>
      </c>
      <c r="P27" s="30">
        <f>'19'!P36</f>
        <v>1.3929166666666666</v>
      </c>
      <c r="Q27" s="30">
        <f>'19'!Q36</f>
        <v>9.5449999999999999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20/02/2025 01:00</v>
      </c>
      <c r="B28" s="33">
        <f>'20'!B36</f>
        <v>43.574166666666656</v>
      </c>
      <c r="C28" s="33">
        <f>'20'!C36</f>
        <v>73.288750000000007</v>
      </c>
      <c r="D28" s="33">
        <f>'20'!D36</f>
        <v>114.34500000000003</v>
      </c>
      <c r="E28" s="33">
        <f>'20'!E36</f>
        <v>8.4138888888888896</v>
      </c>
      <c r="F28" s="33">
        <f>'20'!F36</f>
        <v>6.6045833333333333</v>
      </c>
      <c r="G28" s="33">
        <f>'20'!G36</f>
        <v>122.30791666666666</v>
      </c>
      <c r="H28" s="33">
        <f>'20'!H36</f>
        <v>38.221666666666664</v>
      </c>
      <c r="I28" s="53" t="s">
        <v>15</v>
      </c>
      <c r="J28" s="33">
        <f>'20'!J36</f>
        <v>1.0854166666666665</v>
      </c>
      <c r="K28" s="33">
        <f>'20'!K36</f>
        <v>315.49624999999997</v>
      </c>
      <c r="L28" s="33">
        <f>'20'!L36</f>
        <v>23.797916666666666</v>
      </c>
      <c r="M28" s="33">
        <f>'20'!M36</f>
        <v>55.712916666666651</v>
      </c>
      <c r="N28" s="33">
        <f>'20'!N36</f>
        <v>266.54999999999995</v>
      </c>
      <c r="O28" s="33">
        <f>'20'!O36</f>
        <v>0</v>
      </c>
      <c r="P28" s="30">
        <f>'20'!P36</f>
        <v>1.3125</v>
      </c>
      <c r="Q28" s="30">
        <f>'20'!Q36</f>
        <v>9.4966666666666679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21/02/2025 01:00</v>
      </c>
      <c r="B29" s="33">
        <f>'21'!B36</f>
        <v>63.589166666666671</v>
      </c>
      <c r="C29" s="33">
        <f>'21'!C36</f>
        <v>75.877083333333346</v>
      </c>
      <c r="D29" s="33">
        <f>'21'!D36</f>
        <v>136.71666666666664</v>
      </c>
      <c r="E29" s="33">
        <f>'21'!E36</f>
        <v>10.008571428571429</v>
      </c>
      <c r="F29" s="33">
        <f>'21'!F36</f>
        <v>3.3891666666666662</v>
      </c>
      <c r="G29" s="33">
        <f>'21'!G36</f>
        <v>105.99708333333329</v>
      </c>
      <c r="H29" s="33">
        <f>'21'!H36</f>
        <v>34.625833333333325</v>
      </c>
      <c r="I29" s="53" t="s">
        <v>15</v>
      </c>
      <c r="J29" s="33">
        <f>'21'!J36</f>
        <v>1.0375000000000001</v>
      </c>
      <c r="K29" s="33">
        <f>'21'!K36</f>
        <v>273.51708333333335</v>
      </c>
      <c r="L29" s="33">
        <f>'21'!L36</f>
        <v>23.427499999999998</v>
      </c>
      <c r="M29" s="33">
        <f>'21'!M36</f>
        <v>56.717083333333328</v>
      </c>
      <c r="N29" s="33">
        <f>'21'!N36</f>
        <v>261.70833333333337</v>
      </c>
      <c r="O29" s="33">
        <f>'21'!O36</f>
        <v>0</v>
      </c>
      <c r="P29" s="30">
        <f>'21'!P36</f>
        <v>1.2791666666666668</v>
      </c>
      <c r="Q29" s="30">
        <f>'21'!Q36</f>
        <v>9.5929166666666656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22/02/2025 01:00</v>
      </c>
      <c r="B30" s="33">
        <f>'22'!B36</f>
        <v>38.339999999999989</v>
      </c>
      <c r="C30" s="33">
        <f>'22'!C36</f>
        <v>68.755416666666662</v>
      </c>
      <c r="D30" s="33">
        <f>'22'!D36</f>
        <v>104.70375</v>
      </c>
      <c r="E30" s="33">
        <f>'22'!E36</f>
        <v>6.1333333333333329</v>
      </c>
      <c r="F30" s="33">
        <f>'22'!F36</f>
        <v>2.1420833333333338</v>
      </c>
      <c r="G30" s="33">
        <f>'22'!G36</f>
        <v>69.271666666666661</v>
      </c>
      <c r="H30" s="33">
        <f>'22'!H36</f>
        <v>21.654166666666665</v>
      </c>
      <c r="I30" s="53" t="s">
        <v>15</v>
      </c>
      <c r="J30" s="33">
        <f>'22'!J36</f>
        <v>1.2250000000000003</v>
      </c>
      <c r="K30" s="33">
        <f>'22'!K36</f>
        <v>321.14541666666668</v>
      </c>
      <c r="L30" s="33">
        <f>'22'!L36</f>
        <v>23.369999999999994</v>
      </c>
      <c r="M30" s="33">
        <f>'22'!M36</f>
        <v>45.563749999999992</v>
      </c>
      <c r="N30" s="33">
        <f>'22'!N36</f>
        <v>291.14583333333343</v>
      </c>
      <c r="O30" s="33">
        <f>'22'!O36</f>
        <v>0</v>
      </c>
      <c r="P30" s="30">
        <f>'22'!P36</f>
        <v>0.91249999999999998</v>
      </c>
      <c r="Q30" s="30">
        <f>'22'!Q36</f>
        <v>9.5120833333333366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23/02/2025 01:00</v>
      </c>
      <c r="B31" s="33">
        <f>'23'!B36</f>
        <v>24.021666666666665</v>
      </c>
      <c r="C31" s="33">
        <f>'23'!C36</f>
        <v>65.468333333333348</v>
      </c>
      <c r="D31" s="33">
        <f>'23'!D36</f>
        <v>87.140833333333319</v>
      </c>
      <c r="E31" s="33">
        <f>'23'!E36</f>
        <v>7.6170833333333334</v>
      </c>
      <c r="F31" s="33">
        <f>'23'!F36</f>
        <v>2.1679166666666672</v>
      </c>
      <c r="G31" s="33">
        <f>'23'!G36</f>
        <v>70.391250000000014</v>
      </c>
      <c r="H31" s="33">
        <f>'23'!H36</f>
        <v>20.964583333333334</v>
      </c>
      <c r="I31" s="53" t="s">
        <v>15</v>
      </c>
      <c r="J31" s="33">
        <f>'23'!J36</f>
        <v>1.2454166666666666</v>
      </c>
      <c r="K31" s="33">
        <f>'23'!K36</f>
        <v>212.05375000000004</v>
      </c>
      <c r="L31" s="33">
        <f>'23'!L36</f>
        <v>22.504999999999999</v>
      </c>
      <c r="M31" s="33">
        <f>'23'!M36</f>
        <v>37.066250000000011</v>
      </c>
      <c r="N31" s="33">
        <f>'23'!N36</f>
        <v>311.15416666666675</v>
      </c>
      <c r="O31" s="33">
        <f>'23'!O36</f>
        <v>0</v>
      </c>
      <c r="P31" s="33">
        <f>'23'!P36</f>
        <v>0.75041666666666673</v>
      </c>
      <c r="Q31" s="33">
        <f>'23'!Q36</f>
        <v>9.5537499999999991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24/02/2025 01:00</v>
      </c>
      <c r="B32" s="33">
        <f>'24'!B36</f>
        <v>34.710416666666667</v>
      </c>
      <c r="C32" s="33">
        <f>'24'!C36</f>
        <v>68.152083333333351</v>
      </c>
      <c r="D32" s="33">
        <f>'24'!D36</f>
        <v>100.29083333333334</v>
      </c>
      <c r="E32" s="33">
        <f>'24'!E36</f>
        <v>7.8895833333333343</v>
      </c>
      <c r="F32" s="33">
        <f>'24'!F36</f>
        <v>4.0212499999999993</v>
      </c>
      <c r="G32" s="33">
        <f>'24'!G36</f>
        <v>77.796250000000029</v>
      </c>
      <c r="H32" s="33">
        <f>'24'!H36</f>
        <v>26.76125</v>
      </c>
      <c r="I32" s="53" t="s">
        <v>15</v>
      </c>
      <c r="J32" s="33">
        <f>'24'!J36</f>
        <v>1.4291666666666669</v>
      </c>
      <c r="K32" s="33">
        <f>'24'!K36</f>
        <v>200.78791666666666</v>
      </c>
      <c r="L32" s="33">
        <f>'24'!L36</f>
        <v>22.124583333333334</v>
      </c>
      <c r="M32" s="33">
        <f>'24'!M36</f>
        <v>37.191250000000004</v>
      </c>
      <c r="N32" s="33">
        <f>'24'!N36</f>
        <v>305.84166666666664</v>
      </c>
      <c r="O32" s="33">
        <f>'24'!O36</f>
        <v>0</v>
      </c>
      <c r="P32" s="33">
        <f>'24'!P36</f>
        <v>0.90875000000000028</v>
      </c>
      <c r="Q32" s="33">
        <f>'24'!Q36</f>
        <v>9.9749999999999979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25/02/2025 01:00</v>
      </c>
      <c r="B33" s="33">
        <f>'25'!B36</f>
        <v>42.9375</v>
      </c>
      <c r="C33" s="33">
        <f>'25'!C36</f>
        <v>73.593333333333348</v>
      </c>
      <c r="D33" s="33">
        <f>'25'!D36</f>
        <v>113.97916666666667</v>
      </c>
      <c r="E33" s="33">
        <f>'25'!E36</f>
        <v>8.7316666666666656</v>
      </c>
      <c r="F33" s="33">
        <f>'25'!F36</f>
        <v>3.5383333333333322</v>
      </c>
      <c r="G33" s="33">
        <f>'25'!G36</f>
        <v>96.221249999999998</v>
      </c>
      <c r="H33" s="33">
        <f>'25'!H36</f>
        <v>25.466249999999999</v>
      </c>
      <c r="I33" s="53" t="s">
        <v>15</v>
      </c>
      <c r="J33" s="33">
        <f>'25'!J36</f>
        <v>1.2045833333333333</v>
      </c>
      <c r="K33" s="33">
        <f>'25'!K36</f>
        <v>193.12208333333331</v>
      </c>
      <c r="L33" s="33">
        <f>'25'!L36</f>
        <v>22.340833333333336</v>
      </c>
      <c r="M33" s="33">
        <f>'25'!M36</f>
        <v>43.126249999999999</v>
      </c>
      <c r="N33" s="33">
        <f>'25'!N36</f>
        <v>295.59166666666664</v>
      </c>
      <c r="O33" s="33">
        <f>'25'!O36</f>
        <v>0</v>
      </c>
      <c r="P33" s="33">
        <f>'25'!P36</f>
        <v>1.1408333333333334</v>
      </c>
      <c r="Q33" s="33">
        <f>'25'!Q36</f>
        <v>9.7683333333333344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26/02/2025 01:00</v>
      </c>
      <c r="B34" s="33">
        <f>'26'!B36</f>
        <v>75.710909090909084</v>
      </c>
      <c r="C34" s="33">
        <f>'26'!C36</f>
        <v>85.672272727272713</v>
      </c>
      <c r="D34" s="33">
        <f>'26'!D36</f>
        <v>124.90909090909089</v>
      </c>
      <c r="E34" s="33">
        <f>'26'!E36</f>
        <v>12.8125</v>
      </c>
      <c r="F34" s="33">
        <f>'26'!F36</f>
        <v>7.1539130434782594</v>
      </c>
      <c r="G34" s="33">
        <f>'26'!G36</f>
        <v>110.73478260869565</v>
      </c>
      <c r="H34" s="33">
        <f>'26'!H36</f>
        <v>28.667391304347827</v>
      </c>
      <c r="I34" s="33">
        <f>'26'!I36</f>
        <v>4.1100000000000003</v>
      </c>
      <c r="J34" s="33">
        <f>'26'!J36</f>
        <v>1.3179166666666666</v>
      </c>
      <c r="K34" s="33">
        <f>'26'!K36</f>
        <v>217.76708333333337</v>
      </c>
      <c r="L34" s="33">
        <f>'26'!L36</f>
        <v>22.849583333333332</v>
      </c>
      <c r="M34" s="33">
        <f>'26'!M36</f>
        <v>36.344166666666666</v>
      </c>
      <c r="N34" s="33">
        <f>'26'!N36</f>
        <v>299.25416666666666</v>
      </c>
      <c r="O34" s="33">
        <f>'26'!O36</f>
        <v>0</v>
      </c>
      <c r="P34" s="33">
        <f>'26'!P36</f>
        <v>1.50125</v>
      </c>
      <c r="Q34" s="33">
        <f>'26'!Q36</f>
        <v>9.7458333333333318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27/02/2025 01:00</v>
      </c>
      <c r="B35" s="33">
        <f>'27'!B36</f>
        <v>105.49375000000002</v>
      </c>
      <c r="C35" s="33">
        <f>'27'!C36</f>
        <v>86.174583333333317</v>
      </c>
      <c r="D35" s="33">
        <f>'27'!D36</f>
        <v>127.60583333333334</v>
      </c>
      <c r="E35" s="33">
        <f>'27'!E36</f>
        <v>10.604166666666668</v>
      </c>
      <c r="F35" s="33">
        <f>'27'!F36</f>
        <v>11.456250000000002</v>
      </c>
      <c r="G35" s="33">
        <f>'27'!G36</f>
        <v>124.5675</v>
      </c>
      <c r="H35" s="33">
        <f>'27'!H36</f>
        <v>45.582916666666669</v>
      </c>
      <c r="I35" s="33">
        <f>'27'!I36</f>
        <v>4.0895833333333336</v>
      </c>
      <c r="J35" s="33">
        <f>'27'!J36</f>
        <v>1.1491666666666669</v>
      </c>
      <c r="K35" s="33">
        <f>'27'!K36</f>
        <v>283.19499999999999</v>
      </c>
      <c r="L35" s="33">
        <f>'27'!L36</f>
        <v>22.784999999999997</v>
      </c>
      <c r="M35" s="33">
        <f>'27'!M36</f>
        <v>40.591249999999995</v>
      </c>
      <c r="N35" s="33">
        <f>'27'!N36</f>
        <v>303.15416666666664</v>
      </c>
      <c r="O35" s="33">
        <f>'27'!O36</f>
        <v>0</v>
      </c>
      <c r="P35" s="30">
        <f>'27'!P36</f>
        <v>1.5574999999999999</v>
      </c>
      <c r="Q35" s="33">
        <f>'27'!Q36</f>
        <v>9.9366666666666656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28/02/2025 01:00</v>
      </c>
      <c r="B36" s="33">
        <f>'28'!B36</f>
        <v>122.36749999999999</v>
      </c>
      <c r="C36" s="33">
        <f>'28'!C36</f>
        <v>99.605000000000018</v>
      </c>
      <c r="D36" s="33">
        <f>'28'!D36</f>
        <v>148.03291666666669</v>
      </c>
      <c r="E36" s="33">
        <f>'28'!E36</f>
        <v>10.337083333333334</v>
      </c>
      <c r="F36" s="33">
        <f>'28'!F36</f>
        <v>19.246666666666663</v>
      </c>
      <c r="G36" s="33">
        <f>'28'!G36</f>
        <v>124.24333333333333</v>
      </c>
      <c r="H36" s="33">
        <f>'28'!H36</f>
        <v>52.725416666666661</v>
      </c>
      <c r="I36" s="33">
        <f>'28'!I36</f>
        <v>4.1004166666666668</v>
      </c>
      <c r="J36" s="33">
        <f>'28'!J36</f>
        <v>0.94250000000000023</v>
      </c>
      <c r="K36" s="33">
        <f>'28'!K36</f>
        <v>298.52500000000003</v>
      </c>
      <c r="L36" s="33">
        <f>'28'!L36</f>
        <v>23.247083333333332</v>
      </c>
      <c r="M36" s="33">
        <f>'28'!M36</f>
        <v>49.686250000000001</v>
      </c>
      <c r="N36" s="33">
        <f>'28'!N36</f>
        <v>296.27499999999992</v>
      </c>
      <c r="O36" s="33">
        <f>'28'!O36</f>
        <v>0</v>
      </c>
      <c r="P36" s="30">
        <f>'28'!P36</f>
        <v>1.6087499999999999</v>
      </c>
      <c r="Q36" s="33">
        <f>'28'!Q36</f>
        <v>9.8795833333333345</v>
      </c>
      <c r="R36" s="46"/>
      <c r="S36" s="46"/>
      <c r="T36" s="46"/>
      <c r="U36" s="46"/>
    </row>
    <row r="37" spans="1:21" x14ac:dyDescent="0.2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0"/>
      <c r="S37" s="20"/>
      <c r="T37" s="20"/>
      <c r="U37" s="48"/>
    </row>
    <row r="38" spans="1:21" s="21" customFormat="1" x14ac:dyDescent="0.25">
      <c r="A38" s="14" t="s">
        <v>30</v>
      </c>
      <c r="B38" s="15">
        <f>MIN(B9:B36)</f>
        <v>15.035416666666668</v>
      </c>
      <c r="C38" s="15">
        <f>MIN(C9:C36)</f>
        <v>54.53541666666667</v>
      </c>
      <c r="D38" s="15">
        <f>MIN(D9:D36)</f>
        <v>41.731249999999996</v>
      </c>
      <c r="E38" s="15">
        <f>MIN(E9:E36)</f>
        <v>5.95</v>
      </c>
      <c r="F38" s="15">
        <f>MIN(F9:F36)</f>
        <v>2.1300000000000003</v>
      </c>
      <c r="G38" s="15">
        <f>MIN(G9:G36)</f>
        <v>69.271666666666661</v>
      </c>
      <c r="H38" s="15">
        <f>MIN(H9:H36)</f>
        <v>11.927777777777777</v>
      </c>
      <c r="I38" s="15">
        <f>MIN(I9:I36)</f>
        <v>4.0895833333333336</v>
      </c>
      <c r="J38" s="15">
        <f>MIN(J9:J36)</f>
        <v>0.73958333333333337</v>
      </c>
      <c r="K38" s="15">
        <f>MIN(K9:K36)</f>
        <v>193.12208333333331</v>
      </c>
      <c r="L38" s="15">
        <f>MIN(L9:L36)</f>
        <v>20.096250000000001</v>
      </c>
      <c r="M38" s="15">
        <f>MIN(M9:M36)</f>
        <v>34.705000000000005</v>
      </c>
      <c r="N38" s="15">
        <f>MIN(N9:N36)</f>
        <v>216.42500000000007</v>
      </c>
      <c r="O38" s="15">
        <f>MIN(O9:O36)</f>
        <v>0</v>
      </c>
      <c r="P38" s="15">
        <f>MIN(P9:P36)</f>
        <v>0.65083333333333326</v>
      </c>
      <c r="Q38" s="15">
        <f>MIN(Q9:Q36)</f>
        <v>9.4966666666666679</v>
      </c>
      <c r="R38" s="28"/>
      <c r="S38" s="28"/>
      <c r="T38" s="28"/>
      <c r="U38" s="28"/>
    </row>
    <row r="39" spans="1:21" s="21" customFormat="1" x14ac:dyDescent="0.25">
      <c r="A39" s="14" t="s">
        <v>31</v>
      </c>
      <c r="B39" s="15">
        <f>MAX(B9:B36)</f>
        <v>122.36749999999999</v>
      </c>
      <c r="C39" s="15">
        <f>MAX(C9:C36)</f>
        <v>99.605000000000018</v>
      </c>
      <c r="D39" s="15">
        <f>MAX(D9:D36)</f>
        <v>148.03291666666669</v>
      </c>
      <c r="E39" s="15">
        <f>MAX(E9:E36)</f>
        <v>12.8125</v>
      </c>
      <c r="F39" s="15">
        <f>MAX(F9:F36)</f>
        <v>19.246666666666663</v>
      </c>
      <c r="G39" s="15">
        <f>MAX(G9:G36)</f>
        <v>141.83208333333337</v>
      </c>
      <c r="H39" s="15">
        <f>MAX(H9:H36)</f>
        <v>60.077500000000008</v>
      </c>
      <c r="I39" s="15">
        <f>MAX(I9:I36)</f>
        <v>4.1100000000000003</v>
      </c>
      <c r="J39" s="15">
        <f>MAX(J9:J36)</f>
        <v>1.6116666666666666</v>
      </c>
      <c r="K39" s="15">
        <f>MAX(K9:K36)</f>
        <v>340.58958333333334</v>
      </c>
      <c r="L39" s="15">
        <f>MAX(L9:L36)</f>
        <v>24.08666666666667</v>
      </c>
      <c r="M39" s="15">
        <f>MAX(M9:M36)</f>
        <v>71.056666666666658</v>
      </c>
      <c r="N39" s="15">
        <f>MAX(N9:N36)</f>
        <v>337.2208333333333</v>
      </c>
      <c r="O39" s="15">
        <f>MAX(O9:O36)</f>
        <v>0</v>
      </c>
      <c r="P39" s="15">
        <f>MAX(P9:P36)</f>
        <v>1.6087499999999999</v>
      </c>
      <c r="Q39" s="15">
        <f>MAX(Q9:Q36)</f>
        <v>10.377083333333333</v>
      </c>
      <c r="R39" s="28"/>
      <c r="S39" s="28"/>
      <c r="T39" s="28"/>
      <c r="U39" s="28"/>
    </row>
    <row r="40" spans="1:21" s="21" customFormat="1" x14ac:dyDescent="0.25">
      <c r="A40" s="14" t="s">
        <v>32</v>
      </c>
      <c r="B40" s="15">
        <f>AVERAGE(B9:B36)</f>
        <v>51.745182629870136</v>
      </c>
      <c r="C40" s="15">
        <f>AVERAGE(C9:C36)</f>
        <v>67.21054383116882</v>
      </c>
      <c r="D40" s="15">
        <f>AVERAGE(D9:D36)</f>
        <v>86.794330357142854</v>
      </c>
      <c r="E40" s="15">
        <f>AVERAGE(E9:E36)</f>
        <v>8.1684205548161284</v>
      </c>
      <c r="F40" s="15">
        <f>AVERAGE(F9:F36)</f>
        <v>4.1977736801242225</v>
      </c>
      <c r="G40" s="15">
        <f>AVERAGE(G9:G36)</f>
        <v>96.187289171103231</v>
      </c>
      <c r="H40" s="15">
        <f>AVERAGE(H9:H36)</f>
        <v>33.457500770235633</v>
      </c>
      <c r="I40" s="15">
        <f>AVERAGE(I9:I36)</f>
        <v>4.1000000000000005</v>
      </c>
      <c r="J40" s="15">
        <f>AVERAGE(J9:J36)</f>
        <v>1.0853720238095235</v>
      </c>
      <c r="K40" s="15">
        <f>AVERAGE(K9:K36)</f>
        <v>287.94819940476179</v>
      </c>
      <c r="L40" s="15">
        <f>AVERAGE(L9:L36)</f>
        <v>22.437544642857144</v>
      </c>
      <c r="M40" s="15">
        <f>AVERAGE(M9:M36)</f>
        <v>48.495982142857144</v>
      </c>
      <c r="N40" s="15">
        <f>AVERAGE(N9:N36)</f>
        <v>270.63824404761897</v>
      </c>
      <c r="O40" s="15">
        <f>AVERAGE(O9:O36)</f>
        <v>0</v>
      </c>
      <c r="P40" s="15">
        <f>AVERAGE(P9:P36)</f>
        <v>1.1241964285714285</v>
      </c>
      <c r="Q40" s="15">
        <f>AVERAGE(Q9:Q36)</f>
        <v>9.7846130952380967</v>
      </c>
      <c r="R40" s="28"/>
      <c r="S40" s="28"/>
      <c r="T40" s="28"/>
      <c r="U40" s="28"/>
    </row>
    <row r="41" spans="1:21" s="21" customFormat="1" x14ac:dyDescent="0.25">
      <c r="A41" s="14" t="s">
        <v>38</v>
      </c>
      <c r="B41" s="15">
        <f>STDEV(B9:B36)</f>
        <v>25.99190122800367</v>
      </c>
      <c r="C41" s="15">
        <f>STDEV(C9:C36)</f>
        <v>10.933806664592929</v>
      </c>
      <c r="D41" s="15">
        <f>STDEV(D9:D36)</f>
        <v>29.824968334494997</v>
      </c>
      <c r="E41" s="15">
        <f>STDEV(E9:E36)</f>
        <v>1.8232765167722718</v>
      </c>
      <c r="F41" s="15">
        <f>STDEV(F9:F36)</f>
        <v>3.6965570667720793</v>
      </c>
      <c r="G41" s="15">
        <f>STDEV(G9:G36)</f>
        <v>20.037806327568354</v>
      </c>
      <c r="H41" s="15">
        <f>STDEV(H9:H36)</f>
        <v>10.43855799205525</v>
      </c>
      <c r="I41" s="15">
        <f>STDEV(I9:I36)</f>
        <v>1.0214708893442758E-2</v>
      </c>
      <c r="J41" s="15">
        <f>STDEV(J9:J36)</f>
        <v>0.23365782494382992</v>
      </c>
      <c r="K41" s="15">
        <f>STDEV(K9:K36)</f>
        <v>38.538531434885243</v>
      </c>
      <c r="L41" s="15">
        <f>STDEV(L9:L36)</f>
        <v>1.1083796480349395</v>
      </c>
      <c r="M41" s="15">
        <f>STDEV(M9:M36)</f>
        <v>10.194400616904364</v>
      </c>
      <c r="N41" s="15">
        <f>STDEV(N9:N36)</f>
        <v>37.353255112603215</v>
      </c>
      <c r="O41" s="15">
        <f>STDEV(O9:O36)</f>
        <v>0</v>
      </c>
      <c r="P41" s="15">
        <f>STDEV(P9:P36)</f>
        <v>0.27321676622198249</v>
      </c>
      <c r="Q41" s="15">
        <f>STDEV(Q9:Q36)</f>
        <v>0.2134285247864815</v>
      </c>
      <c r="R41" s="28"/>
      <c r="S41" s="28"/>
      <c r="T41" s="28"/>
      <c r="U41" s="28"/>
    </row>
    <row r="42" spans="1:21" s="21" customFormat="1" x14ac:dyDescent="0.25">
      <c r="A42" s="14" t="s">
        <v>33</v>
      </c>
      <c r="B42" s="12">
        <f>COUNT(B9:B36)</f>
        <v>28</v>
      </c>
      <c r="C42" s="12">
        <f>COUNT(C9:C36)</f>
        <v>28</v>
      </c>
      <c r="D42" s="12">
        <f>COUNT(D9:D36)</f>
        <v>28</v>
      </c>
      <c r="E42" s="12">
        <f>COUNT(E9:E36)</f>
        <v>28</v>
      </c>
      <c r="F42" s="12">
        <f>COUNT(F9:F36)</f>
        <v>28</v>
      </c>
      <c r="G42" s="12">
        <f>COUNT(G9:G36)</f>
        <v>28</v>
      </c>
      <c r="H42" s="12">
        <f>COUNT(H9:H36)</f>
        <v>28</v>
      </c>
      <c r="I42" s="12">
        <f>COUNT(I9:I36)</f>
        <v>3</v>
      </c>
      <c r="J42" s="12">
        <f>COUNT(J9:J36)</f>
        <v>28</v>
      </c>
      <c r="K42" s="12">
        <f>COUNT(K9:K36)</f>
        <v>28</v>
      </c>
      <c r="L42" s="12">
        <f>COUNT(L9:L36)</f>
        <v>28</v>
      </c>
      <c r="M42" s="12">
        <f>COUNT(M9:M36)</f>
        <v>28</v>
      </c>
      <c r="N42" s="12">
        <f>COUNT(N9:N36)</f>
        <v>28</v>
      </c>
      <c r="O42" s="12">
        <f>COUNT(O9:O36)</f>
        <v>28</v>
      </c>
      <c r="P42" s="12">
        <f>COUNT(P9:P36)</f>
        <v>28</v>
      </c>
      <c r="Q42" s="12">
        <f>COUNT(Q9:Q36)</f>
        <v>28</v>
      </c>
      <c r="R42" s="29"/>
      <c r="S42" s="29"/>
      <c r="T42" s="29"/>
      <c r="U42" s="29"/>
    </row>
    <row r="43" spans="1:21" s="21" customFormat="1" x14ac:dyDescent="0.25">
      <c r="A43" s="14" t="s">
        <v>34</v>
      </c>
      <c r="B43" s="12" t="str">
        <f>IF(B42&gt;=28,"&gt;90%",IF(B42&lt;=28,"&lt;90%"))</f>
        <v>&gt;90%</v>
      </c>
      <c r="C43" s="12" t="str">
        <f t="shared" ref="C43:Q43" si="0">IF(C42&gt;=28,"&gt;90%",IF(C42&lt;=28,"&lt;90%"))</f>
        <v>&gt;90%</v>
      </c>
      <c r="D43" s="12" t="str">
        <f t="shared" si="0"/>
        <v>&gt;90%</v>
      </c>
      <c r="E43" s="12" t="str">
        <f t="shared" si="0"/>
        <v>&gt;90%</v>
      </c>
      <c r="F43" s="12" t="str">
        <f t="shared" si="0"/>
        <v>&gt;90%</v>
      </c>
      <c r="G43" s="12" t="str">
        <f t="shared" si="0"/>
        <v>&gt;90%</v>
      </c>
      <c r="H43" s="12" t="str">
        <f t="shared" si="0"/>
        <v>&gt;90%</v>
      </c>
      <c r="I43" s="12" t="str">
        <f t="shared" si="0"/>
        <v>&lt;90%</v>
      </c>
      <c r="J43" s="12" t="str">
        <f t="shared" si="0"/>
        <v>&gt;90%</v>
      </c>
      <c r="K43" s="12" t="str">
        <f t="shared" si="0"/>
        <v>&gt;90%</v>
      </c>
      <c r="L43" s="12" t="str">
        <f t="shared" si="0"/>
        <v>&gt;90%</v>
      </c>
      <c r="M43" s="12" t="str">
        <f t="shared" si="0"/>
        <v>&gt;90%</v>
      </c>
      <c r="N43" s="12" t="str">
        <f t="shared" si="0"/>
        <v>&gt;90%</v>
      </c>
      <c r="O43" s="12" t="str">
        <f t="shared" si="0"/>
        <v>&gt;90%</v>
      </c>
      <c r="P43" s="12" t="str">
        <f t="shared" si="0"/>
        <v>&gt;90%</v>
      </c>
      <c r="Q43" s="12" t="str">
        <f t="shared" si="0"/>
        <v>&gt;90%</v>
      </c>
      <c r="R43" s="29"/>
      <c r="S43" s="29"/>
      <c r="T43" s="29"/>
      <c r="U43" s="29"/>
    </row>
    <row r="44" spans="1:21" s="21" customFormat="1" x14ac:dyDescent="0.25">
      <c r="A44" s="14" t="s">
        <v>1</v>
      </c>
      <c r="B44" s="12" t="str">
        <f>IF(B42&gt;=28,"OK",IF(B42&lt;=28,"LESS"))</f>
        <v>OK</v>
      </c>
      <c r="C44" s="12" t="str">
        <f t="shared" ref="C44:Q44" si="1">IF(C42&gt;=28,"OK",IF(C42&lt;=28,"LESS"))</f>
        <v>OK</v>
      </c>
      <c r="D44" s="12" t="str">
        <f t="shared" si="1"/>
        <v>OK</v>
      </c>
      <c r="E44" s="12" t="str">
        <f t="shared" si="1"/>
        <v>OK</v>
      </c>
      <c r="F44" s="12" t="str">
        <f t="shared" si="1"/>
        <v>OK</v>
      </c>
      <c r="G44" s="12" t="str">
        <f t="shared" si="1"/>
        <v>OK</v>
      </c>
      <c r="H44" s="12" t="str">
        <f t="shared" si="1"/>
        <v>OK</v>
      </c>
      <c r="I44" s="12" t="str">
        <f t="shared" si="1"/>
        <v>LESS</v>
      </c>
      <c r="J44" s="12" t="str">
        <f t="shared" si="1"/>
        <v>OK</v>
      </c>
      <c r="K44" s="12" t="str">
        <f t="shared" si="1"/>
        <v>OK</v>
      </c>
      <c r="L44" s="12" t="str">
        <f t="shared" si="1"/>
        <v>OK</v>
      </c>
      <c r="M44" s="12" t="str">
        <f t="shared" si="1"/>
        <v>OK</v>
      </c>
      <c r="N44" s="12" t="str">
        <f t="shared" si="1"/>
        <v>OK</v>
      </c>
      <c r="O44" s="12" t="str">
        <f t="shared" si="1"/>
        <v>OK</v>
      </c>
      <c r="P44" s="12" t="str">
        <f t="shared" si="1"/>
        <v>OK</v>
      </c>
      <c r="Q44" s="12" t="str">
        <f t="shared" si="1"/>
        <v>OK</v>
      </c>
      <c r="R44" s="29"/>
      <c r="S44" s="29"/>
      <c r="T44" s="29"/>
      <c r="U44" s="29"/>
    </row>
    <row r="45" spans="1:21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7" spans="1:21" x14ac:dyDescent="0.25">
      <c r="A47" s="14" t="s">
        <v>35</v>
      </c>
      <c r="B47" s="40" t="s">
        <v>41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21" x14ac:dyDescent="0.25">
      <c r="A48" s="13"/>
      <c r="B48" s="21"/>
      <c r="C48" s="21"/>
      <c r="D48" s="1"/>
      <c r="E48" s="1"/>
      <c r="F48" s="1"/>
      <c r="G48" s="1"/>
      <c r="H48" s="1"/>
      <c r="I48" s="1"/>
      <c r="J48" s="21"/>
      <c r="K48" s="21"/>
      <c r="L48" s="21"/>
      <c r="M48" s="21"/>
      <c r="N48" s="21"/>
      <c r="O48" s="21"/>
      <c r="P48" s="21"/>
    </row>
    <row r="49" spans="1:16" ht="15.75" x14ac:dyDescent="0.25">
      <c r="A49" s="17" t="s">
        <v>36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</row>
    <row r="50" spans="1:16" x14ac:dyDescent="0.25">
      <c r="A50" s="1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</sheetData>
  <mergeCells count="1">
    <mergeCell ref="B49:P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MONTHLY 28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2025-04-25T11:29:29Z</dcterms:modified>
  <cp:category/>
</cp:coreProperties>
</file>