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5" activeTab="29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MONTHLY 28" sheetId="39" r:id="rId29"/>
    <sheet name="CALIBRATION REPORT" sheetId="6" r:id="rId30"/>
    <sheet name="POWER OFF" sheetId="5" r:id="rId31"/>
    <sheet name="MUX SIGNALS" sheetId="43" r:id="rId32"/>
  </sheets>
  <calcPr calcId="144525"/>
</workbook>
</file>

<file path=xl/calcChain.xml><?xml version="1.0" encoding="utf-8"?>
<calcChain xmlns="http://schemas.openxmlformats.org/spreadsheetml/2006/main">
  <c r="J110" i="33" l="1"/>
  <c r="G110" i="33"/>
  <c r="H110" i="33"/>
  <c r="I110" i="32"/>
  <c r="Q110" i="31"/>
  <c r="I110" i="31"/>
  <c r="G110" i="31"/>
  <c r="E110" i="31"/>
  <c r="C110" i="31"/>
  <c r="D110" i="31"/>
  <c r="B110" i="31"/>
  <c r="I110" i="30"/>
  <c r="J110" i="29"/>
  <c r="I110" i="27"/>
  <c r="H110" i="25"/>
  <c r="H110" i="24"/>
  <c r="P110" i="23"/>
  <c r="H110" i="23"/>
  <c r="G110" i="23"/>
  <c r="E110" i="23"/>
  <c r="C110" i="23"/>
  <c r="D110" i="23"/>
  <c r="B110" i="23"/>
  <c r="G110" i="22"/>
  <c r="H110" i="22"/>
  <c r="Q110" i="19"/>
  <c r="I110" i="18"/>
  <c r="J110" i="18"/>
  <c r="H110" i="18"/>
  <c r="Q110" i="17"/>
  <c r="Q110" i="16"/>
  <c r="Q110" i="15"/>
  <c r="G110" i="15"/>
  <c r="H110" i="15"/>
  <c r="H110" i="14"/>
  <c r="H110" i="13"/>
  <c r="I110" i="12"/>
  <c r="F110" i="12"/>
  <c r="H110" i="12"/>
  <c r="H110" i="11"/>
  <c r="C110" i="11"/>
  <c r="D110" i="11"/>
  <c r="B110" i="11"/>
  <c r="I110" i="11"/>
  <c r="H110" i="10"/>
  <c r="G110" i="10"/>
  <c r="E110" i="10"/>
  <c r="C110" i="10"/>
  <c r="D110" i="10"/>
  <c r="B110" i="10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H110" i="3"/>
  <c r="I112" i="3"/>
  <c r="I110" i="3"/>
  <c r="I110" i="2"/>
  <c r="C110" i="26" l="1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M110" i="26"/>
  <c r="M111" i="26" s="1"/>
  <c r="N110" i="26"/>
  <c r="N112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1" i="25"/>
  <c r="I110" i="25"/>
  <c r="J110" i="25"/>
  <c r="K110" i="25"/>
  <c r="K111" i="25" s="1"/>
  <c r="L110" i="25"/>
  <c r="L112" i="25" s="1"/>
  <c r="M110" i="25"/>
  <c r="M111" i="25" s="1"/>
  <c r="N110" i="25"/>
  <c r="O110" i="25"/>
  <c r="P110" i="25"/>
  <c r="P111" i="25" s="1"/>
  <c r="Q110" i="25"/>
  <c r="B110" i="25"/>
  <c r="B112" i="25" s="1"/>
  <c r="Q110" i="14"/>
  <c r="Q112" i="14" s="1"/>
  <c r="I110" i="14"/>
  <c r="I111" i="14" s="1"/>
  <c r="I110" i="13"/>
  <c r="I111" i="13" s="1"/>
  <c r="G112" i="33"/>
  <c r="H111" i="33"/>
  <c r="I110" i="33"/>
  <c r="I111" i="33" s="1"/>
  <c r="J112" i="33"/>
  <c r="J110" i="32"/>
  <c r="J111" i="32" s="1"/>
  <c r="I112" i="32"/>
  <c r="H110" i="32"/>
  <c r="H111" i="32" s="1"/>
  <c r="H110" i="31"/>
  <c r="H112" i="31" s="1"/>
  <c r="I111" i="31"/>
  <c r="J110" i="31"/>
  <c r="J111" i="31" s="1"/>
  <c r="G112" i="31"/>
  <c r="J110" i="30"/>
  <c r="J111" i="30" s="1"/>
  <c r="I112" i="30"/>
  <c r="H110" i="30"/>
  <c r="H112" i="30" s="1"/>
  <c r="J112" i="29"/>
  <c r="I110" i="29"/>
  <c r="I112" i="29" s="1"/>
  <c r="H110" i="29"/>
  <c r="H112" i="29" s="1"/>
  <c r="J110" i="28"/>
  <c r="J111" i="28" s="1"/>
  <c r="I110" i="28"/>
  <c r="I112" i="28" s="1"/>
  <c r="H110" i="28"/>
  <c r="H112" i="28" s="1"/>
  <c r="I112" i="27"/>
  <c r="C110" i="27"/>
  <c r="C111" i="27" s="1"/>
  <c r="D110" i="27"/>
  <c r="D111" i="27" s="1"/>
  <c r="E110" i="27"/>
  <c r="F110" i="27"/>
  <c r="F112" i="27" s="1"/>
  <c r="G110" i="27"/>
  <c r="G112" i="27" s="1"/>
  <c r="H110" i="27"/>
  <c r="H111" i="27" s="1"/>
  <c r="J110" i="27"/>
  <c r="K110" i="27"/>
  <c r="L110" i="27"/>
  <c r="L112" i="27" s="1"/>
  <c r="M110" i="27"/>
  <c r="N110" i="27"/>
  <c r="N111" i="27" s="1"/>
  <c r="O110" i="27"/>
  <c r="P110" i="27"/>
  <c r="P111" i="27" s="1"/>
  <c r="Q110" i="27"/>
  <c r="Q111" i="26"/>
  <c r="Q111" i="25"/>
  <c r="O112" i="25"/>
  <c r="N111" i="25"/>
  <c r="J112" i="25"/>
  <c r="I111" i="25"/>
  <c r="F112" i="25"/>
  <c r="J110" i="24"/>
  <c r="J111" i="24" s="1"/>
  <c r="I110" i="24"/>
  <c r="I112" i="24" s="1"/>
  <c r="H112" i="24"/>
  <c r="J110" i="23"/>
  <c r="J112" i="23" s="1"/>
  <c r="I110" i="23"/>
  <c r="I112" i="23" s="1"/>
  <c r="J110" i="22"/>
  <c r="J112" i="22" s="1"/>
  <c r="I110" i="22"/>
  <c r="I112" i="22" s="1"/>
  <c r="H112" i="22"/>
  <c r="G111" i="22"/>
  <c r="J110" i="21"/>
  <c r="J111" i="21" s="1"/>
  <c r="I110" i="21"/>
  <c r="I111" i="21" s="1"/>
  <c r="H110" i="21"/>
  <c r="H111" i="21" s="1"/>
  <c r="H110" i="20"/>
  <c r="H112" i="20" s="1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H111" i="15"/>
  <c r="I110" i="15"/>
  <c r="I111" i="15" s="1"/>
  <c r="J110" i="15"/>
  <c r="J112" i="15" s="1"/>
  <c r="Q111" i="15"/>
  <c r="J110" i="14"/>
  <c r="J111" i="14" s="1"/>
  <c r="H112" i="14"/>
  <c r="D112" i="11"/>
  <c r="C112" i="11"/>
  <c r="B111" i="11"/>
  <c r="J110" i="13"/>
  <c r="J112" i="13" s="1"/>
  <c r="H112" i="13"/>
  <c r="F111" i="12"/>
  <c r="J110" i="12"/>
  <c r="J112" i="12" s="1"/>
  <c r="H111" i="12"/>
  <c r="I112" i="12"/>
  <c r="J110" i="11"/>
  <c r="J111" i="11"/>
  <c r="I111" i="11"/>
  <c r="H111" i="11"/>
  <c r="G110" i="11"/>
  <c r="G112" i="11" s="1"/>
  <c r="J110" i="10"/>
  <c r="J112" i="10" s="1"/>
  <c r="I110" i="10"/>
  <c r="I111" i="10" s="1"/>
  <c r="H112" i="10"/>
  <c r="J110" i="9"/>
  <c r="J111" i="9" s="1"/>
  <c r="I110" i="9"/>
  <c r="I111" i="9" s="1"/>
  <c r="H110" i="9"/>
  <c r="H111" i="9" s="1"/>
  <c r="Q111" i="8"/>
  <c r="J111" i="8"/>
  <c r="I111" i="8"/>
  <c r="H111" i="8"/>
  <c r="P112" i="8"/>
  <c r="O111" i="8"/>
  <c r="L112" i="8"/>
  <c r="K111" i="8"/>
  <c r="G111" i="8"/>
  <c r="F111" i="8"/>
  <c r="E112" i="8"/>
  <c r="B112" i="8"/>
  <c r="I111" i="2"/>
  <c r="B2" i="23"/>
  <c r="C110" i="2"/>
  <c r="C111" i="2" s="1"/>
  <c r="D110" i="2"/>
  <c r="E110" i="2"/>
  <c r="E111" i="2"/>
  <c r="F110" i="2"/>
  <c r="F111" i="2" s="1"/>
  <c r="G110" i="2"/>
  <c r="G112" i="2" s="1"/>
  <c r="H110" i="2"/>
  <c r="J110" i="2"/>
  <c r="J111" i="2" s="1"/>
  <c r="K110" i="2"/>
  <c r="K111" i="2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1" i="3" s="1"/>
  <c r="G112" i="3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1" i="33" s="1"/>
  <c r="L112" i="33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/>
  <c r="N108" i="33"/>
  <c r="M108" i="33"/>
  <c r="M36" i="39" s="1"/>
  <c r="L108" i="33"/>
  <c r="L36" i="39"/>
  <c r="K108" i="33"/>
  <c r="J108" i="33"/>
  <c r="I108" i="33"/>
  <c r="I36" i="39" s="1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1" i="32" s="1"/>
  <c r="P110" i="32"/>
  <c r="P112" i="32" s="1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 s="1"/>
  <c r="E110" i="32"/>
  <c r="E111" i="32" s="1"/>
  <c r="D110" i="32"/>
  <c r="D112" i="32" s="1"/>
  <c r="C110" i="32"/>
  <c r="C111" i="32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H35" i="39" s="1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/>
  <c r="L110" i="31"/>
  <c r="L112" i="31" s="1"/>
  <c r="K110" i="31"/>
  <c r="K111" i="31" s="1"/>
  <c r="F110" i="31"/>
  <c r="F112" i="31" s="1"/>
  <c r="E112" i="31"/>
  <c r="D112" i="31"/>
  <c r="C112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K34" i="39" s="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/>
  <c r="O110" i="30"/>
  <c r="O112" i="30" s="1"/>
  <c r="N110" i="30"/>
  <c r="N112" i="30" s="1"/>
  <c r="M110" i="30"/>
  <c r="M112" i="30" s="1"/>
  <c r="L110" i="30"/>
  <c r="L112" i="30" s="1"/>
  <c r="K110" i="30"/>
  <c r="K112" i="30" s="1"/>
  <c r="G110" i="30"/>
  <c r="G112" i="30" s="1"/>
  <c r="F110" i="30"/>
  <c r="F112" i="30" s="1"/>
  <c r="E110" i="30"/>
  <c r="E111" i="30"/>
  <c r="D110" i="30"/>
  <c r="D112" i="30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G110" i="29"/>
  <c r="G112" i="29" s="1"/>
  <c r="F110" i="29"/>
  <c r="F111" i="29" s="1"/>
  <c r="E110" i="29"/>
  <c r="E112" i="29" s="1"/>
  <c r="D110" i="29"/>
  <c r="D112" i="29"/>
  <c r="C110" i="29"/>
  <c r="C112" i="29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E32" i="39" s="1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O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1" i="24"/>
  <c r="M110" i="24"/>
  <c r="M112" i="24" s="1"/>
  <c r="L110" i="24"/>
  <c r="L112" i="24" s="1"/>
  <c r="K110" i="24"/>
  <c r="K111" i="24" s="1"/>
  <c r="G110" i="24"/>
  <c r="G112" i="24" s="1"/>
  <c r="F110" i="24"/>
  <c r="F112" i="24"/>
  <c r="E110" i="24"/>
  <c r="E112" i="24"/>
  <c r="D110" i="24"/>
  <c r="D112" i="24" s="1"/>
  <c r="C110" i="24"/>
  <c r="C111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/>
  <c r="J108" i="24"/>
  <c r="I108" i="24"/>
  <c r="H108" i="24"/>
  <c r="H27" i="39" s="1"/>
  <c r="G108" i="24"/>
  <c r="G27" i="39" s="1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2" i="23"/>
  <c r="O110" i="23"/>
  <c r="O112" i="23"/>
  <c r="N110" i="23"/>
  <c r="N111" i="23" s="1"/>
  <c r="M110" i="23"/>
  <c r="M112" i="23" s="1"/>
  <c r="L110" i="23"/>
  <c r="L112" i="23" s="1"/>
  <c r="K110" i="23"/>
  <c r="K112" i="23" s="1"/>
  <c r="H112" i="23"/>
  <c r="G111" i="23"/>
  <c r="F110" i="23"/>
  <c r="F111" i="23"/>
  <c r="E112" i="23"/>
  <c r="D112" i="23"/>
  <c r="C112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/>
  <c r="F108" i="22"/>
  <c r="F25" i="39" s="1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1" i="21" s="1"/>
  <c r="N112" i="21"/>
  <c r="M110" i="21"/>
  <c r="M111" i="21" s="1"/>
  <c r="L110" i="21"/>
  <c r="L112" i="21" s="1"/>
  <c r="K110" i="21"/>
  <c r="K111" i="21" s="1"/>
  <c r="G110" i="21"/>
  <c r="G112" i="21" s="1"/>
  <c r="F110" i="21"/>
  <c r="F112" i="21"/>
  <c r="E110" i="21"/>
  <c r="E112" i="21" s="1"/>
  <c r="D110" i="21"/>
  <c r="D111" i="21" s="1"/>
  <c r="C110" i="21"/>
  <c r="C112" i="2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H108" i="21"/>
  <c r="H24" i="39" s="1"/>
  <c r="G108" i="2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 s="1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/>
  <c r="I108" i="20"/>
  <c r="H108" i="20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/>
  <c r="G110" i="19"/>
  <c r="G112" i="19"/>
  <c r="F110" i="19"/>
  <c r="F112" i="19" s="1"/>
  <c r="E110" i="19"/>
  <c r="E111" i="19" s="1"/>
  <c r="D110" i="19"/>
  <c r="D112" i="19" s="1"/>
  <c r="C110" i="19"/>
  <c r="C111" i="19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J22" i="39" s="1"/>
  <c r="I108" i="19"/>
  <c r="H108" i="19"/>
  <c r="G108" i="19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1" i="18" s="1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/>
  <c r="F110" i="18"/>
  <c r="F112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/>
  <c r="L108" i="18"/>
  <c r="L21" i="39" s="1"/>
  <c r="K108" i="18"/>
  <c r="J108" i="18"/>
  <c r="I108" i="18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2" i="17" s="1"/>
  <c r="C111" i="17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/>
  <c r="I108" i="17"/>
  <c r="H108" i="17"/>
  <c r="H20" i="39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1" i="16" s="1"/>
  <c r="N112" i="16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2" i="15" s="1"/>
  <c r="L110" i="15"/>
  <c r="L112" i="15" s="1"/>
  <c r="L111" i="15"/>
  <c r="K110" i="15"/>
  <c r="K112" i="15" s="1"/>
  <c r="G111" i="15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H108" i="14"/>
  <c r="H17" i="39" s="1"/>
  <c r="G108" i="14"/>
  <c r="G17" i="39" s="1"/>
  <c r="F108" i="14"/>
  <c r="F17" i="39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O111" i="13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P16" i="39" s="1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/>
  <c r="G110" i="12"/>
  <c r="G111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I108" i="12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/>
  <c r="O108" i="11"/>
  <c r="O14" i="39"/>
  <c r="N108" i="11"/>
  <c r="N14" i="39"/>
  <c r="M108" i="11"/>
  <c r="M14" i="39"/>
  <c r="L108" i="11"/>
  <c r="K108" i="11"/>
  <c r="K14" i="39"/>
  <c r="J108" i="11"/>
  <c r="J14" i="39" s="1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2" i="10"/>
  <c r="F110" i="10"/>
  <c r="F111" i="10" s="1"/>
  <c r="E112" i="10"/>
  <c r="D112" i="10"/>
  <c r="C112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 s="1"/>
  <c r="L108" i="8"/>
  <c r="L11" i="39" s="1"/>
  <c r="K108" i="8"/>
  <c r="K11" i="39" s="1"/>
  <c r="J108" i="8"/>
  <c r="J11" i="39" s="1"/>
  <c r="I108" i="8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/>
  <c r="I108" i="3"/>
  <c r="H108" i="3"/>
  <c r="H10" i="39" s="1"/>
  <c r="G108" i="3"/>
  <c r="G10" i="39" s="1"/>
  <c r="F108" i="3"/>
  <c r="F10" i="39" s="1"/>
  <c r="E108" i="3"/>
  <c r="E10" i="39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A26" i="39"/>
  <c r="C26" i="39"/>
  <c r="D26" i="39"/>
  <c r="L26" i="39"/>
  <c r="O25" i="39"/>
  <c r="N25" i="39"/>
  <c r="L25" i="39"/>
  <c r="K25" i="39"/>
  <c r="J25" i="39"/>
  <c r="H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E23" i="39"/>
  <c r="B23" i="39"/>
  <c r="Q22" i="39"/>
  <c r="N22" i="39"/>
  <c r="M22" i="39"/>
  <c r="L22" i="39"/>
  <c r="G22" i="39"/>
  <c r="C22" i="39"/>
  <c r="Q21" i="39"/>
  <c r="P21" i="39"/>
  <c r="K21" i="39"/>
  <c r="J21" i="39"/>
  <c r="G21" i="39"/>
  <c r="F21" i="39"/>
  <c r="C21" i="39"/>
  <c r="B21" i="39"/>
  <c r="A21" i="39"/>
  <c r="M20" i="39"/>
  <c r="E20" i="39"/>
  <c r="A20" i="39"/>
  <c r="L19" i="39"/>
  <c r="K19" i="39"/>
  <c r="G19" i="39"/>
  <c r="B19" i="39"/>
  <c r="L18" i="39"/>
  <c r="H18" i="39"/>
  <c r="G18" i="39"/>
  <c r="E18" i="39"/>
  <c r="D18" i="39"/>
  <c r="P17" i="39"/>
  <c r="M17" i="39"/>
  <c r="L17" i="39"/>
  <c r="Q16" i="39"/>
  <c r="L16" i="39"/>
  <c r="F16" i="39"/>
  <c r="E16" i="39"/>
  <c r="D16" i="39"/>
  <c r="C16" i="39"/>
  <c r="B16" i="39"/>
  <c r="N15" i="39"/>
  <c r="H15" i="39"/>
  <c r="F15" i="39"/>
  <c r="C15" i="39"/>
  <c r="L14" i="39"/>
  <c r="H14" i="39"/>
  <c r="E14" i="39"/>
  <c r="D14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A36" i="39"/>
  <c r="P35" i="39"/>
  <c r="G35" i="39"/>
  <c r="C35" i="39"/>
  <c r="M34" i="39"/>
  <c r="J34" i="39"/>
  <c r="I34" i="39"/>
  <c r="H34" i="39"/>
  <c r="F34" i="39"/>
  <c r="L33" i="39"/>
  <c r="J33" i="39"/>
  <c r="H33" i="39"/>
  <c r="F33" i="39"/>
  <c r="B33" i="39"/>
  <c r="Q32" i="39"/>
  <c r="O32" i="39"/>
  <c r="N32" i="39"/>
  <c r="K32" i="39"/>
  <c r="G32" i="39"/>
  <c r="F32" i="39"/>
  <c r="B32" i="39"/>
  <c r="Q31" i="39"/>
  <c r="M31" i="39"/>
  <c r="J31" i="39"/>
  <c r="F31" i="39"/>
  <c r="P30" i="39"/>
  <c r="M30" i="39"/>
  <c r="L30" i="39"/>
  <c r="F30" i="39"/>
  <c r="C30" i="39"/>
  <c r="B30" i="39"/>
  <c r="Q29" i="39"/>
  <c r="M29" i="39"/>
  <c r="K29" i="39"/>
  <c r="H29" i="39"/>
  <c r="G29" i="39"/>
  <c r="F29" i="39"/>
  <c r="E29" i="39"/>
  <c r="D29" i="39"/>
  <c r="P28" i="39"/>
  <c r="N28" i="39"/>
  <c r="M28" i="39"/>
  <c r="L28" i="39"/>
  <c r="K28" i="39"/>
  <c r="H28" i="39"/>
  <c r="B28" i="39"/>
  <c r="O27" i="39"/>
  <c r="M27" i="39"/>
  <c r="L27" i="39"/>
  <c r="B27" i="39"/>
  <c r="O26" i="39"/>
  <c r="G26" i="39"/>
  <c r="P24" i="39"/>
  <c r="N23" i="39"/>
  <c r="C23" i="39"/>
  <c r="O22" i="39"/>
  <c r="D22" i="39"/>
  <c r="P20" i="39"/>
  <c r="D20" i="39"/>
  <c r="F18" i="39"/>
  <c r="E17" i="39"/>
  <c r="M16" i="39"/>
  <c r="K16" i="39"/>
  <c r="J15" i="39"/>
  <c r="Q12" i="39"/>
  <c r="B12" i="39"/>
  <c r="N11" i="39"/>
  <c r="P10" i="39"/>
  <c r="P36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N19" i="39"/>
  <c r="F19" i="39"/>
  <c r="O18" i="39"/>
  <c r="J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P111" i="33"/>
  <c r="O111" i="33"/>
  <c r="M111" i="33"/>
  <c r="F111" i="33"/>
  <c r="D111" i="33"/>
  <c r="C111" i="33"/>
  <c r="O111" i="32"/>
  <c r="M111" i="32"/>
  <c r="K111" i="32"/>
  <c r="F111" i="32"/>
  <c r="O111" i="31"/>
  <c r="N111" i="31"/>
  <c r="F111" i="31"/>
  <c r="C111" i="31"/>
  <c r="B111" i="31"/>
  <c r="O111" i="30"/>
  <c r="N111" i="30"/>
  <c r="M111" i="30"/>
  <c r="L111" i="30"/>
  <c r="D111" i="30"/>
  <c r="B111" i="30"/>
  <c r="P111" i="29"/>
  <c r="N111" i="29"/>
  <c r="M111" i="29"/>
  <c r="E111" i="29"/>
  <c r="D111" i="29"/>
  <c r="C111" i="29"/>
  <c r="B111" i="29"/>
  <c r="N111" i="28"/>
  <c r="M111" i="28"/>
  <c r="L111" i="28"/>
  <c r="G111" i="28"/>
  <c r="E111" i="28"/>
  <c r="D111" i="28"/>
  <c r="C111" i="28"/>
  <c r="M111" i="27"/>
  <c r="E111" i="27"/>
  <c r="B111" i="27"/>
  <c r="L111" i="26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C111" i="22"/>
  <c r="Q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F111" i="19"/>
  <c r="B111" i="19"/>
  <c r="Q111" i="18"/>
  <c r="N111" i="18"/>
  <c r="L111" i="18"/>
  <c r="I111" i="18"/>
  <c r="E111" i="18"/>
  <c r="D111" i="18"/>
  <c r="B111" i="17"/>
  <c r="O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E111" i="11"/>
  <c r="P111" i="10"/>
  <c r="N111" i="10"/>
  <c r="K111" i="10"/>
  <c r="G111" i="10"/>
  <c r="C111" i="10"/>
  <c r="B111" i="10"/>
  <c r="P111" i="9"/>
  <c r="N111" i="9"/>
  <c r="M111" i="9"/>
  <c r="K111" i="9"/>
  <c r="C111" i="9"/>
  <c r="M111" i="8"/>
  <c r="E111" i="8"/>
  <c r="D111" i="8"/>
  <c r="C111" i="8"/>
  <c r="Q111" i="3"/>
  <c r="P111" i="3"/>
  <c r="O111" i="3"/>
  <c r="H111" i="3"/>
  <c r="C112" i="30"/>
  <c r="D112" i="3"/>
  <c r="M111" i="2"/>
  <c r="K112" i="2"/>
  <c r="G111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I112" i="13"/>
  <c r="F112" i="12"/>
  <c r="H112" i="12"/>
  <c r="O112" i="12"/>
  <c r="J112" i="11"/>
  <c r="Q112" i="11"/>
  <c r="P111" i="11"/>
  <c r="G111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I112" i="25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I111" i="28"/>
  <c r="B111" i="28"/>
  <c r="G111" i="33"/>
  <c r="P111" i="2"/>
  <c r="B111" i="2"/>
  <c r="J112" i="3"/>
  <c r="L112" i="3"/>
  <c r="C112" i="3"/>
  <c r="K112" i="8"/>
  <c r="Q112" i="8"/>
  <c r="D112" i="9"/>
  <c r="O111" i="9"/>
  <c r="D111" i="10"/>
  <c r="O112" i="10"/>
  <c r="H111" i="10"/>
  <c r="M112" i="12"/>
  <c r="K112" i="12"/>
  <c r="D112" i="13"/>
  <c r="B112" i="13"/>
  <c r="M112" i="13"/>
  <c r="F112" i="14"/>
  <c r="D111" i="14"/>
  <c r="O112" i="14"/>
  <c r="G112" i="15"/>
  <c r="H112" i="15"/>
  <c r="H112" i="16"/>
  <c r="B111" i="16"/>
  <c r="M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F111" i="27"/>
  <c r="P112" i="28"/>
  <c r="F112" i="29"/>
  <c r="Q112" i="29"/>
  <c r="K111" i="30"/>
  <c r="M112" i="31"/>
  <c r="H111" i="31"/>
  <c r="K112" i="31"/>
  <c r="J112" i="31"/>
  <c r="E112" i="32"/>
  <c r="P111" i="32"/>
  <c r="C112" i="32"/>
  <c r="N112" i="32"/>
  <c r="K112" i="33"/>
  <c r="C111" i="26"/>
  <c r="D111" i="26"/>
  <c r="B111" i="26"/>
  <c r="J112" i="26"/>
  <c r="I111" i="26"/>
  <c r="E111" i="26"/>
  <c r="C112" i="25"/>
  <c r="Q111" i="14"/>
  <c r="I112" i="14"/>
  <c r="B112" i="9"/>
  <c r="Q112" i="10"/>
  <c r="K112" i="14"/>
  <c r="C112" i="24"/>
  <c r="L112" i="29"/>
  <c r="K111" i="3"/>
  <c r="F112" i="2"/>
  <c r="J112" i="16"/>
  <c r="I111" i="19"/>
  <c r="G111" i="27"/>
  <c r="H112" i="33"/>
  <c r="G112" i="13"/>
  <c r="B112" i="22"/>
  <c r="N112" i="22"/>
  <c r="K112" i="28"/>
  <c r="G111" i="30"/>
  <c r="L112" i="32"/>
  <c r="B112" i="33"/>
  <c r="N112" i="33"/>
  <c r="I112" i="10"/>
  <c r="J111" i="12"/>
  <c r="H111" i="14"/>
  <c r="H111" i="24"/>
  <c r="G111" i="25"/>
  <c r="O111" i="25"/>
  <c r="H111" i="26"/>
  <c r="J112" i="28"/>
  <c r="F112" i="10"/>
  <c r="G112" i="16"/>
  <c r="N112" i="24"/>
  <c r="F111" i="15"/>
  <c r="E111" i="17"/>
  <c r="G112" i="18"/>
  <c r="J112" i="2"/>
  <c r="E111" i="13"/>
  <c r="L111" i="27"/>
  <c r="P111" i="13"/>
  <c r="K112" i="21"/>
  <c r="F112" i="28"/>
  <c r="Q112" i="28"/>
  <c r="E112" i="30"/>
  <c r="P112" i="30"/>
  <c r="G112" i="32"/>
  <c r="O112" i="8"/>
  <c r="J112" i="9"/>
  <c r="I111" i="12"/>
  <c r="I111" i="23"/>
  <c r="E111" i="25"/>
  <c r="M112" i="25"/>
  <c r="F112" i="26"/>
  <c r="J112" i="30"/>
  <c r="J111" i="33" l="1"/>
  <c r="Q112" i="32"/>
  <c r="D111" i="32"/>
  <c r="E111" i="31"/>
  <c r="D111" i="31"/>
  <c r="L111" i="31"/>
  <c r="G111" i="29"/>
  <c r="O111" i="29"/>
  <c r="H111" i="28"/>
  <c r="O111" i="28"/>
  <c r="C112" i="27"/>
  <c r="N112" i="27"/>
  <c r="P112" i="27"/>
  <c r="M112" i="26"/>
  <c r="N111" i="26"/>
  <c r="K112" i="25"/>
  <c r="J112" i="24"/>
  <c r="N112" i="23"/>
  <c r="D111" i="22"/>
  <c r="E111" i="22"/>
  <c r="B112" i="21"/>
  <c r="I112" i="20"/>
  <c r="F111" i="18"/>
  <c r="O112" i="18"/>
  <c r="O111" i="17"/>
  <c r="P112" i="17"/>
  <c r="I112" i="15"/>
  <c r="H111" i="13"/>
  <c r="J111" i="13"/>
  <c r="G112" i="12"/>
  <c r="K111" i="11"/>
  <c r="F112" i="11"/>
  <c r="H112" i="11"/>
  <c r="B112" i="11"/>
  <c r="I112" i="11"/>
  <c r="Q112" i="9"/>
  <c r="F112" i="9"/>
  <c r="E111" i="9"/>
  <c r="K41" i="39"/>
  <c r="K38" i="39"/>
  <c r="K39" i="39"/>
  <c r="K40" i="39"/>
  <c r="J39" i="39"/>
  <c r="J40" i="39"/>
  <c r="K42" i="39"/>
  <c r="K44" i="39" s="1"/>
  <c r="E42" i="39"/>
  <c r="E41" i="39"/>
  <c r="E38" i="39"/>
  <c r="E40" i="39"/>
  <c r="E39" i="39"/>
  <c r="N41" i="39"/>
  <c r="N40" i="39"/>
  <c r="N42" i="39"/>
  <c r="N38" i="39"/>
  <c r="N39" i="39"/>
  <c r="D40" i="39"/>
  <c r="D42" i="39"/>
  <c r="D39" i="39"/>
  <c r="D38" i="39"/>
  <c r="D41" i="39"/>
  <c r="C39" i="39"/>
  <c r="C41" i="39"/>
  <c r="C42" i="39"/>
  <c r="C38" i="39"/>
  <c r="C40" i="39"/>
  <c r="B39" i="39"/>
  <c r="B38" i="39"/>
  <c r="B42" i="39"/>
  <c r="B40" i="39"/>
  <c r="B41" i="39"/>
  <c r="F41" i="39"/>
  <c r="F39" i="39"/>
  <c r="F38" i="39"/>
  <c r="F40" i="39"/>
  <c r="F42" i="39"/>
  <c r="Q42" i="39"/>
  <c r="Q40" i="39"/>
  <c r="Q38" i="39"/>
  <c r="Q39" i="39"/>
  <c r="Q41" i="39"/>
  <c r="M42" i="39"/>
  <c r="M40" i="39"/>
  <c r="M41" i="39"/>
  <c r="M38" i="39"/>
  <c r="M39" i="39"/>
  <c r="L42" i="39"/>
  <c r="L39" i="39"/>
  <c r="L40" i="39"/>
  <c r="L41" i="39"/>
  <c r="L38" i="39"/>
  <c r="O39" i="39"/>
  <c r="O38" i="39"/>
  <c r="O41" i="39"/>
  <c r="O42" i="39"/>
  <c r="O40" i="39"/>
  <c r="I40" i="39"/>
  <c r="I41" i="39"/>
  <c r="I38" i="39"/>
  <c r="I39" i="39"/>
  <c r="I42" i="39"/>
  <c r="H42" i="39"/>
  <c r="H39" i="39"/>
  <c r="H41" i="39"/>
  <c r="H40" i="39"/>
  <c r="H38" i="39"/>
  <c r="G38" i="39"/>
  <c r="G40" i="39"/>
  <c r="G42" i="39"/>
  <c r="G39" i="39"/>
  <c r="G41" i="39"/>
  <c r="P41" i="39"/>
  <c r="P40" i="39"/>
  <c r="P42" i="39"/>
  <c r="P39" i="39"/>
  <c r="P38" i="39"/>
  <c r="I111" i="22"/>
  <c r="D111" i="12"/>
  <c r="D111" i="19"/>
  <c r="Q112" i="30"/>
  <c r="Q112" i="33"/>
  <c r="F111" i="30"/>
  <c r="K111" i="29"/>
  <c r="P111" i="12"/>
  <c r="C111" i="15"/>
  <c r="G111" i="17"/>
  <c r="E112" i="20"/>
  <c r="L111" i="25"/>
  <c r="H111" i="17"/>
  <c r="O111" i="19"/>
  <c r="E111" i="33"/>
  <c r="M112" i="21"/>
  <c r="J41" i="39"/>
  <c r="N112" i="15"/>
  <c r="H112" i="18"/>
  <c r="P112" i="18"/>
  <c r="P112" i="20"/>
  <c r="L111" i="23"/>
  <c r="K112" i="24"/>
  <c r="H112" i="27"/>
  <c r="J111" i="20"/>
  <c r="I112" i="33"/>
  <c r="J42" i="39"/>
  <c r="J38" i="39"/>
  <c r="K43" i="39" l="1"/>
  <c r="D44" i="39"/>
  <c r="D43" i="39"/>
  <c r="L44" i="39"/>
  <c r="L43" i="39"/>
  <c r="H43" i="39"/>
  <c r="H44" i="39"/>
  <c r="I44" i="39"/>
  <c r="I43" i="39"/>
  <c r="B44" i="39"/>
  <c r="B43" i="39"/>
  <c r="N43" i="39"/>
  <c r="N44" i="39"/>
  <c r="F44" i="39"/>
  <c r="F43" i="39"/>
  <c r="J43" i="39"/>
  <c r="J44" i="39"/>
  <c r="P44" i="39"/>
  <c r="P43" i="39"/>
  <c r="O44" i="39"/>
  <c r="O43" i="39"/>
  <c r="C43" i="39"/>
  <c r="C44" i="39"/>
  <c r="M43" i="39"/>
  <c r="M44" i="39"/>
  <c r="G44" i="39"/>
  <c r="G43" i="39"/>
  <c r="Q44" i="39"/>
  <c r="Q43" i="39"/>
  <c r="E43" i="39"/>
  <c r="E44" i="39"/>
</calcChain>
</file>

<file path=xl/sharedStrings.xml><?xml version="1.0" encoding="utf-8"?>
<sst xmlns="http://schemas.openxmlformats.org/spreadsheetml/2006/main" count="8095" uniqueCount="2937">
  <si>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</si>
  <si>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</si>
  <si>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</si>
  <si>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</si>
  <si>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</si>
  <si>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</si>
  <si>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</si>
  <si>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</si>
  <si>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</si>
  <si>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</si>
  <si>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</si>
  <si>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</si>
  <si>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</si>
  <si>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</si>
  <si>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</si>
  <si>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</si>
  <si>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</si>
  <si>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</si>
  <si>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</si>
  <si>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</si>
  <si>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</si>
  <si>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</si>
  <si>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</si>
  <si>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</si>
  <si>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</si>
  <si>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</si>
  <si>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</si>
  <si>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</si>
  <si>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</si>
  <si>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</si>
  <si>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</si>
  <si>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</si>
  <si>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</si>
  <si>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</si>
  <si>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</si>
  <si>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</si>
  <si>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</si>
  <si>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</si>
  <si>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</si>
  <si>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</si>
  <si>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</si>
  <si>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</si>
  <si>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</si>
  <si>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</si>
  <si>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</si>
  <si>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</si>
  <si>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</si>
  <si>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</si>
  <si>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</si>
  <si>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</si>
  <si>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</si>
  <si>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</si>
  <si>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</si>
  <si>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</si>
  <si>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</si>
  <si>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</si>
  <si>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</si>
  <si>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</si>
  <si>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</si>
  <si>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</si>
  <si>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</si>
  <si>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</si>
  <si>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</si>
  <si>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</si>
  <si>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</si>
  <si>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</si>
  <si>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</si>
  <si>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</si>
  <si>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</si>
  <si>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</si>
  <si>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</si>
  <si>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</si>
  <si>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</si>
  <si>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</si>
  <si>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</si>
  <si>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</si>
  <si>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</si>
  <si>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</si>
  <si>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</si>
  <si>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</si>
  <si>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</si>
  <si>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</si>
  <si>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</si>
  <si>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</si>
  <si>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</si>
  <si>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</si>
  <si>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</si>
  <si>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</si>
  <si>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</si>
  <si>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</si>
  <si>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</si>
  <si>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</si>
  <si>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</si>
  <si>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</si>
  <si>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</si>
  <si>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</si>
  <si>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</si>
  <si>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</si>
  <si>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</si>
  <si>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</si>
  <si>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</si>
  <si>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</si>
  <si>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</si>
  <si>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</si>
  <si>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</si>
  <si>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</si>
  <si>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</si>
  <si>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</si>
  <si>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</si>
  <si>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</si>
  <si>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</si>
  <si>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</si>
  <si>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</si>
  <si>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</si>
  <si>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</si>
  <si>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</si>
  <si>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</si>
  <si>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</si>
  <si>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</si>
  <si>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</si>
  <si>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</si>
  <si>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</si>
  <si>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</si>
  <si>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</si>
  <si>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</si>
  <si>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</si>
  <si>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</si>
  <si>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</si>
  <si>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</si>
  <si>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</si>
  <si>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</si>
  <si>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</si>
  <si>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</si>
  <si>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</si>
  <si>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</si>
  <si>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</si>
  <si>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</si>
  <si>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</si>
  <si>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</si>
  <si>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</si>
  <si>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</si>
  <si>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</si>
  <si>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</si>
  <si>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</si>
  <si>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</si>
  <si>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</si>
  <si>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</si>
  <si>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</si>
  <si>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</si>
  <si>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</si>
  <si>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</si>
  <si>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</si>
  <si>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</si>
  <si>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</si>
  <si>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</si>
  <si>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</si>
  <si>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</si>
  <si>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</si>
  <si>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</si>
  <si>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</si>
  <si>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</si>
  <si>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</si>
  <si>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</si>
  <si>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</si>
  <si>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</si>
  <si>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</si>
  <si>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</si>
  <si>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</si>
  <si>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</si>
  <si>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</si>
  <si>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</si>
  <si>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</si>
  <si>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</si>
  <si>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</si>
  <si>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</si>
  <si>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</si>
  <si>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</si>
  <si>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</si>
  <si>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</si>
  <si>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</si>
  <si>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</si>
  <si>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</si>
  <si>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</si>
  <si>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</si>
  <si>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</si>
  <si>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</si>
  <si>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</si>
  <si>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</si>
  <si>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</si>
  <si>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</si>
  <si>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</si>
  <si>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</si>
  <si>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</si>
  <si>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</si>
  <si>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</si>
  <si>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</si>
  <si>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</si>
  <si>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</si>
  <si>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</si>
  <si>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</si>
  <si>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</si>
  <si>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</si>
  <si>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</si>
  <si>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</si>
  <si>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</si>
  <si>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</si>
  <si>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</si>
  <si>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</si>
  <si>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</si>
  <si>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</si>
  <si>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</si>
  <si>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</si>
  <si>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</si>
  <si>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</si>
  <si>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</si>
  <si>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</si>
  <si>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</si>
  <si>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</si>
  <si>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</si>
  <si>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</si>
  <si>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</si>
  <si>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</si>
  <si>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</si>
  <si>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</si>
  <si>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</si>
  <si>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ppb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</si>
  <si>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</si>
  <si>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</si>
  <si>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</si>
  <si>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</si>
  <si>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</si>
  <si>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</si>
  <si>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</si>
  <si>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</si>
  <si>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</si>
  <si>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</si>
  <si>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</si>
  <si>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</si>
  <si>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</si>
  <si>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</si>
  <si>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</si>
  <si>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</si>
  <si>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</si>
  <si>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</si>
  <si>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01/02/2025 00:15</t>
  </si>
  <si>
    <t>01/02/2025 00:30</t>
  </si>
  <si>
    <t>01/02/2025 00:45</t>
  </si>
  <si>
    <t>01/02/2025 01:00</t>
  </si>
  <si>
    <t>01/02/2025 01:15</t>
  </si>
  <si>
    <t>01/02/2025 01:30</t>
  </si>
  <si>
    <t>01/02/2025 01:45</t>
  </si>
  <si>
    <t>01/02/2025 02:00</t>
  </si>
  <si>
    <t>01/02/2025 02:15</t>
  </si>
  <si>
    <t>01/02/2025 02:30</t>
  </si>
  <si>
    <t>01/02/2025 02:45</t>
  </si>
  <si>
    <t>01/02/2025 03:00</t>
  </si>
  <si>
    <t>01/02/2025 03:15</t>
  </si>
  <si>
    <t>01/02/2025 03:30</t>
  </si>
  <si>
    <t>01/02/2025 03:45</t>
  </si>
  <si>
    <t>01/02/2025 04:00</t>
  </si>
  <si>
    <t>01/02/2025 04:15</t>
  </si>
  <si>
    <t>01/02/2025 04:30</t>
  </si>
  <si>
    <t>01/02/2025 04:45</t>
  </si>
  <si>
    <t>01/02/2025 05:00</t>
  </si>
  <si>
    <t>01/02/2025 05:15</t>
  </si>
  <si>
    <t>01/02/2025 05:30</t>
  </si>
  <si>
    <t>01/02/2025 05:45</t>
  </si>
  <si>
    <t>01/02/2025 06:00</t>
  </si>
  <si>
    <t>01/02/2025 06:15</t>
  </si>
  <si>
    <t>01/02/2025 06:30</t>
  </si>
  <si>
    <t>01/02/2025 06:45</t>
  </si>
  <si>
    <t>01/02/2025 07:00</t>
  </si>
  <si>
    <t>01/02/2025 07:15</t>
  </si>
  <si>
    <t>01/02/2025 07:30</t>
  </si>
  <si>
    <t>01/02/2025 07:45</t>
  </si>
  <si>
    <t>01/02/2025 08:00</t>
  </si>
  <si>
    <t>01/02/2025 08:15</t>
  </si>
  <si>
    <t>01/02/2025 08:30</t>
  </si>
  <si>
    <t>01/02/2025 08:45</t>
  </si>
  <si>
    <t>01/02/2025 09:00</t>
  </si>
  <si>
    <t>01/02/2025 09:15</t>
  </si>
  <si>
    <t>01/02/2025 09:30</t>
  </si>
  <si>
    <t>01/02/2025 09:45</t>
  </si>
  <si>
    <t>01/02/2025 10:00</t>
  </si>
  <si>
    <t>01/02/2025 10:15</t>
  </si>
  <si>
    <t>01/02/2025 10:30</t>
  </si>
  <si>
    <t>01/02/2025 10:45</t>
  </si>
  <si>
    <t>01/02/2025 11:00</t>
  </si>
  <si>
    <t>01/02/2025 11:15</t>
  </si>
  <si>
    <t>01/02/2025 11:30</t>
  </si>
  <si>
    <t>01/02/2025 11:45</t>
  </si>
  <si>
    <t>01/02/2025 12:00</t>
  </si>
  <si>
    <t>01/02/2025 12:15</t>
  </si>
  <si>
    <t>01/02/2025 12:30</t>
  </si>
  <si>
    <t>01/02/2025 12:45</t>
  </si>
  <si>
    <t>01/02/2025 13:00</t>
  </si>
  <si>
    <t>01/02/2025 13:15</t>
  </si>
  <si>
    <t>01/02/2025 13:30</t>
  </si>
  <si>
    <t>01/02/2025 13:45</t>
  </si>
  <si>
    <t>01/02/2025 14:00</t>
  </si>
  <si>
    <t>01/02/2025 14:15</t>
  </si>
  <si>
    <t>01/02/2025 14:30</t>
  </si>
  <si>
    <t>01/02/2025 14:45</t>
  </si>
  <si>
    <t>01/02/2025 15:00</t>
  </si>
  <si>
    <t>01/02/2025 15:15</t>
  </si>
  <si>
    <t>01/02/2025 15:30</t>
  </si>
  <si>
    <t>01/02/2025 15:45</t>
  </si>
  <si>
    <t>01/02/2025 16:00</t>
  </si>
  <si>
    <t>01/02/2025 16:15</t>
  </si>
  <si>
    <t>01/02/2025 16:30</t>
  </si>
  <si>
    <t>01/02/2025 16:45</t>
  </si>
  <si>
    <t>01/02/2025 17:00</t>
  </si>
  <si>
    <t>01/02/2025 17:15</t>
  </si>
  <si>
    <t>01/02/2025 17:30</t>
  </si>
  <si>
    <t>01/02/2025 17:45</t>
  </si>
  <si>
    <t>01/02/2025 18:00</t>
  </si>
  <si>
    <t>01/02/2025 18:15</t>
  </si>
  <si>
    <t>01/02/2025 18:30</t>
  </si>
  <si>
    <t>01/02/2025 18:45</t>
  </si>
  <si>
    <t>01/02/2025 19:00</t>
  </si>
  <si>
    <t>01/02/2025 19:15</t>
  </si>
  <si>
    <t>01/02/2025 19:30</t>
  </si>
  <si>
    <t>01/02/2025 19:45</t>
  </si>
  <si>
    <t>01/02/2025 20:00</t>
  </si>
  <si>
    <t>01/02/2025 20:15</t>
  </si>
  <si>
    <t>01/02/2025 20:30</t>
  </si>
  <si>
    <t>01/02/2025 20:45</t>
  </si>
  <si>
    <t>01/02/2025 21:00</t>
  </si>
  <si>
    <t>01/02/2025 21:15</t>
  </si>
  <si>
    <t>01/02/2025 21:30</t>
  </si>
  <si>
    <t>01/02/2025 21:45</t>
  </si>
  <si>
    <t>01/02/2025 22:00</t>
  </si>
  <si>
    <t>01/02/2025 22:15</t>
  </si>
  <si>
    <t>01/02/2025 22:30</t>
  </si>
  <si>
    <t>01/02/2025 22:45</t>
  </si>
  <si>
    <t>01/02/2025 23:00</t>
  </si>
  <si>
    <t>01/02/2025 23:15</t>
  </si>
  <si>
    <t>01/02/2025 23:30</t>
  </si>
  <si>
    <t>01/02/2025 23:45</t>
  </si>
  <si>
    <t>01/02/2025 24:00</t>
  </si>
  <si>
    <t>02/02/2025 00:15</t>
  </si>
  <si>
    <t>02/02/2025 00:30</t>
  </si>
  <si>
    <t>02/02/2025 00:45</t>
  </si>
  <si>
    <t>02/02/2025 01:00</t>
  </si>
  <si>
    <t>02/02/2025 01:15</t>
  </si>
  <si>
    <t>02/02/2025 01:30</t>
  </si>
  <si>
    <t>02/02/2025 01:45</t>
  </si>
  <si>
    <t>02/02/2025 02:00</t>
  </si>
  <si>
    <t>02/02/2025 02:15</t>
  </si>
  <si>
    <t>02/02/2025 02:30</t>
  </si>
  <si>
    <t>02/02/2025 02:45</t>
  </si>
  <si>
    <t>02/02/2025 03:00</t>
  </si>
  <si>
    <t>02/02/2025 03:15</t>
  </si>
  <si>
    <t>02/02/2025 03:30</t>
  </si>
  <si>
    <t>02/02/2025 03:45</t>
  </si>
  <si>
    <t>02/02/2025 04:00</t>
  </si>
  <si>
    <t>02/02/2025 04:15</t>
  </si>
  <si>
    <t>02/02/2025 04:30</t>
  </si>
  <si>
    <t>02/02/2025 04:45</t>
  </si>
  <si>
    <t>02/02/2025 05:00</t>
  </si>
  <si>
    <t>02/02/2025 05:15</t>
  </si>
  <si>
    <t>02/02/2025 05:30</t>
  </si>
  <si>
    <t>02/02/2025 05:45</t>
  </si>
  <si>
    <t>02/02/2025 06:00</t>
  </si>
  <si>
    <t>02/02/2025 06:15</t>
  </si>
  <si>
    <t>02/02/2025 06:30</t>
  </si>
  <si>
    <t>02/02/2025 06:45</t>
  </si>
  <si>
    <t>02/02/2025 07:00</t>
  </si>
  <si>
    <t>02/02/2025 07:15</t>
  </si>
  <si>
    <t>02/02/2025 07:30</t>
  </si>
  <si>
    <t>02/02/2025 07:45</t>
  </si>
  <si>
    <t>02/02/2025 08:00</t>
  </si>
  <si>
    <t>02/02/2025 08:15</t>
  </si>
  <si>
    <t>02/02/2025 08:30</t>
  </si>
  <si>
    <t>02/02/2025 08:45</t>
  </si>
  <si>
    <t>02/02/2025 09:00</t>
  </si>
  <si>
    <t>02/02/2025 09:15</t>
  </si>
  <si>
    <t>02/02/2025 09:30</t>
  </si>
  <si>
    <t>02/02/2025 09:45</t>
  </si>
  <si>
    <t>02/02/2025 10:00</t>
  </si>
  <si>
    <t>02/02/2025 10:15</t>
  </si>
  <si>
    <t>02/02/2025 10:30</t>
  </si>
  <si>
    <t>02/02/2025 10:45</t>
  </si>
  <si>
    <t>02/02/2025 11:00</t>
  </si>
  <si>
    <t>02/02/2025 11:15</t>
  </si>
  <si>
    <t>02/02/2025 11:30</t>
  </si>
  <si>
    <t>02/02/2025 11:45</t>
  </si>
  <si>
    <t>02/02/2025 12:00</t>
  </si>
  <si>
    <t>02/02/2025 12:15</t>
  </si>
  <si>
    <t>02/02/2025 12:30</t>
  </si>
  <si>
    <t>02/02/2025 12:45</t>
  </si>
  <si>
    <t>02/02/2025 13:00</t>
  </si>
  <si>
    <t>02/02/2025 13:15</t>
  </si>
  <si>
    <t>02/02/2025 13:30</t>
  </si>
  <si>
    <t>02/02/2025 13:45</t>
  </si>
  <si>
    <t>02/02/2025 14:00</t>
  </si>
  <si>
    <t>02/02/2025 14:15</t>
  </si>
  <si>
    <t>02/02/2025 14:30</t>
  </si>
  <si>
    <t>02/02/2025 14:45</t>
  </si>
  <si>
    <t>02/02/2025 15:00</t>
  </si>
  <si>
    <t>02/02/2025 15:15</t>
  </si>
  <si>
    <t>02/02/2025 15:30</t>
  </si>
  <si>
    <t>02/02/2025 15:45</t>
  </si>
  <si>
    <t>02/02/2025 16:00</t>
  </si>
  <si>
    <t>02/02/2025 16:15</t>
  </si>
  <si>
    <t>02/02/2025 16:30</t>
  </si>
  <si>
    <t>02/02/2025 16:45</t>
  </si>
  <si>
    <t>02/02/2025 17:00</t>
  </si>
  <si>
    <t>02/02/2025 17:15</t>
  </si>
  <si>
    <t>02/02/2025 17:30</t>
  </si>
  <si>
    <t>02/02/2025 17:45</t>
  </si>
  <si>
    <t>02/02/2025 18:00</t>
  </si>
  <si>
    <t>02/02/2025 18:15</t>
  </si>
  <si>
    <t>02/02/2025 18:30</t>
  </si>
  <si>
    <t>02/02/2025 18:45</t>
  </si>
  <si>
    <t>02/02/2025 19:00</t>
  </si>
  <si>
    <t>02/02/2025 19:15</t>
  </si>
  <si>
    <t>02/02/2025 19:30</t>
  </si>
  <si>
    <t>02/02/2025 19:45</t>
  </si>
  <si>
    <t>02/02/2025 20:00</t>
  </si>
  <si>
    <t>02/02/2025 20:15</t>
  </si>
  <si>
    <t>02/02/2025 20:30</t>
  </si>
  <si>
    <t>02/02/2025 20:45</t>
  </si>
  <si>
    <t>02/02/2025 21:00</t>
  </si>
  <si>
    <t>02/02/2025 21:15</t>
  </si>
  <si>
    <t>02/02/2025 21:30</t>
  </si>
  <si>
    <t>02/02/2025 21:45</t>
  </si>
  <si>
    <t>02/02/2025 22:00</t>
  </si>
  <si>
    <t>02/02/2025 22:15</t>
  </si>
  <si>
    <t>02/02/2025 22:30</t>
  </si>
  <si>
    <t>02/02/2025 22:45</t>
  </si>
  <si>
    <t>02/02/2025 23:00</t>
  </si>
  <si>
    <t>02/02/2025 23:15</t>
  </si>
  <si>
    <t>02/02/2025 23:30</t>
  </si>
  <si>
    <t>02/02/2025 23:45</t>
  </si>
  <si>
    <t>02/02/2025 24:00</t>
  </si>
  <si>
    <t>03/02/2025 00:15</t>
  </si>
  <si>
    <t>03/02/2025 00:30</t>
  </si>
  <si>
    <t>03/02/2025 00:45</t>
  </si>
  <si>
    <t>03/02/2025 01:00</t>
  </si>
  <si>
    <t>03/02/2025 01:15</t>
  </si>
  <si>
    <t>03/02/2025 01:30</t>
  </si>
  <si>
    <t>03/02/2025 01:45</t>
  </si>
  <si>
    <t>03/02/2025 02:00</t>
  </si>
  <si>
    <t>03/02/2025 02:15</t>
  </si>
  <si>
    <t>03/02/2025 02:30</t>
  </si>
  <si>
    <t>03/02/2025 02:45</t>
  </si>
  <si>
    <t>03/02/2025 03:00</t>
  </si>
  <si>
    <t>03/02/2025 03:15</t>
  </si>
  <si>
    <t>03/02/2025 03:30</t>
  </si>
  <si>
    <t>03/02/2025 03:45</t>
  </si>
  <si>
    <t>03/02/2025 04:00</t>
  </si>
  <si>
    <t>03/02/2025 04:15</t>
  </si>
  <si>
    <t>03/02/2025 04:30</t>
  </si>
  <si>
    <t>03/02/2025 04:45</t>
  </si>
  <si>
    <t>03/02/2025 05:00</t>
  </si>
  <si>
    <t>03/02/2025 05:15</t>
  </si>
  <si>
    <t>03/02/2025 05:30</t>
  </si>
  <si>
    <t>03/02/2025 05:45</t>
  </si>
  <si>
    <t>03/02/2025 06:00</t>
  </si>
  <si>
    <t>03/02/2025 06:15</t>
  </si>
  <si>
    <t>03/02/2025 06:30</t>
  </si>
  <si>
    <t>03/02/2025 06:45</t>
  </si>
  <si>
    <t>03/02/2025 07:00</t>
  </si>
  <si>
    <t>03/02/2025 07:15</t>
  </si>
  <si>
    <t>03/02/2025 07:30</t>
  </si>
  <si>
    <t>03/02/2025 07:45</t>
  </si>
  <si>
    <t>03/02/2025 08:00</t>
  </si>
  <si>
    <t>03/02/2025 08:15</t>
  </si>
  <si>
    <t>03/02/2025 08:30</t>
  </si>
  <si>
    <t>03/02/2025 08:45</t>
  </si>
  <si>
    <t>03/02/2025 09:00</t>
  </si>
  <si>
    <t>03/02/2025 09:15</t>
  </si>
  <si>
    <t>03/02/2025 09:30</t>
  </si>
  <si>
    <t>03/02/2025 09:45</t>
  </si>
  <si>
    <t>03/02/2025 10:00</t>
  </si>
  <si>
    <t>03/02/2025 10:15</t>
  </si>
  <si>
    <t>03/02/2025 10:30</t>
  </si>
  <si>
    <t>03/02/2025 10:45</t>
  </si>
  <si>
    <t>03/02/2025 11:00</t>
  </si>
  <si>
    <t>03/02/2025 11:15</t>
  </si>
  <si>
    <t>03/02/2025 11:30</t>
  </si>
  <si>
    <t>03/02/2025 11:45</t>
  </si>
  <si>
    <t>03/02/2025 12:00</t>
  </si>
  <si>
    <t>03/02/2025 12:15</t>
  </si>
  <si>
    <t>03/02/2025 12:30</t>
  </si>
  <si>
    <t>03/02/2025 12:45</t>
  </si>
  <si>
    <t>03/02/2025 13:00</t>
  </si>
  <si>
    <t>03/02/2025 13:15</t>
  </si>
  <si>
    <t>03/02/2025 13:30</t>
  </si>
  <si>
    <t>03/02/2025 13:45</t>
  </si>
  <si>
    <t>03/02/2025 14:00</t>
  </si>
  <si>
    <t>03/02/2025 14:15</t>
  </si>
  <si>
    <t>03/02/2025 14:30</t>
  </si>
  <si>
    <t>03/02/2025 14:45</t>
  </si>
  <si>
    <t>03/02/2025 15:00</t>
  </si>
  <si>
    <t>03/02/2025 15:15</t>
  </si>
  <si>
    <t>03/02/2025 15:30</t>
  </si>
  <si>
    <t>03/02/2025 15:45</t>
  </si>
  <si>
    <t>03/02/2025 16:00</t>
  </si>
  <si>
    <t>03/02/2025 16:15</t>
  </si>
  <si>
    <t>03/02/2025 16:30</t>
  </si>
  <si>
    <t>03/02/2025 16:45</t>
  </si>
  <si>
    <t>03/02/2025 17:00</t>
  </si>
  <si>
    <t>03/02/2025 17:15</t>
  </si>
  <si>
    <t>03/02/2025 17:30</t>
  </si>
  <si>
    <t>03/02/2025 17:45</t>
  </si>
  <si>
    <t>03/02/2025 18:00</t>
  </si>
  <si>
    <t>03/02/2025 18:15</t>
  </si>
  <si>
    <t>03/02/2025 18:30</t>
  </si>
  <si>
    <t>03/02/2025 18:45</t>
  </si>
  <si>
    <t>03/02/2025 19:00</t>
  </si>
  <si>
    <t>03/02/2025 19:15</t>
  </si>
  <si>
    <t>03/02/2025 19:30</t>
  </si>
  <si>
    <t>03/02/2025 19:45</t>
  </si>
  <si>
    <t>03/02/2025 20:00</t>
  </si>
  <si>
    <t>03/02/2025 20:15</t>
  </si>
  <si>
    <t>03/02/2025 20:30</t>
  </si>
  <si>
    <t>03/02/2025 20:45</t>
  </si>
  <si>
    <t>03/02/2025 21:00</t>
  </si>
  <si>
    <t>03/02/2025 21:15</t>
  </si>
  <si>
    <t>03/02/2025 21:30</t>
  </si>
  <si>
    <t>03/02/2025 21:45</t>
  </si>
  <si>
    <t>03/02/2025 22:00</t>
  </si>
  <si>
    <t>03/02/2025 22:15</t>
  </si>
  <si>
    <t>03/02/2025 22:30</t>
  </si>
  <si>
    <t>03/02/2025 22:45</t>
  </si>
  <si>
    <t>03/02/2025 23:00</t>
  </si>
  <si>
    <t>03/02/2025 23:15</t>
  </si>
  <si>
    <t>03/02/2025 23:30</t>
  </si>
  <si>
    <t>03/02/2025 23:45</t>
  </si>
  <si>
    <t>03/02/2025 24:00</t>
  </si>
  <si>
    <t>04/02/2025 00:15</t>
  </si>
  <si>
    <t>04/02/2025 00:30</t>
  </si>
  <si>
    <t>04/02/2025 00:45</t>
  </si>
  <si>
    <t>04/02/2025 01:00</t>
  </si>
  <si>
    <t>04/02/2025 01:15</t>
  </si>
  <si>
    <t>04/02/2025 01:30</t>
  </si>
  <si>
    <t>04/02/2025 01:45</t>
  </si>
  <si>
    <t>04/02/2025 02:00</t>
  </si>
  <si>
    <t>04/02/2025 02:15</t>
  </si>
  <si>
    <t>04/02/2025 02:30</t>
  </si>
  <si>
    <t>04/02/2025 02:45</t>
  </si>
  <si>
    <t>04/02/2025 03:00</t>
  </si>
  <si>
    <t>04/02/2025 03:15</t>
  </si>
  <si>
    <t>04/02/2025 03:30</t>
  </si>
  <si>
    <t>04/02/2025 03:45</t>
  </si>
  <si>
    <t>04/02/2025 04:00</t>
  </si>
  <si>
    <t>04/02/2025 04:15</t>
  </si>
  <si>
    <t>04/02/2025 04:30</t>
  </si>
  <si>
    <t>04/02/2025 04:45</t>
  </si>
  <si>
    <t>04/02/2025 05:00</t>
  </si>
  <si>
    <t>04/02/2025 05:15</t>
  </si>
  <si>
    <t>04/02/2025 05:30</t>
  </si>
  <si>
    <t>04/02/2025 05:45</t>
  </si>
  <si>
    <t>04/02/2025 06:00</t>
  </si>
  <si>
    <t>04/02/2025 06:15</t>
  </si>
  <si>
    <t>04/02/2025 06:30</t>
  </si>
  <si>
    <t>04/02/2025 06:45</t>
  </si>
  <si>
    <t>04/02/2025 07:00</t>
  </si>
  <si>
    <t>04/02/2025 07:15</t>
  </si>
  <si>
    <t>04/02/2025 07:30</t>
  </si>
  <si>
    <t>04/02/2025 07:45</t>
  </si>
  <si>
    <t>04/02/2025 08:00</t>
  </si>
  <si>
    <t>04/02/2025 08:15</t>
  </si>
  <si>
    <t>04/02/2025 08:30</t>
  </si>
  <si>
    <t>04/02/2025 08:45</t>
  </si>
  <si>
    <t>04/02/2025 09:00</t>
  </si>
  <si>
    <t>04/02/2025 09:15</t>
  </si>
  <si>
    <t>04/02/2025 09:30</t>
  </si>
  <si>
    <t>04/02/2025 09:45</t>
  </si>
  <si>
    <t>04/02/2025 10:00</t>
  </si>
  <si>
    <t>04/02/2025 10:15</t>
  </si>
  <si>
    <t>04/02/2025 10:30</t>
  </si>
  <si>
    <t>04/02/2025 10:45</t>
  </si>
  <si>
    <t>04/02/2025 11:00</t>
  </si>
  <si>
    <t>04/02/2025 11:15</t>
  </si>
  <si>
    <t>04/02/2025 11:30</t>
  </si>
  <si>
    <t>04/02/2025 11:45</t>
  </si>
  <si>
    <t>04/02/2025 12:00</t>
  </si>
  <si>
    <t>04/02/2025 12:15</t>
  </si>
  <si>
    <t>04/02/2025 12:30</t>
  </si>
  <si>
    <t>04/02/2025 12:45</t>
  </si>
  <si>
    <t>04/02/2025 13:00</t>
  </si>
  <si>
    <t>04/02/2025 13:15</t>
  </si>
  <si>
    <t>04/02/2025 13:30</t>
  </si>
  <si>
    <t>04/02/2025 13:45</t>
  </si>
  <si>
    <t>04/02/2025 14:00</t>
  </si>
  <si>
    <t>04/02/2025 14:15</t>
  </si>
  <si>
    <t>04/02/2025 14:30</t>
  </si>
  <si>
    <t>04/02/2025 14:45</t>
  </si>
  <si>
    <t>04/02/2025 15:00</t>
  </si>
  <si>
    <t>04/02/2025 15:15</t>
  </si>
  <si>
    <t>04/02/2025 15:30</t>
  </si>
  <si>
    <t>04/02/2025 15:45</t>
  </si>
  <si>
    <t>04/02/2025 16:00</t>
  </si>
  <si>
    <t>04/02/2025 16:15</t>
  </si>
  <si>
    <t>04/02/2025 16:30</t>
  </si>
  <si>
    <t>04/02/2025 16:45</t>
  </si>
  <si>
    <t>04/02/2025 17:00</t>
  </si>
  <si>
    <t>04/02/2025 17:15</t>
  </si>
  <si>
    <t>04/02/2025 17:30</t>
  </si>
  <si>
    <t>04/02/2025 17:45</t>
  </si>
  <si>
    <t>04/02/2025 18:00</t>
  </si>
  <si>
    <t>04/02/2025 18:15</t>
  </si>
  <si>
    <t>04/02/2025 18:30</t>
  </si>
  <si>
    <t>04/02/2025 18:45</t>
  </si>
  <si>
    <t>04/02/2025 19:00</t>
  </si>
  <si>
    <t>04/02/2025 19:15</t>
  </si>
  <si>
    <t>04/02/2025 19:30</t>
  </si>
  <si>
    <t>04/02/2025 19:45</t>
  </si>
  <si>
    <t>04/02/2025 20:00</t>
  </si>
  <si>
    <t>04/02/2025 20:15</t>
  </si>
  <si>
    <t>04/02/2025 20:30</t>
  </si>
  <si>
    <t>04/02/2025 20:45</t>
  </si>
  <si>
    <t>04/02/2025 21:00</t>
  </si>
  <si>
    <t>04/02/2025 21:15</t>
  </si>
  <si>
    <t>04/02/2025 21:30</t>
  </si>
  <si>
    <t>04/02/2025 21:45</t>
  </si>
  <si>
    <t>04/02/2025 22:00</t>
  </si>
  <si>
    <t>04/02/2025 22:15</t>
  </si>
  <si>
    <t>04/02/2025 22:30</t>
  </si>
  <si>
    <t>04/02/2025 22:45</t>
  </si>
  <si>
    <t>04/02/2025 23:00</t>
  </si>
  <si>
    <t>04/02/2025 23:15</t>
  </si>
  <si>
    <t>04/02/2025 23:30</t>
  </si>
  <si>
    <t>04/02/2025 23:45</t>
  </si>
  <si>
    <t>04/02/2025 24:00</t>
  </si>
  <si>
    <t>05/02/2025 00:15</t>
  </si>
  <si>
    <t>05/02/2025 00:30</t>
  </si>
  <si>
    <t>05/02/2025 00:45</t>
  </si>
  <si>
    <t>05/02/2025 01:00</t>
  </si>
  <si>
    <t>05/02/2025 01:15</t>
  </si>
  <si>
    <t>05/02/2025 01:30</t>
  </si>
  <si>
    <t>05/02/2025 01:45</t>
  </si>
  <si>
    <t>05/02/2025 02:00</t>
  </si>
  <si>
    <t>05/02/2025 02:15</t>
  </si>
  <si>
    <t>05/02/2025 02:30</t>
  </si>
  <si>
    <t>05/02/2025 02:45</t>
  </si>
  <si>
    <t>05/02/2025 03:00</t>
  </si>
  <si>
    <t>05/02/2025 03:15</t>
  </si>
  <si>
    <t>05/02/2025 03:30</t>
  </si>
  <si>
    <t>05/02/2025 03:45</t>
  </si>
  <si>
    <t>05/02/2025 04:00</t>
  </si>
  <si>
    <t>05/02/2025 04:15</t>
  </si>
  <si>
    <t>05/02/2025 04:30</t>
  </si>
  <si>
    <t>05/02/2025 04:45</t>
  </si>
  <si>
    <t>05/02/2025 05:00</t>
  </si>
  <si>
    <t>05/02/2025 05:15</t>
  </si>
  <si>
    <t>05/02/2025 05:30</t>
  </si>
  <si>
    <t>05/02/2025 05:45</t>
  </si>
  <si>
    <t>05/02/2025 06:00</t>
  </si>
  <si>
    <t>05/02/2025 06:15</t>
  </si>
  <si>
    <t>05/02/2025 06:30</t>
  </si>
  <si>
    <t>05/02/2025 06:45</t>
  </si>
  <si>
    <t>05/02/2025 07:00</t>
  </si>
  <si>
    <t>05/02/2025 07:15</t>
  </si>
  <si>
    <t>05/02/2025 07:30</t>
  </si>
  <si>
    <t>05/02/2025 07:45</t>
  </si>
  <si>
    <t>05/02/2025 08:00</t>
  </si>
  <si>
    <t>05/02/2025 08:15</t>
  </si>
  <si>
    <t>05/02/2025 08:30</t>
  </si>
  <si>
    <t>05/02/2025 08:45</t>
  </si>
  <si>
    <t>05/02/2025 09:00</t>
  </si>
  <si>
    <t>05/02/2025 09:15</t>
  </si>
  <si>
    <t>05/02/2025 09:30</t>
  </si>
  <si>
    <t>05/02/2025 09:45</t>
  </si>
  <si>
    <t>05/02/2025 10:00</t>
  </si>
  <si>
    <t>05/02/2025 10:15</t>
  </si>
  <si>
    <t>05/02/2025 10:30</t>
  </si>
  <si>
    <t>05/02/2025 10:45</t>
  </si>
  <si>
    <t>05/02/2025 11:00</t>
  </si>
  <si>
    <t>05/02/2025 11:15</t>
  </si>
  <si>
    <t>05/02/2025 11:30</t>
  </si>
  <si>
    <t>05/02/2025 11:45</t>
  </si>
  <si>
    <t>05/02/2025 12:00</t>
  </si>
  <si>
    <t>05/02/2025 12:15</t>
  </si>
  <si>
    <t>05/02/2025 12:30</t>
  </si>
  <si>
    <t>05/02/2025 12:45</t>
  </si>
  <si>
    <t>05/02/2025 13:00</t>
  </si>
  <si>
    <t>05/02/2025 13:15</t>
  </si>
  <si>
    <t>05/02/2025 13:30</t>
  </si>
  <si>
    <t>05/02/2025 13:45</t>
  </si>
  <si>
    <t>05/02/2025 14:00</t>
  </si>
  <si>
    <t>05/02/2025 14:15</t>
  </si>
  <si>
    <t>05/02/2025 14:30</t>
  </si>
  <si>
    <t>05/02/2025 14:45</t>
  </si>
  <si>
    <t>05/02/2025 15:00</t>
  </si>
  <si>
    <t>05/02/2025 15:15</t>
  </si>
  <si>
    <t>05/02/2025 15:30</t>
  </si>
  <si>
    <t>05/02/2025 15:45</t>
  </si>
  <si>
    <t>05/02/2025 16:00</t>
  </si>
  <si>
    <t>05/02/2025 16:15</t>
  </si>
  <si>
    <t>05/02/2025 16:30</t>
  </si>
  <si>
    <t>05/02/2025 16:45</t>
  </si>
  <si>
    <t>05/02/2025 17:00</t>
  </si>
  <si>
    <t>05/02/2025 17:15</t>
  </si>
  <si>
    <t>05/02/2025 17:30</t>
  </si>
  <si>
    <t>05/02/2025 17:45</t>
  </si>
  <si>
    <t>05/02/2025 18:00</t>
  </si>
  <si>
    <t>05/02/2025 18:15</t>
  </si>
  <si>
    <t>05/02/2025 18:30</t>
  </si>
  <si>
    <t>05/02/2025 18:45</t>
  </si>
  <si>
    <t>05/02/2025 19:00</t>
  </si>
  <si>
    <t>05/02/2025 19:15</t>
  </si>
  <si>
    <t>05/02/2025 19:30</t>
  </si>
  <si>
    <t>05/02/2025 19:45</t>
  </si>
  <si>
    <t>05/02/2025 20:00</t>
  </si>
  <si>
    <t>05/02/2025 20:15</t>
  </si>
  <si>
    <t>05/02/2025 20:30</t>
  </si>
  <si>
    <t>05/02/2025 20:45</t>
  </si>
  <si>
    <t>05/02/2025 21:00</t>
  </si>
  <si>
    <t>05/02/2025 21:15</t>
  </si>
  <si>
    <t>05/02/2025 21:30</t>
  </si>
  <si>
    <t>05/02/2025 21:45</t>
  </si>
  <si>
    <t>05/02/2025 22:00</t>
  </si>
  <si>
    <t>05/02/2025 22:15</t>
  </si>
  <si>
    <t>05/02/2025 22:30</t>
  </si>
  <si>
    <t>05/02/2025 22:45</t>
  </si>
  <si>
    <t>05/02/2025 23:00</t>
  </si>
  <si>
    <t>05/02/2025 23:15</t>
  </si>
  <si>
    <t>05/02/2025 23:30</t>
  </si>
  <si>
    <t>05/02/2025 23:45</t>
  </si>
  <si>
    <t>05/02/2025 24:00</t>
  </si>
  <si>
    <t>06/02/2025 00:15</t>
  </si>
  <si>
    <t>06/02/2025 00:30</t>
  </si>
  <si>
    <t>06/02/2025 00:45</t>
  </si>
  <si>
    <t>06/02/2025 01:00</t>
  </si>
  <si>
    <t>06/02/2025 01:15</t>
  </si>
  <si>
    <t>06/02/2025 01:30</t>
  </si>
  <si>
    <t>06/02/2025 01:45</t>
  </si>
  <si>
    <t>06/02/2025 02:00</t>
  </si>
  <si>
    <t>06/02/2025 02:15</t>
  </si>
  <si>
    <t>06/02/2025 02:30</t>
  </si>
  <si>
    <t>06/02/2025 02:45</t>
  </si>
  <si>
    <t>06/02/2025 03:00</t>
  </si>
  <si>
    <t>06/02/2025 03:15</t>
  </si>
  <si>
    <t>06/02/2025 03:30</t>
  </si>
  <si>
    <t>06/02/2025 03:45</t>
  </si>
  <si>
    <t>06/02/2025 04:00</t>
  </si>
  <si>
    <t>06/02/2025 04:15</t>
  </si>
  <si>
    <t>06/02/2025 04:30</t>
  </si>
  <si>
    <t>06/02/2025 04:45</t>
  </si>
  <si>
    <t>06/02/2025 05:00</t>
  </si>
  <si>
    <t>06/02/2025 05:15</t>
  </si>
  <si>
    <t>06/02/2025 05:30</t>
  </si>
  <si>
    <t>06/02/2025 05:45</t>
  </si>
  <si>
    <t>06/02/2025 06:00</t>
  </si>
  <si>
    <t>06/02/2025 06:15</t>
  </si>
  <si>
    <t>06/02/2025 06:30</t>
  </si>
  <si>
    <t>06/02/2025 06:45</t>
  </si>
  <si>
    <t>06/02/2025 07:00</t>
  </si>
  <si>
    <t>06/02/2025 07:15</t>
  </si>
  <si>
    <t>06/02/2025 07:30</t>
  </si>
  <si>
    <t>06/02/2025 07:45</t>
  </si>
  <si>
    <t>06/02/2025 08:00</t>
  </si>
  <si>
    <t>06/02/2025 08:15</t>
  </si>
  <si>
    <t>06/02/2025 08:30</t>
  </si>
  <si>
    <t>06/02/2025 08:45</t>
  </si>
  <si>
    <t>06/02/2025 09:00</t>
  </si>
  <si>
    <t>06/02/2025 09:15</t>
  </si>
  <si>
    <t>06/02/2025 09:30</t>
  </si>
  <si>
    <t>06/02/2025 09:45</t>
  </si>
  <si>
    <t>06/02/2025 10:00</t>
  </si>
  <si>
    <t>06/02/2025 10:15</t>
  </si>
  <si>
    <t>06/02/2025 10:30</t>
  </si>
  <si>
    <t>06/02/2025 10:45</t>
  </si>
  <si>
    <t>06/02/2025 11:00</t>
  </si>
  <si>
    <t>06/02/2025 11:15</t>
  </si>
  <si>
    <t>06/02/2025 11:30</t>
  </si>
  <si>
    <t>06/02/2025 11:45</t>
  </si>
  <si>
    <t>06/02/2025 12:00</t>
  </si>
  <si>
    <t>06/02/2025 12:15</t>
  </si>
  <si>
    <t>06/02/2025 12:30</t>
  </si>
  <si>
    <t>06/02/2025 12:45</t>
  </si>
  <si>
    <t>06/02/2025 13:00</t>
  </si>
  <si>
    <t>06/02/2025 13:15</t>
  </si>
  <si>
    <t>06/02/2025 13:30</t>
  </si>
  <si>
    <t>06/02/2025 13:45</t>
  </si>
  <si>
    <t>06/02/2025 14:00</t>
  </si>
  <si>
    <t>06/02/2025 14:15</t>
  </si>
  <si>
    <t>06/02/2025 14:30</t>
  </si>
  <si>
    <t>06/02/2025 14:45</t>
  </si>
  <si>
    <t>06/02/2025 15:00</t>
  </si>
  <si>
    <t>06/02/2025 15:15</t>
  </si>
  <si>
    <t>06/02/2025 15:30</t>
  </si>
  <si>
    <t>06/02/2025 15:45</t>
  </si>
  <si>
    <t>06/02/2025 16:00</t>
  </si>
  <si>
    <t>06/02/2025 16:15</t>
  </si>
  <si>
    <t>06/02/2025 16:30</t>
  </si>
  <si>
    <t>06/02/2025 16:45</t>
  </si>
  <si>
    <t>06/02/2025 17:00</t>
  </si>
  <si>
    <t>06/02/2025 17:15</t>
  </si>
  <si>
    <t>06/02/2025 17:30</t>
  </si>
  <si>
    <t>06/02/2025 17:45</t>
  </si>
  <si>
    <t>06/02/2025 18:00</t>
  </si>
  <si>
    <t>06/02/2025 18:15</t>
  </si>
  <si>
    <t>06/02/2025 18:30</t>
  </si>
  <si>
    <t>06/02/2025 18:45</t>
  </si>
  <si>
    <t>06/02/2025 19:00</t>
  </si>
  <si>
    <t>06/02/2025 19:15</t>
  </si>
  <si>
    <t>06/02/2025 19:30</t>
  </si>
  <si>
    <t>06/02/2025 19:45</t>
  </si>
  <si>
    <t>06/02/2025 20:00</t>
  </si>
  <si>
    <t>06/02/2025 20:15</t>
  </si>
  <si>
    <t>06/02/2025 20:30</t>
  </si>
  <si>
    <t>06/02/2025 20:45</t>
  </si>
  <si>
    <t>06/02/2025 21:00</t>
  </si>
  <si>
    <t>06/02/2025 21:15</t>
  </si>
  <si>
    <t>06/02/2025 21:30</t>
  </si>
  <si>
    <t>06/02/2025 21:45</t>
  </si>
  <si>
    <t>06/02/2025 22:00</t>
  </si>
  <si>
    <t>06/02/2025 22:15</t>
  </si>
  <si>
    <t>06/02/2025 22:30</t>
  </si>
  <si>
    <t>06/02/2025 22:45</t>
  </si>
  <si>
    <t>06/02/2025 23:00</t>
  </si>
  <si>
    <t>06/02/2025 23:15</t>
  </si>
  <si>
    <t>06/02/2025 23:30</t>
  </si>
  <si>
    <t>06/02/2025 23:45</t>
  </si>
  <si>
    <t>06/02/2025 24:00</t>
  </si>
  <si>
    <t>07/02/2025 00:15</t>
  </si>
  <si>
    <t>07/02/2025 00:30</t>
  </si>
  <si>
    <t>07/02/2025 00:45</t>
  </si>
  <si>
    <t>07/02/2025 01:00</t>
  </si>
  <si>
    <t>07/02/2025 01:15</t>
  </si>
  <si>
    <t>07/02/2025 01:30</t>
  </si>
  <si>
    <t>07/02/2025 01:45</t>
  </si>
  <si>
    <t>07/02/2025 02:00</t>
  </si>
  <si>
    <t>07/02/2025 02:15</t>
  </si>
  <si>
    <t>07/02/2025 02:30</t>
  </si>
  <si>
    <t>07/02/2025 02:45</t>
  </si>
  <si>
    <t>07/02/2025 03:00</t>
  </si>
  <si>
    <t>07/02/2025 03:15</t>
  </si>
  <si>
    <t>07/02/2025 03:30</t>
  </si>
  <si>
    <t>07/02/2025 03:45</t>
  </si>
  <si>
    <t>07/02/2025 04:00</t>
  </si>
  <si>
    <t>07/02/2025 04:15</t>
  </si>
  <si>
    <t>07/02/2025 04:30</t>
  </si>
  <si>
    <t>07/02/2025 04:45</t>
  </si>
  <si>
    <t>07/02/2025 05:00</t>
  </si>
  <si>
    <t>07/02/2025 05:15</t>
  </si>
  <si>
    <t>07/02/2025 05:30</t>
  </si>
  <si>
    <t>07/02/2025 05:45</t>
  </si>
  <si>
    <t>07/02/2025 06:00</t>
  </si>
  <si>
    <t>07/02/2025 06:15</t>
  </si>
  <si>
    <t>07/02/2025 06:30</t>
  </si>
  <si>
    <t>07/02/2025 06:45</t>
  </si>
  <si>
    <t>07/02/2025 07:00</t>
  </si>
  <si>
    <t>07/02/2025 07:15</t>
  </si>
  <si>
    <t>07/02/2025 07:30</t>
  </si>
  <si>
    <t>07/02/2025 07:45</t>
  </si>
  <si>
    <t>07/02/2025 08:00</t>
  </si>
  <si>
    <t>07/02/2025 08:15</t>
  </si>
  <si>
    <t>07/02/2025 08:30</t>
  </si>
  <si>
    <t>07/02/2025 08:45</t>
  </si>
  <si>
    <t>07/02/2025 09:00</t>
  </si>
  <si>
    <t>07/02/2025 09:15</t>
  </si>
  <si>
    <t>07/02/2025 09:30</t>
  </si>
  <si>
    <t>07/02/2025 09:45</t>
  </si>
  <si>
    <t>07/02/2025 10:00</t>
  </si>
  <si>
    <t>07/02/2025 10:15</t>
  </si>
  <si>
    <t>07/02/2025 10:30</t>
  </si>
  <si>
    <t>07/02/2025 10:45</t>
  </si>
  <si>
    <t>07/02/2025 11:00</t>
  </si>
  <si>
    <t>07/02/2025 11:15</t>
  </si>
  <si>
    <t>07/02/2025 11:30</t>
  </si>
  <si>
    <t>07/02/2025 11:45</t>
  </si>
  <si>
    <t>07/02/2025 12:00</t>
  </si>
  <si>
    <t>07/02/2025 12:15</t>
  </si>
  <si>
    <t>07/02/2025 12:30</t>
  </si>
  <si>
    <t>07/02/2025 12:45</t>
  </si>
  <si>
    <t>07/02/2025 13:00</t>
  </si>
  <si>
    <t>07/02/2025 13:15</t>
  </si>
  <si>
    <t>07/02/2025 13:30</t>
  </si>
  <si>
    <t>07/02/2025 13:45</t>
  </si>
  <si>
    <t>07/02/2025 14:00</t>
  </si>
  <si>
    <t>07/02/2025 14:15</t>
  </si>
  <si>
    <t>07/02/2025 14:30</t>
  </si>
  <si>
    <t>07/02/2025 14:45</t>
  </si>
  <si>
    <t>07/02/2025 15:00</t>
  </si>
  <si>
    <t>07/02/2025 15:15</t>
  </si>
  <si>
    <t>07/02/2025 15:30</t>
  </si>
  <si>
    <t>07/02/2025 15:45</t>
  </si>
  <si>
    <t>07/02/2025 16:00</t>
  </si>
  <si>
    <t>07/02/2025 16:15</t>
  </si>
  <si>
    <t>07/02/2025 16:30</t>
  </si>
  <si>
    <t>07/02/2025 16:45</t>
  </si>
  <si>
    <t>07/02/2025 17:00</t>
  </si>
  <si>
    <t>07/02/2025 17:15</t>
  </si>
  <si>
    <t>07/02/2025 17:30</t>
  </si>
  <si>
    <t>07/02/2025 17:45</t>
  </si>
  <si>
    <t>07/02/2025 18:00</t>
  </si>
  <si>
    <t>07/02/2025 18:15</t>
  </si>
  <si>
    <t>07/02/2025 18:30</t>
  </si>
  <si>
    <t>07/02/2025 18:45</t>
  </si>
  <si>
    <t>07/02/2025 19:00</t>
  </si>
  <si>
    <t>07/02/2025 19:15</t>
  </si>
  <si>
    <t>07/02/2025 19:30</t>
  </si>
  <si>
    <t>07/02/2025 19:45</t>
  </si>
  <si>
    <t>07/02/2025 20:00</t>
  </si>
  <si>
    <t>07/02/2025 20:15</t>
  </si>
  <si>
    <t>07/02/2025 20:30</t>
  </si>
  <si>
    <t>07/02/2025 20:45</t>
  </si>
  <si>
    <t>07/02/2025 21:00</t>
  </si>
  <si>
    <t>07/02/2025 21:15</t>
  </si>
  <si>
    <t>07/02/2025 21:30</t>
  </si>
  <si>
    <t>07/02/2025 21:45</t>
  </si>
  <si>
    <t>07/02/2025 22:00</t>
  </si>
  <si>
    <t>07/02/2025 22:15</t>
  </si>
  <si>
    <t>07/02/2025 22:30</t>
  </si>
  <si>
    <t>07/02/2025 22:45</t>
  </si>
  <si>
    <t>07/02/2025 23:00</t>
  </si>
  <si>
    <t>07/02/2025 23:15</t>
  </si>
  <si>
    <t>07/02/2025 23:30</t>
  </si>
  <si>
    <t>07/02/2025 23:45</t>
  </si>
  <si>
    <t>07/02/2025 24:00</t>
  </si>
  <si>
    <t>08/02/2025 00:15</t>
  </si>
  <si>
    <t>08/02/2025 00:30</t>
  </si>
  <si>
    <t>08/02/2025 00:45</t>
  </si>
  <si>
    <t>08/02/2025 01:00</t>
  </si>
  <si>
    <t>08/02/2025 01:15</t>
  </si>
  <si>
    <t>08/02/2025 01:30</t>
  </si>
  <si>
    <t>08/02/2025 01:45</t>
  </si>
  <si>
    <t>08/02/2025 02:00</t>
  </si>
  <si>
    <t>08/02/2025 02:15</t>
  </si>
  <si>
    <t>08/02/2025 02:30</t>
  </si>
  <si>
    <t>08/02/2025 02:45</t>
  </si>
  <si>
    <t>08/02/2025 03:00</t>
  </si>
  <si>
    <t>08/02/2025 03:15</t>
  </si>
  <si>
    <t>08/02/2025 03:30</t>
  </si>
  <si>
    <t>08/02/2025 03:45</t>
  </si>
  <si>
    <t>08/02/2025 04:00</t>
  </si>
  <si>
    <t>08/02/2025 04:15</t>
  </si>
  <si>
    <t>08/02/2025 04:30</t>
  </si>
  <si>
    <t>08/02/2025 04:45</t>
  </si>
  <si>
    <t>08/02/2025 05:00</t>
  </si>
  <si>
    <t>08/02/2025 05:15</t>
  </si>
  <si>
    <t>08/02/2025 05:30</t>
  </si>
  <si>
    <t>08/02/2025 05:45</t>
  </si>
  <si>
    <t>08/02/2025 06:00</t>
  </si>
  <si>
    <t>08/02/2025 06:15</t>
  </si>
  <si>
    <t>08/02/2025 06:30</t>
  </si>
  <si>
    <t>08/02/2025 06:45</t>
  </si>
  <si>
    <t>08/02/2025 07:00</t>
  </si>
  <si>
    <t>08/02/2025 07:15</t>
  </si>
  <si>
    <t>08/02/2025 07:30</t>
  </si>
  <si>
    <t>08/02/2025 07:45</t>
  </si>
  <si>
    <t>08/02/2025 08:00</t>
  </si>
  <si>
    <t>08/02/2025 08:15</t>
  </si>
  <si>
    <t>08/02/2025 08:30</t>
  </si>
  <si>
    <t>08/02/2025 08:45</t>
  </si>
  <si>
    <t>08/02/2025 09:00</t>
  </si>
  <si>
    <t>08/02/2025 09:15</t>
  </si>
  <si>
    <t>08/02/2025 09:30</t>
  </si>
  <si>
    <t>08/02/2025 09:45</t>
  </si>
  <si>
    <t>08/02/2025 10:00</t>
  </si>
  <si>
    <t>08/02/2025 10:15</t>
  </si>
  <si>
    <t>08/02/2025 10:30</t>
  </si>
  <si>
    <t>08/02/2025 10:45</t>
  </si>
  <si>
    <t>08/02/2025 11:00</t>
  </si>
  <si>
    <t>08/02/2025 11:15</t>
  </si>
  <si>
    <t>08/02/2025 11:30</t>
  </si>
  <si>
    <t>08/02/2025 11:45</t>
  </si>
  <si>
    <t>08/02/2025 12:00</t>
  </si>
  <si>
    <t>08/02/2025 12:15</t>
  </si>
  <si>
    <t>08/02/2025 12:30</t>
  </si>
  <si>
    <t>08/02/2025 12:45</t>
  </si>
  <si>
    <t>08/02/2025 13:00</t>
  </si>
  <si>
    <t>08/02/2025 13:15</t>
  </si>
  <si>
    <t>08/02/2025 13:30</t>
  </si>
  <si>
    <t>08/02/2025 13:45</t>
  </si>
  <si>
    <t>08/02/2025 14:00</t>
  </si>
  <si>
    <t>08/02/2025 14:15</t>
  </si>
  <si>
    <t>08/02/2025 14:30</t>
  </si>
  <si>
    <t>08/02/2025 14:45</t>
  </si>
  <si>
    <t>08/02/2025 15:00</t>
  </si>
  <si>
    <t>08/02/2025 15:15</t>
  </si>
  <si>
    <t>08/02/2025 15:30</t>
  </si>
  <si>
    <t>08/02/2025 15:45</t>
  </si>
  <si>
    <t>08/02/2025 16:00</t>
  </si>
  <si>
    <t>08/02/2025 16:15</t>
  </si>
  <si>
    <t>08/02/2025 16:30</t>
  </si>
  <si>
    <t>08/02/2025 16:45</t>
  </si>
  <si>
    <t>08/02/2025 17:00</t>
  </si>
  <si>
    <t>08/02/2025 17:15</t>
  </si>
  <si>
    <t>08/02/2025 17:30</t>
  </si>
  <si>
    <t>08/02/2025 17:45</t>
  </si>
  <si>
    <t>08/02/2025 18:00</t>
  </si>
  <si>
    <t>08/02/2025 18:15</t>
  </si>
  <si>
    <t>08/02/2025 18:30</t>
  </si>
  <si>
    <t>08/02/2025 18:45</t>
  </si>
  <si>
    <t>08/02/2025 19:00</t>
  </si>
  <si>
    <t>08/02/2025 19:15</t>
  </si>
  <si>
    <t>08/02/2025 19:30</t>
  </si>
  <si>
    <t>08/02/2025 19:45</t>
  </si>
  <si>
    <t>08/02/2025 20:00</t>
  </si>
  <si>
    <t>08/02/2025 20:15</t>
  </si>
  <si>
    <t>08/02/2025 20:30</t>
  </si>
  <si>
    <t>08/02/2025 20:45</t>
  </si>
  <si>
    <t>08/02/2025 21:00</t>
  </si>
  <si>
    <t>08/02/2025 21:15</t>
  </si>
  <si>
    <t>08/02/2025 21:30</t>
  </si>
  <si>
    <t>08/02/2025 21:45</t>
  </si>
  <si>
    <t>08/02/2025 22:00</t>
  </si>
  <si>
    <t>08/02/2025 22:15</t>
  </si>
  <si>
    <t>08/02/2025 22:30</t>
  </si>
  <si>
    <t>08/02/2025 22:45</t>
  </si>
  <si>
    <t>08/02/2025 23:00</t>
  </si>
  <si>
    <t>08/02/2025 23:15</t>
  </si>
  <si>
    <t>08/02/2025 23:30</t>
  </si>
  <si>
    <t>08/02/2025 23:45</t>
  </si>
  <si>
    <t>08/02/2025 24:00</t>
  </si>
  <si>
    <t>09/02/2025 00:15</t>
  </si>
  <si>
    <t>09/02/2025 00:30</t>
  </si>
  <si>
    <t>09/02/2025 00:45</t>
  </si>
  <si>
    <t>09/02/2025 01:00</t>
  </si>
  <si>
    <t>09/02/2025 01:15</t>
  </si>
  <si>
    <t>09/02/2025 01:30</t>
  </si>
  <si>
    <t>09/02/2025 01:45</t>
  </si>
  <si>
    <t>09/02/2025 02:00</t>
  </si>
  <si>
    <t>09/02/2025 02:15</t>
  </si>
  <si>
    <t>09/02/2025 02:30</t>
  </si>
  <si>
    <t>09/02/2025 02:45</t>
  </si>
  <si>
    <t>09/02/2025 03:00</t>
  </si>
  <si>
    <t>09/02/2025 03:15</t>
  </si>
  <si>
    <t>09/02/2025 03:30</t>
  </si>
  <si>
    <t>09/02/2025 03:45</t>
  </si>
  <si>
    <t>09/02/2025 04:00</t>
  </si>
  <si>
    <t>09/02/2025 04:15</t>
  </si>
  <si>
    <t>09/02/2025 04:30</t>
  </si>
  <si>
    <t>09/02/2025 04:45</t>
  </si>
  <si>
    <t>09/02/2025 05:00</t>
  </si>
  <si>
    <t>09/02/2025 05:15</t>
  </si>
  <si>
    <t>09/02/2025 05:30</t>
  </si>
  <si>
    <t>09/02/2025 05:45</t>
  </si>
  <si>
    <t>09/02/2025 06:00</t>
  </si>
  <si>
    <t>09/02/2025 06:15</t>
  </si>
  <si>
    <t>09/02/2025 06:30</t>
  </si>
  <si>
    <t>09/02/2025 06:45</t>
  </si>
  <si>
    <t>09/02/2025 07:00</t>
  </si>
  <si>
    <t>09/02/2025 07:15</t>
  </si>
  <si>
    <t>09/02/2025 07:30</t>
  </si>
  <si>
    <t>09/02/2025 07:45</t>
  </si>
  <si>
    <t>09/02/2025 08:00</t>
  </si>
  <si>
    <t>09/02/2025 08:15</t>
  </si>
  <si>
    <t>09/02/2025 08:30</t>
  </si>
  <si>
    <t>09/02/2025 08:45</t>
  </si>
  <si>
    <t>09/02/2025 09:00</t>
  </si>
  <si>
    <t>09/02/2025 09:15</t>
  </si>
  <si>
    <t>09/02/2025 09:30</t>
  </si>
  <si>
    <t>09/02/2025 09:45</t>
  </si>
  <si>
    <t>09/02/2025 10:00</t>
  </si>
  <si>
    <t>09/02/2025 10:15</t>
  </si>
  <si>
    <t>09/02/2025 10:30</t>
  </si>
  <si>
    <t>09/02/2025 10:45</t>
  </si>
  <si>
    <t>09/02/2025 11:00</t>
  </si>
  <si>
    <t>09/02/2025 11:15</t>
  </si>
  <si>
    <t>09/02/2025 11:30</t>
  </si>
  <si>
    <t>09/02/2025 11:45</t>
  </si>
  <si>
    <t>09/02/2025 12:00</t>
  </si>
  <si>
    <t>09/02/2025 12:15</t>
  </si>
  <si>
    <t>09/02/2025 12:30</t>
  </si>
  <si>
    <t>09/02/2025 12:45</t>
  </si>
  <si>
    <t>09/02/2025 13:00</t>
  </si>
  <si>
    <t>09/02/2025 13:15</t>
  </si>
  <si>
    <t>09/02/2025 13:30</t>
  </si>
  <si>
    <t>09/02/2025 13:45</t>
  </si>
  <si>
    <t>09/02/2025 14:00</t>
  </si>
  <si>
    <t>09/02/2025 14:15</t>
  </si>
  <si>
    <t>09/02/2025 14:30</t>
  </si>
  <si>
    <t>09/02/2025 14:45</t>
  </si>
  <si>
    <t>09/02/2025 15:00</t>
  </si>
  <si>
    <t>09/02/2025 15:15</t>
  </si>
  <si>
    <t>09/02/2025 15:30</t>
  </si>
  <si>
    <t>09/02/2025 15:45</t>
  </si>
  <si>
    <t>09/02/2025 16:00</t>
  </si>
  <si>
    <t>09/02/2025 16:15</t>
  </si>
  <si>
    <t>09/02/2025 16:30</t>
  </si>
  <si>
    <t>09/02/2025 16:45</t>
  </si>
  <si>
    <t>09/02/2025 17:00</t>
  </si>
  <si>
    <t>09/02/2025 17:15</t>
  </si>
  <si>
    <t>09/02/2025 17:30</t>
  </si>
  <si>
    <t>09/02/2025 17:45</t>
  </si>
  <si>
    <t>09/02/2025 18:00</t>
  </si>
  <si>
    <t>09/02/2025 18:15</t>
  </si>
  <si>
    <t>09/02/2025 18:30</t>
  </si>
  <si>
    <t>09/02/2025 18:45</t>
  </si>
  <si>
    <t>09/02/2025 19:00</t>
  </si>
  <si>
    <t>09/02/2025 19:15</t>
  </si>
  <si>
    <t>09/02/2025 19:30</t>
  </si>
  <si>
    <t>09/02/2025 19:45</t>
  </si>
  <si>
    <t>09/02/2025 20:00</t>
  </si>
  <si>
    <t>09/02/2025 20:15</t>
  </si>
  <si>
    <t>09/02/2025 20:30</t>
  </si>
  <si>
    <t>09/02/2025 20:45</t>
  </si>
  <si>
    <t>09/02/2025 21:00</t>
  </si>
  <si>
    <t>09/02/2025 21:15</t>
  </si>
  <si>
    <t>09/02/2025 21:30</t>
  </si>
  <si>
    <t>09/02/2025 21:45</t>
  </si>
  <si>
    <t>09/02/2025 22:00</t>
  </si>
  <si>
    <t>09/02/2025 22:15</t>
  </si>
  <si>
    <t>09/02/2025 22:30</t>
  </si>
  <si>
    <t>09/02/2025 22:45</t>
  </si>
  <si>
    <t>09/02/2025 23:00</t>
  </si>
  <si>
    <t>09/02/2025 23:15</t>
  </si>
  <si>
    <t>09/02/2025 23:30</t>
  </si>
  <si>
    <t>09/02/2025 23:45</t>
  </si>
  <si>
    <t>09/02/2025 24:00</t>
  </si>
  <si>
    <t>10/02/2025 00:15</t>
  </si>
  <si>
    <t>10/02/2025 00:30</t>
  </si>
  <si>
    <t>10/02/2025 00:45</t>
  </si>
  <si>
    <t>10/02/2025 01:00</t>
  </si>
  <si>
    <t>10/02/2025 01:15</t>
  </si>
  <si>
    <t>10/02/2025 01:30</t>
  </si>
  <si>
    <t>10/02/2025 01:45</t>
  </si>
  <si>
    <t>10/02/2025 02:00</t>
  </si>
  <si>
    <t>10/02/2025 02:15</t>
  </si>
  <si>
    <t>10/02/2025 02:30</t>
  </si>
  <si>
    <t>10/02/2025 02:45</t>
  </si>
  <si>
    <t>10/02/2025 03:00</t>
  </si>
  <si>
    <t>10/02/2025 03:15</t>
  </si>
  <si>
    <t>10/02/2025 03:30</t>
  </si>
  <si>
    <t>10/02/2025 03:45</t>
  </si>
  <si>
    <t>10/02/2025 04:00</t>
  </si>
  <si>
    <t>10/02/2025 04:15</t>
  </si>
  <si>
    <t>10/02/2025 04:30</t>
  </si>
  <si>
    <t>10/02/2025 04:45</t>
  </si>
  <si>
    <t>10/02/2025 05:00</t>
  </si>
  <si>
    <t>10/02/2025 05:15</t>
  </si>
  <si>
    <t>10/02/2025 05:30</t>
  </si>
  <si>
    <t>10/02/2025 05:45</t>
  </si>
  <si>
    <t>10/02/2025 06:00</t>
  </si>
  <si>
    <t>10/02/2025 06:15</t>
  </si>
  <si>
    <t>10/02/2025 06:30</t>
  </si>
  <si>
    <t>10/02/2025 06:45</t>
  </si>
  <si>
    <t>10/02/2025 07:00</t>
  </si>
  <si>
    <t>10/02/2025 07:15</t>
  </si>
  <si>
    <t>10/02/2025 07:30</t>
  </si>
  <si>
    <t>10/02/2025 07:45</t>
  </si>
  <si>
    <t>10/02/2025 08:00</t>
  </si>
  <si>
    <t>10/02/2025 08:15</t>
  </si>
  <si>
    <t>10/02/2025 08:30</t>
  </si>
  <si>
    <t>10/02/2025 08:45</t>
  </si>
  <si>
    <t>10/02/2025 09:00</t>
  </si>
  <si>
    <t>10/02/2025 09:15</t>
  </si>
  <si>
    <t>10/02/2025 09:30</t>
  </si>
  <si>
    <t>10/02/2025 09:45</t>
  </si>
  <si>
    <t>10/02/2025 10:00</t>
  </si>
  <si>
    <t>10/02/2025 10:15</t>
  </si>
  <si>
    <t>10/02/2025 10:30</t>
  </si>
  <si>
    <t>10/02/2025 10:45</t>
  </si>
  <si>
    <t>10/02/2025 11:00</t>
  </si>
  <si>
    <t>10/02/2025 11:15</t>
  </si>
  <si>
    <t>10/02/2025 11:30</t>
  </si>
  <si>
    <t>10/02/2025 11:45</t>
  </si>
  <si>
    <t>10/02/2025 12:00</t>
  </si>
  <si>
    <t>10/02/2025 12:15</t>
  </si>
  <si>
    <t>10/02/2025 12:30</t>
  </si>
  <si>
    <t>10/02/2025 12:45</t>
  </si>
  <si>
    <t>10/02/2025 13:00</t>
  </si>
  <si>
    <t>10/02/2025 13:15</t>
  </si>
  <si>
    <t>10/02/2025 13:30</t>
  </si>
  <si>
    <t>10/02/2025 13:45</t>
  </si>
  <si>
    <t>10/02/2025 14:00</t>
  </si>
  <si>
    <t>10/02/2025 14:15</t>
  </si>
  <si>
    <t>10/02/2025 14:30</t>
  </si>
  <si>
    <t>10/02/2025 14:45</t>
  </si>
  <si>
    <t>10/02/2025 15:00</t>
  </si>
  <si>
    <t>10/02/2025 15:15</t>
  </si>
  <si>
    <t>10/02/2025 15:30</t>
  </si>
  <si>
    <t>10/02/2025 15:45</t>
  </si>
  <si>
    <t>10/02/2025 16:00</t>
  </si>
  <si>
    <t>10/02/2025 16:15</t>
  </si>
  <si>
    <t>10/02/2025 16:30</t>
  </si>
  <si>
    <t>10/02/2025 16:45</t>
  </si>
  <si>
    <t>10/02/2025 17:00</t>
  </si>
  <si>
    <t>10/02/2025 17:15</t>
  </si>
  <si>
    <t>10/02/2025 17:30</t>
  </si>
  <si>
    <t>10/02/2025 17:45</t>
  </si>
  <si>
    <t>10/02/2025 18:00</t>
  </si>
  <si>
    <t>10/02/2025 18:15</t>
  </si>
  <si>
    <t>10/02/2025 18:30</t>
  </si>
  <si>
    <t>10/02/2025 18:45</t>
  </si>
  <si>
    <t>10/02/2025 19:00</t>
  </si>
  <si>
    <t>10/02/2025 19:15</t>
  </si>
  <si>
    <t>10/02/2025 19:30</t>
  </si>
  <si>
    <t>10/02/2025 19:45</t>
  </si>
  <si>
    <t>10/02/2025 20:00</t>
  </si>
  <si>
    <t>10/02/2025 20:15</t>
  </si>
  <si>
    <t>10/02/2025 20:30</t>
  </si>
  <si>
    <t>10/02/2025 20:45</t>
  </si>
  <si>
    <t>10/02/2025 21:00</t>
  </si>
  <si>
    <t>10/02/2025 21:15</t>
  </si>
  <si>
    <t>10/02/2025 21:30</t>
  </si>
  <si>
    <t>10/02/2025 21:45</t>
  </si>
  <si>
    <t>10/02/2025 22:00</t>
  </si>
  <si>
    <t>10/02/2025 22:15</t>
  </si>
  <si>
    <t>10/02/2025 22:30</t>
  </si>
  <si>
    <t>10/02/2025 22:45</t>
  </si>
  <si>
    <t>10/02/2025 23:00</t>
  </si>
  <si>
    <t>10/02/2025 23:15</t>
  </si>
  <si>
    <t>10/02/2025 23:30</t>
  </si>
  <si>
    <t>10/02/2025 23:45</t>
  </si>
  <si>
    <t>10/02/2025 24:00</t>
  </si>
  <si>
    <t>11/02/2025 00:15</t>
  </si>
  <si>
    <t>11/02/2025 00:30</t>
  </si>
  <si>
    <t>11/02/2025 00:45</t>
  </si>
  <si>
    <t>11/02/2025 01:00</t>
  </si>
  <si>
    <t>11/02/2025 01:15</t>
  </si>
  <si>
    <t>11/02/2025 01:30</t>
  </si>
  <si>
    <t>11/02/2025 01:45</t>
  </si>
  <si>
    <t>11/02/2025 02:00</t>
  </si>
  <si>
    <t>11/02/2025 02:15</t>
  </si>
  <si>
    <t>11/02/2025 02:30</t>
  </si>
  <si>
    <t>11/02/2025 02:45</t>
  </si>
  <si>
    <t>11/02/2025 03:00</t>
  </si>
  <si>
    <t>11/02/2025 03:15</t>
  </si>
  <si>
    <t>11/02/2025 03:30</t>
  </si>
  <si>
    <t>11/02/2025 03:45</t>
  </si>
  <si>
    <t>11/02/2025 04:00</t>
  </si>
  <si>
    <t>11/02/2025 04:15</t>
  </si>
  <si>
    <t>11/02/2025 04:30</t>
  </si>
  <si>
    <t>11/02/2025 04:45</t>
  </si>
  <si>
    <t>11/02/2025 05:00</t>
  </si>
  <si>
    <t>11/02/2025 05:15</t>
  </si>
  <si>
    <t>11/02/2025 05:30</t>
  </si>
  <si>
    <t>11/02/2025 05:45</t>
  </si>
  <si>
    <t>11/02/2025 06:00</t>
  </si>
  <si>
    <t>11/02/2025 06:15</t>
  </si>
  <si>
    <t>11/02/2025 06:30</t>
  </si>
  <si>
    <t>11/02/2025 06:45</t>
  </si>
  <si>
    <t>11/02/2025 07:00</t>
  </si>
  <si>
    <t>11/02/2025 07:15</t>
  </si>
  <si>
    <t>11/02/2025 07:30</t>
  </si>
  <si>
    <t>11/02/2025 07:45</t>
  </si>
  <si>
    <t>11/02/2025 08:00</t>
  </si>
  <si>
    <t>11/02/2025 08:15</t>
  </si>
  <si>
    <t>11/02/2025 08:30</t>
  </si>
  <si>
    <t>11/02/2025 08:45</t>
  </si>
  <si>
    <t>11/02/2025 09:00</t>
  </si>
  <si>
    <t>11/02/2025 09:15</t>
  </si>
  <si>
    <t>11/02/2025 09:30</t>
  </si>
  <si>
    <t>11/02/2025 09:45</t>
  </si>
  <si>
    <t>11/02/2025 10:00</t>
  </si>
  <si>
    <t>11/02/2025 10:15</t>
  </si>
  <si>
    <t>11/02/2025 10:30</t>
  </si>
  <si>
    <t>11/02/2025 10:45</t>
  </si>
  <si>
    <t>11/02/2025 11:00</t>
  </si>
  <si>
    <t>11/02/2025 11:15</t>
  </si>
  <si>
    <t>11/02/2025 11:30</t>
  </si>
  <si>
    <t>11/02/2025 11:45</t>
  </si>
  <si>
    <t>11/02/2025 12:00</t>
  </si>
  <si>
    <t>11/02/2025 12:15</t>
  </si>
  <si>
    <t>11/02/2025 12:30</t>
  </si>
  <si>
    <t>11/02/2025 12:45</t>
  </si>
  <si>
    <t>11/02/2025 13:00</t>
  </si>
  <si>
    <t>11/02/2025 13:15</t>
  </si>
  <si>
    <t>11/02/2025 13:30</t>
  </si>
  <si>
    <t>11/02/2025 13:45</t>
  </si>
  <si>
    <t>11/02/2025 14:00</t>
  </si>
  <si>
    <t>11/02/2025 14:15</t>
  </si>
  <si>
    <t>11/02/2025 14:30</t>
  </si>
  <si>
    <t>11/02/2025 14:45</t>
  </si>
  <si>
    <t>11/02/2025 15:00</t>
  </si>
  <si>
    <t>11/02/2025 15:15</t>
  </si>
  <si>
    <t>11/02/2025 15:30</t>
  </si>
  <si>
    <t>11/02/2025 15:45</t>
  </si>
  <si>
    <t>11/02/2025 16:00</t>
  </si>
  <si>
    <t>11/02/2025 16:15</t>
  </si>
  <si>
    <t>11/02/2025 16:30</t>
  </si>
  <si>
    <t>11/02/2025 16:45</t>
  </si>
  <si>
    <t>11/02/2025 17:00</t>
  </si>
  <si>
    <t>11/02/2025 17:15</t>
  </si>
  <si>
    <t>11/02/2025 17:30</t>
  </si>
  <si>
    <t>11/02/2025 17:45</t>
  </si>
  <si>
    <t>11/02/2025 18:00</t>
  </si>
  <si>
    <t>11/02/2025 18:15</t>
  </si>
  <si>
    <t>11/02/2025 18:30</t>
  </si>
  <si>
    <t>11/02/2025 18:45</t>
  </si>
  <si>
    <t>11/02/2025 19:00</t>
  </si>
  <si>
    <t>11/02/2025 19:15</t>
  </si>
  <si>
    <t>11/02/2025 19:30</t>
  </si>
  <si>
    <t>11/02/2025 19:45</t>
  </si>
  <si>
    <t>11/02/2025 20:00</t>
  </si>
  <si>
    <t>11/02/2025 20:15</t>
  </si>
  <si>
    <t>11/02/2025 20:30</t>
  </si>
  <si>
    <t>11/02/2025 20:45</t>
  </si>
  <si>
    <t>11/02/2025 21:00</t>
  </si>
  <si>
    <t>11/02/2025 21:15</t>
  </si>
  <si>
    <t>11/02/2025 21:30</t>
  </si>
  <si>
    <t>11/02/2025 21:45</t>
  </si>
  <si>
    <t>11/02/2025 22:00</t>
  </si>
  <si>
    <t>11/02/2025 22:15</t>
  </si>
  <si>
    <t>11/02/2025 22:30</t>
  </si>
  <si>
    <t>11/02/2025 22:45</t>
  </si>
  <si>
    <t>11/02/2025 23:00</t>
  </si>
  <si>
    <t>11/02/2025 23:15</t>
  </si>
  <si>
    <t>11/02/2025 23:30</t>
  </si>
  <si>
    <t>11/02/2025 23:45</t>
  </si>
  <si>
    <t>11/02/2025 24:00</t>
  </si>
  <si>
    <t>12/02/2025 00:15</t>
  </si>
  <si>
    <t>12/02/2025 00:30</t>
  </si>
  <si>
    <t>12/02/2025 00:45</t>
  </si>
  <si>
    <t>12/02/2025 01:00</t>
  </si>
  <si>
    <t>12/02/2025 01:15</t>
  </si>
  <si>
    <t>12/02/2025 01:30</t>
  </si>
  <si>
    <t>12/02/2025 01:45</t>
  </si>
  <si>
    <t>12/02/2025 02:00</t>
  </si>
  <si>
    <t>12/02/2025 02:15</t>
  </si>
  <si>
    <t>12/02/2025 02:30</t>
  </si>
  <si>
    <t>12/02/2025 02:45</t>
  </si>
  <si>
    <t>12/02/2025 03:00</t>
  </si>
  <si>
    <t>12/02/2025 03:15</t>
  </si>
  <si>
    <t>12/02/2025 03:30</t>
  </si>
  <si>
    <t>12/02/2025 03:45</t>
  </si>
  <si>
    <t>12/02/2025 04:00</t>
  </si>
  <si>
    <t>12/02/2025 04:15</t>
  </si>
  <si>
    <t>12/02/2025 04:30</t>
  </si>
  <si>
    <t>12/02/2025 04:45</t>
  </si>
  <si>
    <t>12/02/2025 05:00</t>
  </si>
  <si>
    <t>12/02/2025 05:15</t>
  </si>
  <si>
    <t>12/02/2025 05:30</t>
  </si>
  <si>
    <t>12/02/2025 05:45</t>
  </si>
  <si>
    <t>12/02/2025 06:00</t>
  </si>
  <si>
    <t>12/02/2025 06:15</t>
  </si>
  <si>
    <t>12/02/2025 06:30</t>
  </si>
  <si>
    <t>12/02/2025 06:45</t>
  </si>
  <si>
    <t>12/02/2025 07:00</t>
  </si>
  <si>
    <t>12/02/2025 07:15</t>
  </si>
  <si>
    <t>12/02/2025 07:30</t>
  </si>
  <si>
    <t>12/02/2025 07:45</t>
  </si>
  <si>
    <t>12/02/2025 08:00</t>
  </si>
  <si>
    <t>12/02/2025 08:15</t>
  </si>
  <si>
    <t>12/02/2025 08:30</t>
  </si>
  <si>
    <t>12/02/2025 08:45</t>
  </si>
  <si>
    <t>12/02/2025 09:00</t>
  </si>
  <si>
    <t>12/02/2025 09:15</t>
  </si>
  <si>
    <t>12/02/2025 09:30</t>
  </si>
  <si>
    <t>12/02/2025 09:45</t>
  </si>
  <si>
    <t>12/02/2025 10:00</t>
  </si>
  <si>
    <t>12/02/2025 10:15</t>
  </si>
  <si>
    <t>12/02/2025 10:30</t>
  </si>
  <si>
    <t>12/02/2025 10:45</t>
  </si>
  <si>
    <t>12/02/2025 11:00</t>
  </si>
  <si>
    <t>12/02/2025 11:15</t>
  </si>
  <si>
    <t>12/02/2025 11:30</t>
  </si>
  <si>
    <t>12/02/2025 11:45</t>
  </si>
  <si>
    <t>12/02/2025 12:00</t>
  </si>
  <si>
    <t>12/02/2025 12:15</t>
  </si>
  <si>
    <t>12/02/2025 12:30</t>
  </si>
  <si>
    <t>12/02/2025 12:45</t>
  </si>
  <si>
    <t>12/02/2025 13:00</t>
  </si>
  <si>
    <t>12/02/2025 13:15</t>
  </si>
  <si>
    <t>12/02/2025 13:30</t>
  </si>
  <si>
    <t>12/02/2025 13:45</t>
  </si>
  <si>
    <t>12/02/2025 14:00</t>
  </si>
  <si>
    <t>12/02/2025 14:15</t>
  </si>
  <si>
    <t>12/02/2025 14:30</t>
  </si>
  <si>
    <t>12/02/2025 14:45</t>
  </si>
  <si>
    <t>12/02/2025 15:00</t>
  </si>
  <si>
    <t>12/02/2025 15:15</t>
  </si>
  <si>
    <t>12/02/2025 15:30</t>
  </si>
  <si>
    <t>12/02/2025 15:45</t>
  </si>
  <si>
    <t>12/02/2025 16:00</t>
  </si>
  <si>
    <t>12/02/2025 16:15</t>
  </si>
  <si>
    <t>12/02/2025 16:30</t>
  </si>
  <si>
    <t>12/02/2025 16:45</t>
  </si>
  <si>
    <t>12/02/2025 17:00</t>
  </si>
  <si>
    <t>12/02/2025 17:15</t>
  </si>
  <si>
    <t>12/02/2025 17:30</t>
  </si>
  <si>
    <t>12/02/2025 17:45</t>
  </si>
  <si>
    <t>12/02/2025 18:00</t>
  </si>
  <si>
    <t>12/02/2025 18:15</t>
  </si>
  <si>
    <t>12/02/2025 18:30</t>
  </si>
  <si>
    <t>12/02/2025 18:45</t>
  </si>
  <si>
    <t>12/02/2025 19:00</t>
  </si>
  <si>
    <t>12/02/2025 19:15</t>
  </si>
  <si>
    <t>12/02/2025 19:30</t>
  </si>
  <si>
    <t>12/02/2025 19:45</t>
  </si>
  <si>
    <t>12/02/2025 20:00</t>
  </si>
  <si>
    <t>12/02/2025 20:15</t>
  </si>
  <si>
    <t>12/02/2025 20:30</t>
  </si>
  <si>
    <t>12/02/2025 20:45</t>
  </si>
  <si>
    <t>12/02/2025 21:00</t>
  </si>
  <si>
    <t>12/02/2025 21:15</t>
  </si>
  <si>
    <t>12/02/2025 21:30</t>
  </si>
  <si>
    <t>12/02/2025 21:45</t>
  </si>
  <si>
    <t>12/02/2025 22:00</t>
  </si>
  <si>
    <t>12/02/2025 22:15</t>
  </si>
  <si>
    <t>12/02/2025 22:30</t>
  </si>
  <si>
    <t>12/02/2025 22:45</t>
  </si>
  <si>
    <t>12/02/2025 23:00</t>
  </si>
  <si>
    <t>12/02/2025 23:15</t>
  </si>
  <si>
    <t>12/02/2025 23:30</t>
  </si>
  <si>
    <t>12/02/2025 23:45</t>
  </si>
  <si>
    <t>12/02/2025 24:00</t>
  </si>
  <si>
    <t>13/02/2025 00:15</t>
  </si>
  <si>
    <t>13/02/2025 00:30</t>
  </si>
  <si>
    <t>13/02/2025 00:45</t>
  </si>
  <si>
    <t>13/02/2025 01:00</t>
  </si>
  <si>
    <t>13/02/2025 01:15</t>
  </si>
  <si>
    <t>13/02/2025 01:30</t>
  </si>
  <si>
    <t>13/02/2025 01:45</t>
  </si>
  <si>
    <t>13/02/2025 02:00</t>
  </si>
  <si>
    <t>13/02/2025 02:15</t>
  </si>
  <si>
    <t>13/02/2025 02:30</t>
  </si>
  <si>
    <t>13/02/2025 02:45</t>
  </si>
  <si>
    <t>13/02/2025 03:00</t>
  </si>
  <si>
    <t>13/02/2025 03:15</t>
  </si>
  <si>
    <t>13/02/2025 03:30</t>
  </si>
  <si>
    <t>13/02/2025 03:45</t>
  </si>
  <si>
    <t>13/02/2025 04:00</t>
  </si>
  <si>
    <t>13/02/2025 04:15</t>
  </si>
  <si>
    <t>13/02/2025 04:30</t>
  </si>
  <si>
    <t>13/02/2025 04:45</t>
  </si>
  <si>
    <t>13/02/2025 05:00</t>
  </si>
  <si>
    <t>13/02/2025 05:15</t>
  </si>
  <si>
    <t>13/02/2025 05:30</t>
  </si>
  <si>
    <t>13/02/2025 05:45</t>
  </si>
  <si>
    <t>13/02/2025 06:00</t>
  </si>
  <si>
    <t>13/02/2025 06:15</t>
  </si>
  <si>
    <t>13/02/2025 06:30</t>
  </si>
  <si>
    <t>13/02/2025 06:45</t>
  </si>
  <si>
    <t>13/02/2025 07:00</t>
  </si>
  <si>
    <t>13/02/2025 07:15</t>
  </si>
  <si>
    <t>13/02/2025 07:30</t>
  </si>
  <si>
    <t>13/02/2025 07:45</t>
  </si>
  <si>
    <t>13/02/2025 08:00</t>
  </si>
  <si>
    <t>13/02/2025 08:15</t>
  </si>
  <si>
    <t>13/02/2025 08:30</t>
  </si>
  <si>
    <t>13/02/2025 08:45</t>
  </si>
  <si>
    <t>13/02/2025 09:00</t>
  </si>
  <si>
    <t>13/02/2025 09:15</t>
  </si>
  <si>
    <t>13/02/2025 09:30</t>
  </si>
  <si>
    <t>13/02/2025 09:45</t>
  </si>
  <si>
    <t>13/02/2025 10:00</t>
  </si>
  <si>
    <t>13/02/2025 10:15</t>
  </si>
  <si>
    <t>13/02/2025 10:30</t>
  </si>
  <si>
    <t>13/02/2025 10:45</t>
  </si>
  <si>
    <t>13/02/2025 11:00</t>
  </si>
  <si>
    <t>13/02/2025 11:15</t>
  </si>
  <si>
    <t>13/02/2025 11:30</t>
  </si>
  <si>
    <t>13/02/2025 11:45</t>
  </si>
  <si>
    <t>13/02/2025 12:00</t>
  </si>
  <si>
    <t>13/02/2025 12:15</t>
  </si>
  <si>
    <t>13/02/2025 12:30</t>
  </si>
  <si>
    <t>13/02/2025 12:45</t>
  </si>
  <si>
    <t>13/02/2025 13:00</t>
  </si>
  <si>
    <t>13/02/2025 13:15</t>
  </si>
  <si>
    <t>13/02/2025 13:30</t>
  </si>
  <si>
    <t>13/02/2025 13:45</t>
  </si>
  <si>
    <t>13/02/2025 14:00</t>
  </si>
  <si>
    <t>13/02/2025 14:15</t>
  </si>
  <si>
    <t>13/02/2025 14:30</t>
  </si>
  <si>
    <t>13/02/2025 14:45</t>
  </si>
  <si>
    <t>13/02/2025 15:00</t>
  </si>
  <si>
    <t>13/02/2025 15:15</t>
  </si>
  <si>
    <t>13/02/2025 15:30</t>
  </si>
  <si>
    <t>13/02/2025 15:45</t>
  </si>
  <si>
    <t>13/02/2025 16:00</t>
  </si>
  <si>
    <t>13/02/2025 16:15</t>
  </si>
  <si>
    <t>13/02/2025 16:30</t>
  </si>
  <si>
    <t>13/02/2025 16:45</t>
  </si>
  <si>
    <t>13/02/2025 17:00</t>
  </si>
  <si>
    <t>13/02/2025 17:15</t>
  </si>
  <si>
    <t>13/02/2025 17:30</t>
  </si>
  <si>
    <t>13/02/2025 17:45</t>
  </si>
  <si>
    <t>13/02/2025 18:00</t>
  </si>
  <si>
    <t>13/02/2025 18:15</t>
  </si>
  <si>
    <t>13/02/2025 18:30</t>
  </si>
  <si>
    <t>13/02/2025 18:45</t>
  </si>
  <si>
    <t>13/02/2025 19:00</t>
  </si>
  <si>
    <t>13/02/2025 19:15</t>
  </si>
  <si>
    <t>13/02/2025 19:30</t>
  </si>
  <si>
    <t>13/02/2025 19:45</t>
  </si>
  <si>
    <t>13/02/2025 20:00</t>
  </si>
  <si>
    <t>13/02/2025 20:15</t>
  </si>
  <si>
    <t>13/02/2025 20:30</t>
  </si>
  <si>
    <t>13/02/2025 20:45</t>
  </si>
  <si>
    <t>13/02/2025 21:00</t>
  </si>
  <si>
    <t>13/02/2025 21:15</t>
  </si>
  <si>
    <t>13/02/2025 21:30</t>
  </si>
  <si>
    <t>13/02/2025 21:45</t>
  </si>
  <si>
    <t>13/02/2025 22:00</t>
  </si>
  <si>
    <t>13/02/2025 22:15</t>
  </si>
  <si>
    <t>13/02/2025 22:30</t>
  </si>
  <si>
    <t>13/02/2025 22:45</t>
  </si>
  <si>
    <t>13/02/2025 23:00</t>
  </si>
  <si>
    <t>13/02/2025 23:15</t>
  </si>
  <si>
    <t>13/02/2025 23:30</t>
  </si>
  <si>
    <t>13/02/2025 23:45</t>
  </si>
  <si>
    <t>13/02/2025 24:00</t>
  </si>
  <si>
    <t>14/02/2025 00:15</t>
  </si>
  <si>
    <t>14/02/2025 00:30</t>
  </si>
  <si>
    <t>14/02/2025 00:45</t>
  </si>
  <si>
    <t>14/02/2025 01:00</t>
  </si>
  <si>
    <t>14/02/2025 01:15</t>
  </si>
  <si>
    <t>14/02/2025 01:30</t>
  </si>
  <si>
    <t>14/02/2025 01:45</t>
  </si>
  <si>
    <t>14/02/2025 02:00</t>
  </si>
  <si>
    <t>14/02/2025 02:15</t>
  </si>
  <si>
    <t>14/02/2025 02:30</t>
  </si>
  <si>
    <t>14/02/2025 02:45</t>
  </si>
  <si>
    <t>14/02/2025 03:00</t>
  </si>
  <si>
    <t>14/02/2025 03:15</t>
  </si>
  <si>
    <t>14/02/2025 03:30</t>
  </si>
  <si>
    <t>14/02/2025 03:45</t>
  </si>
  <si>
    <t>14/02/2025 04:00</t>
  </si>
  <si>
    <t>14/02/2025 04:15</t>
  </si>
  <si>
    <t>14/02/2025 04:30</t>
  </si>
  <si>
    <t>14/02/2025 04:45</t>
  </si>
  <si>
    <t>14/02/2025 05:00</t>
  </si>
  <si>
    <t>14/02/2025 05:15</t>
  </si>
  <si>
    <t>14/02/2025 05:30</t>
  </si>
  <si>
    <t>14/02/2025 05:45</t>
  </si>
  <si>
    <t>14/02/2025 06:00</t>
  </si>
  <si>
    <t>14/02/2025 06:15</t>
  </si>
  <si>
    <t>14/02/2025 06:30</t>
  </si>
  <si>
    <t>14/02/2025 06:45</t>
  </si>
  <si>
    <t>14/02/2025 07:00</t>
  </si>
  <si>
    <t>14/02/2025 07:15</t>
  </si>
  <si>
    <t>14/02/2025 07:30</t>
  </si>
  <si>
    <t>14/02/2025 07:45</t>
  </si>
  <si>
    <t>14/02/2025 08:00</t>
  </si>
  <si>
    <t>14/02/2025 08:15</t>
  </si>
  <si>
    <t>14/02/2025 08:30</t>
  </si>
  <si>
    <t>14/02/2025 08:45</t>
  </si>
  <si>
    <t>14/02/2025 09:00</t>
  </si>
  <si>
    <t>14/02/2025 09:15</t>
  </si>
  <si>
    <t>14/02/2025 09:30</t>
  </si>
  <si>
    <t>14/02/2025 09:45</t>
  </si>
  <si>
    <t>14/02/2025 10:00</t>
  </si>
  <si>
    <t>14/02/2025 10:15</t>
  </si>
  <si>
    <t>14/02/2025 10:30</t>
  </si>
  <si>
    <t>14/02/2025 10:45</t>
  </si>
  <si>
    <t>14/02/2025 11:00</t>
  </si>
  <si>
    <t>14/02/2025 11:15</t>
  </si>
  <si>
    <t>14/02/2025 11:30</t>
  </si>
  <si>
    <t>14/02/2025 11:45</t>
  </si>
  <si>
    <t>14/02/2025 12:00</t>
  </si>
  <si>
    <t>14/02/2025 12:15</t>
  </si>
  <si>
    <t>14/02/2025 12:30</t>
  </si>
  <si>
    <t>14/02/2025 12:45</t>
  </si>
  <si>
    <t>14/02/2025 13:00</t>
  </si>
  <si>
    <t>14/02/2025 13:15</t>
  </si>
  <si>
    <t>14/02/2025 13:30</t>
  </si>
  <si>
    <t>14/02/2025 13:45</t>
  </si>
  <si>
    <t>14/02/2025 14:00</t>
  </si>
  <si>
    <t>14/02/2025 14:15</t>
  </si>
  <si>
    <t>14/02/2025 14:30</t>
  </si>
  <si>
    <t>14/02/2025 14:45</t>
  </si>
  <si>
    <t>14/02/2025 15:00</t>
  </si>
  <si>
    <t>14/02/2025 15:15</t>
  </si>
  <si>
    <t>14/02/2025 15:30</t>
  </si>
  <si>
    <t>14/02/2025 15:45</t>
  </si>
  <si>
    <t>14/02/2025 16:00</t>
  </si>
  <si>
    <t>14/02/2025 16:15</t>
  </si>
  <si>
    <t>14/02/2025 16:30</t>
  </si>
  <si>
    <t>14/02/2025 16:45</t>
  </si>
  <si>
    <t>14/02/2025 17:00</t>
  </si>
  <si>
    <t>14/02/2025 17:15</t>
  </si>
  <si>
    <t>14/02/2025 17:30</t>
  </si>
  <si>
    <t>14/02/2025 17:45</t>
  </si>
  <si>
    <t>14/02/2025 18:00</t>
  </si>
  <si>
    <t>14/02/2025 18:15</t>
  </si>
  <si>
    <t>14/02/2025 18:30</t>
  </si>
  <si>
    <t>14/02/2025 18:45</t>
  </si>
  <si>
    <t>14/02/2025 19:00</t>
  </si>
  <si>
    <t>14/02/2025 19:15</t>
  </si>
  <si>
    <t>14/02/2025 19:30</t>
  </si>
  <si>
    <t>14/02/2025 19:45</t>
  </si>
  <si>
    <t>14/02/2025 20:00</t>
  </si>
  <si>
    <t>14/02/2025 20:15</t>
  </si>
  <si>
    <t>14/02/2025 20:30</t>
  </si>
  <si>
    <t>14/02/2025 20:45</t>
  </si>
  <si>
    <t>14/02/2025 21:00</t>
  </si>
  <si>
    <t>14/02/2025 21:15</t>
  </si>
  <si>
    <t>14/02/2025 21:30</t>
  </si>
  <si>
    <t>14/02/2025 21:45</t>
  </si>
  <si>
    <t>14/02/2025 22:00</t>
  </si>
  <si>
    <t>14/02/2025 22:15</t>
  </si>
  <si>
    <t>14/02/2025 22:30</t>
  </si>
  <si>
    <t>14/02/2025 22:45</t>
  </si>
  <si>
    <t>14/02/2025 23:00</t>
  </si>
  <si>
    <t>14/02/2025 23:15</t>
  </si>
  <si>
    <t>14/02/2025 23:30</t>
  </si>
  <si>
    <t>14/02/2025 23:45</t>
  </si>
  <si>
    <t>14/02/2025 24:00</t>
  </si>
  <si>
    <t>15/02/2025 00:15</t>
  </si>
  <si>
    <t>15/02/2025 00:30</t>
  </si>
  <si>
    <t>15/02/2025 00:45</t>
  </si>
  <si>
    <t>15/02/2025 01:00</t>
  </si>
  <si>
    <t>15/02/2025 01:15</t>
  </si>
  <si>
    <t>15/02/2025 01:30</t>
  </si>
  <si>
    <t>15/02/2025 01:45</t>
  </si>
  <si>
    <t>15/02/2025 02:00</t>
  </si>
  <si>
    <t>15/02/2025 02:15</t>
  </si>
  <si>
    <t>15/02/2025 02:30</t>
  </si>
  <si>
    <t>15/02/2025 02:45</t>
  </si>
  <si>
    <t>15/02/2025 03:00</t>
  </si>
  <si>
    <t>15/02/2025 03:15</t>
  </si>
  <si>
    <t>15/02/2025 03:30</t>
  </si>
  <si>
    <t>15/02/2025 03:45</t>
  </si>
  <si>
    <t>15/02/2025 04:00</t>
  </si>
  <si>
    <t>15/02/2025 04:15</t>
  </si>
  <si>
    <t>15/02/2025 04:30</t>
  </si>
  <si>
    <t>15/02/2025 04:45</t>
  </si>
  <si>
    <t>15/02/2025 05:00</t>
  </si>
  <si>
    <t>15/02/2025 05:15</t>
  </si>
  <si>
    <t>15/02/2025 05:30</t>
  </si>
  <si>
    <t>15/02/2025 05:45</t>
  </si>
  <si>
    <t>15/02/2025 06:00</t>
  </si>
  <si>
    <t>15/02/2025 06:15</t>
  </si>
  <si>
    <t>15/02/2025 06:30</t>
  </si>
  <si>
    <t>15/02/2025 06:45</t>
  </si>
  <si>
    <t>15/02/2025 07:00</t>
  </si>
  <si>
    <t>15/02/2025 07:15</t>
  </si>
  <si>
    <t>15/02/2025 07:30</t>
  </si>
  <si>
    <t>15/02/2025 07:45</t>
  </si>
  <si>
    <t>15/02/2025 08:00</t>
  </si>
  <si>
    <t>15/02/2025 08:15</t>
  </si>
  <si>
    <t>15/02/2025 08:30</t>
  </si>
  <si>
    <t>15/02/2025 08:45</t>
  </si>
  <si>
    <t>15/02/2025 09:00</t>
  </si>
  <si>
    <t>15/02/2025 09:15</t>
  </si>
  <si>
    <t>15/02/2025 09:30</t>
  </si>
  <si>
    <t>15/02/2025 09:45</t>
  </si>
  <si>
    <t>15/02/2025 10:00</t>
  </si>
  <si>
    <t>15/02/2025 10:15</t>
  </si>
  <si>
    <t>15/02/2025 10:30</t>
  </si>
  <si>
    <t>15/02/2025 10:45</t>
  </si>
  <si>
    <t>15/02/2025 11:00</t>
  </si>
  <si>
    <t>15/02/2025 11:15</t>
  </si>
  <si>
    <t>15/02/2025 11:30</t>
  </si>
  <si>
    <t>15/02/2025 11:45</t>
  </si>
  <si>
    <t>15/02/2025 12:00</t>
  </si>
  <si>
    <t>15/02/2025 12:15</t>
  </si>
  <si>
    <t>15/02/2025 12:30</t>
  </si>
  <si>
    <t>15/02/2025 12:45</t>
  </si>
  <si>
    <t>15/02/2025 13:00</t>
  </si>
  <si>
    <t>15/02/2025 13:15</t>
  </si>
  <si>
    <t>15/02/2025 13:30</t>
  </si>
  <si>
    <t>15/02/2025 13:45</t>
  </si>
  <si>
    <t>15/02/2025 14:00</t>
  </si>
  <si>
    <t>15/02/2025 14:15</t>
  </si>
  <si>
    <t>15/02/2025 14:30</t>
  </si>
  <si>
    <t>15/02/2025 14:45</t>
  </si>
  <si>
    <t>15/02/2025 15:00</t>
  </si>
  <si>
    <t>15/02/2025 15:15</t>
  </si>
  <si>
    <t>15/02/2025 15:30</t>
  </si>
  <si>
    <t>15/02/2025 15:45</t>
  </si>
  <si>
    <t>15/02/2025 16:00</t>
  </si>
  <si>
    <t>15/02/2025 16:15</t>
  </si>
  <si>
    <t>15/02/2025 16:30</t>
  </si>
  <si>
    <t>15/02/2025 16:45</t>
  </si>
  <si>
    <t>15/02/2025 17:00</t>
  </si>
  <si>
    <t>15/02/2025 17:15</t>
  </si>
  <si>
    <t>15/02/2025 17:30</t>
  </si>
  <si>
    <t>15/02/2025 17:45</t>
  </si>
  <si>
    <t>15/02/2025 18:00</t>
  </si>
  <si>
    <t>15/02/2025 18:15</t>
  </si>
  <si>
    <t>15/02/2025 18:30</t>
  </si>
  <si>
    <t>15/02/2025 18:45</t>
  </si>
  <si>
    <t>15/02/2025 19:00</t>
  </si>
  <si>
    <t>15/02/2025 19:15</t>
  </si>
  <si>
    <t>15/02/2025 19:30</t>
  </si>
  <si>
    <t>15/02/2025 19:45</t>
  </si>
  <si>
    <t>15/02/2025 20:00</t>
  </si>
  <si>
    <t>15/02/2025 20:15</t>
  </si>
  <si>
    <t>15/02/2025 20:30</t>
  </si>
  <si>
    <t>15/02/2025 20:45</t>
  </si>
  <si>
    <t>15/02/2025 21:00</t>
  </si>
  <si>
    <t>15/02/2025 21:15</t>
  </si>
  <si>
    <t>15/02/2025 21:30</t>
  </si>
  <si>
    <t>15/02/2025 21:45</t>
  </si>
  <si>
    <t>15/02/2025 22:00</t>
  </si>
  <si>
    <t>15/02/2025 22:15</t>
  </si>
  <si>
    <t>15/02/2025 22:30</t>
  </si>
  <si>
    <t>15/02/2025 22:45</t>
  </si>
  <si>
    <t>15/02/2025 23:00</t>
  </si>
  <si>
    <t>15/02/2025 23:15</t>
  </si>
  <si>
    <t>15/02/2025 23:30</t>
  </si>
  <si>
    <t>15/02/2025 23:45</t>
  </si>
  <si>
    <t>15/02/2025 24:00</t>
  </si>
  <si>
    <t>16/02/2025 00:15</t>
  </si>
  <si>
    <t>16/02/2025 00:30</t>
  </si>
  <si>
    <t>16/02/2025 00:45</t>
  </si>
  <si>
    <t>16/02/2025 01:00</t>
  </si>
  <si>
    <t>16/02/2025 01:15</t>
  </si>
  <si>
    <t>16/02/2025 01:30</t>
  </si>
  <si>
    <t>16/02/2025 01:45</t>
  </si>
  <si>
    <t>16/02/2025 02:00</t>
  </si>
  <si>
    <t>16/02/2025 02:15</t>
  </si>
  <si>
    <t>16/02/2025 02:30</t>
  </si>
  <si>
    <t>16/02/2025 02:45</t>
  </si>
  <si>
    <t>16/02/2025 03:00</t>
  </si>
  <si>
    <t>16/02/2025 03:15</t>
  </si>
  <si>
    <t>16/02/2025 03:30</t>
  </si>
  <si>
    <t>16/02/2025 03:45</t>
  </si>
  <si>
    <t>16/02/2025 04:00</t>
  </si>
  <si>
    <t>16/02/2025 04:15</t>
  </si>
  <si>
    <t>16/02/2025 04:30</t>
  </si>
  <si>
    <t>16/02/2025 04:45</t>
  </si>
  <si>
    <t>16/02/2025 05:00</t>
  </si>
  <si>
    <t>16/02/2025 05:15</t>
  </si>
  <si>
    <t>16/02/2025 05:30</t>
  </si>
  <si>
    <t>16/02/2025 05:45</t>
  </si>
  <si>
    <t>16/02/2025 06:00</t>
  </si>
  <si>
    <t>16/02/2025 06:15</t>
  </si>
  <si>
    <t>16/02/2025 06:30</t>
  </si>
  <si>
    <t>16/02/2025 06:45</t>
  </si>
  <si>
    <t>16/02/2025 07:00</t>
  </si>
  <si>
    <t>16/02/2025 07:15</t>
  </si>
  <si>
    <t>16/02/2025 07:30</t>
  </si>
  <si>
    <t>16/02/2025 07:45</t>
  </si>
  <si>
    <t>16/02/2025 08:00</t>
  </si>
  <si>
    <t>16/02/2025 08:15</t>
  </si>
  <si>
    <t>16/02/2025 08:30</t>
  </si>
  <si>
    <t>16/02/2025 08:45</t>
  </si>
  <si>
    <t>16/02/2025 09:00</t>
  </si>
  <si>
    <t>16/02/2025 09:15</t>
  </si>
  <si>
    <t>16/02/2025 09:30</t>
  </si>
  <si>
    <t>16/02/2025 09:45</t>
  </si>
  <si>
    <t>16/02/2025 10:00</t>
  </si>
  <si>
    <t>16/02/2025 10:15</t>
  </si>
  <si>
    <t>16/02/2025 10:30</t>
  </si>
  <si>
    <t>16/02/2025 10:45</t>
  </si>
  <si>
    <t>16/02/2025 11:00</t>
  </si>
  <si>
    <t>16/02/2025 11:15</t>
  </si>
  <si>
    <t>16/02/2025 11:30</t>
  </si>
  <si>
    <t>16/02/2025 11:45</t>
  </si>
  <si>
    <t>16/02/2025 12:00</t>
  </si>
  <si>
    <t>16/02/2025 12:15</t>
  </si>
  <si>
    <t>16/02/2025 12:30</t>
  </si>
  <si>
    <t>16/02/2025 12:45</t>
  </si>
  <si>
    <t>16/02/2025 13:00</t>
  </si>
  <si>
    <t>16/02/2025 13:15</t>
  </si>
  <si>
    <t>16/02/2025 13:30</t>
  </si>
  <si>
    <t>16/02/2025 13:45</t>
  </si>
  <si>
    <t>16/02/2025 14:00</t>
  </si>
  <si>
    <t>16/02/2025 14:15</t>
  </si>
  <si>
    <t>16/02/2025 14:30</t>
  </si>
  <si>
    <t>16/02/2025 14:45</t>
  </si>
  <si>
    <t>16/02/2025 15:00</t>
  </si>
  <si>
    <t>16/02/2025 15:15</t>
  </si>
  <si>
    <t>16/02/2025 15:30</t>
  </si>
  <si>
    <t>16/02/2025 15:45</t>
  </si>
  <si>
    <t>16/02/2025 16:00</t>
  </si>
  <si>
    <t>16/02/2025 16:15</t>
  </si>
  <si>
    <t>16/02/2025 16:30</t>
  </si>
  <si>
    <t>16/02/2025 16:45</t>
  </si>
  <si>
    <t>16/02/2025 17:00</t>
  </si>
  <si>
    <t>16/02/2025 17:15</t>
  </si>
  <si>
    <t>16/02/2025 17:30</t>
  </si>
  <si>
    <t>16/02/2025 17:45</t>
  </si>
  <si>
    <t>16/02/2025 18:00</t>
  </si>
  <si>
    <t>16/02/2025 18:15</t>
  </si>
  <si>
    <t>16/02/2025 18:30</t>
  </si>
  <si>
    <t>16/02/2025 18:45</t>
  </si>
  <si>
    <t>16/02/2025 19:00</t>
  </si>
  <si>
    <t>16/02/2025 19:15</t>
  </si>
  <si>
    <t>16/02/2025 19:30</t>
  </si>
  <si>
    <t>16/02/2025 19:45</t>
  </si>
  <si>
    <t>16/02/2025 20:00</t>
  </si>
  <si>
    <t>16/02/2025 20:15</t>
  </si>
  <si>
    <t>16/02/2025 20:30</t>
  </si>
  <si>
    <t>16/02/2025 20:45</t>
  </si>
  <si>
    <t>16/02/2025 21:00</t>
  </si>
  <si>
    <t>16/02/2025 21:15</t>
  </si>
  <si>
    <t>16/02/2025 21:30</t>
  </si>
  <si>
    <t>16/02/2025 21:45</t>
  </si>
  <si>
    <t>16/02/2025 22:00</t>
  </si>
  <si>
    <t>16/02/2025 22:15</t>
  </si>
  <si>
    <t>16/02/2025 22:30</t>
  </si>
  <si>
    <t>16/02/2025 22:45</t>
  </si>
  <si>
    <t>16/02/2025 23:00</t>
  </si>
  <si>
    <t>16/02/2025 23:15</t>
  </si>
  <si>
    <t>16/02/2025 23:30</t>
  </si>
  <si>
    <t>16/02/2025 23:45</t>
  </si>
  <si>
    <t>16/02/2025 24:00</t>
  </si>
  <si>
    <t>17/02/2025 00:15</t>
  </si>
  <si>
    <t>17/02/2025 00:30</t>
  </si>
  <si>
    <t>17/02/2025 00:45</t>
  </si>
  <si>
    <t>17/02/2025 01:00</t>
  </si>
  <si>
    <t>17/02/2025 01:15</t>
  </si>
  <si>
    <t>17/02/2025 01:30</t>
  </si>
  <si>
    <t>17/02/2025 01:45</t>
  </si>
  <si>
    <t>17/02/2025 02:00</t>
  </si>
  <si>
    <t>17/02/2025 02:15</t>
  </si>
  <si>
    <t>17/02/2025 02:30</t>
  </si>
  <si>
    <t>17/02/2025 02:45</t>
  </si>
  <si>
    <t>17/02/2025 03:00</t>
  </si>
  <si>
    <t>17/02/2025 03:15</t>
  </si>
  <si>
    <t>17/02/2025 03:30</t>
  </si>
  <si>
    <t>17/02/2025 03:45</t>
  </si>
  <si>
    <t>17/02/2025 04:00</t>
  </si>
  <si>
    <t>17/02/2025 04:15</t>
  </si>
  <si>
    <t>17/02/2025 04:30</t>
  </si>
  <si>
    <t>17/02/2025 04:45</t>
  </si>
  <si>
    <t>17/02/2025 05:00</t>
  </si>
  <si>
    <t>17/02/2025 05:15</t>
  </si>
  <si>
    <t>17/02/2025 05:30</t>
  </si>
  <si>
    <t>17/02/2025 05:45</t>
  </si>
  <si>
    <t>17/02/2025 06:00</t>
  </si>
  <si>
    <t>17/02/2025 06:15</t>
  </si>
  <si>
    <t>17/02/2025 06:30</t>
  </si>
  <si>
    <t>17/02/2025 06:45</t>
  </si>
  <si>
    <t>17/02/2025 07:00</t>
  </si>
  <si>
    <t>17/02/2025 07:15</t>
  </si>
  <si>
    <t>17/02/2025 07:30</t>
  </si>
  <si>
    <t>17/02/2025 07:45</t>
  </si>
  <si>
    <t>17/02/2025 08:00</t>
  </si>
  <si>
    <t>17/02/2025 08:15</t>
  </si>
  <si>
    <t>17/02/2025 08:30</t>
  </si>
  <si>
    <t>17/02/2025 08:45</t>
  </si>
  <si>
    <t>17/02/2025 09:00</t>
  </si>
  <si>
    <t>17/02/2025 09:15</t>
  </si>
  <si>
    <t>17/02/2025 09:30</t>
  </si>
  <si>
    <t>17/02/2025 09:45</t>
  </si>
  <si>
    <t>17/02/2025 10:00</t>
  </si>
  <si>
    <t>17/02/2025 10:15</t>
  </si>
  <si>
    <t>17/02/2025 10:30</t>
  </si>
  <si>
    <t>17/02/2025 10:45</t>
  </si>
  <si>
    <t>17/02/2025 11:00</t>
  </si>
  <si>
    <t>17/02/2025 11:15</t>
  </si>
  <si>
    <t>17/02/2025 11:30</t>
  </si>
  <si>
    <t>17/02/2025 11:45</t>
  </si>
  <si>
    <t>17/02/2025 12:00</t>
  </si>
  <si>
    <t>17/02/2025 12:15</t>
  </si>
  <si>
    <t>17/02/2025 12:30</t>
  </si>
  <si>
    <t>17/02/2025 12:45</t>
  </si>
  <si>
    <t>17/02/2025 13:00</t>
  </si>
  <si>
    <t>17/02/2025 13:15</t>
  </si>
  <si>
    <t>17/02/2025 13:30</t>
  </si>
  <si>
    <t>17/02/2025 13:45</t>
  </si>
  <si>
    <t>17/02/2025 14:00</t>
  </si>
  <si>
    <t>17/02/2025 14:15</t>
  </si>
  <si>
    <t>17/02/2025 14:30</t>
  </si>
  <si>
    <t>17/02/2025 14:45</t>
  </si>
  <si>
    <t>17/02/2025 15:00</t>
  </si>
  <si>
    <t>17/02/2025 15:15</t>
  </si>
  <si>
    <t>17/02/2025 15:30</t>
  </si>
  <si>
    <t>17/02/2025 15:45</t>
  </si>
  <si>
    <t>17/02/2025 16:00</t>
  </si>
  <si>
    <t>17/02/2025 16:15</t>
  </si>
  <si>
    <t>17/02/2025 16:30</t>
  </si>
  <si>
    <t>17/02/2025 16:45</t>
  </si>
  <si>
    <t>17/02/2025 17:00</t>
  </si>
  <si>
    <t>17/02/2025 17:15</t>
  </si>
  <si>
    <t>17/02/2025 17:30</t>
  </si>
  <si>
    <t>17/02/2025 17:45</t>
  </si>
  <si>
    <t>17/02/2025 18:00</t>
  </si>
  <si>
    <t>17/02/2025 18:15</t>
  </si>
  <si>
    <t>17/02/2025 18:30</t>
  </si>
  <si>
    <t>17/02/2025 18:45</t>
  </si>
  <si>
    <t>17/02/2025 19:00</t>
  </si>
  <si>
    <t>17/02/2025 19:15</t>
  </si>
  <si>
    <t>17/02/2025 19:30</t>
  </si>
  <si>
    <t>17/02/2025 19:45</t>
  </si>
  <si>
    <t>17/02/2025 20:00</t>
  </si>
  <si>
    <t>17/02/2025 20:15</t>
  </si>
  <si>
    <t>17/02/2025 20:30</t>
  </si>
  <si>
    <t>17/02/2025 20:45</t>
  </si>
  <si>
    <t>17/02/2025 21:00</t>
  </si>
  <si>
    <t>17/02/2025 21:15</t>
  </si>
  <si>
    <t>17/02/2025 21:30</t>
  </si>
  <si>
    <t>17/02/2025 21:45</t>
  </si>
  <si>
    <t>17/02/2025 22:00</t>
  </si>
  <si>
    <t>17/02/2025 22:15</t>
  </si>
  <si>
    <t>17/02/2025 22:30</t>
  </si>
  <si>
    <t>17/02/2025 22:45</t>
  </si>
  <si>
    <t>17/02/2025 23:00</t>
  </si>
  <si>
    <t>17/02/2025 23:15</t>
  </si>
  <si>
    <t>17/02/2025 23:30</t>
  </si>
  <si>
    <t>17/02/2025 23:45</t>
  </si>
  <si>
    <t>17/02/2025 24:00</t>
  </si>
  <si>
    <t>18/02/2025 00:15</t>
  </si>
  <si>
    <t>18/02/2025 00:30</t>
  </si>
  <si>
    <t>18/02/2025 00:45</t>
  </si>
  <si>
    <t>18/02/2025 01:00</t>
  </si>
  <si>
    <t>18/02/2025 01:15</t>
  </si>
  <si>
    <t>18/02/2025 01:30</t>
  </si>
  <si>
    <t>18/02/2025 01:45</t>
  </si>
  <si>
    <t>18/02/2025 02:00</t>
  </si>
  <si>
    <t>18/02/2025 02:15</t>
  </si>
  <si>
    <t>18/02/2025 02:30</t>
  </si>
  <si>
    <t>18/02/2025 02:45</t>
  </si>
  <si>
    <t>18/02/2025 03:00</t>
  </si>
  <si>
    <t>18/02/2025 03:15</t>
  </si>
  <si>
    <t>18/02/2025 03:30</t>
  </si>
  <si>
    <t>18/02/2025 03:45</t>
  </si>
  <si>
    <t>18/02/2025 04:00</t>
  </si>
  <si>
    <t>18/02/2025 04:15</t>
  </si>
  <si>
    <t>18/02/2025 04:30</t>
  </si>
  <si>
    <t>18/02/2025 04:45</t>
  </si>
  <si>
    <t>18/02/2025 05:00</t>
  </si>
  <si>
    <t>18/02/2025 05:15</t>
  </si>
  <si>
    <t>18/02/2025 05:30</t>
  </si>
  <si>
    <t>18/02/2025 05:45</t>
  </si>
  <si>
    <t>18/02/2025 06:00</t>
  </si>
  <si>
    <t>18/02/2025 06:15</t>
  </si>
  <si>
    <t>18/02/2025 06:30</t>
  </si>
  <si>
    <t>18/02/2025 06:45</t>
  </si>
  <si>
    <t>18/02/2025 07:00</t>
  </si>
  <si>
    <t>18/02/2025 07:15</t>
  </si>
  <si>
    <t>18/02/2025 07:30</t>
  </si>
  <si>
    <t>18/02/2025 07:45</t>
  </si>
  <si>
    <t>18/02/2025 08:00</t>
  </si>
  <si>
    <t>18/02/2025 08:15</t>
  </si>
  <si>
    <t>18/02/2025 08:30</t>
  </si>
  <si>
    <t>18/02/2025 08:45</t>
  </si>
  <si>
    <t>18/02/2025 09:00</t>
  </si>
  <si>
    <t>18/02/2025 09:15</t>
  </si>
  <si>
    <t>18/02/2025 09:30</t>
  </si>
  <si>
    <t>18/02/2025 09:45</t>
  </si>
  <si>
    <t>18/02/2025 10:00</t>
  </si>
  <si>
    <t>18/02/2025 10:15</t>
  </si>
  <si>
    <t>18/02/2025 10:30</t>
  </si>
  <si>
    <t>18/02/2025 10:45</t>
  </si>
  <si>
    <t>18/02/2025 11:00</t>
  </si>
  <si>
    <t>18/02/2025 11:15</t>
  </si>
  <si>
    <t>18/02/2025 11:30</t>
  </si>
  <si>
    <t>18/02/2025 11:45</t>
  </si>
  <si>
    <t>18/02/2025 12:00</t>
  </si>
  <si>
    <t>18/02/2025 12:15</t>
  </si>
  <si>
    <t>18/02/2025 12:30</t>
  </si>
  <si>
    <t>18/02/2025 12:45</t>
  </si>
  <si>
    <t>18/02/2025 13:00</t>
  </si>
  <si>
    <t>18/02/2025 13:15</t>
  </si>
  <si>
    <t>18/02/2025 13:30</t>
  </si>
  <si>
    <t>18/02/2025 13:45</t>
  </si>
  <si>
    <t>18/02/2025 14:00</t>
  </si>
  <si>
    <t>18/02/2025 14:15</t>
  </si>
  <si>
    <t>18/02/2025 14:30</t>
  </si>
  <si>
    <t>18/02/2025 14:45</t>
  </si>
  <si>
    <t>18/02/2025 15:00</t>
  </si>
  <si>
    <t>18/02/2025 15:15</t>
  </si>
  <si>
    <t>18/02/2025 15:30</t>
  </si>
  <si>
    <t>18/02/2025 15:45</t>
  </si>
  <si>
    <t>18/02/2025 16:00</t>
  </si>
  <si>
    <t>18/02/2025 16:15</t>
  </si>
  <si>
    <t>18/02/2025 16:30</t>
  </si>
  <si>
    <t>18/02/2025 16:45</t>
  </si>
  <si>
    <t>18/02/2025 17:00</t>
  </si>
  <si>
    <t>18/02/2025 17:15</t>
  </si>
  <si>
    <t>18/02/2025 17:30</t>
  </si>
  <si>
    <t>18/02/2025 17:45</t>
  </si>
  <si>
    <t>18/02/2025 18:00</t>
  </si>
  <si>
    <t>18/02/2025 18:15</t>
  </si>
  <si>
    <t>18/02/2025 18:30</t>
  </si>
  <si>
    <t>18/02/2025 18:45</t>
  </si>
  <si>
    <t>18/02/2025 19:00</t>
  </si>
  <si>
    <t>18/02/2025 19:15</t>
  </si>
  <si>
    <t>18/02/2025 19:30</t>
  </si>
  <si>
    <t>18/02/2025 19:45</t>
  </si>
  <si>
    <t>18/02/2025 20:00</t>
  </si>
  <si>
    <t>18/02/2025 20:15</t>
  </si>
  <si>
    <t>18/02/2025 20:30</t>
  </si>
  <si>
    <t>18/02/2025 20:45</t>
  </si>
  <si>
    <t>18/02/2025 21:00</t>
  </si>
  <si>
    <t>18/02/2025 21:15</t>
  </si>
  <si>
    <t>18/02/2025 21:30</t>
  </si>
  <si>
    <t>18/02/2025 21:45</t>
  </si>
  <si>
    <t>18/02/2025 22:00</t>
  </si>
  <si>
    <t>18/02/2025 22:15</t>
  </si>
  <si>
    <t>18/02/2025 22:30</t>
  </si>
  <si>
    <t>18/02/2025 22:45</t>
  </si>
  <si>
    <t>18/02/2025 23:00</t>
  </si>
  <si>
    <t>18/02/2025 23:15</t>
  </si>
  <si>
    <t>18/02/2025 23:30</t>
  </si>
  <si>
    <t>18/02/2025 23:45</t>
  </si>
  <si>
    <t>18/02/2025 24:00</t>
  </si>
  <si>
    <t>19/02/2025 00:15</t>
  </si>
  <si>
    <t>19/02/2025 00:30</t>
  </si>
  <si>
    <t>19/02/2025 00:45</t>
  </si>
  <si>
    <t>19/02/2025 01:00</t>
  </si>
  <si>
    <t>19/02/2025 01:15</t>
  </si>
  <si>
    <t>19/02/2025 01:30</t>
  </si>
  <si>
    <t>19/02/2025 01:45</t>
  </si>
  <si>
    <t>19/02/2025 02:00</t>
  </si>
  <si>
    <t>19/02/2025 02:15</t>
  </si>
  <si>
    <t>19/02/2025 02:30</t>
  </si>
  <si>
    <t>19/02/2025 02:45</t>
  </si>
  <si>
    <t>19/02/2025 03:00</t>
  </si>
  <si>
    <t>19/02/2025 03:15</t>
  </si>
  <si>
    <t>19/02/2025 03:30</t>
  </si>
  <si>
    <t>19/02/2025 03:45</t>
  </si>
  <si>
    <t>19/02/2025 04:00</t>
  </si>
  <si>
    <t>19/02/2025 04:15</t>
  </si>
  <si>
    <t>19/02/2025 04:30</t>
  </si>
  <si>
    <t>19/02/2025 04:45</t>
  </si>
  <si>
    <t>19/02/2025 05:00</t>
  </si>
  <si>
    <t>19/02/2025 05:15</t>
  </si>
  <si>
    <t>19/02/2025 05:30</t>
  </si>
  <si>
    <t>19/02/2025 05:45</t>
  </si>
  <si>
    <t>19/02/2025 06:00</t>
  </si>
  <si>
    <t>19/02/2025 06:15</t>
  </si>
  <si>
    <t>19/02/2025 06:30</t>
  </si>
  <si>
    <t>19/02/2025 06:45</t>
  </si>
  <si>
    <t>19/02/2025 07:00</t>
  </si>
  <si>
    <t>19/02/2025 07:15</t>
  </si>
  <si>
    <t>19/02/2025 07:30</t>
  </si>
  <si>
    <t>19/02/2025 07:45</t>
  </si>
  <si>
    <t>19/02/2025 08:00</t>
  </si>
  <si>
    <t>19/02/2025 08:15</t>
  </si>
  <si>
    <t>19/02/2025 08:30</t>
  </si>
  <si>
    <t>19/02/2025 08:45</t>
  </si>
  <si>
    <t>19/02/2025 09:00</t>
  </si>
  <si>
    <t>19/02/2025 09:15</t>
  </si>
  <si>
    <t>19/02/2025 09:30</t>
  </si>
  <si>
    <t>19/02/2025 09:45</t>
  </si>
  <si>
    <t>19/02/2025 10:00</t>
  </si>
  <si>
    <t>19/02/2025 10:15</t>
  </si>
  <si>
    <t>19/02/2025 10:30</t>
  </si>
  <si>
    <t>19/02/2025 10:45</t>
  </si>
  <si>
    <t>19/02/2025 11:00</t>
  </si>
  <si>
    <t>19/02/2025 11:15</t>
  </si>
  <si>
    <t>19/02/2025 11:30</t>
  </si>
  <si>
    <t>19/02/2025 11:45</t>
  </si>
  <si>
    <t>19/02/2025 12:00</t>
  </si>
  <si>
    <t>19/02/2025 12:15</t>
  </si>
  <si>
    <t>19/02/2025 12:30</t>
  </si>
  <si>
    <t>19/02/2025 12:45</t>
  </si>
  <si>
    <t>19/02/2025 13:00</t>
  </si>
  <si>
    <t>19/02/2025 13:15</t>
  </si>
  <si>
    <t>19/02/2025 13:30</t>
  </si>
  <si>
    <t>19/02/2025 13:45</t>
  </si>
  <si>
    <t>19/02/2025 14:00</t>
  </si>
  <si>
    <t>19/02/2025 14:15</t>
  </si>
  <si>
    <t>19/02/2025 14:30</t>
  </si>
  <si>
    <t>19/02/2025 14:45</t>
  </si>
  <si>
    <t>19/02/2025 15:00</t>
  </si>
  <si>
    <t>19/02/2025 15:15</t>
  </si>
  <si>
    <t>19/02/2025 15:30</t>
  </si>
  <si>
    <t>19/02/2025 15:45</t>
  </si>
  <si>
    <t>19/02/2025 16:00</t>
  </si>
  <si>
    <t>19/02/2025 16:15</t>
  </si>
  <si>
    <t>19/02/2025 16:30</t>
  </si>
  <si>
    <t>19/02/2025 16:45</t>
  </si>
  <si>
    <t>19/02/2025 17:00</t>
  </si>
  <si>
    <t>19/02/2025 17:15</t>
  </si>
  <si>
    <t>19/02/2025 17:30</t>
  </si>
  <si>
    <t>19/02/2025 17:45</t>
  </si>
  <si>
    <t>19/02/2025 18:00</t>
  </si>
  <si>
    <t>19/02/2025 18:15</t>
  </si>
  <si>
    <t>19/02/2025 18:30</t>
  </si>
  <si>
    <t>19/02/2025 18:45</t>
  </si>
  <si>
    <t>19/02/2025 19:00</t>
  </si>
  <si>
    <t>19/02/2025 19:15</t>
  </si>
  <si>
    <t>19/02/2025 19:30</t>
  </si>
  <si>
    <t>19/02/2025 19:45</t>
  </si>
  <si>
    <t>19/02/2025 20:00</t>
  </si>
  <si>
    <t>19/02/2025 20:15</t>
  </si>
  <si>
    <t>19/02/2025 20:30</t>
  </si>
  <si>
    <t>19/02/2025 20:45</t>
  </si>
  <si>
    <t>19/02/2025 21:00</t>
  </si>
  <si>
    <t>19/02/2025 21:15</t>
  </si>
  <si>
    <t>19/02/2025 21:30</t>
  </si>
  <si>
    <t>19/02/2025 21:45</t>
  </si>
  <si>
    <t>19/02/2025 22:00</t>
  </si>
  <si>
    <t>19/02/2025 22:15</t>
  </si>
  <si>
    <t>19/02/2025 22:30</t>
  </si>
  <si>
    <t>19/02/2025 22:45</t>
  </si>
  <si>
    <t>19/02/2025 23:00</t>
  </si>
  <si>
    <t>19/02/2025 23:15</t>
  </si>
  <si>
    <t>19/02/2025 23:30</t>
  </si>
  <si>
    <t>19/02/2025 23:45</t>
  </si>
  <si>
    <t>19/02/2025 24:00</t>
  </si>
  <si>
    <t>20/02/2025 00:15</t>
  </si>
  <si>
    <t>20/02/2025 00:30</t>
  </si>
  <si>
    <t>20/02/2025 00:45</t>
  </si>
  <si>
    <t>20/02/2025 01:00</t>
  </si>
  <si>
    <t>20/02/2025 01:15</t>
  </si>
  <si>
    <t>20/02/2025 01:30</t>
  </si>
  <si>
    <t>20/02/2025 01:45</t>
  </si>
  <si>
    <t>20/02/2025 02:00</t>
  </si>
  <si>
    <t>20/02/2025 02:15</t>
  </si>
  <si>
    <t>20/02/2025 02:30</t>
  </si>
  <si>
    <t>20/02/2025 02:45</t>
  </si>
  <si>
    <t>20/02/2025 03:00</t>
  </si>
  <si>
    <t>20/02/2025 03:15</t>
  </si>
  <si>
    <t>20/02/2025 03:30</t>
  </si>
  <si>
    <t>20/02/2025 03:45</t>
  </si>
  <si>
    <t>20/02/2025 04:00</t>
  </si>
  <si>
    <t>20/02/2025 04:15</t>
  </si>
  <si>
    <t>20/02/2025 04:30</t>
  </si>
  <si>
    <t>20/02/2025 04:45</t>
  </si>
  <si>
    <t>20/02/2025 05:00</t>
  </si>
  <si>
    <t>20/02/2025 05:15</t>
  </si>
  <si>
    <t>20/02/2025 05:30</t>
  </si>
  <si>
    <t>20/02/2025 05:45</t>
  </si>
  <si>
    <t>20/02/2025 06:00</t>
  </si>
  <si>
    <t>20/02/2025 06:15</t>
  </si>
  <si>
    <t>20/02/2025 06:30</t>
  </si>
  <si>
    <t>20/02/2025 06:45</t>
  </si>
  <si>
    <t>20/02/2025 07:00</t>
  </si>
  <si>
    <t>20/02/2025 07:15</t>
  </si>
  <si>
    <t>20/02/2025 07:30</t>
  </si>
  <si>
    <t>20/02/2025 07:45</t>
  </si>
  <si>
    <t>20/02/2025 08:00</t>
  </si>
  <si>
    <t>20/02/2025 08:15</t>
  </si>
  <si>
    <t>20/02/2025 08:30</t>
  </si>
  <si>
    <t>20/02/2025 08:45</t>
  </si>
  <si>
    <t>20/02/2025 09:00</t>
  </si>
  <si>
    <t>20/02/2025 09:15</t>
  </si>
  <si>
    <t>20/02/2025 09:30</t>
  </si>
  <si>
    <t>20/02/2025 09:45</t>
  </si>
  <si>
    <t>20/02/2025 10:00</t>
  </si>
  <si>
    <t>20/02/2025 10:15</t>
  </si>
  <si>
    <t>20/02/2025 10:30</t>
  </si>
  <si>
    <t>20/02/2025 10:45</t>
  </si>
  <si>
    <t>20/02/2025 11:00</t>
  </si>
  <si>
    <t>20/02/2025 11:15</t>
  </si>
  <si>
    <t>20/02/2025 11:30</t>
  </si>
  <si>
    <t>20/02/2025 11:45</t>
  </si>
  <si>
    <t>20/02/2025 12:00</t>
  </si>
  <si>
    <t>20/02/2025 12:15</t>
  </si>
  <si>
    <t>20/02/2025 12:30</t>
  </si>
  <si>
    <t>20/02/2025 12:45</t>
  </si>
  <si>
    <t>20/02/2025 13:00</t>
  </si>
  <si>
    <t>20/02/2025 13:15</t>
  </si>
  <si>
    <t>20/02/2025 13:30</t>
  </si>
  <si>
    <t>20/02/2025 13:45</t>
  </si>
  <si>
    <t>20/02/2025 14:00</t>
  </si>
  <si>
    <t>20/02/2025 14:15</t>
  </si>
  <si>
    <t>20/02/2025 14:30</t>
  </si>
  <si>
    <t>20/02/2025 14:45</t>
  </si>
  <si>
    <t>20/02/2025 15:00</t>
  </si>
  <si>
    <t>20/02/2025 15:15</t>
  </si>
  <si>
    <t>20/02/2025 15:30</t>
  </si>
  <si>
    <t>20/02/2025 15:45</t>
  </si>
  <si>
    <t>20/02/2025 16:00</t>
  </si>
  <si>
    <t>20/02/2025 16:15</t>
  </si>
  <si>
    <t>20/02/2025 16:30</t>
  </si>
  <si>
    <t>20/02/2025 16:45</t>
  </si>
  <si>
    <t>20/02/2025 17:00</t>
  </si>
  <si>
    <t>20/02/2025 17:15</t>
  </si>
  <si>
    <t>20/02/2025 17:30</t>
  </si>
  <si>
    <t>20/02/2025 17:45</t>
  </si>
  <si>
    <t>20/02/2025 18:00</t>
  </si>
  <si>
    <t>20/02/2025 18:15</t>
  </si>
  <si>
    <t>20/02/2025 18:30</t>
  </si>
  <si>
    <t>20/02/2025 18:45</t>
  </si>
  <si>
    <t>20/02/2025 19:00</t>
  </si>
  <si>
    <t>20/02/2025 19:15</t>
  </si>
  <si>
    <t>20/02/2025 19:30</t>
  </si>
  <si>
    <t>20/02/2025 19:45</t>
  </si>
  <si>
    <t>20/02/2025 20:00</t>
  </si>
  <si>
    <t>20/02/2025 20:15</t>
  </si>
  <si>
    <t>20/02/2025 20:30</t>
  </si>
  <si>
    <t>20/02/2025 20:45</t>
  </si>
  <si>
    <t>20/02/2025 21:00</t>
  </si>
  <si>
    <t>20/02/2025 21:15</t>
  </si>
  <si>
    <t>20/02/2025 21:30</t>
  </si>
  <si>
    <t>20/02/2025 21:45</t>
  </si>
  <si>
    <t>20/02/2025 22:00</t>
  </si>
  <si>
    <t>20/02/2025 22:15</t>
  </si>
  <si>
    <t>20/02/2025 22:30</t>
  </si>
  <si>
    <t>20/02/2025 22:45</t>
  </si>
  <si>
    <t>20/02/2025 23:00</t>
  </si>
  <si>
    <t>20/02/2025 23:15</t>
  </si>
  <si>
    <t>20/02/2025 23:30</t>
  </si>
  <si>
    <t>20/02/2025 23:45</t>
  </si>
  <si>
    <t>20/02/2025 24:00</t>
  </si>
  <si>
    <t>21/02/2025 00:15</t>
  </si>
  <si>
    <t>21/02/2025 00:30</t>
  </si>
  <si>
    <t>21/02/2025 00:45</t>
  </si>
  <si>
    <t>21/02/2025 01:00</t>
  </si>
  <si>
    <t>21/02/2025 01:15</t>
  </si>
  <si>
    <t>21/02/2025 01:30</t>
  </si>
  <si>
    <t>21/02/2025 01:45</t>
  </si>
  <si>
    <t>21/02/2025 02:00</t>
  </si>
  <si>
    <t>21/02/2025 02:15</t>
  </si>
  <si>
    <t>21/02/2025 02:30</t>
  </si>
  <si>
    <t>21/02/2025 02:45</t>
  </si>
  <si>
    <t>21/02/2025 03:00</t>
  </si>
  <si>
    <t>21/02/2025 03:15</t>
  </si>
  <si>
    <t>21/02/2025 03:30</t>
  </si>
  <si>
    <t>21/02/2025 03:45</t>
  </si>
  <si>
    <t>21/02/2025 04:00</t>
  </si>
  <si>
    <t>21/02/2025 04:15</t>
  </si>
  <si>
    <t>21/02/2025 04:30</t>
  </si>
  <si>
    <t>21/02/2025 04:45</t>
  </si>
  <si>
    <t>21/02/2025 05:00</t>
  </si>
  <si>
    <t>21/02/2025 05:15</t>
  </si>
  <si>
    <t>21/02/2025 05:30</t>
  </si>
  <si>
    <t>21/02/2025 05:45</t>
  </si>
  <si>
    <t>21/02/2025 06:00</t>
  </si>
  <si>
    <t>21/02/2025 06:15</t>
  </si>
  <si>
    <t>21/02/2025 06:30</t>
  </si>
  <si>
    <t>21/02/2025 06:45</t>
  </si>
  <si>
    <t>21/02/2025 07:00</t>
  </si>
  <si>
    <t>21/02/2025 07:15</t>
  </si>
  <si>
    <t>21/02/2025 07:30</t>
  </si>
  <si>
    <t>21/02/2025 07:45</t>
  </si>
  <si>
    <t>21/02/2025 08:00</t>
  </si>
  <si>
    <t>21/02/2025 08:15</t>
  </si>
  <si>
    <t>21/02/2025 08:30</t>
  </si>
  <si>
    <t>21/02/2025 08:45</t>
  </si>
  <si>
    <t>21/02/2025 09:00</t>
  </si>
  <si>
    <t>21/02/2025 09:15</t>
  </si>
  <si>
    <t>21/02/2025 09:30</t>
  </si>
  <si>
    <t>21/02/2025 09:45</t>
  </si>
  <si>
    <t>21/02/2025 10:00</t>
  </si>
  <si>
    <t>21/02/2025 10:15</t>
  </si>
  <si>
    <t>21/02/2025 10:30</t>
  </si>
  <si>
    <t>21/02/2025 10:45</t>
  </si>
  <si>
    <t>21/02/2025 11:00</t>
  </si>
  <si>
    <t>21/02/2025 11:15</t>
  </si>
  <si>
    <t>21/02/2025 11:30</t>
  </si>
  <si>
    <t>21/02/2025 11:45</t>
  </si>
  <si>
    <t>21/02/2025 12:00</t>
  </si>
  <si>
    <t>21/02/2025 12:15</t>
  </si>
  <si>
    <t>21/02/2025 12:30</t>
  </si>
  <si>
    <t>21/02/2025 12:45</t>
  </si>
  <si>
    <t>21/02/2025 13:00</t>
  </si>
  <si>
    <t>21/02/2025 13:15</t>
  </si>
  <si>
    <t>21/02/2025 13:30</t>
  </si>
  <si>
    <t>21/02/2025 13:45</t>
  </si>
  <si>
    <t>21/02/2025 14:00</t>
  </si>
  <si>
    <t>21/02/2025 14:15</t>
  </si>
  <si>
    <t>21/02/2025 14:30</t>
  </si>
  <si>
    <t>21/02/2025 14:45</t>
  </si>
  <si>
    <t>21/02/2025 15:00</t>
  </si>
  <si>
    <t>21/02/2025 15:15</t>
  </si>
  <si>
    <t>21/02/2025 15:30</t>
  </si>
  <si>
    <t>21/02/2025 15:45</t>
  </si>
  <si>
    <t>21/02/2025 16:00</t>
  </si>
  <si>
    <t>21/02/2025 16:15</t>
  </si>
  <si>
    <t>21/02/2025 16:30</t>
  </si>
  <si>
    <t>21/02/2025 16:45</t>
  </si>
  <si>
    <t>21/02/2025 17:00</t>
  </si>
  <si>
    <t>21/02/2025 17:15</t>
  </si>
  <si>
    <t>21/02/2025 17:30</t>
  </si>
  <si>
    <t>21/02/2025 17:45</t>
  </si>
  <si>
    <t>21/02/2025 18:00</t>
  </si>
  <si>
    <t>21/02/2025 18:15</t>
  </si>
  <si>
    <t>21/02/2025 18:30</t>
  </si>
  <si>
    <t>21/02/2025 18:45</t>
  </si>
  <si>
    <t>21/02/2025 19:00</t>
  </si>
  <si>
    <t>21/02/2025 19:15</t>
  </si>
  <si>
    <t>21/02/2025 19:30</t>
  </si>
  <si>
    <t>21/02/2025 19:45</t>
  </si>
  <si>
    <t>21/02/2025 20:00</t>
  </si>
  <si>
    <t>21/02/2025 20:15</t>
  </si>
  <si>
    <t>21/02/2025 20:30</t>
  </si>
  <si>
    <t>21/02/2025 20:45</t>
  </si>
  <si>
    <t>21/02/2025 21:00</t>
  </si>
  <si>
    <t>21/02/2025 21:15</t>
  </si>
  <si>
    <t>21/02/2025 21:30</t>
  </si>
  <si>
    <t>21/02/2025 21:45</t>
  </si>
  <si>
    <t>21/02/2025 22:00</t>
  </si>
  <si>
    <t>21/02/2025 22:15</t>
  </si>
  <si>
    <t>21/02/2025 22:30</t>
  </si>
  <si>
    <t>21/02/2025 22:45</t>
  </si>
  <si>
    <t>21/02/2025 23:00</t>
  </si>
  <si>
    <t>21/02/2025 23:15</t>
  </si>
  <si>
    <t>21/02/2025 23:30</t>
  </si>
  <si>
    <t>21/02/2025 23:45</t>
  </si>
  <si>
    <t>21/02/2025 24:00</t>
  </si>
  <si>
    <t>22/02/2025 00:15</t>
  </si>
  <si>
    <t>22/02/2025 00:30</t>
  </si>
  <si>
    <t>22/02/2025 00:45</t>
  </si>
  <si>
    <t>22/02/2025 01:00</t>
  </si>
  <si>
    <t>22/02/2025 01:15</t>
  </si>
  <si>
    <t>22/02/2025 01:30</t>
  </si>
  <si>
    <t>22/02/2025 01:45</t>
  </si>
  <si>
    <t>22/02/2025 02:00</t>
  </si>
  <si>
    <t>22/02/2025 02:15</t>
  </si>
  <si>
    <t>22/02/2025 02:30</t>
  </si>
  <si>
    <t>22/02/2025 02:45</t>
  </si>
  <si>
    <t>22/02/2025 03:00</t>
  </si>
  <si>
    <t>22/02/2025 03:15</t>
  </si>
  <si>
    <t>22/02/2025 03:30</t>
  </si>
  <si>
    <t>22/02/2025 03:45</t>
  </si>
  <si>
    <t>22/02/2025 04:00</t>
  </si>
  <si>
    <t>22/02/2025 04:15</t>
  </si>
  <si>
    <t>22/02/2025 04:30</t>
  </si>
  <si>
    <t>22/02/2025 04:45</t>
  </si>
  <si>
    <t>22/02/2025 05:00</t>
  </si>
  <si>
    <t>22/02/2025 05:15</t>
  </si>
  <si>
    <t>22/02/2025 05:30</t>
  </si>
  <si>
    <t>22/02/2025 05:45</t>
  </si>
  <si>
    <t>22/02/2025 06:00</t>
  </si>
  <si>
    <t>22/02/2025 06:15</t>
  </si>
  <si>
    <t>22/02/2025 06:30</t>
  </si>
  <si>
    <t>22/02/2025 06:45</t>
  </si>
  <si>
    <t>22/02/2025 07:00</t>
  </si>
  <si>
    <t>22/02/2025 07:15</t>
  </si>
  <si>
    <t>22/02/2025 07:30</t>
  </si>
  <si>
    <t>22/02/2025 07:45</t>
  </si>
  <si>
    <t>22/02/2025 08:00</t>
  </si>
  <si>
    <t>22/02/2025 08:15</t>
  </si>
  <si>
    <t>22/02/2025 08:30</t>
  </si>
  <si>
    <t>22/02/2025 08:45</t>
  </si>
  <si>
    <t>22/02/2025 09:00</t>
  </si>
  <si>
    <t>22/02/2025 09:15</t>
  </si>
  <si>
    <t>22/02/2025 09:30</t>
  </si>
  <si>
    <t>22/02/2025 09:45</t>
  </si>
  <si>
    <t>22/02/2025 10:00</t>
  </si>
  <si>
    <t>22/02/2025 10:15</t>
  </si>
  <si>
    <t>22/02/2025 10:30</t>
  </si>
  <si>
    <t>22/02/2025 10:45</t>
  </si>
  <si>
    <t>22/02/2025 11:00</t>
  </si>
  <si>
    <t>22/02/2025 11:15</t>
  </si>
  <si>
    <t>22/02/2025 11:30</t>
  </si>
  <si>
    <t>22/02/2025 11:45</t>
  </si>
  <si>
    <t>22/02/2025 12:00</t>
  </si>
  <si>
    <t>22/02/2025 12:15</t>
  </si>
  <si>
    <t>22/02/2025 12:30</t>
  </si>
  <si>
    <t>22/02/2025 12:45</t>
  </si>
  <si>
    <t>22/02/2025 13:00</t>
  </si>
  <si>
    <t>22/02/2025 13:15</t>
  </si>
  <si>
    <t>22/02/2025 13:30</t>
  </si>
  <si>
    <t>22/02/2025 13:45</t>
  </si>
  <si>
    <t>22/02/2025 14:00</t>
  </si>
  <si>
    <t>22/02/2025 14:15</t>
  </si>
  <si>
    <t>22/02/2025 14:30</t>
  </si>
  <si>
    <t>22/02/2025 14:45</t>
  </si>
  <si>
    <t>22/02/2025 15:00</t>
  </si>
  <si>
    <t>22/02/2025 15:15</t>
  </si>
  <si>
    <t>22/02/2025 15:30</t>
  </si>
  <si>
    <t>22/02/2025 15:45</t>
  </si>
  <si>
    <t>22/02/2025 16:00</t>
  </si>
  <si>
    <t>22/02/2025 16:15</t>
  </si>
  <si>
    <t>22/02/2025 16:30</t>
  </si>
  <si>
    <t>22/02/2025 16:45</t>
  </si>
  <si>
    <t>22/02/2025 17:00</t>
  </si>
  <si>
    <t>22/02/2025 17:15</t>
  </si>
  <si>
    <t>22/02/2025 17:30</t>
  </si>
  <si>
    <t>22/02/2025 17:45</t>
  </si>
  <si>
    <t>22/02/2025 18:00</t>
  </si>
  <si>
    <t>22/02/2025 18:15</t>
  </si>
  <si>
    <t>22/02/2025 18:30</t>
  </si>
  <si>
    <t>22/02/2025 18:45</t>
  </si>
  <si>
    <t>22/02/2025 19:00</t>
  </si>
  <si>
    <t>22/02/2025 19:15</t>
  </si>
  <si>
    <t>22/02/2025 19:30</t>
  </si>
  <si>
    <t>22/02/2025 19:45</t>
  </si>
  <si>
    <t>22/02/2025 20:00</t>
  </si>
  <si>
    <t>22/02/2025 20:15</t>
  </si>
  <si>
    <t>22/02/2025 20:30</t>
  </si>
  <si>
    <t>22/02/2025 20:45</t>
  </si>
  <si>
    <t>22/02/2025 21:00</t>
  </si>
  <si>
    <t>22/02/2025 21:15</t>
  </si>
  <si>
    <t>22/02/2025 21:30</t>
  </si>
  <si>
    <t>22/02/2025 21:45</t>
  </si>
  <si>
    <t>22/02/2025 22:00</t>
  </si>
  <si>
    <t>22/02/2025 22:15</t>
  </si>
  <si>
    <t>22/02/2025 22:30</t>
  </si>
  <si>
    <t>22/02/2025 22:45</t>
  </si>
  <si>
    <t>22/02/2025 23:00</t>
  </si>
  <si>
    <t>22/02/2025 23:15</t>
  </si>
  <si>
    <t>22/02/2025 23:30</t>
  </si>
  <si>
    <t>22/02/2025 23:45</t>
  </si>
  <si>
    <t>22/02/2025 24:00</t>
  </si>
  <si>
    <t>23/02/2025 00:15</t>
  </si>
  <si>
    <t>23/02/2025 00:30</t>
  </si>
  <si>
    <t>23/02/2025 00:45</t>
  </si>
  <si>
    <t>23/02/2025 01:00</t>
  </si>
  <si>
    <t>23/02/2025 01:15</t>
  </si>
  <si>
    <t>23/02/2025 01:30</t>
  </si>
  <si>
    <t>23/02/2025 01:45</t>
  </si>
  <si>
    <t>23/02/2025 02:00</t>
  </si>
  <si>
    <t>23/02/2025 02:15</t>
  </si>
  <si>
    <t>23/02/2025 02:30</t>
  </si>
  <si>
    <t>23/02/2025 02:45</t>
  </si>
  <si>
    <t>23/02/2025 03:00</t>
  </si>
  <si>
    <t>23/02/2025 03:15</t>
  </si>
  <si>
    <t>23/02/2025 03:30</t>
  </si>
  <si>
    <t>23/02/2025 03:45</t>
  </si>
  <si>
    <t>23/02/2025 04:00</t>
  </si>
  <si>
    <t>23/02/2025 04:15</t>
  </si>
  <si>
    <t>23/02/2025 04:30</t>
  </si>
  <si>
    <t>23/02/2025 04:45</t>
  </si>
  <si>
    <t>23/02/2025 05:00</t>
  </si>
  <si>
    <t>23/02/2025 05:15</t>
  </si>
  <si>
    <t>23/02/2025 05:30</t>
  </si>
  <si>
    <t>23/02/2025 05:45</t>
  </si>
  <si>
    <t>23/02/2025 06:00</t>
  </si>
  <si>
    <t>23/02/2025 06:15</t>
  </si>
  <si>
    <t>23/02/2025 06:30</t>
  </si>
  <si>
    <t>23/02/2025 06:45</t>
  </si>
  <si>
    <t>23/02/2025 07:00</t>
  </si>
  <si>
    <t>23/02/2025 07:15</t>
  </si>
  <si>
    <t>23/02/2025 07:30</t>
  </si>
  <si>
    <t>23/02/2025 07:45</t>
  </si>
  <si>
    <t>23/02/2025 08:00</t>
  </si>
  <si>
    <t>23/02/2025 08:15</t>
  </si>
  <si>
    <t>23/02/2025 08:30</t>
  </si>
  <si>
    <t>23/02/2025 08:45</t>
  </si>
  <si>
    <t>23/02/2025 09:00</t>
  </si>
  <si>
    <t>23/02/2025 09:15</t>
  </si>
  <si>
    <t>23/02/2025 09:30</t>
  </si>
  <si>
    <t>23/02/2025 09:45</t>
  </si>
  <si>
    <t>23/02/2025 10:00</t>
  </si>
  <si>
    <t>23/02/2025 10:15</t>
  </si>
  <si>
    <t>23/02/2025 10:30</t>
  </si>
  <si>
    <t>23/02/2025 10:45</t>
  </si>
  <si>
    <t>23/02/2025 11:00</t>
  </si>
  <si>
    <t>23/02/2025 11:15</t>
  </si>
  <si>
    <t>23/02/2025 11:30</t>
  </si>
  <si>
    <t>23/02/2025 11:45</t>
  </si>
  <si>
    <t>23/02/2025 12:00</t>
  </si>
  <si>
    <t>23/02/2025 12:15</t>
  </si>
  <si>
    <t>23/02/2025 12:30</t>
  </si>
  <si>
    <t>23/02/2025 12:45</t>
  </si>
  <si>
    <t>23/02/2025 13:00</t>
  </si>
  <si>
    <t>23/02/2025 13:15</t>
  </si>
  <si>
    <t>23/02/2025 13:30</t>
  </si>
  <si>
    <t>23/02/2025 13:45</t>
  </si>
  <si>
    <t>23/02/2025 14:00</t>
  </si>
  <si>
    <t>23/02/2025 14:15</t>
  </si>
  <si>
    <t>23/02/2025 14:30</t>
  </si>
  <si>
    <t>23/02/2025 14:45</t>
  </si>
  <si>
    <t>23/02/2025 15:00</t>
  </si>
  <si>
    <t>23/02/2025 15:15</t>
  </si>
  <si>
    <t>23/02/2025 15:30</t>
  </si>
  <si>
    <t>23/02/2025 15:45</t>
  </si>
  <si>
    <t>23/02/2025 16:00</t>
  </si>
  <si>
    <t>23/02/2025 16:15</t>
  </si>
  <si>
    <t>23/02/2025 16:30</t>
  </si>
  <si>
    <t>23/02/2025 16:45</t>
  </si>
  <si>
    <t>23/02/2025 17:00</t>
  </si>
  <si>
    <t>23/02/2025 17:15</t>
  </si>
  <si>
    <t>23/02/2025 17:30</t>
  </si>
  <si>
    <t>23/02/2025 17:45</t>
  </si>
  <si>
    <t>23/02/2025 18:00</t>
  </si>
  <si>
    <t>23/02/2025 18:15</t>
  </si>
  <si>
    <t>23/02/2025 18:30</t>
  </si>
  <si>
    <t>23/02/2025 18:45</t>
  </si>
  <si>
    <t>23/02/2025 19:00</t>
  </si>
  <si>
    <t>23/02/2025 19:15</t>
  </si>
  <si>
    <t>23/02/2025 19:30</t>
  </si>
  <si>
    <t>23/02/2025 19:45</t>
  </si>
  <si>
    <t>23/02/2025 20:00</t>
  </si>
  <si>
    <t>23/02/2025 20:15</t>
  </si>
  <si>
    <t>23/02/2025 20:30</t>
  </si>
  <si>
    <t>23/02/2025 20:45</t>
  </si>
  <si>
    <t>23/02/2025 21:00</t>
  </si>
  <si>
    <t>23/02/2025 21:15</t>
  </si>
  <si>
    <t>23/02/2025 21:30</t>
  </si>
  <si>
    <t>23/02/2025 21:45</t>
  </si>
  <si>
    <t>23/02/2025 22:00</t>
  </si>
  <si>
    <t>23/02/2025 22:15</t>
  </si>
  <si>
    <t>23/02/2025 22:30</t>
  </si>
  <si>
    <t>23/02/2025 22:45</t>
  </si>
  <si>
    <t>23/02/2025 23:00</t>
  </si>
  <si>
    <t>23/02/2025 23:15</t>
  </si>
  <si>
    <t>23/02/2025 23:30</t>
  </si>
  <si>
    <t>23/02/2025 23:45</t>
  </si>
  <si>
    <t>23/02/2025 24:00</t>
  </si>
  <si>
    <t>24/02/2025 00:15</t>
  </si>
  <si>
    <t>24/02/2025 00:30</t>
  </si>
  <si>
    <t>24/02/2025 00:45</t>
  </si>
  <si>
    <t>24/02/2025 01:00</t>
  </si>
  <si>
    <t>24/02/2025 01:15</t>
  </si>
  <si>
    <t>24/02/2025 01:30</t>
  </si>
  <si>
    <t>24/02/2025 01:45</t>
  </si>
  <si>
    <t>24/02/2025 02:00</t>
  </si>
  <si>
    <t>24/02/2025 02:15</t>
  </si>
  <si>
    <t>24/02/2025 02:30</t>
  </si>
  <si>
    <t>24/02/2025 02:45</t>
  </si>
  <si>
    <t>24/02/2025 03:00</t>
  </si>
  <si>
    <t>24/02/2025 03:15</t>
  </si>
  <si>
    <t>24/02/2025 03:30</t>
  </si>
  <si>
    <t>24/02/2025 03:45</t>
  </si>
  <si>
    <t>24/02/2025 04:00</t>
  </si>
  <si>
    <t>24/02/2025 04:15</t>
  </si>
  <si>
    <t>24/02/2025 04:30</t>
  </si>
  <si>
    <t>24/02/2025 04:45</t>
  </si>
  <si>
    <t>24/02/2025 05:00</t>
  </si>
  <si>
    <t>24/02/2025 05:15</t>
  </si>
  <si>
    <t>24/02/2025 05:30</t>
  </si>
  <si>
    <t>24/02/2025 05:45</t>
  </si>
  <si>
    <t>24/02/2025 06:00</t>
  </si>
  <si>
    <t>24/02/2025 06:15</t>
  </si>
  <si>
    <t>24/02/2025 06:30</t>
  </si>
  <si>
    <t>24/02/2025 06:45</t>
  </si>
  <si>
    <t>24/02/2025 07:00</t>
  </si>
  <si>
    <t>24/02/2025 07:15</t>
  </si>
  <si>
    <t>24/02/2025 07:30</t>
  </si>
  <si>
    <t>24/02/2025 07:45</t>
  </si>
  <si>
    <t>24/02/2025 08:00</t>
  </si>
  <si>
    <t>24/02/2025 08:15</t>
  </si>
  <si>
    <t>24/02/2025 08:30</t>
  </si>
  <si>
    <t>24/02/2025 08:45</t>
  </si>
  <si>
    <t>24/02/2025 09:00</t>
  </si>
  <si>
    <t>24/02/2025 09:15</t>
  </si>
  <si>
    <t>24/02/2025 09:30</t>
  </si>
  <si>
    <t>24/02/2025 09:45</t>
  </si>
  <si>
    <t>24/02/2025 10:00</t>
  </si>
  <si>
    <t>24/02/2025 10:15</t>
  </si>
  <si>
    <t>24/02/2025 10:30</t>
  </si>
  <si>
    <t>24/02/2025 10:45</t>
  </si>
  <si>
    <t>24/02/2025 11:00</t>
  </si>
  <si>
    <t>24/02/2025 11:15</t>
  </si>
  <si>
    <t>24/02/2025 11:30</t>
  </si>
  <si>
    <t>24/02/2025 11:45</t>
  </si>
  <si>
    <t>24/02/2025 12:00</t>
  </si>
  <si>
    <t>24/02/2025 12:15</t>
  </si>
  <si>
    <t>24/02/2025 12:30</t>
  </si>
  <si>
    <t>24/02/2025 12:45</t>
  </si>
  <si>
    <t>24/02/2025 13:00</t>
  </si>
  <si>
    <t>24/02/2025 13:15</t>
  </si>
  <si>
    <t>24/02/2025 13:30</t>
  </si>
  <si>
    <t>24/02/2025 13:45</t>
  </si>
  <si>
    <t>24/02/2025 14:00</t>
  </si>
  <si>
    <t>24/02/2025 14:15</t>
  </si>
  <si>
    <t>24/02/2025 14:30</t>
  </si>
  <si>
    <t>24/02/2025 14:45</t>
  </si>
  <si>
    <t>24/02/2025 15:00</t>
  </si>
  <si>
    <t>24/02/2025 15:15</t>
  </si>
  <si>
    <t>24/02/2025 15:30</t>
  </si>
  <si>
    <t>24/02/2025 15:45</t>
  </si>
  <si>
    <t>24/02/2025 16:00</t>
  </si>
  <si>
    <t>24/02/2025 16:15</t>
  </si>
  <si>
    <t>24/02/2025 16:30</t>
  </si>
  <si>
    <t>24/02/2025 16:45</t>
  </si>
  <si>
    <t>24/02/2025 17:00</t>
  </si>
  <si>
    <t>24/02/2025 17:15</t>
  </si>
  <si>
    <t>24/02/2025 17:30</t>
  </si>
  <si>
    <t>24/02/2025 17:45</t>
  </si>
  <si>
    <t>24/02/2025 18:00</t>
  </si>
  <si>
    <t>24/02/2025 18:15</t>
  </si>
  <si>
    <t>24/02/2025 18:30</t>
  </si>
  <si>
    <t>24/02/2025 18:45</t>
  </si>
  <si>
    <t>24/02/2025 19:00</t>
  </si>
  <si>
    <t>24/02/2025 19:15</t>
  </si>
  <si>
    <t>24/02/2025 19:30</t>
  </si>
  <si>
    <t>24/02/2025 19:45</t>
  </si>
  <si>
    <t>24/02/2025 20:00</t>
  </si>
  <si>
    <t>24/02/2025 20:15</t>
  </si>
  <si>
    <t>24/02/2025 20:30</t>
  </si>
  <si>
    <t>24/02/2025 20:45</t>
  </si>
  <si>
    <t>24/02/2025 21:00</t>
  </si>
  <si>
    <t>24/02/2025 21:15</t>
  </si>
  <si>
    <t>24/02/2025 21:30</t>
  </si>
  <si>
    <t>24/02/2025 21:45</t>
  </si>
  <si>
    <t>24/02/2025 22:00</t>
  </si>
  <si>
    <t>24/02/2025 22:15</t>
  </si>
  <si>
    <t>24/02/2025 22:30</t>
  </si>
  <si>
    <t>24/02/2025 22:45</t>
  </si>
  <si>
    <t>24/02/2025 23:00</t>
  </si>
  <si>
    <t>24/02/2025 23:15</t>
  </si>
  <si>
    <t>24/02/2025 23:30</t>
  </si>
  <si>
    <t>24/02/2025 23:45</t>
  </si>
  <si>
    <t>24/02/2025 24:00</t>
  </si>
  <si>
    <t>25/02/2025 00:15</t>
  </si>
  <si>
    <t>25/02/2025 00:30</t>
  </si>
  <si>
    <t>25/02/2025 00:45</t>
  </si>
  <si>
    <t>25/02/2025 01:00</t>
  </si>
  <si>
    <t>25/02/2025 01:15</t>
  </si>
  <si>
    <t>25/02/2025 01:30</t>
  </si>
  <si>
    <t>25/02/2025 01:45</t>
  </si>
  <si>
    <t>25/02/2025 02:00</t>
  </si>
  <si>
    <t>25/02/2025 02:15</t>
  </si>
  <si>
    <t>25/02/2025 02:30</t>
  </si>
  <si>
    <t>25/02/2025 02:45</t>
  </si>
  <si>
    <t>25/02/2025 03:00</t>
  </si>
  <si>
    <t>25/02/2025 03:15</t>
  </si>
  <si>
    <t>25/02/2025 03:30</t>
  </si>
  <si>
    <t>25/02/2025 03:45</t>
  </si>
  <si>
    <t>25/02/2025 04:00</t>
  </si>
  <si>
    <t>25/02/2025 04:15</t>
  </si>
  <si>
    <t>25/02/2025 04:30</t>
  </si>
  <si>
    <t>25/02/2025 04:45</t>
  </si>
  <si>
    <t>25/02/2025 05:00</t>
  </si>
  <si>
    <t>25/02/2025 05:15</t>
  </si>
  <si>
    <t>25/02/2025 05:30</t>
  </si>
  <si>
    <t>25/02/2025 05:45</t>
  </si>
  <si>
    <t>25/02/2025 06:00</t>
  </si>
  <si>
    <t>25/02/2025 06:15</t>
  </si>
  <si>
    <t>25/02/2025 06:30</t>
  </si>
  <si>
    <t>25/02/2025 06:45</t>
  </si>
  <si>
    <t>25/02/2025 07:00</t>
  </si>
  <si>
    <t>25/02/2025 07:15</t>
  </si>
  <si>
    <t>25/02/2025 07:30</t>
  </si>
  <si>
    <t>25/02/2025 07:45</t>
  </si>
  <si>
    <t>25/02/2025 08:00</t>
  </si>
  <si>
    <t>25/02/2025 08:15</t>
  </si>
  <si>
    <t>25/02/2025 08:30</t>
  </si>
  <si>
    <t>25/02/2025 08:45</t>
  </si>
  <si>
    <t>25/02/2025 09:00</t>
  </si>
  <si>
    <t>25/02/2025 09:15</t>
  </si>
  <si>
    <t>25/02/2025 09:30</t>
  </si>
  <si>
    <t>25/02/2025 09:45</t>
  </si>
  <si>
    <t>25/02/2025 10:00</t>
  </si>
  <si>
    <t>25/02/2025 10:15</t>
  </si>
  <si>
    <t>25/02/2025 10:30</t>
  </si>
  <si>
    <t>25/02/2025 10:45</t>
  </si>
  <si>
    <t>25/02/2025 11:00</t>
  </si>
  <si>
    <t>25/02/2025 11:15</t>
  </si>
  <si>
    <t>25/02/2025 11:30</t>
  </si>
  <si>
    <t>25/02/2025 11:45</t>
  </si>
  <si>
    <t>25/02/2025 12:00</t>
  </si>
  <si>
    <t>25/02/2025 12:15</t>
  </si>
  <si>
    <t>25/02/2025 12:30</t>
  </si>
  <si>
    <t>25/02/2025 12:45</t>
  </si>
  <si>
    <t>25/02/2025 13:00</t>
  </si>
  <si>
    <t>25/02/2025 13:15</t>
  </si>
  <si>
    <t>25/02/2025 13:30</t>
  </si>
  <si>
    <t>25/02/2025 13:45</t>
  </si>
  <si>
    <t>25/02/2025 14:00</t>
  </si>
  <si>
    <t>25/02/2025 14:15</t>
  </si>
  <si>
    <t>25/02/2025 14:30</t>
  </si>
  <si>
    <t>25/02/2025 14:45</t>
  </si>
  <si>
    <t>25/02/2025 15:00</t>
  </si>
  <si>
    <t>25/02/2025 15:15</t>
  </si>
  <si>
    <t>25/02/2025 15:30</t>
  </si>
  <si>
    <t>25/02/2025 15:45</t>
  </si>
  <si>
    <t>25/02/2025 16:00</t>
  </si>
  <si>
    <t>25/02/2025 16:15</t>
  </si>
  <si>
    <t>25/02/2025 16:30</t>
  </si>
  <si>
    <t>25/02/2025 16:45</t>
  </si>
  <si>
    <t>25/02/2025 17:00</t>
  </si>
  <si>
    <t>25/02/2025 17:15</t>
  </si>
  <si>
    <t>25/02/2025 17:30</t>
  </si>
  <si>
    <t>25/02/2025 17:45</t>
  </si>
  <si>
    <t>25/02/2025 18:00</t>
  </si>
  <si>
    <t>25/02/2025 18:15</t>
  </si>
  <si>
    <t>25/02/2025 18:30</t>
  </si>
  <si>
    <t>25/02/2025 18:45</t>
  </si>
  <si>
    <t>25/02/2025 19:00</t>
  </si>
  <si>
    <t>25/02/2025 19:15</t>
  </si>
  <si>
    <t>25/02/2025 19:30</t>
  </si>
  <si>
    <t>25/02/2025 19:45</t>
  </si>
  <si>
    <t>25/02/2025 20:00</t>
  </si>
  <si>
    <t>25/02/2025 20:15</t>
  </si>
  <si>
    <t>25/02/2025 20:30</t>
  </si>
  <si>
    <t>25/02/2025 20:45</t>
  </si>
  <si>
    <t>25/02/2025 21:00</t>
  </si>
  <si>
    <t>25/02/2025 21:15</t>
  </si>
  <si>
    <t>25/02/2025 21:30</t>
  </si>
  <si>
    <t>25/02/2025 21:45</t>
  </si>
  <si>
    <t>25/02/2025 22:00</t>
  </si>
  <si>
    <t>25/02/2025 22:15</t>
  </si>
  <si>
    <t>25/02/2025 22:30</t>
  </si>
  <si>
    <t>25/02/2025 22:45</t>
  </si>
  <si>
    <t>25/02/2025 23:00</t>
  </si>
  <si>
    <t>25/02/2025 23:15</t>
  </si>
  <si>
    <t>25/02/2025 23:30</t>
  </si>
  <si>
    <t>25/02/2025 23:45</t>
  </si>
  <si>
    <t>25/02/2025 24:00</t>
  </si>
  <si>
    <t>26/02/2025 00:15</t>
  </si>
  <si>
    <t>26/02/2025 00:30</t>
  </si>
  <si>
    <t>26/02/2025 00:45</t>
  </si>
  <si>
    <t>26/02/2025 01:00</t>
  </si>
  <si>
    <t>26/02/2025 01:15</t>
  </si>
  <si>
    <t>26/02/2025 01:30</t>
  </si>
  <si>
    <t>26/02/2025 01:45</t>
  </si>
  <si>
    <t>26/02/2025 02:00</t>
  </si>
  <si>
    <t>26/02/2025 02:15</t>
  </si>
  <si>
    <t>26/02/2025 02:30</t>
  </si>
  <si>
    <t>26/02/2025 02:45</t>
  </si>
  <si>
    <t>26/02/2025 03:00</t>
  </si>
  <si>
    <t>26/02/2025 03:15</t>
  </si>
  <si>
    <t>26/02/2025 03:30</t>
  </si>
  <si>
    <t>26/02/2025 03:45</t>
  </si>
  <si>
    <t>26/02/2025 04:00</t>
  </si>
  <si>
    <t>26/02/2025 04:15</t>
  </si>
  <si>
    <t>26/02/2025 04:30</t>
  </si>
  <si>
    <t>26/02/2025 04:45</t>
  </si>
  <si>
    <t>26/02/2025 05:00</t>
  </si>
  <si>
    <t>26/02/2025 05:15</t>
  </si>
  <si>
    <t>26/02/2025 05:30</t>
  </si>
  <si>
    <t>26/02/2025 05:45</t>
  </si>
  <si>
    <t>26/02/2025 06:00</t>
  </si>
  <si>
    <t>26/02/2025 06:15</t>
  </si>
  <si>
    <t>26/02/2025 06:30</t>
  </si>
  <si>
    <t>26/02/2025 06:45</t>
  </si>
  <si>
    <t>26/02/2025 07:00</t>
  </si>
  <si>
    <t>26/02/2025 07:15</t>
  </si>
  <si>
    <t>26/02/2025 07:30</t>
  </si>
  <si>
    <t>26/02/2025 07:45</t>
  </si>
  <si>
    <t>26/02/2025 08:00</t>
  </si>
  <si>
    <t>26/02/2025 08:15</t>
  </si>
  <si>
    <t>26/02/2025 08:30</t>
  </si>
  <si>
    <t>26/02/2025 08:45</t>
  </si>
  <si>
    <t>26/02/2025 09:00</t>
  </si>
  <si>
    <t>26/02/2025 09:15</t>
  </si>
  <si>
    <t>26/02/2025 09:30</t>
  </si>
  <si>
    <t>26/02/2025 09:45</t>
  </si>
  <si>
    <t>26/02/2025 10:00</t>
  </si>
  <si>
    <t>26/02/2025 10:15</t>
  </si>
  <si>
    <t>26/02/2025 10:30</t>
  </si>
  <si>
    <t>26/02/2025 10:45</t>
  </si>
  <si>
    <t>26/02/2025 11:00</t>
  </si>
  <si>
    <t>26/02/2025 11:15</t>
  </si>
  <si>
    <t>26/02/2025 11:30</t>
  </si>
  <si>
    <t>26/02/2025 11:45</t>
  </si>
  <si>
    <t>26/02/2025 12:00</t>
  </si>
  <si>
    <t>26/02/2025 12:15</t>
  </si>
  <si>
    <t>26/02/2025 12:30</t>
  </si>
  <si>
    <t>26/02/2025 12:45</t>
  </si>
  <si>
    <t>26/02/2025 13:00</t>
  </si>
  <si>
    <t>26/02/2025 13:15</t>
  </si>
  <si>
    <t>26/02/2025 13:30</t>
  </si>
  <si>
    <t>26/02/2025 13:45</t>
  </si>
  <si>
    <t>26/02/2025 14:00</t>
  </si>
  <si>
    <t>26/02/2025 14:15</t>
  </si>
  <si>
    <t>26/02/2025 14:30</t>
  </si>
  <si>
    <t>26/02/2025 14:45</t>
  </si>
  <si>
    <t>26/02/2025 15:00</t>
  </si>
  <si>
    <t>26/02/2025 15:15</t>
  </si>
  <si>
    <t>26/02/2025 15:30</t>
  </si>
  <si>
    <t>26/02/2025 15:45</t>
  </si>
  <si>
    <t>26/02/2025 16:00</t>
  </si>
  <si>
    <t>26/02/2025 16:15</t>
  </si>
  <si>
    <t>26/02/2025 16:30</t>
  </si>
  <si>
    <t>26/02/2025 16:45</t>
  </si>
  <si>
    <t>26/02/2025 17:00</t>
  </si>
  <si>
    <t>26/02/2025 17:15</t>
  </si>
  <si>
    <t>26/02/2025 17:30</t>
  </si>
  <si>
    <t>26/02/2025 17:45</t>
  </si>
  <si>
    <t>26/02/2025 18:00</t>
  </si>
  <si>
    <t>26/02/2025 18:15</t>
  </si>
  <si>
    <t>26/02/2025 18:30</t>
  </si>
  <si>
    <t>26/02/2025 18:45</t>
  </si>
  <si>
    <t>26/02/2025 19:00</t>
  </si>
  <si>
    <t>26/02/2025 19:15</t>
  </si>
  <si>
    <t>26/02/2025 19:30</t>
  </si>
  <si>
    <t>26/02/2025 19:45</t>
  </si>
  <si>
    <t>26/02/2025 20:00</t>
  </si>
  <si>
    <t>26/02/2025 20:15</t>
  </si>
  <si>
    <t>26/02/2025 20:30</t>
  </si>
  <si>
    <t>26/02/2025 20:45</t>
  </si>
  <si>
    <t>26/02/2025 21:00</t>
  </si>
  <si>
    <t>26/02/2025 21:15</t>
  </si>
  <si>
    <t>26/02/2025 21:30</t>
  </si>
  <si>
    <t>26/02/2025 21:45</t>
  </si>
  <si>
    <t>26/02/2025 22:00</t>
  </si>
  <si>
    <t>26/02/2025 22:15</t>
  </si>
  <si>
    <t>26/02/2025 22:30</t>
  </si>
  <si>
    <t>26/02/2025 22:45</t>
  </si>
  <si>
    <t>26/02/2025 23:00</t>
  </si>
  <si>
    <t>26/02/2025 23:15</t>
  </si>
  <si>
    <t>26/02/2025 23:30</t>
  </si>
  <si>
    <t>26/02/2025 23:45</t>
  </si>
  <si>
    <t>26/02/2025 24:00</t>
  </si>
  <si>
    <t>27/02/2025 00:15</t>
  </si>
  <si>
    <t>27/02/2025 00:30</t>
  </si>
  <si>
    <t>27/02/2025 00:45</t>
  </si>
  <si>
    <t>27/02/2025 01:00</t>
  </si>
  <si>
    <t>27/02/2025 01:15</t>
  </si>
  <si>
    <t>27/02/2025 01:30</t>
  </si>
  <si>
    <t>27/02/2025 01:45</t>
  </si>
  <si>
    <t>27/02/2025 02:00</t>
  </si>
  <si>
    <t>27/02/2025 02:15</t>
  </si>
  <si>
    <t>27/02/2025 02:30</t>
  </si>
  <si>
    <t>27/02/2025 02:45</t>
  </si>
  <si>
    <t>27/02/2025 03:00</t>
  </si>
  <si>
    <t>27/02/2025 03:15</t>
  </si>
  <si>
    <t>27/02/2025 03:30</t>
  </si>
  <si>
    <t>27/02/2025 03:45</t>
  </si>
  <si>
    <t>27/02/2025 04:00</t>
  </si>
  <si>
    <t>27/02/2025 04:15</t>
  </si>
  <si>
    <t>27/02/2025 04:30</t>
  </si>
  <si>
    <t>27/02/2025 04:45</t>
  </si>
  <si>
    <t>27/02/2025 05:00</t>
  </si>
  <si>
    <t>27/02/2025 05:15</t>
  </si>
  <si>
    <t>27/02/2025 05:30</t>
  </si>
  <si>
    <t>27/02/2025 05:45</t>
  </si>
  <si>
    <t>27/02/2025 06:00</t>
  </si>
  <si>
    <t>27/02/2025 06:15</t>
  </si>
  <si>
    <t>27/02/2025 06:30</t>
  </si>
  <si>
    <t>27/02/2025 06:45</t>
  </si>
  <si>
    <t>27/02/2025 07:00</t>
  </si>
  <si>
    <t>27/02/2025 07:15</t>
  </si>
  <si>
    <t>27/02/2025 07:30</t>
  </si>
  <si>
    <t>27/02/2025 07:45</t>
  </si>
  <si>
    <t>27/02/2025 08:00</t>
  </si>
  <si>
    <t>27/02/2025 08:15</t>
  </si>
  <si>
    <t>27/02/2025 08:30</t>
  </si>
  <si>
    <t>27/02/2025 08:45</t>
  </si>
  <si>
    <t>27/02/2025 09:00</t>
  </si>
  <si>
    <t>27/02/2025 09:15</t>
  </si>
  <si>
    <t>27/02/2025 09:30</t>
  </si>
  <si>
    <t>27/02/2025 09:45</t>
  </si>
  <si>
    <t>27/02/2025 10:00</t>
  </si>
  <si>
    <t>27/02/2025 10:15</t>
  </si>
  <si>
    <t>27/02/2025 10:30</t>
  </si>
  <si>
    <t>27/02/2025 10:45</t>
  </si>
  <si>
    <t>27/02/2025 11:00</t>
  </si>
  <si>
    <t>27/02/2025 11:15</t>
  </si>
  <si>
    <t>27/02/2025 11:30</t>
  </si>
  <si>
    <t>27/02/2025 11:45</t>
  </si>
  <si>
    <t>27/02/2025 12:00</t>
  </si>
  <si>
    <t>27/02/2025 12:15</t>
  </si>
  <si>
    <t>27/02/2025 12:30</t>
  </si>
  <si>
    <t>27/02/2025 12:45</t>
  </si>
  <si>
    <t>27/02/2025 13:00</t>
  </si>
  <si>
    <t>27/02/2025 13:15</t>
  </si>
  <si>
    <t>27/02/2025 13:30</t>
  </si>
  <si>
    <t>27/02/2025 13:45</t>
  </si>
  <si>
    <t>27/02/2025 14:00</t>
  </si>
  <si>
    <t>27/02/2025 14:15</t>
  </si>
  <si>
    <t>27/02/2025 14:30</t>
  </si>
  <si>
    <t>27/02/2025 14:45</t>
  </si>
  <si>
    <t>27/02/2025 15:00</t>
  </si>
  <si>
    <t>27/02/2025 15:15</t>
  </si>
  <si>
    <t>27/02/2025 15:30</t>
  </si>
  <si>
    <t>27/02/2025 15:45</t>
  </si>
  <si>
    <t>27/02/2025 16:00</t>
  </si>
  <si>
    <t>27/02/2025 16:15</t>
  </si>
  <si>
    <t>27/02/2025 16:30</t>
  </si>
  <si>
    <t>27/02/2025 16:45</t>
  </si>
  <si>
    <t>27/02/2025 17:00</t>
  </si>
  <si>
    <t>27/02/2025 17:15</t>
  </si>
  <si>
    <t>27/02/2025 17:30</t>
  </si>
  <si>
    <t>27/02/2025 17:45</t>
  </si>
  <si>
    <t>27/02/2025 18:00</t>
  </si>
  <si>
    <t>27/02/2025 18:15</t>
  </si>
  <si>
    <t>27/02/2025 18:30</t>
  </si>
  <si>
    <t>27/02/2025 18:45</t>
  </si>
  <si>
    <t>27/02/2025 19:00</t>
  </si>
  <si>
    <t>27/02/2025 19:15</t>
  </si>
  <si>
    <t>27/02/2025 19:30</t>
  </si>
  <si>
    <t>27/02/2025 19:45</t>
  </si>
  <si>
    <t>27/02/2025 20:00</t>
  </si>
  <si>
    <t>27/02/2025 20:15</t>
  </si>
  <si>
    <t>27/02/2025 20:30</t>
  </si>
  <si>
    <t>27/02/2025 20:45</t>
  </si>
  <si>
    <t>27/02/2025 21:00</t>
  </si>
  <si>
    <t>27/02/2025 21:15</t>
  </si>
  <si>
    <t>27/02/2025 21:30</t>
  </si>
  <si>
    <t>27/02/2025 21:45</t>
  </si>
  <si>
    <t>27/02/2025 22:00</t>
  </si>
  <si>
    <t>27/02/2025 22:15</t>
  </si>
  <si>
    <t>27/02/2025 22:30</t>
  </si>
  <si>
    <t>27/02/2025 22:45</t>
  </si>
  <si>
    <t>27/02/2025 23:00</t>
  </si>
  <si>
    <t>27/02/2025 23:15</t>
  </si>
  <si>
    <t>27/02/2025 23:30</t>
  </si>
  <si>
    <t>27/02/2025 23:45</t>
  </si>
  <si>
    <t>27/02/2025 24:00</t>
  </si>
  <si>
    <t>28/02/2025 00:15</t>
  </si>
  <si>
    <t>28/02/2025 00:30</t>
  </si>
  <si>
    <t>28/02/2025 00:45</t>
  </si>
  <si>
    <t>28/02/2025 01:00</t>
  </si>
  <si>
    <t>28/02/2025 01:15</t>
  </si>
  <si>
    <t>28/02/2025 01:30</t>
  </si>
  <si>
    <t>28/02/2025 01:45</t>
  </si>
  <si>
    <t>28/02/2025 02:00</t>
  </si>
  <si>
    <t>28/02/2025 02:15</t>
  </si>
  <si>
    <t>28/02/2025 02:30</t>
  </si>
  <si>
    <t>28/02/2025 02:45</t>
  </si>
  <si>
    <t>28/02/2025 03:00</t>
  </si>
  <si>
    <t>28/02/2025 03:15</t>
  </si>
  <si>
    <t>28/02/2025 03:30</t>
  </si>
  <si>
    <t>28/02/2025 03:45</t>
  </si>
  <si>
    <t>28/02/2025 04:00</t>
  </si>
  <si>
    <t>28/02/2025 04:15</t>
  </si>
  <si>
    <t>28/02/2025 04:30</t>
  </si>
  <si>
    <t>28/02/2025 04:45</t>
  </si>
  <si>
    <t>28/02/2025 05:00</t>
  </si>
  <si>
    <t>28/02/2025 05:15</t>
  </si>
  <si>
    <t>28/02/2025 05:30</t>
  </si>
  <si>
    <t>28/02/2025 05:45</t>
  </si>
  <si>
    <t>28/02/2025 06:00</t>
  </si>
  <si>
    <t>28/02/2025 06:15</t>
  </si>
  <si>
    <t>28/02/2025 06:30</t>
  </si>
  <si>
    <t>28/02/2025 06:45</t>
  </si>
  <si>
    <t>28/02/2025 07:00</t>
  </si>
  <si>
    <t>28/02/2025 07:15</t>
  </si>
  <si>
    <t>28/02/2025 07:30</t>
  </si>
  <si>
    <t>28/02/2025 07:45</t>
  </si>
  <si>
    <t>28/02/2025 08:00</t>
  </si>
  <si>
    <t>28/02/2025 08:15</t>
  </si>
  <si>
    <t>28/02/2025 08:30</t>
  </si>
  <si>
    <t>28/02/2025 08:45</t>
  </si>
  <si>
    <t>28/02/2025 09:00</t>
  </si>
  <si>
    <t>28/02/2025 09:15</t>
  </si>
  <si>
    <t>28/02/2025 09:30</t>
  </si>
  <si>
    <t>28/02/2025 09:45</t>
  </si>
  <si>
    <t>28/02/2025 10:00</t>
  </si>
  <si>
    <t>28/02/2025 10:15</t>
  </si>
  <si>
    <t>28/02/2025 10:30</t>
  </si>
  <si>
    <t>28/02/2025 10:45</t>
  </si>
  <si>
    <t>28/02/2025 11:00</t>
  </si>
  <si>
    <t>28/02/2025 11:15</t>
  </si>
  <si>
    <t>28/02/2025 11:30</t>
  </si>
  <si>
    <t>28/02/2025 11:45</t>
  </si>
  <si>
    <t>28/02/2025 12:00</t>
  </si>
  <si>
    <t>28/02/2025 12:15</t>
  </si>
  <si>
    <t>28/02/2025 12:30</t>
  </si>
  <si>
    <t>28/02/2025 12:45</t>
  </si>
  <si>
    <t>28/02/2025 13:00</t>
  </si>
  <si>
    <t>28/02/2025 13:15</t>
  </si>
  <si>
    <t>28/02/2025 13:30</t>
  </si>
  <si>
    <t>28/02/2025 13:45</t>
  </si>
  <si>
    <t>28/02/2025 14:00</t>
  </si>
  <si>
    <t>28/02/2025 14:15</t>
  </si>
  <si>
    <t>28/02/2025 14:30</t>
  </si>
  <si>
    <t>28/02/2025 14:45</t>
  </si>
  <si>
    <t>28/02/2025 15:00</t>
  </si>
  <si>
    <t>28/02/2025 15:15</t>
  </si>
  <si>
    <t>28/02/2025 15:30</t>
  </si>
  <si>
    <t>28/02/2025 15:45</t>
  </si>
  <si>
    <t>28/02/2025 16:00</t>
  </si>
  <si>
    <t>28/02/2025 16:15</t>
  </si>
  <si>
    <t>28/02/2025 16:30</t>
  </si>
  <si>
    <t>28/02/2025 16:45</t>
  </si>
  <si>
    <t>28/02/2025 17:00</t>
  </si>
  <si>
    <t>28/02/2025 17:15</t>
  </si>
  <si>
    <t>28/02/2025 17:30</t>
  </si>
  <si>
    <t>28/02/2025 17:45</t>
  </si>
  <si>
    <t>28/02/2025 18:00</t>
  </si>
  <si>
    <t>28/02/2025 18:15</t>
  </si>
  <si>
    <t>28/02/2025 18:30</t>
  </si>
  <si>
    <t>28/02/2025 18:45</t>
  </si>
  <si>
    <t>28/02/2025 19:00</t>
  </si>
  <si>
    <t>28/02/2025 19:15</t>
  </si>
  <si>
    <t>28/02/2025 19:30</t>
  </si>
  <si>
    <t>28/02/2025 19:45</t>
  </si>
  <si>
    <t>28/02/2025 20:00</t>
  </si>
  <si>
    <t>28/02/2025 20:15</t>
  </si>
  <si>
    <t>28/02/2025 20:30</t>
  </si>
  <si>
    <t>28/02/2025 20:45</t>
  </si>
  <si>
    <t>28/02/2025 21:00</t>
  </si>
  <si>
    <t>28/02/2025 21:15</t>
  </si>
  <si>
    <t>28/02/2025 21:30</t>
  </si>
  <si>
    <t>28/02/2025 21:45</t>
  </si>
  <si>
    <t>28/02/2025 22:00</t>
  </si>
  <si>
    <t>28/02/2025 22:15</t>
  </si>
  <si>
    <t>28/02/2025 22:30</t>
  </si>
  <si>
    <t>28/02/2025 22:45</t>
  </si>
  <si>
    <t>28/02/2025 23:00</t>
  </si>
  <si>
    <t>28/02/2025 23:15</t>
  </si>
  <si>
    <t>28/02/2025 23:30</t>
  </si>
  <si>
    <t>28/02/2025 23:45</t>
  </si>
  <si>
    <t>28/02/2025 24:00</t>
  </si>
  <si>
    <t>835 ug/cm2</t>
  </si>
  <si>
    <t>847 ug/cm2</t>
  </si>
  <si>
    <t>18/02/202511:00</t>
  </si>
  <si>
    <t>Calibration report Of Bhatagaon, RAIPUR</t>
  </si>
  <si>
    <t>01/02/2025 - 28/02/2025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</si>
</sst>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244</v>
      </c>
      <c r="B9" s="64">
        <v>79.790000000000006</v>
      </c>
      <c r="C9" s="64">
        <v>54.29</v>
      </c>
      <c r="D9" s="64">
        <v>90.97</v>
      </c>
      <c r="E9" s="64">
        <v>6.37</v>
      </c>
      <c r="F9" s="64">
        <v>2.13</v>
      </c>
      <c r="G9" s="64">
        <v>115.85</v>
      </c>
      <c r="H9" s="64">
        <v>33.82</v>
      </c>
      <c r="I9" s="210" t="s">
        <v>43</v>
      </c>
      <c r="J9" s="64">
        <v>0.56999999999999995</v>
      </c>
      <c r="K9" s="64">
        <v>72.81</v>
      </c>
      <c r="L9" s="64">
        <v>17.68</v>
      </c>
      <c r="M9" s="64">
        <v>95.68</v>
      </c>
      <c r="N9" s="64">
        <v>78.8</v>
      </c>
      <c r="O9" s="64">
        <v>0</v>
      </c>
      <c r="P9" s="64">
        <v>1.31</v>
      </c>
      <c r="Q9" s="64">
        <v>9.7899999999999991</v>
      </c>
      <c r="R9" s="198"/>
      <c r="S9" s="198"/>
      <c r="T9" s="198"/>
      <c r="U9" s="198"/>
    </row>
    <row r="10" spans="1:21" s="12" customFormat="1" x14ac:dyDescent="0.25">
      <c r="A10" s="213" t="s">
        <v>245</v>
      </c>
      <c r="B10" s="64">
        <v>78.84</v>
      </c>
      <c r="C10" s="64">
        <v>53.56</v>
      </c>
      <c r="D10" s="64">
        <v>89.83</v>
      </c>
      <c r="E10" s="64">
        <v>6.28</v>
      </c>
      <c r="F10" s="64">
        <v>2.13</v>
      </c>
      <c r="G10" s="64">
        <v>115.85</v>
      </c>
      <c r="H10" s="64">
        <v>33.82</v>
      </c>
      <c r="I10" s="210" t="s">
        <v>43</v>
      </c>
      <c r="J10" s="64">
        <v>0.24</v>
      </c>
      <c r="K10" s="64">
        <v>52.38</v>
      </c>
      <c r="L10" s="64">
        <v>17.53</v>
      </c>
      <c r="M10" s="64">
        <v>96.59</v>
      </c>
      <c r="N10" s="64">
        <v>79</v>
      </c>
      <c r="O10" s="64">
        <v>0</v>
      </c>
      <c r="P10" s="64">
        <v>1.31</v>
      </c>
      <c r="Q10" s="64">
        <v>9.7899999999999991</v>
      </c>
      <c r="R10" s="198"/>
      <c r="S10" s="198"/>
      <c r="T10" s="198"/>
      <c r="U10" s="198"/>
    </row>
    <row r="11" spans="1:21" s="12" customFormat="1" x14ac:dyDescent="0.25">
      <c r="A11" s="213" t="s">
        <v>246</v>
      </c>
      <c r="B11" s="64">
        <v>78</v>
      </c>
      <c r="C11" s="64">
        <v>52.58</v>
      </c>
      <c r="D11" s="64">
        <v>88.64</v>
      </c>
      <c r="E11" s="64">
        <v>6.92</v>
      </c>
      <c r="F11" s="64">
        <v>2.13</v>
      </c>
      <c r="G11" s="64">
        <v>115.85</v>
      </c>
      <c r="H11" s="64">
        <v>33.82</v>
      </c>
      <c r="I11" s="210" t="s">
        <v>43</v>
      </c>
      <c r="J11" s="64">
        <v>0.55000000000000004</v>
      </c>
      <c r="K11" s="64">
        <v>274.79000000000002</v>
      </c>
      <c r="L11" s="64">
        <v>17.37</v>
      </c>
      <c r="M11" s="64">
        <v>98.04</v>
      </c>
      <c r="N11" s="64">
        <v>78.8</v>
      </c>
      <c r="O11" s="64">
        <v>0</v>
      </c>
      <c r="P11" s="64">
        <v>1.28</v>
      </c>
      <c r="Q11" s="64">
        <v>9.7899999999999991</v>
      </c>
      <c r="R11" s="198"/>
      <c r="S11" s="198"/>
      <c r="T11" s="198"/>
      <c r="U11" s="198"/>
    </row>
    <row r="12" spans="1:21" s="12" customFormat="1" x14ac:dyDescent="0.25">
      <c r="A12" s="213" t="s">
        <v>247</v>
      </c>
      <c r="B12" s="64">
        <v>77.39</v>
      </c>
      <c r="C12" s="64">
        <v>52.5</v>
      </c>
      <c r="D12" s="64">
        <v>88.11</v>
      </c>
      <c r="E12" s="64">
        <v>6.61</v>
      </c>
      <c r="F12" s="64">
        <v>2.13</v>
      </c>
      <c r="G12" s="64">
        <v>112.61</v>
      </c>
      <c r="H12" s="64">
        <v>32.47</v>
      </c>
      <c r="I12" s="210" t="s">
        <v>43</v>
      </c>
      <c r="J12" s="64">
        <v>0.56999999999999995</v>
      </c>
      <c r="K12" s="64">
        <v>299.02</v>
      </c>
      <c r="L12" s="64">
        <v>17.170000000000002</v>
      </c>
      <c r="M12" s="64">
        <v>99.85</v>
      </c>
      <c r="N12" s="64">
        <v>78.8</v>
      </c>
      <c r="O12" s="64">
        <v>0</v>
      </c>
      <c r="P12" s="64">
        <v>1.24</v>
      </c>
      <c r="Q12" s="64">
        <v>9.7799999999999994</v>
      </c>
      <c r="R12" s="198"/>
      <c r="S12" s="198"/>
      <c r="T12" s="198"/>
      <c r="U12" s="198"/>
    </row>
    <row r="13" spans="1:21" s="12" customFormat="1" x14ac:dyDescent="0.25">
      <c r="A13" s="213" t="s">
        <v>248</v>
      </c>
      <c r="B13" s="64">
        <v>77.78</v>
      </c>
      <c r="C13" s="64">
        <v>50.37</v>
      </c>
      <c r="D13" s="64">
        <v>87.31</v>
      </c>
      <c r="E13" s="64">
        <v>6.78</v>
      </c>
      <c r="F13" s="64">
        <v>2.13</v>
      </c>
      <c r="G13" s="64">
        <v>108.73</v>
      </c>
      <c r="H13" s="64">
        <v>30.86</v>
      </c>
      <c r="I13" s="210" t="s">
        <v>43</v>
      </c>
      <c r="J13" s="64">
        <v>0.62</v>
      </c>
      <c r="K13" s="64">
        <v>281.83</v>
      </c>
      <c r="L13" s="64">
        <v>16.989999999999998</v>
      </c>
      <c r="M13" s="64">
        <v>100.95</v>
      </c>
      <c r="N13" s="64">
        <v>78.599999999999994</v>
      </c>
      <c r="O13" s="64">
        <v>0</v>
      </c>
      <c r="P13" s="64">
        <v>1.29</v>
      </c>
      <c r="Q13" s="64">
        <v>9.7799999999999994</v>
      </c>
      <c r="R13" s="198"/>
      <c r="S13" s="198"/>
      <c r="T13" s="198"/>
      <c r="U13" s="198"/>
    </row>
    <row r="14" spans="1:21" s="12" customFormat="1" x14ac:dyDescent="0.25">
      <c r="A14" s="213" t="s">
        <v>249</v>
      </c>
      <c r="B14" s="64">
        <v>78.05</v>
      </c>
      <c r="C14" s="64">
        <v>51.45</v>
      </c>
      <c r="D14" s="64">
        <v>88.1</v>
      </c>
      <c r="E14" s="64">
        <v>6.57</v>
      </c>
      <c r="F14" s="64">
        <v>2.13</v>
      </c>
      <c r="G14" s="64">
        <v>108.73</v>
      </c>
      <c r="H14" s="64">
        <v>30.86</v>
      </c>
      <c r="I14" s="210" t="s">
        <v>43</v>
      </c>
      <c r="J14" s="64">
        <v>0.33</v>
      </c>
      <c r="K14" s="64">
        <v>267.98</v>
      </c>
      <c r="L14" s="64">
        <v>16.86</v>
      </c>
      <c r="M14" s="64">
        <v>102.16</v>
      </c>
      <c r="N14" s="64">
        <v>78.8</v>
      </c>
      <c r="O14" s="64">
        <v>0</v>
      </c>
      <c r="P14" s="64">
        <v>1.31</v>
      </c>
      <c r="Q14" s="64">
        <v>9.77</v>
      </c>
      <c r="R14" s="198"/>
      <c r="S14" s="198"/>
      <c r="T14" s="198"/>
      <c r="U14" s="198"/>
    </row>
    <row r="15" spans="1:21" s="12" customFormat="1" x14ac:dyDescent="0.25">
      <c r="A15" s="213" t="s">
        <v>250</v>
      </c>
      <c r="B15" s="64">
        <v>76.88</v>
      </c>
      <c r="C15" s="64">
        <v>49.53</v>
      </c>
      <c r="D15" s="64">
        <v>86.15</v>
      </c>
      <c r="E15" s="64">
        <v>6.89</v>
      </c>
      <c r="F15" s="64">
        <v>2.13</v>
      </c>
      <c r="G15" s="64">
        <v>108.73</v>
      </c>
      <c r="H15" s="64">
        <v>30.86</v>
      </c>
      <c r="I15" s="210" t="s">
        <v>43</v>
      </c>
      <c r="J15" s="64">
        <v>0.31</v>
      </c>
      <c r="K15" s="64">
        <v>292.75</v>
      </c>
      <c r="L15" s="64">
        <v>16.77</v>
      </c>
      <c r="M15" s="64">
        <v>102.94</v>
      </c>
      <c r="N15" s="64">
        <v>78.7</v>
      </c>
      <c r="O15" s="64">
        <v>0</v>
      </c>
      <c r="P15" s="64">
        <v>1.28</v>
      </c>
      <c r="Q15" s="64">
        <v>9.7899999999999991</v>
      </c>
      <c r="R15" s="198"/>
      <c r="S15" s="198"/>
      <c r="T15" s="198"/>
      <c r="U15" s="198"/>
    </row>
    <row r="16" spans="1:21" s="12" customFormat="1" x14ac:dyDescent="0.25">
      <c r="A16" s="213" t="s">
        <v>251</v>
      </c>
      <c r="B16" s="64">
        <v>75.099999999999994</v>
      </c>
      <c r="C16" s="64">
        <v>50.26</v>
      </c>
      <c r="D16" s="64">
        <v>85.11</v>
      </c>
      <c r="E16" s="64">
        <v>6.75</v>
      </c>
      <c r="F16" s="64">
        <v>2.13</v>
      </c>
      <c r="G16" s="64">
        <v>106.22</v>
      </c>
      <c r="H16" s="64">
        <v>31.45</v>
      </c>
      <c r="I16" s="210" t="s">
        <v>43</v>
      </c>
      <c r="J16" s="64">
        <v>0.59</v>
      </c>
      <c r="K16" s="64">
        <v>346.53</v>
      </c>
      <c r="L16" s="64">
        <v>16.63</v>
      </c>
      <c r="M16" s="64">
        <v>104.29</v>
      </c>
      <c r="N16" s="64">
        <v>78.8</v>
      </c>
      <c r="O16" s="64">
        <v>0</v>
      </c>
      <c r="P16" s="64">
        <v>1.26</v>
      </c>
      <c r="Q16" s="64">
        <v>9.8000000000000007</v>
      </c>
      <c r="R16" s="198"/>
      <c r="S16" s="198"/>
      <c r="T16" s="198"/>
      <c r="U16" s="198"/>
    </row>
    <row r="17" spans="1:21" s="12" customFormat="1" x14ac:dyDescent="0.25">
      <c r="A17" s="213" t="s">
        <v>252</v>
      </c>
      <c r="B17" s="64">
        <v>73.31</v>
      </c>
      <c r="C17" s="64">
        <v>50</v>
      </c>
      <c r="D17" s="64">
        <v>83.54</v>
      </c>
      <c r="E17" s="64">
        <v>6.55</v>
      </c>
      <c r="F17" s="64">
        <v>2.13</v>
      </c>
      <c r="G17" s="64">
        <v>103.22</v>
      </c>
      <c r="H17" s="64">
        <v>32.18</v>
      </c>
      <c r="I17" s="210" t="s">
        <v>43</v>
      </c>
      <c r="J17" s="64">
        <v>0.35</v>
      </c>
      <c r="K17" s="64">
        <v>329.61</v>
      </c>
      <c r="L17" s="64">
        <v>16.489999999999998</v>
      </c>
      <c r="M17" s="64">
        <v>105.21</v>
      </c>
      <c r="N17" s="64">
        <v>78.5</v>
      </c>
      <c r="O17" s="64">
        <v>0</v>
      </c>
      <c r="P17" s="64">
        <v>1.25</v>
      </c>
      <c r="Q17" s="64">
        <v>9.81</v>
      </c>
      <c r="R17" s="198"/>
      <c r="S17" s="198"/>
      <c r="T17" s="198"/>
      <c r="U17" s="198"/>
    </row>
    <row r="18" spans="1:21" s="12" customFormat="1" x14ac:dyDescent="0.25">
      <c r="A18" s="213" t="s">
        <v>253</v>
      </c>
      <c r="B18" s="64">
        <v>71.17</v>
      </c>
      <c r="C18" s="64">
        <v>50.84</v>
      </c>
      <c r="D18" s="64">
        <v>82.26</v>
      </c>
      <c r="E18" s="64">
        <v>6.07</v>
      </c>
      <c r="F18" s="64">
        <v>2.13</v>
      </c>
      <c r="G18" s="64">
        <v>103.22</v>
      </c>
      <c r="H18" s="64">
        <v>32.18</v>
      </c>
      <c r="I18" s="210" t="s">
        <v>43</v>
      </c>
      <c r="J18" s="64">
        <v>0.28000000000000003</v>
      </c>
      <c r="K18" s="64">
        <v>258.47000000000003</v>
      </c>
      <c r="L18" s="64">
        <v>16.739999999999998</v>
      </c>
      <c r="M18" s="64">
        <v>104.17</v>
      </c>
      <c r="N18" s="64">
        <v>78.3</v>
      </c>
      <c r="O18" s="64">
        <v>0</v>
      </c>
      <c r="P18" s="64">
        <v>1.21</v>
      </c>
      <c r="Q18" s="64">
        <v>9.7799999999999994</v>
      </c>
      <c r="R18" s="198"/>
      <c r="S18" s="198"/>
      <c r="T18" s="198"/>
      <c r="U18" s="198"/>
    </row>
    <row r="19" spans="1:21" s="12" customFormat="1" x14ac:dyDescent="0.25">
      <c r="A19" s="213" t="s">
        <v>254</v>
      </c>
      <c r="B19" s="64">
        <v>69.25</v>
      </c>
      <c r="C19" s="64">
        <v>48.38</v>
      </c>
      <c r="D19" s="64">
        <v>79.430000000000007</v>
      </c>
      <c r="E19" s="64">
        <v>6.19</v>
      </c>
      <c r="F19" s="64">
        <v>2.13</v>
      </c>
      <c r="G19" s="64">
        <v>103.22</v>
      </c>
      <c r="H19" s="64">
        <v>32.18</v>
      </c>
      <c r="I19" s="210" t="s">
        <v>43</v>
      </c>
      <c r="J19" s="64">
        <v>0.22</v>
      </c>
      <c r="K19" s="64">
        <v>283.31</v>
      </c>
      <c r="L19" s="64">
        <v>16.64</v>
      </c>
      <c r="M19" s="64">
        <v>104.06</v>
      </c>
      <c r="N19" s="64">
        <v>78.599999999999994</v>
      </c>
      <c r="O19" s="64">
        <v>0</v>
      </c>
      <c r="P19" s="64">
        <v>1.19</v>
      </c>
      <c r="Q19" s="64">
        <v>9.7799999999999994</v>
      </c>
      <c r="R19" s="198"/>
      <c r="S19" s="198"/>
      <c r="T19" s="198"/>
      <c r="U19" s="198"/>
    </row>
    <row r="20" spans="1:21" s="12" customFormat="1" x14ac:dyDescent="0.25">
      <c r="A20" s="213" t="s">
        <v>255</v>
      </c>
      <c r="B20" s="64">
        <v>67.010000000000005</v>
      </c>
      <c r="C20" s="64">
        <v>51.13</v>
      </c>
      <c r="D20" s="64">
        <v>79.069999999999993</v>
      </c>
      <c r="E20" s="64">
        <v>6.5</v>
      </c>
      <c r="F20" s="64">
        <v>2.13</v>
      </c>
      <c r="G20" s="64">
        <v>100.73</v>
      </c>
      <c r="H20" s="64">
        <v>31.58</v>
      </c>
      <c r="I20" s="210" t="s">
        <v>43</v>
      </c>
      <c r="J20" s="64">
        <v>0.52</v>
      </c>
      <c r="K20" s="64">
        <v>277.27</v>
      </c>
      <c r="L20" s="64">
        <v>16.71</v>
      </c>
      <c r="M20" s="64">
        <v>101.99</v>
      </c>
      <c r="N20" s="64">
        <v>78.5</v>
      </c>
      <c r="O20" s="64">
        <v>0</v>
      </c>
      <c r="P20" s="64">
        <v>1.1599999999999999</v>
      </c>
      <c r="Q20" s="64">
        <v>9.75</v>
      </c>
      <c r="R20" s="198"/>
      <c r="S20" s="198"/>
      <c r="T20" s="198"/>
      <c r="U20" s="198"/>
    </row>
    <row r="21" spans="1:21" s="12" customFormat="1" x14ac:dyDescent="0.25">
      <c r="A21" s="213" t="s">
        <v>256</v>
      </c>
      <c r="B21" s="64">
        <v>64.59</v>
      </c>
      <c r="C21" s="64">
        <v>49.75</v>
      </c>
      <c r="D21" s="64">
        <v>76.42</v>
      </c>
      <c r="E21" s="64">
        <v>6.18</v>
      </c>
      <c r="F21" s="64">
        <v>2.13</v>
      </c>
      <c r="G21" s="64">
        <v>97.76</v>
      </c>
      <c r="H21" s="64">
        <v>30.82</v>
      </c>
      <c r="I21" s="210" t="s">
        <v>43</v>
      </c>
      <c r="J21" s="64">
        <v>0.25</v>
      </c>
      <c r="K21" s="64">
        <v>300.58</v>
      </c>
      <c r="L21" s="64">
        <v>16.77</v>
      </c>
      <c r="M21" s="64">
        <v>99.92</v>
      </c>
      <c r="N21" s="64">
        <v>78.5</v>
      </c>
      <c r="O21" s="64">
        <v>0</v>
      </c>
      <c r="P21" s="64">
        <v>1.1399999999999999</v>
      </c>
      <c r="Q21" s="64">
        <v>9.76</v>
      </c>
      <c r="R21" s="198"/>
      <c r="S21" s="198"/>
      <c r="T21" s="198"/>
      <c r="U21" s="198"/>
    </row>
    <row r="22" spans="1:21" s="12" customFormat="1" x14ac:dyDescent="0.25">
      <c r="A22" s="213" t="s">
        <v>257</v>
      </c>
      <c r="B22" s="64">
        <v>61.94</v>
      </c>
      <c r="C22" s="64">
        <v>50.31</v>
      </c>
      <c r="D22" s="64">
        <v>74.58</v>
      </c>
      <c r="E22" s="64">
        <v>6.62</v>
      </c>
      <c r="F22" s="64">
        <v>2.13</v>
      </c>
      <c r="G22" s="64">
        <v>97.76</v>
      </c>
      <c r="H22" s="64">
        <v>30.82</v>
      </c>
      <c r="I22" s="210" t="s">
        <v>43</v>
      </c>
      <c r="J22" s="64">
        <v>0.56999999999999995</v>
      </c>
      <c r="K22" s="64">
        <v>278.32</v>
      </c>
      <c r="L22" s="64">
        <v>16.489999999999998</v>
      </c>
      <c r="M22" s="64">
        <v>101.57</v>
      </c>
      <c r="N22" s="64">
        <v>78.8</v>
      </c>
      <c r="O22" s="64">
        <v>0</v>
      </c>
      <c r="P22" s="64">
        <v>1.03</v>
      </c>
      <c r="Q22" s="64">
        <v>9.77</v>
      </c>
      <c r="R22" s="198"/>
      <c r="S22" s="198"/>
      <c r="T22" s="198"/>
      <c r="U22" s="198"/>
    </row>
    <row r="23" spans="1:21" s="12" customFormat="1" x14ac:dyDescent="0.25">
      <c r="A23" s="213" t="s">
        <v>258</v>
      </c>
      <c r="B23" s="64">
        <v>59.97</v>
      </c>
      <c r="C23" s="64">
        <v>48.33</v>
      </c>
      <c r="D23" s="64">
        <v>71.959999999999994</v>
      </c>
      <c r="E23" s="64">
        <v>6.28</v>
      </c>
      <c r="F23" s="64">
        <v>2.13</v>
      </c>
      <c r="G23" s="64">
        <v>97.76</v>
      </c>
      <c r="H23" s="64">
        <v>30.82</v>
      </c>
      <c r="I23" s="210" t="s">
        <v>43</v>
      </c>
      <c r="J23" s="64">
        <v>0.24</v>
      </c>
      <c r="K23" s="64">
        <v>261.52</v>
      </c>
      <c r="L23" s="64">
        <v>16.64</v>
      </c>
      <c r="M23" s="64">
        <v>100.09</v>
      </c>
      <c r="N23" s="64">
        <v>78.599999999999994</v>
      </c>
      <c r="O23" s="64">
        <v>0</v>
      </c>
      <c r="P23" s="64">
        <v>1.02</v>
      </c>
      <c r="Q23" s="64">
        <v>9.76</v>
      </c>
      <c r="R23" s="198"/>
      <c r="S23" s="198"/>
      <c r="T23" s="198"/>
      <c r="U23" s="198"/>
    </row>
    <row r="24" spans="1:21" s="12" customFormat="1" x14ac:dyDescent="0.25">
      <c r="A24" s="213" t="s">
        <v>259</v>
      </c>
      <c r="B24" s="64">
        <v>58.4</v>
      </c>
      <c r="C24" s="64">
        <v>49.76</v>
      </c>
      <c r="D24" s="64">
        <v>71.45</v>
      </c>
      <c r="E24" s="64">
        <v>5.91</v>
      </c>
      <c r="F24" s="64">
        <v>2.13</v>
      </c>
      <c r="G24" s="64">
        <v>89.36</v>
      </c>
      <c r="H24" s="64">
        <v>30.7</v>
      </c>
      <c r="I24" s="210" t="s">
        <v>43</v>
      </c>
      <c r="J24" s="64">
        <v>0.22</v>
      </c>
      <c r="K24" s="64">
        <v>292.33</v>
      </c>
      <c r="L24" s="64">
        <v>16.38</v>
      </c>
      <c r="M24" s="64">
        <v>101.8</v>
      </c>
      <c r="N24" s="64">
        <v>78.8</v>
      </c>
      <c r="O24" s="64">
        <v>0</v>
      </c>
      <c r="P24" s="64">
        <v>0.96</v>
      </c>
      <c r="Q24" s="64">
        <v>9.74</v>
      </c>
      <c r="R24" s="198"/>
      <c r="S24" s="198"/>
      <c r="T24" s="198"/>
      <c r="U24" s="198"/>
    </row>
    <row r="25" spans="1:21" s="12" customFormat="1" x14ac:dyDescent="0.25">
      <c r="A25" s="213" t="s">
        <v>260</v>
      </c>
      <c r="B25" s="64">
        <v>57.24</v>
      </c>
      <c r="C25" s="64">
        <v>49.47</v>
      </c>
      <c r="D25" s="64">
        <v>70.37</v>
      </c>
      <c r="E25" s="64">
        <v>6.38</v>
      </c>
      <c r="F25" s="64">
        <v>2.13</v>
      </c>
      <c r="G25" s="64">
        <v>79.319999999999993</v>
      </c>
      <c r="H25" s="64">
        <v>30.56</v>
      </c>
      <c r="I25" s="210" t="s">
        <v>43</v>
      </c>
      <c r="J25" s="64">
        <v>0.11</v>
      </c>
      <c r="K25" s="64">
        <v>211.98</v>
      </c>
      <c r="L25" s="64">
        <v>16.16</v>
      </c>
      <c r="M25" s="64">
        <v>104.11</v>
      </c>
      <c r="N25" s="64">
        <v>78.599999999999994</v>
      </c>
      <c r="O25" s="64">
        <v>0</v>
      </c>
      <c r="P25" s="64">
        <v>0.99</v>
      </c>
      <c r="Q25" s="64">
        <v>9.7200000000000006</v>
      </c>
      <c r="R25" s="198"/>
      <c r="S25" s="198"/>
      <c r="T25" s="198"/>
      <c r="U25" s="198"/>
    </row>
    <row r="26" spans="1:21" s="12" customFormat="1" x14ac:dyDescent="0.25">
      <c r="A26" s="213" t="s">
        <v>261</v>
      </c>
      <c r="B26" s="64">
        <v>55.94</v>
      </c>
      <c r="C26" s="64">
        <v>49.06</v>
      </c>
      <c r="D26" s="64">
        <v>69.12</v>
      </c>
      <c r="E26" s="64">
        <v>5.82</v>
      </c>
      <c r="F26" s="64">
        <v>2.13</v>
      </c>
      <c r="G26" s="64">
        <v>79.319999999999993</v>
      </c>
      <c r="H26" s="64">
        <v>30.56</v>
      </c>
      <c r="I26" s="210" t="s">
        <v>43</v>
      </c>
      <c r="J26" s="64">
        <v>0.48</v>
      </c>
      <c r="K26" s="64">
        <v>293.24</v>
      </c>
      <c r="L26" s="64">
        <v>15.95</v>
      </c>
      <c r="M26" s="64">
        <v>103.93</v>
      </c>
      <c r="N26" s="64">
        <v>78.7</v>
      </c>
      <c r="O26" s="64">
        <v>0</v>
      </c>
      <c r="P26" s="64">
        <v>0.96</v>
      </c>
      <c r="Q26" s="64">
        <v>9.7200000000000006</v>
      </c>
      <c r="R26" s="198"/>
      <c r="S26" s="198"/>
      <c r="T26" s="198"/>
      <c r="U26" s="198"/>
    </row>
    <row r="27" spans="1:21" s="12" customFormat="1" x14ac:dyDescent="0.25">
      <c r="A27" s="213" t="s">
        <v>262</v>
      </c>
      <c r="B27" s="64">
        <v>54.75</v>
      </c>
      <c r="C27" s="64">
        <v>48.64</v>
      </c>
      <c r="D27" s="64">
        <v>67.95</v>
      </c>
      <c r="E27" s="64">
        <v>5.89</v>
      </c>
      <c r="F27" s="64">
        <v>2.13</v>
      </c>
      <c r="G27" s="64">
        <v>79.319999999999993</v>
      </c>
      <c r="H27" s="64">
        <v>30.56</v>
      </c>
      <c r="I27" s="210" t="s">
        <v>43</v>
      </c>
      <c r="J27" s="64">
        <v>0.32</v>
      </c>
      <c r="K27" s="64">
        <v>305.62</v>
      </c>
      <c r="L27" s="64">
        <v>15.71</v>
      </c>
      <c r="M27" s="64">
        <v>104.07</v>
      </c>
      <c r="N27" s="64">
        <v>78.8</v>
      </c>
      <c r="O27" s="64">
        <v>0</v>
      </c>
      <c r="P27" s="64">
        <v>0.98</v>
      </c>
      <c r="Q27" s="64">
        <v>9.6999999999999993</v>
      </c>
      <c r="R27" s="198"/>
      <c r="S27" s="198"/>
      <c r="T27" s="198"/>
      <c r="U27" s="198"/>
    </row>
    <row r="28" spans="1:21" s="12" customFormat="1" x14ac:dyDescent="0.25">
      <c r="A28" s="213" t="s">
        <v>263</v>
      </c>
      <c r="B28" s="64">
        <v>54.5</v>
      </c>
      <c r="C28" s="64">
        <v>48.57</v>
      </c>
      <c r="D28" s="64">
        <v>67.709999999999994</v>
      </c>
      <c r="E28" s="64">
        <v>6.3</v>
      </c>
      <c r="F28" s="64">
        <v>2.13</v>
      </c>
      <c r="G28" s="64">
        <v>75.77</v>
      </c>
      <c r="H28" s="64">
        <v>29.42</v>
      </c>
      <c r="I28" s="210" t="s">
        <v>43</v>
      </c>
      <c r="J28" s="64">
        <v>0.02</v>
      </c>
      <c r="K28" s="64">
        <v>90.82</v>
      </c>
      <c r="L28" s="64">
        <v>15.59</v>
      </c>
      <c r="M28" s="64">
        <v>104.2</v>
      </c>
      <c r="N28" s="64">
        <v>78.599999999999994</v>
      </c>
      <c r="O28" s="64">
        <v>0</v>
      </c>
      <c r="P28" s="64">
        <v>0.96</v>
      </c>
      <c r="Q28" s="64">
        <v>9.69</v>
      </c>
      <c r="R28" s="198"/>
      <c r="S28" s="198"/>
      <c r="T28" s="198"/>
      <c r="U28" s="198"/>
    </row>
    <row r="29" spans="1:21" s="12" customFormat="1" x14ac:dyDescent="0.25">
      <c r="A29" s="213" t="s">
        <v>264</v>
      </c>
      <c r="B29" s="64">
        <v>54.69</v>
      </c>
      <c r="C29" s="64">
        <v>47.58</v>
      </c>
      <c r="D29" s="64">
        <v>67.34</v>
      </c>
      <c r="E29" s="64">
        <v>6.21</v>
      </c>
      <c r="F29" s="64">
        <v>2.13</v>
      </c>
      <c r="G29" s="64">
        <v>71.53</v>
      </c>
      <c r="H29" s="64">
        <v>28.06</v>
      </c>
      <c r="I29" s="210" t="s">
        <v>43</v>
      </c>
      <c r="J29" s="64">
        <v>0.32</v>
      </c>
      <c r="K29" s="64">
        <v>226.73</v>
      </c>
      <c r="L29" s="64">
        <v>15.69</v>
      </c>
      <c r="M29" s="64">
        <v>104.17</v>
      </c>
      <c r="N29" s="64">
        <v>78.400000000000006</v>
      </c>
      <c r="O29" s="64">
        <v>0</v>
      </c>
      <c r="P29" s="64">
        <v>0.95</v>
      </c>
      <c r="Q29" s="64">
        <v>9.6999999999999993</v>
      </c>
      <c r="R29" s="198"/>
      <c r="S29" s="198"/>
      <c r="T29" s="198"/>
      <c r="U29" s="198"/>
    </row>
    <row r="30" spans="1:21" s="12" customFormat="1" x14ac:dyDescent="0.25">
      <c r="A30" s="213" t="s">
        <v>265</v>
      </c>
      <c r="B30" s="64">
        <v>54.54</v>
      </c>
      <c r="C30" s="64">
        <v>46.47</v>
      </c>
      <c r="D30" s="64">
        <v>66.64</v>
      </c>
      <c r="E30" s="64">
        <v>6.05</v>
      </c>
      <c r="F30" s="64">
        <v>2.13</v>
      </c>
      <c r="G30" s="64">
        <v>71.53</v>
      </c>
      <c r="H30" s="64">
        <v>28.06</v>
      </c>
      <c r="I30" s="210" t="s">
        <v>43</v>
      </c>
      <c r="J30" s="64">
        <v>0.13</v>
      </c>
      <c r="K30" s="64">
        <v>295.64999999999998</v>
      </c>
      <c r="L30" s="64">
        <v>15.69</v>
      </c>
      <c r="M30" s="64">
        <v>105.25</v>
      </c>
      <c r="N30" s="64">
        <v>78.7</v>
      </c>
      <c r="O30" s="64">
        <v>0</v>
      </c>
      <c r="P30" s="64">
        <v>0.97</v>
      </c>
      <c r="Q30" s="64">
        <v>9.69</v>
      </c>
      <c r="R30" s="198"/>
      <c r="S30" s="198"/>
      <c r="T30" s="198"/>
      <c r="U30" s="198"/>
    </row>
    <row r="31" spans="1:21" s="12" customFormat="1" x14ac:dyDescent="0.25">
      <c r="A31" s="213" t="s">
        <v>266</v>
      </c>
      <c r="B31" s="64">
        <v>53.62</v>
      </c>
      <c r="C31" s="64">
        <v>48.28</v>
      </c>
      <c r="D31" s="64">
        <v>66.849999999999994</v>
      </c>
      <c r="E31" s="64">
        <v>6.22</v>
      </c>
      <c r="F31" s="64">
        <v>2.13</v>
      </c>
      <c r="G31" s="64">
        <v>71.53</v>
      </c>
      <c r="H31" s="64">
        <v>28.06</v>
      </c>
      <c r="I31" s="210" t="s">
        <v>43</v>
      </c>
      <c r="J31" s="64">
        <v>0.35</v>
      </c>
      <c r="K31" s="64">
        <v>265.85000000000002</v>
      </c>
      <c r="L31" s="64">
        <v>15.37</v>
      </c>
      <c r="M31" s="64">
        <v>105.03</v>
      </c>
      <c r="N31" s="64">
        <v>78.900000000000006</v>
      </c>
      <c r="O31" s="64">
        <v>0</v>
      </c>
      <c r="P31" s="64">
        <v>0.96</v>
      </c>
      <c r="Q31" s="64">
        <v>9.69</v>
      </c>
      <c r="R31" s="198"/>
      <c r="S31" s="198"/>
      <c r="T31" s="198"/>
      <c r="U31" s="198"/>
    </row>
    <row r="32" spans="1:21" s="12" customFormat="1" x14ac:dyDescent="0.25">
      <c r="A32" s="213" t="s">
        <v>267</v>
      </c>
      <c r="B32" s="64">
        <v>52.66</v>
      </c>
      <c r="C32" s="64">
        <v>46.91</v>
      </c>
      <c r="D32" s="64">
        <v>65.36</v>
      </c>
      <c r="E32" s="64">
        <v>6.48</v>
      </c>
      <c r="F32" s="64">
        <v>2.13</v>
      </c>
      <c r="G32" s="64">
        <v>70.59</v>
      </c>
      <c r="H32" s="64">
        <v>27.57</v>
      </c>
      <c r="I32" s="210" t="s">
        <v>43</v>
      </c>
      <c r="J32" s="64">
        <v>0.2</v>
      </c>
      <c r="K32" s="64">
        <v>163.66</v>
      </c>
      <c r="L32" s="64">
        <v>15.29</v>
      </c>
      <c r="M32" s="64">
        <v>105.51</v>
      </c>
      <c r="N32" s="64">
        <v>78.599999999999994</v>
      </c>
      <c r="O32" s="64">
        <v>0</v>
      </c>
      <c r="P32" s="64">
        <v>0.95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13" t="s">
        <v>268</v>
      </c>
      <c r="B33" s="64">
        <v>53.04</v>
      </c>
      <c r="C33" s="64">
        <v>46.27</v>
      </c>
      <c r="D33" s="64">
        <v>65.33</v>
      </c>
      <c r="E33" s="64">
        <v>6.09</v>
      </c>
      <c r="F33" s="64">
        <v>2.13</v>
      </c>
      <c r="G33" s="64">
        <v>69.459999999999994</v>
      </c>
      <c r="H33" s="64">
        <v>26.99</v>
      </c>
      <c r="I33" s="210" t="s">
        <v>43</v>
      </c>
      <c r="J33" s="64">
        <v>0.5</v>
      </c>
      <c r="K33" s="64">
        <v>357.07</v>
      </c>
      <c r="L33" s="64">
        <v>15.37</v>
      </c>
      <c r="M33" s="64">
        <v>105.57</v>
      </c>
      <c r="N33" s="64">
        <v>78.8</v>
      </c>
      <c r="O33" s="64">
        <v>0</v>
      </c>
      <c r="P33" s="64">
        <v>0.95</v>
      </c>
      <c r="Q33" s="64">
        <v>9.68</v>
      </c>
      <c r="R33" s="198"/>
      <c r="S33" s="198"/>
      <c r="T33" s="198"/>
      <c r="U33" s="198"/>
    </row>
    <row r="34" spans="1:21" s="12" customFormat="1" x14ac:dyDescent="0.25">
      <c r="A34" s="213" t="s">
        <v>269</v>
      </c>
      <c r="B34" s="64">
        <v>54.36</v>
      </c>
      <c r="C34" s="64">
        <v>49.18</v>
      </c>
      <c r="D34" s="64">
        <v>67.91</v>
      </c>
      <c r="E34" s="64">
        <v>6.18</v>
      </c>
      <c r="F34" s="64">
        <v>2.13</v>
      </c>
      <c r="G34" s="64">
        <v>69.459999999999994</v>
      </c>
      <c r="H34" s="64">
        <v>26.99</v>
      </c>
      <c r="I34" s="210" t="s">
        <v>43</v>
      </c>
      <c r="J34" s="64">
        <v>0.57999999999999996</v>
      </c>
      <c r="K34" s="64">
        <v>351.02</v>
      </c>
      <c r="L34" s="64">
        <v>15.27</v>
      </c>
      <c r="M34" s="64">
        <v>105.28</v>
      </c>
      <c r="N34" s="64">
        <v>79.2</v>
      </c>
      <c r="O34" s="64">
        <v>0</v>
      </c>
      <c r="P34" s="64">
        <v>0.95</v>
      </c>
      <c r="Q34" s="64">
        <v>9.68</v>
      </c>
      <c r="R34" s="198"/>
      <c r="S34" s="198"/>
      <c r="T34" s="198"/>
      <c r="U34" s="198"/>
    </row>
    <row r="35" spans="1:21" s="12" customFormat="1" x14ac:dyDescent="0.25">
      <c r="A35" s="213" t="s">
        <v>270</v>
      </c>
      <c r="B35" s="64">
        <v>54.48</v>
      </c>
      <c r="C35" s="64">
        <v>48.54</v>
      </c>
      <c r="D35" s="64">
        <v>67.67</v>
      </c>
      <c r="E35" s="64">
        <v>6.39</v>
      </c>
      <c r="F35" s="64">
        <v>2.13</v>
      </c>
      <c r="G35" s="64">
        <v>69.459999999999994</v>
      </c>
      <c r="H35" s="64">
        <v>26.99</v>
      </c>
      <c r="I35" s="210" t="s">
        <v>43</v>
      </c>
      <c r="J35" s="64">
        <v>0.39</v>
      </c>
      <c r="K35" s="64">
        <v>318.19</v>
      </c>
      <c r="L35" s="64">
        <v>15.31</v>
      </c>
      <c r="M35" s="64">
        <v>104.23</v>
      </c>
      <c r="N35" s="64">
        <v>81.5</v>
      </c>
      <c r="O35" s="64">
        <v>0</v>
      </c>
      <c r="P35" s="64">
        <v>0.94</v>
      </c>
      <c r="Q35" s="64">
        <v>9.69</v>
      </c>
      <c r="R35" s="198"/>
      <c r="S35" s="198"/>
      <c r="T35" s="198"/>
      <c r="U35" s="198"/>
    </row>
    <row r="36" spans="1:21" s="12" customFormat="1" x14ac:dyDescent="0.25">
      <c r="A36" s="213" t="s">
        <v>271</v>
      </c>
      <c r="B36" s="64">
        <v>53.88</v>
      </c>
      <c r="C36" s="64">
        <v>47.88</v>
      </c>
      <c r="D36" s="64">
        <v>66.849999999999994</v>
      </c>
      <c r="E36" s="64">
        <v>6.07</v>
      </c>
      <c r="F36" s="64">
        <v>2.13</v>
      </c>
      <c r="G36" s="64">
        <v>69.55</v>
      </c>
      <c r="H36" s="64">
        <v>26.44</v>
      </c>
      <c r="I36" s="210" t="s">
        <v>43</v>
      </c>
      <c r="J36" s="64">
        <v>0.24</v>
      </c>
      <c r="K36" s="64">
        <v>223.47</v>
      </c>
      <c r="L36" s="64">
        <v>15.44</v>
      </c>
      <c r="M36" s="64">
        <v>103.24</v>
      </c>
      <c r="N36" s="64">
        <v>90.5</v>
      </c>
      <c r="O36" s="64">
        <v>0</v>
      </c>
      <c r="P36" s="64">
        <v>0.94</v>
      </c>
      <c r="Q36" s="64">
        <v>9.7200000000000006</v>
      </c>
      <c r="R36" s="198"/>
      <c r="S36" s="198"/>
      <c r="T36" s="198"/>
      <c r="U36" s="198"/>
    </row>
    <row r="37" spans="1:21" s="12" customFormat="1" x14ac:dyDescent="0.25">
      <c r="A37" s="213" t="s">
        <v>272</v>
      </c>
      <c r="B37" s="64">
        <v>54.37</v>
      </c>
      <c r="C37" s="64">
        <v>50.82</v>
      </c>
      <c r="D37" s="64">
        <v>68.78</v>
      </c>
      <c r="E37" s="64">
        <v>6.44</v>
      </c>
      <c r="F37" s="64">
        <v>2.13</v>
      </c>
      <c r="G37" s="64">
        <v>69.67</v>
      </c>
      <c r="H37" s="64">
        <v>25.78</v>
      </c>
      <c r="I37" s="210" t="s">
        <v>43</v>
      </c>
      <c r="J37" s="64">
        <v>0.23</v>
      </c>
      <c r="K37" s="64">
        <v>109.39</v>
      </c>
      <c r="L37" s="64">
        <v>15.73</v>
      </c>
      <c r="M37" s="64">
        <v>102.63</v>
      </c>
      <c r="N37" s="64">
        <v>105.6</v>
      </c>
      <c r="O37" s="64">
        <v>0</v>
      </c>
      <c r="P37" s="64">
        <v>0.93</v>
      </c>
      <c r="Q37" s="64">
        <v>9.69</v>
      </c>
      <c r="R37" s="198"/>
      <c r="S37" s="198"/>
      <c r="T37" s="198"/>
      <c r="U37" s="198"/>
    </row>
    <row r="38" spans="1:21" s="12" customFormat="1" x14ac:dyDescent="0.25">
      <c r="A38" s="213" t="s">
        <v>273</v>
      </c>
      <c r="B38" s="64">
        <v>57.57</v>
      </c>
      <c r="C38" s="64">
        <v>48.02</v>
      </c>
      <c r="D38" s="64">
        <v>69.88</v>
      </c>
      <c r="E38" s="64">
        <v>6.36</v>
      </c>
      <c r="F38" s="64">
        <v>2.13</v>
      </c>
      <c r="G38" s="64">
        <v>69.67</v>
      </c>
      <c r="H38" s="64">
        <v>25.78</v>
      </c>
      <c r="I38" s="210" t="s">
        <v>43</v>
      </c>
      <c r="J38" s="64">
        <v>0.63</v>
      </c>
      <c r="K38" s="64">
        <v>182.58</v>
      </c>
      <c r="L38" s="64">
        <v>16.5</v>
      </c>
      <c r="M38" s="64">
        <v>100.8</v>
      </c>
      <c r="N38" s="64">
        <v>123.4</v>
      </c>
      <c r="O38" s="64">
        <v>0</v>
      </c>
      <c r="P38" s="64">
        <v>0.95</v>
      </c>
      <c r="Q38" s="64">
        <v>9.68</v>
      </c>
      <c r="R38" s="198"/>
      <c r="S38" s="198"/>
      <c r="T38" s="198"/>
      <c r="U38" s="198"/>
    </row>
    <row r="39" spans="1:21" s="12" customFormat="1" x14ac:dyDescent="0.25">
      <c r="A39" s="213" t="s">
        <v>274</v>
      </c>
      <c r="B39" s="64">
        <v>58.24</v>
      </c>
      <c r="C39" s="64">
        <v>48.25</v>
      </c>
      <c r="D39" s="64">
        <v>70.540000000000006</v>
      </c>
      <c r="E39" s="64">
        <v>6.4</v>
      </c>
      <c r="F39" s="64">
        <v>2.13</v>
      </c>
      <c r="G39" s="64">
        <v>69.67</v>
      </c>
      <c r="H39" s="64">
        <v>25.78</v>
      </c>
      <c r="I39" s="210" t="s">
        <v>43</v>
      </c>
      <c r="J39" s="64">
        <v>0.72</v>
      </c>
      <c r="K39" s="64">
        <v>202.01</v>
      </c>
      <c r="L39" s="64">
        <v>17.09</v>
      </c>
      <c r="M39" s="64">
        <v>96.03</v>
      </c>
      <c r="N39" s="64">
        <v>155.1</v>
      </c>
      <c r="O39" s="64">
        <v>0</v>
      </c>
      <c r="P39" s="64">
        <v>0.94</v>
      </c>
      <c r="Q39" s="64">
        <v>9.73</v>
      </c>
      <c r="R39" s="198"/>
      <c r="S39" s="198"/>
      <c r="T39" s="198"/>
      <c r="U39" s="198"/>
    </row>
    <row r="40" spans="1:21" s="12" customFormat="1" x14ac:dyDescent="0.25">
      <c r="A40" s="213" t="s">
        <v>275</v>
      </c>
      <c r="B40" s="64">
        <v>56.63</v>
      </c>
      <c r="C40" s="64">
        <v>49.48</v>
      </c>
      <c r="D40" s="64">
        <v>69.89</v>
      </c>
      <c r="E40" s="64">
        <v>6.39</v>
      </c>
      <c r="F40" s="64">
        <v>2.13</v>
      </c>
      <c r="G40" s="64">
        <v>70.98</v>
      </c>
      <c r="H40" s="64">
        <v>27.31</v>
      </c>
      <c r="I40" s="210" t="s">
        <v>43</v>
      </c>
      <c r="J40" s="64">
        <v>0.68</v>
      </c>
      <c r="K40" s="64">
        <v>180.38</v>
      </c>
      <c r="L40" s="64">
        <v>17.829999999999998</v>
      </c>
      <c r="M40" s="64">
        <v>92.57</v>
      </c>
      <c r="N40" s="64">
        <v>209.7</v>
      </c>
      <c r="O40" s="64">
        <v>0</v>
      </c>
      <c r="P40" s="64">
        <v>0.92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3" t="s">
        <v>276</v>
      </c>
      <c r="B41" s="64">
        <v>55.19</v>
      </c>
      <c r="C41" s="64">
        <v>49.84</v>
      </c>
      <c r="D41" s="64">
        <v>68.92</v>
      </c>
      <c r="E41" s="64">
        <v>6.81</v>
      </c>
      <c r="F41" s="64">
        <v>2.13</v>
      </c>
      <c r="G41" s="64">
        <v>72.55</v>
      </c>
      <c r="H41" s="64">
        <v>29.14</v>
      </c>
      <c r="I41" s="210" t="s">
        <v>43</v>
      </c>
      <c r="J41" s="64">
        <v>0.86</v>
      </c>
      <c r="K41" s="64">
        <v>159.06</v>
      </c>
      <c r="L41" s="64">
        <v>18.760000000000002</v>
      </c>
      <c r="M41" s="64">
        <v>88.4</v>
      </c>
      <c r="N41" s="64">
        <v>251.2</v>
      </c>
      <c r="O41" s="64">
        <v>0</v>
      </c>
      <c r="P41" s="64">
        <v>0.92</v>
      </c>
      <c r="Q41" s="64">
        <v>9.7100000000000009</v>
      </c>
      <c r="R41" s="198"/>
      <c r="S41" s="198"/>
      <c r="T41" s="198"/>
      <c r="U41" s="198"/>
    </row>
    <row r="42" spans="1:21" s="12" customFormat="1" x14ac:dyDescent="0.25">
      <c r="A42" s="213" t="s">
        <v>277</v>
      </c>
      <c r="B42" s="64">
        <v>53.16</v>
      </c>
      <c r="C42" s="64">
        <v>50.34</v>
      </c>
      <c r="D42" s="64">
        <v>67.56</v>
      </c>
      <c r="E42" s="64">
        <v>6.46</v>
      </c>
      <c r="F42" s="64">
        <v>2.13</v>
      </c>
      <c r="G42" s="64">
        <v>72.55</v>
      </c>
      <c r="H42" s="64">
        <v>29.14</v>
      </c>
      <c r="I42" s="210" t="s">
        <v>43</v>
      </c>
      <c r="J42" s="64">
        <v>1.03</v>
      </c>
      <c r="K42" s="64">
        <v>171.21</v>
      </c>
      <c r="L42" s="64">
        <v>18.93</v>
      </c>
      <c r="M42" s="64">
        <v>88.29</v>
      </c>
      <c r="N42" s="64">
        <v>300.2</v>
      </c>
      <c r="O42" s="64">
        <v>0</v>
      </c>
      <c r="P42" s="64">
        <v>0.9</v>
      </c>
      <c r="Q42" s="64">
        <v>9.7100000000000009</v>
      </c>
      <c r="R42" s="198"/>
      <c r="S42" s="198"/>
      <c r="T42" s="198"/>
      <c r="U42" s="198"/>
    </row>
    <row r="43" spans="1:21" s="12" customFormat="1" x14ac:dyDescent="0.25">
      <c r="A43" s="213" t="s">
        <v>278</v>
      </c>
      <c r="B43" s="64">
        <v>50.94</v>
      </c>
      <c r="C43" s="64">
        <v>50.37</v>
      </c>
      <c r="D43" s="64">
        <v>65.790000000000006</v>
      </c>
      <c r="E43" s="64">
        <v>6.59</v>
      </c>
      <c r="F43" s="64">
        <v>2.13</v>
      </c>
      <c r="G43" s="64">
        <v>72.55</v>
      </c>
      <c r="H43" s="64">
        <v>29.14</v>
      </c>
      <c r="I43" s="210" t="s">
        <v>43</v>
      </c>
      <c r="J43" s="64">
        <v>1.49</v>
      </c>
      <c r="K43" s="64">
        <v>153.22</v>
      </c>
      <c r="L43" s="64">
        <v>20.100000000000001</v>
      </c>
      <c r="M43" s="64">
        <v>83.2</v>
      </c>
      <c r="N43" s="64">
        <v>344</v>
      </c>
      <c r="O43" s="64">
        <v>0</v>
      </c>
      <c r="P43" s="64">
        <v>0.89</v>
      </c>
      <c r="Q43" s="64">
        <v>9.6999999999999993</v>
      </c>
      <c r="R43" s="198"/>
      <c r="S43" s="198"/>
      <c r="T43" s="198"/>
      <c r="U43" s="198"/>
    </row>
    <row r="44" spans="1:21" s="12" customFormat="1" x14ac:dyDescent="0.25">
      <c r="A44" s="213" t="s">
        <v>279</v>
      </c>
      <c r="B44" s="64">
        <v>49.24</v>
      </c>
      <c r="C44" s="64">
        <v>49.82</v>
      </c>
      <c r="D44" s="64">
        <v>64.14</v>
      </c>
      <c r="E44" s="64">
        <v>6.88</v>
      </c>
      <c r="F44" s="64">
        <v>2.13</v>
      </c>
      <c r="G44" s="64">
        <v>70.2</v>
      </c>
      <c r="H44" s="64">
        <v>28.12</v>
      </c>
      <c r="I44" s="210" t="s">
        <v>43</v>
      </c>
      <c r="J44" s="64">
        <v>1.39</v>
      </c>
      <c r="K44" s="64">
        <v>150.66</v>
      </c>
      <c r="L44" s="64">
        <v>21.26</v>
      </c>
      <c r="M44" s="64">
        <v>76.97</v>
      </c>
      <c r="N44" s="64">
        <v>383.5</v>
      </c>
      <c r="O44" s="64">
        <v>0</v>
      </c>
      <c r="P44" s="64">
        <v>0.87</v>
      </c>
      <c r="Q44" s="64">
        <v>9.6999999999999993</v>
      </c>
      <c r="R44" s="198"/>
      <c r="S44" s="198"/>
      <c r="T44" s="198"/>
      <c r="U44" s="198"/>
    </row>
    <row r="45" spans="1:21" s="12" customFormat="1" x14ac:dyDescent="0.25">
      <c r="A45" s="213" t="s">
        <v>280</v>
      </c>
      <c r="B45" s="64">
        <v>47.47</v>
      </c>
      <c r="C45" s="64">
        <v>49.92</v>
      </c>
      <c r="D45" s="64">
        <v>62.77</v>
      </c>
      <c r="E45" s="64">
        <v>6.62</v>
      </c>
      <c r="F45" s="64">
        <v>2.13</v>
      </c>
      <c r="G45" s="64">
        <v>67.39</v>
      </c>
      <c r="H45" s="64">
        <v>26.89</v>
      </c>
      <c r="I45" s="210" t="s">
        <v>43</v>
      </c>
      <c r="J45" s="64">
        <v>1.19</v>
      </c>
      <c r="K45" s="64">
        <v>147.51</v>
      </c>
      <c r="L45" s="64">
        <v>22.53</v>
      </c>
      <c r="M45" s="64">
        <v>69.98</v>
      </c>
      <c r="N45" s="64">
        <v>421.5</v>
      </c>
      <c r="O45" s="64">
        <v>0</v>
      </c>
      <c r="P45" s="64">
        <v>0.86</v>
      </c>
      <c r="Q45" s="64">
        <v>9.69</v>
      </c>
      <c r="R45" s="198"/>
      <c r="S45" s="198"/>
      <c r="T45" s="198"/>
      <c r="U45" s="198"/>
    </row>
    <row r="46" spans="1:21" s="12" customFormat="1" x14ac:dyDescent="0.25">
      <c r="A46" s="213" t="s">
        <v>281</v>
      </c>
      <c r="B46" s="64">
        <v>45.35</v>
      </c>
      <c r="C46" s="64">
        <v>50.99</v>
      </c>
      <c r="D46" s="64">
        <v>61.63</v>
      </c>
      <c r="E46" s="64">
        <v>6.34</v>
      </c>
      <c r="F46" s="64">
        <v>2.13</v>
      </c>
      <c r="G46" s="64">
        <v>67.39</v>
      </c>
      <c r="H46" s="64">
        <v>26.89</v>
      </c>
      <c r="I46" s="210" t="s">
        <v>43</v>
      </c>
      <c r="J46" s="64">
        <v>1.1599999999999999</v>
      </c>
      <c r="K46" s="64">
        <v>161.57</v>
      </c>
      <c r="L46" s="64">
        <v>23.59</v>
      </c>
      <c r="M46" s="64">
        <v>65</v>
      </c>
      <c r="N46" s="64">
        <v>449.3</v>
      </c>
      <c r="O46" s="64">
        <v>0</v>
      </c>
      <c r="P46" s="64">
        <v>0.83</v>
      </c>
      <c r="Q46" s="64">
        <v>9.68</v>
      </c>
      <c r="R46" s="198"/>
      <c r="S46" s="198"/>
      <c r="T46" s="198"/>
      <c r="U46" s="198"/>
    </row>
    <row r="47" spans="1:21" s="12" customFormat="1" x14ac:dyDescent="0.25">
      <c r="A47" s="213" t="s">
        <v>282</v>
      </c>
      <c r="B47" s="64">
        <v>42.78</v>
      </c>
      <c r="C47" s="64">
        <v>53.43</v>
      </c>
      <c r="D47" s="64">
        <v>60.85</v>
      </c>
      <c r="E47" s="64">
        <v>6.85</v>
      </c>
      <c r="F47" s="64">
        <v>2.13</v>
      </c>
      <c r="G47" s="64">
        <v>67.39</v>
      </c>
      <c r="H47" s="64">
        <v>26.89</v>
      </c>
      <c r="I47" s="210" t="s">
        <v>43</v>
      </c>
      <c r="J47" s="64">
        <v>1.27</v>
      </c>
      <c r="K47" s="64">
        <v>162.63</v>
      </c>
      <c r="L47" s="64">
        <v>23.27</v>
      </c>
      <c r="M47" s="64">
        <v>66.56</v>
      </c>
      <c r="N47" s="64">
        <v>467.5</v>
      </c>
      <c r="O47" s="64">
        <v>0</v>
      </c>
      <c r="P47" s="64">
        <v>0.81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3" t="s">
        <v>283</v>
      </c>
      <c r="B48" s="64">
        <v>39.700000000000003</v>
      </c>
      <c r="C48" s="64">
        <v>51.19</v>
      </c>
      <c r="D48" s="64">
        <v>57.21</v>
      </c>
      <c r="E48" s="64">
        <v>6.21</v>
      </c>
      <c r="F48" s="64">
        <v>2.13</v>
      </c>
      <c r="G48" s="64">
        <v>65.16</v>
      </c>
      <c r="H48" s="64">
        <v>25.9</v>
      </c>
      <c r="I48" s="210" t="s">
        <v>43</v>
      </c>
      <c r="J48" s="64">
        <v>1.62</v>
      </c>
      <c r="K48" s="64">
        <v>150.61000000000001</v>
      </c>
      <c r="L48" s="64">
        <v>23.91</v>
      </c>
      <c r="M48" s="64">
        <v>63.69</v>
      </c>
      <c r="N48" s="64">
        <v>488.3</v>
      </c>
      <c r="O48" s="64">
        <v>0</v>
      </c>
      <c r="P48" s="64">
        <v>0.79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3" t="s">
        <v>284</v>
      </c>
      <c r="B49" s="64">
        <v>36.39</v>
      </c>
      <c r="C49" s="64">
        <v>53.01</v>
      </c>
      <c r="D49" s="64">
        <v>55.5</v>
      </c>
      <c r="E49" s="64">
        <v>6.52</v>
      </c>
      <c r="F49" s="64">
        <v>2.13</v>
      </c>
      <c r="G49" s="64">
        <v>62.5</v>
      </c>
      <c r="H49" s="64">
        <v>24.71</v>
      </c>
      <c r="I49" s="210" t="s">
        <v>43</v>
      </c>
      <c r="J49" s="64">
        <v>1.2</v>
      </c>
      <c r="K49" s="64">
        <v>164.39</v>
      </c>
      <c r="L49" s="64">
        <v>23.89</v>
      </c>
      <c r="M49" s="64">
        <v>63.29</v>
      </c>
      <c r="N49" s="64">
        <v>507.3</v>
      </c>
      <c r="O49" s="64">
        <v>0</v>
      </c>
      <c r="P49" s="64">
        <v>0.77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3" t="s">
        <v>285</v>
      </c>
      <c r="B50" s="64">
        <v>32.81</v>
      </c>
      <c r="C50" s="64">
        <v>53.76</v>
      </c>
      <c r="D50" s="64">
        <v>53.02</v>
      </c>
      <c r="E50" s="64">
        <v>6.13</v>
      </c>
      <c r="F50" s="64">
        <v>2.13</v>
      </c>
      <c r="G50" s="64">
        <v>62.5</v>
      </c>
      <c r="H50" s="64">
        <v>24.71</v>
      </c>
      <c r="I50" s="210" t="s">
        <v>43</v>
      </c>
      <c r="J50" s="64">
        <v>1.27</v>
      </c>
      <c r="K50" s="64">
        <v>147.83000000000001</v>
      </c>
      <c r="L50" s="64">
        <v>24.79</v>
      </c>
      <c r="M50" s="64">
        <v>59.2</v>
      </c>
      <c r="N50" s="64">
        <v>528</v>
      </c>
      <c r="O50" s="64">
        <v>0</v>
      </c>
      <c r="P50" s="64">
        <v>0.75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3" t="s">
        <v>286</v>
      </c>
      <c r="B51" s="64">
        <v>29.49</v>
      </c>
      <c r="C51" s="64">
        <v>50.78</v>
      </c>
      <c r="D51" s="64">
        <v>48.8</v>
      </c>
      <c r="E51" s="64">
        <v>5.76</v>
      </c>
      <c r="F51" s="64">
        <v>2.13</v>
      </c>
      <c r="G51" s="64">
        <v>62.5</v>
      </c>
      <c r="H51" s="64">
        <v>24.71</v>
      </c>
      <c r="I51" s="210" t="s">
        <v>43</v>
      </c>
      <c r="J51" s="64">
        <v>1.19</v>
      </c>
      <c r="K51" s="64">
        <v>151.18</v>
      </c>
      <c r="L51" s="64">
        <v>25.39</v>
      </c>
      <c r="M51" s="64">
        <v>53.97</v>
      </c>
      <c r="N51" s="64">
        <v>543.5</v>
      </c>
      <c r="O51" s="64">
        <v>0</v>
      </c>
      <c r="P51" s="64">
        <v>0.72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3" t="s">
        <v>287</v>
      </c>
      <c r="B52" s="64">
        <v>26.26</v>
      </c>
      <c r="C52" s="64">
        <v>54.54</v>
      </c>
      <c r="D52" s="64">
        <v>48.18</v>
      </c>
      <c r="E52" s="64">
        <v>5.84</v>
      </c>
      <c r="F52" s="64">
        <v>2.13</v>
      </c>
      <c r="G52" s="64">
        <v>58.42</v>
      </c>
      <c r="H52" s="64">
        <v>23.68</v>
      </c>
      <c r="I52" s="210" t="s">
        <v>43</v>
      </c>
      <c r="J52" s="64">
        <v>0.77</v>
      </c>
      <c r="K52" s="64">
        <v>162.68</v>
      </c>
      <c r="L52" s="64">
        <v>26.32</v>
      </c>
      <c r="M52" s="64">
        <v>49.89</v>
      </c>
      <c r="N52" s="64">
        <v>546.29999999999995</v>
      </c>
      <c r="O52" s="64">
        <v>0</v>
      </c>
      <c r="P52" s="64">
        <v>0.7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3" t="s">
        <v>288</v>
      </c>
      <c r="B53" s="64">
        <v>23.02</v>
      </c>
      <c r="C53" s="64">
        <v>56.23</v>
      </c>
      <c r="D53" s="64">
        <v>46.46</v>
      </c>
      <c r="E53" s="64">
        <v>5.71</v>
      </c>
      <c r="F53" s="64">
        <v>2.13</v>
      </c>
      <c r="G53" s="64">
        <v>53.56</v>
      </c>
      <c r="H53" s="64">
        <v>22.45</v>
      </c>
      <c r="I53" s="210" t="s">
        <v>43</v>
      </c>
      <c r="J53" s="64">
        <v>0.44</v>
      </c>
      <c r="K53" s="64">
        <v>204.01</v>
      </c>
      <c r="L53" s="64">
        <v>27</v>
      </c>
      <c r="M53" s="64">
        <v>45.41</v>
      </c>
      <c r="N53" s="64">
        <v>557.70000000000005</v>
      </c>
      <c r="O53" s="64">
        <v>0</v>
      </c>
      <c r="P53" s="64">
        <v>0.68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3" t="s">
        <v>289</v>
      </c>
      <c r="B54" s="64">
        <v>19.850000000000001</v>
      </c>
      <c r="C54" s="64">
        <v>53.23</v>
      </c>
      <c r="D54" s="64">
        <v>42.35</v>
      </c>
      <c r="E54" s="64">
        <v>6.06</v>
      </c>
      <c r="F54" s="64">
        <v>2.13</v>
      </c>
      <c r="G54" s="64">
        <v>53.56</v>
      </c>
      <c r="H54" s="64">
        <v>22.45</v>
      </c>
      <c r="I54" s="210" t="s">
        <v>43</v>
      </c>
      <c r="J54" s="64">
        <v>0.77</v>
      </c>
      <c r="K54" s="64">
        <v>288.61</v>
      </c>
      <c r="L54" s="64">
        <v>29.46</v>
      </c>
      <c r="M54" s="64">
        <v>41.21</v>
      </c>
      <c r="N54" s="64">
        <v>566.20000000000005</v>
      </c>
      <c r="O54" s="64">
        <v>0</v>
      </c>
      <c r="P54" s="64">
        <v>0.67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3" t="s">
        <v>290</v>
      </c>
      <c r="B55" s="64">
        <v>17.43</v>
      </c>
      <c r="C55" s="64">
        <v>56.66</v>
      </c>
      <c r="D55" s="64">
        <v>42.21</v>
      </c>
      <c r="E55" s="64">
        <v>6.3</v>
      </c>
      <c r="F55" s="64">
        <v>2.13</v>
      </c>
      <c r="G55" s="64">
        <v>53.56</v>
      </c>
      <c r="H55" s="64">
        <v>22.45</v>
      </c>
      <c r="I55" s="210" t="s">
        <v>43</v>
      </c>
      <c r="J55" s="64">
        <v>0.36</v>
      </c>
      <c r="K55" s="64">
        <v>235.73</v>
      </c>
      <c r="L55" s="64">
        <v>30.85</v>
      </c>
      <c r="M55" s="64">
        <v>37.44</v>
      </c>
      <c r="N55" s="64">
        <v>577.70000000000005</v>
      </c>
      <c r="O55" s="64">
        <v>0</v>
      </c>
      <c r="P55" s="64">
        <v>0.61</v>
      </c>
      <c r="Q55" s="64">
        <v>9.58</v>
      </c>
      <c r="R55" s="198"/>
      <c r="S55" s="198"/>
      <c r="T55" s="198"/>
      <c r="U55" s="198"/>
    </row>
    <row r="56" spans="1:21" s="12" customFormat="1" x14ac:dyDescent="0.25">
      <c r="A56" s="213" t="s">
        <v>291</v>
      </c>
      <c r="B56" s="64">
        <v>15.88</v>
      </c>
      <c r="C56" s="64">
        <v>54.06</v>
      </c>
      <c r="D56" s="64">
        <v>39.6</v>
      </c>
      <c r="E56" s="64">
        <v>6.17</v>
      </c>
      <c r="F56" s="64">
        <v>2.13</v>
      </c>
      <c r="G56" s="64">
        <v>52.44</v>
      </c>
      <c r="H56" s="64">
        <v>23.52</v>
      </c>
      <c r="I56" s="210" t="s">
        <v>43</v>
      </c>
      <c r="J56" s="64">
        <v>0.34</v>
      </c>
      <c r="K56" s="64">
        <v>320.12</v>
      </c>
      <c r="L56" s="64">
        <v>29.52</v>
      </c>
      <c r="M56" s="64">
        <v>37.520000000000003</v>
      </c>
      <c r="N56" s="64">
        <v>592.5</v>
      </c>
      <c r="O56" s="64">
        <v>0</v>
      </c>
      <c r="P56" s="64">
        <v>0.62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3" t="s">
        <v>292</v>
      </c>
      <c r="B57" s="64">
        <v>14.48</v>
      </c>
      <c r="C57" s="64">
        <v>54.43</v>
      </c>
      <c r="D57" s="64">
        <v>38.67</v>
      </c>
      <c r="E57" s="64">
        <v>5.87</v>
      </c>
      <c r="F57" s="64">
        <v>2.13</v>
      </c>
      <c r="G57" s="64">
        <v>51.1</v>
      </c>
      <c r="H57" s="64">
        <v>24.8</v>
      </c>
      <c r="I57" s="210" t="s">
        <v>43</v>
      </c>
      <c r="J57" s="64">
        <v>0.62</v>
      </c>
      <c r="K57" s="64">
        <v>208.38</v>
      </c>
      <c r="L57" s="64">
        <v>29.02</v>
      </c>
      <c r="M57" s="64">
        <v>31.68</v>
      </c>
      <c r="N57" s="64">
        <v>608.4</v>
      </c>
      <c r="O57" s="64">
        <v>0</v>
      </c>
      <c r="P57" s="64">
        <v>0.63</v>
      </c>
      <c r="Q57" s="64">
        <v>9.56</v>
      </c>
      <c r="R57" s="198"/>
      <c r="S57" s="198"/>
      <c r="T57" s="198"/>
      <c r="U57" s="198"/>
    </row>
    <row r="58" spans="1:21" s="12" customFormat="1" x14ac:dyDescent="0.25">
      <c r="A58" s="213" t="s">
        <v>293</v>
      </c>
      <c r="B58" s="64">
        <v>12.45</v>
      </c>
      <c r="C58" s="64">
        <v>57.66</v>
      </c>
      <c r="D58" s="64">
        <v>38.74</v>
      </c>
      <c r="E58" s="64">
        <v>5.73</v>
      </c>
      <c r="F58" s="64">
        <v>2.13</v>
      </c>
      <c r="G58" s="64">
        <v>51.1</v>
      </c>
      <c r="H58" s="64">
        <v>24.8</v>
      </c>
      <c r="I58" s="210" t="s">
        <v>43</v>
      </c>
      <c r="J58" s="64">
        <v>0.67</v>
      </c>
      <c r="K58" s="64">
        <v>163.43</v>
      </c>
      <c r="L58" s="64">
        <v>29.26</v>
      </c>
      <c r="M58" s="64">
        <v>32.049999999999997</v>
      </c>
      <c r="N58" s="64">
        <v>598.4</v>
      </c>
      <c r="O58" s="64">
        <v>0</v>
      </c>
      <c r="P58" s="64">
        <v>0.57999999999999996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13" t="s">
        <v>294</v>
      </c>
      <c r="B59" s="64">
        <v>10.79</v>
      </c>
      <c r="C59" s="64">
        <v>58.52</v>
      </c>
      <c r="D59" s="64">
        <v>37.85</v>
      </c>
      <c r="E59" s="64">
        <v>5.78</v>
      </c>
      <c r="F59" s="64">
        <v>2.13</v>
      </c>
      <c r="G59" s="64">
        <v>51.1</v>
      </c>
      <c r="H59" s="64">
        <v>24.8</v>
      </c>
      <c r="I59" s="210" t="s">
        <v>43</v>
      </c>
      <c r="J59" s="64">
        <v>0.4</v>
      </c>
      <c r="K59" s="64">
        <v>264.87</v>
      </c>
      <c r="L59" s="64">
        <v>29.69</v>
      </c>
      <c r="M59" s="64">
        <v>32.5</v>
      </c>
      <c r="N59" s="64">
        <v>580.70000000000005</v>
      </c>
      <c r="O59" s="64">
        <v>0</v>
      </c>
      <c r="P59" s="64">
        <v>0.57999999999999996</v>
      </c>
      <c r="Q59" s="64">
        <v>9.51</v>
      </c>
      <c r="R59" s="198"/>
      <c r="S59" s="198"/>
      <c r="T59" s="198"/>
      <c r="U59" s="198"/>
    </row>
    <row r="60" spans="1:21" s="12" customFormat="1" x14ac:dyDescent="0.25">
      <c r="A60" s="213" t="s">
        <v>295</v>
      </c>
      <c r="B60" s="64">
        <v>9.56</v>
      </c>
      <c r="C60" s="64">
        <v>58.58</v>
      </c>
      <c r="D60" s="64">
        <v>36.9</v>
      </c>
      <c r="E60" s="64">
        <v>5.83</v>
      </c>
      <c r="F60" s="64">
        <v>2.13</v>
      </c>
      <c r="G60" s="64">
        <v>47.71</v>
      </c>
      <c r="H60" s="64">
        <v>23.5</v>
      </c>
      <c r="I60" s="210" t="s">
        <v>43</v>
      </c>
      <c r="J60" s="64">
        <v>0.28000000000000003</v>
      </c>
      <c r="K60" s="64">
        <v>268.95</v>
      </c>
      <c r="L60" s="64">
        <v>29.55</v>
      </c>
      <c r="M60" s="64">
        <v>34.26</v>
      </c>
      <c r="N60" s="64">
        <v>573.70000000000005</v>
      </c>
      <c r="O60" s="64">
        <v>0</v>
      </c>
      <c r="P60" s="64">
        <v>0.56999999999999995</v>
      </c>
      <c r="Q60" s="64">
        <v>9.51</v>
      </c>
      <c r="R60" s="198"/>
      <c r="S60" s="198"/>
      <c r="T60" s="198"/>
      <c r="U60" s="198"/>
    </row>
    <row r="61" spans="1:21" s="12" customFormat="1" x14ac:dyDescent="0.25">
      <c r="A61" s="213" t="s">
        <v>296</v>
      </c>
      <c r="B61" s="64">
        <v>8.2899999999999991</v>
      </c>
      <c r="C61" s="64">
        <v>58.39</v>
      </c>
      <c r="D61" s="64">
        <v>35.78</v>
      </c>
      <c r="E61" s="64">
        <v>5.87</v>
      </c>
      <c r="F61" s="64">
        <v>2.13</v>
      </c>
      <c r="G61" s="64">
        <v>43.65</v>
      </c>
      <c r="H61" s="64">
        <v>21.94</v>
      </c>
      <c r="I61" s="210" t="s">
        <v>43</v>
      </c>
      <c r="J61" s="64">
        <v>0.38</v>
      </c>
      <c r="K61" s="64">
        <v>273.27</v>
      </c>
      <c r="L61" s="64">
        <v>29.83</v>
      </c>
      <c r="M61" s="64">
        <v>34.4</v>
      </c>
      <c r="N61" s="64">
        <v>551.6</v>
      </c>
      <c r="O61" s="64">
        <v>0</v>
      </c>
      <c r="P61" s="64">
        <v>0.55000000000000004</v>
      </c>
      <c r="Q61" s="64">
        <v>9.5</v>
      </c>
      <c r="R61" s="198"/>
      <c r="S61" s="198"/>
      <c r="T61" s="198"/>
      <c r="U61" s="198"/>
    </row>
    <row r="62" spans="1:21" s="12" customFormat="1" x14ac:dyDescent="0.25">
      <c r="A62" s="213" t="s">
        <v>297</v>
      </c>
      <c r="B62" s="64">
        <v>7.04</v>
      </c>
      <c r="C62" s="64">
        <v>57.84</v>
      </c>
      <c r="D62" s="64">
        <v>34.49</v>
      </c>
      <c r="E62" s="64">
        <v>5.77</v>
      </c>
      <c r="F62" s="64">
        <v>2.13</v>
      </c>
      <c r="G62" s="64">
        <v>43.65</v>
      </c>
      <c r="H62" s="64">
        <v>21.94</v>
      </c>
      <c r="I62" s="210" t="s">
        <v>43</v>
      </c>
      <c r="J62" s="64">
        <v>0.62</v>
      </c>
      <c r="K62" s="64">
        <v>188.18</v>
      </c>
      <c r="L62" s="64">
        <v>29.27</v>
      </c>
      <c r="M62" s="64">
        <v>35.28</v>
      </c>
      <c r="N62" s="64">
        <v>529.6</v>
      </c>
      <c r="O62" s="64">
        <v>0</v>
      </c>
      <c r="P62" s="64">
        <v>0.55000000000000004</v>
      </c>
      <c r="Q62" s="64">
        <v>9.4499999999999993</v>
      </c>
      <c r="R62" s="198"/>
      <c r="S62" s="198"/>
      <c r="T62" s="198"/>
      <c r="U62" s="198"/>
    </row>
    <row r="63" spans="1:21" s="12" customFormat="1" x14ac:dyDescent="0.25">
      <c r="A63" s="213" t="s">
        <v>298</v>
      </c>
      <c r="B63" s="64">
        <v>6.16</v>
      </c>
      <c r="C63" s="64">
        <v>60.46</v>
      </c>
      <c r="D63" s="64">
        <v>35.15</v>
      </c>
      <c r="E63" s="64">
        <v>6.15</v>
      </c>
      <c r="F63" s="64">
        <v>2.13</v>
      </c>
      <c r="G63" s="64">
        <v>43.65</v>
      </c>
      <c r="H63" s="64">
        <v>21.94</v>
      </c>
      <c r="I63" s="210" t="s">
        <v>43</v>
      </c>
      <c r="J63" s="64">
        <v>1.36</v>
      </c>
      <c r="K63" s="64">
        <v>154.27000000000001</v>
      </c>
      <c r="L63" s="64">
        <v>28.95</v>
      </c>
      <c r="M63" s="64">
        <v>34.869999999999997</v>
      </c>
      <c r="N63" s="64">
        <v>460.9</v>
      </c>
      <c r="O63" s="64">
        <v>0</v>
      </c>
      <c r="P63" s="64">
        <v>0.59</v>
      </c>
      <c r="Q63" s="64">
        <v>9.41</v>
      </c>
      <c r="R63" s="198"/>
      <c r="S63" s="198"/>
      <c r="T63" s="198"/>
      <c r="U63" s="198"/>
    </row>
    <row r="64" spans="1:21" s="12" customFormat="1" x14ac:dyDescent="0.25">
      <c r="A64" s="213" t="s">
        <v>299</v>
      </c>
      <c r="B64" s="64">
        <v>5.36</v>
      </c>
      <c r="C64" s="64">
        <v>58.03</v>
      </c>
      <c r="D64" s="64">
        <v>33.24</v>
      </c>
      <c r="E64" s="64">
        <v>5.87</v>
      </c>
      <c r="F64" s="64">
        <v>2.13</v>
      </c>
      <c r="G64" s="64">
        <v>44.37</v>
      </c>
      <c r="H64" s="64">
        <v>21.4</v>
      </c>
      <c r="I64" s="210" t="s">
        <v>43</v>
      </c>
      <c r="J64" s="64">
        <v>0.49</v>
      </c>
      <c r="K64" s="64">
        <v>199.01</v>
      </c>
      <c r="L64" s="64">
        <v>29.23</v>
      </c>
      <c r="M64" s="64">
        <v>32.94</v>
      </c>
      <c r="N64" s="64">
        <v>490.6</v>
      </c>
      <c r="O64" s="64">
        <v>0</v>
      </c>
      <c r="P64" s="64">
        <v>0.56000000000000005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13" t="s">
        <v>300</v>
      </c>
      <c r="B65" s="64">
        <v>4.55</v>
      </c>
      <c r="C65" s="64">
        <v>52.8</v>
      </c>
      <c r="D65" s="64">
        <v>29.86</v>
      </c>
      <c r="E65" s="64">
        <v>5.37</v>
      </c>
      <c r="F65" s="64">
        <v>2.13</v>
      </c>
      <c r="G65" s="64">
        <v>45.23</v>
      </c>
      <c r="H65" s="64">
        <v>20.76</v>
      </c>
      <c r="I65" s="210" t="s">
        <v>43</v>
      </c>
      <c r="J65" s="64">
        <v>1.3</v>
      </c>
      <c r="K65" s="64">
        <v>161.72</v>
      </c>
      <c r="L65" s="64">
        <v>28.86</v>
      </c>
      <c r="M65" s="64">
        <v>31.81</v>
      </c>
      <c r="N65" s="64">
        <v>446.1</v>
      </c>
      <c r="O65" s="64">
        <v>0</v>
      </c>
      <c r="P65" s="64">
        <v>0.55000000000000004</v>
      </c>
      <c r="Q65" s="64">
        <v>9.32</v>
      </c>
      <c r="R65" s="198"/>
      <c r="S65" s="198"/>
      <c r="T65" s="198"/>
      <c r="U65" s="198"/>
    </row>
    <row r="66" spans="1:21" s="12" customFormat="1" x14ac:dyDescent="0.25">
      <c r="A66" s="213" t="s">
        <v>301</v>
      </c>
      <c r="B66" s="64">
        <v>4.01</v>
      </c>
      <c r="C66" s="64">
        <v>55.49</v>
      </c>
      <c r="D66" s="64">
        <v>30.84</v>
      </c>
      <c r="E66" s="64">
        <v>5.46</v>
      </c>
      <c r="F66" s="64">
        <v>2.13</v>
      </c>
      <c r="G66" s="64">
        <v>45.23</v>
      </c>
      <c r="H66" s="64">
        <v>20.76</v>
      </c>
      <c r="I66" s="210" t="s">
        <v>43</v>
      </c>
      <c r="J66" s="64">
        <v>0.87</v>
      </c>
      <c r="K66" s="64">
        <v>168.19</v>
      </c>
      <c r="L66" s="64">
        <v>28.07</v>
      </c>
      <c r="M66" s="64">
        <v>31.96</v>
      </c>
      <c r="N66" s="64">
        <v>274.7</v>
      </c>
      <c r="O66" s="64">
        <v>0</v>
      </c>
      <c r="P66" s="64">
        <v>0.52</v>
      </c>
      <c r="Q66" s="64">
        <v>9.2799999999999994</v>
      </c>
      <c r="R66" s="198"/>
      <c r="S66" s="198"/>
      <c r="T66" s="198"/>
      <c r="U66" s="198"/>
    </row>
    <row r="67" spans="1:21" s="12" customFormat="1" x14ac:dyDescent="0.25">
      <c r="A67" s="213" t="s">
        <v>302</v>
      </c>
      <c r="B67" s="64">
        <v>3.66</v>
      </c>
      <c r="C67" s="64">
        <v>56.06</v>
      </c>
      <c r="D67" s="64">
        <v>30.85</v>
      </c>
      <c r="E67" s="64">
        <v>5.68</v>
      </c>
      <c r="F67" s="64">
        <v>2.13</v>
      </c>
      <c r="G67" s="64">
        <v>45.23</v>
      </c>
      <c r="H67" s="64">
        <v>20.76</v>
      </c>
      <c r="I67" s="210" t="s">
        <v>43</v>
      </c>
      <c r="J67" s="64">
        <v>2.02</v>
      </c>
      <c r="K67" s="64">
        <v>148.72999999999999</v>
      </c>
      <c r="L67" s="64">
        <v>27.9</v>
      </c>
      <c r="M67" s="64">
        <v>31.72</v>
      </c>
      <c r="N67" s="64">
        <v>230.9</v>
      </c>
      <c r="O67" s="64">
        <v>0</v>
      </c>
      <c r="P67" s="64">
        <v>0.51</v>
      </c>
      <c r="Q67" s="64">
        <v>9.26</v>
      </c>
      <c r="R67" s="198"/>
      <c r="S67" s="198"/>
      <c r="T67" s="198"/>
      <c r="U67" s="198"/>
    </row>
    <row r="68" spans="1:21" s="12" customFormat="1" x14ac:dyDescent="0.25">
      <c r="A68" s="213" t="s">
        <v>303</v>
      </c>
      <c r="B68" s="64">
        <v>3.43</v>
      </c>
      <c r="C68" s="64">
        <v>54.06</v>
      </c>
      <c r="D68" s="64">
        <v>29.62</v>
      </c>
      <c r="E68" s="64">
        <v>5.08</v>
      </c>
      <c r="F68" s="64">
        <v>2.13</v>
      </c>
      <c r="G68" s="64">
        <v>43.34</v>
      </c>
      <c r="H68" s="64">
        <v>19.5</v>
      </c>
      <c r="I68" s="210" t="s">
        <v>43</v>
      </c>
      <c r="J68" s="64">
        <v>1.05</v>
      </c>
      <c r="K68" s="64">
        <v>159.24</v>
      </c>
      <c r="L68" s="64">
        <v>27.86</v>
      </c>
      <c r="M68" s="64">
        <v>31.42</v>
      </c>
      <c r="N68" s="64">
        <v>208.5</v>
      </c>
      <c r="O68" s="64">
        <v>0</v>
      </c>
      <c r="P68" s="64">
        <v>0.5</v>
      </c>
      <c r="Q68" s="64">
        <v>9.23</v>
      </c>
      <c r="R68" s="198"/>
      <c r="S68" s="198"/>
      <c r="T68" s="198"/>
      <c r="U68" s="198"/>
    </row>
    <row r="69" spans="1:21" s="12" customFormat="1" x14ac:dyDescent="0.25">
      <c r="A69" s="213" t="s">
        <v>304</v>
      </c>
      <c r="B69" s="64">
        <v>3.41</v>
      </c>
      <c r="C69" s="64">
        <v>54.28</v>
      </c>
      <c r="D69" s="64">
        <v>29.72</v>
      </c>
      <c r="E69" s="64">
        <v>5.79</v>
      </c>
      <c r="F69" s="64">
        <v>2.13</v>
      </c>
      <c r="G69" s="64">
        <v>41.08</v>
      </c>
      <c r="H69" s="64">
        <v>17.98</v>
      </c>
      <c r="I69" s="210" t="s">
        <v>43</v>
      </c>
      <c r="J69" s="64">
        <v>1.1599999999999999</v>
      </c>
      <c r="K69" s="64">
        <v>161.74</v>
      </c>
      <c r="L69" s="64">
        <v>27.88</v>
      </c>
      <c r="M69" s="64">
        <v>31</v>
      </c>
      <c r="N69" s="64">
        <v>279.60000000000002</v>
      </c>
      <c r="O69" s="64">
        <v>0</v>
      </c>
      <c r="P69" s="64">
        <v>0.48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13" t="s">
        <v>305</v>
      </c>
      <c r="B70" s="64">
        <v>3.38</v>
      </c>
      <c r="C70" s="64">
        <v>52.61</v>
      </c>
      <c r="D70" s="64">
        <v>28.82</v>
      </c>
      <c r="E70" s="64">
        <v>5.41</v>
      </c>
      <c r="F70" s="64">
        <v>2.13</v>
      </c>
      <c r="G70" s="64">
        <v>41.08</v>
      </c>
      <c r="H70" s="64">
        <v>17.98</v>
      </c>
      <c r="I70" s="210" t="s">
        <v>43</v>
      </c>
      <c r="J70" s="64">
        <v>1.27</v>
      </c>
      <c r="K70" s="64">
        <v>150.91</v>
      </c>
      <c r="L70" s="64">
        <v>27.54</v>
      </c>
      <c r="M70" s="64">
        <v>31.09</v>
      </c>
      <c r="N70" s="64">
        <v>202.5</v>
      </c>
      <c r="O70" s="64">
        <v>0</v>
      </c>
      <c r="P70" s="64">
        <v>0.47</v>
      </c>
      <c r="Q70" s="64">
        <v>9.2100000000000009</v>
      </c>
      <c r="R70" s="198"/>
      <c r="S70" s="198"/>
      <c r="T70" s="198"/>
      <c r="U70" s="198"/>
    </row>
    <row r="71" spans="1:21" s="12" customFormat="1" x14ac:dyDescent="0.25">
      <c r="A71" s="213" t="s">
        <v>306</v>
      </c>
      <c r="B71" s="64">
        <v>3.3</v>
      </c>
      <c r="C71" s="64">
        <v>52.49</v>
      </c>
      <c r="D71" s="64">
        <v>28.69</v>
      </c>
      <c r="E71" s="64">
        <v>5.37</v>
      </c>
      <c r="F71" s="64">
        <v>2.13</v>
      </c>
      <c r="G71" s="64">
        <v>41.08</v>
      </c>
      <c r="H71" s="64">
        <v>17.98</v>
      </c>
      <c r="I71" s="210" t="s">
        <v>43</v>
      </c>
      <c r="J71" s="64">
        <v>1.1499999999999999</v>
      </c>
      <c r="K71" s="64">
        <v>152.63999999999999</v>
      </c>
      <c r="L71" s="64">
        <v>27.65</v>
      </c>
      <c r="M71" s="64">
        <v>31.23</v>
      </c>
      <c r="N71" s="64">
        <v>151.80000000000001</v>
      </c>
      <c r="O71" s="64">
        <v>0</v>
      </c>
      <c r="P71" s="64">
        <v>0.46</v>
      </c>
      <c r="Q71" s="64">
        <v>9.1999999999999993</v>
      </c>
      <c r="R71" s="198"/>
      <c r="S71" s="198"/>
      <c r="T71" s="198"/>
      <c r="U71" s="198"/>
    </row>
    <row r="72" spans="1:21" s="12" customFormat="1" x14ac:dyDescent="0.25">
      <c r="A72" s="213" t="s">
        <v>307</v>
      </c>
      <c r="B72" s="64">
        <v>3.25</v>
      </c>
      <c r="C72" s="64">
        <v>50.33</v>
      </c>
      <c r="D72" s="64">
        <v>27.53</v>
      </c>
      <c r="E72" s="64">
        <v>5.48</v>
      </c>
      <c r="F72" s="64">
        <v>2.13</v>
      </c>
      <c r="G72" s="64">
        <v>40.409999999999997</v>
      </c>
      <c r="H72" s="64">
        <v>18.96</v>
      </c>
      <c r="I72" s="210" t="s">
        <v>43</v>
      </c>
      <c r="J72" s="64">
        <v>0.81</v>
      </c>
      <c r="K72" s="64">
        <v>166.22</v>
      </c>
      <c r="L72" s="64">
        <v>27.55</v>
      </c>
      <c r="M72" s="64">
        <v>31.31</v>
      </c>
      <c r="N72" s="64">
        <v>140.1</v>
      </c>
      <c r="O72" s="64">
        <v>0</v>
      </c>
      <c r="P72" s="64">
        <v>0.41</v>
      </c>
      <c r="Q72" s="64">
        <v>9.19</v>
      </c>
      <c r="R72" s="198"/>
      <c r="S72" s="198"/>
      <c r="T72" s="198"/>
      <c r="U72" s="198"/>
    </row>
    <row r="73" spans="1:21" s="12" customFormat="1" x14ac:dyDescent="0.25">
      <c r="A73" s="213" t="s">
        <v>308</v>
      </c>
      <c r="B73" s="64">
        <v>3.43</v>
      </c>
      <c r="C73" s="64">
        <v>47.82</v>
      </c>
      <c r="D73" s="64">
        <v>26.36</v>
      </c>
      <c r="E73" s="64">
        <v>5.05</v>
      </c>
      <c r="F73" s="64">
        <v>2.13</v>
      </c>
      <c r="G73" s="64">
        <v>39.61</v>
      </c>
      <c r="H73" s="64">
        <v>20.13</v>
      </c>
      <c r="I73" s="210" t="s">
        <v>43</v>
      </c>
      <c r="J73" s="64">
        <v>0.55000000000000004</v>
      </c>
      <c r="K73" s="64">
        <v>194.94</v>
      </c>
      <c r="L73" s="64">
        <v>27.58</v>
      </c>
      <c r="M73" s="64">
        <v>31.76</v>
      </c>
      <c r="N73" s="64">
        <v>131.19999999999999</v>
      </c>
      <c r="O73" s="64">
        <v>0</v>
      </c>
      <c r="P73" s="64">
        <v>0.4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13" t="s">
        <v>309</v>
      </c>
      <c r="B74" s="64">
        <v>3.75</v>
      </c>
      <c r="C74" s="64">
        <v>48.26</v>
      </c>
      <c r="D74" s="64">
        <v>26.84</v>
      </c>
      <c r="E74" s="64">
        <v>5.03</v>
      </c>
      <c r="F74" s="64">
        <v>2.13</v>
      </c>
      <c r="G74" s="64">
        <v>39.61</v>
      </c>
      <c r="H74" s="64">
        <v>20.13</v>
      </c>
      <c r="I74" s="210" t="s">
        <v>43</v>
      </c>
      <c r="J74" s="64">
        <v>0.3</v>
      </c>
      <c r="K74" s="64">
        <v>288.68</v>
      </c>
      <c r="L74" s="64">
        <v>27.53</v>
      </c>
      <c r="M74" s="64">
        <v>33.340000000000003</v>
      </c>
      <c r="N74" s="64">
        <v>122.8</v>
      </c>
      <c r="O74" s="64">
        <v>0</v>
      </c>
      <c r="P74" s="64">
        <v>0.51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3" t="s">
        <v>310</v>
      </c>
      <c r="B75" s="64">
        <v>4.43</v>
      </c>
      <c r="C75" s="64">
        <v>49.35</v>
      </c>
      <c r="D75" s="64">
        <v>27.95</v>
      </c>
      <c r="E75" s="64">
        <v>5.37</v>
      </c>
      <c r="F75" s="64">
        <v>2.13</v>
      </c>
      <c r="G75" s="64">
        <v>39.61</v>
      </c>
      <c r="H75" s="64">
        <v>20.13</v>
      </c>
      <c r="I75" s="210" t="s">
        <v>43</v>
      </c>
      <c r="J75" s="64">
        <v>0.71</v>
      </c>
      <c r="K75" s="64">
        <v>298.82</v>
      </c>
      <c r="L75" s="64">
        <v>27.58</v>
      </c>
      <c r="M75" s="64">
        <v>34.68</v>
      </c>
      <c r="N75" s="64">
        <v>114.9</v>
      </c>
      <c r="O75" s="64">
        <v>0</v>
      </c>
      <c r="P75" s="64">
        <v>0.56000000000000005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3" t="s">
        <v>311</v>
      </c>
      <c r="B76" s="64">
        <v>5.12</v>
      </c>
      <c r="C76" s="64">
        <v>50.36</v>
      </c>
      <c r="D76" s="64">
        <v>29.04</v>
      </c>
      <c r="E76" s="64">
        <v>5.16</v>
      </c>
      <c r="F76" s="64">
        <v>2.13</v>
      </c>
      <c r="G76" s="64">
        <v>40.479999999999997</v>
      </c>
      <c r="H76" s="64">
        <v>20.37</v>
      </c>
      <c r="I76" s="210" t="s">
        <v>43</v>
      </c>
      <c r="J76" s="64">
        <v>0.79</v>
      </c>
      <c r="K76" s="64">
        <v>300.70999999999998</v>
      </c>
      <c r="L76" s="64">
        <v>27.28</v>
      </c>
      <c r="M76" s="64">
        <v>34.03</v>
      </c>
      <c r="N76" s="64">
        <v>108.6</v>
      </c>
      <c r="O76" s="64">
        <v>0</v>
      </c>
      <c r="P76" s="64">
        <v>0.55000000000000004</v>
      </c>
      <c r="Q76" s="64">
        <v>9.2200000000000006</v>
      </c>
      <c r="R76" s="198"/>
      <c r="S76" s="198"/>
      <c r="T76" s="198"/>
      <c r="U76" s="198"/>
    </row>
    <row r="77" spans="1:21" s="12" customFormat="1" x14ac:dyDescent="0.25">
      <c r="A77" s="213" t="s">
        <v>312</v>
      </c>
      <c r="B77" s="64">
        <v>5.79</v>
      </c>
      <c r="C77" s="64">
        <v>51.26</v>
      </c>
      <c r="D77" s="64">
        <v>30.05</v>
      </c>
      <c r="E77" s="64">
        <v>5.42</v>
      </c>
      <c r="F77" s="64">
        <v>2.13</v>
      </c>
      <c r="G77" s="64">
        <v>41.52</v>
      </c>
      <c r="H77" s="64">
        <v>20.66</v>
      </c>
      <c r="I77" s="210" t="s">
        <v>43</v>
      </c>
      <c r="J77" s="64">
        <v>1.02</v>
      </c>
      <c r="K77" s="64">
        <v>318.67</v>
      </c>
      <c r="L77" s="64">
        <v>26.9</v>
      </c>
      <c r="M77" s="64">
        <v>35.06</v>
      </c>
      <c r="N77" s="64">
        <v>99</v>
      </c>
      <c r="O77" s="64">
        <v>0</v>
      </c>
      <c r="P77" s="64">
        <v>0.66</v>
      </c>
      <c r="Q77" s="64">
        <v>9.24</v>
      </c>
      <c r="R77" s="198"/>
      <c r="S77" s="198"/>
      <c r="T77" s="198"/>
      <c r="U77" s="198"/>
    </row>
    <row r="78" spans="1:21" s="12" customFormat="1" x14ac:dyDescent="0.25">
      <c r="A78" s="213" t="s">
        <v>313</v>
      </c>
      <c r="B78" s="64">
        <v>6.78</v>
      </c>
      <c r="C78" s="64">
        <v>52.08</v>
      </c>
      <c r="D78" s="64">
        <v>31.27</v>
      </c>
      <c r="E78" s="64">
        <v>5.14</v>
      </c>
      <c r="F78" s="64">
        <v>2.13</v>
      </c>
      <c r="G78" s="64">
        <v>41.52</v>
      </c>
      <c r="H78" s="64">
        <v>20.66</v>
      </c>
      <c r="I78" s="210" t="s">
        <v>43</v>
      </c>
      <c r="J78" s="64">
        <v>1.28</v>
      </c>
      <c r="K78" s="64">
        <v>322.81</v>
      </c>
      <c r="L78" s="64">
        <v>26.24</v>
      </c>
      <c r="M78" s="64">
        <v>37.64</v>
      </c>
      <c r="N78" s="64">
        <v>90.9</v>
      </c>
      <c r="O78" s="64">
        <v>0</v>
      </c>
      <c r="P78" s="64">
        <v>0.64</v>
      </c>
      <c r="Q78" s="64">
        <v>9.2899999999999991</v>
      </c>
      <c r="R78" s="198"/>
      <c r="S78" s="198"/>
      <c r="T78" s="198"/>
      <c r="U78" s="198"/>
    </row>
    <row r="79" spans="1:21" s="12" customFormat="1" x14ac:dyDescent="0.25">
      <c r="A79" s="213" t="s">
        <v>314</v>
      </c>
      <c r="B79" s="64">
        <v>7.83</v>
      </c>
      <c r="C79" s="64">
        <v>53.13</v>
      </c>
      <c r="D79" s="64">
        <v>32.659999999999997</v>
      </c>
      <c r="E79" s="64">
        <v>5.64</v>
      </c>
      <c r="F79" s="64">
        <v>2.13</v>
      </c>
      <c r="G79" s="64">
        <v>41.52</v>
      </c>
      <c r="H79" s="64">
        <v>20.66</v>
      </c>
      <c r="I79" s="210" t="s">
        <v>43</v>
      </c>
      <c r="J79" s="64">
        <v>1.1000000000000001</v>
      </c>
      <c r="K79" s="64">
        <v>347.78</v>
      </c>
      <c r="L79" s="64">
        <v>25.45</v>
      </c>
      <c r="M79" s="64">
        <v>40.15</v>
      </c>
      <c r="N79" s="64">
        <v>83.7</v>
      </c>
      <c r="O79" s="64">
        <v>0</v>
      </c>
      <c r="P79" s="64">
        <v>0.68</v>
      </c>
      <c r="Q79" s="64">
        <v>9.34</v>
      </c>
      <c r="R79" s="198"/>
      <c r="S79" s="198"/>
      <c r="T79" s="198"/>
      <c r="U79" s="198"/>
    </row>
    <row r="80" spans="1:21" s="12" customFormat="1" x14ac:dyDescent="0.25">
      <c r="A80" s="213" t="s">
        <v>315</v>
      </c>
      <c r="B80" s="64">
        <v>9.1199999999999992</v>
      </c>
      <c r="C80" s="64">
        <v>56.91</v>
      </c>
      <c r="D80" s="64">
        <v>35.67</v>
      </c>
      <c r="E80" s="64">
        <v>5.69</v>
      </c>
      <c r="F80" s="64">
        <v>2.13</v>
      </c>
      <c r="G80" s="64">
        <v>44.06</v>
      </c>
      <c r="H80" s="64">
        <v>19.899999999999999</v>
      </c>
      <c r="I80" s="210" t="s">
        <v>43</v>
      </c>
      <c r="J80" s="64">
        <v>0.73</v>
      </c>
      <c r="K80" s="64">
        <v>343.29</v>
      </c>
      <c r="L80" s="64">
        <v>24.54</v>
      </c>
      <c r="M80" s="64">
        <v>42.11</v>
      </c>
      <c r="N80" s="64">
        <v>79.5</v>
      </c>
      <c r="O80" s="64">
        <v>0</v>
      </c>
      <c r="P80" s="64">
        <v>0.67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13" t="s">
        <v>316</v>
      </c>
      <c r="B81" s="64">
        <v>11.6</v>
      </c>
      <c r="C81" s="64">
        <v>58.51</v>
      </c>
      <c r="D81" s="64">
        <v>38.49</v>
      </c>
      <c r="E81" s="64">
        <v>5.99</v>
      </c>
      <c r="F81" s="64">
        <v>2.13</v>
      </c>
      <c r="G81" s="64">
        <v>47.1</v>
      </c>
      <c r="H81" s="64">
        <v>18.98</v>
      </c>
      <c r="I81" s="210" t="s">
        <v>43</v>
      </c>
      <c r="J81" s="64">
        <v>0.63</v>
      </c>
      <c r="K81" s="64">
        <v>1.3</v>
      </c>
      <c r="L81" s="64">
        <v>23.8</v>
      </c>
      <c r="M81" s="64">
        <v>45.02</v>
      </c>
      <c r="N81" s="64">
        <v>78.3</v>
      </c>
      <c r="O81" s="64">
        <v>0</v>
      </c>
      <c r="P81" s="64">
        <v>1.24</v>
      </c>
      <c r="Q81" s="64">
        <v>9.43</v>
      </c>
      <c r="R81" s="198"/>
      <c r="S81" s="198"/>
      <c r="T81" s="198"/>
      <c r="U81" s="198"/>
    </row>
    <row r="82" spans="1:26" s="12" customFormat="1" x14ac:dyDescent="0.25">
      <c r="A82" s="213" t="s">
        <v>317</v>
      </c>
      <c r="B82" s="64">
        <v>15.9</v>
      </c>
      <c r="C82" s="64">
        <v>60.63</v>
      </c>
      <c r="D82" s="64">
        <v>43.05</v>
      </c>
      <c r="E82" s="64">
        <v>5.92</v>
      </c>
      <c r="F82" s="64">
        <v>2.13</v>
      </c>
      <c r="G82" s="64">
        <v>47.1</v>
      </c>
      <c r="H82" s="64">
        <v>18.98</v>
      </c>
      <c r="I82" s="210" t="s">
        <v>43</v>
      </c>
      <c r="J82" s="64">
        <v>0.61</v>
      </c>
      <c r="K82" s="64">
        <v>350.49</v>
      </c>
      <c r="L82" s="64">
        <v>23.53</v>
      </c>
      <c r="M82" s="64">
        <v>43.88</v>
      </c>
      <c r="N82" s="64">
        <v>78</v>
      </c>
      <c r="O82" s="64">
        <v>0</v>
      </c>
      <c r="P82" s="64">
        <v>0.84</v>
      </c>
      <c r="Q82" s="64">
        <v>9.4499999999999993</v>
      </c>
      <c r="R82" s="198"/>
      <c r="S82" s="198"/>
      <c r="T82" s="198"/>
      <c r="U82" s="198"/>
    </row>
    <row r="83" spans="1:26" s="12" customFormat="1" x14ac:dyDescent="0.25">
      <c r="A83" s="213" t="s">
        <v>318</v>
      </c>
      <c r="B83" s="64">
        <v>19.309999999999999</v>
      </c>
      <c r="C83" s="64">
        <v>61.77</v>
      </c>
      <c r="D83" s="64">
        <v>46.38</v>
      </c>
      <c r="E83" s="64">
        <v>5.92</v>
      </c>
      <c r="F83" s="64">
        <v>2.13</v>
      </c>
      <c r="G83" s="64">
        <v>47.1</v>
      </c>
      <c r="H83" s="64">
        <v>18.98</v>
      </c>
      <c r="I83" s="210" t="s">
        <v>43</v>
      </c>
      <c r="J83" s="64">
        <v>0.56000000000000005</v>
      </c>
      <c r="K83" s="64">
        <v>283.60000000000002</v>
      </c>
      <c r="L83" s="64">
        <v>22.92</v>
      </c>
      <c r="M83" s="64">
        <v>48.1</v>
      </c>
      <c r="N83" s="64">
        <v>78.2</v>
      </c>
      <c r="O83" s="64">
        <v>0</v>
      </c>
      <c r="P83" s="64">
        <v>1.4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13" t="s">
        <v>319</v>
      </c>
      <c r="B84" s="64">
        <v>23.84</v>
      </c>
      <c r="C84" s="64">
        <v>63.02</v>
      </c>
      <c r="D84" s="64">
        <v>50.67</v>
      </c>
      <c r="E84" s="64">
        <v>6.13</v>
      </c>
      <c r="F84" s="64">
        <v>2.13</v>
      </c>
      <c r="G84" s="64">
        <v>59.3</v>
      </c>
      <c r="H84" s="64">
        <v>21.82</v>
      </c>
      <c r="I84" s="210" t="s">
        <v>43</v>
      </c>
      <c r="J84" s="64">
        <v>0.39</v>
      </c>
      <c r="K84" s="64">
        <v>312.02</v>
      </c>
      <c r="L84" s="64">
        <v>22.23</v>
      </c>
      <c r="M84" s="64">
        <v>53.01</v>
      </c>
      <c r="N84" s="64">
        <v>78</v>
      </c>
      <c r="O84" s="64">
        <v>0</v>
      </c>
      <c r="P84" s="64">
        <v>1.1399999999999999</v>
      </c>
      <c r="Q84" s="64">
        <v>9.48</v>
      </c>
      <c r="R84" s="198"/>
      <c r="S84" s="198"/>
      <c r="T84" s="198"/>
      <c r="U84" s="198"/>
    </row>
    <row r="85" spans="1:26" s="12" customFormat="1" x14ac:dyDescent="0.25">
      <c r="A85" s="213" t="s">
        <v>320</v>
      </c>
      <c r="B85" s="64">
        <v>28.35</v>
      </c>
      <c r="C85" s="64">
        <v>62.73</v>
      </c>
      <c r="D85" s="64">
        <v>54.14</v>
      </c>
      <c r="E85" s="64">
        <v>6.25</v>
      </c>
      <c r="F85" s="64">
        <v>2.13</v>
      </c>
      <c r="G85" s="64">
        <v>73.88</v>
      </c>
      <c r="H85" s="64">
        <v>25.2</v>
      </c>
      <c r="I85" s="210" t="s">
        <v>43</v>
      </c>
      <c r="J85" s="64">
        <v>0.56999999999999995</v>
      </c>
      <c r="K85" s="64">
        <v>2.56</v>
      </c>
      <c r="L85" s="64">
        <v>22.06</v>
      </c>
      <c r="M85" s="64">
        <v>50.71</v>
      </c>
      <c r="N85" s="64">
        <v>77.900000000000006</v>
      </c>
      <c r="O85" s="64">
        <v>0</v>
      </c>
      <c r="P85" s="64">
        <v>1.32</v>
      </c>
      <c r="Q85" s="64">
        <v>9.5299999999999994</v>
      </c>
      <c r="R85" s="198"/>
      <c r="S85" s="198"/>
      <c r="T85" s="198"/>
      <c r="U85" s="198"/>
    </row>
    <row r="86" spans="1:26" s="12" customFormat="1" x14ac:dyDescent="0.25">
      <c r="A86" s="213" t="s">
        <v>321</v>
      </c>
      <c r="B86" s="64">
        <v>30.62</v>
      </c>
      <c r="C86" s="64">
        <v>63.92</v>
      </c>
      <c r="D86" s="64">
        <v>56.57</v>
      </c>
      <c r="E86" s="64">
        <v>7.2</v>
      </c>
      <c r="F86" s="64">
        <v>2.13</v>
      </c>
      <c r="G86" s="64">
        <v>73.88</v>
      </c>
      <c r="H86" s="64">
        <v>25.2</v>
      </c>
      <c r="I86" s="210" t="s">
        <v>43</v>
      </c>
      <c r="J86" s="64">
        <v>0.59</v>
      </c>
      <c r="K86" s="64">
        <v>272.05</v>
      </c>
      <c r="L86" s="64">
        <v>21.86</v>
      </c>
      <c r="M86" s="64">
        <v>50.57</v>
      </c>
      <c r="N86" s="64">
        <v>77.599999999999994</v>
      </c>
      <c r="O86" s="64">
        <v>0</v>
      </c>
      <c r="P86" s="64">
        <v>1.23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3" t="s">
        <v>322</v>
      </c>
      <c r="B87" s="64">
        <v>31.97</v>
      </c>
      <c r="C87" s="64">
        <v>64.06</v>
      </c>
      <c r="D87" s="64">
        <v>57.73</v>
      </c>
      <c r="E87" s="64">
        <v>6.98</v>
      </c>
      <c r="F87" s="64">
        <v>2.13</v>
      </c>
      <c r="G87" s="64">
        <v>73.88</v>
      </c>
      <c r="H87" s="64">
        <v>25.2</v>
      </c>
      <c r="I87" s="210" t="s">
        <v>43</v>
      </c>
      <c r="J87" s="64">
        <v>0.61</v>
      </c>
      <c r="K87" s="64">
        <v>280.75</v>
      </c>
      <c r="L87" s="64">
        <v>21.58</v>
      </c>
      <c r="M87" s="64">
        <v>52.87</v>
      </c>
      <c r="N87" s="64">
        <v>78.2</v>
      </c>
      <c r="O87" s="64">
        <v>0</v>
      </c>
      <c r="P87" s="64">
        <v>1.1299999999999999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13" t="s">
        <v>323</v>
      </c>
      <c r="B88" s="64">
        <v>40.44</v>
      </c>
      <c r="C88" s="64">
        <v>64.84</v>
      </c>
      <c r="D88" s="64">
        <v>64.930000000000007</v>
      </c>
      <c r="E88" s="64">
        <v>7.18</v>
      </c>
      <c r="F88" s="64">
        <v>2.13</v>
      </c>
      <c r="G88" s="64">
        <v>83.14</v>
      </c>
      <c r="H88" s="64">
        <v>26.6</v>
      </c>
      <c r="I88" s="210" t="s">
        <v>43</v>
      </c>
      <c r="J88" s="64">
        <v>0.61</v>
      </c>
      <c r="K88" s="64">
        <v>293.72000000000003</v>
      </c>
      <c r="L88" s="64">
        <v>21.09</v>
      </c>
      <c r="M88" s="64">
        <v>56.37</v>
      </c>
      <c r="N88" s="64">
        <v>78.099999999999994</v>
      </c>
      <c r="O88" s="64">
        <v>0</v>
      </c>
      <c r="P88" s="64">
        <v>1.49</v>
      </c>
      <c r="Q88" s="64">
        <v>9.51</v>
      </c>
      <c r="R88" s="198"/>
      <c r="S88" s="198"/>
      <c r="T88" s="198"/>
      <c r="U88" s="198"/>
    </row>
    <row r="89" spans="1:26" s="12" customFormat="1" x14ac:dyDescent="0.25">
      <c r="A89" s="213" t="s">
        <v>324</v>
      </c>
      <c r="B89" s="64">
        <v>49.84</v>
      </c>
      <c r="C89" s="64">
        <v>61.83</v>
      </c>
      <c r="D89" s="64">
        <v>70.89</v>
      </c>
      <c r="E89" s="64">
        <v>7.25</v>
      </c>
      <c r="F89" s="64">
        <v>2.13</v>
      </c>
      <c r="G89" s="64">
        <v>94.22</v>
      </c>
      <c r="H89" s="64">
        <v>28.27</v>
      </c>
      <c r="I89" s="210" t="s">
        <v>43</v>
      </c>
      <c r="J89" s="64">
        <v>0.65</v>
      </c>
      <c r="K89" s="64">
        <v>321.32</v>
      </c>
      <c r="L89" s="64">
        <v>20.64</v>
      </c>
      <c r="M89" s="64">
        <v>67.08</v>
      </c>
      <c r="N89" s="64">
        <v>78.2</v>
      </c>
      <c r="O89" s="64">
        <v>0</v>
      </c>
      <c r="P89" s="64">
        <v>1.88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13" t="s">
        <v>325</v>
      </c>
      <c r="B90" s="64">
        <v>55.86</v>
      </c>
      <c r="C90" s="64">
        <v>60.54</v>
      </c>
      <c r="D90" s="64">
        <v>75.05</v>
      </c>
      <c r="E90" s="64">
        <v>7.34</v>
      </c>
      <c r="F90" s="64">
        <v>2.13</v>
      </c>
      <c r="G90" s="64">
        <v>94.22</v>
      </c>
      <c r="H90" s="64">
        <v>28.27</v>
      </c>
      <c r="I90" s="210" t="s">
        <v>43</v>
      </c>
      <c r="J90" s="64">
        <v>0.62</v>
      </c>
      <c r="K90" s="64">
        <v>310.14</v>
      </c>
      <c r="L90" s="64">
        <v>20.22</v>
      </c>
      <c r="M90" s="64">
        <v>66.72</v>
      </c>
      <c r="N90" s="64">
        <v>77.599999999999994</v>
      </c>
      <c r="O90" s="64">
        <v>0</v>
      </c>
      <c r="P90" s="64">
        <v>2.0099999999999998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3" t="s">
        <v>326</v>
      </c>
      <c r="B91" s="64">
        <v>59.88</v>
      </c>
      <c r="C91" s="64">
        <v>60.89</v>
      </c>
      <c r="D91" s="64">
        <v>78.45</v>
      </c>
      <c r="E91" s="64">
        <v>7.3</v>
      </c>
      <c r="F91" s="64">
        <v>2.13</v>
      </c>
      <c r="G91" s="64">
        <v>94.22</v>
      </c>
      <c r="H91" s="64">
        <v>28.27</v>
      </c>
      <c r="I91" s="210" t="s">
        <v>43</v>
      </c>
      <c r="J91" s="64">
        <v>0.59</v>
      </c>
      <c r="K91" s="64">
        <v>294.02</v>
      </c>
      <c r="L91" s="64">
        <v>20.45</v>
      </c>
      <c r="M91" s="64">
        <v>59.7</v>
      </c>
      <c r="N91" s="64">
        <v>77.599999999999994</v>
      </c>
      <c r="O91" s="64">
        <v>0</v>
      </c>
      <c r="P91" s="64">
        <v>2.19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13" t="s">
        <v>327</v>
      </c>
      <c r="B92" s="64">
        <v>62.54</v>
      </c>
      <c r="C92" s="64">
        <v>61.21</v>
      </c>
      <c r="D92" s="64">
        <v>80.760000000000005</v>
      </c>
      <c r="E92" s="64">
        <v>8.1199999999999992</v>
      </c>
      <c r="F92" s="64">
        <v>2.13</v>
      </c>
      <c r="G92" s="64">
        <v>138.33000000000001</v>
      </c>
      <c r="H92" s="64">
        <v>30.72</v>
      </c>
      <c r="I92" s="210" t="s">
        <v>43</v>
      </c>
      <c r="J92" s="64">
        <v>0.56999999999999995</v>
      </c>
      <c r="K92" s="64">
        <v>290.29000000000002</v>
      </c>
      <c r="L92" s="64">
        <v>20.46</v>
      </c>
      <c r="M92" s="64">
        <v>60.92</v>
      </c>
      <c r="N92" s="64">
        <v>78.099999999999994</v>
      </c>
      <c r="O92" s="64">
        <v>0</v>
      </c>
      <c r="P92" s="64">
        <v>2.12</v>
      </c>
      <c r="Q92" s="64">
        <v>9.69</v>
      </c>
      <c r="R92" s="198"/>
      <c r="S92" s="198"/>
      <c r="T92" s="198"/>
      <c r="U92" s="198"/>
    </row>
    <row r="93" spans="1:26" s="12" customFormat="1" x14ac:dyDescent="0.25">
      <c r="A93" s="213" t="s">
        <v>328</v>
      </c>
      <c r="B93" s="64">
        <v>64.64</v>
      </c>
      <c r="C93" s="64">
        <v>60.73</v>
      </c>
      <c r="D93" s="64">
        <v>82.19</v>
      </c>
      <c r="E93" s="64">
        <v>7.94</v>
      </c>
      <c r="F93" s="64">
        <v>2.13</v>
      </c>
      <c r="G93" s="64">
        <v>191.05</v>
      </c>
      <c r="H93" s="64">
        <v>33.65</v>
      </c>
      <c r="I93" s="210" t="s">
        <v>43</v>
      </c>
      <c r="J93" s="64">
        <v>0.59</v>
      </c>
      <c r="K93" s="64">
        <v>276</v>
      </c>
      <c r="L93" s="64">
        <v>20.12</v>
      </c>
      <c r="M93" s="64">
        <v>64.069999999999993</v>
      </c>
      <c r="N93" s="64">
        <v>78.099999999999994</v>
      </c>
      <c r="O93" s="64">
        <v>0</v>
      </c>
      <c r="P93" s="64">
        <v>1.98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3" t="s">
        <v>329</v>
      </c>
      <c r="B94" s="64">
        <v>69.06</v>
      </c>
      <c r="C94" s="64">
        <v>60.44</v>
      </c>
      <c r="D94" s="64">
        <v>85.58</v>
      </c>
      <c r="E94" s="64">
        <v>7.86</v>
      </c>
      <c r="F94" s="64">
        <v>2.13</v>
      </c>
      <c r="G94" s="64">
        <v>191.05</v>
      </c>
      <c r="H94" s="64">
        <v>33.65</v>
      </c>
      <c r="I94" s="210" t="s">
        <v>43</v>
      </c>
      <c r="J94" s="64">
        <v>0.62</v>
      </c>
      <c r="K94" s="64">
        <v>282.72000000000003</v>
      </c>
      <c r="L94" s="64">
        <v>19.829999999999998</v>
      </c>
      <c r="M94" s="64">
        <v>66.16</v>
      </c>
      <c r="N94" s="64">
        <v>78.099999999999994</v>
      </c>
      <c r="O94" s="64">
        <v>0</v>
      </c>
      <c r="P94" s="64">
        <v>1.98</v>
      </c>
      <c r="Q94" s="64">
        <v>9.68</v>
      </c>
      <c r="R94" s="198"/>
      <c r="S94" s="198"/>
      <c r="T94" s="198"/>
      <c r="U94" s="198"/>
    </row>
    <row r="95" spans="1:26" s="12" customFormat="1" x14ac:dyDescent="0.25">
      <c r="A95" s="213" t="s">
        <v>330</v>
      </c>
      <c r="B95" s="64">
        <v>74.16</v>
      </c>
      <c r="C95" s="64">
        <v>60.13</v>
      </c>
      <c r="D95" s="64">
        <v>89.5</v>
      </c>
      <c r="E95" s="64">
        <v>7.58</v>
      </c>
      <c r="F95" s="64">
        <v>2.13</v>
      </c>
      <c r="G95" s="64">
        <v>191.05</v>
      </c>
      <c r="H95" s="64">
        <v>33.65</v>
      </c>
      <c r="I95" s="210" t="s">
        <v>43</v>
      </c>
      <c r="J95" s="64">
        <v>0.62</v>
      </c>
      <c r="K95" s="64">
        <v>280.98</v>
      </c>
      <c r="L95" s="64">
        <v>19.61</v>
      </c>
      <c r="M95" s="64">
        <v>66.56</v>
      </c>
      <c r="N95" s="64">
        <v>78.099999999999994</v>
      </c>
      <c r="O95" s="64">
        <v>0</v>
      </c>
      <c r="P95" s="64">
        <v>1.95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13" t="s">
        <v>331</v>
      </c>
      <c r="B96" s="64">
        <v>78.650000000000006</v>
      </c>
      <c r="C96" s="64">
        <v>59.17</v>
      </c>
      <c r="D96" s="64">
        <v>92.61</v>
      </c>
      <c r="E96" s="64">
        <v>7.54</v>
      </c>
      <c r="F96" s="64">
        <v>2.13</v>
      </c>
      <c r="G96" s="64">
        <v>183.85</v>
      </c>
      <c r="H96" s="64">
        <v>36.58</v>
      </c>
      <c r="I96" s="210" t="s">
        <v>43</v>
      </c>
      <c r="J96" s="64">
        <v>0.5</v>
      </c>
      <c r="K96" s="64">
        <v>131.65</v>
      </c>
      <c r="L96" s="64">
        <v>19.61</v>
      </c>
      <c r="M96" s="64">
        <v>68.27</v>
      </c>
      <c r="N96" s="64">
        <v>77.8</v>
      </c>
      <c r="O96" s="64">
        <v>0</v>
      </c>
      <c r="P96" s="64">
        <v>1.84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332</v>
      </c>
      <c r="B97" s="64">
        <v>86.18</v>
      </c>
      <c r="C97" s="64">
        <v>60.36</v>
      </c>
      <c r="D97" s="64">
        <v>99.27</v>
      </c>
      <c r="E97" s="64">
        <v>8.2200000000000006</v>
      </c>
      <c r="F97" s="64">
        <v>2.13</v>
      </c>
      <c r="G97" s="64">
        <v>175.26</v>
      </c>
      <c r="H97" s="64">
        <v>40.08</v>
      </c>
      <c r="I97" s="210" t="s">
        <v>43</v>
      </c>
      <c r="J97" s="64">
        <v>0.55000000000000004</v>
      </c>
      <c r="K97" s="64">
        <v>280.10000000000002</v>
      </c>
      <c r="L97" s="64">
        <v>19.54</v>
      </c>
      <c r="M97" s="64">
        <v>70.58</v>
      </c>
      <c r="N97" s="64">
        <v>78</v>
      </c>
      <c r="O97" s="64">
        <v>0</v>
      </c>
      <c r="P97" s="64">
        <v>1.69</v>
      </c>
      <c r="Q97" s="64">
        <v>9.7200000000000006</v>
      </c>
      <c r="R97" s="198"/>
      <c r="S97" s="198"/>
      <c r="T97" s="198"/>
      <c r="U97" s="198"/>
    </row>
    <row r="98" spans="1:33" s="12" customFormat="1" x14ac:dyDescent="0.25">
      <c r="A98" s="213" t="s">
        <v>333</v>
      </c>
      <c r="B98" s="64">
        <v>90.87</v>
      </c>
      <c r="C98" s="64">
        <v>60.47</v>
      </c>
      <c r="D98" s="64">
        <v>103.09</v>
      </c>
      <c r="E98" s="64">
        <v>8.57</v>
      </c>
      <c r="F98" s="64">
        <v>2.13</v>
      </c>
      <c r="G98" s="64">
        <v>175.26</v>
      </c>
      <c r="H98" s="64">
        <v>40.08</v>
      </c>
      <c r="I98" s="210" t="s">
        <v>43</v>
      </c>
      <c r="J98" s="64">
        <v>0.51</v>
      </c>
      <c r="K98" s="64">
        <v>264.54000000000002</v>
      </c>
      <c r="L98" s="64">
        <v>19.39</v>
      </c>
      <c r="M98" s="64">
        <v>70.47</v>
      </c>
      <c r="N98" s="64">
        <v>78</v>
      </c>
      <c r="O98" s="64">
        <v>0</v>
      </c>
      <c r="P98" s="64">
        <v>1.79</v>
      </c>
      <c r="Q98" s="64">
        <v>9.7799999999999994</v>
      </c>
      <c r="R98" s="198"/>
      <c r="S98" s="198"/>
      <c r="T98" s="198"/>
      <c r="U98" s="198"/>
    </row>
    <row r="99" spans="1:33" s="12" customFormat="1" x14ac:dyDescent="0.25">
      <c r="A99" s="213" t="s">
        <v>334</v>
      </c>
      <c r="B99" s="64">
        <v>94.38</v>
      </c>
      <c r="C99" s="64">
        <v>60.49</v>
      </c>
      <c r="D99" s="64">
        <v>105.91</v>
      </c>
      <c r="E99" s="64">
        <v>8</v>
      </c>
      <c r="F99" s="64">
        <v>2.13</v>
      </c>
      <c r="G99" s="64">
        <v>175.26</v>
      </c>
      <c r="H99" s="64">
        <v>40.08</v>
      </c>
      <c r="I99" s="210" t="s">
        <v>43</v>
      </c>
      <c r="J99" s="64">
        <v>0.66</v>
      </c>
      <c r="K99" s="64">
        <v>299.88</v>
      </c>
      <c r="L99" s="64">
        <v>18.989999999999998</v>
      </c>
      <c r="M99" s="64">
        <v>72.930000000000007</v>
      </c>
      <c r="N99" s="64">
        <v>78.3</v>
      </c>
      <c r="O99" s="64">
        <v>0</v>
      </c>
      <c r="P99" s="64">
        <v>1.84</v>
      </c>
      <c r="Q99" s="64">
        <v>9.7899999999999991</v>
      </c>
      <c r="R99" s="198"/>
      <c r="S99" s="198"/>
      <c r="T99" s="198"/>
      <c r="U99" s="198"/>
    </row>
    <row r="100" spans="1:33" s="12" customFormat="1" x14ac:dyDescent="0.25">
      <c r="A100" s="213" t="s">
        <v>335</v>
      </c>
      <c r="B100" s="64">
        <v>98.79</v>
      </c>
      <c r="C100" s="64">
        <v>60.17</v>
      </c>
      <c r="D100" s="64">
        <v>109.29</v>
      </c>
      <c r="E100" s="64">
        <v>8.24</v>
      </c>
      <c r="F100" s="64">
        <v>2.13</v>
      </c>
      <c r="G100" s="64">
        <v>181.64</v>
      </c>
      <c r="H100" s="64">
        <v>40.99</v>
      </c>
      <c r="I100" s="210" t="s">
        <v>43</v>
      </c>
      <c r="J100" s="64">
        <v>0.25</v>
      </c>
      <c r="K100" s="64">
        <v>244.46</v>
      </c>
      <c r="L100" s="64">
        <v>18.649999999999999</v>
      </c>
      <c r="M100" s="64">
        <v>75.83</v>
      </c>
      <c r="N100" s="64">
        <v>78.400000000000006</v>
      </c>
      <c r="O100" s="64">
        <v>0</v>
      </c>
      <c r="P100" s="64">
        <v>1.87</v>
      </c>
      <c r="Q100" s="64">
        <v>9.82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336</v>
      </c>
      <c r="B101" s="64">
        <v>102.38</v>
      </c>
      <c r="C101" s="64">
        <v>58.52</v>
      </c>
      <c r="D101" s="64">
        <v>111.3</v>
      </c>
      <c r="E101" s="64">
        <v>8.0299999999999994</v>
      </c>
      <c r="F101" s="64">
        <v>2.13</v>
      </c>
      <c r="G101" s="64">
        <v>189.26</v>
      </c>
      <c r="H101" s="64">
        <v>42.09</v>
      </c>
      <c r="I101" s="210" t="s">
        <v>43</v>
      </c>
      <c r="J101" s="64">
        <v>0.5</v>
      </c>
      <c r="K101" s="64">
        <v>271.33999999999997</v>
      </c>
      <c r="L101" s="64">
        <v>18.75</v>
      </c>
      <c r="M101" s="64">
        <v>74.89</v>
      </c>
      <c r="N101" s="64">
        <v>78.599999999999994</v>
      </c>
      <c r="O101" s="64">
        <v>0</v>
      </c>
      <c r="P101" s="64">
        <v>1.88</v>
      </c>
      <c r="Q101" s="64">
        <v>9.8699999999999992</v>
      </c>
      <c r="R101" s="198"/>
      <c r="S101" s="198"/>
      <c r="T101" s="198"/>
      <c r="U101" s="198"/>
    </row>
    <row r="102" spans="1:33" s="12" customFormat="1" x14ac:dyDescent="0.25">
      <c r="A102" s="213" t="s">
        <v>337</v>
      </c>
      <c r="B102" s="64">
        <v>104.47</v>
      </c>
      <c r="C102" s="64">
        <v>58.85</v>
      </c>
      <c r="D102" s="64">
        <v>113.15</v>
      </c>
      <c r="E102" s="64">
        <v>8.19</v>
      </c>
      <c r="F102" s="64">
        <v>2.13</v>
      </c>
      <c r="G102" s="64">
        <v>189.26</v>
      </c>
      <c r="H102" s="64">
        <v>42.09</v>
      </c>
      <c r="I102" s="210" t="s">
        <v>43</v>
      </c>
      <c r="J102" s="64">
        <v>0.62</v>
      </c>
      <c r="K102" s="64">
        <v>313.26</v>
      </c>
      <c r="L102" s="64">
        <v>18.37</v>
      </c>
      <c r="M102" s="64">
        <v>76.69</v>
      </c>
      <c r="N102" s="64">
        <v>78.8</v>
      </c>
      <c r="O102" s="64">
        <v>0</v>
      </c>
      <c r="P102" s="64">
        <v>1.89</v>
      </c>
      <c r="Q102" s="64">
        <v>9.91</v>
      </c>
      <c r="R102" s="198"/>
      <c r="S102" s="198"/>
      <c r="T102" s="198"/>
      <c r="U102" s="198"/>
    </row>
    <row r="103" spans="1:33" s="12" customFormat="1" x14ac:dyDescent="0.25">
      <c r="A103" s="213" t="s">
        <v>338</v>
      </c>
      <c r="B103" s="64">
        <v>106.22</v>
      </c>
      <c r="C103" s="64">
        <v>59.04</v>
      </c>
      <c r="D103" s="64">
        <v>114.65</v>
      </c>
      <c r="E103" s="64">
        <v>8.1300000000000008</v>
      </c>
      <c r="F103" s="64">
        <v>2.13</v>
      </c>
      <c r="G103" s="64">
        <v>189.26</v>
      </c>
      <c r="H103" s="64">
        <v>42.09</v>
      </c>
      <c r="I103" s="210" t="s">
        <v>43</v>
      </c>
      <c r="J103" s="64">
        <v>0.61</v>
      </c>
      <c r="K103" s="64">
        <v>318.74</v>
      </c>
      <c r="L103" s="64">
        <v>18.170000000000002</v>
      </c>
      <c r="M103" s="64">
        <v>78.16</v>
      </c>
      <c r="N103" s="64">
        <v>78.599999999999994</v>
      </c>
      <c r="O103" s="64">
        <v>0</v>
      </c>
      <c r="P103" s="64">
        <v>1.88</v>
      </c>
      <c r="Q103" s="64">
        <v>9.9</v>
      </c>
      <c r="R103" s="198"/>
      <c r="S103" s="198"/>
      <c r="T103" s="198"/>
      <c r="U103" s="198"/>
    </row>
    <row r="104" spans="1:33" s="12" customFormat="1" x14ac:dyDescent="0.25">
      <c r="A104" s="213" t="s">
        <v>339</v>
      </c>
      <c r="B104" s="64">
        <v>107.1</v>
      </c>
      <c r="C104" s="64">
        <v>57.29</v>
      </c>
      <c r="D104" s="64">
        <v>114.45</v>
      </c>
      <c r="E104" s="64">
        <v>6.21</v>
      </c>
      <c r="F104" s="64">
        <v>2.13</v>
      </c>
      <c r="G104" s="64">
        <v>166.93</v>
      </c>
      <c r="H104" s="64">
        <v>40.04</v>
      </c>
      <c r="I104" s="210" t="s">
        <v>43</v>
      </c>
      <c r="J104" s="64">
        <v>0.67</v>
      </c>
      <c r="K104" s="64">
        <v>302.77</v>
      </c>
      <c r="L104" s="64">
        <v>17.98</v>
      </c>
      <c r="M104" s="64">
        <v>79.06</v>
      </c>
      <c r="N104" s="64">
        <v>78.5</v>
      </c>
      <c r="O104" s="64">
        <v>0</v>
      </c>
      <c r="P104" s="64">
        <v>1.88</v>
      </c>
      <c r="Q104" s="64">
        <v>9.91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3.25</v>
      </c>
      <c r="C106" s="67">
        <f>MIN(C9:C104)</f>
        <v>46.27</v>
      </c>
      <c r="D106" s="67">
        <f t="shared" ref="D106:Q106" si="0">MIN(D9:D104)</f>
        <v>26.36</v>
      </c>
      <c r="E106" s="67">
        <f t="shared" si="0"/>
        <v>5.03</v>
      </c>
      <c r="F106" s="67">
        <f t="shared" si="0"/>
        <v>2.13</v>
      </c>
      <c r="G106" s="67">
        <f t="shared" si="0"/>
        <v>39.61</v>
      </c>
      <c r="H106" s="67">
        <f t="shared" si="0"/>
        <v>17.98</v>
      </c>
      <c r="I106" s="67">
        <f t="shared" si="0"/>
        <v>0</v>
      </c>
      <c r="J106" s="67">
        <f t="shared" si="0"/>
        <v>0.02</v>
      </c>
      <c r="K106" s="67">
        <f t="shared" si="0"/>
        <v>1.3</v>
      </c>
      <c r="L106" s="67">
        <f t="shared" si="0"/>
        <v>15.27</v>
      </c>
      <c r="M106" s="67">
        <f t="shared" si="0"/>
        <v>31</v>
      </c>
      <c r="N106" s="67">
        <f t="shared" si="0"/>
        <v>77.599999999999994</v>
      </c>
      <c r="O106" s="67">
        <f t="shared" si="0"/>
        <v>0</v>
      </c>
      <c r="P106" s="67">
        <f t="shared" si="0"/>
        <v>0.4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107.1</v>
      </c>
      <c r="C107" s="66">
        <f t="shared" ref="C107:Q107" si="1">MAX(C9:C104)</f>
        <v>64.84</v>
      </c>
      <c r="D107" s="66">
        <f t="shared" si="1"/>
        <v>114.65</v>
      </c>
      <c r="E107" s="66">
        <f t="shared" si="1"/>
        <v>8.57</v>
      </c>
      <c r="F107" s="66">
        <f t="shared" si="1"/>
        <v>2.13</v>
      </c>
      <c r="G107" s="66">
        <f t="shared" si="1"/>
        <v>191.05</v>
      </c>
      <c r="H107" s="66">
        <f t="shared" si="1"/>
        <v>42.09</v>
      </c>
      <c r="I107" s="66">
        <f t="shared" si="1"/>
        <v>0</v>
      </c>
      <c r="J107" s="66">
        <f t="shared" si="1"/>
        <v>2.02</v>
      </c>
      <c r="K107" s="66">
        <f t="shared" si="1"/>
        <v>357.07</v>
      </c>
      <c r="L107" s="66">
        <f t="shared" si="1"/>
        <v>30.85</v>
      </c>
      <c r="M107" s="66">
        <f t="shared" si="1"/>
        <v>105.57</v>
      </c>
      <c r="N107" s="66">
        <f t="shared" si="1"/>
        <v>608.4</v>
      </c>
      <c r="O107" s="66">
        <f t="shared" si="1"/>
        <v>0</v>
      </c>
      <c r="P107" s="66">
        <f t="shared" si="1"/>
        <v>2.19</v>
      </c>
      <c r="Q107" s="66">
        <f t="shared" si="1"/>
        <v>9.91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44.472499999999989</v>
      </c>
      <c r="C108" s="67">
        <f t="shared" ref="C108:Q108" si="2">AVERAGE(C9:C104)</f>
        <v>54.015000000000015</v>
      </c>
      <c r="D108" s="67">
        <f t="shared" si="2"/>
        <v>62.508333333333326</v>
      </c>
      <c r="E108" s="67">
        <f t="shared" si="2"/>
        <v>6.3905208333333361</v>
      </c>
      <c r="F108" s="67">
        <f t="shared" si="2"/>
        <v>2.1299999999999972</v>
      </c>
      <c r="G108" s="67">
        <f t="shared" si="2"/>
        <v>83.636354166666706</v>
      </c>
      <c r="H108" s="67">
        <f t="shared" si="2"/>
        <v>27.384791666666676</v>
      </c>
      <c r="I108" s="67" t="e">
        <f t="shared" si="2"/>
        <v>#DIV/0!</v>
      </c>
      <c r="J108" s="67">
        <f t="shared" si="2"/>
        <v>0.65947916666666662</v>
      </c>
      <c r="K108" s="67">
        <f t="shared" si="2"/>
        <v>235.02427083333336</v>
      </c>
      <c r="L108" s="67">
        <f t="shared" si="2"/>
        <v>21.609166666666663</v>
      </c>
      <c r="M108" s="67">
        <f t="shared" si="2"/>
        <v>68.571458333333368</v>
      </c>
      <c r="N108" s="67">
        <f t="shared" si="2"/>
        <v>201.7760416666666</v>
      </c>
      <c r="O108" s="67">
        <f t="shared" si="2"/>
        <v>0</v>
      </c>
      <c r="P108" s="67">
        <f t="shared" si="2"/>
        <v>1.0469791666666666</v>
      </c>
      <c r="Q108" s="67">
        <f t="shared" si="2"/>
        <v>9.6017708333333349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29.891746863077699</v>
      </c>
      <c r="C109" s="67">
        <f t="shared" ref="C109:Q109" si="3">STDEV(C9:C104)</f>
        <v>4.9786747338285879</v>
      </c>
      <c r="D109" s="67">
        <f t="shared" si="3"/>
        <v>24.053155506597523</v>
      </c>
      <c r="E109" s="67">
        <f t="shared" si="3"/>
        <v>0.8094005186317712</v>
      </c>
      <c r="F109" s="67">
        <f t="shared" si="3"/>
        <v>2.678522416932523E-15</v>
      </c>
      <c r="G109" s="67">
        <f t="shared" si="3"/>
        <v>44.108563009675358</v>
      </c>
      <c r="H109" s="67">
        <f t="shared" si="3"/>
        <v>6.1186142186070311</v>
      </c>
      <c r="I109" s="67" t="e">
        <f t="shared" si="3"/>
        <v>#DIV/0!</v>
      </c>
      <c r="J109" s="67">
        <f t="shared" si="3"/>
        <v>0.37447892159545981</v>
      </c>
      <c r="K109" s="67">
        <f t="shared" si="3"/>
        <v>80.054387969347971</v>
      </c>
      <c r="L109" s="67">
        <f t="shared" si="3"/>
        <v>4.9483078801943252</v>
      </c>
      <c r="M109" s="67">
        <f t="shared" si="3"/>
        <v>27.921379319690299</v>
      </c>
      <c r="N109" s="67">
        <f t="shared" si="3"/>
        <v>185.35968206636969</v>
      </c>
      <c r="O109" s="67">
        <f t="shared" si="3"/>
        <v>0</v>
      </c>
      <c r="P109" s="67">
        <f t="shared" si="3"/>
        <v>0.47010440003240278</v>
      </c>
      <c r="Q109" s="67">
        <f t="shared" si="3"/>
        <v>0.19480081482411804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340</v>
      </c>
      <c r="B9" s="64">
        <v>106.68</v>
      </c>
      <c r="C9" s="64">
        <v>56.85</v>
      </c>
      <c r="D9" s="64">
        <v>113.88</v>
      </c>
      <c r="E9" s="64">
        <v>7.34</v>
      </c>
      <c r="F9" s="64">
        <v>2.13</v>
      </c>
      <c r="G9" s="64">
        <v>140.24</v>
      </c>
      <c r="H9" s="64">
        <v>37.590000000000003</v>
      </c>
      <c r="I9" s="210" t="s">
        <v>43</v>
      </c>
      <c r="J9" s="64">
        <v>0.65</v>
      </c>
      <c r="K9" s="64">
        <v>307.18</v>
      </c>
      <c r="L9" s="64">
        <v>17.760000000000002</v>
      </c>
      <c r="M9" s="64">
        <v>82.39</v>
      </c>
      <c r="N9" s="64">
        <v>78.599999999999994</v>
      </c>
      <c r="O9" s="64">
        <v>0</v>
      </c>
      <c r="P9" s="64">
        <v>1.76</v>
      </c>
      <c r="Q9" s="64">
        <v>9.94</v>
      </c>
      <c r="R9" s="198"/>
      <c r="S9" s="198"/>
      <c r="T9" s="198"/>
      <c r="U9" s="198"/>
    </row>
    <row r="10" spans="1:21" s="12" customFormat="1" x14ac:dyDescent="0.25">
      <c r="A10" s="213" t="s">
        <v>341</v>
      </c>
      <c r="B10" s="64">
        <v>106.16</v>
      </c>
      <c r="C10" s="64">
        <v>51.32</v>
      </c>
      <c r="D10" s="64">
        <v>110.57</v>
      </c>
      <c r="E10" s="64">
        <v>6.71</v>
      </c>
      <c r="F10" s="64">
        <v>2.13</v>
      </c>
      <c r="G10" s="64">
        <v>140.24</v>
      </c>
      <c r="H10" s="64">
        <v>37.590000000000003</v>
      </c>
      <c r="I10" s="210" t="s">
        <v>43</v>
      </c>
      <c r="J10" s="64">
        <v>0.64</v>
      </c>
      <c r="K10" s="64">
        <v>306.3</v>
      </c>
      <c r="L10" s="64">
        <v>17.52</v>
      </c>
      <c r="M10" s="64">
        <v>82.61</v>
      </c>
      <c r="N10" s="64">
        <v>78.7</v>
      </c>
      <c r="O10" s="64">
        <v>0</v>
      </c>
      <c r="P10" s="64">
        <v>1.7</v>
      </c>
      <c r="Q10" s="64">
        <v>9.9700000000000006</v>
      </c>
      <c r="R10" s="198"/>
      <c r="S10" s="198"/>
      <c r="T10" s="198"/>
      <c r="U10" s="198"/>
    </row>
    <row r="11" spans="1:21" s="12" customFormat="1" x14ac:dyDescent="0.25">
      <c r="A11" s="213" t="s">
        <v>342</v>
      </c>
      <c r="B11" s="64">
        <v>104.97</v>
      </c>
      <c r="C11" s="64">
        <v>52.2</v>
      </c>
      <c r="D11" s="64">
        <v>110.07</v>
      </c>
      <c r="E11" s="64">
        <v>7.08</v>
      </c>
      <c r="F11" s="64">
        <v>2.13</v>
      </c>
      <c r="G11" s="64">
        <v>140.24</v>
      </c>
      <c r="H11" s="64">
        <v>37.590000000000003</v>
      </c>
      <c r="I11" s="210" t="s">
        <v>43</v>
      </c>
      <c r="J11" s="64">
        <v>0.66</v>
      </c>
      <c r="K11" s="64">
        <v>299.60000000000002</v>
      </c>
      <c r="L11" s="64">
        <v>17.25</v>
      </c>
      <c r="M11" s="64">
        <v>83.38</v>
      </c>
      <c r="N11" s="64">
        <v>78.599999999999994</v>
      </c>
      <c r="O11" s="64">
        <v>0</v>
      </c>
      <c r="P11" s="64">
        <v>1.69</v>
      </c>
      <c r="Q11" s="64">
        <v>9.9499999999999993</v>
      </c>
      <c r="R11" s="198"/>
      <c r="S11" s="198"/>
      <c r="T11" s="198"/>
      <c r="U11" s="198"/>
    </row>
    <row r="12" spans="1:21" s="12" customFormat="1" x14ac:dyDescent="0.25">
      <c r="A12" s="213" t="s">
        <v>343</v>
      </c>
      <c r="B12" s="64">
        <v>103.79</v>
      </c>
      <c r="C12" s="64">
        <v>52.34</v>
      </c>
      <c r="D12" s="64">
        <v>109.2</v>
      </c>
      <c r="E12" s="64">
        <v>6.88</v>
      </c>
      <c r="F12" s="64">
        <v>2.13</v>
      </c>
      <c r="G12" s="64">
        <v>144.41999999999999</v>
      </c>
      <c r="H12" s="64">
        <v>39.159999999999997</v>
      </c>
      <c r="I12" s="210" t="s">
        <v>43</v>
      </c>
      <c r="J12" s="64">
        <v>0.26</v>
      </c>
      <c r="K12" s="64">
        <v>267.38</v>
      </c>
      <c r="L12" s="64">
        <v>16.97</v>
      </c>
      <c r="M12" s="64">
        <v>84.92</v>
      </c>
      <c r="N12" s="64">
        <v>78.7</v>
      </c>
      <c r="O12" s="64">
        <v>0</v>
      </c>
      <c r="P12" s="64">
        <v>1.7</v>
      </c>
      <c r="Q12" s="64">
        <v>9.91</v>
      </c>
      <c r="R12" s="198"/>
      <c r="S12" s="198"/>
      <c r="T12" s="198"/>
      <c r="U12" s="198"/>
    </row>
    <row r="13" spans="1:21" s="12" customFormat="1" x14ac:dyDescent="0.25">
      <c r="A13" s="213" t="s">
        <v>344</v>
      </c>
      <c r="B13" s="64">
        <v>102.47</v>
      </c>
      <c r="C13" s="64">
        <v>52.53</v>
      </c>
      <c r="D13" s="64">
        <v>108.24</v>
      </c>
      <c r="E13" s="64">
        <v>6.55</v>
      </c>
      <c r="F13" s="64">
        <v>2.13</v>
      </c>
      <c r="G13" s="64">
        <v>149.43</v>
      </c>
      <c r="H13" s="64">
        <v>41.03</v>
      </c>
      <c r="I13" s="210" t="s">
        <v>43</v>
      </c>
      <c r="J13" s="64">
        <v>0.62</v>
      </c>
      <c r="K13" s="64">
        <v>279.85000000000002</v>
      </c>
      <c r="L13" s="64">
        <v>16.739999999999998</v>
      </c>
      <c r="M13" s="64">
        <v>87.51</v>
      </c>
      <c r="N13" s="64">
        <v>78.599999999999994</v>
      </c>
      <c r="O13" s="64">
        <v>0</v>
      </c>
      <c r="P13" s="64">
        <v>1.46</v>
      </c>
      <c r="Q13" s="64">
        <v>9.91</v>
      </c>
      <c r="R13" s="198"/>
      <c r="S13" s="198"/>
      <c r="T13" s="198"/>
      <c r="U13" s="198"/>
    </row>
    <row r="14" spans="1:21" s="12" customFormat="1" x14ac:dyDescent="0.25">
      <c r="A14" s="213" t="s">
        <v>345</v>
      </c>
      <c r="B14" s="64">
        <v>100.78</v>
      </c>
      <c r="C14" s="64">
        <v>52.13</v>
      </c>
      <c r="D14" s="64">
        <v>106.68</v>
      </c>
      <c r="E14" s="64">
        <v>6.54</v>
      </c>
      <c r="F14" s="64">
        <v>2.13</v>
      </c>
      <c r="G14" s="64">
        <v>149.43</v>
      </c>
      <c r="H14" s="64">
        <v>41.03</v>
      </c>
      <c r="I14" s="210" t="s">
        <v>43</v>
      </c>
      <c r="J14" s="64">
        <v>0.59</v>
      </c>
      <c r="K14" s="64">
        <v>281.12</v>
      </c>
      <c r="L14" s="64">
        <v>16.71</v>
      </c>
      <c r="M14" s="64">
        <v>87.19</v>
      </c>
      <c r="N14" s="64">
        <v>78.3</v>
      </c>
      <c r="O14" s="64">
        <v>0</v>
      </c>
      <c r="P14" s="64">
        <v>1.41</v>
      </c>
      <c r="Q14" s="64">
        <v>9.9</v>
      </c>
      <c r="R14" s="198"/>
      <c r="S14" s="198"/>
      <c r="T14" s="198"/>
      <c r="U14" s="198"/>
    </row>
    <row r="15" spans="1:21" s="12" customFormat="1" x14ac:dyDescent="0.25">
      <c r="A15" s="213" t="s">
        <v>346</v>
      </c>
      <c r="B15" s="64">
        <v>98.87</v>
      </c>
      <c r="C15" s="64">
        <v>51.45</v>
      </c>
      <c r="D15" s="64">
        <v>104.79</v>
      </c>
      <c r="E15" s="64">
        <v>6.74</v>
      </c>
      <c r="F15" s="64">
        <v>2.13</v>
      </c>
      <c r="G15" s="64">
        <v>149.43</v>
      </c>
      <c r="H15" s="64">
        <v>41.03</v>
      </c>
      <c r="I15" s="210" t="s">
        <v>43</v>
      </c>
      <c r="J15" s="64">
        <v>0.65</v>
      </c>
      <c r="K15" s="64">
        <v>304</v>
      </c>
      <c r="L15" s="64">
        <v>16.71</v>
      </c>
      <c r="M15" s="64">
        <v>87.78</v>
      </c>
      <c r="N15" s="64">
        <v>78.400000000000006</v>
      </c>
      <c r="O15" s="64">
        <v>0</v>
      </c>
      <c r="P15" s="64">
        <v>1.41</v>
      </c>
      <c r="Q15" s="64">
        <v>9.9</v>
      </c>
      <c r="R15" s="198"/>
      <c r="S15" s="198"/>
      <c r="T15" s="198"/>
      <c r="U15" s="198"/>
    </row>
    <row r="16" spans="1:21" s="12" customFormat="1" x14ac:dyDescent="0.25">
      <c r="A16" s="213" t="s">
        <v>347</v>
      </c>
      <c r="B16" s="64">
        <v>96.67</v>
      </c>
      <c r="C16" s="64">
        <v>51.61</v>
      </c>
      <c r="D16" s="64">
        <v>103.11</v>
      </c>
      <c r="E16" s="64">
        <v>6.48</v>
      </c>
      <c r="F16" s="64">
        <v>2.13</v>
      </c>
      <c r="G16" s="64">
        <v>133.1</v>
      </c>
      <c r="H16" s="64">
        <v>34.85</v>
      </c>
      <c r="I16" s="210" t="s">
        <v>43</v>
      </c>
      <c r="J16" s="64">
        <v>0.63</v>
      </c>
      <c r="K16" s="64">
        <v>298.36</v>
      </c>
      <c r="L16" s="64">
        <v>16.52</v>
      </c>
      <c r="M16" s="64">
        <v>87.97</v>
      </c>
      <c r="N16" s="64">
        <v>78.599999999999994</v>
      </c>
      <c r="O16" s="64">
        <v>0</v>
      </c>
      <c r="P16" s="64">
        <v>1.32</v>
      </c>
      <c r="Q16" s="64">
        <v>9.89</v>
      </c>
      <c r="R16" s="198"/>
      <c r="S16" s="198"/>
      <c r="T16" s="198"/>
      <c r="U16" s="198"/>
    </row>
    <row r="17" spans="1:21" s="12" customFormat="1" x14ac:dyDescent="0.25">
      <c r="A17" s="213" t="s">
        <v>348</v>
      </c>
      <c r="B17" s="64">
        <v>94.8</v>
      </c>
      <c r="C17" s="64">
        <v>49.08</v>
      </c>
      <c r="D17" s="64">
        <v>100.29</v>
      </c>
      <c r="E17" s="64">
        <v>6.42</v>
      </c>
      <c r="F17" s="64">
        <v>2.13</v>
      </c>
      <c r="G17" s="64">
        <v>113.58</v>
      </c>
      <c r="H17" s="64">
        <v>26.67</v>
      </c>
      <c r="I17" s="210" t="s">
        <v>43</v>
      </c>
      <c r="J17" s="64">
        <v>0.17</v>
      </c>
      <c r="K17" s="64">
        <v>290.94</v>
      </c>
      <c r="L17" s="64">
        <v>16.53</v>
      </c>
      <c r="M17" s="64">
        <v>86.11</v>
      </c>
      <c r="N17" s="64">
        <v>78.2</v>
      </c>
      <c r="O17" s="64">
        <v>0</v>
      </c>
      <c r="P17" s="64">
        <v>1.49</v>
      </c>
      <c r="Q17" s="64">
        <v>9.9</v>
      </c>
      <c r="R17" s="198"/>
      <c r="S17" s="198"/>
      <c r="T17" s="198"/>
      <c r="U17" s="198"/>
    </row>
    <row r="18" spans="1:21" s="12" customFormat="1" x14ac:dyDescent="0.25">
      <c r="A18" s="213" t="s">
        <v>349</v>
      </c>
      <c r="B18" s="64">
        <v>91.38</v>
      </c>
      <c r="C18" s="64">
        <v>49.44</v>
      </c>
      <c r="D18" s="64">
        <v>97.74</v>
      </c>
      <c r="E18" s="64">
        <v>6.16</v>
      </c>
      <c r="F18" s="64">
        <v>2.13</v>
      </c>
      <c r="G18" s="64">
        <v>113.58</v>
      </c>
      <c r="H18" s="64">
        <v>26.67</v>
      </c>
      <c r="I18" s="210" t="s">
        <v>43</v>
      </c>
      <c r="J18" s="64">
        <v>0.56000000000000005</v>
      </c>
      <c r="K18" s="64">
        <v>159.47</v>
      </c>
      <c r="L18" s="64">
        <v>17.21</v>
      </c>
      <c r="M18" s="64">
        <v>76.75</v>
      </c>
      <c r="N18" s="64">
        <v>77.3</v>
      </c>
      <c r="O18" s="64">
        <v>0</v>
      </c>
      <c r="P18" s="64">
        <v>1.48</v>
      </c>
      <c r="Q18" s="64">
        <v>9.91</v>
      </c>
      <c r="R18" s="198"/>
      <c r="S18" s="198"/>
      <c r="T18" s="198"/>
      <c r="U18" s="198"/>
    </row>
    <row r="19" spans="1:21" s="12" customFormat="1" x14ac:dyDescent="0.25">
      <c r="A19" s="213" t="s">
        <v>350</v>
      </c>
      <c r="B19" s="64">
        <v>86.8</v>
      </c>
      <c r="C19" s="64">
        <v>50.01</v>
      </c>
      <c r="D19" s="64">
        <v>94.36</v>
      </c>
      <c r="E19" s="64">
        <v>5.95</v>
      </c>
      <c r="F19" s="64">
        <v>2.13</v>
      </c>
      <c r="G19" s="64">
        <v>113.58</v>
      </c>
      <c r="H19" s="64">
        <v>26.67</v>
      </c>
      <c r="I19" s="210" t="s">
        <v>43</v>
      </c>
      <c r="J19" s="64">
        <v>0.2</v>
      </c>
      <c r="K19" s="64">
        <v>283.8</v>
      </c>
      <c r="L19" s="64">
        <v>17.37</v>
      </c>
      <c r="M19" s="64">
        <v>74.150000000000006</v>
      </c>
      <c r="N19" s="64">
        <v>78.5</v>
      </c>
      <c r="O19" s="64">
        <v>0</v>
      </c>
      <c r="P19" s="64">
        <v>1.39</v>
      </c>
      <c r="Q19" s="64">
        <v>9.89</v>
      </c>
      <c r="R19" s="198"/>
      <c r="S19" s="198"/>
      <c r="T19" s="198"/>
      <c r="U19" s="198"/>
    </row>
    <row r="20" spans="1:21" s="12" customFormat="1" x14ac:dyDescent="0.25">
      <c r="A20" s="213" t="s">
        <v>351</v>
      </c>
      <c r="B20" s="64">
        <v>82.08</v>
      </c>
      <c r="C20" s="64">
        <v>50.07</v>
      </c>
      <c r="D20" s="64">
        <v>90.6</v>
      </c>
      <c r="E20" s="64">
        <v>5.26</v>
      </c>
      <c r="F20" s="64">
        <v>2.13</v>
      </c>
      <c r="G20" s="64">
        <v>97.66</v>
      </c>
      <c r="H20" s="64">
        <v>21.81</v>
      </c>
      <c r="I20" s="210" t="s">
        <v>43</v>
      </c>
      <c r="J20" s="64">
        <v>0.67</v>
      </c>
      <c r="K20" s="64">
        <v>309.58999999999997</v>
      </c>
      <c r="L20" s="64">
        <v>16.95</v>
      </c>
      <c r="M20" s="64">
        <v>77.8</v>
      </c>
      <c r="N20" s="64">
        <v>78.8</v>
      </c>
      <c r="O20" s="64">
        <v>0</v>
      </c>
      <c r="P20" s="64">
        <v>1.37</v>
      </c>
      <c r="Q20" s="64">
        <v>9.89</v>
      </c>
      <c r="R20" s="198"/>
      <c r="S20" s="198"/>
      <c r="T20" s="198"/>
      <c r="U20" s="198"/>
    </row>
    <row r="21" spans="1:21" s="12" customFormat="1" x14ac:dyDescent="0.25">
      <c r="A21" s="213" t="s">
        <v>352</v>
      </c>
      <c r="B21" s="64">
        <v>78.52</v>
      </c>
      <c r="C21" s="64">
        <v>50.31</v>
      </c>
      <c r="D21" s="64">
        <v>87.88</v>
      </c>
      <c r="E21" s="64">
        <v>5.63</v>
      </c>
      <c r="F21" s="64">
        <v>2.13</v>
      </c>
      <c r="G21" s="64">
        <v>78.62</v>
      </c>
      <c r="H21" s="64">
        <v>16</v>
      </c>
      <c r="I21" s="210" t="s">
        <v>43</v>
      </c>
      <c r="J21" s="64">
        <v>0.66</v>
      </c>
      <c r="K21" s="64">
        <v>315.45</v>
      </c>
      <c r="L21" s="64">
        <v>16.579999999999998</v>
      </c>
      <c r="M21" s="64">
        <v>82.41</v>
      </c>
      <c r="N21" s="64">
        <v>79</v>
      </c>
      <c r="O21" s="64">
        <v>0</v>
      </c>
      <c r="P21" s="64">
        <v>1.33</v>
      </c>
      <c r="Q21" s="64">
        <v>9.85</v>
      </c>
      <c r="R21" s="198"/>
      <c r="S21" s="198"/>
      <c r="T21" s="198"/>
      <c r="U21" s="198"/>
    </row>
    <row r="22" spans="1:21" s="12" customFormat="1" x14ac:dyDescent="0.25">
      <c r="A22" s="213" t="s">
        <v>353</v>
      </c>
      <c r="B22" s="64">
        <v>74.87</v>
      </c>
      <c r="C22" s="64">
        <v>50.5</v>
      </c>
      <c r="D22" s="64">
        <v>85.05</v>
      </c>
      <c r="E22" s="64">
        <v>6.03</v>
      </c>
      <c r="F22" s="64">
        <v>2.13</v>
      </c>
      <c r="G22" s="64">
        <v>78.62</v>
      </c>
      <c r="H22" s="64">
        <v>16</v>
      </c>
      <c r="I22" s="210" t="s">
        <v>43</v>
      </c>
      <c r="J22" s="64">
        <v>0.69</v>
      </c>
      <c r="K22" s="64">
        <v>314.61</v>
      </c>
      <c r="L22" s="64">
        <v>16.32</v>
      </c>
      <c r="M22" s="64">
        <v>83.94</v>
      </c>
      <c r="N22" s="64">
        <v>78.7</v>
      </c>
      <c r="O22" s="64">
        <v>0</v>
      </c>
      <c r="P22" s="64">
        <v>1.3</v>
      </c>
      <c r="Q22" s="64">
        <v>9.83</v>
      </c>
      <c r="R22" s="198"/>
      <c r="S22" s="198"/>
      <c r="T22" s="198"/>
      <c r="U22" s="198"/>
    </row>
    <row r="23" spans="1:21" s="12" customFormat="1" x14ac:dyDescent="0.25">
      <c r="A23" s="213" t="s">
        <v>354</v>
      </c>
      <c r="B23" s="64">
        <v>72.33</v>
      </c>
      <c r="C23" s="64">
        <v>50.67</v>
      </c>
      <c r="D23" s="64">
        <v>83.1</v>
      </c>
      <c r="E23" s="64">
        <v>5.75</v>
      </c>
      <c r="F23" s="64">
        <v>2.13</v>
      </c>
      <c r="G23" s="64">
        <v>78.62</v>
      </c>
      <c r="H23" s="64">
        <v>16</v>
      </c>
      <c r="I23" s="210" t="s">
        <v>43</v>
      </c>
      <c r="J23" s="64">
        <v>0.64</v>
      </c>
      <c r="K23" s="64">
        <v>300.33999999999997</v>
      </c>
      <c r="L23" s="64">
        <v>16.170000000000002</v>
      </c>
      <c r="M23" s="64">
        <v>83.63</v>
      </c>
      <c r="N23" s="64">
        <v>78.8</v>
      </c>
      <c r="O23" s="64">
        <v>0</v>
      </c>
      <c r="P23" s="64">
        <v>1.25</v>
      </c>
      <c r="Q23" s="64">
        <v>9.82</v>
      </c>
      <c r="R23" s="198"/>
      <c r="S23" s="198"/>
      <c r="T23" s="198"/>
      <c r="U23" s="198"/>
    </row>
    <row r="24" spans="1:21" s="12" customFormat="1" x14ac:dyDescent="0.25">
      <c r="A24" s="213" t="s">
        <v>355</v>
      </c>
      <c r="B24" s="64">
        <v>70.239999999999995</v>
      </c>
      <c r="C24" s="64">
        <v>51.92</v>
      </c>
      <c r="D24" s="64">
        <v>82.07</v>
      </c>
      <c r="E24" s="64">
        <v>5.82</v>
      </c>
      <c r="F24" s="64">
        <v>2.13</v>
      </c>
      <c r="G24" s="64">
        <v>78.790000000000006</v>
      </c>
      <c r="H24" s="64">
        <v>14.32</v>
      </c>
      <c r="I24" s="210" t="s">
        <v>43</v>
      </c>
      <c r="J24" s="64">
        <v>0.63</v>
      </c>
      <c r="K24" s="64">
        <v>307.5</v>
      </c>
      <c r="L24" s="64">
        <v>16.07</v>
      </c>
      <c r="M24" s="64">
        <v>84.3</v>
      </c>
      <c r="N24" s="64">
        <v>78.8</v>
      </c>
      <c r="O24" s="64">
        <v>0</v>
      </c>
      <c r="P24" s="64">
        <v>1.2</v>
      </c>
      <c r="Q24" s="64">
        <v>9.8000000000000007</v>
      </c>
      <c r="R24" s="198"/>
      <c r="S24" s="198"/>
      <c r="T24" s="198"/>
      <c r="U24" s="198"/>
    </row>
    <row r="25" spans="1:21" s="12" customFormat="1" x14ac:dyDescent="0.25">
      <c r="A25" s="213" t="s">
        <v>356</v>
      </c>
      <c r="B25" s="64">
        <v>67.94</v>
      </c>
      <c r="C25" s="64">
        <v>51.61</v>
      </c>
      <c r="D25" s="64">
        <v>80.069999999999993</v>
      </c>
      <c r="E25" s="64">
        <v>5.87</v>
      </c>
      <c r="F25" s="64">
        <v>2.13</v>
      </c>
      <c r="G25" s="64">
        <v>78.98</v>
      </c>
      <c r="H25" s="64">
        <v>12.32</v>
      </c>
      <c r="I25" s="210" t="s">
        <v>43</v>
      </c>
      <c r="J25" s="64">
        <v>0.49</v>
      </c>
      <c r="K25" s="64">
        <v>282.48</v>
      </c>
      <c r="L25" s="64">
        <v>16.28</v>
      </c>
      <c r="M25" s="64">
        <v>82.67</v>
      </c>
      <c r="N25" s="64">
        <v>78.599999999999994</v>
      </c>
      <c r="O25" s="64">
        <v>0</v>
      </c>
      <c r="P25" s="64">
        <v>1.18</v>
      </c>
      <c r="Q25" s="64">
        <v>9.7899999999999991</v>
      </c>
      <c r="R25" s="198"/>
      <c r="S25" s="198"/>
      <c r="T25" s="198"/>
      <c r="U25" s="198"/>
    </row>
    <row r="26" spans="1:21" s="12" customFormat="1" x14ac:dyDescent="0.25">
      <c r="A26" s="213" t="s">
        <v>357</v>
      </c>
      <c r="B26" s="64">
        <v>65.97</v>
      </c>
      <c r="C26" s="64">
        <v>47.94</v>
      </c>
      <c r="D26" s="64">
        <v>76.569999999999993</v>
      </c>
      <c r="E26" s="64">
        <v>5.94</v>
      </c>
      <c r="F26" s="64">
        <v>2.13</v>
      </c>
      <c r="G26" s="64">
        <v>78.98</v>
      </c>
      <c r="H26" s="64">
        <v>12.32</v>
      </c>
      <c r="I26" s="210" t="s">
        <v>43</v>
      </c>
      <c r="J26" s="64">
        <v>0.51</v>
      </c>
      <c r="K26" s="64">
        <v>274.36</v>
      </c>
      <c r="L26" s="64">
        <v>16.239999999999998</v>
      </c>
      <c r="M26" s="64">
        <v>84.93</v>
      </c>
      <c r="N26" s="64">
        <v>78.599999999999994</v>
      </c>
      <c r="O26" s="64">
        <v>0</v>
      </c>
      <c r="P26" s="64">
        <v>1.04</v>
      </c>
      <c r="Q26" s="64">
        <v>9.8000000000000007</v>
      </c>
      <c r="R26" s="198"/>
      <c r="S26" s="198"/>
      <c r="T26" s="198"/>
      <c r="U26" s="198"/>
    </row>
    <row r="27" spans="1:21" s="12" customFormat="1" x14ac:dyDescent="0.25">
      <c r="A27" s="213" t="s">
        <v>358</v>
      </c>
      <c r="B27" s="64">
        <v>64.34</v>
      </c>
      <c r="C27" s="64">
        <v>46.74</v>
      </c>
      <c r="D27" s="64">
        <v>74.63</v>
      </c>
      <c r="E27" s="64">
        <v>5.31</v>
      </c>
      <c r="F27" s="64">
        <v>2.13</v>
      </c>
      <c r="G27" s="64">
        <v>78.98</v>
      </c>
      <c r="H27" s="64">
        <v>12.32</v>
      </c>
      <c r="I27" s="210" t="s">
        <v>43</v>
      </c>
      <c r="J27" s="64">
        <v>0.56999999999999995</v>
      </c>
      <c r="K27" s="64">
        <v>243.79</v>
      </c>
      <c r="L27" s="64">
        <v>16.13</v>
      </c>
      <c r="M27" s="64">
        <v>88.05</v>
      </c>
      <c r="N27" s="64">
        <v>78.599999999999994</v>
      </c>
      <c r="O27" s="64">
        <v>0</v>
      </c>
      <c r="P27" s="64">
        <v>0.99</v>
      </c>
      <c r="Q27" s="64">
        <v>9.7799999999999994</v>
      </c>
      <c r="R27" s="198"/>
      <c r="S27" s="198"/>
      <c r="T27" s="198"/>
      <c r="U27" s="198"/>
    </row>
    <row r="28" spans="1:21" s="12" customFormat="1" x14ac:dyDescent="0.25">
      <c r="A28" s="213" t="s">
        <v>359</v>
      </c>
      <c r="B28" s="64">
        <v>62.75</v>
      </c>
      <c r="C28" s="64">
        <v>48.23</v>
      </c>
      <c r="D28" s="64">
        <v>74.14</v>
      </c>
      <c r="E28" s="64">
        <v>5.39</v>
      </c>
      <c r="F28" s="64">
        <v>2.13</v>
      </c>
      <c r="G28" s="64">
        <v>74.790000000000006</v>
      </c>
      <c r="H28" s="64">
        <v>17.64</v>
      </c>
      <c r="I28" s="210" t="s">
        <v>43</v>
      </c>
      <c r="J28" s="64">
        <v>0.59</v>
      </c>
      <c r="K28" s="64">
        <v>276.3</v>
      </c>
      <c r="L28" s="64">
        <v>15.94</v>
      </c>
      <c r="M28" s="64">
        <v>89.92</v>
      </c>
      <c r="N28" s="64">
        <v>78.7</v>
      </c>
      <c r="O28" s="64">
        <v>0</v>
      </c>
      <c r="P28" s="64">
        <v>0.94</v>
      </c>
      <c r="Q28" s="64">
        <v>9.77</v>
      </c>
      <c r="R28" s="198"/>
      <c r="S28" s="198"/>
      <c r="T28" s="198"/>
      <c r="U28" s="198"/>
    </row>
    <row r="29" spans="1:21" s="12" customFormat="1" x14ac:dyDescent="0.25">
      <c r="A29" s="213" t="s">
        <v>360</v>
      </c>
      <c r="B29" s="64">
        <v>62.1</v>
      </c>
      <c r="C29" s="64">
        <v>48.19</v>
      </c>
      <c r="D29" s="64">
        <v>73.599999999999994</v>
      </c>
      <c r="E29" s="64">
        <v>5.2</v>
      </c>
      <c r="F29" s="64">
        <v>2.13</v>
      </c>
      <c r="G29" s="64">
        <v>69.78</v>
      </c>
      <c r="H29" s="64">
        <v>24.29</v>
      </c>
      <c r="I29" s="210" t="s">
        <v>43</v>
      </c>
      <c r="J29" s="64">
        <v>0.64</v>
      </c>
      <c r="K29" s="64">
        <v>286.54000000000002</v>
      </c>
      <c r="L29" s="64">
        <v>15.57</v>
      </c>
      <c r="M29" s="64">
        <v>93.28</v>
      </c>
      <c r="N29" s="64">
        <v>78.599999999999994</v>
      </c>
      <c r="O29" s="64">
        <v>0</v>
      </c>
      <c r="P29" s="64">
        <v>1.02</v>
      </c>
      <c r="Q29" s="64">
        <v>9.76</v>
      </c>
      <c r="R29" s="198"/>
      <c r="S29" s="198"/>
      <c r="T29" s="198"/>
      <c r="U29" s="198"/>
    </row>
    <row r="30" spans="1:21" s="12" customFormat="1" x14ac:dyDescent="0.25">
      <c r="A30" s="213" t="s">
        <v>361</v>
      </c>
      <c r="B30" s="64">
        <v>62.18</v>
      </c>
      <c r="C30" s="64">
        <v>48.56</v>
      </c>
      <c r="D30" s="64">
        <v>73.86</v>
      </c>
      <c r="E30" s="64">
        <v>5.52</v>
      </c>
      <c r="F30" s="64">
        <v>2.13</v>
      </c>
      <c r="G30" s="64">
        <v>69.78</v>
      </c>
      <c r="H30" s="64">
        <v>24.29</v>
      </c>
      <c r="I30" s="210" t="s">
        <v>43</v>
      </c>
      <c r="J30" s="64">
        <v>0.6</v>
      </c>
      <c r="K30" s="64">
        <v>264.91000000000003</v>
      </c>
      <c r="L30" s="64">
        <v>15.45</v>
      </c>
      <c r="M30" s="64">
        <v>94.47</v>
      </c>
      <c r="N30" s="64">
        <v>78.5</v>
      </c>
      <c r="O30" s="64">
        <v>0</v>
      </c>
      <c r="P30" s="64">
        <v>0.94</v>
      </c>
      <c r="Q30" s="64">
        <v>9.74</v>
      </c>
      <c r="R30" s="198"/>
      <c r="S30" s="198"/>
      <c r="T30" s="198"/>
      <c r="U30" s="198"/>
    </row>
    <row r="31" spans="1:21" s="12" customFormat="1" x14ac:dyDescent="0.25">
      <c r="A31" s="213" t="s">
        <v>362</v>
      </c>
      <c r="B31" s="64">
        <v>61.46</v>
      </c>
      <c r="C31" s="64">
        <v>48.51</v>
      </c>
      <c r="D31" s="64">
        <v>73.25</v>
      </c>
      <c r="E31" s="64">
        <v>5.81</v>
      </c>
      <c r="F31" s="64">
        <v>2.13</v>
      </c>
      <c r="G31" s="64">
        <v>69.78</v>
      </c>
      <c r="H31" s="64">
        <v>24.29</v>
      </c>
      <c r="I31" s="210" t="s">
        <v>43</v>
      </c>
      <c r="J31" s="64">
        <v>0.37</v>
      </c>
      <c r="K31" s="64">
        <v>306.49</v>
      </c>
      <c r="L31" s="64">
        <v>15.67</v>
      </c>
      <c r="M31" s="64">
        <v>91.07</v>
      </c>
      <c r="N31" s="64">
        <v>78.5</v>
      </c>
      <c r="O31" s="64">
        <v>0</v>
      </c>
      <c r="P31" s="64">
        <v>0.92</v>
      </c>
      <c r="Q31" s="64">
        <v>9.74</v>
      </c>
      <c r="R31" s="198"/>
      <c r="S31" s="198"/>
      <c r="T31" s="198"/>
      <c r="U31" s="198"/>
    </row>
    <row r="32" spans="1:21" s="12" customFormat="1" x14ac:dyDescent="0.25">
      <c r="A32" s="213" t="s">
        <v>363</v>
      </c>
      <c r="B32" s="64">
        <v>60.64</v>
      </c>
      <c r="C32" s="64">
        <v>48.7</v>
      </c>
      <c r="D32" s="64">
        <v>72.7</v>
      </c>
      <c r="E32" s="64">
        <v>5.73</v>
      </c>
      <c r="F32" s="64">
        <v>2.13</v>
      </c>
      <c r="G32" s="64">
        <v>79.63</v>
      </c>
      <c r="H32" s="64">
        <v>19.760000000000002</v>
      </c>
      <c r="I32" s="210" t="s">
        <v>43</v>
      </c>
      <c r="J32" s="64">
        <v>0.37</v>
      </c>
      <c r="K32" s="64">
        <v>135.86000000000001</v>
      </c>
      <c r="L32" s="64">
        <v>15.65</v>
      </c>
      <c r="M32" s="64">
        <v>91.76</v>
      </c>
      <c r="N32" s="64">
        <v>78.8</v>
      </c>
      <c r="O32" s="64">
        <v>0</v>
      </c>
      <c r="P32" s="64">
        <v>0.91</v>
      </c>
      <c r="Q32" s="64">
        <v>9.73</v>
      </c>
      <c r="R32" s="198"/>
      <c r="S32" s="198"/>
      <c r="T32" s="198"/>
      <c r="U32" s="198"/>
    </row>
    <row r="33" spans="1:21" s="12" customFormat="1" x14ac:dyDescent="0.25">
      <c r="A33" s="213" t="s">
        <v>364</v>
      </c>
      <c r="B33" s="64">
        <v>59.91</v>
      </c>
      <c r="C33" s="64">
        <v>48.49</v>
      </c>
      <c r="D33" s="64">
        <v>72</v>
      </c>
      <c r="E33" s="64">
        <v>5.88</v>
      </c>
      <c r="F33" s="64">
        <v>2.13</v>
      </c>
      <c r="G33" s="64">
        <v>91.39</v>
      </c>
      <c r="H33" s="64">
        <v>14.33</v>
      </c>
      <c r="I33" s="210" t="s">
        <v>43</v>
      </c>
      <c r="J33" s="64">
        <v>0.57999999999999996</v>
      </c>
      <c r="K33" s="64">
        <v>257.58999999999997</v>
      </c>
      <c r="L33" s="64">
        <v>15.48</v>
      </c>
      <c r="M33" s="64">
        <v>92.8</v>
      </c>
      <c r="N33" s="64">
        <v>78.599999999999994</v>
      </c>
      <c r="O33" s="64">
        <v>0</v>
      </c>
      <c r="P33" s="64">
        <v>0.95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3" t="s">
        <v>365</v>
      </c>
      <c r="B34" s="64">
        <v>58.81</v>
      </c>
      <c r="C34" s="64">
        <v>51.32</v>
      </c>
      <c r="D34" s="64">
        <v>72.599999999999994</v>
      </c>
      <c r="E34" s="64">
        <v>5.64</v>
      </c>
      <c r="F34" s="64">
        <v>2.13</v>
      </c>
      <c r="G34" s="64">
        <v>91.39</v>
      </c>
      <c r="H34" s="64">
        <v>14.33</v>
      </c>
      <c r="I34" s="210" t="s">
        <v>43</v>
      </c>
      <c r="J34" s="64">
        <v>0.44</v>
      </c>
      <c r="K34" s="64">
        <v>299.55</v>
      </c>
      <c r="L34" s="64">
        <v>15.4</v>
      </c>
      <c r="M34" s="64">
        <v>93.77</v>
      </c>
      <c r="N34" s="64">
        <v>79.099999999999994</v>
      </c>
      <c r="O34" s="64">
        <v>0</v>
      </c>
      <c r="P34" s="64">
        <v>0.98</v>
      </c>
      <c r="Q34" s="64">
        <v>9.7100000000000009</v>
      </c>
      <c r="R34" s="198"/>
      <c r="S34" s="198"/>
      <c r="T34" s="198"/>
      <c r="U34" s="198"/>
    </row>
    <row r="35" spans="1:21" s="12" customFormat="1" x14ac:dyDescent="0.25">
      <c r="A35" s="213" t="s">
        <v>366</v>
      </c>
      <c r="B35" s="64">
        <v>58.45</v>
      </c>
      <c r="C35" s="64">
        <v>52.96</v>
      </c>
      <c r="D35" s="64">
        <v>73.16</v>
      </c>
      <c r="E35" s="64">
        <v>5.81</v>
      </c>
      <c r="F35" s="64">
        <v>2.13</v>
      </c>
      <c r="G35" s="64">
        <v>91.39</v>
      </c>
      <c r="H35" s="64">
        <v>14.33</v>
      </c>
      <c r="I35" s="210" t="s">
        <v>43</v>
      </c>
      <c r="J35" s="64">
        <v>0.56000000000000005</v>
      </c>
      <c r="K35" s="64">
        <v>348.21</v>
      </c>
      <c r="L35" s="64">
        <v>15.33</v>
      </c>
      <c r="M35" s="64">
        <v>94.72</v>
      </c>
      <c r="N35" s="64">
        <v>81.7</v>
      </c>
      <c r="O35" s="64">
        <v>0</v>
      </c>
      <c r="P35" s="64">
        <v>0.95</v>
      </c>
      <c r="Q35" s="64">
        <v>9.69</v>
      </c>
      <c r="R35" s="198"/>
      <c r="S35" s="198"/>
      <c r="T35" s="198"/>
      <c r="U35" s="198"/>
    </row>
    <row r="36" spans="1:21" s="12" customFormat="1" x14ac:dyDescent="0.25">
      <c r="A36" s="213" t="s">
        <v>367</v>
      </c>
      <c r="B36" s="64">
        <v>60.03</v>
      </c>
      <c r="C36" s="64">
        <v>51.21</v>
      </c>
      <c r="D36" s="64">
        <v>73.510000000000005</v>
      </c>
      <c r="E36" s="64">
        <v>5.81</v>
      </c>
      <c r="F36" s="64">
        <v>2.13</v>
      </c>
      <c r="G36" s="64">
        <v>87.56</v>
      </c>
      <c r="H36" s="64">
        <v>11.85</v>
      </c>
      <c r="I36" s="210" t="s">
        <v>43</v>
      </c>
      <c r="J36" s="64">
        <v>0.54</v>
      </c>
      <c r="K36" s="64">
        <v>111.23</v>
      </c>
      <c r="L36" s="64">
        <v>15.51</v>
      </c>
      <c r="M36" s="64">
        <v>94.76</v>
      </c>
      <c r="N36" s="64">
        <v>90.1</v>
      </c>
      <c r="O36" s="64">
        <v>0</v>
      </c>
      <c r="P36" s="64">
        <v>0.94</v>
      </c>
      <c r="Q36" s="64">
        <v>9.67</v>
      </c>
      <c r="R36" s="198"/>
      <c r="S36" s="198"/>
      <c r="T36" s="198"/>
      <c r="U36" s="198"/>
    </row>
    <row r="37" spans="1:21" s="12" customFormat="1" x14ac:dyDescent="0.25">
      <c r="A37" s="213" t="s">
        <v>368</v>
      </c>
      <c r="B37" s="64">
        <v>64.38</v>
      </c>
      <c r="C37" s="64">
        <v>52.5</v>
      </c>
      <c r="D37" s="64">
        <v>77.680000000000007</v>
      </c>
      <c r="E37" s="64">
        <v>5.4</v>
      </c>
      <c r="F37" s="64">
        <v>2.13</v>
      </c>
      <c r="G37" s="64">
        <v>82.99</v>
      </c>
      <c r="H37" s="64">
        <v>8.74</v>
      </c>
      <c r="I37" s="210" t="s">
        <v>43</v>
      </c>
      <c r="J37" s="64">
        <v>0.45</v>
      </c>
      <c r="K37" s="64">
        <v>64.400000000000006</v>
      </c>
      <c r="L37" s="64">
        <v>15.83</v>
      </c>
      <c r="M37" s="64">
        <v>94.6</v>
      </c>
      <c r="N37" s="64">
        <v>103.4</v>
      </c>
      <c r="O37" s="64">
        <v>0</v>
      </c>
      <c r="P37" s="64">
        <v>0.97</v>
      </c>
      <c r="Q37" s="64">
        <v>9.67</v>
      </c>
      <c r="R37" s="198"/>
      <c r="S37" s="198"/>
      <c r="T37" s="198"/>
      <c r="U37" s="198"/>
    </row>
    <row r="38" spans="1:21" s="12" customFormat="1" x14ac:dyDescent="0.25">
      <c r="A38" s="213" t="s">
        <v>369</v>
      </c>
      <c r="B38" s="64">
        <v>70.849999999999994</v>
      </c>
      <c r="C38" s="64">
        <v>52.53</v>
      </c>
      <c r="D38" s="64">
        <v>82.88</v>
      </c>
      <c r="E38" s="64">
        <v>5.54</v>
      </c>
      <c r="F38" s="64">
        <v>2.13</v>
      </c>
      <c r="G38" s="64">
        <v>82.99</v>
      </c>
      <c r="H38" s="64">
        <v>8.74</v>
      </c>
      <c r="I38" s="210" t="s">
        <v>43</v>
      </c>
      <c r="J38" s="64">
        <v>0.46</v>
      </c>
      <c r="K38" s="64">
        <v>219.77</v>
      </c>
      <c r="L38" s="64">
        <v>16.61</v>
      </c>
      <c r="M38" s="64">
        <v>92.08</v>
      </c>
      <c r="N38" s="64">
        <v>118.1</v>
      </c>
      <c r="O38" s="64">
        <v>0</v>
      </c>
      <c r="P38" s="64">
        <v>1.02</v>
      </c>
      <c r="Q38" s="64">
        <v>9.69</v>
      </c>
      <c r="R38" s="198"/>
      <c r="S38" s="198"/>
      <c r="T38" s="198"/>
      <c r="U38" s="198"/>
    </row>
    <row r="39" spans="1:21" s="12" customFormat="1" x14ac:dyDescent="0.25">
      <c r="A39" s="213" t="s">
        <v>370</v>
      </c>
      <c r="B39" s="64">
        <v>72.95</v>
      </c>
      <c r="C39" s="64">
        <v>53</v>
      </c>
      <c r="D39" s="64">
        <v>84.81</v>
      </c>
      <c r="E39" s="64">
        <v>5.58</v>
      </c>
      <c r="F39" s="64">
        <v>2.13</v>
      </c>
      <c r="G39" s="64">
        <v>82.99</v>
      </c>
      <c r="H39" s="64">
        <v>8.74</v>
      </c>
      <c r="I39" s="210" t="s">
        <v>43</v>
      </c>
      <c r="J39" s="64">
        <v>0.68</v>
      </c>
      <c r="K39" s="64">
        <v>193.22</v>
      </c>
      <c r="L39" s="64">
        <v>17.5</v>
      </c>
      <c r="M39" s="64">
        <v>85.89</v>
      </c>
      <c r="N39" s="64">
        <v>159.19999999999999</v>
      </c>
      <c r="O39" s="64">
        <v>0</v>
      </c>
      <c r="P39" s="64">
        <v>1.01</v>
      </c>
      <c r="Q39" s="64">
        <v>9.73</v>
      </c>
      <c r="R39" s="198"/>
      <c r="S39" s="198"/>
      <c r="T39" s="198"/>
      <c r="U39" s="198"/>
    </row>
    <row r="40" spans="1:21" s="12" customFormat="1" x14ac:dyDescent="0.25">
      <c r="A40" s="213" t="s">
        <v>371</v>
      </c>
      <c r="B40" s="64">
        <v>72.95</v>
      </c>
      <c r="C40" s="64">
        <v>52.9</v>
      </c>
      <c r="D40" s="64">
        <v>84.76</v>
      </c>
      <c r="E40" s="64">
        <v>5.55</v>
      </c>
      <c r="F40" s="64">
        <v>2.13</v>
      </c>
      <c r="G40" s="64">
        <v>83.36</v>
      </c>
      <c r="H40" s="64">
        <v>7.27</v>
      </c>
      <c r="I40" s="210" t="s">
        <v>43</v>
      </c>
      <c r="J40" s="64">
        <v>0.81</v>
      </c>
      <c r="K40" s="64">
        <v>186.37</v>
      </c>
      <c r="L40" s="64">
        <v>18.27</v>
      </c>
      <c r="M40" s="64">
        <v>80.48</v>
      </c>
      <c r="N40" s="64">
        <v>231.1</v>
      </c>
      <c r="O40" s="64">
        <v>0</v>
      </c>
      <c r="P40" s="64">
        <v>1.01</v>
      </c>
      <c r="Q40" s="64">
        <v>9.7899999999999991</v>
      </c>
      <c r="R40" s="198"/>
      <c r="S40" s="198"/>
      <c r="T40" s="198"/>
      <c r="U40" s="198"/>
    </row>
    <row r="41" spans="1:21" s="12" customFormat="1" x14ac:dyDescent="0.25">
      <c r="A41" s="213" t="s">
        <v>372</v>
      </c>
      <c r="B41" s="64">
        <v>70.55</v>
      </c>
      <c r="C41" s="64">
        <v>53.55</v>
      </c>
      <c r="D41" s="64">
        <v>83.18</v>
      </c>
      <c r="E41" s="64">
        <v>6.05</v>
      </c>
      <c r="F41" s="64">
        <v>2.13</v>
      </c>
      <c r="G41" s="64">
        <v>83.8</v>
      </c>
      <c r="H41" s="64">
        <v>5.51</v>
      </c>
      <c r="I41" s="210" t="s">
        <v>43</v>
      </c>
      <c r="J41" s="64">
        <v>0.95</v>
      </c>
      <c r="K41" s="64">
        <v>169.78</v>
      </c>
      <c r="L41" s="64">
        <v>19.420000000000002</v>
      </c>
      <c r="M41" s="64">
        <v>75.73</v>
      </c>
      <c r="N41" s="64">
        <v>273</v>
      </c>
      <c r="O41" s="64">
        <v>0</v>
      </c>
      <c r="P41" s="64">
        <v>0.98</v>
      </c>
      <c r="Q41" s="64">
        <v>9.82</v>
      </c>
      <c r="R41" s="198"/>
      <c r="S41" s="198"/>
      <c r="T41" s="198"/>
      <c r="U41" s="198"/>
    </row>
    <row r="42" spans="1:21" s="12" customFormat="1" x14ac:dyDescent="0.25">
      <c r="A42" s="213" t="s">
        <v>373</v>
      </c>
      <c r="B42" s="64">
        <v>67.62</v>
      </c>
      <c r="C42" s="64">
        <v>50.87</v>
      </c>
      <c r="D42" s="64">
        <v>79.430000000000007</v>
      </c>
      <c r="E42" s="64">
        <v>5.88</v>
      </c>
      <c r="F42" s="64">
        <v>2.13</v>
      </c>
      <c r="G42" s="64">
        <v>83.8</v>
      </c>
      <c r="H42" s="64">
        <v>5.51</v>
      </c>
      <c r="I42" s="210" t="s">
        <v>43</v>
      </c>
      <c r="J42" s="64">
        <v>0.57999999999999996</v>
      </c>
      <c r="K42" s="64">
        <v>210.4</v>
      </c>
      <c r="L42" s="64">
        <v>20.72</v>
      </c>
      <c r="M42" s="64">
        <v>70.83</v>
      </c>
      <c r="N42" s="64">
        <v>314.3</v>
      </c>
      <c r="O42" s="64">
        <v>0</v>
      </c>
      <c r="P42" s="64">
        <v>0.97</v>
      </c>
      <c r="Q42" s="64">
        <v>9.82</v>
      </c>
      <c r="R42" s="198"/>
      <c r="S42" s="198"/>
      <c r="T42" s="198"/>
      <c r="U42" s="198"/>
    </row>
    <row r="43" spans="1:21" s="12" customFormat="1" x14ac:dyDescent="0.25">
      <c r="A43" s="213" t="s">
        <v>374</v>
      </c>
      <c r="B43" s="64">
        <v>64.98</v>
      </c>
      <c r="C43" s="64">
        <v>49.37</v>
      </c>
      <c r="D43" s="64">
        <v>76.53</v>
      </c>
      <c r="E43" s="64">
        <v>5.89</v>
      </c>
      <c r="F43" s="64">
        <v>2.13</v>
      </c>
      <c r="G43" s="64">
        <v>83.8</v>
      </c>
      <c r="H43" s="64">
        <v>5.51</v>
      </c>
      <c r="I43" s="210" t="s">
        <v>43</v>
      </c>
      <c r="J43" s="64">
        <v>0.82</v>
      </c>
      <c r="K43" s="64">
        <v>184.58</v>
      </c>
      <c r="L43" s="64">
        <v>21.62</v>
      </c>
      <c r="M43" s="64">
        <v>67.680000000000007</v>
      </c>
      <c r="N43" s="64">
        <v>360.8</v>
      </c>
      <c r="O43" s="64">
        <v>0</v>
      </c>
      <c r="P43" s="64">
        <v>0.95</v>
      </c>
      <c r="Q43" s="64">
        <v>9.81</v>
      </c>
      <c r="R43" s="198"/>
      <c r="S43" s="198"/>
      <c r="T43" s="198"/>
      <c r="U43" s="198"/>
    </row>
    <row r="44" spans="1:21" s="12" customFormat="1" x14ac:dyDescent="0.25">
      <c r="A44" s="213" t="s">
        <v>375</v>
      </c>
      <c r="B44" s="64">
        <v>62.33</v>
      </c>
      <c r="C44" s="64">
        <v>49.04</v>
      </c>
      <c r="D44" s="64">
        <v>74.23</v>
      </c>
      <c r="E44" s="64">
        <v>6.11</v>
      </c>
      <c r="F44" s="64">
        <v>2.13</v>
      </c>
      <c r="G44" s="64">
        <v>87.88</v>
      </c>
      <c r="H44" s="64">
        <v>34.130000000000003</v>
      </c>
      <c r="I44" s="210" t="s">
        <v>43</v>
      </c>
      <c r="J44" s="64">
        <v>1.24</v>
      </c>
      <c r="K44" s="64">
        <v>152.24</v>
      </c>
      <c r="L44" s="64">
        <v>22.07</v>
      </c>
      <c r="M44" s="64">
        <v>66.430000000000007</v>
      </c>
      <c r="N44" s="64">
        <v>401.2</v>
      </c>
      <c r="O44" s="64">
        <v>0</v>
      </c>
      <c r="P44" s="64">
        <v>0.94</v>
      </c>
      <c r="Q44" s="64">
        <v>9.7799999999999994</v>
      </c>
      <c r="R44" s="198"/>
      <c r="S44" s="198"/>
      <c r="T44" s="198"/>
      <c r="U44" s="198"/>
    </row>
    <row r="45" spans="1:21" s="12" customFormat="1" x14ac:dyDescent="0.25">
      <c r="A45" s="213" t="s">
        <v>376</v>
      </c>
      <c r="B45" s="64">
        <v>60.17</v>
      </c>
      <c r="C45" s="64">
        <v>50.23</v>
      </c>
      <c r="D45" s="64">
        <v>73.12</v>
      </c>
      <c r="E45" s="64">
        <v>5.52</v>
      </c>
      <c r="F45" s="64">
        <v>2.13</v>
      </c>
      <c r="G45" s="64">
        <v>92.76</v>
      </c>
      <c r="H45" s="64">
        <v>69.900000000000006</v>
      </c>
      <c r="I45" s="210" t="s">
        <v>43</v>
      </c>
      <c r="J45" s="64">
        <v>1.24</v>
      </c>
      <c r="K45" s="64">
        <v>154.71</v>
      </c>
      <c r="L45" s="64">
        <v>22.9</v>
      </c>
      <c r="M45" s="64">
        <v>62.91</v>
      </c>
      <c r="N45" s="64">
        <v>445.2</v>
      </c>
      <c r="O45" s="64">
        <v>0</v>
      </c>
      <c r="P45" s="64">
        <v>0.94</v>
      </c>
      <c r="Q45" s="64">
        <v>9.76</v>
      </c>
      <c r="R45" s="198"/>
      <c r="S45" s="198"/>
      <c r="T45" s="198"/>
      <c r="U45" s="198"/>
    </row>
    <row r="46" spans="1:21" s="12" customFormat="1" x14ac:dyDescent="0.25">
      <c r="A46" s="213" t="s">
        <v>377</v>
      </c>
      <c r="B46" s="64">
        <v>57.61</v>
      </c>
      <c r="C46" s="64">
        <v>50.82</v>
      </c>
      <c r="D46" s="64">
        <v>71.38</v>
      </c>
      <c r="E46" s="64">
        <v>5.55</v>
      </c>
      <c r="F46" s="64">
        <v>2.13</v>
      </c>
      <c r="G46" s="64">
        <v>92.76</v>
      </c>
      <c r="H46" s="64">
        <v>69.900000000000006</v>
      </c>
      <c r="I46" s="210" t="s">
        <v>43</v>
      </c>
      <c r="J46" s="64">
        <v>1.73</v>
      </c>
      <c r="K46" s="64">
        <v>151.65</v>
      </c>
      <c r="L46" s="64">
        <v>23.28</v>
      </c>
      <c r="M46" s="64">
        <v>62.2</v>
      </c>
      <c r="N46" s="64">
        <v>475.8</v>
      </c>
      <c r="O46" s="64">
        <v>0</v>
      </c>
      <c r="P46" s="64">
        <v>0.92</v>
      </c>
      <c r="Q46" s="64">
        <v>9.74</v>
      </c>
      <c r="R46" s="198"/>
      <c r="S46" s="198"/>
      <c r="T46" s="198"/>
      <c r="U46" s="198"/>
    </row>
    <row r="47" spans="1:21" s="12" customFormat="1" x14ac:dyDescent="0.25">
      <c r="A47" s="213" t="s">
        <v>378</v>
      </c>
      <c r="B47" s="64">
        <v>54.88</v>
      </c>
      <c r="C47" s="64">
        <v>51.46</v>
      </c>
      <c r="D47" s="64">
        <v>69.52</v>
      </c>
      <c r="E47" s="64">
        <v>5.88</v>
      </c>
      <c r="F47" s="64">
        <v>2.13</v>
      </c>
      <c r="G47" s="64">
        <v>92.76</v>
      </c>
      <c r="H47" s="64">
        <v>69.900000000000006</v>
      </c>
      <c r="I47" s="210" t="s">
        <v>43</v>
      </c>
      <c r="J47" s="64">
        <v>1.18</v>
      </c>
      <c r="K47" s="64">
        <v>166.19</v>
      </c>
      <c r="L47" s="64">
        <v>23.82</v>
      </c>
      <c r="M47" s="64">
        <v>57.51</v>
      </c>
      <c r="N47" s="64">
        <v>497.2</v>
      </c>
      <c r="O47" s="64">
        <v>0</v>
      </c>
      <c r="P47" s="64">
        <v>0.91</v>
      </c>
      <c r="Q47" s="64">
        <v>9.7200000000000006</v>
      </c>
      <c r="R47" s="198"/>
      <c r="S47" s="198"/>
      <c r="T47" s="198"/>
      <c r="U47" s="198"/>
    </row>
    <row r="48" spans="1:21" s="12" customFormat="1" x14ac:dyDescent="0.25">
      <c r="A48" s="213" t="s">
        <v>379</v>
      </c>
      <c r="B48" s="64">
        <v>51.22</v>
      </c>
      <c r="C48" s="64">
        <v>52.94</v>
      </c>
      <c r="D48" s="64">
        <v>67.36</v>
      </c>
      <c r="E48" s="64">
        <v>5.94</v>
      </c>
      <c r="F48" s="64">
        <v>2.13</v>
      </c>
      <c r="G48" s="64">
        <v>91.6</v>
      </c>
      <c r="H48" s="64">
        <v>44.99</v>
      </c>
      <c r="I48" s="210" t="s">
        <v>43</v>
      </c>
      <c r="J48" s="64">
        <v>0.91</v>
      </c>
      <c r="K48" s="64">
        <v>172.73</v>
      </c>
      <c r="L48" s="64">
        <v>24.77</v>
      </c>
      <c r="M48" s="64">
        <v>53.46</v>
      </c>
      <c r="N48" s="64">
        <v>513.6</v>
      </c>
      <c r="O48" s="64">
        <v>0</v>
      </c>
      <c r="P48" s="64">
        <v>0.9</v>
      </c>
      <c r="Q48" s="64">
        <v>9.7100000000000009</v>
      </c>
      <c r="R48" s="198"/>
      <c r="S48" s="198"/>
      <c r="T48" s="198"/>
      <c r="U48" s="198"/>
    </row>
    <row r="49" spans="1:21" s="12" customFormat="1" x14ac:dyDescent="0.25">
      <c r="A49" s="213" t="s">
        <v>380</v>
      </c>
      <c r="B49" s="64">
        <v>47.07</v>
      </c>
      <c r="C49" s="64">
        <v>54.52</v>
      </c>
      <c r="D49" s="64">
        <v>64.86</v>
      </c>
      <c r="E49" s="64">
        <v>6.27</v>
      </c>
      <c r="F49" s="64">
        <v>2.13</v>
      </c>
      <c r="G49" s="64">
        <v>90.21</v>
      </c>
      <c r="H49" s="64">
        <v>15.22</v>
      </c>
      <c r="I49" s="210" t="s">
        <v>43</v>
      </c>
      <c r="J49" s="64">
        <v>0.43</v>
      </c>
      <c r="K49" s="64">
        <v>219.84</v>
      </c>
      <c r="L49" s="64">
        <v>25.81</v>
      </c>
      <c r="M49" s="64">
        <v>51.32</v>
      </c>
      <c r="N49" s="64">
        <v>528.29999999999995</v>
      </c>
      <c r="O49" s="64">
        <v>0</v>
      </c>
      <c r="P49" s="64">
        <v>0.88</v>
      </c>
      <c r="Q49" s="64">
        <v>9.7100000000000009</v>
      </c>
      <c r="R49" s="198"/>
      <c r="S49" s="198"/>
      <c r="T49" s="198"/>
      <c r="U49" s="198"/>
    </row>
    <row r="50" spans="1:21" s="12" customFormat="1" x14ac:dyDescent="0.25">
      <c r="A50" s="213" t="s">
        <v>381</v>
      </c>
      <c r="B50" s="64">
        <v>43.03</v>
      </c>
      <c r="C50" s="64">
        <v>56.24</v>
      </c>
      <c r="D50" s="64">
        <v>62.51</v>
      </c>
      <c r="E50" s="64">
        <v>5.98</v>
      </c>
      <c r="F50" s="64">
        <v>2.13</v>
      </c>
      <c r="G50" s="64">
        <v>90.21</v>
      </c>
      <c r="H50" s="64">
        <v>15.22</v>
      </c>
      <c r="I50" s="210" t="s">
        <v>43</v>
      </c>
      <c r="J50" s="64">
        <v>0.1</v>
      </c>
      <c r="K50" s="64">
        <v>38.54</v>
      </c>
      <c r="L50" s="64">
        <v>25.8</v>
      </c>
      <c r="M50" s="64">
        <v>57.72</v>
      </c>
      <c r="N50" s="64">
        <v>538.4</v>
      </c>
      <c r="O50" s="64">
        <v>0</v>
      </c>
      <c r="P50" s="64">
        <v>0.86</v>
      </c>
      <c r="Q50" s="64">
        <v>9.6999999999999993</v>
      </c>
      <c r="R50" s="198"/>
      <c r="S50" s="198"/>
      <c r="T50" s="198"/>
      <c r="U50" s="198"/>
    </row>
    <row r="51" spans="1:21" s="12" customFormat="1" x14ac:dyDescent="0.25">
      <c r="A51" s="213" t="s">
        <v>382</v>
      </c>
      <c r="B51" s="64">
        <v>39.369999999999997</v>
      </c>
      <c r="C51" s="64">
        <v>60.33</v>
      </c>
      <c r="D51" s="64">
        <v>61.71</v>
      </c>
      <c r="E51" s="64">
        <v>6.11</v>
      </c>
      <c r="F51" s="64">
        <v>2.13</v>
      </c>
      <c r="G51" s="64">
        <v>90.21</v>
      </c>
      <c r="H51" s="64">
        <v>15.22</v>
      </c>
      <c r="I51" s="210" t="s">
        <v>43</v>
      </c>
      <c r="J51" s="64">
        <v>0.72</v>
      </c>
      <c r="K51" s="64">
        <v>296.23</v>
      </c>
      <c r="L51" s="64">
        <v>27.24</v>
      </c>
      <c r="M51" s="64">
        <v>47.99</v>
      </c>
      <c r="N51" s="64">
        <v>544.1</v>
      </c>
      <c r="O51" s="64">
        <v>0</v>
      </c>
      <c r="P51" s="64">
        <v>0.88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3" t="s">
        <v>383</v>
      </c>
      <c r="B52" s="64">
        <v>34.520000000000003</v>
      </c>
      <c r="C52" s="64">
        <v>60.35</v>
      </c>
      <c r="D52" s="64">
        <v>57.83</v>
      </c>
      <c r="E52" s="64">
        <v>6.47</v>
      </c>
      <c r="F52" s="64">
        <v>2.13</v>
      </c>
      <c r="G52" s="64">
        <v>82.14</v>
      </c>
      <c r="H52" s="64">
        <v>40.89</v>
      </c>
      <c r="I52" s="210" t="s">
        <v>43</v>
      </c>
      <c r="J52" s="64">
        <v>1.1399999999999999</v>
      </c>
      <c r="K52" s="64">
        <v>307.02999999999997</v>
      </c>
      <c r="L52" s="64">
        <v>29.21</v>
      </c>
      <c r="M52" s="64">
        <v>39.450000000000003</v>
      </c>
      <c r="N52" s="64">
        <v>545.79999999999995</v>
      </c>
      <c r="O52" s="64">
        <v>0</v>
      </c>
      <c r="P52" s="64">
        <v>0.89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3" t="s">
        <v>384</v>
      </c>
      <c r="B53" s="64">
        <v>29.71</v>
      </c>
      <c r="C53" s="64">
        <v>64.25</v>
      </c>
      <c r="D53" s="64">
        <v>56.02</v>
      </c>
      <c r="E53" s="64">
        <v>5.97</v>
      </c>
      <c r="F53" s="64">
        <v>2.13</v>
      </c>
      <c r="G53" s="64">
        <v>72.5</v>
      </c>
      <c r="H53" s="64">
        <v>72.97</v>
      </c>
      <c r="I53" s="210" t="s">
        <v>43</v>
      </c>
      <c r="J53" s="64">
        <v>1</v>
      </c>
      <c r="K53" s="64">
        <v>293.54000000000002</v>
      </c>
      <c r="L53" s="64">
        <v>31.41</v>
      </c>
      <c r="M53" s="64">
        <v>34.76</v>
      </c>
      <c r="N53" s="64">
        <v>543.79999999999995</v>
      </c>
      <c r="O53" s="64">
        <v>0</v>
      </c>
      <c r="P53" s="64">
        <v>0.9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3" t="s">
        <v>385</v>
      </c>
      <c r="B54" s="64">
        <v>25.12</v>
      </c>
      <c r="C54" s="64">
        <v>63.94</v>
      </c>
      <c r="D54" s="64">
        <v>52.18</v>
      </c>
      <c r="E54" s="64">
        <v>5.63</v>
      </c>
      <c r="F54" s="64">
        <v>2.13</v>
      </c>
      <c r="G54" s="64">
        <v>72.5</v>
      </c>
      <c r="H54" s="64">
        <v>72.97</v>
      </c>
      <c r="I54" s="210" t="s">
        <v>43</v>
      </c>
      <c r="J54" s="64">
        <v>0.93</v>
      </c>
      <c r="K54" s="64">
        <v>297.55</v>
      </c>
      <c r="L54" s="64">
        <v>31.58</v>
      </c>
      <c r="M54" s="64">
        <v>34.15</v>
      </c>
      <c r="N54" s="64">
        <v>559.20000000000005</v>
      </c>
      <c r="O54" s="64">
        <v>0</v>
      </c>
      <c r="P54" s="64">
        <v>0.9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3" t="s">
        <v>386</v>
      </c>
      <c r="B55" s="64">
        <v>21.02</v>
      </c>
      <c r="C55" s="64">
        <v>68.319999999999993</v>
      </c>
      <c r="D55" s="64">
        <v>51.18</v>
      </c>
      <c r="E55" s="64">
        <v>5.79</v>
      </c>
      <c r="F55" s="64">
        <v>2.13</v>
      </c>
      <c r="G55" s="64">
        <v>72.5</v>
      </c>
      <c r="H55" s="64">
        <v>72.97</v>
      </c>
      <c r="I55" s="210" t="s">
        <v>43</v>
      </c>
      <c r="J55" s="64">
        <v>1.03</v>
      </c>
      <c r="K55" s="64">
        <v>314.66000000000003</v>
      </c>
      <c r="L55" s="64">
        <v>30.86</v>
      </c>
      <c r="M55" s="64">
        <v>35.49</v>
      </c>
      <c r="N55" s="64">
        <v>563</v>
      </c>
      <c r="O55" s="64">
        <v>0</v>
      </c>
      <c r="P55" s="64">
        <v>0.92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3" t="s">
        <v>387</v>
      </c>
      <c r="B56" s="64">
        <v>18</v>
      </c>
      <c r="C56" s="64">
        <v>69.400000000000006</v>
      </c>
      <c r="D56" s="64">
        <v>49.32</v>
      </c>
      <c r="E56" s="64">
        <v>5.6</v>
      </c>
      <c r="F56" s="64">
        <v>2.13</v>
      </c>
      <c r="G56" s="64">
        <v>72.42</v>
      </c>
      <c r="H56" s="64">
        <v>56.73</v>
      </c>
      <c r="I56" s="210" t="s">
        <v>43</v>
      </c>
      <c r="J56" s="64">
        <v>1.35</v>
      </c>
      <c r="K56" s="64">
        <v>306.94</v>
      </c>
      <c r="L56" s="64">
        <v>32.01</v>
      </c>
      <c r="M56" s="64">
        <v>34.020000000000003</v>
      </c>
      <c r="N56" s="64">
        <v>577.5</v>
      </c>
      <c r="O56" s="64">
        <v>0</v>
      </c>
      <c r="P56" s="64">
        <v>0.92</v>
      </c>
      <c r="Q56" s="64">
        <v>9.59</v>
      </c>
      <c r="R56" s="198"/>
      <c r="S56" s="198"/>
      <c r="T56" s="198"/>
      <c r="U56" s="198"/>
    </row>
    <row r="57" spans="1:21" s="12" customFormat="1" x14ac:dyDescent="0.25">
      <c r="A57" s="213" t="s">
        <v>388</v>
      </c>
      <c r="B57" s="64">
        <v>15.11</v>
      </c>
      <c r="C57" s="64">
        <v>68.36</v>
      </c>
      <c r="D57" s="64">
        <v>46.46</v>
      </c>
      <c r="E57" s="64">
        <v>5.68</v>
      </c>
      <c r="F57" s="64">
        <v>2.13</v>
      </c>
      <c r="G57" s="64">
        <v>72.319999999999993</v>
      </c>
      <c r="H57" s="64">
        <v>37.32</v>
      </c>
      <c r="I57" s="210" t="s">
        <v>43</v>
      </c>
      <c r="J57" s="64">
        <v>0.49</v>
      </c>
      <c r="K57" s="64">
        <v>257.23</v>
      </c>
      <c r="L57" s="64">
        <v>29.16</v>
      </c>
      <c r="M57" s="64">
        <v>37.869999999999997</v>
      </c>
      <c r="N57" s="64">
        <v>572.70000000000005</v>
      </c>
      <c r="O57" s="64">
        <v>0</v>
      </c>
      <c r="P57" s="64">
        <v>0.92</v>
      </c>
      <c r="Q57" s="64">
        <v>9.58</v>
      </c>
      <c r="R57" s="198"/>
      <c r="S57" s="198"/>
      <c r="T57" s="198"/>
      <c r="U57" s="198"/>
    </row>
    <row r="58" spans="1:21" s="12" customFormat="1" x14ac:dyDescent="0.25">
      <c r="A58" s="213" t="s">
        <v>389</v>
      </c>
      <c r="B58" s="64">
        <v>12.02</v>
      </c>
      <c r="C58" s="64">
        <v>71.75</v>
      </c>
      <c r="D58" s="64">
        <v>45.75</v>
      </c>
      <c r="E58" s="64">
        <v>6.18</v>
      </c>
      <c r="F58" s="64">
        <v>2.13</v>
      </c>
      <c r="G58" s="64">
        <v>72.319999999999993</v>
      </c>
      <c r="H58" s="64">
        <v>37.32</v>
      </c>
      <c r="I58" s="210" t="s">
        <v>43</v>
      </c>
      <c r="J58" s="64">
        <v>0.44</v>
      </c>
      <c r="K58" s="64">
        <v>252.92</v>
      </c>
      <c r="L58" s="64">
        <v>28.81</v>
      </c>
      <c r="M58" s="64">
        <v>38.01</v>
      </c>
      <c r="N58" s="64">
        <v>570.9</v>
      </c>
      <c r="O58" s="64">
        <v>0</v>
      </c>
      <c r="P58" s="64">
        <v>0.92</v>
      </c>
      <c r="Q58" s="64">
        <v>9.57</v>
      </c>
      <c r="R58" s="198"/>
      <c r="S58" s="198"/>
      <c r="T58" s="198"/>
      <c r="U58" s="198"/>
    </row>
    <row r="59" spans="1:21" s="12" customFormat="1" x14ac:dyDescent="0.25">
      <c r="A59" s="213" t="s">
        <v>390</v>
      </c>
      <c r="B59" s="64">
        <v>9.25</v>
      </c>
      <c r="C59" s="64">
        <v>70.72</v>
      </c>
      <c r="D59" s="64">
        <v>42.99</v>
      </c>
      <c r="E59" s="64">
        <v>5.84</v>
      </c>
      <c r="F59" s="64">
        <v>2.13</v>
      </c>
      <c r="G59" s="64">
        <v>72.319999999999993</v>
      </c>
      <c r="H59" s="64">
        <v>37.32</v>
      </c>
      <c r="I59" s="210" t="s">
        <v>43</v>
      </c>
      <c r="J59" s="64">
        <v>0.77</v>
      </c>
      <c r="K59" s="64">
        <v>271.66000000000003</v>
      </c>
      <c r="L59" s="64">
        <v>29.23</v>
      </c>
      <c r="M59" s="64">
        <v>36.5</v>
      </c>
      <c r="N59" s="64">
        <v>579</v>
      </c>
      <c r="O59" s="64">
        <v>0</v>
      </c>
      <c r="P59" s="64">
        <v>0.91</v>
      </c>
      <c r="Q59" s="64">
        <v>9.5500000000000007</v>
      </c>
      <c r="R59" s="198"/>
      <c r="S59" s="198"/>
      <c r="T59" s="198"/>
      <c r="U59" s="198"/>
    </row>
    <row r="60" spans="1:21" s="12" customFormat="1" x14ac:dyDescent="0.25">
      <c r="A60" s="213" t="s">
        <v>391</v>
      </c>
      <c r="B60" s="64">
        <v>7.59</v>
      </c>
      <c r="C60" s="64">
        <v>66.17</v>
      </c>
      <c r="D60" s="64">
        <v>39.28</v>
      </c>
      <c r="E60" s="64">
        <v>5.5</v>
      </c>
      <c r="F60" s="64">
        <v>2.13</v>
      </c>
      <c r="G60" s="64">
        <v>67.290000000000006</v>
      </c>
      <c r="H60" s="64">
        <v>54.64</v>
      </c>
      <c r="I60" s="210" t="s">
        <v>43</v>
      </c>
      <c r="J60" s="64">
        <v>0.23</v>
      </c>
      <c r="K60" s="64">
        <v>268.68</v>
      </c>
      <c r="L60" s="64">
        <v>30.49</v>
      </c>
      <c r="M60" s="64">
        <v>32.880000000000003</v>
      </c>
      <c r="N60" s="64">
        <v>578.79999999999995</v>
      </c>
      <c r="O60" s="64">
        <v>0</v>
      </c>
      <c r="P60" s="64">
        <v>0.83</v>
      </c>
      <c r="Q60" s="64">
        <v>9.5399999999999991</v>
      </c>
      <c r="R60" s="198"/>
      <c r="S60" s="198"/>
      <c r="T60" s="198"/>
      <c r="U60" s="198"/>
    </row>
    <row r="61" spans="1:21" s="12" customFormat="1" x14ac:dyDescent="0.25">
      <c r="A61" s="213" t="s">
        <v>392</v>
      </c>
      <c r="B61" s="64">
        <v>6.88</v>
      </c>
      <c r="C61" s="64">
        <v>65.55</v>
      </c>
      <c r="D61" s="64">
        <v>38.39</v>
      </c>
      <c r="E61" s="64">
        <v>5.37</v>
      </c>
      <c r="F61" s="64">
        <v>2.13</v>
      </c>
      <c r="G61" s="64">
        <v>61.27</v>
      </c>
      <c r="H61" s="64">
        <v>75.33</v>
      </c>
      <c r="I61" s="210" t="s">
        <v>43</v>
      </c>
      <c r="J61" s="64">
        <v>0.84</v>
      </c>
      <c r="K61" s="64">
        <v>298.43</v>
      </c>
      <c r="L61" s="64">
        <v>29.94</v>
      </c>
      <c r="M61" s="64">
        <v>35.49</v>
      </c>
      <c r="N61" s="64">
        <v>559.9</v>
      </c>
      <c r="O61" s="64">
        <v>0</v>
      </c>
      <c r="P61" s="64">
        <v>0.83</v>
      </c>
      <c r="Q61" s="64">
        <v>9.51</v>
      </c>
      <c r="R61" s="198"/>
      <c r="S61" s="198"/>
      <c r="T61" s="198"/>
      <c r="U61" s="198"/>
    </row>
    <row r="62" spans="1:21" s="12" customFormat="1" x14ac:dyDescent="0.25">
      <c r="A62" s="213" t="s">
        <v>393</v>
      </c>
      <c r="B62" s="64">
        <v>7.61</v>
      </c>
      <c r="C62" s="64">
        <v>65.739999999999995</v>
      </c>
      <c r="D62" s="64">
        <v>39.08</v>
      </c>
      <c r="E62" s="64">
        <v>5.38</v>
      </c>
      <c r="F62" s="64">
        <v>2.13</v>
      </c>
      <c r="G62" s="64">
        <v>61.27</v>
      </c>
      <c r="H62" s="64">
        <v>75.33</v>
      </c>
      <c r="I62" s="210" t="s">
        <v>43</v>
      </c>
      <c r="J62" s="64">
        <v>0.75</v>
      </c>
      <c r="K62" s="64">
        <v>292.29000000000002</v>
      </c>
      <c r="L62" s="64">
        <v>31.08</v>
      </c>
      <c r="M62" s="64">
        <v>33.479999999999997</v>
      </c>
      <c r="N62" s="64">
        <v>543.4</v>
      </c>
      <c r="O62" s="64">
        <v>0</v>
      </c>
      <c r="P62" s="64">
        <v>0.78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3" t="s">
        <v>394</v>
      </c>
      <c r="B63" s="64">
        <v>7.81</v>
      </c>
      <c r="C63" s="64">
        <v>65.540000000000006</v>
      </c>
      <c r="D63" s="64">
        <v>39.119999999999997</v>
      </c>
      <c r="E63" s="64">
        <v>5.21</v>
      </c>
      <c r="F63" s="64">
        <v>2.13</v>
      </c>
      <c r="G63" s="64">
        <v>61.27</v>
      </c>
      <c r="H63" s="64">
        <v>75.33</v>
      </c>
      <c r="I63" s="210" t="s">
        <v>43</v>
      </c>
      <c r="J63" s="64">
        <v>0.85</v>
      </c>
      <c r="K63" s="64">
        <v>299.8</v>
      </c>
      <c r="L63" s="64">
        <v>30.18</v>
      </c>
      <c r="M63" s="64">
        <v>34.590000000000003</v>
      </c>
      <c r="N63" s="64">
        <v>364.1</v>
      </c>
      <c r="O63" s="64">
        <v>0</v>
      </c>
      <c r="P63" s="64">
        <v>0.74</v>
      </c>
      <c r="Q63" s="64">
        <v>9.49</v>
      </c>
      <c r="R63" s="198"/>
      <c r="S63" s="198"/>
      <c r="T63" s="198"/>
      <c r="U63" s="198"/>
    </row>
    <row r="64" spans="1:21" s="12" customFormat="1" x14ac:dyDescent="0.25">
      <c r="A64" s="213" t="s">
        <v>395</v>
      </c>
      <c r="B64" s="64">
        <v>7.01</v>
      </c>
      <c r="C64" s="64">
        <v>64.59</v>
      </c>
      <c r="D64" s="64">
        <v>37.99</v>
      </c>
      <c r="E64" s="64">
        <v>5.39</v>
      </c>
      <c r="F64" s="64">
        <v>2.13</v>
      </c>
      <c r="G64" s="64">
        <v>54.79</v>
      </c>
      <c r="H64" s="64">
        <v>43.29</v>
      </c>
      <c r="I64" s="210" t="s">
        <v>43</v>
      </c>
      <c r="J64" s="64">
        <v>0.51</v>
      </c>
      <c r="K64" s="64">
        <v>220.91</v>
      </c>
      <c r="L64" s="64">
        <v>29.97</v>
      </c>
      <c r="M64" s="64">
        <v>33.479999999999997</v>
      </c>
      <c r="N64" s="64">
        <v>517.6</v>
      </c>
      <c r="O64" s="64">
        <v>0</v>
      </c>
      <c r="P64" s="64">
        <v>0.68</v>
      </c>
      <c r="Q64" s="64">
        <v>9.51</v>
      </c>
      <c r="R64" s="198"/>
      <c r="S64" s="198"/>
      <c r="T64" s="198"/>
      <c r="U64" s="198"/>
    </row>
    <row r="65" spans="1:21" s="12" customFormat="1" x14ac:dyDescent="0.25">
      <c r="A65" s="213" t="s">
        <v>396</v>
      </c>
      <c r="B65" s="64">
        <v>6.09</v>
      </c>
      <c r="C65" s="64">
        <v>63.18</v>
      </c>
      <c r="D65" s="64">
        <v>36.520000000000003</v>
      </c>
      <c r="E65" s="64">
        <v>5.57</v>
      </c>
      <c r="F65" s="64">
        <v>2.13</v>
      </c>
      <c r="G65" s="64">
        <v>47.04</v>
      </c>
      <c r="H65" s="212" t="s">
        <v>42</v>
      </c>
      <c r="I65" s="210" t="s">
        <v>43</v>
      </c>
      <c r="J65" s="64">
        <v>0.68</v>
      </c>
      <c r="K65" s="64">
        <v>283.64999999999998</v>
      </c>
      <c r="L65" s="64">
        <v>29.68</v>
      </c>
      <c r="M65" s="64">
        <v>33.49</v>
      </c>
      <c r="N65" s="64">
        <v>478.7</v>
      </c>
      <c r="O65" s="64">
        <v>0</v>
      </c>
      <c r="P65" s="64">
        <v>0.73</v>
      </c>
      <c r="Q65" s="64">
        <v>9.49</v>
      </c>
      <c r="R65" s="198"/>
      <c r="S65" s="198"/>
      <c r="T65" s="198"/>
      <c r="U65" s="198"/>
    </row>
    <row r="66" spans="1:21" s="12" customFormat="1" x14ac:dyDescent="0.25">
      <c r="A66" s="213" t="s">
        <v>397</v>
      </c>
      <c r="B66" s="64">
        <v>5.25</v>
      </c>
      <c r="C66" s="64">
        <v>61.95</v>
      </c>
      <c r="D66" s="64">
        <v>35.200000000000003</v>
      </c>
      <c r="E66" s="64">
        <v>5.51</v>
      </c>
      <c r="F66" s="64">
        <v>2.13</v>
      </c>
      <c r="G66" s="64">
        <v>47.04</v>
      </c>
      <c r="H66" s="212" t="s">
        <v>42</v>
      </c>
      <c r="I66" s="210" t="s">
        <v>43</v>
      </c>
      <c r="J66" s="64">
        <v>0.78</v>
      </c>
      <c r="K66" s="64">
        <v>298.57</v>
      </c>
      <c r="L66" s="64">
        <v>29.9</v>
      </c>
      <c r="M66" s="64">
        <v>33.82</v>
      </c>
      <c r="N66" s="64">
        <v>359.9</v>
      </c>
      <c r="O66" s="64">
        <v>0</v>
      </c>
      <c r="P66" s="64">
        <v>0.66</v>
      </c>
      <c r="Q66" s="64">
        <v>9.49</v>
      </c>
      <c r="R66" s="198"/>
      <c r="S66" s="198"/>
      <c r="T66" s="198"/>
      <c r="U66" s="198"/>
    </row>
    <row r="67" spans="1:21" s="12" customFormat="1" x14ac:dyDescent="0.25">
      <c r="A67" s="213" t="s">
        <v>398</v>
      </c>
      <c r="B67" s="64">
        <v>4.78</v>
      </c>
      <c r="C67" s="64">
        <v>62.53</v>
      </c>
      <c r="D67" s="64">
        <v>35.130000000000003</v>
      </c>
      <c r="E67" s="64">
        <v>5.56</v>
      </c>
      <c r="F67" s="64">
        <v>2.13</v>
      </c>
      <c r="G67" s="64">
        <v>47.04</v>
      </c>
      <c r="H67" s="212" t="s">
        <v>42</v>
      </c>
      <c r="I67" s="210" t="s">
        <v>43</v>
      </c>
      <c r="J67" s="64">
        <v>0.66</v>
      </c>
      <c r="K67" s="64">
        <v>244.23</v>
      </c>
      <c r="L67" s="64">
        <v>29.11</v>
      </c>
      <c r="M67" s="64">
        <v>32.47</v>
      </c>
      <c r="N67" s="64">
        <v>224.6</v>
      </c>
      <c r="O67" s="64">
        <v>0</v>
      </c>
      <c r="P67" s="64">
        <v>0.69</v>
      </c>
      <c r="Q67" s="64">
        <v>9.48</v>
      </c>
      <c r="R67" s="198"/>
      <c r="S67" s="198"/>
      <c r="T67" s="198"/>
      <c r="U67" s="198"/>
    </row>
    <row r="68" spans="1:21" s="12" customFormat="1" x14ac:dyDescent="0.25">
      <c r="A68" s="213" t="s">
        <v>399</v>
      </c>
      <c r="B68" s="64">
        <v>4.16</v>
      </c>
      <c r="C68" s="64">
        <v>62.17</v>
      </c>
      <c r="D68" s="64">
        <v>34.44</v>
      </c>
      <c r="E68" s="64">
        <v>5.51</v>
      </c>
      <c r="F68" s="64">
        <v>2.13</v>
      </c>
      <c r="G68" s="64">
        <v>44.36</v>
      </c>
      <c r="H68" s="64">
        <v>18.690000000000001</v>
      </c>
      <c r="I68" s="210" t="s">
        <v>43</v>
      </c>
      <c r="J68" s="64">
        <v>0.57999999999999996</v>
      </c>
      <c r="K68" s="64">
        <v>292.86</v>
      </c>
      <c r="L68" s="64">
        <v>29</v>
      </c>
      <c r="M68" s="64">
        <v>34.35</v>
      </c>
      <c r="N68" s="64">
        <v>216.7</v>
      </c>
      <c r="O68" s="64">
        <v>0</v>
      </c>
      <c r="P68" s="64">
        <v>0.64</v>
      </c>
      <c r="Q68" s="64">
        <v>9.4499999999999993</v>
      </c>
      <c r="R68" s="198"/>
      <c r="S68" s="198"/>
      <c r="T68" s="198"/>
      <c r="U68" s="198"/>
    </row>
    <row r="69" spans="1:21" s="12" customFormat="1" x14ac:dyDescent="0.25">
      <c r="A69" s="213" t="s">
        <v>400</v>
      </c>
      <c r="B69" s="64">
        <v>3.81</v>
      </c>
      <c r="C69" s="64">
        <v>60.06</v>
      </c>
      <c r="D69" s="64">
        <v>33.049999999999997</v>
      </c>
      <c r="E69" s="64">
        <v>5.48</v>
      </c>
      <c r="F69" s="64">
        <v>2.13</v>
      </c>
      <c r="G69" s="64">
        <v>41.15</v>
      </c>
      <c r="H69" s="64">
        <v>41.02</v>
      </c>
      <c r="I69" s="210" t="s">
        <v>43</v>
      </c>
      <c r="J69" s="64">
        <v>0.93</v>
      </c>
      <c r="K69" s="64">
        <v>299.87</v>
      </c>
      <c r="L69" s="64">
        <v>28.66</v>
      </c>
      <c r="M69" s="64">
        <v>35.47</v>
      </c>
      <c r="N69" s="64">
        <v>228.5</v>
      </c>
      <c r="O69" s="64">
        <v>0</v>
      </c>
      <c r="P69" s="64">
        <v>0.63</v>
      </c>
      <c r="Q69" s="64">
        <v>9.41</v>
      </c>
      <c r="R69" s="198"/>
      <c r="S69" s="198"/>
      <c r="T69" s="198"/>
      <c r="U69" s="198"/>
    </row>
    <row r="70" spans="1:21" s="12" customFormat="1" x14ac:dyDescent="0.25">
      <c r="A70" s="213" t="s">
        <v>401</v>
      </c>
      <c r="B70" s="64">
        <v>3.5</v>
      </c>
      <c r="C70" s="64">
        <v>59.94</v>
      </c>
      <c r="D70" s="64">
        <v>32.74</v>
      </c>
      <c r="E70" s="64">
        <v>5.32</v>
      </c>
      <c r="F70" s="64">
        <v>2.13</v>
      </c>
      <c r="G70" s="64">
        <v>41.15</v>
      </c>
      <c r="H70" s="64">
        <v>41.02</v>
      </c>
      <c r="I70" s="210" t="s">
        <v>43</v>
      </c>
      <c r="J70" s="64">
        <v>0.76</v>
      </c>
      <c r="K70" s="64">
        <v>287.45999999999998</v>
      </c>
      <c r="L70" s="64">
        <v>28.64</v>
      </c>
      <c r="M70" s="64">
        <v>34.04</v>
      </c>
      <c r="N70" s="64">
        <v>186.2</v>
      </c>
      <c r="O70" s="64">
        <v>0</v>
      </c>
      <c r="P70" s="64">
        <v>0.63</v>
      </c>
      <c r="Q70" s="64">
        <v>9.39</v>
      </c>
      <c r="R70" s="198"/>
      <c r="S70" s="198"/>
      <c r="T70" s="198"/>
      <c r="U70" s="198"/>
    </row>
    <row r="71" spans="1:21" s="12" customFormat="1" x14ac:dyDescent="0.25">
      <c r="A71" s="213" t="s">
        <v>402</v>
      </c>
      <c r="B71" s="64">
        <v>3.3</v>
      </c>
      <c r="C71" s="64">
        <v>59.11</v>
      </c>
      <c r="D71" s="64">
        <v>32.159999999999997</v>
      </c>
      <c r="E71" s="64">
        <v>5.46</v>
      </c>
      <c r="F71" s="64">
        <v>2.16</v>
      </c>
      <c r="G71" s="64">
        <v>41.15</v>
      </c>
      <c r="H71" s="64">
        <v>41.02</v>
      </c>
      <c r="I71" s="210" t="s">
        <v>43</v>
      </c>
      <c r="J71" s="64">
        <v>0.7</v>
      </c>
      <c r="K71" s="64">
        <v>279.26</v>
      </c>
      <c r="L71" s="64">
        <v>28.39</v>
      </c>
      <c r="M71" s="64">
        <v>33.869999999999997</v>
      </c>
      <c r="N71" s="64">
        <v>152.9</v>
      </c>
      <c r="O71" s="64">
        <v>0</v>
      </c>
      <c r="P71" s="64">
        <v>0.61</v>
      </c>
      <c r="Q71" s="64">
        <v>9.3800000000000008</v>
      </c>
      <c r="R71" s="198"/>
      <c r="S71" s="198"/>
      <c r="T71" s="198"/>
      <c r="U71" s="198"/>
    </row>
    <row r="72" spans="1:21" s="12" customFormat="1" x14ac:dyDescent="0.25">
      <c r="A72" s="213" t="s">
        <v>403</v>
      </c>
      <c r="B72" s="64">
        <v>3.15</v>
      </c>
      <c r="C72" s="64">
        <v>57.95</v>
      </c>
      <c r="D72" s="64">
        <v>31.43</v>
      </c>
      <c r="E72" s="64">
        <v>5.67</v>
      </c>
      <c r="F72" s="64">
        <v>2.2200000000000002</v>
      </c>
      <c r="G72" s="64">
        <v>43.16</v>
      </c>
      <c r="H72" s="64">
        <v>38.68</v>
      </c>
      <c r="I72" s="210" t="s">
        <v>43</v>
      </c>
      <c r="J72" s="64">
        <v>0.77</v>
      </c>
      <c r="K72" s="64">
        <v>280.16000000000003</v>
      </c>
      <c r="L72" s="64">
        <v>28.16</v>
      </c>
      <c r="M72" s="64">
        <v>34.06</v>
      </c>
      <c r="N72" s="64">
        <v>136.9</v>
      </c>
      <c r="O72" s="64">
        <v>0</v>
      </c>
      <c r="P72" s="64">
        <v>0.6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3" t="s">
        <v>404</v>
      </c>
      <c r="B73" s="64">
        <v>3.05</v>
      </c>
      <c r="C73" s="64">
        <v>57.85</v>
      </c>
      <c r="D73" s="64">
        <v>31.3</v>
      </c>
      <c r="E73" s="64">
        <v>6.14</v>
      </c>
      <c r="F73" s="64">
        <v>2.2200000000000002</v>
      </c>
      <c r="G73" s="64">
        <v>45.56</v>
      </c>
      <c r="H73" s="64">
        <v>35.880000000000003</v>
      </c>
      <c r="I73" s="210" t="s">
        <v>43</v>
      </c>
      <c r="J73" s="64">
        <v>0.78</v>
      </c>
      <c r="K73" s="64">
        <v>277.33999999999997</v>
      </c>
      <c r="L73" s="64">
        <v>27.91</v>
      </c>
      <c r="M73" s="64">
        <v>33.79</v>
      </c>
      <c r="N73" s="64">
        <v>129.80000000000001</v>
      </c>
      <c r="O73" s="64">
        <v>0</v>
      </c>
      <c r="P73" s="64">
        <v>0.61</v>
      </c>
      <c r="Q73" s="64">
        <v>9.36</v>
      </c>
      <c r="R73" s="198"/>
      <c r="S73" s="198"/>
      <c r="T73" s="198"/>
      <c r="U73" s="198"/>
    </row>
    <row r="74" spans="1:21" s="12" customFormat="1" x14ac:dyDescent="0.25">
      <c r="A74" s="213" t="s">
        <v>405</v>
      </c>
      <c r="B74" s="64">
        <v>3.07</v>
      </c>
      <c r="C74" s="64">
        <v>57.28</v>
      </c>
      <c r="D74" s="64">
        <v>31.01</v>
      </c>
      <c r="E74" s="64">
        <v>6.4</v>
      </c>
      <c r="F74" s="64">
        <v>2.14</v>
      </c>
      <c r="G74" s="64">
        <v>45.56</v>
      </c>
      <c r="H74" s="64">
        <v>35.880000000000003</v>
      </c>
      <c r="I74" s="210" t="s">
        <v>43</v>
      </c>
      <c r="J74" s="64">
        <v>0.51</v>
      </c>
      <c r="K74" s="64">
        <v>277.43</v>
      </c>
      <c r="L74" s="64">
        <v>27.72</v>
      </c>
      <c r="M74" s="64">
        <v>33.36</v>
      </c>
      <c r="N74" s="64">
        <v>123.4</v>
      </c>
      <c r="O74" s="64">
        <v>0</v>
      </c>
      <c r="P74" s="64">
        <v>0.62</v>
      </c>
      <c r="Q74" s="64">
        <v>9.34</v>
      </c>
      <c r="R74" s="198"/>
      <c r="S74" s="198"/>
      <c r="T74" s="198"/>
      <c r="U74" s="198"/>
    </row>
    <row r="75" spans="1:21" s="12" customFormat="1" x14ac:dyDescent="0.25">
      <c r="A75" s="213" t="s">
        <v>406</v>
      </c>
      <c r="B75" s="64">
        <v>3.23</v>
      </c>
      <c r="C75" s="64">
        <v>58.21</v>
      </c>
      <c r="D75" s="64">
        <v>31.63</v>
      </c>
      <c r="E75" s="64">
        <v>6.61</v>
      </c>
      <c r="F75" s="64">
        <v>2.13</v>
      </c>
      <c r="G75" s="64">
        <v>45.56</v>
      </c>
      <c r="H75" s="64">
        <v>35.880000000000003</v>
      </c>
      <c r="I75" s="210" t="s">
        <v>43</v>
      </c>
      <c r="J75" s="64">
        <v>0.35</v>
      </c>
      <c r="K75" s="64">
        <v>272.35000000000002</v>
      </c>
      <c r="L75" s="64">
        <v>27.45</v>
      </c>
      <c r="M75" s="64">
        <v>33.65</v>
      </c>
      <c r="N75" s="64">
        <v>116.8</v>
      </c>
      <c r="O75" s="64">
        <v>0</v>
      </c>
      <c r="P75" s="64">
        <v>0.63</v>
      </c>
      <c r="Q75" s="64">
        <v>9.35</v>
      </c>
      <c r="R75" s="198"/>
      <c r="S75" s="198"/>
      <c r="T75" s="198"/>
      <c r="U75" s="198"/>
    </row>
    <row r="76" spans="1:21" s="12" customFormat="1" x14ac:dyDescent="0.25">
      <c r="A76" s="213" t="s">
        <v>407</v>
      </c>
      <c r="B76" s="64">
        <v>3.35</v>
      </c>
      <c r="C76" s="64">
        <v>56.91</v>
      </c>
      <c r="D76" s="64">
        <v>31.05</v>
      </c>
      <c r="E76" s="64">
        <v>6.33</v>
      </c>
      <c r="F76" s="64">
        <v>2.31</v>
      </c>
      <c r="G76" s="64">
        <v>47.34</v>
      </c>
      <c r="H76" s="64">
        <v>27.74</v>
      </c>
      <c r="I76" s="210" t="s">
        <v>43</v>
      </c>
      <c r="J76" s="64">
        <v>0.26</v>
      </c>
      <c r="K76" s="64">
        <v>300.27</v>
      </c>
      <c r="L76" s="64">
        <v>27.12</v>
      </c>
      <c r="M76" s="64">
        <v>34.69</v>
      </c>
      <c r="N76" s="64">
        <v>111.1</v>
      </c>
      <c r="O76" s="64">
        <v>0</v>
      </c>
      <c r="P76" s="64">
        <v>0.67</v>
      </c>
      <c r="Q76" s="64">
        <v>9.35</v>
      </c>
      <c r="R76" s="198"/>
      <c r="S76" s="198"/>
      <c r="T76" s="198"/>
      <c r="U76" s="198"/>
    </row>
    <row r="77" spans="1:21" s="12" customFormat="1" x14ac:dyDescent="0.25">
      <c r="A77" s="213" t="s">
        <v>408</v>
      </c>
      <c r="B77" s="64">
        <v>3.58</v>
      </c>
      <c r="C77" s="64">
        <v>55.01</v>
      </c>
      <c r="D77" s="64">
        <v>30.23</v>
      </c>
      <c r="E77" s="64">
        <v>5.92</v>
      </c>
      <c r="F77" s="64">
        <v>2.13</v>
      </c>
      <c r="G77" s="64">
        <v>49.47</v>
      </c>
      <c r="H77" s="64">
        <v>18.010000000000002</v>
      </c>
      <c r="I77" s="210" t="s">
        <v>43</v>
      </c>
      <c r="J77" s="64">
        <v>0.62</v>
      </c>
      <c r="K77" s="64">
        <v>309.99</v>
      </c>
      <c r="L77" s="64">
        <v>26.87</v>
      </c>
      <c r="M77" s="64">
        <v>36.64</v>
      </c>
      <c r="N77" s="64">
        <v>102.8</v>
      </c>
      <c r="O77" s="64">
        <v>0</v>
      </c>
      <c r="P77" s="64">
        <v>0.73</v>
      </c>
      <c r="Q77" s="64">
        <v>9.34</v>
      </c>
      <c r="R77" s="198"/>
      <c r="S77" s="198"/>
      <c r="T77" s="198"/>
      <c r="U77" s="198"/>
    </row>
    <row r="78" spans="1:21" s="12" customFormat="1" x14ac:dyDescent="0.25">
      <c r="A78" s="213" t="s">
        <v>409</v>
      </c>
      <c r="B78" s="64">
        <v>4.34</v>
      </c>
      <c r="C78" s="64">
        <v>55.64</v>
      </c>
      <c r="D78" s="64">
        <v>31.17</v>
      </c>
      <c r="E78" s="64">
        <v>5.92</v>
      </c>
      <c r="F78" s="64">
        <v>2.13</v>
      </c>
      <c r="G78" s="64">
        <v>49.47</v>
      </c>
      <c r="H78" s="64">
        <v>18.010000000000002</v>
      </c>
      <c r="I78" s="210" t="s">
        <v>43</v>
      </c>
      <c r="J78" s="64">
        <v>0.88</v>
      </c>
      <c r="K78" s="64">
        <v>295.95999999999998</v>
      </c>
      <c r="L78" s="64">
        <v>26.45</v>
      </c>
      <c r="M78" s="64">
        <v>38.770000000000003</v>
      </c>
      <c r="N78" s="64">
        <v>95</v>
      </c>
      <c r="O78" s="64">
        <v>0</v>
      </c>
      <c r="P78" s="64">
        <v>0.66</v>
      </c>
      <c r="Q78" s="64">
        <v>9.35</v>
      </c>
      <c r="R78" s="198"/>
      <c r="S78" s="198"/>
      <c r="T78" s="198"/>
      <c r="U78" s="198"/>
    </row>
    <row r="79" spans="1:21" s="12" customFormat="1" x14ac:dyDescent="0.25">
      <c r="A79" s="213" t="s">
        <v>410</v>
      </c>
      <c r="B79" s="64">
        <v>4.99</v>
      </c>
      <c r="C79" s="64">
        <v>55.84</v>
      </c>
      <c r="D79" s="64">
        <v>31.8</v>
      </c>
      <c r="E79" s="64">
        <v>5.91</v>
      </c>
      <c r="F79" s="64">
        <v>2.13</v>
      </c>
      <c r="G79" s="64">
        <v>49.47</v>
      </c>
      <c r="H79" s="64">
        <v>18.010000000000002</v>
      </c>
      <c r="I79" s="210" t="s">
        <v>43</v>
      </c>
      <c r="J79" s="64">
        <v>1.1299999999999999</v>
      </c>
      <c r="K79" s="64">
        <v>309.52</v>
      </c>
      <c r="L79" s="64">
        <v>25.82</v>
      </c>
      <c r="M79" s="64">
        <v>40.21</v>
      </c>
      <c r="N79" s="64">
        <v>88.1</v>
      </c>
      <c r="O79" s="64">
        <v>0</v>
      </c>
      <c r="P79" s="64">
        <v>0.67</v>
      </c>
      <c r="Q79" s="64">
        <v>9.3800000000000008</v>
      </c>
      <c r="R79" s="198"/>
      <c r="S79" s="198"/>
      <c r="T79" s="198"/>
      <c r="U79" s="198"/>
    </row>
    <row r="80" spans="1:21" s="12" customFormat="1" x14ac:dyDescent="0.25">
      <c r="A80" s="213" t="s">
        <v>411</v>
      </c>
      <c r="B80" s="64">
        <v>5.61</v>
      </c>
      <c r="C80" s="64">
        <v>55.68</v>
      </c>
      <c r="D80" s="64">
        <v>32.21</v>
      </c>
      <c r="E80" s="64">
        <v>6.02</v>
      </c>
      <c r="F80" s="64">
        <v>2.13</v>
      </c>
      <c r="G80" s="64">
        <v>50.11</v>
      </c>
      <c r="H80" s="64">
        <v>20.12</v>
      </c>
      <c r="I80" s="210" t="s">
        <v>43</v>
      </c>
      <c r="J80" s="64">
        <v>0.83</v>
      </c>
      <c r="K80" s="64">
        <v>324.36</v>
      </c>
      <c r="L80" s="64">
        <v>25.11</v>
      </c>
      <c r="M80" s="64">
        <v>42.5</v>
      </c>
      <c r="N80" s="64">
        <v>84</v>
      </c>
      <c r="O80" s="64">
        <v>0</v>
      </c>
      <c r="P80" s="64">
        <v>0.76</v>
      </c>
      <c r="Q80" s="64">
        <v>9.3800000000000008</v>
      </c>
      <c r="R80" s="198"/>
      <c r="S80" s="198"/>
      <c r="T80" s="198"/>
      <c r="U80" s="198"/>
    </row>
    <row r="81" spans="1:26" s="12" customFormat="1" x14ac:dyDescent="0.25">
      <c r="A81" s="213" t="s">
        <v>412</v>
      </c>
      <c r="B81" s="64">
        <v>6.7</v>
      </c>
      <c r="C81" s="64">
        <v>56.01</v>
      </c>
      <c r="D81" s="64">
        <v>33.26</v>
      </c>
      <c r="E81" s="64">
        <v>6.31</v>
      </c>
      <c r="F81" s="64">
        <v>2.13</v>
      </c>
      <c r="G81" s="64">
        <v>50.87</v>
      </c>
      <c r="H81" s="64">
        <v>22.65</v>
      </c>
      <c r="I81" s="210" t="s">
        <v>43</v>
      </c>
      <c r="J81" s="64">
        <v>0.82</v>
      </c>
      <c r="K81" s="64">
        <v>334.07</v>
      </c>
      <c r="L81" s="64">
        <v>24.3</v>
      </c>
      <c r="M81" s="64">
        <v>45.03</v>
      </c>
      <c r="N81" s="64">
        <v>82.8</v>
      </c>
      <c r="O81" s="64">
        <v>0</v>
      </c>
      <c r="P81" s="64">
        <v>0.91</v>
      </c>
      <c r="Q81" s="64">
        <v>9.41</v>
      </c>
      <c r="R81" s="198"/>
      <c r="S81" s="198"/>
      <c r="T81" s="198"/>
      <c r="U81" s="198"/>
    </row>
    <row r="82" spans="1:26" s="12" customFormat="1" x14ac:dyDescent="0.25">
      <c r="A82" s="213" t="s">
        <v>413</v>
      </c>
      <c r="B82" s="64">
        <v>8.31</v>
      </c>
      <c r="C82" s="64">
        <v>56.44</v>
      </c>
      <c r="D82" s="64">
        <v>34.770000000000003</v>
      </c>
      <c r="E82" s="64">
        <v>6.16</v>
      </c>
      <c r="F82" s="64">
        <v>2.13</v>
      </c>
      <c r="G82" s="64">
        <v>50.87</v>
      </c>
      <c r="H82" s="64">
        <v>22.65</v>
      </c>
      <c r="I82" s="210" t="s">
        <v>43</v>
      </c>
      <c r="J82" s="64">
        <v>0.64</v>
      </c>
      <c r="K82" s="64">
        <v>323.68</v>
      </c>
      <c r="L82" s="64">
        <v>23.74</v>
      </c>
      <c r="M82" s="64">
        <v>46.09</v>
      </c>
      <c r="N82" s="64">
        <v>82.7</v>
      </c>
      <c r="O82" s="64">
        <v>0</v>
      </c>
      <c r="P82" s="64">
        <v>1.04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3" t="s">
        <v>414</v>
      </c>
      <c r="B83" s="64">
        <v>9.77</v>
      </c>
      <c r="C83" s="64">
        <v>57.12</v>
      </c>
      <c r="D83" s="64">
        <v>36.299999999999997</v>
      </c>
      <c r="E83" s="64">
        <v>6.64</v>
      </c>
      <c r="F83" s="64">
        <v>2.13</v>
      </c>
      <c r="G83" s="64">
        <v>50.87</v>
      </c>
      <c r="H83" s="64">
        <v>22.65</v>
      </c>
      <c r="I83" s="210" t="s">
        <v>43</v>
      </c>
      <c r="J83" s="64">
        <v>0.65</v>
      </c>
      <c r="K83" s="64">
        <v>346.57</v>
      </c>
      <c r="L83" s="64">
        <v>23.19</v>
      </c>
      <c r="M83" s="64">
        <v>47.75</v>
      </c>
      <c r="N83" s="64">
        <v>82.6</v>
      </c>
      <c r="O83" s="64">
        <v>0</v>
      </c>
      <c r="P83" s="64">
        <v>1.1399999999999999</v>
      </c>
      <c r="Q83" s="64">
        <v>9.4700000000000006</v>
      </c>
      <c r="R83" s="198"/>
      <c r="S83" s="198"/>
      <c r="T83" s="198"/>
      <c r="U83" s="198"/>
    </row>
    <row r="84" spans="1:26" s="12" customFormat="1" x14ac:dyDescent="0.25">
      <c r="A84" s="213" t="s">
        <v>415</v>
      </c>
      <c r="B84" s="64">
        <v>11.72</v>
      </c>
      <c r="C84" s="64">
        <v>60.42</v>
      </c>
      <c r="D84" s="64">
        <v>39.590000000000003</v>
      </c>
      <c r="E84" s="64">
        <v>7.01</v>
      </c>
      <c r="F84" s="64">
        <v>2.13</v>
      </c>
      <c r="G84" s="64">
        <v>61.03</v>
      </c>
      <c r="H84" s="64">
        <v>22.74</v>
      </c>
      <c r="I84" s="210" t="s">
        <v>43</v>
      </c>
      <c r="J84" s="64">
        <v>0.56999999999999995</v>
      </c>
      <c r="K84" s="64">
        <v>294.56</v>
      </c>
      <c r="L84" s="64">
        <v>22.73</v>
      </c>
      <c r="M84" s="64">
        <v>48.7</v>
      </c>
      <c r="N84" s="64">
        <v>82.5</v>
      </c>
      <c r="O84" s="64">
        <v>0</v>
      </c>
      <c r="P84" s="64">
        <v>0.88</v>
      </c>
      <c r="Q84" s="64">
        <v>9.4700000000000006</v>
      </c>
      <c r="R84" s="198"/>
      <c r="S84" s="198"/>
      <c r="T84" s="198"/>
      <c r="U84" s="198"/>
    </row>
    <row r="85" spans="1:26" s="12" customFormat="1" x14ac:dyDescent="0.25">
      <c r="A85" s="213" t="s">
        <v>416</v>
      </c>
      <c r="B85" s="64">
        <v>13.69</v>
      </c>
      <c r="C85" s="64">
        <v>61.03</v>
      </c>
      <c r="D85" s="64">
        <v>41.49</v>
      </c>
      <c r="E85" s="64">
        <v>6.7</v>
      </c>
      <c r="F85" s="64">
        <v>2.13</v>
      </c>
      <c r="G85" s="64">
        <v>73.17</v>
      </c>
      <c r="H85" s="64">
        <v>22.85</v>
      </c>
      <c r="I85" s="210" t="s">
        <v>43</v>
      </c>
      <c r="J85" s="64">
        <v>0.52</v>
      </c>
      <c r="K85" s="64">
        <v>291.62</v>
      </c>
      <c r="L85" s="64">
        <v>22.42</v>
      </c>
      <c r="M85" s="64">
        <v>50.57</v>
      </c>
      <c r="N85" s="64">
        <v>82.4</v>
      </c>
      <c r="O85" s="64">
        <v>0</v>
      </c>
      <c r="P85" s="64">
        <v>1.08</v>
      </c>
      <c r="Q85" s="64">
        <v>9.49</v>
      </c>
      <c r="R85" s="198"/>
      <c r="S85" s="198"/>
      <c r="T85" s="198"/>
      <c r="U85" s="198"/>
    </row>
    <row r="86" spans="1:26" s="12" customFormat="1" x14ac:dyDescent="0.25">
      <c r="A86" s="213" t="s">
        <v>417</v>
      </c>
      <c r="B86" s="64">
        <v>15.34</v>
      </c>
      <c r="C86" s="64">
        <v>61.69</v>
      </c>
      <c r="D86" s="64">
        <v>43.15</v>
      </c>
      <c r="E86" s="64">
        <v>6.99</v>
      </c>
      <c r="F86" s="64">
        <v>2.13</v>
      </c>
      <c r="G86" s="64">
        <v>73.17</v>
      </c>
      <c r="H86" s="64">
        <v>22.85</v>
      </c>
      <c r="I86" s="210" t="s">
        <v>43</v>
      </c>
      <c r="J86" s="64">
        <v>0.61</v>
      </c>
      <c r="K86" s="64">
        <v>303.82</v>
      </c>
      <c r="L86" s="64">
        <v>22.15</v>
      </c>
      <c r="M86" s="64">
        <v>53.44</v>
      </c>
      <c r="N86" s="64">
        <v>82.3</v>
      </c>
      <c r="O86" s="64">
        <v>0</v>
      </c>
      <c r="P86" s="64">
        <v>1.05</v>
      </c>
      <c r="Q86" s="64">
        <v>9.49</v>
      </c>
      <c r="R86" s="198"/>
      <c r="S86" s="198"/>
      <c r="T86" s="198"/>
      <c r="U86" s="198"/>
    </row>
    <row r="87" spans="1:26" s="12" customFormat="1" x14ac:dyDescent="0.25">
      <c r="A87" s="213" t="s">
        <v>418</v>
      </c>
      <c r="B87" s="64">
        <v>18.149999999999999</v>
      </c>
      <c r="C87" s="64">
        <v>62.11</v>
      </c>
      <c r="D87" s="64">
        <v>45.63</v>
      </c>
      <c r="E87" s="64">
        <v>7.15</v>
      </c>
      <c r="F87" s="64">
        <v>2.13</v>
      </c>
      <c r="G87" s="64">
        <v>73.17</v>
      </c>
      <c r="H87" s="64">
        <v>22.85</v>
      </c>
      <c r="I87" s="210" t="s">
        <v>43</v>
      </c>
      <c r="J87" s="64">
        <v>0.69</v>
      </c>
      <c r="K87" s="64">
        <v>338.91</v>
      </c>
      <c r="L87" s="64">
        <v>21.93</v>
      </c>
      <c r="M87" s="64">
        <v>51.64</v>
      </c>
      <c r="N87" s="64">
        <v>81.900000000000006</v>
      </c>
      <c r="O87" s="64">
        <v>0</v>
      </c>
      <c r="P87" s="64">
        <v>1.1100000000000001</v>
      </c>
      <c r="Q87" s="64">
        <v>9.5</v>
      </c>
      <c r="R87" s="198"/>
      <c r="S87" s="198"/>
      <c r="T87" s="198"/>
      <c r="U87" s="198"/>
    </row>
    <row r="88" spans="1:26" s="12" customFormat="1" x14ac:dyDescent="0.25">
      <c r="A88" s="213" t="s">
        <v>419</v>
      </c>
      <c r="B88" s="64">
        <v>20.89</v>
      </c>
      <c r="C88" s="64">
        <v>62.04</v>
      </c>
      <c r="D88" s="64">
        <v>47.79</v>
      </c>
      <c r="E88" s="64">
        <v>7.4</v>
      </c>
      <c r="F88" s="64">
        <v>2.13</v>
      </c>
      <c r="G88" s="64">
        <v>78.72</v>
      </c>
      <c r="H88" s="64">
        <v>27.95</v>
      </c>
      <c r="I88" s="210" t="s">
        <v>43</v>
      </c>
      <c r="J88" s="64">
        <v>0.59</v>
      </c>
      <c r="K88" s="64">
        <v>306.58999999999997</v>
      </c>
      <c r="L88" s="64">
        <v>21.79</v>
      </c>
      <c r="M88" s="64">
        <v>51.1</v>
      </c>
      <c r="N88" s="64">
        <v>82.2</v>
      </c>
      <c r="O88" s="64">
        <v>0</v>
      </c>
      <c r="P88" s="64">
        <v>1.1200000000000001</v>
      </c>
      <c r="Q88" s="64">
        <v>9.51</v>
      </c>
      <c r="R88" s="198"/>
      <c r="S88" s="198"/>
      <c r="T88" s="198"/>
      <c r="U88" s="198"/>
    </row>
    <row r="89" spans="1:26" s="12" customFormat="1" x14ac:dyDescent="0.25">
      <c r="A89" s="213" t="s">
        <v>420</v>
      </c>
      <c r="B89" s="64">
        <v>21.92</v>
      </c>
      <c r="C89" s="64">
        <v>62.44</v>
      </c>
      <c r="D89" s="64">
        <v>48.83</v>
      </c>
      <c r="E89" s="64">
        <v>7.44</v>
      </c>
      <c r="F89" s="64">
        <v>2.13</v>
      </c>
      <c r="G89" s="64">
        <v>85.36</v>
      </c>
      <c r="H89" s="64">
        <v>34.049999999999997</v>
      </c>
      <c r="I89" s="210" t="s">
        <v>43</v>
      </c>
      <c r="J89" s="64">
        <v>0.6</v>
      </c>
      <c r="K89" s="64">
        <v>293.88</v>
      </c>
      <c r="L89" s="64">
        <v>21.7</v>
      </c>
      <c r="M89" s="64">
        <v>51.49</v>
      </c>
      <c r="N89" s="64">
        <v>82.1</v>
      </c>
      <c r="O89" s="64">
        <v>0</v>
      </c>
      <c r="P89" s="64">
        <v>1.08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13" t="s">
        <v>421</v>
      </c>
      <c r="B90" s="64">
        <v>22.48</v>
      </c>
      <c r="C90" s="64">
        <v>62.44</v>
      </c>
      <c r="D90" s="64">
        <v>49.27</v>
      </c>
      <c r="E90" s="64">
        <v>7.17</v>
      </c>
      <c r="F90" s="64">
        <v>2.13</v>
      </c>
      <c r="G90" s="64">
        <v>85.36</v>
      </c>
      <c r="H90" s="64">
        <v>34.049999999999997</v>
      </c>
      <c r="I90" s="210" t="s">
        <v>43</v>
      </c>
      <c r="J90" s="64">
        <v>0.6</v>
      </c>
      <c r="K90" s="64">
        <v>287.67</v>
      </c>
      <c r="L90" s="64">
        <v>21.59</v>
      </c>
      <c r="M90" s="64">
        <v>51.84</v>
      </c>
      <c r="N90" s="64">
        <v>82.1</v>
      </c>
      <c r="O90" s="64">
        <v>0</v>
      </c>
      <c r="P90" s="64">
        <v>1.03</v>
      </c>
      <c r="Q90" s="64">
        <v>9.56</v>
      </c>
      <c r="R90" s="198"/>
      <c r="S90" s="198"/>
      <c r="T90" s="198"/>
      <c r="U90" s="198"/>
    </row>
    <row r="91" spans="1:26" s="12" customFormat="1" x14ac:dyDescent="0.25">
      <c r="A91" s="213" t="s">
        <v>422</v>
      </c>
      <c r="B91" s="64">
        <v>23.32</v>
      </c>
      <c r="C91" s="64">
        <v>63.07</v>
      </c>
      <c r="D91" s="64">
        <v>50.28</v>
      </c>
      <c r="E91" s="64">
        <v>7.25</v>
      </c>
      <c r="F91" s="64">
        <v>2.13</v>
      </c>
      <c r="G91" s="64">
        <v>85.36</v>
      </c>
      <c r="H91" s="64">
        <v>34.049999999999997</v>
      </c>
      <c r="I91" s="210" t="s">
        <v>43</v>
      </c>
      <c r="J91" s="64">
        <v>0.59</v>
      </c>
      <c r="K91" s="64">
        <v>286.08999999999997</v>
      </c>
      <c r="L91" s="64">
        <v>21.49</v>
      </c>
      <c r="M91" s="64">
        <v>52.09</v>
      </c>
      <c r="N91" s="64">
        <v>82.1</v>
      </c>
      <c r="O91" s="64">
        <v>0</v>
      </c>
      <c r="P91" s="64">
        <v>1.07</v>
      </c>
      <c r="Q91" s="64">
        <v>9.56</v>
      </c>
      <c r="R91" s="198"/>
      <c r="S91" s="198"/>
      <c r="T91" s="198"/>
      <c r="U91" s="198"/>
    </row>
    <row r="92" spans="1:26" s="12" customFormat="1" x14ac:dyDescent="0.25">
      <c r="A92" s="213" t="s">
        <v>423</v>
      </c>
      <c r="B92" s="64">
        <v>24.58</v>
      </c>
      <c r="C92" s="64">
        <v>63.45</v>
      </c>
      <c r="D92" s="64">
        <v>51.48</v>
      </c>
      <c r="E92" s="64">
        <v>6.7</v>
      </c>
      <c r="F92" s="64">
        <v>2.13</v>
      </c>
      <c r="G92" s="64">
        <v>84.16</v>
      </c>
      <c r="H92" s="64">
        <v>32.14</v>
      </c>
      <c r="I92" s="210" t="s">
        <v>43</v>
      </c>
      <c r="J92" s="64">
        <v>0.59</v>
      </c>
      <c r="K92" s="64">
        <v>296.99</v>
      </c>
      <c r="L92" s="64">
        <v>21.24</v>
      </c>
      <c r="M92" s="64">
        <v>53.52</v>
      </c>
      <c r="N92" s="64">
        <v>82.4</v>
      </c>
      <c r="O92" s="64">
        <v>0</v>
      </c>
      <c r="P92" s="64">
        <v>1.1499999999999999</v>
      </c>
      <c r="Q92" s="64">
        <v>9.5500000000000007</v>
      </c>
      <c r="R92" s="198"/>
      <c r="S92" s="198"/>
      <c r="T92" s="198"/>
      <c r="U92" s="198"/>
    </row>
    <row r="93" spans="1:26" s="12" customFormat="1" x14ac:dyDescent="0.25">
      <c r="A93" s="213" t="s">
        <v>424</v>
      </c>
      <c r="B93" s="64">
        <v>25.51</v>
      </c>
      <c r="C93" s="64">
        <v>59.93</v>
      </c>
      <c r="D93" s="64">
        <v>50.39</v>
      </c>
      <c r="E93" s="64">
        <v>6.75</v>
      </c>
      <c r="F93" s="64">
        <v>2.13</v>
      </c>
      <c r="G93" s="64">
        <v>82.72</v>
      </c>
      <c r="H93" s="64">
        <v>29.86</v>
      </c>
      <c r="I93" s="210" t="s">
        <v>43</v>
      </c>
      <c r="J93" s="64">
        <v>0.24</v>
      </c>
      <c r="K93" s="64">
        <v>185.06</v>
      </c>
      <c r="L93" s="64">
        <v>21.11</v>
      </c>
      <c r="M93" s="64">
        <v>53.4</v>
      </c>
      <c r="N93" s="64">
        <v>82.1</v>
      </c>
      <c r="O93" s="64">
        <v>0</v>
      </c>
      <c r="P93" s="64">
        <v>1.1399999999999999</v>
      </c>
      <c r="Q93" s="64">
        <v>9.57</v>
      </c>
      <c r="R93" s="198"/>
      <c r="S93" s="198"/>
      <c r="T93" s="198"/>
      <c r="U93" s="198"/>
    </row>
    <row r="94" spans="1:26" s="12" customFormat="1" x14ac:dyDescent="0.25">
      <c r="A94" s="213" t="s">
        <v>425</v>
      </c>
      <c r="B94" s="64">
        <v>26.49</v>
      </c>
      <c r="C94" s="64">
        <v>58.73</v>
      </c>
      <c r="D94" s="64">
        <v>50.55</v>
      </c>
      <c r="E94" s="64">
        <v>7</v>
      </c>
      <c r="F94" s="64">
        <v>2.13</v>
      </c>
      <c r="G94" s="64">
        <v>82.72</v>
      </c>
      <c r="H94" s="64">
        <v>29.86</v>
      </c>
      <c r="I94" s="210" t="s">
        <v>43</v>
      </c>
      <c r="J94" s="64">
        <v>0.49</v>
      </c>
      <c r="K94" s="64">
        <v>283.08999999999997</v>
      </c>
      <c r="L94" s="64">
        <v>20.77</v>
      </c>
      <c r="M94" s="64">
        <v>56.07</v>
      </c>
      <c r="N94" s="64">
        <v>82.3</v>
      </c>
      <c r="O94" s="64">
        <v>0</v>
      </c>
      <c r="P94" s="64">
        <v>1.24</v>
      </c>
      <c r="Q94" s="64">
        <v>9.59</v>
      </c>
      <c r="R94" s="198"/>
      <c r="S94" s="198"/>
      <c r="T94" s="198"/>
      <c r="U94" s="198"/>
    </row>
    <row r="95" spans="1:26" s="12" customFormat="1" x14ac:dyDescent="0.25">
      <c r="A95" s="213" t="s">
        <v>426</v>
      </c>
      <c r="B95" s="64">
        <v>28.98</v>
      </c>
      <c r="C95" s="64">
        <v>59.23</v>
      </c>
      <c r="D95" s="64">
        <v>52.81</v>
      </c>
      <c r="E95" s="64">
        <v>6.79</v>
      </c>
      <c r="F95" s="64">
        <v>2.13</v>
      </c>
      <c r="G95" s="64">
        <v>82.72</v>
      </c>
      <c r="H95" s="64">
        <v>29.86</v>
      </c>
      <c r="I95" s="210" t="s">
        <v>43</v>
      </c>
      <c r="J95" s="64">
        <v>0.19</v>
      </c>
      <c r="K95" s="64">
        <v>315.31</v>
      </c>
      <c r="L95" s="64">
        <v>20.45</v>
      </c>
      <c r="M95" s="64">
        <v>60.03</v>
      </c>
      <c r="N95" s="64">
        <v>82.3</v>
      </c>
      <c r="O95" s="64">
        <v>0</v>
      </c>
      <c r="P95" s="64">
        <v>1.3</v>
      </c>
      <c r="Q95" s="64">
        <v>9.56</v>
      </c>
      <c r="R95" s="198"/>
      <c r="S95" s="198"/>
      <c r="T95" s="198"/>
      <c r="U95" s="198"/>
    </row>
    <row r="96" spans="1:26" s="12" customFormat="1" x14ac:dyDescent="0.25">
      <c r="A96" s="213" t="s">
        <v>427</v>
      </c>
      <c r="B96" s="64">
        <v>31.2</v>
      </c>
      <c r="C96" s="64">
        <v>59.27</v>
      </c>
      <c r="D96" s="64">
        <v>54.61</v>
      </c>
      <c r="E96" s="64">
        <v>6.95</v>
      </c>
      <c r="F96" s="64">
        <v>2.13</v>
      </c>
      <c r="G96" s="64">
        <v>84.36</v>
      </c>
      <c r="H96" s="64">
        <v>30.51</v>
      </c>
      <c r="I96" s="210" t="s">
        <v>43</v>
      </c>
      <c r="J96" s="64">
        <v>0.26</v>
      </c>
      <c r="K96" s="64">
        <v>85.77</v>
      </c>
      <c r="L96" s="64">
        <v>20.58</v>
      </c>
      <c r="M96" s="64">
        <v>59.13</v>
      </c>
      <c r="N96" s="64">
        <v>82</v>
      </c>
      <c r="O96" s="64">
        <v>0</v>
      </c>
      <c r="P96" s="64">
        <v>1.32</v>
      </c>
      <c r="Q96" s="64">
        <v>9.56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428</v>
      </c>
      <c r="B97" s="64">
        <v>33.5</v>
      </c>
      <c r="C97" s="64">
        <v>58.86</v>
      </c>
      <c r="D97" s="64">
        <v>56.24</v>
      </c>
      <c r="E97" s="64">
        <v>7.4</v>
      </c>
      <c r="F97" s="64">
        <v>2.13</v>
      </c>
      <c r="G97" s="64">
        <v>86.31</v>
      </c>
      <c r="H97" s="64">
        <v>31.28</v>
      </c>
      <c r="I97" s="210" t="s">
        <v>43</v>
      </c>
      <c r="J97" s="64">
        <v>0.47</v>
      </c>
      <c r="K97" s="64">
        <v>266.70999999999998</v>
      </c>
      <c r="L97" s="64">
        <v>20.059999999999999</v>
      </c>
      <c r="M97" s="64">
        <v>61.75</v>
      </c>
      <c r="N97" s="64">
        <v>82.3</v>
      </c>
      <c r="O97" s="64">
        <v>0</v>
      </c>
      <c r="P97" s="64">
        <v>1.23</v>
      </c>
      <c r="Q97" s="64">
        <v>9.5500000000000007</v>
      </c>
      <c r="R97" s="198"/>
      <c r="S97" s="198"/>
      <c r="T97" s="198"/>
      <c r="U97" s="198"/>
    </row>
    <row r="98" spans="1:33" s="12" customFormat="1" x14ac:dyDescent="0.25">
      <c r="A98" s="213" t="s">
        <v>429</v>
      </c>
      <c r="B98" s="64">
        <v>37.01</v>
      </c>
      <c r="C98" s="64">
        <v>58.55</v>
      </c>
      <c r="D98" s="64">
        <v>58.89</v>
      </c>
      <c r="E98" s="64">
        <v>7.34</v>
      </c>
      <c r="F98" s="64">
        <v>2.13</v>
      </c>
      <c r="G98" s="64">
        <v>86.31</v>
      </c>
      <c r="H98" s="64">
        <v>31.28</v>
      </c>
      <c r="I98" s="210" t="s">
        <v>43</v>
      </c>
      <c r="J98" s="64">
        <v>0.41</v>
      </c>
      <c r="K98" s="64">
        <v>310.57</v>
      </c>
      <c r="L98" s="64">
        <v>19.649999999999999</v>
      </c>
      <c r="M98" s="64">
        <v>63.51</v>
      </c>
      <c r="N98" s="64">
        <v>82.2</v>
      </c>
      <c r="O98" s="64">
        <v>0</v>
      </c>
      <c r="P98" s="64">
        <v>1.2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3" t="s">
        <v>430</v>
      </c>
      <c r="B99" s="64">
        <v>40.299999999999997</v>
      </c>
      <c r="C99" s="64">
        <v>58.35</v>
      </c>
      <c r="D99" s="64">
        <v>61.43</v>
      </c>
      <c r="E99" s="64">
        <v>7.53</v>
      </c>
      <c r="F99" s="64">
        <v>2.13</v>
      </c>
      <c r="G99" s="64">
        <v>86.31</v>
      </c>
      <c r="H99" s="64">
        <v>31.28</v>
      </c>
      <c r="I99" s="210" t="s">
        <v>43</v>
      </c>
      <c r="J99" s="64">
        <v>0.2</v>
      </c>
      <c r="K99" s="64">
        <v>246.83</v>
      </c>
      <c r="L99" s="64">
        <v>19.46</v>
      </c>
      <c r="M99" s="64">
        <v>65.650000000000006</v>
      </c>
      <c r="N99" s="64">
        <v>82.1</v>
      </c>
      <c r="O99" s="64">
        <v>0</v>
      </c>
      <c r="P99" s="64">
        <v>1.2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13" t="s">
        <v>431</v>
      </c>
      <c r="B100" s="64">
        <v>44.91</v>
      </c>
      <c r="C100" s="64">
        <v>58.49</v>
      </c>
      <c r="D100" s="64">
        <v>65.2</v>
      </c>
      <c r="E100" s="64">
        <v>7.56</v>
      </c>
      <c r="F100" s="64">
        <v>2.13</v>
      </c>
      <c r="G100" s="64">
        <v>96.08</v>
      </c>
      <c r="H100" s="64">
        <v>32.299999999999997</v>
      </c>
      <c r="I100" s="210" t="s">
        <v>43</v>
      </c>
      <c r="J100" s="64">
        <v>0.5</v>
      </c>
      <c r="K100" s="64">
        <v>280.26</v>
      </c>
      <c r="L100" s="64">
        <v>19.36</v>
      </c>
      <c r="M100" s="64">
        <v>66.42</v>
      </c>
      <c r="N100" s="64">
        <v>81.900000000000006</v>
      </c>
      <c r="O100" s="64">
        <v>0</v>
      </c>
      <c r="P100" s="64">
        <v>1.24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432</v>
      </c>
      <c r="B101" s="64">
        <v>50.4</v>
      </c>
      <c r="C101" s="64">
        <v>60.87</v>
      </c>
      <c r="D101" s="64">
        <v>70.84</v>
      </c>
      <c r="E101" s="64">
        <v>7.33</v>
      </c>
      <c r="F101" s="64">
        <v>2.13</v>
      </c>
      <c r="G101" s="64">
        <v>107.74</v>
      </c>
      <c r="H101" s="64">
        <v>33.520000000000003</v>
      </c>
      <c r="I101" s="210" t="s">
        <v>43</v>
      </c>
      <c r="J101" s="64">
        <v>0.5</v>
      </c>
      <c r="K101" s="64">
        <v>316.04000000000002</v>
      </c>
      <c r="L101" s="64">
        <v>19.260000000000002</v>
      </c>
      <c r="M101" s="64">
        <v>67.599999999999994</v>
      </c>
      <c r="N101" s="64">
        <v>82.1</v>
      </c>
      <c r="O101" s="64">
        <v>0</v>
      </c>
      <c r="P101" s="64">
        <v>1.17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13" t="s">
        <v>433</v>
      </c>
      <c r="B102" s="64">
        <v>54.55</v>
      </c>
      <c r="C102" s="64">
        <v>60.5</v>
      </c>
      <c r="D102" s="64">
        <v>73.98</v>
      </c>
      <c r="E102" s="64">
        <v>7.35</v>
      </c>
      <c r="F102" s="64">
        <v>2.13</v>
      </c>
      <c r="G102" s="64">
        <v>107.74</v>
      </c>
      <c r="H102" s="64">
        <v>33.520000000000003</v>
      </c>
      <c r="I102" s="210" t="s">
        <v>43</v>
      </c>
      <c r="J102" s="64">
        <v>0.6</v>
      </c>
      <c r="K102" s="64">
        <v>322.08999999999997</v>
      </c>
      <c r="L102" s="64">
        <v>18.91</v>
      </c>
      <c r="M102" s="64">
        <v>71.14</v>
      </c>
      <c r="N102" s="64">
        <v>81.5</v>
      </c>
      <c r="O102" s="64">
        <v>0</v>
      </c>
      <c r="P102" s="64">
        <v>1.17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3" t="s">
        <v>434</v>
      </c>
      <c r="B103" s="64">
        <v>58.46</v>
      </c>
      <c r="C103" s="64">
        <v>60.92</v>
      </c>
      <c r="D103" s="64">
        <v>77.33</v>
      </c>
      <c r="E103" s="64">
        <v>7.78</v>
      </c>
      <c r="F103" s="64">
        <v>2.13</v>
      </c>
      <c r="G103" s="64">
        <v>107.74</v>
      </c>
      <c r="H103" s="64">
        <v>33.520000000000003</v>
      </c>
      <c r="I103" s="210" t="s">
        <v>43</v>
      </c>
      <c r="J103" s="64">
        <v>0.56999999999999995</v>
      </c>
      <c r="K103" s="64">
        <v>297.52</v>
      </c>
      <c r="L103" s="64">
        <v>18.670000000000002</v>
      </c>
      <c r="M103" s="64">
        <v>70.849999999999994</v>
      </c>
      <c r="N103" s="64">
        <v>80.5</v>
      </c>
      <c r="O103" s="64">
        <v>0</v>
      </c>
      <c r="P103" s="64">
        <v>1.18</v>
      </c>
      <c r="Q103" s="64">
        <v>9.66</v>
      </c>
      <c r="R103" s="198"/>
      <c r="S103" s="198"/>
      <c r="T103" s="198"/>
      <c r="U103" s="198"/>
    </row>
    <row r="104" spans="1:33" s="12" customFormat="1" x14ac:dyDescent="0.25">
      <c r="A104" s="213" t="s">
        <v>435</v>
      </c>
      <c r="B104" s="64">
        <v>60.58</v>
      </c>
      <c r="C104" s="64">
        <v>58.75</v>
      </c>
      <c r="D104" s="64">
        <v>77.900000000000006</v>
      </c>
      <c r="E104" s="64">
        <v>6.02</v>
      </c>
      <c r="F104" s="64">
        <v>2.13</v>
      </c>
      <c r="G104" s="64">
        <v>105.64</v>
      </c>
      <c r="H104" s="64">
        <v>34.21</v>
      </c>
      <c r="I104" s="210" t="s">
        <v>43</v>
      </c>
      <c r="J104" s="64">
        <v>0.41</v>
      </c>
      <c r="K104" s="64">
        <v>340.66</v>
      </c>
      <c r="L104" s="64">
        <v>18.559999999999999</v>
      </c>
      <c r="M104" s="64">
        <v>76.53</v>
      </c>
      <c r="N104" s="64">
        <v>80.599999999999994</v>
      </c>
      <c r="O104" s="64">
        <v>0</v>
      </c>
      <c r="P104" s="64">
        <v>1.19</v>
      </c>
      <c r="Q104" s="64">
        <v>9.7100000000000009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3.05</v>
      </c>
      <c r="C106" s="67">
        <f>MIN(C9:C104)</f>
        <v>46.74</v>
      </c>
      <c r="D106" s="67">
        <f t="shared" ref="D106:Q106" si="0">MIN(D9:D104)</f>
        <v>30.23</v>
      </c>
      <c r="E106" s="67">
        <f t="shared" si="0"/>
        <v>5.2</v>
      </c>
      <c r="F106" s="67">
        <f t="shared" si="0"/>
        <v>2.13</v>
      </c>
      <c r="G106" s="67">
        <f t="shared" si="0"/>
        <v>41.15</v>
      </c>
      <c r="H106" s="67">
        <f t="shared" si="0"/>
        <v>5.51</v>
      </c>
      <c r="I106" s="67">
        <f t="shared" si="0"/>
        <v>0</v>
      </c>
      <c r="J106" s="67">
        <f t="shared" si="0"/>
        <v>0.1</v>
      </c>
      <c r="K106" s="67">
        <f t="shared" si="0"/>
        <v>38.54</v>
      </c>
      <c r="L106" s="67">
        <f t="shared" si="0"/>
        <v>15.33</v>
      </c>
      <c r="M106" s="67">
        <f t="shared" si="0"/>
        <v>32.47</v>
      </c>
      <c r="N106" s="67">
        <f t="shared" si="0"/>
        <v>77.3</v>
      </c>
      <c r="O106" s="67">
        <f t="shared" si="0"/>
        <v>0</v>
      </c>
      <c r="P106" s="67">
        <f t="shared" si="0"/>
        <v>0.6</v>
      </c>
      <c r="Q106" s="67">
        <f t="shared" si="0"/>
        <v>9.34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106.68</v>
      </c>
      <c r="C107" s="66">
        <f t="shared" ref="C107:Q107" si="1">MAX(C9:C104)</f>
        <v>71.75</v>
      </c>
      <c r="D107" s="66">
        <f t="shared" si="1"/>
        <v>113.88</v>
      </c>
      <c r="E107" s="66">
        <f t="shared" si="1"/>
        <v>7.78</v>
      </c>
      <c r="F107" s="66">
        <f t="shared" si="1"/>
        <v>2.31</v>
      </c>
      <c r="G107" s="66">
        <f t="shared" si="1"/>
        <v>149.43</v>
      </c>
      <c r="H107" s="66">
        <f t="shared" si="1"/>
        <v>75.33</v>
      </c>
      <c r="I107" s="66">
        <f t="shared" si="1"/>
        <v>0</v>
      </c>
      <c r="J107" s="66">
        <f t="shared" si="1"/>
        <v>1.73</v>
      </c>
      <c r="K107" s="66">
        <f t="shared" si="1"/>
        <v>348.21</v>
      </c>
      <c r="L107" s="66">
        <f t="shared" si="1"/>
        <v>32.01</v>
      </c>
      <c r="M107" s="66">
        <f t="shared" si="1"/>
        <v>94.76</v>
      </c>
      <c r="N107" s="66">
        <f t="shared" si="1"/>
        <v>579</v>
      </c>
      <c r="O107" s="66">
        <f t="shared" si="1"/>
        <v>0</v>
      </c>
      <c r="P107" s="66">
        <f t="shared" si="1"/>
        <v>1.76</v>
      </c>
      <c r="Q107" s="66">
        <f t="shared" si="1"/>
        <v>9.9700000000000006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42.412708333333349</v>
      </c>
      <c r="C108" s="67">
        <f t="shared" ref="C108:Q108" si="2">AVERAGE(C9:C104)</f>
        <v>56.769687499999975</v>
      </c>
      <c r="D108" s="67">
        <f t="shared" si="2"/>
        <v>62.295312499999994</v>
      </c>
      <c r="E108" s="67">
        <f t="shared" si="2"/>
        <v>6.1724999999999994</v>
      </c>
      <c r="F108" s="67">
        <f t="shared" si="2"/>
        <v>2.1341666666666641</v>
      </c>
      <c r="G108" s="67">
        <f t="shared" si="2"/>
        <v>80.960104166666682</v>
      </c>
      <c r="H108" s="67">
        <f t="shared" si="2"/>
        <v>31.241182795698943</v>
      </c>
      <c r="I108" s="67" t="e">
        <f t="shared" si="2"/>
        <v>#DIV/0!</v>
      </c>
      <c r="J108" s="67">
        <f t="shared" si="2"/>
        <v>0.63895833333333341</v>
      </c>
      <c r="K108" s="67">
        <f t="shared" si="2"/>
        <v>266.27843750000005</v>
      </c>
      <c r="L108" s="67">
        <f t="shared" si="2"/>
        <v>22.174166666666668</v>
      </c>
      <c r="M108" s="67">
        <f t="shared" si="2"/>
        <v>60.964166666666664</v>
      </c>
      <c r="N108" s="67">
        <f t="shared" si="2"/>
        <v>204.16458333333324</v>
      </c>
      <c r="O108" s="67">
        <f t="shared" si="2"/>
        <v>0</v>
      </c>
      <c r="P108" s="67">
        <f t="shared" si="2"/>
        <v>1.0216666666666665</v>
      </c>
      <c r="Q108" s="67">
        <f t="shared" si="2"/>
        <v>9.6358333333333341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31.966573577284265</v>
      </c>
      <c r="C109" s="67">
        <f t="shared" ref="C109:Q109" si="3">STDEV(C9:C104)</f>
        <v>6.018339420056277</v>
      </c>
      <c r="D109" s="67">
        <f t="shared" si="3"/>
        <v>23.507074812003008</v>
      </c>
      <c r="E109" s="67">
        <f t="shared" si="3"/>
        <v>0.67227813792868707</v>
      </c>
      <c r="F109" s="67">
        <f t="shared" si="3"/>
        <v>2.2462444290610371E-2</v>
      </c>
      <c r="G109" s="67">
        <f t="shared" si="3"/>
        <v>26.222250836577789</v>
      </c>
      <c r="H109" s="67">
        <f t="shared" si="3"/>
        <v>17.544535495694959</v>
      </c>
      <c r="I109" s="67" t="e">
        <f t="shared" si="3"/>
        <v>#DIV/0!</v>
      </c>
      <c r="J109" s="67">
        <f t="shared" si="3"/>
        <v>0.26883561467800027</v>
      </c>
      <c r="K109" s="67">
        <f t="shared" si="3"/>
        <v>62.966232459664113</v>
      </c>
      <c r="L109" s="67">
        <f t="shared" si="3"/>
        <v>5.2822376970105296</v>
      </c>
      <c r="M109" s="67">
        <f t="shared" si="3"/>
        <v>21.606416525831367</v>
      </c>
      <c r="N109" s="67">
        <f t="shared" si="3"/>
        <v>185.57729499232039</v>
      </c>
      <c r="O109" s="67">
        <f t="shared" si="3"/>
        <v>0</v>
      </c>
      <c r="P109" s="67">
        <f t="shared" si="3"/>
        <v>0.26734431442643586</v>
      </c>
      <c r="Q109" s="67">
        <f t="shared" si="3"/>
        <v>0.17153588954941409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COUNT(H9:H104)+3</f>
        <v>96</v>
      </c>
      <c r="I110" s="66">
        <f>COUNT(I9:I104)</f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436</v>
      </c>
      <c r="B9" s="64">
        <v>62.67</v>
      </c>
      <c r="C9" s="64">
        <v>60.41</v>
      </c>
      <c r="D9" s="64">
        <v>80.44</v>
      </c>
      <c r="E9" s="64">
        <v>6.45</v>
      </c>
      <c r="F9" s="64">
        <v>2.13</v>
      </c>
      <c r="G9" s="64">
        <v>103.12</v>
      </c>
      <c r="H9" s="64">
        <v>35.04</v>
      </c>
      <c r="I9" s="210" t="s">
        <v>43</v>
      </c>
      <c r="J9" s="64">
        <v>0.62</v>
      </c>
      <c r="K9" s="64">
        <v>305.7</v>
      </c>
      <c r="L9" s="64">
        <v>18.52</v>
      </c>
      <c r="M9" s="64">
        <v>78.040000000000006</v>
      </c>
      <c r="N9" s="64">
        <v>80.3</v>
      </c>
      <c r="O9" s="64">
        <v>0</v>
      </c>
      <c r="P9" s="64">
        <v>1.21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3" t="s">
        <v>437</v>
      </c>
      <c r="B10" s="64">
        <v>62.67</v>
      </c>
      <c r="C10" s="64">
        <v>58.73</v>
      </c>
      <c r="D10" s="64">
        <v>79.56</v>
      </c>
      <c r="E10" s="64">
        <v>6.27</v>
      </c>
      <c r="F10" s="64">
        <v>2.13</v>
      </c>
      <c r="G10" s="64">
        <v>103.12</v>
      </c>
      <c r="H10" s="64">
        <v>35.04</v>
      </c>
      <c r="I10" s="210" t="s">
        <v>43</v>
      </c>
      <c r="J10" s="64">
        <v>0.59</v>
      </c>
      <c r="K10" s="64">
        <v>344.83</v>
      </c>
      <c r="L10" s="64">
        <v>18.79</v>
      </c>
      <c r="M10" s="64">
        <v>72.78</v>
      </c>
      <c r="N10" s="64">
        <v>80.400000000000006</v>
      </c>
      <c r="O10" s="64">
        <v>0</v>
      </c>
      <c r="P10" s="64">
        <v>1.1599999999999999</v>
      </c>
      <c r="Q10" s="64">
        <v>9.74</v>
      </c>
      <c r="R10" s="198"/>
      <c r="S10" s="198"/>
      <c r="T10" s="198"/>
      <c r="U10" s="198"/>
    </row>
    <row r="11" spans="1:21" s="12" customFormat="1" x14ac:dyDescent="0.25">
      <c r="A11" s="213" t="s">
        <v>438</v>
      </c>
      <c r="B11" s="64">
        <v>61.52</v>
      </c>
      <c r="C11" s="64">
        <v>59.09</v>
      </c>
      <c r="D11" s="64">
        <v>78.83</v>
      </c>
      <c r="E11" s="64">
        <v>5.94</v>
      </c>
      <c r="F11" s="64">
        <v>2.14</v>
      </c>
      <c r="G11" s="64">
        <v>103.12</v>
      </c>
      <c r="H11" s="64">
        <v>35.04</v>
      </c>
      <c r="I11" s="210" t="s">
        <v>43</v>
      </c>
      <c r="J11" s="64">
        <v>0.98</v>
      </c>
      <c r="K11" s="64">
        <v>322.73</v>
      </c>
      <c r="L11" s="64">
        <v>18.88</v>
      </c>
      <c r="M11" s="64">
        <v>70.2</v>
      </c>
      <c r="N11" s="64">
        <v>79.599999999999994</v>
      </c>
      <c r="O11" s="64">
        <v>0</v>
      </c>
      <c r="P11" s="64">
        <v>1.1599999999999999</v>
      </c>
      <c r="Q11" s="64">
        <v>9.76</v>
      </c>
      <c r="R11" s="198"/>
      <c r="S11" s="198"/>
      <c r="T11" s="198"/>
      <c r="U11" s="198"/>
    </row>
    <row r="12" spans="1:21" s="12" customFormat="1" x14ac:dyDescent="0.25">
      <c r="A12" s="213" t="s">
        <v>439</v>
      </c>
      <c r="B12" s="64">
        <v>59.65</v>
      </c>
      <c r="C12" s="64">
        <v>58.95</v>
      </c>
      <c r="D12" s="64">
        <v>77.260000000000005</v>
      </c>
      <c r="E12" s="64">
        <v>5.76</v>
      </c>
      <c r="F12" s="64">
        <v>2.13</v>
      </c>
      <c r="G12" s="64">
        <v>104</v>
      </c>
      <c r="H12" s="64">
        <v>35.21</v>
      </c>
      <c r="I12" s="210" t="s">
        <v>43</v>
      </c>
      <c r="J12" s="64">
        <v>0.93</v>
      </c>
      <c r="K12" s="64">
        <v>335.34</v>
      </c>
      <c r="L12" s="64">
        <v>19.04</v>
      </c>
      <c r="M12" s="64">
        <v>71.010000000000005</v>
      </c>
      <c r="N12" s="64">
        <v>80.599999999999994</v>
      </c>
      <c r="O12" s="64">
        <v>0</v>
      </c>
      <c r="P12" s="64">
        <v>1.1599999999999999</v>
      </c>
      <c r="Q12" s="64">
        <v>9.76</v>
      </c>
      <c r="R12" s="198"/>
      <c r="S12" s="198"/>
      <c r="T12" s="198"/>
      <c r="U12" s="198"/>
    </row>
    <row r="13" spans="1:21" s="12" customFormat="1" x14ac:dyDescent="0.25">
      <c r="A13" s="213" t="s">
        <v>440</v>
      </c>
      <c r="B13" s="64">
        <v>57.64</v>
      </c>
      <c r="C13" s="64">
        <v>58.06</v>
      </c>
      <c r="D13" s="64">
        <v>75.180000000000007</v>
      </c>
      <c r="E13" s="64">
        <v>6.57</v>
      </c>
      <c r="F13" s="64">
        <v>2.13</v>
      </c>
      <c r="G13" s="64">
        <v>105.04</v>
      </c>
      <c r="H13" s="64">
        <v>35.42</v>
      </c>
      <c r="I13" s="210" t="s">
        <v>43</v>
      </c>
      <c r="J13" s="64">
        <v>0.37</v>
      </c>
      <c r="K13" s="64">
        <v>355.33</v>
      </c>
      <c r="L13" s="64">
        <v>18.940000000000001</v>
      </c>
      <c r="M13" s="64">
        <v>68.48</v>
      </c>
      <c r="N13" s="64">
        <v>81.099999999999994</v>
      </c>
      <c r="O13" s="64">
        <v>0</v>
      </c>
      <c r="P13" s="64">
        <v>1.05</v>
      </c>
      <c r="Q13" s="64">
        <v>9.76</v>
      </c>
      <c r="R13" s="198"/>
      <c r="S13" s="198"/>
      <c r="T13" s="198"/>
      <c r="U13" s="198"/>
    </row>
    <row r="14" spans="1:21" s="12" customFormat="1" x14ac:dyDescent="0.25">
      <c r="A14" s="213" t="s">
        <v>441</v>
      </c>
      <c r="B14" s="64">
        <v>55.84</v>
      </c>
      <c r="C14" s="64">
        <v>53.08</v>
      </c>
      <c r="D14" s="64">
        <v>71.13</v>
      </c>
      <c r="E14" s="64">
        <v>5.89</v>
      </c>
      <c r="F14" s="64">
        <v>2.13</v>
      </c>
      <c r="G14" s="64">
        <v>105.04</v>
      </c>
      <c r="H14" s="64">
        <v>35.42</v>
      </c>
      <c r="I14" s="210" t="s">
        <v>43</v>
      </c>
      <c r="J14" s="64">
        <v>0.45</v>
      </c>
      <c r="K14" s="64">
        <v>309.08</v>
      </c>
      <c r="L14" s="64">
        <v>18.68</v>
      </c>
      <c r="M14" s="64">
        <v>69.92</v>
      </c>
      <c r="N14" s="64">
        <v>80.8</v>
      </c>
      <c r="O14" s="64">
        <v>0</v>
      </c>
      <c r="P14" s="64">
        <v>1.02</v>
      </c>
      <c r="Q14" s="64">
        <v>9.76</v>
      </c>
      <c r="R14" s="198"/>
      <c r="S14" s="198"/>
      <c r="T14" s="198"/>
      <c r="U14" s="198"/>
    </row>
    <row r="15" spans="1:21" s="12" customFormat="1" x14ac:dyDescent="0.25">
      <c r="A15" s="213" t="s">
        <v>442</v>
      </c>
      <c r="B15" s="64">
        <v>54.34</v>
      </c>
      <c r="C15" s="64">
        <v>52.82</v>
      </c>
      <c r="D15" s="64">
        <v>69.8</v>
      </c>
      <c r="E15" s="64">
        <v>5.88</v>
      </c>
      <c r="F15" s="64">
        <v>2.13</v>
      </c>
      <c r="G15" s="64">
        <v>105.04</v>
      </c>
      <c r="H15" s="64">
        <v>35.42</v>
      </c>
      <c r="I15" s="210" t="s">
        <v>43</v>
      </c>
      <c r="J15" s="64">
        <v>0.67</v>
      </c>
      <c r="K15" s="64">
        <v>315.02999999999997</v>
      </c>
      <c r="L15" s="64">
        <v>18.28</v>
      </c>
      <c r="M15" s="64">
        <v>73.540000000000006</v>
      </c>
      <c r="N15" s="64">
        <v>80.8</v>
      </c>
      <c r="O15" s="64">
        <v>0</v>
      </c>
      <c r="P15" s="64">
        <v>1.05</v>
      </c>
      <c r="Q15" s="64">
        <v>9.75</v>
      </c>
      <c r="R15" s="198"/>
      <c r="S15" s="198"/>
      <c r="T15" s="198"/>
      <c r="U15" s="198"/>
    </row>
    <row r="16" spans="1:21" s="12" customFormat="1" x14ac:dyDescent="0.25">
      <c r="A16" s="213" t="s">
        <v>443</v>
      </c>
      <c r="B16" s="64">
        <v>53.48</v>
      </c>
      <c r="C16" s="64">
        <v>52.81</v>
      </c>
      <c r="D16" s="64">
        <v>69.099999999999994</v>
      </c>
      <c r="E16" s="64">
        <v>6.04</v>
      </c>
      <c r="F16" s="64">
        <v>2.13</v>
      </c>
      <c r="G16" s="64">
        <v>107.64</v>
      </c>
      <c r="H16" s="64">
        <v>37.380000000000003</v>
      </c>
      <c r="I16" s="210" t="s">
        <v>43</v>
      </c>
      <c r="J16" s="64">
        <v>0.64</v>
      </c>
      <c r="K16" s="64">
        <v>314.56</v>
      </c>
      <c r="L16" s="64">
        <v>18.14</v>
      </c>
      <c r="M16" s="64">
        <v>72.290000000000006</v>
      </c>
      <c r="N16" s="64">
        <v>80.400000000000006</v>
      </c>
      <c r="O16" s="64">
        <v>0</v>
      </c>
      <c r="P16" s="64">
        <v>1.03</v>
      </c>
      <c r="Q16" s="64">
        <v>9.74</v>
      </c>
      <c r="R16" s="198"/>
      <c r="S16" s="198"/>
      <c r="T16" s="198"/>
      <c r="U16" s="198"/>
    </row>
    <row r="17" spans="1:21" s="12" customFormat="1" x14ac:dyDescent="0.25">
      <c r="A17" s="213" t="s">
        <v>444</v>
      </c>
      <c r="B17" s="64">
        <v>52.4</v>
      </c>
      <c r="C17" s="64">
        <v>52.73</v>
      </c>
      <c r="D17" s="64">
        <v>68.2</v>
      </c>
      <c r="E17" s="64">
        <v>6.02</v>
      </c>
      <c r="F17" s="64">
        <v>2.13</v>
      </c>
      <c r="G17" s="64">
        <v>110.75</v>
      </c>
      <c r="H17" s="64">
        <v>39.72</v>
      </c>
      <c r="I17" s="210" t="s">
        <v>43</v>
      </c>
      <c r="J17" s="64">
        <v>0.62</v>
      </c>
      <c r="K17" s="64">
        <v>298.7</v>
      </c>
      <c r="L17" s="64">
        <v>18.16</v>
      </c>
      <c r="M17" s="64">
        <v>71.239999999999995</v>
      </c>
      <c r="N17" s="64">
        <v>80.8</v>
      </c>
      <c r="O17" s="64">
        <v>0</v>
      </c>
      <c r="P17" s="64">
        <v>0.99</v>
      </c>
      <c r="Q17" s="64">
        <v>9.7200000000000006</v>
      </c>
      <c r="R17" s="198"/>
      <c r="S17" s="198"/>
      <c r="T17" s="198"/>
      <c r="U17" s="198"/>
    </row>
    <row r="18" spans="1:21" s="12" customFormat="1" x14ac:dyDescent="0.25">
      <c r="A18" s="213" t="s">
        <v>445</v>
      </c>
      <c r="B18" s="64">
        <v>51.06</v>
      </c>
      <c r="C18" s="64">
        <v>52.45</v>
      </c>
      <c r="D18" s="64">
        <v>66.97</v>
      </c>
      <c r="E18" s="64">
        <v>6.41</v>
      </c>
      <c r="F18" s="64">
        <v>2.13</v>
      </c>
      <c r="G18" s="64">
        <v>110.75</v>
      </c>
      <c r="H18" s="64">
        <v>39.72</v>
      </c>
      <c r="I18" s="210" t="s">
        <v>43</v>
      </c>
      <c r="J18" s="64">
        <v>0.94</v>
      </c>
      <c r="K18" s="64">
        <v>337.37</v>
      </c>
      <c r="L18" s="64">
        <v>17.97</v>
      </c>
      <c r="M18" s="64">
        <v>74.48</v>
      </c>
      <c r="N18" s="64">
        <v>80.599999999999994</v>
      </c>
      <c r="O18" s="64">
        <v>0</v>
      </c>
      <c r="P18" s="64">
        <v>1.04</v>
      </c>
      <c r="Q18" s="64">
        <v>9.7100000000000009</v>
      </c>
      <c r="R18" s="198"/>
      <c r="S18" s="198"/>
      <c r="T18" s="198"/>
      <c r="U18" s="198"/>
    </row>
    <row r="19" spans="1:21" s="12" customFormat="1" x14ac:dyDescent="0.25">
      <c r="A19" s="213" t="s">
        <v>446</v>
      </c>
      <c r="B19" s="64">
        <v>49.83</v>
      </c>
      <c r="C19" s="64">
        <v>51.97</v>
      </c>
      <c r="D19" s="64">
        <v>65.739999999999995</v>
      </c>
      <c r="E19" s="64">
        <v>6.32</v>
      </c>
      <c r="F19" s="64">
        <v>2.13</v>
      </c>
      <c r="G19" s="64">
        <v>110.75</v>
      </c>
      <c r="H19" s="64">
        <v>39.72</v>
      </c>
      <c r="I19" s="210" t="s">
        <v>43</v>
      </c>
      <c r="J19" s="64">
        <v>0.59</v>
      </c>
      <c r="K19" s="64">
        <v>320.56</v>
      </c>
      <c r="L19" s="64">
        <v>17.71</v>
      </c>
      <c r="M19" s="64">
        <v>74.72</v>
      </c>
      <c r="N19" s="64">
        <v>81.2</v>
      </c>
      <c r="O19" s="64">
        <v>0</v>
      </c>
      <c r="P19" s="64">
        <v>1.07</v>
      </c>
      <c r="Q19" s="64">
        <v>9.69</v>
      </c>
      <c r="R19" s="198"/>
      <c r="S19" s="198"/>
      <c r="T19" s="198"/>
      <c r="U19" s="198"/>
    </row>
    <row r="20" spans="1:21" s="12" customFormat="1" x14ac:dyDescent="0.25">
      <c r="A20" s="213" t="s">
        <v>447</v>
      </c>
      <c r="B20" s="64">
        <v>48.61</v>
      </c>
      <c r="C20" s="64">
        <v>51.64</v>
      </c>
      <c r="D20" s="64">
        <v>64.58</v>
      </c>
      <c r="E20" s="64">
        <v>6.46</v>
      </c>
      <c r="F20" s="64">
        <v>2.13</v>
      </c>
      <c r="G20" s="64">
        <v>117.52</v>
      </c>
      <c r="H20" s="64">
        <v>43.75</v>
      </c>
      <c r="I20" s="210" t="s">
        <v>43</v>
      </c>
      <c r="J20" s="64">
        <v>0.64</v>
      </c>
      <c r="K20" s="64">
        <v>267.24</v>
      </c>
      <c r="L20" s="64">
        <v>17.579999999999998</v>
      </c>
      <c r="M20" s="64">
        <v>75.95</v>
      </c>
      <c r="N20" s="64">
        <v>81</v>
      </c>
      <c r="O20" s="64">
        <v>0</v>
      </c>
      <c r="P20" s="64">
        <v>1.05</v>
      </c>
      <c r="Q20" s="64">
        <v>9.68</v>
      </c>
      <c r="R20" s="198"/>
      <c r="S20" s="198"/>
      <c r="T20" s="198"/>
      <c r="U20" s="198"/>
    </row>
    <row r="21" spans="1:21" s="12" customFormat="1" x14ac:dyDescent="0.25">
      <c r="A21" s="213" t="s">
        <v>448</v>
      </c>
      <c r="B21" s="64">
        <v>47.4</v>
      </c>
      <c r="C21" s="64">
        <v>52.3</v>
      </c>
      <c r="D21" s="64">
        <v>63.96</v>
      </c>
      <c r="E21" s="64">
        <v>6.23</v>
      </c>
      <c r="F21" s="64">
        <v>2.13</v>
      </c>
      <c r="G21" s="64">
        <v>125.61</v>
      </c>
      <c r="H21" s="64">
        <v>48.57</v>
      </c>
      <c r="I21" s="210" t="s">
        <v>43</v>
      </c>
      <c r="J21" s="64">
        <v>0.64</v>
      </c>
      <c r="K21" s="64">
        <v>226.18</v>
      </c>
      <c r="L21" s="64">
        <v>17.52</v>
      </c>
      <c r="M21" s="64">
        <v>77.11</v>
      </c>
      <c r="N21" s="64">
        <v>80.8</v>
      </c>
      <c r="O21" s="64">
        <v>0</v>
      </c>
      <c r="P21" s="64">
        <v>1.08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3" t="s">
        <v>449</v>
      </c>
      <c r="B22" s="64">
        <v>46.03</v>
      </c>
      <c r="C22" s="64">
        <v>53.8</v>
      </c>
      <c r="D22" s="64">
        <v>63.64</v>
      </c>
      <c r="E22" s="64">
        <v>6.54</v>
      </c>
      <c r="F22" s="64">
        <v>2.13</v>
      </c>
      <c r="G22" s="64">
        <v>125.61</v>
      </c>
      <c r="H22" s="64">
        <v>48.57</v>
      </c>
      <c r="I22" s="210" t="s">
        <v>43</v>
      </c>
      <c r="J22" s="64">
        <v>0.45</v>
      </c>
      <c r="K22" s="64">
        <v>242.27</v>
      </c>
      <c r="L22" s="64">
        <v>17.34</v>
      </c>
      <c r="M22" s="64">
        <v>79.91</v>
      </c>
      <c r="N22" s="64">
        <v>80.8</v>
      </c>
      <c r="O22" s="64">
        <v>0</v>
      </c>
      <c r="P22" s="64">
        <v>1.07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3" t="s">
        <v>450</v>
      </c>
      <c r="B23" s="64">
        <v>44.85</v>
      </c>
      <c r="C23" s="64">
        <v>51.44</v>
      </c>
      <c r="D23" s="64">
        <v>61.46</v>
      </c>
      <c r="E23" s="64">
        <v>6.65</v>
      </c>
      <c r="F23" s="64">
        <v>2.13</v>
      </c>
      <c r="G23" s="64">
        <v>125.61</v>
      </c>
      <c r="H23" s="64">
        <v>48.57</v>
      </c>
      <c r="I23" s="210" t="s">
        <v>43</v>
      </c>
      <c r="J23" s="64">
        <v>0.48</v>
      </c>
      <c r="K23" s="64">
        <v>244.07</v>
      </c>
      <c r="L23" s="64">
        <v>16.95</v>
      </c>
      <c r="M23" s="64">
        <v>85.12</v>
      </c>
      <c r="N23" s="64">
        <v>80.900000000000006</v>
      </c>
      <c r="O23" s="64">
        <v>0</v>
      </c>
      <c r="P23" s="64">
        <v>1.06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3" t="s">
        <v>451</v>
      </c>
      <c r="B24" s="64">
        <v>43.72</v>
      </c>
      <c r="C24" s="64">
        <v>51.17</v>
      </c>
      <c r="D24" s="64">
        <v>60.42</v>
      </c>
      <c r="E24" s="64">
        <v>6.4</v>
      </c>
      <c r="F24" s="64">
        <v>2.13</v>
      </c>
      <c r="G24" s="64">
        <v>120.48</v>
      </c>
      <c r="H24" s="64">
        <v>45.34</v>
      </c>
      <c r="I24" s="210" t="s">
        <v>43</v>
      </c>
      <c r="J24" s="64">
        <v>0.44</v>
      </c>
      <c r="K24" s="64">
        <v>209.83</v>
      </c>
      <c r="L24" s="64">
        <v>16.7</v>
      </c>
      <c r="M24" s="64">
        <v>87.83</v>
      </c>
      <c r="N24" s="64">
        <v>80.7</v>
      </c>
      <c r="O24" s="64">
        <v>0</v>
      </c>
      <c r="P24" s="64">
        <v>1.04</v>
      </c>
      <c r="Q24" s="64">
        <v>9.69</v>
      </c>
      <c r="R24" s="198"/>
      <c r="S24" s="198"/>
      <c r="T24" s="198"/>
      <c r="U24" s="198"/>
    </row>
    <row r="25" spans="1:21" s="12" customFormat="1" x14ac:dyDescent="0.25">
      <c r="A25" s="213" t="s">
        <v>452</v>
      </c>
      <c r="B25" s="64">
        <v>43</v>
      </c>
      <c r="C25" s="64">
        <v>50.73</v>
      </c>
      <c r="D25" s="64">
        <v>59.61</v>
      </c>
      <c r="E25" s="64">
        <v>5.98</v>
      </c>
      <c r="F25" s="64">
        <v>2.13</v>
      </c>
      <c r="G25" s="64">
        <v>114.36</v>
      </c>
      <c r="H25" s="64">
        <v>41.31</v>
      </c>
      <c r="I25" s="210" t="s">
        <v>43</v>
      </c>
      <c r="J25" s="64">
        <v>0.57999999999999996</v>
      </c>
      <c r="K25" s="64">
        <v>245.77</v>
      </c>
      <c r="L25" s="64">
        <v>16.5</v>
      </c>
      <c r="M25" s="64">
        <v>89.62</v>
      </c>
      <c r="N25" s="64">
        <v>80.8</v>
      </c>
      <c r="O25" s="64">
        <v>0</v>
      </c>
      <c r="P25" s="64">
        <v>1.02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3" t="s">
        <v>453</v>
      </c>
      <c r="B26" s="64">
        <v>42.66</v>
      </c>
      <c r="C26" s="64">
        <v>50.15</v>
      </c>
      <c r="D26" s="64">
        <v>59.03</v>
      </c>
      <c r="E26" s="64">
        <v>5.88</v>
      </c>
      <c r="F26" s="64">
        <v>2.13</v>
      </c>
      <c r="G26" s="64">
        <v>114.36</v>
      </c>
      <c r="H26" s="64">
        <v>41.31</v>
      </c>
      <c r="I26" s="210" t="s">
        <v>43</v>
      </c>
      <c r="J26" s="64">
        <v>0.73</v>
      </c>
      <c r="K26" s="64">
        <v>184.67</v>
      </c>
      <c r="L26" s="64">
        <v>16.37</v>
      </c>
      <c r="M26" s="64">
        <v>88.65</v>
      </c>
      <c r="N26" s="64">
        <v>80.3</v>
      </c>
      <c r="O26" s="64">
        <v>0</v>
      </c>
      <c r="P26" s="64">
        <v>1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3" t="s">
        <v>454</v>
      </c>
      <c r="B27" s="64">
        <v>42.25</v>
      </c>
      <c r="C27" s="64">
        <v>49.9</v>
      </c>
      <c r="D27" s="64">
        <v>58.58</v>
      </c>
      <c r="E27" s="64">
        <v>5.58</v>
      </c>
      <c r="F27" s="64">
        <v>2.13</v>
      </c>
      <c r="G27" s="64">
        <v>114.36</v>
      </c>
      <c r="H27" s="64">
        <v>41.31</v>
      </c>
      <c r="I27" s="210" t="s">
        <v>43</v>
      </c>
      <c r="J27" s="64">
        <v>0.62</v>
      </c>
      <c r="K27" s="64">
        <v>202.83</v>
      </c>
      <c r="L27" s="64">
        <v>16.22</v>
      </c>
      <c r="M27" s="64">
        <v>87.22</v>
      </c>
      <c r="N27" s="64">
        <v>80.599999999999994</v>
      </c>
      <c r="O27" s="64">
        <v>0</v>
      </c>
      <c r="P27" s="64">
        <v>0.98</v>
      </c>
      <c r="Q27" s="64">
        <v>9.67</v>
      </c>
      <c r="R27" s="198"/>
      <c r="S27" s="198"/>
      <c r="T27" s="198"/>
      <c r="U27" s="198"/>
    </row>
    <row r="28" spans="1:21" s="12" customFormat="1" x14ac:dyDescent="0.25">
      <c r="A28" s="213" t="s">
        <v>455</v>
      </c>
      <c r="B28" s="64">
        <v>41.37</v>
      </c>
      <c r="C28" s="64">
        <v>49.42</v>
      </c>
      <c r="D28" s="64">
        <v>57.62</v>
      </c>
      <c r="E28" s="64">
        <v>5.55</v>
      </c>
      <c r="F28" s="64">
        <v>2.13</v>
      </c>
      <c r="G28" s="64">
        <v>102.05</v>
      </c>
      <c r="H28" s="64">
        <v>30.22</v>
      </c>
      <c r="I28" s="210" t="s">
        <v>43</v>
      </c>
      <c r="J28" s="64">
        <v>0.52</v>
      </c>
      <c r="K28" s="64">
        <v>255.23</v>
      </c>
      <c r="L28" s="64">
        <v>15.94</v>
      </c>
      <c r="M28" s="64">
        <v>89.18</v>
      </c>
      <c r="N28" s="64">
        <v>80.900000000000006</v>
      </c>
      <c r="O28" s="64">
        <v>0</v>
      </c>
      <c r="P28" s="64">
        <v>0.96</v>
      </c>
      <c r="Q28" s="64">
        <v>9.68</v>
      </c>
      <c r="R28" s="198"/>
      <c r="S28" s="198"/>
      <c r="T28" s="198"/>
      <c r="U28" s="198"/>
    </row>
    <row r="29" spans="1:21" s="12" customFormat="1" x14ac:dyDescent="0.25">
      <c r="A29" s="213" t="s">
        <v>456</v>
      </c>
      <c r="B29" s="64">
        <v>40.71</v>
      </c>
      <c r="C29" s="64">
        <v>48.4</v>
      </c>
      <c r="D29" s="64">
        <v>56.56</v>
      </c>
      <c r="E29" s="64">
        <v>5.56</v>
      </c>
      <c r="F29" s="64">
        <v>2.13</v>
      </c>
      <c r="G29" s="64">
        <v>87.35</v>
      </c>
      <c r="H29" s="64">
        <v>16.36</v>
      </c>
      <c r="I29" s="210" t="s">
        <v>43</v>
      </c>
      <c r="J29" s="64">
        <v>0.56999999999999995</v>
      </c>
      <c r="K29" s="64">
        <v>311.83</v>
      </c>
      <c r="L29" s="64">
        <v>15.62</v>
      </c>
      <c r="M29" s="64">
        <v>92.96</v>
      </c>
      <c r="N29" s="64">
        <v>80.8</v>
      </c>
      <c r="O29" s="64">
        <v>0</v>
      </c>
      <c r="P29" s="64">
        <v>0.94</v>
      </c>
      <c r="Q29" s="64">
        <v>9.67</v>
      </c>
      <c r="R29" s="198"/>
      <c r="S29" s="198"/>
      <c r="T29" s="198"/>
      <c r="U29" s="198"/>
    </row>
    <row r="30" spans="1:21" s="12" customFormat="1" x14ac:dyDescent="0.25">
      <c r="A30" s="213" t="s">
        <v>457</v>
      </c>
      <c r="B30" s="64">
        <v>40.96</v>
      </c>
      <c r="C30" s="64">
        <v>48.74</v>
      </c>
      <c r="D30" s="64">
        <v>56.94</v>
      </c>
      <c r="E30" s="64">
        <v>5.74</v>
      </c>
      <c r="F30" s="64">
        <v>2.13</v>
      </c>
      <c r="G30" s="64">
        <v>87.35</v>
      </c>
      <c r="H30" s="64">
        <v>16.36</v>
      </c>
      <c r="I30" s="210" t="s">
        <v>43</v>
      </c>
      <c r="J30" s="64">
        <v>0.56000000000000005</v>
      </c>
      <c r="K30" s="64">
        <v>271.33</v>
      </c>
      <c r="L30" s="64">
        <v>15.5</v>
      </c>
      <c r="M30" s="64">
        <v>93.23</v>
      </c>
      <c r="N30" s="64">
        <v>80.5</v>
      </c>
      <c r="O30" s="64">
        <v>0</v>
      </c>
      <c r="P30" s="64">
        <v>0.89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3" t="s">
        <v>458</v>
      </c>
      <c r="B31" s="64">
        <v>40.99</v>
      </c>
      <c r="C31" s="64">
        <v>45.93</v>
      </c>
      <c r="D31" s="64">
        <v>55.49</v>
      </c>
      <c r="E31" s="64">
        <v>5.65</v>
      </c>
      <c r="F31" s="64">
        <v>2.13</v>
      </c>
      <c r="G31" s="64">
        <v>87.35</v>
      </c>
      <c r="H31" s="64">
        <v>16.36</v>
      </c>
      <c r="I31" s="210" t="s">
        <v>43</v>
      </c>
      <c r="J31" s="64">
        <v>0.56999999999999995</v>
      </c>
      <c r="K31" s="64">
        <v>203.53</v>
      </c>
      <c r="L31" s="64">
        <v>15.62</v>
      </c>
      <c r="M31" s="64">
        <v>93.22</v>
      </c>
      <c r="N31" s="64">
        <v>80.3</v>
      </c>
      <c r="O31" s="64">
        <v>0</v>
      </c>
      <c r="P31" s="64">
        <v>0.86</v>
      </c>
      <c r="Q31" s="64">
        <v>9.69</v>
      </c>
      <c r="R31" s="198"/>
      <c r="S31" s="198"/>
      <c r="T31" s="198"/>
      <c r="U31" s="198"/>
    </row>
    <row r="32" spans="1:21" s="12" customFormat="1" x14ac:dyDescent="0.25">
      <c r="A32" s="213" t="s">
        <v>459</v>
      </c>
      <c r="B32" s="64">
        <v>41.87</v>
      </c>
      <c r="C32" s="64">
        <v>47.28</v>
      </c>
      <c r="D32" s="64">
        <v>56.9</v>
      </c>
      <c r="E32" s="64">
        <v>5.73</v>
      </c>
      <c r="F32" s="64">
        <v>2.13</v>
      </c>
      <c r="G32" s="64">
        <v>85.37</v>
      </c>
      <c r="H32" s="64">
        <v>22.01</v>
      </c>
      <c r="I32" s="210" t="s">
        <v>43</v>
      </c>
      <c r="J32" s="64">
        <v>0.61</v>
      </c>
      <c r="K32" s="64">
        <v>216.18</v>
      </c>
      <c r="L32" s="64">
        <v>15.55</v>
      </c>
      <c r="M32" s="64">
        <v>92.8</v>
      </c>
      <c r="N32" s="64">
        <v>80.599999999999994</v>
      </c>
      <c r="O32" s="64">
        <v>0</v>
      </c>
      <c r="P32" s="64">
        <v>0.84</v>
      </c>
      <c r="Q32" s="64">
        <v>9.66</v>
      </c>
      <c r="R32" s="198"/>
      <c r="S32" s="198"/>
      <c r="T32" s="198"/>
      <c r="U32" s="198"/>
    </row>
    <row r="33" spans="1:21" s="12" customFormat="1" x14ac:dyDescent="0.25">
      <c r="A33" s="213" t="s">
        <v>460</v>
      </c>
      <c r="B33" s="64">
        <v>42.72</v>
      </c>
      <c r="C33" s="64">
        <v>47.64</v>
      </c>
      <c r="D33" s="64">
        <v>57.77</v>
      </c>
      <c r="E33" s="64">
        <v>5.45</v>
      </c>
      <c r="F33" s="64">
        <v>2.13</v>
      </c>
      <c r="G33" s="64">
        <v>83.01</v>
      </c>
      <c r="H33" s="64">
        <v>29.07</v>
      </c>
      <c r="I33" s="210" t="s">
        <v>43</v>
      </c>
      <c r="J33" s="64">
        <v>0.55000000000000004</v>
      </c>
      <c r="K33" s="64">
        <v>278.64999999999998</v>
      </c>
      <c r="L33" s="64">
        <v>15.46</v>
      </c>
      <c r="M33" s="64">
        <v>93.36</v>
      </c>
      <c r="N33" s="64">
        <v>80.599999999999994</v>
      </c>
      <c r="O33" s="64">
        <v>0</v>
      </c>
      <c r="P33" s="64">
        <v>0.88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3" t="s">
        <v>461</v>
      </c>
      <c r="B34" s="64">
        <v>44.17</v>
      </c>
      <c r="C34" s="64">
        <v>47.72</v>
      </c>
      <c r="D34" s="64">
        <v>58.97</v>
      </c>
      <c r="E34" s="64">
        <v>5.91</v>
      </c>
      <c r="F34" s="64">
        <v>2.13</v>
      </c>
      <c r="G34" s="64">
        <v>83.01</v>
      </c>
      <c r="H34" s="64">
        <v>29.07</v>
      </c>
      <c r="I34" s="210" t="s">
        <v>43</v>
      </c>
      <c r="J34" s="64">
        <v>0.63</v>
      </c>
      <c r="K34" s="64">
        <v>293.31</v>
      </c>
      <c r="L34" s="64">
        <v>15.32</v>
      </c>
      <c r="M34" s="64">
        <v>95.38</v>
      </c>
      <c r="N34" s="64">
        <v>80.2</v>
      </c>
      <c r="O34" s="64">
        <v>0</v>
      </c>
      <c r="P34" s="64">
        <v>0.89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3" t="s">
        <v>462</v>
      </c>
      <c r="B35" s="64">
        <v>45.94</v>
      </c>
      <c r="C35" s="64">
        <v>48.35</v>
      </c>
      <c r="D35" s="64">
        <v>60.73</v>
      </c>
      <c r="E35" s="64">
        <v>6.04</v>
      </c>
      <c r="F35" s="64">
        <v>2.13</v>
      </c>
      <c r="G35" s="64">
        <v>83.01</v>
      </c>
      <c r="H35" s="64">
        <v>29.07</v>
      </c>
      <c r="I35" s="210" t="s">
        <v>43</v>
      </c>
      <c r="J35" s="64">
        <v>0.61</v>
      </c>
      <c r="K35" s="64">
        <v>292.24</v>
      </c>
      <c r="L35" s="64">
        <v>15.3</v>
      </c>
      <c r="M35" s="64">
        <v>94.93</v>
      </c>
      <c r="N35" s="64">
        <v>82.5</v>
      </c>
      <c r="O35" s="64">
        <v>0</v>
      </c>
      <c r="P35" s="64">
        <v>0.88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3" t="s">
        <v>463</v>
      </c>
      <c r="B36" s="64">
        <v>48.04</v>
      </c>
      <c r="C36" s="64">
        <v>48.01</v>
      </c>
      <c r="D36" s="64">
        <v>62.23</v>
      </c>
      <c r="E36" s="64">
        <v>5.92</v>
      </c>
      <c r="F36" s="64">
        <v>2.13</v>
      </c>
      <c r="G36" s="64">
        <v>85.45</v>
      </c>
      <c r="H36" s="64">
        <v>30.06</v>
      </c>
      <c r="I36" s="210" t="s">
        <v>43</v>
      </c>
      <c r="J36" s="64">
        <v>0.61</v>
      </c>
      <c r="K36" s="64">
        <v>287.10000000000002</v>
      </c>
      <c r="L36" s="64">
        <v>15.45</v>
      </c>
      <c r="M36" s="64">
        <v>94.49</v>
      </c>
      <c r="N36" s="64">
        <v>90.7</v>
      </c>
      <c r="O36" s="64">
        <v>0</v>
      </c>
      <c r="P36" s="64">
        <v>0.92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3" t="s">
        <v>464</v>
      </c>
      <c r="B37" s="64">
        <v>49.89</v>
      </c>
      <c r="C37" s="64">
        <v>47.59</v>
      </c>
      <c r="D37" s="64">
        <v>63.49</v>
      </c>
      <c r="E37" s="64">
        <v>5.96</v>
      </c>
      <c r="F37" s="64">
        <v>2.13</v>
      </c>
      <c r="G37" s="64">
        <v>88.37</v>
      </c>
      <c r="H37" s="64">
        <v>31.29</v>
      </c>
      <c r="I37" s="210" t="s">
        <v>43</v>
      </c>
      <c r="J37" s="64">
        <v>0.56999999999999995</v>
      </c>
      <c r="K37" s="64">
        <v>233.18</v>
      </c>
      <c r="L37" s="64">
        <v>15.92</v>
      </c>
      <c r="M37" s="64">
        <v>93.15</v>
      </c>
      <c r="N37" s="64">
        <v>103.1</v>
      </c>
      <c r="O37" s="64">
        <v>0</v>
      </c>
      <c r="P37" s="64">
        <v>0.88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3" t="s">
        <v>465</v>
      </c>
      <c r="B38" s="64">
        <v>51.43</v>
      </c>
      <c r="C38" s="64">
        <v>47.17</v>
      </c>
      <c r="D38" s="64">
        <v>64.510000000000005</v>
      </c>
      <c r="E38" s="64">
        <v>6.25</v>
      </c>
      <c r="F38" s="64">
        <v>2.13</v>
      </c>
      <c r="G38" s="64">
        <v>88.37</v>
      </c>
      <c r="H38" s="64">
        <v>31.29</v>
      </c>
      <c r="I38" s="210" t="s">
        <v>43</v>
      </c>
      <c r="J38" s="64">
        <v>0.57999999999999996</v>
      </c>
      <c r="K38" s="64">
        <v>176.48</v>
      </c>
      <c r="L38" s="64">
        <v>16.54</v>
      </c>
      <c r="M38" s="64">
        <v>90.32</v>
      </c>
      <c r="N38" s="64">
        <v>117.9</v>
      </c>
      <c r="O38" s="64">
        <v>0</v>
      </c>
      <c r="P38" s="64">
        <v>0.91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3" t="s">
        <v>466</v>
      </c>
      <c r="B39" s="64">
        <v>51.43</v>
      </c>
      <c r="C39" s="64">
        <v>48.05</v>
      </c>
      <c r="D39" s="64">
        <v>64.98</v>
      </c>
      <c r="E39" s="64">
        <v>6.06</v>
      </c>
      <c r="F39" s="64">
        <v>2.13</v>
      </c>
      <c r="G39" s="64">
        <v>88.37</v>
      </c>
      <c r="H39" s="64">
        <v>31.29</v>
      </c>
      <c r="I39" s="210" t="s">
        <v>43</v>
      </c>
      <c r="J39" s="64">
        <v>0.83</v>
      </c>
      <c r="K39" s="64">
        <v>162.15</v>
      </c>
      <c r="L39" s="64">
        <v>17.18</v>
      </c>
      <c r="M39" s="64">
        <v>85.95</v>
      </c>
      <c r="N39" s="64">
        <v>162.5</v>
      </c>
      <c r="O39" s="64">
        <v>0</v>
      </c>
      <c r="P39" s="64">
        <v>0.9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3" t="s">
        <v>467</v>
      </c>
      <c r="B40" s="64">
        <v>50.5</v>
      </c>
      <c r="C40" s="64">
        <v>47.32</v>
      </c>
      <c r="D40" s="64">
        <v>63.84</v>
      </c>
      <c r="E40" s="64">
        <v>6.68</v>
      </c>
      <c r="F40" s="64">
        <v>2.13</v>
      </c>
      <c r="G40" s="64">
        <v>90.77</v>
      </c>
      <c r="H40" s="64">
        <v>31.73</v>
      </c>
      <c r="I40" s="210" t="s">
        <v>43</v>
      </c>
      <c r="J40" s="64">
        <v>0.84</v>
      </c>
      <c r="K40" s="64">
        <v>146.32</v>
      </c>
      <c r="L40" s="64">
        <v>18.86</v>
      </c>
      <c r="M40" s="64">
        <v>78.2</v>
      </c>
      <c r="N40" s="64">
        <v>224</v>
      </c>
      <c r="O40" s="64">
        <v>0</v>
      </c>
      <c r="P40" s="64">
        <v>0.9</v>
      </c>
      <c r="Q40" s="64">
        <v>9.68</v>
      </c>
      <c r="R40" s="198"/>
      <c r="S40" s="198"/>
      <c r="T40" s="198"/>
      <c r="U40" s="198"/>
    </row>
    <row r="41" spans="1:21" s="12" customFormat="1" x14ac:dyDescent="0.25">
      <c r="A41" s="213" t="s">
        <v>468</v>
      </c>
      <c r="B41" s="64">
        <v>49.6</v>
      </c>
      <c r="C41" s="64">
        <v>47.98</v>
      </c>
      <c r="D41" s="64">
        <v>63.47</v>
      </c>
      <c r="E41" s="64">
        <v>6.61</v>
      </c>
      <c r="F41" s="64">
        <v>2.13</v>
      </c>
      <c r="G41" s="64">
        <v>93.64</v>
      </c>
      <c r="H41" s="64">
        <v>32.26</v>
      </c>
      <c r="I41" s="210" t="s">
        <v>43</v>
      </c>
      <c r="J41" s="64">
        <v>0.6</v>
      </c>
      <c r="K41" s="64">
        <v>177.53</v>
      </c>
      <c r="L41" s="64">
        <v>20.52</v>
      </c>
      <c r="M41" s="64">
        <v>72.02</v>
      </c>
      <c r="N41" s="64">
        <v>265.7</v>
      </c>
      <c r="O41" s="64">
        <v>0</v>
      </c>
      <c r="P41" s="64">
        <v>0.9</v>
      </c>
      <c r="Q41" s="64">
        <v>9.68</v>
      </c>
      <c r="R41" s="198"/>
      <c r="S41" s="198"/>
      <c r="T41" s="198"/>
      <c r="U41" s="198"/>
    </row>
    <row r="42" spans="1:21" s="12" customFormat="1" x14ac:dyDescent="0.25">
      <c r="A42" s="213" t="s">
        <v>469</v>
      </c>
      <c r="B42" s="64">
        <v>49.34</v>
      </c>
      <c r="C42" s="64">
        <v>49.43</v>
      </c>
      <c r="D42" s="64">
        <v>64.010000000000005</v>
      </c>
      <c r="E42" s="64">
        <v>6.89</v>
      </c>
      <c r="F42" s="64">
        <v>2.13</v>
      </c>
      <c r="G42" s="64">
        <v>93.64</v>
      </c>
      <c r="H42" s="64">
        <v>32.26</v>
      </c>
      <c r="I42" s="210" t="s">
        <v>43</v>
      </c>
      <c r="J42" s="64">
        <v>0.3</v>
      </c>
      <c r="K42" s="64">
        <v>185.09</v>
      </c>
      <c r="L42" s="64">
        <v>21.88</v>
      </c>
      <c r="M42" s="64">
        <v>67.209999999999994</v>
      </c>
      <c r="N42" s="64">
        <v>306.8</v>
      </c>
      <c r="O42" s="64">
        <v>0</v>
      </c>
      <c r="P42" s="64">
        <v>0.92</v>
      </c>
      <c r="Q42" s="64">
        <v>9.69</v>
      </c>
      <c r="R42" s="198"/>
      <c r="S42" s="198"/>
      <c r="T42" s="198"/>
      <c r="U42" s="198"/>
    </row>
    <row r="43" spans="1:21" s="12" customFormat="1" x14ac:dyDescent="0.25">
      <c r="A43" s="213" t="s">
        <v>470</v>
      </c>
      <c r="B43" s="64">
        <v>48.92</v>
      </c>
      <c r="C43" s="64">
        <v>49.89</v>
      </c>
      <c r="D43" s="64">
        <v>63.92</v>
      </c>
      <c r="E43" s="64">
        <v>6.97</v>
      </c>
      <c r="F43" s="64">
        <v>2.13</v>
      </c>
      <c r="G43" s="64">
        <v>93.64</v>
      </c>
      <c r="H43" s="64">
        <v>32.26</v>
      </c>
      <c r="I43" s="210" t="s">
        <v>43</v>
      </c>
      <c r="J43" s="64">
        <v>0.51</v>
      </c>
      <c r="K43" s="64">
        <v>105.51</v>
      </c>
      <c r="L43" s="64">
        <v>23.17</v>
      </c>
      <c r="M43" s="64">
        <v>61.39</v>
      </c>
      <c r="N43" s="64">
        <v>350</v>
      </c>
      <c r="O43" s="64">
        <v>0</v>
      </c>
      <c r="P43" s="64">
        <v>0.93</v>
      </c>
      <c r="Q43" s="64">
        <v>9.69</v>
      </c>
      <c r="R43" s="198"/>
      <c r="S43" s="198"/>
      <c r="T43" s="198"/>
      <c r="U43" s="198"/>
    </row>
    <row r="44" spans="1:21" s="12" customFormat="1" x14ac:dyDescent="0.25">
      <c r="A44" s="213" t="s">
        <v>471</v>
      </c>
      <c r="B44" s="64">
        <v>47.45</v>
      </c>
      <c r="C44" s="64">
        <v>52.25</v>
      </c>
      <c r="D44" s="64">
        <v>63.97</v>
      </c>
      <c r="E44" s="64">
        <v>7.11</v>
      </c>
      <c r="F44" s="64">
        <v>2.13</v>
      </c>
      <c r="G44" s="64">
        <v>97.04</v>
      </c>
      <c r="H44" s="64">
        <v>69.819999999999993</v>
      </c>
      <c r="I44" s="210" t="s">
        <v>43</v>
      </c>
      <c r="J44" s="64">
        <v>0.98</v>
      </c>
      <c r="K44" s="64">
        <v>115.55</v>
      </c>
      <c r="L44" s="64">
        <v>22.95</v>
      </c>
      <c r="M44" s="64">
        <v>57.06</v>
      </c>
      <c r="N44" s="64">
        <v>397.1</v>
      </c>
      <c r="O44" s="64">
        <v>0</v>
      </c>
      <c r="P44" s="64">
        <v>0.94</v>
      </c>
      <c r="Q44" s="64">
        <v>9.69</v>
      </c>
      <c r="R44" s="198"/>
      <c r="S44" s="198"/>
      <c r="T44" s="198"/>
      <c r="U44" s="198"/>
    </row>
    <row r="45" spans="1:21" s="12" customFormat="1" x14ac:dyDescent="0.25">
      <c r="A45" s="213" t="s">
        <v>472</v>
      </c>
      <c r="B45" s="64">
        <v>45.38</v>
      </c>
      <c r="C45" s="64">
        <v>54.98</v>
      </c>
      <c r="D45" s="64">
        <v>63.74</v>
      </c>
      <c r="E45" s="64">
        <v>7.27</v>
      </c>
      <c r="F45" s="64">
        <v>2.13</v>
      </c>
      <c r="G45" s="64">
        <v>101.1</v>
      </c>
      <c r="H45" s="64">
        <v>72.819999999999993</v>
      </c>
      <c r="I45" s="210" t="s">
        <v>43</v>
      </c>
      <c r="J45" s="64">
        <v>1.1100000000000001</v>
      </c>
      <c r="K45" s="64">
        <v>115.44</v>
      </c>
      <c r="L45" s="64">
        <v>23.22</v>
      </c>
      <c r="M45" s="64">
        <v>53.52</v>
      </c>
      <c r="N45" s="64">
        <v>435.2</v>
      </c>
      <c r="O45" s="64">
        <v>0</v>
      </c>
      <c r="P45" s="64">
        <v>0.94</v>
      </c>
      <c r="Q45" s="64">
        <v>9.6999999999999993</v>
      </c>
      <c r="R45" s="198"/>
      <c r="S45" s="198"/>
      <c r="T45" s="198"/>
      <c r="U45" s="198"/>
    </row>
    <row r="46" spans="1:21" s="12" customFormat="1" x14ac:dyDescent="0.25">
      <c r="A46" s="213" t="s">
        <v>473</v>
      </c>
      <c r="B46" s="64">
        <v>42.78</v>
      </c>
      <c r="C46" s="64">
        <v>52.93</v>
      </c>
      <c r="D46" s="64">
        <v>60.58</v>
      </c>
      <c r="E46" s="64">
        <v>6.87</v>
      </c>
      <c r="F46" s="64">
        <v>2.13</v>
      </c>
      <c r="G46" s="64">
        <v>101.1</v>
      </c>
      <c r="H46" s="64">
        <v>72.819999999999993</v>
      </c>
      <c r="I46" s="210" t="s">
        <v>43</v>
      </c>
      <c r="J46" s="64">
        <v>1.43</v>
      </c>
      <c r="K46" s="64">
        <v>115.41</v>
      </c>
      <c r="L46" s="64">
        <v>23.75</v>
      </c>
      <c r="M46" s="64">
        <v>51.42</v>
      </c>
      <c r="N46" s="64">
        <v>467.5</v>
      </c>
      <c r="O46" s="64">
        <v>0</v>
      </c>
      <c r="P46" s="64">
        <v>0.92</v>
      </c>
      <c r="Q46" s="64">
        <v>9.7100000000000009</v>
      </c>
      <c r="R46" s="198"/>
      <c r="S46" s="198"/>
      <c r="T46" s="198"/>
      <c r="U46" s="198"/>
    </row>
    <row r="47" spans="1:21" s="12" customFormat="1" x14ac:dyDescent="0.25">
      <c r="A47" s="213" t="s">
        <v>474</v>
      </c>
      <c r="B47" s="64">
        <v>40.369999999999997</v>
      </c>
      <c r="C47" s="64">
        <v>54.59</v>
      </c>
      <c r="D47" s="64">
        <v>59.52</v>
      </c>
      <c r="E47" s="64">
        <v>6.85</v>
      </c>
      <c r="F47" s="64">
        <v>2.13</v>
      </c>
      <c r="G47" s="64">
        <v>101.1</v>
      </c>
      <c r="H47" s="64">
        <v>72.819999999999993</v>
      </c>
      <c r="I47" s="210" t="s">
        <v>43</v>
      </c>
      <c r="J47" s="64">
        <v>1.04</v>
      </c>
      <c r="K47" s="64">
        <v>110.87</v>
      </c>
      <c r="L47" s="64">
        <v>24</v>
      </c>
      <c r="M47" s="64">
        <v>50.27</v>
      </c>
      <c r="N47" s="64">
        <v>486</v>
      </c>
      <c r="O47" s="64">
        <v>0</v>
      </c>
      <c r="P47" s="64">
        <v>0.9</v>
      </c>
      <c r="Q47" s="64">
        <v>9.69</v>
      </c>
      <c r="R47" s="198"/>
      <c r="S47" s="198"/>
      <c r="T47" s="198"/>
      <c r="U47" s="198"/>
    </row>
    <row r="48" spans="1:21" s="12" customFormat="1" x14ac:dyDescent="0.25">
      <c r="A48" s="213" t="s">
        <v>475</v>
      </c>
      <c r="B48" s="64">
        <v>37.9</v>
      </c>
      <c r="C48" s="64">
        <v>54.71</v>
      </c>
      <c r="D48" s="64">
        <v>57.6</v>
      </c>
      <c r="E48" s="64">
        <v>6.43</v>
      </c>
      <c r="F48" s="64">
        <v>2.13</v>
      </c>
      <c r="G48" s="64">
        <v>98.05</v>
      </c>
      <c r="H48" s="64">
        <v>69.819999999999993</v>
      </c>
      <c r="I48" s="210" t="s">
        <v>43</v>
      </c>
      <c r="J48" s="64">
        <v>1.35</v>
      </c>
      <c r="K48" s="64">
        <v>107.57</v>
      </c>
      <c r="L48" s="64">
        <v>24.18</v>
      </c>
      <c r="M48" s="64">
        <v>49.24</v>
      </c>
      <c r="N48" s="64">
        <v>502</v>
      </c>
      <c r="O48" s="64">
        <v>0</v>
      </c>
      <c r="P48" s="64">
        <v>0.9</v>
      </c>
      <c r="Q48" s="64">
        <v>9.68</v>
      </c>
      <c r="R48" s="198"/>
      <c r="S48" s="198"/>
      <c r="T48" s="198"/>
      <c r="U48" s="198"/>
    </row>
    <row r="49" spans="1:21" s="12" customFormat="1" x14ac:dyDescent="0.25">
      <c r="A49" s="213" t="s">
        <v>476</v>
      </c>
      <c r="B49" s="64">
        <v>35.29</v>
      </c>
      <c r="C49" s="64">
        <v>56.09</v>
      </c>
      <c r="D49" s="64">
        <v>56.23</v>
      </c>
      <c r="E49" s="64">
        <v>6.71</v>
      </c>
      <c r="F49" s="64">
        <v>2.13</v>
      </c>
      <c r="G49" s="64">
        <v>94.39</v>
      </c>
      <c r="H49" s="64">
        <v>21.57</v>
      </c>
      <c r="I49" s="210" t="s">
        <v>43</v>
      </c>
      <c r="J49" s="64">
        <v>1.29</v>
      </c>
      <c r="K49" s="64">
        <v>120.62</v>
      </c>
      <c r="L49" s="64">
        <v>24.72</v>
      </c>
      <c r="M49" s="64">
        <v>48.11</v>
      </c>
      <c r="N49" s="64">
        <v>512.20000000000005</v>
      </c>
      <c r="O49" s="64">
        <v>0</v>
      </c>
      <c r="P49" s="64">
        <v>0.88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3" t="s">
        <v>477</v>
      </c>
      <c r="B50" s="64">
        <v>32.68</v>
      </c>
      <c r="C50" s="64">
        <v>57.01</v>
      </c>
      <c r="D50" s="64">
        <v>54.62</v>
      </c>
      <c r="E50" s="64">
        <v>6.88</v>
      </c>
      <c r="F50" s="64">
        <v>2.13</v>
      </c>
      <c r="G50" s="64">
        <v>94.39</v>
      </c>
      <c r="H50" s="64">
        <v>21.57</v>
      </c>
      <c r="I50" s="210" t="s">
        <v>43</v>
      </c>
      <c r="J50" s="64">
        <v>0.93</v>
      </c>
      <c r="K50" s="64">
        <v>104.95</v>
      </c>
      <c r="L50" s="64">
        <v>25.87</v>
      </c>
      <c r="M50" s="64">
        <v>45.16</v>
      </c>
      <c r="N50" s="64">
        <v>520.9</v>
      </c>
      <c r="O50" s="64">
        <v>0</v>
      </c>
      <c r="P50" s="64">
        <v>0.87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3" t="s">
        <v>478</v>
      </c>
      <c r="B51" s="64">
        <v>30.21</v>
      </c>
      <c r="C51" s="64">
        <v>57.78</v>
      </c>
      <c r="D51" s="64">
        <v>53.04</v>
      </c>
      <c r="E51" s="64">
        <v>6.58</v>
      </c>
      <c r="F51" s="64">
        <v>2.13</v>
      </c>
      <c r="G51" s="64">
        <v>94.39</v>
      </c>
      <c r="H51" s="64">
        <v>21.57</v>
      </c>
      <c r="I51" s="210" t="s">
        <v>43</v>
      </c>
      <c r="J51" s="64">
        <v>1.0900000000000001</v>
      </c>
      <c r="K51" s="64">
        <v>126.7</v>
      </c>
      <c r="L51" s="64">
        <v>26.13</v>
      </c>
      <c r="M51" s="64">
        <v>43.47</v>
      </c>
      <c r="N51" s="64">
        <v>540.4</v>
      </c>
      <c r="O51" s="64">
        <v>0</v>
      </c>
      <c r="P51" s="64">
        <v>0.83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3" t="s">
        <v>479</v>
      </c>
      <c r="B52" s="64">
        <v>27.76</v>
      </c>
      <c r="C52" s="64">
        <v>58.34</v>
      </c>
      <c r="D52" s="64">
        <v>51.37</v>
      </c>
      <c r="E52" s="64">
        <v>6.81</v>
      </c>
      <c r="F52" s="64">
        <v>2.13</v>
      </c>
      <c r="G52" s="64">
        <v>92.24</v>
      </c>
      <c r="H52" s="64">
        <v>37.57</v>
      </c>
      <c r="I52" s="210" t="s">
        <v>43</v>
      </c>
      <c r="J52" s="64">
        <v>0.81</v>
      </c>
      <c r="K52" s="64">
        <v>122.95</v>
      </c>
      <c r="L52" s="64">
        <v>27.15</v>
      </c>
      <c r="M52" s="64">
        <v>40.840000000000003</v>
      </c>
      <c r="N52" s="64">
        <v>556.29999999999995</v>
      </c>
      <c r="O52" s="64">
        <v>0</v>
      </c>
      <c r="P52" s="64">
        <v>0.8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3" t="s">
        <v>480</v>
      </c>
      <c r="B53" s="64">
        <v>25.52</v>
      </c>
      <c r="C53" s="64">
        <v>58.57</v>
      </c>
      <c r="D53" s="64">
        <v>49.69</v>
      </c>
      <c r="E53" s="64">
        <v>6.62</v>
      </c>
      <c r="F53" s="64">
        <v>2.13</v>
      </c>
      <c r="G53" s="64">
        <v>89.68</v>
      </c>
      <c r="H53" s="64">
        <v>56.69</v>
      </c>
      <c r="I53" s="210" t="s">
        <v>43</v>
      </c>
      <c r="J53" s="64">
        <v>0.25</v>
      </c>
      <c r="K53" s="64">
        <v>139.38999999999999</v>
      </c>
      <c r="L53" s="64">
        <v>28.42</v>
      </c>
      <c r="M53" s="64">
        <v>38.22</v>
      </c>
      <c r="N53" s="64">
        <v>557.79999999999995</v>
      </c>
      <c r="O53" s="64">
        <v>0</v>
      </c>
      <c r="P53" s="64">
        <v>0.81</v>
      </c>
      <c r="Q53" s="64">
        <v>9.59</v>
      </c>
      <c r="R53" s="198"/>
      <c r="S53" s="198"/>
      <c r="T53" s="198"/>
      <c r="U53" s="198"/>
    </row>
    <row r="54" spans="1:21" s="12" customFormat="1" x14ac:dyDescent="0.25">
      <c r="A54" s="213" t="s">
        <v>481</v>
      </c>
      <c r="B54" s="64">
        <v>23.36</v>
      </c>
      <c r="C54" s="64">
        <v>59</v>
      </c>
      <c r="D54" s="64">
        <v>48.19</v>
      </c>
      <c r="E54" s="64">
        <v>6.58</v>
      </c>
      <c r="F54" s="64">
        <v>2.13</v>
      </c>
      <c r="G54" s="64">
        <v>89.68</v>
      </c>
      <c r="H54" s="64">
        <v>56.69</v>
      </c>
      <c r="I54" s="210" t="s">
        <v>43</v>
      </c>
      <c r="J54" s="64">
        <v>0.32</v>
      </c>
      <c r="K54" s="64">
        <v>216.33</v>
      </c>
      <c r="L54" s="64">
        <v>29.19</v>
      </c>
      <c r="M54" s="64">
        <v>35.19</v>
      </c>
      <c r="N54" s="64">
        <v>569.6</v>
      </c>
      <c r="O54" s="64">
        <v>0</v>
      </c>
      <c r="P54" s="64">
        <v>0.82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13" t="s">
        <v>482</v>
      </c>
      <c r="B55" s="64">
        <v>20.28</v>
      </c>
      <c r="C55" s="64">
        <v>59.98</v>
      </c>
      <c r="D55" s="64">
        <v>46.23</v>
      </c>
      <c r="E55" s="64">
        <v>6.92</v>
      </c>
      <c r="F55" s="64">
        <v>2.13</v>
      </c>
      <c r="G55" s="64">
        <v>89.68</v>
      </c>
      <c r="H55" s="64">
        <v>56.69</v>
      </c>
      <c r="I55" s="210" t="s">
        <v>43</v>
      </c>
      <c r="J55" s="64">
        <v>0.47</v>
      </c>
      <c r="K55" s="64">
        <v>336.06</v>
      </c>
      <c r="L55" s="64">
        <v>30.16</v>
      </c>
      <c r="M55" s="64">
        <v>33.61</v>
      </c>
      <c r="N55" s="64">
        <v>566.20000000000005</v>
      </c>
      <c r="O55" s="64">
        <v>0</v>
      </c>
      <c r="P55" s="64">
        <v>0.79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3" t="s">
        <v>483</v>
      </c>
      <c r="B56" s="64">
        <v>16.600000000000001</v>
      </c>
      <c r="C56" s="64">
        <v>62.94</v>
      </c>
      <c r="D56" s="64">
        <v>44.82</v>
      </c>
      <c r="E56" s="64">
        <v>6.67</v>
      </c>
      <c r="F56" s="64">
        <v>2.13</v>
      </c>
      <c r="G56" s="64">
        <v>85.63</v>
      </c>
      <c r="H56" s="64">
        <v>47.54</v>
      </c>
      <c r="I56" s="210" t="s">
        <v>43</v>
      </c>
      <c r="J56" s="64">
        <v>0.75</v>
      </c>
      <c r="K56" s="64">
        <v>331.87</v>
      </c>
      <c r="L56" s="64">
        <v>31.81</v>
      </c>
      <c r="M56" s="64">
        <v>31.08</v>
      </c>
      <c r="N56" s="64">
        <v>567.29999999999995</v>
      </c>
      <c r="O56" s="64">
        <v>0</v>
      </c>
      <c r="P56" s="64">
        <v>0.78</v>
      </c>
      <c r="Q56" s="64">
        <v>9.58</v>
      </c>
      <c r="R56" s="198"/>
      <c r="S56" s="198"/>
      <c r="T56" s="198"/>
      <c r="U56" s="198"/>
    </row>
    <row r="57" spans="1:21" s="12" customFormat="1" x14ac:dyDescent="0.25">
      <c r="A57" s="213" t="s">
        <v>484</v>
      </c>
      <c r="B57" s="64">
        <v>13.89</v>
      </c>
      <c r="C57" s="64">
        <v>65.38</v>
      </c>
      <c r="D57" s="64">
        <v>43.92</v>
      </c>
      <c r="E57" s="64">
        <v>6.6</v>
      </c>
      <c r="F57" s="64">
        <v>2.13</v>
      </c>
      <c r="G57" s="64">
        <v>80.8</v>
      </c>
      <c r="H57" s="64">
        <v>36.6</v>
      </c>
      <c r="I57" s="210" t="s">
        <v>43</v>
      </c>
      <c r="J57" s="64">
        <v>1.08</v>
      </c>
      <c r="K57" s="64">
        <v>345.09</v>
      </c>
      <c r="L57" s="64">
        <v>32.159999999999997</v>
      </c>
      <c r="M57" s="64">
        <v>30.62</v>
      </c>
      <c r="N57" s="64">
        <v>562</v>
      </c>
      <c r="O57" s="64">
        <v>0</v>
      </c>
      <c r="P57" s="64">
        <v>0.79</v>
      </c>
      <c r="Q57" s="64">
        <v>9.5500000000000007</v>
      </c>
      <c r="R57" s="198"/>
      <c r="S57" s="198"/>
      <c r="T57" s="198"/>
      <c r="U57" s="198"/>
    </row>
    <row r="58" spans="1:21" s="12" customFormat="1" x14ac:dyDescent="0.25">
      <c r="A58" s="213" t="s">
        <v>485</v>
      </c>
      <c r="B58" s="64">
        <v>11.28</v>
      </c>
      <c r="C58" s="64">
        <v>66.64</v>
      </c>
      <c r="D58" s="64">
        <v>42.48</v>
      </c>
      <c r="E58" s="64">
        <v>6.43</v>
      </c>
      <c r="F58" s="64">
        <v>2.13</v>
      </c>
      <c r="G58" s="64">
        <v>80.8</v>
      </c>
      <c r="H58" s="64">
        <v>36.6</v>
      </c>
      <c r="I58" s="210" t="s">
        <v>43</v>
      </c>
      <c r="J58" s="64">
        <v>0.59</v>
      </c>
      <c r="K58" s="64">
        <v>321.06</v>
      </c>
      <c r="L58" s="64">
        <v>31.57</v>
      </c>
      <c r="M58" s="64">
        <v>31.21</v>
      </c>
      <c r="N58" s="64">
        <v>550.1</v>
      </c>
      <c r="O58" s="64">
        <v>0</v>
      </c>
      <c r="P58" s="64">
        <v>0.78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13" t="s">
        <v>486</v>
      </c>
      <c r="B59" s="64">
        <v>8.65</v>
      </c>
      <c r="C59" s="64">
        <v>68.52</v>
      </c>
      <c r="D59" s="64">
        <v>41.36</v>
      </c>
      <c r="E59" s="64">
        <v>6.26</v>
      </c>
      <c r="F59" s="64">
        <v>2.13</v>
      </c>
      <c r="G59" s="64">
        <v>80.8</v>
      </c>
      <c r="H59" s="64">
        <v>36.6</v>
      </c>
      <c r="I59" s="210" t="s">
        <v>43</v>
      </c>
      <c r="J59" s="64">
        <v>1.26</v>
      </c>
      <c r="K59" s="64">
        <v>346.62</v>
      </c>
      <c r="L59" s="64">
        <v>31.66</v>
      </c>
      <c r="M59" s="64">
        <v>31.46</v>
      </c>
      <c r="N59" s="64">
        <v>539.6</v>
      </c>
      <c r="O59" s="64">
        <v>0</v>
      </c>
      <c r="P59" s="64">
        <v>0.78</v>
      </c>
      <c r="Q59" s="64">
        <v>9.5299999999999994</v>
      </c>
      <c r="R59" s="198"/>
      <c r="S59" s="198"/>
      <c r="T59" s="198"/>
      <c r="U59" s="198"/>
    </row>
    <row r="60" spans="1:21" s="12" customFormat="1" x14ac:dyDescent="0.25">
      <c r="A60" s="213" t="s">
        <v>487</v>
      </c>
      <c r="B60" s="64">
        <v>6.82</v>
      </c>
      <c r="C60" s="64">
        <v>69.55</v>
      </c>
      <c r="D60" s="64">
        <v>40.43</v>
      </c>
      <c r="E60" s="64">
        <v>6.4</v>
      </c>
      <c r="F60" s="64">
        <v>2.13</v>
      </c>
      <c r="G60" s="64">
        <v>79.13</v>
      </c>
      <c r="H60" s="64">
        <v>38.43</v>
      </c>
      <c r="I60" s="210" t="s">
        <v>43</v>
      </c>
      <c r="J60" s="64">
        <v>0.51</v>
      </c>
      <c r="K60" s="64">
        <v>276.24</v>
      </c>
      <c r="L60" s="64">
        <v>31.71</v>
      </c>
      <c r="M60" s="64">
        <v>30.56</v>
      </c>
      <c r="N60" s="64">
        <v>529.5</v>
      </c>
      <c r="O60" s="64">
        <v>0</v>
      </c>
      <c r="P60" s="64">
        <v>0.77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13" t="s">
        <v>488</v>
      </c>
      <c r="B61" s="64">
        <v>5.04</v>
      </c>
      <c r="C61" s="64">
        <v>69.47</v>
      </c>
      <c r="D61" s="64">
        <v>38.96</v>
      </c>
      <c r="E61" s="64">
        <v>6.43</v>
      </c>
      <c r="F61" s="64">
        <v>2.13</v>
      </c>
      <c r="G61" s="64">
        <v>77.12</v>
      </c>
      <c r="H61" s="64">
        <v>40.619999999999997</v>
      </c>
      <c r="I61" s="210" t="s">
        <v>43</v>
      </c>
      <c r="J61" s="64">
        <v>0.37</v>
      </c>
      <c r="K61" s="64">
        <v>327.08</v>
      </c>
      <c r="L61" s="64">
        <v>30.3</v>
      </c>
      <c r="M61" s="64">
        <v>33.33</v>
      </c>
      <c r="N61" s="64">
        <v>499.9</v>
      </c>
      <c r="O61" s="64">
        <v>0</v>
      </c>
      <c r="P61" s="64">
        <v>0.73</v>
      </c>
      <c r="Q61" s="64">
        <v>9.52</v>
      </c>
      <c r="R61" s="198"/>
      <c r="S61" s="198"/>
      <c r="T61" s="198"/>
      <c r="U61" s="198"/>
    </row>
    <row r="62" spans="1:21" s="12" customFormat="1" x14ac:dyDescent="0.25">
      <c r="A62" s="213" t="s">
        <v>489</v>
      </c>
      <c r="B62" s="64">
        <v>4</v>
      </c>
      <c r="C62" s="64">
        <v>69.040000000000006</v>
      </c>
      <c r="D62" s="64">
        <v>37.909999999999997</v>
      </c>
      <c r="E62" s="64">
        <v>6.97</v>
      </c>
      <c r="F62" s="64">
        <v>2.19</v>
      </c>
      <c r="G62" s="64">
        <v>77.12</v>
      </c>
      <c r="H62" s="64">
        <v>40.619999999999997</v>
      </c>
      <c r="I62" s="210" t="s">
        <v>43</v>
      </c>
      <c r="J62" s="64">
        <v>0.73</v>
      </c>
      <c r="K62" s="64">
        <v>293.57</v>
      </c>
      <c r="L62" s="64">
        <v>31.57</v>
      </c>
      <c r="M62" s="64">
        <v>30.34</v>
      </c>
      <c r="N62" s="64">
        <v>512.5</v>
      </c>
      <c r="O62" s="64">
        <v>0</v>
      </c>
      <c r="P62" s="64">
        <v>0.75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3" t="s">
        <v>490</v>
      </c>
      <c r="B63" s="64">
        <v>3.63</v>
      </c>
      <c r="C63" s="64">
        <v>67.66</v>
      </c>
      <c r="D63" s="64">
        <v>36.880000000000003</v>
      </c>
      <c r="E63" s="64">
        <v>6.31</v>
      </c>
      <c r="F63" s="64">
        <v>2.17</v>
      </c>
      <c r="G63" s="64">
        <v>77.12</v>
      </c>
      <c r="H63" s="64">
        <v>40.619999999999997</v>
      </c>
      <c r="I63" s="210" t="s">
        <v>43</v>
      </c>
      <c r="J63" s="64">
        <v>0.69</v>
      </c>
      <c r="K63" s="64">
        <v>315.38</v>
      </c>
      <c r="L63" s="64">
        <v>32.270000000000003</v>
      </c>
      <c r="M63" s="64">
        <v>29.66</v>
      </c>
      <c r="N63" s="64">
        <v>349.7</v>
      </c>
      <c r="O63" s="64">
        <v>0</v>
      </c>
      <c r="P63" s="64">
        <v>0.71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3" t="s">
        <v>491</v>
      </c>
      <c r="B64" s="64">
        <v>3.54</v>
      </c>
      <c r="C64" s="64">
        <v>64.37</v>
      </c>
      <c r="D64" s="64">
        <v>35.090000000000003</v>
      </c>
      <c r="E64" s="64">
        <v>6.59</v>
      </c>
      <c r="F64" s="64">
        <v>2.2200000000000002</v>
      </c>
      <c r="G64" s="64">
        <v>77.78</v>
      </c>
      <c r="H64" s="64">
        <v>33.979999999999997</v>
      </c>
      <c r="I64" s="210" t="s">
        <v>43</v>
      </c>
      <c r="J64" s="64">
        <v>0.56000000000000005</v>
      </c>
      <c r="K64" s="64">
        <v>253.66</v>
      </c>
      <c r="L64" s="64">
        <v>30.32</v>
      </c>
      <c r="M64" s="64">
        <v>32.36</v>
      </c>
      <c r="N64" s="64">
        <v>435.3</v>
      </c>
      <c r="O64" s="64">
        <v>0</v>
      </c>
      <c r="P64" s="64">
        <v>0.69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13" t="s">
        <v>492</v>
      </c>
      <c r="B65" s="64">
        <v>3.43</v>
      </c>
      <c r="C65" s="64">
        <v>63.98</v>
      </c>
      <c r="D65" s="64">
        <v>34.799999999999997</v>
      </c>
      <c r="E65" s="64">
        <v>5.98</v>
      </c>
      <c r="F65" s="64">
        <v>2.27</v>
      </c>
      <c r="G65" s="64">
        <v>78.569999999999993</v>
      </c>
      <c r="H65" s="64">
        <v>26.05</v>
      </c>
      <c r="I65" s="210" t="s">
        <v>43</v>
      </c>
      <c r="J65" s="64">
        <v>0.94</v>
      </c>
      <c r="K65" s="64">
        <v>322.86</v>
      </c>
      <c r="L65" s="64">
        <v>30.8</v>
      </c>
      <c r="M65" s="64">
        <v>32.049999999999997</v>
      </c>
      <c r="N65" s="64">
        <v>415.8</v>
      </c>
      <c r="O65" s="64">
        <v>0</v>
      </c>
      <c r="P65" s="64">
        <v>0.76</v>
      </c>
      <c r="Q65" s="64">
        <v>9.49</v>
      </c>
      <c r="R65" s="198"/>
      <c r="S65" s="198"/>
      <c r="T65" s="198"/>
      <c r="U65" s="198"/>
    </row>
    <row r="66" spans="1:21" s="12" customFormat="1" x14ac:dyDescent="0.25">
      <c r="A66" s="213" t="s">
        <v>493</v>
      </c>
      <c r="B66" s="64">
        <v>3.67</v>
      </c>
      <c r="C66" s="64">
        <v>63.34</v>
      </c>
      <c r="D66" s="64">
        <v>34.659999999999997</v>
      </c>
      <c r="E66" s="64">
        <v>5.96</v>
      </c>
      <c r="F66" s="64">
        <v>2.36</v>
      </c>
      <c r="G66" s="64">
        <v>78.569999999999993</v>
      </c>
      <c r="H66" s="64">
        <v>26.05</v>
      </c>
      <c r="I66" s="210" t="s">
        <v>43</v>
      </c>
      <c r="J66" s="64">
        <v>0.53</v>
      </c>
      <c r="K66" s="64">
        <v>323.93</v>
      </c>
      <c r="L66" s="64">
        <v>30.58</v>
      </c>
      <c r="M66" s="64">
        <v>31.92</v>
      </c>
      <c r="N66" s="64">
        <v>319.60000000000002</v>
      </c>
      <c r="O66" s="64">
        <v>0</v>
      </c>
      <c r="P66" s="64">
        <v>0.74</v>
      </c>
      <c r="Q66" s="64">
        <v>9.48</v>
      </c>
      <c r="R66" s="198"/>
      <c r="S66" s="198"/>
      <c r="T66" s="198"/>
      <c r="U66" s="198"/>
    </row>
    <row r="67" spans="1:21" s="12" customFormat="1" x14ac:dyDescent="0.25">
      <c r="A67" s="213" t="s">
        <v>494</v>
      </c>
      <c r="B67" s="64">
        <v>4.1100000000000003</v>
      </c>
      <c r="C67" s="64">
        <v>63.23</v>
      </c>
      <c r="D67" s="64">
        <v>34.96</v>
      </c>
      <c r="E67" s="64">
        <v>6.04</v>
      </c>
      <c r="F67" s="64">
        <v>2.13</v>
      </c>
      <c r="G67" s="64">
        <v>78.569999999999993</v>
      </c>
      <c r="H67" s="64">
        <v>26.05</v>
      </c>
      <c r="I67" s="210" t="s">
        <v>43</v>
      </c>
      <c r="J67" s="64">
        <v>0.74</v>
      </c>
      <c r="K67" s="64">
        <v>316.10000000000002</v>
      </c>
      <c r="L67" s="64">
        <v>30.6</v>
      </c>
      <c r="M67" s="64">
        <v>31.48</v>
      </c>
      <c r="N67" s="64">
        <v>216.5</v>
      </c>
      <c r="O67" s="64">
        <v>0</v>
      </c>
      <c r="P67" s="64">
        <v>0.73</v>
      </c>
      <c r="Q67" s="64">
        <v>9.4700000000000006</v>
      </c>
      <c r="R67" s="198"/>
      <c r="S67" s="198"/>
      <c r="T67" s="198"/>
      <c r="U67" s="198"/>
    </row>
    <row r="68" spans="1:21" s="12" customFormat="1" x14ac:dyDescent="0.25">
      <c r="A68" s="213" t="s">
        <v>495</v>
      </c>
      <c r="B68" s="64">
        <v>4.2699999999999996</v>
      </c>
      <c r="C68" s="64">
        <v>62.92</v>
      </c>
      <c r="D68" s="64">
        <v>34.92</v>
      </c>
      <c r="E68" s="64">
        <v>6.08</v>
      </c>
      <c r="F68" s="64">
        <v>2.14</v>
      </c>
      <c r="G68" s="64">
        <v>76.69</v>
      </c>
      <c r="H68" s="64">
        <v>15.68</v>
      </c>
      <c r="I68" s="210" t="s">
        <v>43</v>
      </c>
      <c r="J68" s="64">
        <v>1.41</v>
      </c>
      <c r="K68" s="64">
        <v>319.73</v>
      </c>
      <c r="L68" s="64">
        <v>30.36</v>
      </c>
      <c r="M68" s="64">
        <v>31.29</v>
      </c>
      <c r="N68" s="64">
        <v>202.1</v>
      </c>
      <c r="O68" s="64">
        <v>0</v>
      </c>
      <c r="P68" s="64">
        <v>0.71</v>
      </c>
      <c r="Q68" s="64">
        <v>9.4600000000000009</v>
      </c>
      <c r="R68" s="198"/>
      <c r="S68" s="198"/>
      <c r="T68" s="198"/>
      <c r="U68" s="198"/>
    </row>
    <row r="69" spans="1:21" s="12" customFormat="1" x14ac:dyDescent="0.25">
      <c r="A69" s="213" t="s">
        <v>496</v>
      </c>
      <c r="B69" s="64">
        <v>4.1900000000000004</v>
      </c>
      <c r="C69" s="64">
        <v>62.1</v>
      </c>
      <c r="D69" s="64">
        <v>34.43</v>
      </c>
      <c r="E69" s="64">
        <v>5.99</v>
      </c>
      <c r="F69" s="64">
        <v>2.14</v>
      </c>
      <c r="G69" s="64">
        <v>74.44</v>
      </c>
      <c r="H69" s="64">
        <v>3.29</v>
      </c>
      <c r="I69" s="210" t="s">
        <v>43</v>
      </c>
      <c r="J69" s="64">
        <v>0.88</v>
      </c>
      <c r="K69" s="64">
        <v>309.95999999999998</v>
      </c>
      <c r="L69" s="64">
        <v>30.16</v>
      </c>
      <c r="M69" s="64">
        <v>30.47</v>
      </c>
      <c r="N69" s="64">
        <v>198.3</v>
      </c>
      <c r="O69" s="64">
        <v>0</v>
      </c>
      <c r="P69" s="64">
        <v>0.7</v>
      </c>
      <c r="Q69" s="64">
        <v>9.51</v>
      </c>
      <c r="R69" s="198"/>
      <c r="S69" s="198"/>
      <c r="T69" s="198"/>
      <c r="U69" s="198"/>
    </row>
    <row r="70" spans="1:21" s="12" customFormat="1" x14ac:dyDescent="0.25">
      <c r="A70" s="213" t="s">
        <v>497</v>
      </c>
      <c r="B70" s="64">
        <v>4.07</v>
      </c>
      <c r="C70" s="64">
        <v>61.41</v>
      </c>
      <c r="D70" s="64">
        <v>33.97</v>
      </c>
      <c r="E70" s="64">
        <v>6</v>
      </c>
      <c r="F70" s="64">
        <v>2.3199999999999998</v>
      </c>
      <c r="G70" s="64">
        <v>74.44</v>
      </c>
      <c r="H70" s="64">
        <v>3.29</v>
      </c>
      <c r="I70" s="210" t="s">
        <v>43</v>
      </c>
      <c r="J70" s="64">
        <v>1.33</v>
      </c>
      <c r="K70" s="64">
        <v>324.42</v>
      </c>
      <c r="L70" s="64">
        <v>29.99</v>
      </c>
      <c r="M70" s="64">
        <v>31.2</v>
      </c>
      <c r="N70" s="64">
        <v>197.4</v>
      </c>
      <c r="O70" s="64">
        <v>0</v>
      </c>
      <c r="P70" s="64">
        <v>0.72</v>
      </c>
      <c r="Q70" s="64">
        <v>9.5399999999999991</v>
      </c>
      <c r="R70" s="198"/>
      <c r="S70" s="198"/>
      <c r="T70" s="198"/>
      <c r="U70" s="198"/>
    </row>
    <row r="71" spans="1:21" s="12" customFormat="1" x14ac:dyDescent="0.25">
      <c r="A71" s="213" t="s">
        <v>498</v>
      </c>
      <c r="B71" s="64">
        <v>3.99</v>
      </c>
      <c r="C71" s="64">
        <v>61.42</v>
      </c>
      <c r="D71" s="64">
        <v>33.92</v>
      </c>
      <c r="E71" s="64">
        <v>6.17</v>
      </c>
      <c r="F71" s="64">
        <v>2.19</v>
      </c>
      <c r="G71" s="64">
        <v>74.44</v>
      </c>
      <c r="H71" s="64">
        <v>3.29</v>
      </c>
      <c r="I71" s="210" t="s">
        <v>43</v>
      </c>
      <c r="J71" s="64">
        <v>0.88</v>
      </c>
      <c r="K71" s="64">
        <v>302.79000000000002</v>
      </c>
      <c r="L71" s="64">
        <v>29.72</v>
      </c>
      <c r="M71" s="64">
        <v>31.15</v>
      </c>
      <c r="N71" s="64">
        <v>150.19999999999999</v>
      </c>
      <c r="O71" s="64">
        <v>0</v>
      </c>
      <c r="P71" s="64">
        <v>0.72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3" t="s">
        <v>499</v>
      </c>
      <c r="B72" s="64">
        <v>3.8</v>
      </c>
      <c r="C72" s="64">
        <v>61.34</v>
      </c>
      <c r="D72" s="64">
        <v>33.72</v>
      </c>
      <c r="E72" s="64">
        <v>6.44</v>
      </c>
      <c r="F72" s="64">
        <v>2.17</v>
      </c>
      <c r="G72" s="64">
        <v>71.84</v>
      </c>
      <c r="H72" s="64">
        <v>25.97</v>
      </c>
      <c r="I72" s="210" t="s">
        <v>43</v>
      </c>
      <c r="J72" s="64">
        <v>0.94</v>
      </c>
      <c r="K72" s="64">
        <v>308.08</v>
      </c>
      <c r="L72" s="64">
        <v>29.28</v>
      </c>
      <c r="M72" s="64">
        <v>31.22</v>
      </c>
      <c r="N72" s="64">
        <v>134</v>
      </c>
      <c r="O72" s="64">
        <v>0</v>
      </c>
      <c r="P72" s="64">
        <v>0.69</v>
      </c>
      <c r="Q72" s="64">
        <v>9.5399999999999991</v>
      </c>
      <c r="R72" s="198"/>
      <c r="S72" s="198"/>
      <c r="T72" s="198"/>
      <c r="U72" s="198"/>
    </row>
    <row r="73" spans="1:21" s="12" customFormat="1" x14ac:dyDescent="0.25">
      <c r="A73" s="213" t="s">
        <v>500</v>
      </c>
      <c r="B73" s="64">
        <v>3.69</v>
      </c>
      <c r="C73" s="64">
        <v>60.69</v>
      </c>
      <c r="D73" s="64">
        <v>33.29</v>
      </c>
      <c r="E73" s="64">
        <v>6.56</v>
      </c>
      <c r="F73" s="64">
        <v>2.4500000000000002</v>
      </c>
      <c r="G73" s="64">
        <v>68.739999999999995</v>
      </c>
      <c r="H73" s="64">
        <v>53.06</v>
      </c>
      <c r="I73" s="210" t="s">
        <v>43</v>
      </c>
      <c r="J73" s="64">
        <v>0.72</v>
      </c>
      <c r="K73" s="64">
        <v>297.02999999999997</v>
      </c>
      <c r="L73" s="64">
        <v>28.99</v>
      </c>
      <c r="M73" s="64">
        <v>31.17</v>
      </c>
      <c r="N73" s="64">
        <v>124.8</v>
      </c>
      <c r="O73" s="64">
        <v>0</v>
      </c>
      <c r="P73" s="64">
        <v>0.7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13" t="s">
        <v>501</v>
      </c>
      <c r="B74" s="64">
        <v>3.72</v>
      </c>
      <c r="C74" s="64">
        <v>61.89</v>
      </c>
      <c r="D74" s="64">
        <v>33.94</v>
      </c>
      <c r="E74" s="64">
        <v>6.24</v>
      </c>
      <c r="F74" s="64">
        <v>2.2400000000000002</v>
      </c>
      <c r="G74" s="64">
        <v>68.739999999999995</v>
      </c>
      <c r="H74" s="64">
        <v>53.06</v>
      </c>
      <c r="I74" s="210" t="s">
        <v>43</v>
      </c>
      <c r="J74" s="64">
        <v>1.49</v>
      </c>
      <c r="K74" s="64">
        <v>336.2</v>
      </c>
      <c r="L74" s="64">
        <v>28.64</v>
      </c>
      <c r="M74" s="64">
        <v>32.11</v>
      </c>
      <c r="N74" s="64">
        <v>118.4</v>
      </c>
      <c r="O74" s="64">
        <v>0</v>
      </c>
      <c r="P74" s="64">
        <v>0.73</v>
      </c>
      <c r="Q74" s="64">
        <v>9.52</v>
      </c>
      <c r="R74" s="198"/>
      <c r="S74" s="198"/>
      <c r="T74" s="198"/>
      <c r="U74" s="198"/>
    </row>
    <row r="75" spans="1:21" s="12" customFormat="1" x14ac:dyDescent="0.25">
      <c r="A75" s="213" t="s">
        <v>502</v>
      </c>
      <c r="B75" s="64">
        <v>3.9</v>
      </c>
      <c r="C75" s="64">
        <v>62.27</v>
      </c>
      <c r="D75" s="64">
        <v>34.29</v>
      </c>
      <c r="E75" s="64">
        <v>5.95</v>
      </c>
      <c r="F75" s="64">
        <v>2.13</v>
      </c>
      <c r="G75" s="64">
        <v>68.739999999999995</v>
      </c>
      <c r="H75" s="64">
        <v>53.06</v>
      </c>
      <c r="I75" s="210" t="s">
        <v>43</v>
      </c>
      <c r="J75" s="64">
        <v>1.23</v>
      </c>
      <c r="K75" s="64">
        <v>327.83</v>
      </c>
      <c r="L75" s="64">
        <v>28.39</v>
      </c>
      <c r="M75" s="64">
        <v>32.21</v>
      </c>
      <c r="N75" s="64">
        <v>110.7</v>
      </c>
      <c r="O75" s="64">
        <v>0</v>
      </c>
      <c r="P75" s="64">
        <v>0.78</v>
      </c>
      <c r="Q75" s="64">
        <v>9.5399999999999991</v>
      </c>
      <c r="R75" s="198"/>
      <c r="S75" s="198"/>
      <c r="T75" s="198"/>
      <c r="U75" s="198"/>
    </row>
    <row r="76" spans="1:21" s="12" customFormat="1" x14ac:dyDescent="0.25">
      <c r="A76" s="213" t="s">
        <v>503</v>
      </c>
      <c r="B76" s="64">
        <v>4.09</v>
      </c>
      <c r="C76" s="64">
        <v>62.4</v>
      </c>
      <c r="D76" s="64">
        <v>34.51</v>
      </c>
      <c r="E76" s="64">
        <v>6.2</v>
      </c>
      <c r="F76" s="64">
        <v>2.13</v>
      </c>
      <c r="G76" s="64">
        <v>66.260000000000005</v>
      </c>
      <c r="H76" s="64">
        <v>40.409999999999997</v>
      </c>
      <c r="I76" s="210" t="s">
        <v>43</v>
      </c>
      <c r="J76" s="64">
        <v>1.07</v>
      </c>
      <c r="K76" s="64">
        <v>327.71</v>
      </c>
      <c r="L76" s="64">
        <v>28.08</v>
      </c>
      <c r="M76" s="64">
        <v>33.729999999999997</v>
      </c>
      <c r="N76" s="64">
        <v>103.9</v>
      </c>
      <c r="O76" s="64">
        <v>0</v>
      </c>
      <c r="P76" s="64">
        <v>0.71</v>
      </c>
      <c r="Q76" s="64">
        <v>9.5399999999999991</v>
      </c>
      <c r="R76" s="198"/>
      <c r="S76" s="198"/>
      <c r="T76" s="198"/>
      <c r="U76" s="198"/>
    </row>
    <row r="77" spans="1:21" s="12" customFormat="1" x14ac:dyDescent="0.25">
      <c r="A77" s="213" t="s">
        <v>504</v>
      </c>
      <c r="B77" s="64">
        <v>4.42</v>
      </c>
      <c r="C77" s="64">
        <v>64.11</v>
      </c>
      <c r="D77" s="64">
        <v>35.659999999999997</v>
      </c>
      <c r="E77" s="64">
        <v>6.26</v>
      </c>
      <c r="F77" s="64">
        <v>2.13</v>
      </c>
      <c r="G77" s="64">
        <v>63.3</v>
      </c>
      <c r="H77" s="64">
        <v>25.28</v>
      </c>
      <c r="I77" s="210" t="s">
        <v>43</v>
      </c>
      <c r="J77" s="64">
        <v>1.01</v>
      </c>
      <c r="K77" s="64">
        <v>342.26</v>
      </c>
      <c r="L77" s="64">
        <v>27.52</v>
      </c>
      <c r="M77" s="64">
        <v>35.31</v>
      </c>
      <c r="N77" s="64">
        <v>96.2</v>
      </c>
      <c r="O77" s="64">
        <v>0</v>
      </c>
      <c r="P77" s="64">
        <v>0.87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3" t="s">
        <v>505</v>
      </c>
      <c r="B78" s="64">
        <v>5.39</v>
      </c>
      <c r="C78" s="64">
        <v>65.37</v>
      </c>
      <c r="D78" s="64">
        <v>37.1</v>
      </c>
      <c r="E78" s="64">
        <v>6.58</v>
      </c>
      <c r="F78" s="64">
        <v>2.13</v>
      </c>
      <c r="G78" s="64">
        <v>63.3</v>
      </c>
      <c r="H78" s="64">
        <v>25.28</v>
      </c>
      <c r="I78" s="210" t="s">
        <v>43</v>
      </c>
      <c r="J78" s="64">
        <v>0.65</v>
      </c>
      <c r="K78" s="64">
        <v>342.84</v>
      </c>
      <c r="L78" s="64">
        <v>26.72</v>
      </c>
      <c r="M78" s="64">
        <v>37.81</v>
      </c>
      <c r="N78" s="64">
        <v>89.1</v>
      </c>
      <c r="O78" s="64">
        <v>0</v>
      </c>
      <c r="P78" s="64">
        <v>1.1599999999999999</v>
      </c>
      <c r="Q78" s="64">
        <v>9.5500000000000007</v>
      </c>
      <c r="R78" s="198"/>
      <c r="S78" s="198"/>
      <c r="T78" s="198"/>
      <c r="U78" s="198"/>
    </row>
    <row r="79" spans="1:21" s="12" customFormat="1" x14ac:dyDescent="0.25">
      <c r="A79" s="213" t="s">
        <v>506</v>
      </c>
      <c r="B79" s="64">
        <v>6.22</v>
      </c>
      <c r="C79" s="64">
        <v>67.33</v>
      </c>
      <c r="D79" s="64">
        <v>38.79</v>
      </c>
      <c r="E79" s="64">
        <v>6.35</v>
      </c>
      <c r="F79" s="64">
        <v>2.13</v>
      </c>
      <c r="G79" s="64">
        <v>63.3</v>
      </c>
      <c r="H79" s="64">
        <v>25.28</v>
      </c>
      <c r="I79" s="210" t="s">
        <v>43</v>
      </c>
      <c r="J79" s="64">
        <v>0.61</v>
      </c>
      <c r="K79" s="64">
        <v>310.68</v>
      </c>
      <c r="L79" s="64">
        <v>25.84</v>
      </c>
      <c r="M79" s="64">
        <v>38.700000000000003</v>
      </c>
      <c r="N79" s="64">
        <v>83</v>
      </c>
      <c r="O79" s="64">
        <v>0</v>
      </c>
      <c r="P79" s="64">
        <v>0.88</v>
      </c>
      <c r="Q79" s="64">
        <v>9.5500000000000007</v>
      </c>
      <c r="R79" s="198"/>
      <c r="S79" s="198"/>
      <c r="T79" s="198"/>
      <c r="U79" s="198"/>
    </row>
    <row r="80" spans="1:21" s="12" customFormat="1" x14ac:dyDescent="0.25">
      <c r="A80" s="213" t="s">
        <v>507</v>
      </c>
      <c r="B80" s="64">
        <v>7.14</v>
      </c>
      <c r="C80" s="64">
        <v>68.430000000000007</v>
      </c>
      <c r="D80" s="64">
        <v>40.1</v>
      </c>
      <c r="E80" s="64">
        <v>6.45</v>
      </c>
      <c r="F80" s="64">
        <v>2.13</v>
      </c>
      <c r="G80" s="64">
        <v>67.010000000000005</v>
      </c>
      <c r="H80" s="64">
        <v>24.65</v>
      </c>
      <c r="I80" s="210" t="s">
        <v>43</v>
      </c>
      <c r="J80" s="64">
        <v>0.59</v>
      </c>
      <c r="K80" s="64">
        <v>299.93</v>
      </c>
      <c r="L80" s="64">
        <v>24.9</v>
      </c>
      <c r="M80" s="64">
        <v>44.28</v>
      </c>
      <c r="N80" s="64">
        <v>79.3</v>
      </c>
      <c r="O80" s="64">
        <v>0</v>
      </c>
      <c r="P80" s="64">
        <v>1.1000000000000001</v>
      </c>
      <c r="Q80" s="64">
        <v>9.57</v>
      </c>
      <c r="R80" s="198"/>
      <c r="S80" s="198"/>
      <c r="T80" s="198"/>
      <c r="U80" s="198"/>
    </row>
    <row r="81" spans="1:26" s="12" customFormat="1" x14ac:dyDescent="0.25">
      <c r="A81" s="213" t="s">
        <v>508</v>
      </c>
      <c r="B81" s="64">
        <v>9.33</v>
      </c>
      <c r="C81" s="64">
        <v>67.14</v>
      </c>
      <c r="D81" s="64">
        <v>41.18</v>
      </c>
      <c r="E81" s="64">
        <v>6.06</v>
      </c>
      <c r="F81" s="64">
        <v>2.13</v>
      </c>
      <c r="G81" s="64">
        <v>71.45</v>
      </c>
      <c r="H81" s="64">
        <v>23.89</v>
      </c>
      <c r="I81" s="210" t="s">
        <v>43</v>
      </c>
      <c r="J81" s="64">
        <v>0.52</v>
      </c>
      <c r="K81" s="64">
        <v>280.60000000000002</v>
      </c>
      <c r="L81" s="64">
        <v>24.09</v>
      </c>
      <c r="M81" s="64">
        <v>47.11</v>
      </c>
      <c r="N81" s="64">
        <v>77.7</v>
      </c>
      <c r="O81" s="64">
        <v>0</v>
      </c>
      <c r="P81" s="64">
        <v>1.1000000000000001</v>
      </c>
      <c r="Q81" s="64">
        <v>9.59</v>
      </c>
      <c r="R81" s="198"/>
      <c r="S81" s="198"/>
      <c r="T81" s="198"/>
      <c r="U81" s="198"/>
    </row>
    <row r="82" spans="1:26" s="12" customFormat="1" x14ac:dyDescent="0.25">
      <c r="A82" s="213" t="s">
        <v>509</v>
      </c>
      <c r="B82" s="64">
        <v>11.78</v>
      </c>
      <c r="C82" s="64">
        <v>68.06</v>
      </c>
      <c r="D82" s="64">
        <v>43.63</v>
      </c>
      <c r="E82" s="64">
        <v>6.13</v>
      </c>
      <c r="F82" s="64">
        <v>2.13</v>
      </c>
      <c r="G82" s="64">
        <v>71.45</v>
      </c>
      <c r="H82" s="64">
        <v>23.89</v>
      </c>
      <c r="I82" s="210" t="s">
        <v>43</v>
      </c>
      <c r="J82" s="64">
        <v>0.62</v>
      </c>
      <c r="K82" s="64">
        <v>288.87</v>
      </c>
      <c r="L82" s="64">
        <v>23.48</v>
      </c>
      <c r="M82" s="64">
        <v>50.32</v>
      </c>
      <c r="N82" s="64">
        <v>77.599999999999994</v>
      </c>
      <c r="O82" s="64">
        <v>0</v>
      </c>
      <c r="P82" s="64">
        <v>1.36</v>
      </c>
      <c r="Q82" s="64">
        <v>9.58</v>
      </c>
      <c r="R82" s="198"/>
      <c r="S82" s="198"/>
      <c r="T82" s="198"/>
      <c r="U82" s="198"/>
    </row>
    <row r="83" spans="1:26" s="12" customFormat="1" x14ac:dyDescent="0.25">
      <c r="A83" s="213" t="s">
        <v>510</v>
      </c>
      <c r="B83" s="64">
        <v>15.44</v>
      </c>
      <c r="C83" s="64">
        <v>68.569999999999993</v>
      </c>
      <c r="D83" s="64">
        <v>46.83</v>
      </c>
      <c r="E83" s="64">
        <v>6.39</v>
      </c>
      <c r="F83" s="64">
        <v>2.13</v>
      </c>
      <c r="G83" s="64">
        <v>71.45</v>
      </c>
      <c r="H83" s="64">
        <v>23.89</v>
      </c>
      <c r="I83" s="210" t="s">
        <v>43</v>
      </c>
      <c r="J83" s="64">
        <v>0.53</v>
      </c>
      <c r="K83" s="64">
        <v>180.58</v>
      </c>
      <c r="L83" s="64">
        <v>23.02</v>
      </c>
      <c r="M83" s="64">
        <v>52.26</v>
      </c>
      <c r="N83" s="64">
        <v>77.5</v>
      </c>
      <c r="O83" s="64">
        <v>0</v>
      </c>
      <c r="P83" s="64">
        <v>1.47</v>
      </c>
      <c r="Q83" s="64">
        <v>9.5500000000000007</v>
      </c>
      <c r="R83" s="198"/>
      <c r="S83" s="198"/>
      <c r="T83" s="198"/>
      <c r="U83" s="198"/>
    </row>
    <row r="84" spans="1:26" s="12" customFormat="1" x14ac:dyDescent="0.25">
      <c r="A84" s="213" t="s">
        <v>511</v>
      </c>
      <c r="B84" s="64">
        <v>20.02</v>
      </c>
      <c r="C84" s="64">
        <v>68.92</v>
      </c>
      <c r="D84" s="64">
        <v>50.68</v>
      </c>
      <c r="E84" s="64">
        <v>6.91</v>
      </c>
      <c r="F84" s="64">
        <v>2.13</v>
      </c>
      <c r="G84" s="64">
        <v>85.16</v>
      </c>
      <c r="H84" s="64">
        <v>27.53</v>
      </c>
      <c r="I84" s="210" t="s">
        <v>43</v>
      </c>
      <c r="J84" s="64">
        <v>0.23</v>
      </c>
      <c r="K84" s="64">
        <v>242.21</v>
      </c>
      <c r="L84" s="64">
        <v>22.62</v>
      </c>
      <c r="M84" s="64">
        <v>53.26</v>
      </c>
      <c r="N84" s="64">
        <v>77.400000000000006</v>
      </c>
      <c r="O84" s="64">
        <v>0</v>
      </c>
      <c r="P84" s="64">
        <v>1.61</v>
      </c>
      <c r="Q84" s="64">
        <v>9.56</v>
      </c>
      <c r="R84" s="198"/>
      <c r="S84" s="198"/>
      <c r="T84" s="198"/>
      <c r="U84" s="198"/>
    </row>
    <row r="85" spans="1:26" s="12" customFormat="1" x14ac:dyDescent="0.25">
      <c r="A85" s="213" t="s">
        <v>512</v>
      </c>
      <c r="B85" s="64">
        <v>25.73</v>
      </c>
      <c r="C85" s="64">
        <v>68.83</v>
      </c>
      <c r="D85" s="64">
        <v>55.22</v>
      </c>
      <c r="E85" s="64">
        <v>6.87</v>
      </c>
      <c r="F85" s="64">
        <v>2.13</v>
      </c>
      <c r="G85" s="64">
        <v>101.54</v>
      </c>
      <c r="H85" s="64">
        <v>31.89</v>
      </c>
      <c r="I85" s="210" t="s">
        <v>43</v>
      </c>
      <c r="J85" s="64">
        <v>0.28000000000000003</v>
      </c>
      <c r="K85" s="64">
        <v>232.93</v>
      </c>
      <c r="L85" s="64">
        <v>22.35</v>
      </c>
      <c r="M85" s="64">
        <v>56.61</v>
      </c>
      <c r="N85" s="64">
        <v>77.400000000000006</v>
      </c>
      <c r="O85" s="64">
        <v>0</v>
      </c>
      <c r="P85" s="64">
        <v>1.93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13" t="s">
        <v>513</v>
      </c>
      <c r="B86" s="64">
        <v>32.840000000000003</v>
      </c>
      <c r="C86" s="64">
        <v>68.7</v>
      </c>
      <c r="D86" s="64">
        <v>60.85</v>
      </c>
      <c r="E86" s="64">
        <v>7.58</v>
      </c>
      <c r="F86" s="64">
        <v>2.13</v>
      </c>
      <c r="G86" s="64">
        <v>101.54</v>
      </c>
      <c r="H86" s="64">
        <v>31.89</v>
      </c>
      <c r="I86" s="210" t="s">
        <v>43</v>
      </c>
      <c r="J86" s="64">
        <v>0.57999999999999996</v>
      </c>
      <c r="K86" s="64">
        <v>293.82</v>
      </c>
      <c r="L86" s="64">
        <v>22.16</v>
      </c>
      <c r="M86" s="64">
        <v>58.29</v>
      </c>
      <c r="N86" s="64">
        <v>77.2</v>
      </c>
      <c r="O86" s="64">
        <v>0</v>
      </c>
      <c r="P86" s="64">
        <v>2.34</v>
      </c>
      <c r="Q86" s="64">
        <v>9.57</v>
      </c>
      <c r="R86" s="198"/>
      <c r="S86" s="198"/>
      <c r="T86" s="198"/>
      <c r="U86" s="198"/>
    </row>
    <row r="87" spans="1:26" s="12" customFormat="1" x14ac:dyDescent="0.25">
      <c r="A87" s="213" t="s">
        <v>514</v>
      </c>
      <c r="B87" s="64">
        <v>40.07</v>
      </c>
      <c r="C87" s="64">
        <v>68.45</v>
      </c>
      <c r="D87" s="64">
        <v>66.52</v>
      </c>
      <c r="E87" s="64">
        <v>7.72</v>
      </c>
      <c r="F87" s="64">
        <v>2.13</v>
      </c>
      <c r="G87" s="64">
        <v>101.54</v>
      </c>
      <c r="H87" s="64">
        <v>31.89</v>
      </c>
      <c r="I87" s="210" t="s">
        <v>43</v>
      </c>
      <c r="J87" s="64">
        <v>0.43</v>
      </c>
      <c r="K87" s="64">
        <v>237.13</v>
      </c>
      <c r="L87" s="64">
        <v>22.38</v>
      </c>
      <c r="M87" s="64">
        <v>55.02</v>
      </c>
      <c r="N87" s="64">
        <v>76.7</v>
      </c>
      <c r="O87" s="64">
        <v>0</v>
      </c>
      <c r="P87" s="64">
        <v>1.54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3" t="s">
        <v>515</v>
      </c>
      <c r="B88" s="64">
        <v>43.29</v>
      </c>
      <c r="C88" s="64">
        <v>67.94</v>
      </c>
      <c r="D88" s="64">
        <v>68.83</v>
      </c>
      <c r="E88" s="64">
        <v>7.52</v>
      </c>
      <c r="F88" s="64">
        <v>2.13</v>
      </c>
      <c r="G88" s="64">
        <v>139.80000000000001</v>
      </c>
      <c r="H88" s="64">
        <v>37.99</v>
      </c>
      <c r="I88" s="210" t="s">
        <v>43</v>
      </c>
      <c r="J88" s="64">
        <v>0.26</v>
      </c>
      <c r="K88" s="64">
        <v>205.86</v>
      </c>
      <c r="L88" s="64">
        <v>22.31</v>
      </c>
      <c r="M88" s="64">
        <v>56.37</v>
      </c>
      <c r="N88" s="64">
        <v>77.3</v>
      </c>
      <c r="O88" s="64">
        <v>0</v>
      </c>
      <c r="P88" s="64">
        <v>1.3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3" t="s">
        <v>516</v>
      </c>
      <c r="B89" s="64">
        <v>44.97</v>
      </c>
      <c r="C89" s="64">
        <v>69.790000000000006</v>
      </c>
      <c r="D89" s="64">
        <v>71.150000000000006</v>
      </c>
      <c r="E89" s="64">
        <v>7.65</v>
      </c>
      <c r="F89" s="64">
        <v>2.13</v>
      </c>
      <c r="G89" s="64">
        <v>185.53</v>
      </c>
      <c r="H89" s="64">
        <v>45.28</v>
      </c>
      <c r="I89" s="210" t="s">
        <v>43</v>
      </c>
      <c r="J89" s="64">
        <v>0.55000000000000004</v>
      </c>
      <c r="K89" s="64">
        <v>305.95999999999998</v>
      </c>
      <c r="L89" s="64">
        <v>21.92</v>
      </c>
      <c r="M89" s="64">
        <v>62.69</v>
      </c>
      <c r="N89" s="64">
        <v>77.400000000000006</v>
      </c>
      <c r="O89" s="64">
        <v>0</v>
      </c>
      <c r="P89" s="64">
        <v>1.74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3" t="s">
        <v>517</v>
      </c>
      <c r="B90" s="64">
        <v>49.53</v>
      </c>
      <c r="C90" s="64">
        <v>68.760000000000005</v>
      </c>
      <c r="D90" s="64">
        <v>74.27</v>
      </c>
      <c r="E90" s="64">
        <v>7.62</v>
      </c>
      <c r="F90" s="64">
        <v>2.13</v>
      </c>
      <c r="G90" s="64">
        <v>185.53</v>
      </c>
      <c r="H90" s="64">
        <v>45.28</v>
      </c>
      <c r="I90" s="210" t="s">
        <v>43</v>
      </c>
      <c r="J90" s="64">
        <v>0.61</v>
      </c>
      <c r="K90" s="64">
        <v>341.85</v>
      </c>
      <c r="L90" s="64">
        <v>21.57</v>
      </c>
      <c r="M90" s="64">
        <v>67.87</v>
      </c>
      <c r="N90" s="64">
        <v>77.400000000000006</v>
      </c>
      <c r="O90" s="64">
        <v>0</v>
      </c>
      <c r="P90" s="64">
        <v>1.74</v>
      </c>
      <c r="Q90" s="64">
        <v>9.6999999999999993</v>
      </c>
      <c r="R90" s="198"/>
      <c r="S90" s="198"/>
      <c r="T90" s="198"/>
      <c r="U90" s="198"/>
    </row>
    <row r="91" spans="1:26" s="12" customFormat="1" x14ac:dyDescent="0.25">
      <c r="A91" s="213" t="s">
        <v>518</v>
      </c>
      <c r="B91" s="64">
        <v>57.31</v>
      </c>
      <c r="C91" s="64">
        <v>68</v>
      </c>
      <c r="D91" s="64">
        <v>80.11</v>
      </c>
      <c r="E91" s="64">
        <v>8.23</v>
      </c>
      <c r="F91" s="64">
        <v>2.13</v>
      </c>
      <c r="G91" s="64">
        <v>185.53</v>
      </c>
      <c r="H91" s="64">
        <v>45.28</v>
      </c>
      <c r="I91" s="210" t="s">
        <v>43</v>
      </c>
      <c r="J91" s="64">
        <v>0.62</v>
      </c>
      <c r="K91" s="64">
        <v>315.82</v>
      </c>
      <c r="L91" s="64">
        <v>21.32</v>
      </c>
      <c r="M91" s="64">
        <v>72.23</v>
      </c>
      <c r="N91" s="64">
        <v>77.400000000000006</v>
      </c>
      <c r="O91" s="64">
        <v>0</v>
      </c>
      <c r="P91" s="64">
        <v>2.5299999999999998</v>
      </c>
      <c r="Q91" s="64">
        <v>9.68</v>
      </c>
      <c r="R91" s="198"/>
      <c r="S91" s="198"/>
      <c r="T91" s="198"/>
      <c r="U91" s="198"/>
    </row>
    <row r="92" spans="1:26" s="12" customFormat="1" x14ac:dyDescent="0.25">
      <c r="A92" s="213" t="s">
        <v>519</v>
      </c>
      <c r="B92" s="64">
        <v>64.58</v>
      </c>
      <c r="C92" s="64">
        <v>69.91</v>
      </c>
      <c r="D92" s="64">
        <v>86.94</v>
      </c>
      <c r="E92" s="64">
        <v>8.42</v>
      </c>
      <c r="F92" s="64">
        <v>2.13</v>
      </c>
      <c r="G92" s="64">
        <v>172.18</v>
      </c>
      <c r="H92" s="64">
        <v>44.01</v>
      </c>
      <c r="I92" s="210" t="s">
        <v>43</v>
      </c>
      <c r="J92" s="64">
        <v>0.54</v>
      </c>
      <c r="K92" s="64">
        <v>292.48</v>
      </c>
      <c r="L92" s="64">
        <v>21.08</v>
      </c>
      <c r="M92" s="64">
        <v>72.28</v>
      </c>
      <c r="N92" s="64">
        <v>76.8</v>
      </c>
      <c r="O92" s="64">
        <v>0</v>
      </c>
      <c r="P92" s="64">
        <v>1.94</v>
      </c>
      <c r="Q92" s="64">
        <v>9.73</v>
      </c>
      <c r="R92" s="198"/>
      <c r="S92" s="198"/>
      <c r="T92" s="198"/>
      <c r="U92" s="198"/>
    </row>
    <row r="93" spans="1:26" s="12" customFormat="1" x14ac:dyDescent="0.25">
      <c r="A93" s="213" t="s">
        <v>520</v>
      </c>
      <c r="B93" s="64">
        <v>73.88</v>
      </c>
      <c r="C93" s="64">
        <v>68.67</v>
      </c>
      <c r="D93" s="64">
        <v>93.74</v>
      </c>
      <c r="E93" s="64">
        <v>8.75</v>
      </c>
      <c r="F93" s="64">
        <v>2.13</v>
      </c>
      <c r="G93" s="64">
        <v>156.22</v>
      </c>
      <c r="H93" s="64">
        <v>42.48</v>
      </c>
      <c r="I93" s="210" t="s">
        <v>43</v>
      </c>
      <c r="J93" s="64">
        <v>0.64</v>
      </c>
      <c r="K93" s="64">
        <v>303.77</v>
      </c>
      <c r="L93" s="64">
        <v>20.91</v>
      </c>
      <c r="M93" s="64">
        <v>73.489999999999995</v>
      </c>
      <c r="N93" s="64">
        <v>76.400000000000006</v>
      </c>
      <c r="O93" s="64">
        <v>0</v>
      </c>
      <c r="P93" s="64">
        <v>1.88</v>
      </c>
      <c r="Q93" s="64">
        <v>9.76</v>
      </c>
      <c r="R93" s="198"/>
      <c r="S93" s="198"/>
      <c r="T93" s="198"/>
      <c r="U93" s="198"/>
    </row>
    <row r="94" spans="1:26" s="12" customFormat="1" x14ac:dyDescent="0.25">
      <c r="A94" s="213" t="s">
        <v>521</v>
      </c>
      <c r="B94" s="64">
        <v>82.89</v>
      </c>
      <c r="C94" s="64">
        <v>68.400000000000006</v>
      </c>
      <c r="D94" s="64">
        <v>100.83</v>
      </c>
      <c r="E94" s="64">
        <v>8.8699999999999992</v>
      </c>
      <c r="F94" s="64">
        <v>2.13</v>
      </c>
      <c r="G94" s="64">
        <v>156.22</v>
      </c>
      <c r="H94" s="64">
        <v>42.48</v>
      </c>
      <c r="I94" s="210" t="s">
        <v>43</v>
      </c>
      <c r="J94" s="64">
        <v>0.48</v>
      </c>
      <c r="K94" s="64">
        <v>1.35</v>
      </c>
      <c r="L94" s="64">
        <v>20.7</v>
      </c>
      <c r="M94" s="64">
        <v>79.42</v>
      </c>
      <c r="N94" s="64">
        <v>76.599999999999994</v>
      </c>
      <c r="O94" s="64">
        <v>0</v>
      </c>
      <c r="P94" s="64">
        <v>1.91</v>
      </c>
      <c r="Q94" s="64">
        <v>9.84</v>
      </c>
      <c r="R94" s="198"/>
      <c r="S94" s="198"/>
      <c r="T94" s="198"/>
      <c r="U94" s="198"/>
    </row>
    <row r="95" spans="1:26" s="12" customFormat="1" x14ac:dyDescent="0.25">
      <c r="A95" s="213" t="s">
        <v>522</v>
      </c>
      <c r="B95" s="64">
        <v>85.26</v>
      </c>
      <c r="C95" s="64">
        <v>68.09</v>
      </c>
      <c r="D95" s="64">
        <v>102.57</v>
      </c>
      <c r="E95" s="64">
        <v>8.35</v>
      </c>
      <c r="F95" s="64">
        <v>2.13</v>
      </c>
      <c r="G95" s="64">
        <v>156.22</v>
      </c>
      <c r="H95" s="64">
        <v>42.48</v>
      </c>
      <c r="I95" s="210" t="s">
        <v>43</v>
      </c>
      <c r="J95" s="64">
        <v>0.3</v>
      </c>
      <c r="K95" s="64">
        <v>22.42</v>
      </c>
      <c r="L95" s="64">
        <v>20.8</v>
      </c>
      <c r="M95" s="64">
        <v>71.22</v>
      </c>
      <c r="N95" s="64">
        <v>76</v>
      </c>
      <c r="O95" s="64">
        <v>0</v>
      </c>
      <c r="P95" s="64">
        <v>1.86</v>
      </c>
      <c r="Q95" s="64">
        <v>9.9</v>
      </c>
      <c r="R95" s="198"/>
      <c r="S95" s="198"/>
      <c r="T95" s="198"/>
      <c r="U95" s="198"/>
    </row>
    <row r="96" spans="1:26" s="12" customFormat="1" x14ac:dyDescent="0.25">
      <c r="A96" s="213" t="s">
        <v>523</v>
      </c>
      <c r="B96" s="64">
        <v>84.32</v>
      </c>
      <c r="C96" s="64">
        <v>66.239999999999995</v>
      </c>
      <c r="D96" s="64">
        <v>100.85</v>
      </c>
      <c r="E96" s="64">
        <v>8.09</v>
      </c>
      <c r="F96" s="64">
        <v>2.13</v>
      </c>
      <c r="G96" s="64">
        <v>154.09</v>
      </c>
      <c r="H96" s="64">
        <v>41.34</v>
      </c>
      <c r="I96" s="210" t="s">
        <v>43</v>
      </c>
      <c r="J96" s="64">
        <v>0.45</v>
      </c>
      <c r="K96" s="64">
        <v>312.11</v>
      </c>
      <c r="L96" s="64">
        <v>20.94</v>
      </c>
      <c r="M96" s="64">
        <v>67.72</v>
      </c>
      <c r="N96" s="64">
        <v>75.599999999999994</v>
      </c>
      <c r="O96" s="64">
        <v>0</v>
      </c>
      <c r="P96" s="64">
        <v>1.85</v>
      </c>
      <c r="Q96" s="64">
        <v>9.9499999999999993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524</v>
      </c>
      <c r="B97" s="64">
        <v>84.17</v>
      </c>
      <c r="C97" s="64">
        <v>65.930000000000007</v>
      </c>
      <c r="D97" s="64">
        <v>100.57</v>
      </c>
      <c r="E97" s="64">
        <v>8.1199999999999992</v>
      </c>
      <c r="F97" s="64">
        <v>2.13</v>
      </c>
      <c r="G97" s="64">
        <v>151.54</v>
      </c>
      <c r="H97" s="64">
        <v>39.979999999999997</v>
      </c>
      <c r="I97" s="210" t="s">
        <v>43</v>
      </c>
      <c r="J97" s="64">
        <v>0.17</v>
      </c>
      <c r="K97" s="64">
        <v>326.75</v>
      </c>
      <c r="L97" s="64">
        <v>20.69</v>
      </c>
      <c r="M97" s="64">
        <v>69.55</v>
      </c>
      <c r="N97" s="64">
        <v>75.3</v>
      </c>
      <c r="O97" s="64">
        <v>0</v>
      </c>
      <c r="P97" s="64">
        <v>2.25</v>
      </c>
      <c r="Q97" s="64">
        <v>9.9600000000000009</v>
      </c>
      <c r="R97" s="198"/>
      <c r="S97" s="198"/>
      <c r="T97" s="198"/>
      <c r="U97" s="198"/>
    </row>
    <row r="98" spans="1:33" s="12" customFormat="1" x14ac:dyDescent="0.25">
      <c r="A98" s="213" t="s">
        <v>525</v>
      </c>
      <c r="B98" s="64">
        <v>88.64</v>
      </c>
      <c r="C98" s="64">
        <v>63.31</v>
      </c>
      <c r="D98" s="64">
        <v>102.78</v>
      </c>
      <c r="E98" s="64">
        <v>8.3000000000000007</v>
      </c>
      <c r="F98" s="64">
        <v>2.13</v>
      </c>
      <c r="G98" s="64">
        <v>151.54</v>
      </c>
      <c r="H98" s="64">
        <v>39.979999999999997</v>
      </c>
      <c r="I98" s="210" t="s">
        <v>43</v>
      </c>
      <c r="J98" s="64">
        <v>0.57999999999999996</v>
      </c>
      <c r="K98" s="64">
        <v>285.94</v>
      </c>
      <c r="L98" s="64">
        <v>20.32</v>
      </c>
      <c r="M98" s="64">
        <v>72.45</v>
      </c>
      <c r="N98" s="64">
        <v>75.400000000000006</v>
      </c>
      <c r="O98" s="64">
        <v>0</v>
      </c>
      <c r="P98" s="64">
        <v>2.16</v>
      </c>
      <c r="Q98" s="64">
        <v>9.92</v>
      </c>
      <c r="R98" s="198"/>
      <c r="S98" s="198"/>
      <c r="T98" s="198"/>
      <c r="U98" s="198"/>
    </row>
    <row r="99" spans="1:33" s="12" customFormat="1" x14ac:dyDescent="0.25">
      <c r="A99" s="213" t="s">
        <v>526</v>
      </c>
      <c r="B99" s="64">
        <v>95.2</v>
      </c>
      <c r="C99" s="64">
        <v>63.84</v>
      </c>
      <c r="D99" s="64">
        <v>108.32</v>
      </c>
      <c r="E99" s="64">
        <v>8.41</v>
      </c>
      <c r="F99" s="64">
        <v>2.13</v>
      </c>
      <c r="G99" s="64">
        <v>151.54</v>
      </c>
      <c r="H99" s="64">
        <v>39.979999999999997</v>
      </c>
      <c r="I99" s="210" t="s">
        <v>43</v>
      </c>
      <c r="J99" s="64">
        <v>0.61</v>
      </c>
      <c r="K99" s="64">
        <v>303.12</v>
      </c>
      <c r="L99" s="64">
        <v>20.04</v>
      </c>
      <c r="M99" s="64">
        <v>75.84</v>
      </c>
      <c r="N99" s="64">
        <v>75.3</v>
      </c>
      <c r="O99" s="64">
        <v>0</v>
      </c>
      <c r="P99" s="64">
        <v>2.17</v>
      </c>
      <c r="Q99" s="64">
        <v>9.9</v>
      </c>
      <c r="R99" s="198"/>
      <c r="S99" s="198"/>
      <c r="T99" s="198"/>
      <c r="U99" s="198"/>
    </row>
    <row r="100" spans="1:33" s="12" customFormat="1" x14ac:dyDescent="0.25">
      <c r="A100" s="213" t="s">
        <v>527</v>
      </c>
      <c r="B100" s="64">
        <v>101.16</v>
      </c>
      <c r="C100" s="64">
        <v>63.52</v>
      </c>
      <c r="D100" s="64">
        <v>112.93</v>
      </c>
      <c r="E100" s="64">
        <v>8.4600000000000009</v>
      </c>
      <c r="F100" s="64">
        <v>2.13</v>
      </c>
      <c r="G100" s="64">
        <v>148.94</v>
      </c>
      <c r="H100" s="64">
        <v>41.27</v>
      </c>
      <c r="I100" s="210" t="s">
        <v>43</v>
      </c>
      <c r="J100" s="64">
        <v>0.35</v>
      </c>
      <c r="K100" s="64">
        <v>253.78</v>
      </c>
      <c r="L100" s="64">
        <v>19.82</v>
      </c>
      <c r="M100" s="64">
        <v>76.95</v>
      </c>
      <c r="N100" s="64">
        <v>75.099999999999994</v>
      </c>
      <c r="O100" s="64">
        <v>0</v>
      </c>
      <c r="P100" s="64">
        <v>2.13</v>
      </c>
      <c r="Q100" s="64">
        <v>9.92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528</v>
      </c>
      <c r="B101" s="64">
        <v>111.18</v>
      </c>
      <c r="C101" s="64">
        <v>63.12</v>
      </c>
      <c r="D101" s="64">
        <v>120.76</v>
      </c>
      <c r="E101" s="64">
        <v>8.6199999999999992</v>
      </c>
      <c r="F101" s="64">
        <v>2.13</v>
      </c>
      <c r="G101" s="64">
        <v>145.83000000000001</v>
      </c>
      <c r="H101" s="64">
        <v>42.82</v>
      </c>
      <c r="I101" s="210" t="s">
        <v>43</v>
      </c>
      <c r="J101" s="64">
        <v>0.6</v>
      </c>
      <c r="K101" s="64">
        <v>282.33999999999997</v>
      </c>
      <c r="L101" s="64">
        <v>19.64</v>
      </c>
      <c r="M101" s="64">
        <v>78.239999999999995</v>
      </c>
      <c r="N101" s="64">
        <v>75</v>
      </c>
      <c r="O101" s="64">
        <v>0</v>
      </c>
      <c r="P101" s="64">
        <v>2.06</v>
      </c>
      <c r="Q101" s="64">
        <v>9.91</v>
      </c>
      <c r="R101" s="198"/>
      <c r="S101" s="198"/>
      <c r="T101" s="198"/>
      <c r="U101" s="198"/>
    </row>
    <row r="102" spans="1:33" s="12" customFormat="1" x14ac:dyDescent="0.25">
      <c r="A102" s="213" t="s">
        <v>529</v>
      </c>
      <c r="B102" s="64">
        <v>120.91</v>
      </c>
      <c r="C102" s="64">
        <v>63.27</v>
      </c>
      <c r="D102" s="64">
        <v>128.63999999999999</v>
      </c>
      <c r="E102" s="64">
        <v>8.14</v>
      </c>
      <c r="F102" s="64">
        <v>2.13</v>
      </c>
      <c r="G102" s="64">
        <v>145.83000000000001</v>
      </c>
      <c r="H102" s="64">
        <v>42.82</v>
      </c>
      <c r="I102" s="210" t="s">
        <v>43</v>
      </c>
      <c r="J102" s="64">
        <v>0.65</v>
      </c>
      <c r="K102" s="64">
        <v>292.47000000000003</v>
      </c>
      <c r="L102" s="64">
        <v>19.5</v>
      </c>
      <c r="M102" s="64">
        <v>78.86</v>
      </c>
      <c r="N102" s="64">
        <v>74.900000000000006</v>
      </c>
      <c r="O102" s="64">
        <v>0</v>
      </c>
      <c r="P102" s="64">
        <v>2.0499999999999998</v>
      </c>
      <c r="Q102" s="64">
        <v>9.94</v>
      </c>
      <c r="R102" s="198"/>
      <c r="S102" s="198"/>
      <c r="T102" s="198"/>
      <c r="U102" s="198"/>
    </row>
    <row r="103" spans="1:33" s="12" customFormat="1" x14ac:dyDescent="0.25">
      <c r="A103" s="213" t="s">
        <v>530</v>
      </c>
      <c r="B103" s="64">
        <v>126.8</v>
      </c>
      <c r="C103" s="64">
        <v>62.62</v>
      </c>
      <c r="D103" s="64">
        <v>133.03</v>
      </c>
      <c r="E103" s="64">
        <v>8.42</v>
      </c>
      <c r="F103" s="64">
        <v>2.13</v>
      </c>
      <c r="G103" s="64">
        <v>145.83000000000001</v>
      </c>
      <c r="H103" s="64">
        <v>42.82</v>
      </c>
      <c r="I103" s="210" t="s">
        <v>43</v>
      </c>
      <c r="J103" s="64">
        <v>0.63</v>
      </c>
      <c r="K103" s="64">
        <v>326.67</v>
      </c>
      <c r="L103" s="64">
        <v>19.3</v>
      </c>
      <c r="M103" s="64">
        <v>86.39</v>
      </c>
      <c r="N103" s="64">
        <v>75.099999999999994</v>
      </c>
      <c r="O103" s="64">
        <v>0</v>
      </c>
      <c r="P103" s="64">
        <v>2.11</v>
      </c>
      <c r="Q103" s="64">
        <v>10.02</v>
      </c>
      <c r="R103" s="198"/>
      <c r="S103" s="198"/>
      <c r="T103" s="198"/>
      <c r="U103" s="198"/>
    </row>
    <row r="104" spans="1:33" s="12" customFormat="1" x14ac:dyDescent="0.25">
      <c r="A104" s="213" t="s">
        <v>531</v>
      </c>
      <c r="B104" s="64">
        <v>131.62</v>
      </c>
      <c r="C104" s="64">
        <v>60.66</v>
      </c>
      <c r="D104" s="64">
        <v>135.87</v>
      </c>
      <c r="E104" s="64">
        <v>7.4</v>
      </c>
      <c r="F104" s="64">
        <v>2.13</v>
      </c>
      <c r="G104" s="64">
        <v>142.37</v>
      </c>
      <c r="H104" s="64">
        <v>40.880000000000003</v>
      </c>
      <c r="I104" s="210" t="s">
        <v>43</v>
      </c>
      <c r="J104" s="64">
        <v>0.36</v>
      </c>
      <c r="K104" s="64">
        <v>88.08</v>
      </c>
      <c r="L104" s="64">
        <v>19.100000000000001</v>
      </c>
      <c r="M104" s="64">
        <v>84.39</v>
      </c>
      <c r="N104" s="64">
        <v>75</v>
      </c>
      <c r="O104" s="64">
        <v>0</v>
      </c>
      <c r="P104" s="64">
        <v>2.06</v>
      </c>
      <c r="Q104" s="64">
        <v>10.09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3.43</v>
      </c>
      <c r="C106" s="67">
        <f>MIN(C9:C104)</f>
        <v>45.93</v>
      </c>
      <c r="D106" s="67">
        <f t="shared" ref="D106:Q106" si="0">MIN(D9:D104)</f>
        <v>33.29</v>
      </c>
      <c r="E106" s="67">
        <f t="shared" si="0"/>
        <v>5.45</v>
      </c>
      <c r="F106" s="67">
        <f t="shared" si="0"/>
        <v>2.13</v>
      </c>
      <c r="G106" s="67">
        <f t="shared" si="0"/>
        <v>63.3</v>
      </c>
      <c r="H106" s="67">
        <f t="shared" si="0"/>
        <v>3.29</v>
      </c>
      <c r="I106" s="67">
        <f t="shared" si="0"/>
        <v>0</v>
      </c>
      <c r="J106" s="67">
        <f t="shared" si="0"/>
        <v>0.17</v>
      </c>
      <c r="K106" s="67">
        <f t="shared" si="0"/>
        <v>1.35</v>
      </c>
      <c r="L106" s="67">
        <f t="shared" si="0"/>
        <v>15.3</v>
      </c>
      <c r="M106" s="67">
        <f t="shared" si="0"/>
        <v>29.66</v>
      </c>
      <c r="N106" s="67">
        <f t="shared" si="0"/>
        <v>74.900000000000006</v>
      </c>
      <c r="O106" s="67">
        <f t="shared" si="0"/>
        <v>0</v>
      </c>
      <c r="P106" s="67">
        <f t="shared" si="0"/>
        <v>0.69</v>
      </c>
      <c r="Q106" s="67">
        <f t="shared" si="0"/>
        <v>9.4600000000000009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131.62</v>
      </c>
      <c r="C107" s="66">
        <f t="shared" ref="C107:Q107" si="1">MAX(C9:C104)</f>
        <v>69.91</v>
      </c>
      <c r="D107" s="66">
        <f t="shared" si="1"/>
        <v>135.87</v>
      </c>
      <c r="E107" s="66">
        <f t="shared" si="1"/>
        <v>8.8699999999999992</v>
      </c>
      <c r="F107" s="66">
        <f t="shared" si="1"/>
        <v>2.4500000000000002</v>
      </c>
      <c r="G107" s="66">
        <f t="shared" si="1"/>
        <v>185.53</v>
      </c>
      <c r="H107" s="66">
        <f t="shared" si="1"/>
        <v>72.819999999999993</v>
      </c>
      <c r="I107" s="66">
        <f t="shared" si="1"/>
        <v>0</v>
      </c>
      <c r="J107" s="66">
        <f t="shared" si="1"/>
        <v>1.49</v>
      </c>
      <c r="K107" s="66">
        <f t="shared" si="1"/>
        <v>355.33</v>
      </c>
      <c r="L107" s="66">
        <f t="shared" si="1"/>
        <v>32.270000000000003</v>
      </c>
      <c r="M107" s="66">
        <f t="shared" si="1"/>
        <v>95.38</v>
      </c>
      <c r="N107" s="66">
        <f t="shared" si="1"/>
        <v>569.6</v>
      </c>
      <c r="O107" s="66">
        <f t="shared" si="1"/>
        <v>0</v>
      </c>
      <c r="P107" s="66">
        <f t="shared" si="1"/>
        <v>2.5299999999999998</v>
      </c>
      <c r="Q107" s="66">
        <f t="shared" si="1"/>
        <v>10.09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40.322395833333346</v>
      </c>
      <c r="C108" s="67">
        <f t="shared" ref="C108:Q108" si="2">AVERAGE(C9:C104)</f>
        <v>59.20750000000001</v>
      </c>
      <c r="D108" s="67">
        <f t="shared" si="2"/>
        <v>61.892812499999984</v>
      </c>
      <c r="E108" s="67">
        <f t="shared" si="2"/>
        <v>6.6751041666666673</v>
      </c>
      <c r="F108" s="67">
        <f t="shared" si="2"/>
        <v>2.1436458333333306</v>
      </c>
      <c r="G108" s="67">
        <f t="shared" si="2"/>
        <v>102.31239583333333</v>
      </c>
      <c r="H108" s="67">
        <f t="shared" si="2"/>
        <v>36.736145833333339</v>
      </c>
      <c r="I108" s="67" t="e">
        <f t="shared" si="2"/>
        <v>#DIV/0!</v>
      </c>
      <c r="J108" s="67">
        <f t="shared" si="2"/>
        <v>0.683958333333333</v>
      </c>
      <c r="K108" s="67">
        <f t="shared" si="2"/>
        <v>256.76479166666661</v>
      </c>
      <c r="L108" s="67">
        <f t="shared" si="2"/>
        <v>22.665208333333329</v>
      </c>
      <c r="M108" s="67">
        <f t="shared" si="2"/>
        <v>60.807916666666642</v>
      </c>
      <c r="N108" s="67">
        <f t="shared" si="2"/>
        <v>197.18229166666671</v>
      </c>
      <c r="O108" s="67">
        <f t="shared" si="2"/>
        <v>0</v>
      </c>
      <c r="P108" s="67">
        <f t="shared" si="2"/>
        <v>1.141770833333333</v>
      </c>
      <c r="Q108" s="67">
        <f t="shared" si="2"/>
        <v>9.6610416666666623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29.887609851251291</v>
      </c>
      <c r="C109" s="67">
        <f t="shared" ref="C109:Q109" si="3">STDEV(C9:C104)</f>
        <v>7.5253244028693143</v>
      </c>
      <c r="D109" s="67">
        <f t="shared" si="3"/>
        <v>23.632592957636259</v>
      </c>
      <c r="E109" s="67">
        <f t="shared" si="3"/>
        <v>0.83953244480317246</v>
      </c>
      <c r="F109" s="67">
        <f t="shared" si="3"/>
        <v>4.8560755037628488E-2</v>
      </c>
      <c r="G109" s="67">
        <f t="shared" si="3"/>
        <v>30.117447461031329</v>
      </c>
      <c r="H109" s="67">
        <f t="shared" si="3"/>
        <v>13.586742793100765</v>
      </c>
      <c r="I109" s="67" t="e">
        <f t="shared" si="3"/>
        <v>#DIV/0!</v>
      </c>
      <c r="J109" s="67">
        <f t="shared" si="3"/>
        <v>0.28711075862687413</v>
      </c>
      <c r="K109" s="67">
        <f t="shared" si="3"/>
        <v>81.892541013454689</v>
      </c>
      <c r="L109" s="67">
        <f t="shared" si="3"/>
        <v>5.3131933066692909</v>
      </c>
      <c r="M109" s="67">
        <f t="shared" si="3"/>
        <v>22.019507423940837</v>
      </c>
      <c r="N109" s="67">
        <f t="shared" si="3"/>
        <v>178.46899243863442</v>
      </c>
      <c r="O109" s="67">
        <f t="shared" si="3"/>
        <v>0</v>
      </c>
      <c r="P109" s="67">
        <f t="shared" si="3"/>
        <v>0.47554953207435857</v>
      </c>
      <c r="Q109" s="67">
        <f t="shared" si="3"/>
        <v>0.12904082721262791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9" sqref="I9:I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532</v>
      </c>
      <c r="B9" s="64">
        <v>137.41</v>
      </c>
      <c r="C9" s="64">
        <v>58.86</v>
      </c>
      <c r="D9" s="64">
        <v>139.57</v>
      </c>
      <c r="E9" s="64">
        <v>9.44</v>
      </c>
      <c r="F9" s="64">
        <v>2.13</v>
      </c>
      <c r="G9" s="64">
        <v>138.24</v>
      </c>
      <c r="H9" s="64">
        <v>38.56</v>
      </c>
      <c r="I9" s="214" t="s">
        <v>43</v>
      </c>
      <c r="J9" s="64">
        <v>0.71</v>
      </c>
      <c r="K9" s="64">
        <v>342.38</v>
      </c>
      <c r="L9" s="64">
        <v>18.93</v>
      </c>
      <c r="M9" s="64">
        <v>89.34</v>
      </c>
      <c r="N9" s="64">
        <v>75</v>
      </c>
      <c r="O9" s="64">
        <v>0</v>
      </c>
      <c r="P9" s="64">
        <v>2.0299999999999998</v>
      </c>
      <c r="Q9" s="64">
        <v>10.11</v>
      </c>
      <c r="R9" s="198"/>
      <c r="S9" s="198"/>
      <c r="T9" s="198"/>
      <c r="U9" s="198"/>
    </row>
    <row r="10" spans="1:21" s="12" customFormat="1" x14ac:dyDescent="0.25">
      <c r="A10" s="213" t="s">
        <v>533</v>
      </c>
      <c r="B10" s="64">
        <v>139.69999999999999</v>
      </c>
      <c r="C10" s="64">
        <v>58.7</v>
      </c>
      <c r="D10" s="64">
        <v>141.32</v>
      </c>
      <c r="E10" s="64">
        <v>9.4600000000000009</v>
      </c>
      <c r="F10" s="64">
        <v>2.13</v>
      </c>
      <c r="G10" s="64">
        <v>138.24</v>
      </c>
      <c r="H10" s="64">
        <v>38.56</v>
      </c>
      <c r="I10" s="214" t="s">
        <v>43</v>
      </c>
      <c r="J10" s="64">
        <v>0.37</v>
      </c>
      <c r="K10" s="64">
        <v>51</v>
      </c>
      <c r="L10" s="64">
        <v>19.11</v>
      </c>
      <c r="M10" s="64">
        <v>84.84</v>
      </c>
      <c r="N10" s="64">
        <v>74.3</v>
      </c>
      <c r="O10" s="64">
        <v>0</v>
      </c>
      <c r="P10" s="64">
        <v>2.14</v>
      </c>
      <c r="Q10" s="64">
        <v>10.16</v>
      </c>
      <c r="R10" s="198"/>
      <c r="S10" s="198"/>
      <c r="T10" s="198"/>
      <c r="U10" s="198"/>
    </row>
    <row r="11" spans="1:21" s="12" customFormat="1" x14ac:dyDescent="0.25">
      <c r="A11" s="213" t="s">
        <v>534</v>
      </c>
      <c r="B11" s="64">
        <v>136.58000000000001</v>
      </c>
      <c r="C11" s="64">
        <v>58.61</v>
      </c>
      <c r="D11" s="64">
        <v>138.77000000000001</v>
      </c>
      <c r="E11" s="64">
        <v>9.32</v>
      </c>
      <c r="F11" s="64">
        <v>2.13</v>
      </c>
      <c r="G11" s="64">
        <v>138.24</v>
      </c>
      <c r="H11" s="64">
        <v>38.56</v>
      </c>
      <c r="I11" s="214" t="s">
        <v>43</v>
      </c>
      <c r="J11" s="64">
        <v>0.43</v>
      </c>
      <c r="K11" s="64">
        <v>4.2300000000000004</v>
      </c>
      <c r="L11" s="64">
        <v>19.670000000000002</v>
      </c>
      <c r="M11" s="64">
        <v>74.66</v>
      </c>
      <c r="N11" s="64">
        <v>74.8</v>
      </c>
      <c r="O11" s="64">
        <v>0</v>
      </c>
      <c r="P11" s="64">
        <v>2.08</v>
      </c>
      <c r="Q11" s="64">
        <v>10.210000000000001</v>
      </c>
      <c r="R11" s="198"/>
      <c r="S11" s="198"/>
      <c r="T11" s="198"/>
      <c r="U11" s="198"/>
    </row>
    <row r="12" spans="1:21" s="12" customFormat="1" x14ac:dyDescent="0.25">
      <c r="A12" s="213" t="s">
        <v>535</v>
      </c>
      <c r="B12" s="64">
        <v>132.30000000000001</v>
      </c>
      <c r="C12" s="64">
        <v>57.58</v>
      </c>
      <c r="D12" s="64">
        <v>134.80000000000001</v>
      </c>
      <c r="E12" s="64">
        <v>8.9499999999999993</v>
      </c>
      <c r="F12" s="64">
        <v>2.13</v>
      </c>
      <c r="G12" s="64">
        <v>140.21</v>
      </c>
      <c r="H12" s="64">
        <v>38.1</v>
      </c>
      <c r="I12" s="214" t="s">
        <v>43</v>
      </c>
      <c r="J12" s="64">
        <v>0.56000000000000005</v>
      </c>
      <c r="K12" s="64">
        <v>269.37</v>
      </c>
      <c r="L12" s="64">
        <v>19.32</v>
      </c>
      <c r="M12" s="64">
        <v>77.63</v>
      </c>
      <c r="N12" s="64">
        <v>75.3</v>
      </c>
      <c r="O12" s="64">
        <v>0</v>
      </c>
      <c r="P12" s="64">
        <v>2.1</v>
      </c>
      <c r="Q12" s="64">
        <v>10.210000000000001</v>
      </c>
      <c r="R12" s="198"/>
      <c r="S12" s="198"/>
      <c r="T12" s="198"/>
      <c r="U12" s="198"/>
    </row>
    <row r="13" spans="1:21" s="12" customFormat="1" x14ac:dyDescent="0.25">
      <c r="A13" s="213" t="s">
        <v>536</v>
      </c>
      <c r="B13" s="64">
        <v>127.91</v>
      </c>
      <c r="C13" s="64">
        <v>58.64</v>
      </c>
      <c r="D13" s="64">
        <v>131.83000000000001</v>
      </c>
      <c r="E13" s="64">
        <v>8.68</v>
      </c>
      <c r="F13" s="64">
        <v>2.13</v>
      </c>
      <c r="G13" s="64">
        <v>142.57</v>
      </c>
      <c r="H13" s="64">
        <v>37.549999999999997</v>
      </c>
      <c r="I13" s="214" t="s">
        <v>43</v>
      </c>
      <c r="J13" s="64">
        <v>0.61</v>
      </c>
      <c r="K13" s="64">
        <v>291.33</v>
      </c>
      <c r="L13" s="64">
        <v>18.97</v>
      </c>
      <c r="M13" s="64">
        <v>78.430000000000007</v>
      </c>
      <c r="N13" s="64">
        <v>75.400000000000006</v>
      </c>
      <c r="O13" s="64">
        <v>0</v>
      </c>
      <c r="P13" s="64">
        <v>1.87</v>
      </c>
      <c r="Q13" s="64">
        <v>10.210000000000001</v>
      </c>
      <c r="R13" s="198"/>
      <c r="S13" s="198"/>
      <c r="T13" s="198"/>
      <c r="U13" s="198"/>
    </row>
    <row r="14" spans="1:21" s="12" customFormat="1" x14ac:dyDescent="0.25">
      <c r="A14" s="213" t="s">
        <v>537</v>
      </c>
      <c r="B14" s="64">
        <v>123.98</v>
      </c>
      <c r="C14" s="64">
        <v>58.62</v>
      </c>
      <c r="D14" s="64">
        <v>128.66999999999999</v>
      </c>
      <c r="E14" s="64">
        <v>8.85</v>
      </c>
      <c r="F14" s="64">
        <v>2.13</v>
      </c>
      <c r="G14" s="64">
        <v>142.57</v>
      </c>
      <c r="H14" s="64">
        <v>37.549999999999997</v>
      </c>
      <c r="I14" s="214" t="s">
        <v>43</v>
      </c>
      <c r="J14" s="64">
        <v>0.63</v>
      </c>
      <c r="K14" s="64">
        <v>295.66000000000003</v>
      </c>
      <c r="L14" s="64">
        <v>18.670000000000002</v>
      </c>
      <c r="M14" s="64">
        <v>80.91</v>
      </c>
      <c r="N14" s="64">
        <v>75.3</v>
      </c>
      <c r="O14" s="64">
        <v>0</v>
      </c>
      <c r="P14" s="64">
        <v>1.94</v>
      </c>
      <c r="Q14" s="64">
        <v>10.220000000000001</v>
      </c>
      <c r="R14" s="198"/>
      <c r="S14" s="198"/>
      <c r="T14" s="198"/>
      <c r="U14" s="198"/>
    </row>
    <row r="15" spans="1:21" s="12" customFormat="1" x14ac:dyDescent="0.25">
      <c r="A15" s="213" t="s">
        <v>538</v>
      </c>
      <c r="B15" s="64">
        <v>120.28</v>
      </c>
      <c r="C15" s="64">
        <v>55.48</v>
      </c>
      <c r="D15" s="64">
        <v>124.07</v>
      </c>
      <c r="E15" s="64">
        <v>8.99</v>
      </c>
      <c r="F15" s="64">
        <v>2.13</v>
      </c>
      <c r="G15" s="64">
        <v>142.57</v>
      </c>
      <c r="H15" s="64">
        <v>37.549999999999997</v>
      </c>
      <c r="I15" s="214" t="s">
        <v>43</v>
      </c>
      <c r="J15" s="64">
        <v>0.18</v>
      </c>
      <c r="K15" s="64">
        <v>65.98</v>
      </c>
      <c r="L15" s="64">
        <v>18.43</v>
      </c>
      <c r="M15" s="64">
        <v>84.73</v>
      </c>
      <c r="N15" s="64">
        <v>75.3</v>
      </c>
      <c r="O15" s="64">
        <v>0</v>
      </c>
      <c r="P15" s="64">
        <v>1.95</v>
      </c>
      <c r="Q15" s="64">
        <v>10.210000000000001</v>
      </c>
      <c r="R15" s="198"/>
      <c r="S15" s="198"/>
      <c r="T15" s="198"/>
      <c r="U15" s="198"/>
    </row>
    <row r="16" spans="1:21" s="12" customFormat="1" x14ac:dyDescent="0.25">
      <c r="A16" s="213" t="s">
        <v>539</v>
      </c>
      <c r="B16" s="64">
        <v>117.2</v>
      </c>
      <c r="C16" s="64">
        <v>56.24</v>
      </c>
      <c r="D16" s="64">
        <v>121.99</v>
      </c>
      <c r="E16" s="64">
        <v>9.1199999999999992</v>
      </c>
      <c r="F16" s="64">
        <v>2.13</v>
      </c>
      <c r="G16" s="64">
        <v>147.18</v>
      </c>
      <c r="H16" s="64">
        <v>42.49</v>
      </c>
      <c r="I16" s="214" t="s">
        <v>43</v>
      </c>
      <c r="J16" s="64">
        <v>0.78</v>
      </c>
      <c r="K16" s="64">
        <v>153.13</v>
      </c>
      <c r="L16" s="64">
        <v>18.78</v>
      </c>
      <c r="M16" s="64">
        <v>82.67</v>
      </c>
      <c r="N16" s="64">
        <v>74.2</v>
      </c>
      <c r="O16" s="64">
        <v>0</v>
      </c>
      <c r="P16" s="64">
        <v>1.96</v>
      </c>
      <c r="Q16" s="64">
        <v>10.17</v>
      </c>
      <c r="R16" s="198"/>
      <c r="S16" s="198"/>
      <c r="T16" s="198"/>
      <c r="U16" s="198"/>
    </row>
    <row r="17" spans="1:21" s="12" customFormat="1" x14ac:dyDescent="0.25">
      <c r="A17" s="213" t="s">
        <v>540</v>
      </c>
      <c r="B17" s="64">
        <v>114.82</v>
      </c>
      <c r="C17" s="64">
        <v>56.88</v>
      </c>
      <c r="D17" s="64">
        <v>120.42</v>
      </c>
      <c r="E17" s="64">
        <v>9.23</v>
      </c>
      <c r="F17" s="64">
        <v>2.13</v>
      </c>
      <c r="G17" s="64">
        <v>152.69999999999999</v>
      </c>
      <c r="H17" s="64">
        <v>48.39</v>
      </c>
      <c r="I17" s="214" t="s">
        <v>43</v>
      </c>
      <c r="J17" s="64">
        <v>0.25</v>
      </c>
      <c r="K17" s="64">
        <v>221.83</v>
      </c>
      <c r="L17" s="64">
        <v>18.760000000000002</v>
      </c>
      <c r="M17" s="64">
        <v>85.28</v>
      </c>
      <c r="N17" s="64">
        <v>75.2</v>
      </c>
      <c r="O17" s="64">
        <v>0</v>
      </c>
      <c r="P17" s="64">
        <v>1.88</v>
      </c>
      <c r="Q17" s="64">
        <v>10.15</v>
      </c>
      <c r="R17" s="198"/>
      <c r="S17" s="198"/>
      <c r="T17" s="198"/>
      <c r="U17" s="198"/>
    </row>
    <row r="18" spans="1:21" s="12" customFormat="1" x14ac:dyDescent="0.25">
      <c r="A18" s="213" t="s">
        <v>541</v>
      </c>
      <c r="B18" s="64">
        <v>112.53</v>
      </c>
      <c r="C18" s="64">
        <v>51.61</v>
      </c>
      <c r="D18" s="64">
        <v>115.83</v>
      </c>
      <c r="E18" s="64">
        <v>8.76</v>
      </c>
      <c r="F18" s="64">
        <v>2.13</v>
      </c>
      <c r="G18" s="64">
        <v>152.69999999999999</v>
      </c>
      <c r="H18" s="64">
        <v>48.39</v>
      </c>
      <c r="I18" s="214" t="s">
        <v>43</v>
      </c>
      <c r="J18" s="64">
        <v>0.95</v>
      </c>
      <c r="K18" s="64">
        <v>330.81</v>
      </c>
      <c r="L18" s="64">
        <v>18.260000000000002</v>
      </c>
      <c r="M18" s="64">
        <v>89.8</v>
      </c>
      <c r="N18" s="64">
        <v>75.599999999999994</v>
      </c>
      <c r="O18" s="64">
        <v>0</v>
      </c>
      <c r="P18" s="64">
        <v>1.78</v>
      </c>
      <c r="Q18" s="64">
        <v>10.130000000000001</v>
      </c>
      <c r="R18" s="198"/>
      <c r="S18" s="198"/>
      <c r="T18" s="198"/>
      <c r="U18" s="198"/>
    </row>
    <row r="19" spans="1:21" s="12" customFormat="1" x14ac:dyDescent="0.25">
      <c r="A19" s="213" t="s">
        <v>542</v>
      </c>
      <c r="B19" s="64">
        <v>109.93</v>
      </c>
      <c r="C19" s="64">
        <v>51.64</v>
      </c>
      <c r="D19" s="64">
        <v>113.76</v>
      </c>
      <c r="E19" s="64">
        <v>8.83</v>
      </c>
      <c r="F19" s="64">
        <v>2.13</v>
      </c>
      <c r="G19" s="64">
        <v>152.69999999999999</v>
      </c>
      <c r="H19" s="64">
        <v>48.39</v>
      </c>
      <c r="I19" s="214" t="s">
        <v>43</v>
      </c>
      <c r="J19" s="64">
        <v>0.61</v>
      </c>
      <c r="K19" s="64">
        <v>307.67</v>
      </c>
      <c r="L19" s="64">
        <v>17.8</v>
      </c>
      <c r="M19" s="64">
        <v>92.4</v>
      </c>
      <c r="N19" s="64">
        <v>75.2</v>
      </c>
      <c r="O19" s="64">
        <v>0</v>
      </c>
      <c r="P19" s="64">
        <v>1.74</v>
      </c>
      <c r="Q19" s="64">
        <v>10.11</v>
      </c>
      <c r="R19" s="198"/>
      <c r="S19" s="198"/>
      <c r="T19" s="198"/>
      <c r="U19" s="198"/>
    </row>
    <row r="20" spans="1:21" s="12" customFormat="1" x14ac:dyDescent="0.25">
      <c r="A20" s="213" t="s">
        <v>543</v>
      </c>
      <c r="B20" s="64">
        <v>107.6</v>
      </c>
      <c r="C20" s="64">
        <v>52.18</v>
      </c>
      <c r="D20" s="64">
        <v>112.17</v>
      </c>
      <c r="E20" s="64">
        <v>8.4499999999999993</v>
      </c>
      <c r="F20" s="64">
        <v>2.13</v>
      </c>
      <c r="G20" s="64">
        <v>140.52000000000001</v>
      </c>
      <c r="H20" s="64">
        <v>44.99</v>
      </c>
      <c r="I20" s="214" t="s">
        <v>43</v>
      </c>
      <c r="J20" s="64">
        <v>0.28000000000000003</v>
      </c>
      <c r="K20" s="64">
        <v>305.47000000000003</v>
      </c>
      <c r="L20" s="64">
        <v>17.809999999999999</v>
      </c>
      <c r="M20" s="64">
        <v>89.13</v>
      </c>
      <c r="N20" s="64">
        <v>75</v>
      </c>
      <c r="O20" s="64">
        <v>0</v>
      </c>
      <c r="P20" s="64">
        <v>1.73</v>
      </c>
      <c r="Q20" s="64">
        <v>10.09</v>
      </c>
      <c r="R20" s="198"/>
      <c r="S20" s="198"/>
      <c r="T20" s="198"/>
      <c r="U20" s="198"/>
    </row>
    <row r="21" spans="1:21" s="12" customFormat="1" x14ac:dyDescent="0.25">
      <c r="A21" s="213" t="s">
        <v>544</v>
      </c>
      <c r="B21" s="64">
        <v>105.27</v>
      </c>
      <c r="C21" s="64">
        <v>51.95</v>
      </c>
      <c r="D21" s="64">
        <v>110.18</v>
      </c>
      <c r="E21" s="64">
        <v>8.49</v>
      </c>
      <c r="F21" s="64">
        <v>2.2200000000000002</v>
      </c>
      <c r="G21" s="64">
        <v>125.95</v>
      </c>
      <c r="H21" s="64">
        <v>40.93</v>
      </c>
      <c r="I21" s="214" t="s">
        <v>43</v>
      </c>
      <c r="J21" s="64">
        <v>0.37</v>
      </c>
      <c r="K21" s="64">
        <v>102.78</v>
      </c>
      <c r="L21" s="64">
        <v>17.98</v>
      </c>
      <c r="M21" s="64">
        <v>86.36</v>
      </c>
      <c r="N21" s="64">
        <v>74.900000000000006</v>
      </c>
      <c r="O21" s="64">
        <v>0</v>
      </c>
      <c r="P21" s="64">
        <v>1.78</v>
      </c>
      <c r="Q21" s="64">
        <v>10.08</v>
      </c>
      <c r="R21" s="198"/>
      <c r="S21" s="198"/>
      <c r="T21" s="198"/>
      <c r="U21" s="198"/>
    </row>
    <row r="22" spans="1:21" s="12" customFormat="1" x14ac:dyDescent="0.25">
      <c r="A22" s="213" t="s">
        <v>545</v>
      </c>
      <c r="B22" s="64">
        <v>103.1</v>
      </c>
      <c r="C22" s="64">
        <v>51.28</v>
      </c>
      <c r="D22" s="64">
        <v>108.09</v>
      </c>
      <c r="E22" s="64">
        <v>8.8000000000000007</v>
      </c>
      <c r="F22" s="64">
        <v>2.13</v>
      </c>
      <c r="G22" s="64">
        <v>125.95</v>
      </c>
      <c r="H22" s="64">
        <v>40.93</v>
      </c>
      <c r="I22" s="214" t="s">
        <v>43</v>
      </c>
      <c r="J22" s="64">
        <v>0.14000000000000001</v>
      </c>
      <c r="K22" s="64">
        <v>226.3</v>
      </c>
      <c r="L22" s="64">
        <v>17.71</v>
      </c>
      <c r="M22" s="64">
        <v>89.38</v>
      </c>
      <c r="N22" s="64">
        <v>75.099999999999994</v>
      </c>
      <c r="O22" s="64">
        <v>0</v>
      </c>
      <c r="P22" s="64">
        <v>1.76</v>
      </c>
      <c r="Q22" s="64">
        <v>10.06</v>
      </c>
      <c r="R22" s="198"/>
      <c r="S22" s="198"/>
      <c r="T22" s="198"/>
      <c r="U22" s="198"/>
    </row>
    <row r="23" spans="1:21" s="12" customFormat="1" x14ac:dyDescent="0.25">
      <c r="A23" s="213" t="s">
        <v>546</v>
      </c>
      <c r="B23" s="64">
        <v>101.07</v>
      </c>
      <c r="C23" s="64">
        <v>50.84</v>
      </c>
      <c r="D23" s="64">
        <v>106.23</v>
      </c>
      <c r="E23" s="64">
        <v>8.52</v>
      </c>
      <c r="F23" s="64">
        <v>2.13</v>
      </c>
      <c r="G23" s="64">
        <v>125.95</v>
      </c>
      <c r="H23" s="64">
        <v>40.93</v>
      </c>
      <c r="I23" s="214" t="s">
        <v>43</v>
      </c>
      <c r="J23" s="64">
        <v>0.56000000000000005</v>
      </c>
      <c r="K23" s="64">
        <v>109.78</v>
      </c>
      <c r="L23" s="64">
        <v>17.93</v>
      </c>
      <c r="M23" s="64">
        <v>81.84</v>
      </c>
      <c r="N23" s="64">
        <v>74.8</v>
      </c>
      <c r="O23" s="64">
        <v>0</v>
      </c>
      <c r="P23" s="64">
        <v>1.6</v>
      </c>
      <c r="Q23" s="64">
        <v>10.06</v>
      </c>
      <c r="R23" s="198"/>
      <c r="S23" s="198"/>
      <c r="T23" s="198"/>
      <c r="U23" s="198"/>
    </row>
    <row r="24" spans="1:21" s="12" customFormat="1" x14ac:dyDescent="0.25">
      <c r="A24" s="213" t="s">
        <v>547</v>
      </c>
      <c r="B24" s="64">
        <v>98.62</v>
      </c>
      <c r="C24" s="64">
        <v>50.51</v>
      </c>
      <c r="D24" s="64">
        <v>104.09</v>
      </c>
      <c r="E24" s="64">
        <v>8.4700000000000006</v>
      </c>
      <c r="F24" s="64">
        <v>2.13</v>
      </c>
      <c r="G24" s="64">
        <v>129.65</v>
      </c>
      <c r="H24" s="64">
        <v>42.58</v>
      </c>
      <c r="I24" s="214" t="s">
        <v>43</v>
      </c>
      <c r="J24" s="64">
        <v>0.4</v>
      </c>
      <c r="K24" s="64">
        <v>59.87</v>
      </c>
      <c r="L24" s="64">
        <v>17.93</v>
      </c>
      <c r="M24" s="64">
        <v>80.569999999999993</v>
      </c>
      <c r="N24" s="64">
        <v>74.8</v>
      </c>
      <c r="O24" s="64">
        <v>0</v>
      </c>
      <c r="P24" s="64">
        <v>1.67</v>
      </c>
      <c r="Q24" s="64">
        <v>10.050000000000001</v>
      </c>
      <c r="R24" s="198"/>
      <c r="S24" s="198"/>
      <c r="T24" s="198"/>
      <c r="U24" s="198"/>
    </row>
    <row r="25" spans="1:21" s="12" customFormat="1" x14ac:dyDescent="0.25">
      <c r="A25" s="213" t="s">
        <v>548</v>
      </c>
      <c r="B25" s="64">
        <v>96.57</v>
      </c>
      <c r="C25" s="64">
        <v>51.66</v>
      </c>
      <c r="D25" s="64">
        <v>103.05</v>
      </c>
      <c r="E25" s="64">
        <v>8.09</v>
      </c>
      <c r="F25" s="64">
        <v>2.13</v>
      </c>
      <c r="G25" s="64">
        <v>134.07</v>
      </c>
      <c r="H25" s="64">
        <v>44.65</v>
      </c>
      <c r="I25" s="214" t="s">
        <v>43</v>
      </c>
      <c r="J25" s="64">
        <v>0.44</v>
      </c>
      <c r="K25" s="64">
        <v>68.39</v>
      </c>
      <c r="L25" s="64">
        <v>18.010000000000002</v>
      </c>
      <c r="M25" s="64">
        <v>77.989999999999995</v>
      </c>
      <c r="N25" s="64">
        <v>74.7</v>
      </c>
      <c r="O25" s="64">
        <v>0</v>
      </c>
      <c r="P25" s="64">
        <v>1.66</v>
      </c>
      <c r="Q25" s="64">
        <v>10.039999999999999</v>
      </c>
      <c r="R25" s="198"/>
      <c r="S25" s="198"/>
      <c r="T25" s="198"/>
      <c r="U25" s="198"/>
    </row>
    <row r="26" spans="1:21" s="12" customFormat="1" x14ac:dyDescent="0.25">
      <c r="A26" s="213" t="s">
        <v>549</v>
      </c>
      <c r="B26" s="64">
        <v>93.63</v>
      </c>
      <c r="C26" s="64">
        <v>52.51</v>
      </c>
      <c r="D26" s="64">
        <v>101.14</v>
      </c>
      <c r="E26" s="64">
        <v>8.59</v>
      </c>
      <c r="F26" s="64">
        <v>2.13</v>
      </c>
      <c r="G26" s="64">
        <v>134.07</v>
      </c>
      <c r="H26" s="64">
        <v>44.65</v>
      </c>
      <c r="I26" s="214" t="s">
        <v>43</v>
      </c>
      <c r="J26" s="64">
        <v>0.38</v>
      </c>
      <c r="K26" s="64">
        <v>354.53</v>
      </c>
      <c r="L26" s="64">
        <v>17.989999999999998</v>
      </c>
      <c r="M26" s="64">
        <v>76.63</v>
      </c>
      <c r="N26" s="64">
        <v>74.900000000000006</v>
      </c>
      <c r="O26" s="64">
        <v>0</v>
      </c>
      <c r="P26" s="64">
        <v>1.73</v>
      </c>
      <c r="Q26" s="64">
        <v>10.039999999999999</v>
      </c>
      <c r="R26" s="198"/>
      <c r="S26" s="198"/>
      <c r="T26" s="198"/>
      <c r="U26" s="198"/>
    </row>
    <row r="27" spans="1:21" s="12" customFormat="1" x14ac:dyDescent="0.25">
      <c r="A27" s="213" t="s">
        <v>550</v>
      </c>
      <c r="B27" s="64">
        <v>90.25</v>
      </c>
      <c r="C27" s="64">
        <v>51.71</v>
      </c>
      <c r="D27" s="64">
        <v>98.01</v>
      </c>
      <c r="E27" s="64">
        <v>8.65</v>
      </c>
      <c r="F27" s="64">
        <v>2.13</v>
      </c>
      <c r="G27" s="64">
        <v>134.07</v>
      </c>
      <c r="H27" s="64">
        <v>44.65</v>
      </c>
      <c r="I27" s="214" t="s">
        <v>43</v>
      </c>
      <c r="J27" s="64">
        <v>0.48</v>
      </c>
      <c r="K27" s="64">
        <v>339.17</v>
      </c>
      <c r="L27" s="64">
        <v>17.91</v>
      </c>
      <c r="M27" s="64">
        <v>76.510000000000005</v>
      </c>
      <c r="N27" s="64">
        <v>74.900000000000006</v>
      </c>
      <c r="O27" s="64">
        <v>0</v>
      </c>
      <c r="P27" s="64">
        <v>1.64</v>
      </c>
      <c r="Q27" s="64">
        <v>10.01</v>
      </c>
      <c r="R27" s="198"/>
      <c r="S27" s="198"/>
      <c r="T27" s="198"/>
      <c r="U27" s="198"/>
    </row>
    <row r="28" spans="1:21" s="12" customFormat="1" x14ac:dyDescent="0.25">
      <c r="A28" s="213" t="s">
        <v>551</v>
      </c>
      <c r="B28" s="64">
        <v>86.16</v>
      </c>
      <c r="C28" s="64">
        <v>52.94</v>
      </c>
      <c r="D28" s="64">
        <v>95.37</v>
      </c>
      <c r="E28" s="64">
        <v>8.09</v>
      </c>
      <c r="F28" s="64">
        <v>2.13</v>
      </c>
      <c r="G28" s="64">
        <v>127.58</v>
      </c>
      <c r="H28" s="64">
        <v>40.17</v>
      </c>
      <c r="I28" s="214" t="s">
        <v>43</v>
      </c>
      <c r="J28" s="64">
        <v>0.35</v>
      </c>
      <c r="K28" s="64">
        <v>0.35</v>
      </c>
      <c r="L28" s="64">
        <v>17.93</v>
      </c>
      <c r="M28" s="64">
        <v>75.36</v>
      </c>
      <c r="N28" s="64">
        <v>75</v>
      </c>
      <c r="O28" s="64">
        <v>0</v>
      </c>
      <c r="P28" s="64">
        <v>1.57</v>
      </c>
      <c r="Q28" s="64">
        <v>10</v>
      </c>
      <c r="R28" s="198"/>
      <c r="S28" s="198"/>
      <c r="T28" s="198"/>
      <c r="U28" s="198"/>
    </row>
    <row r="29" spans="1:21" s="12" customFormat="1" x14ac:dyDescent="0.25">
      <c r="A29" s="213" t="s">
        <v>552</v>
      </c>
      <c r="B29" s="64">
        <v>82.15</v>
      </c>
      <c r="C29" s="64">
        <v>52.52</v>
      </c>
      <c r="D29" s="64">
        <v>91.94</v>
      </c>
      <c r="E29" s="64">
        <v>8.09</v>
      </c>
      <c r="F29" s="64">
        <v>2.13</v>
      </c>
      <c r="G29" s="64">
        <v>119.84</v>
      </c>
      <c r="H29" s="64">
        <v>34.82</v>
      </c>
      <c r="I29" s="214" t="s">
        <v>43</v>
      </c>
      <c r="J29" s="64">
        <v>0.17</v>
      </c>
      <c r="K29" s="64">
        <v>43.86</v>
      </c>
      <c r="L29" s="64">
        <v>17.940000000000001</v>
      </c>
      <c r="M29" s="64">
        <v>74.64</v>
      </c>
      <c r="N29" s="64">
        <v>74.900000000000006</v>
      </c>
      <c r="O29" s="64">
        <v>0</v>
      </c>
      <c r="P29" s="64">
        <v>1.56</v>
      </c>
      <c r="Q29" s="64">
        <v>9.99</v>
      </c>
      <c r="R29" s="198"/>
      <c r="S29" s="198"/>
      <c r="T29" s="198"/>
      <c r="U29" s="198"/>
    </row>
    <row r="30" spans="1:21" s="12" customFormat="1" x14ac:dyDescent="0.25">
      <c r="A30" s="213" t="s">
        <v>553</v>
      </c>
      <c r="B30" s="64">
        <v>78.040000000000006</v>
      </c>
      <c r="C30" s="64">
        <v>51.84</v>
      </c>
      <c r="D30" s="64">
        <v>88.29</v>
      </c>
      <c r="E30" s="64">
        <v>8</v>
      </c>
      <c r="F30" s="64">
        <v>2.13</v>
      </c>
      <c r="G30" s="64">
        <v>119.84</v>
      </c>
      <c r="H30" s="64">
        <v>34.82</v>
      </c>
      <c r="I30" s="214" t="s">
        <v>43</v>
      </c>
      <c r="J30" s="64">
        <v>0.17</v>
      </c>
      <c r="K30" s="64">
        <v>32.15</v>
      </c>
      <c r="L30" s="64">
        <v>17.87</v>
      </c>
      <c r="M30" s="64">
        <v>75.02</v>
      </c>
      <c r="N30" s="64">
        <v>75</v>
      </c>
      <c r="O30" s="64">
        <v>0</v>
      </c>
      <c r="P30" s="64">
        <v>1.52</v>
      </c>
      <c r="Q30" s="64">
        <v>9.9600000000000009</v>
      </c>
      <c r="R30" s="198"/>
      <c r="S30" s="198"/>
      <c r="T30" s="198"/>
      <c r="U30" s="198"/>
    </row>
    <row r="31" spans="1:21" s="12" customFormat="1" x14ac:dyDescent="0.25">
      <c r="A31" s="213" t="s">
        <v>554</v>
      </c>
      <c r="B31" s="64">
        <v>74.23</v>
      </c>
      <c r="C31" s="64">
        <v>53.51</v>
      </c>
      <c r="D31" s="64">
        <v>86.11</v>
      </c>
      <c r="E31" s="64">
        <v>7.82</v>
      </c>
      <c r="F31" s="64">
        <v>2.13</v>
      </c>
      <c r="G31" s="64">
        <v>119.84</v>
      </c>
      <c r="H31" s="64">
        <v>34.82</v>
      </c>
      <c r="I31" s="214" t="s">
        <v>43</v>
      </c>
      <c r="J31" s="64">
        <v>0.17</v>
      </c>
      <c r="K31" s="64">
        <v>23.94</v>
      </c>
      <c r="L31" s="64">
        <v>17.62</v>
      </c>
      <c r="M31" s="64">
        <v>76.66</v>
      </c>
      <c r="N31" s="64">
        <v>75.2</v>
      </c>
      <c r="O31" s="64">
        <v>0</v>
      </c>
      <c r="P31" s="64">
        <v>1.44</v>
      </c>
      <c r="Q31" s="64">
        <v>9.9499999999999993</v>
      </c>
      <c r="R31" s="198"/>
      <c r="S31" s="198"/>
      <c r="T31" s="198"/>
      <c r="U31" s="198"/>
    </row>
    <row r="32" spans="1:21" s="12" customFormat="1" x14ac:dyDescent="0.25">
      <c r="A32" s="213" t="s">
        <v>555</v>
      </c>
      <c r="B32" s="64">
        <v>70.760000000000005</v>
      </c>
      <c r="C32" s="64">
        <v>53.09</v>
      </c>
      <c r="D32" s="64">
        <v>83.11</v>
      </c>
      <c r="E32" s="64">
        <v>7.89</v>
      </c>
      <c r="F32" s="64">
        <v>2.13</v>
      </c>
      <c r="G32" s="64">
        <v>112.45</v>
      </c>
      <c r="H32" s="64">
        <v>40.75</v>
      </c>
      <c r="I32" s="214" t="s">
        <v>43</v>
      </c>
      <c r="J32" s="64">
        <v>0.36</v>
      </c>
      <c r="K32" s="64">
        <v>75.06</v>
      </c>
      <c r="L32" s="64">
        <v>17.55</v>
      </c>
      <c r="M32" s="64">
        <v>77.02</v>
      </c>
      <c r="N32" s="64">
        <v>74.900000000000006</v>
      </c>
      <c r="O32" s="64">
        <v>0</v>
      </c>
      <c r="P32" s="64">
        <v>1.39</v>
      </c>
      <c r="Q32" s="64">
        <v>9.94</v>
      </c>
      <c r="R32" s="198"/>
      <c r="S32" s="198"/>
      <c r="T32" s="198"/>
      <c r="U32" s="198"/>
    </row>
    <row r="33" spans="1:21" s="12" customFormat="1" x14ac:dyDescent="0.25">
      <c r="A33" s="213" t="s">
        <v>556</v>
      </c>
      <c r="B33" s="64">
        <v>67.2</v>
      </c>
      <c r="C33" s="64">
        <v>53.62</v>
      </c>
      <c r="D33" s="64">
        <v>80.53</v>
      </c>
      <c r="E33" s="64">
        <v>7.65</v>
      </c>
      <c r="F33" s="64">
        <v>2.13</v>
      </c>
      <c r="G33" s="64">
        <v>103.63</v>
      </c>
      <c r="H33" s="64">
        <v>48.17</v>
      </c>
      <c r="I33" s="214" t="s">
        <v>43</v>
      </c>
      <c r="J33" s="64">
        <v>0.14000000000000001</v>
      </c>
      <c r="K33" s="64">
        <v>49.45</v>
      </c>
      <c r="L33" s="64">
        <v>17.41</v>
      </c>
      <c r="M33" s="64">
        <v>78.11</v>
      </c>
      <c r="N33" s="64">
        <v>75.3</v>
      </c>
      <c r="O33" s="64">
        <v>0</v>
      </c>
      <c r="P33" s="64">
        <v>1.36</v>
      </c>
      <c r="Q33" s="64">
        <v>9.93</v>
      </c>
      <c r="R33" s="198"/>
      <c r="S33" s="198"/>
      <c r="T33" s="198"/>
      <c r="U33" s="198"/>
    </row>
    <row r="34" spans="1:21" s="12" customFormat="1" x14ac:dyDescent="0.25">
      <c r="A34" s="213" t="s">
        <v>557</v>
      </c>
      <c r="B34" s="64">
        <v>64.48</v>
      </c>
      <c r="C34" s="64">
        <v>49.59</v>
      </c>
      <c r="D34" s="64">
        <v>76.239999999999995</v>
      </c>
      <c r="E34" s="64">
        <v>7.47</v>
      </c>
      <c r="F34" s="64">
        <v>2.13</v>
      </c>
      <c r="G34" s="64">
        <v>103.63</v>
      </c>
      <c r="H34" s="64">
        <v>48.17</v>
      </c>
      <c r="I34" s="214" t="s">
        <v>43</v>
      </c>
      <c r="J34" s="64">
        <v>0.28000000000000003</v>
      </c>
      <c r="K34" s="64">
        <v>68.14</v>
      </c>
      <c r="L34" s="64">
        <v>17.21</v>
      </c>
      <c r="M34" s="64">
        <v>78.72</v>
      </c>
      <c r="N34" s="64">
        <v>76.400000000000006</v>
      </c>
      <c r="O34" s="64">
        <v>0</v>
      </c>
      <c r="P34" s="64">
        <v>1.18</v>
      </c>
      <c r="Q34" s="64">
        <v>9.92</v>
      </c>
      <c r="R34" s="198"/>
      <c r="S34" s="198"/>
      <c r="T34" s="198"/>
      <c r="U34" s="198"/>
    </row>
    <row r="35" spans="1:21" s="12" customFormat="1" x14ac:dyDescent="0.25">
      <c r="A35" s="213" t="s">
        <v>558</v>
      </c>
      <c r="B35" s="64">
        <v>62.09</v>
      </c>
      <c r="C35" s="64">
        <v>47.6</v>
      </c>
      <c r="D35" s="64">
        <v>73.290000000000006</v>
      </c>
      <c r="E35" s="64">
        <v>7.15</v>
      </c>
      <c r="F35" s="64">
        <v>2.13</v>
      </c>
      <c r="G35" s="64">
        <v>103.63</v>
      </c>
      <c r="H35" s="64">
        <v>48.17</v>
      </c>
      <c r="I35" s="214" t="s">
        <v>43</v>
      </c>
      <c r="J35" s="64">
        <v>0.2</v>
      </c>
      <c r="K35" s="64">
        <v>357.6</v>
      </c>
      <c r="L35" s="64">
        <v>17.329999999999998</v>
      </c>
      <c r="M35" s="64">
        <v>78.3</v>
      </c>
      <c r="N35" s="64">
        <v>80</v>
      </c>
      <c r="O35" s="64">
        <v>0</v>
      </c>
      <c r="P35" s="64">
        <v>1.08</v>
      </c>
      <c r="Q35" s="64">
        <v>9.93</v>
      </c>
      <c r="R35" s="198"/>
      <c r="S35" s="198"/>
      <c r="T35" s="198"/>
      <c r="U35" s="198"/>
    </row>
    <row r="36" spans="1:21" s="12" customFormat="1" x14ac:dyDescent="0.25">
      <c r="A36" s="213" t="s">
        <v>559</v>
      </c>
      <c r="B36" s="64">
        <v>60.56</v>
      </c>
      <c r="C36" s="64">
        <v>49.16</v>
      </c>
      <c r="D36" s="64">
        <v>72.87</v>
      </c>
      <c r="E36" s="64">
        <v>7.24</v>
      </c>
      <c r="F36" s="64">
        <v>2.13</v>
      </c>
      <c r="G36" s="64">
        <v>95.36</v>
      </c>
      <c r="H36" s="64">
        <v>46.99</v>
      </c>
      <c r="I36" s="214" t="s">
        <v>43</v>
      </c>
      <c r="J36" s="64">
        <v>0.1</v>
      </c>
      <c r="K36" s="64">
        <v>65.36</v>
      </c>
      <c r="L36" s="64">
        <v>17.489999999999998</v>
      </c>
      <c r="M36" s="64">
        <v>77.63</v>
      </c>
      <c r="N36" s="64">
        <v>91.3</v>
      </c>
      <c r="O36" s="64">
        <v>0</v>
      </c>
      <c r="P36" s="64">
        <v>1.07</v>
      </c>
      <c r="Q36" s="64">
        <v>9.85</v>
      </c>
      <c r="R36" s="198"/>
      <c r="S36" s="198"/>
      <c r="T36" s="198"/>
      <c r="U36" s="198"/>
    </row>
    <row r="37" spans="1:21" s="12" customFormat="1" x14ac:dyDescent="0.25">
      <c r="A37" s="213" t="s">
        <v>560</v>
      </c>
      <c r="B37" s="64">
        <v>59.24</v>
      </c>
      <c r="C37" s="64">
        <v>49.83</v>
      </c>
      <c r="D37" s="64">
        <v>72.16</v>
      </c>
      <c r="E37" s="64">
        <v>6.99</v>
      </c>
      <c r="F37" s="64">
        <v>2.13</v>
      </c>
      <c r="G37" s="64">
        <v>85.48</v>
      </c>
      <c r="H37" s="64">
        <v>45.58</v>
      </c>
      <c r="I37" s="214" t="s">
        <v>43</v>
      </c>
      <c r="J37" s="64">
        <v>0.72</v>
      </c>
      <c r="K37" s="64">
        <v>113.76</v>
      </c>
      <c r="L37" s="64">
        <v>17.8</v>
      </c>
      <c r="M37" s="64">
        <v>76.180000000000007</v>
      </c>
      <c r="N37" s="64">
        <v>104.4</v>
      </c>
      <c r="O37" s="64">
        <v>0</v>
      </c>
      <c r="P37" s="64">
        <v>1.19</v>
      </c>
      <c r="Q37" s="64">
        <v>9.81</v>
      </c>
      <c r="R37" s="198"/>
      <c r="S37" s="198"/>
      <c r="T37" s="198"/>
      <c r="U37" s="198"/>
    </row>
    <row r="38" spans="1:21" s="12" customFormat="1" x14ac:dyDescent="0.25">
      <c r="A38" s="213" t="s">
        <v>561</v>
      </c>
      <c r="B38" s="64">
        <v>57.38</v>
      </c>
      <c r="C38" s="64">
        <v>50.14</v>
      </c>
      <c r="D38" s="64">
        <v>70.84</v>
      </c>
      <c r="E38" s="64">
        <v>7.15</v>
      </c>
      <c r="F38" s="64">
        <v>2.13</v>
      </c>
      <c r="G38" s="64">
        <v>85.48</v>
      </c>
      <c r="H38" s="64">
        <v>45.58</v>
      </c>
      <c r="I38" s="214" t="s">
        <v>43</v>
      </c>
      <c r="J38" s="64">
        <v>0.79</v>
      </c>
      <c r="K38" s="64">
        <v>107.78</v>
      </c>
      <c r="L38" s="64">
        <v>18.43</v>
      </c>
      <c r="M38" s="64">
        <v>71.459999999999994</v>
      </c>
      <c r="N38" s="64">
        <v>118.5</v>
      </c>
      <c r="O38" s="64">
        <v>0</v>
      </c>
      <c r="P38" s="64">
        <v>1.19</v>
      </c>
      <c r="Q38" s="64">
        <v>9.82</v>
      </c>
      <c r="R38" s="198"/>
      <c r="S38" s="198"/>
      <c r="T38" s="198"/>
      <c r="U38" s="198"/>
    </row>
    <row r="39" spans="1:21" s="12" customFormat="1" x14ac:dyDescent="0.25">
      <c r="A39" s="213" t="s">
        <v>562</v>
      </c>
      <c r="B39" s="64">
        <v>55.01</v>
      </c>
      <c r="C39" s="64">
        <v>50.35</v>
      </c>
      <c r="D39" s="64">
        <v>69.040000000000006</v>
      </c>
      <c r="E39" s="64">
        <v>7.32</v>
      </c>
      <c r="F39" s="64">
        <v>2.13</v>
      </c>
      <c r="G39" s="64">
        <v>85.48</v>
      </c>
      <c r="H39" s="64">
        <v>45.58</v>
      </c>
      <c r="I39" s="214" t="s">
        <v>43</v>
      </c>
      <c r="J39" s="64">
        <v>1.45</v>
      </c>
      <c r="K39" s="64">
        <v>102.82</v>
      </c>
      <c r="L39" s="64">
        <v>18.84</v>
      </c>
      <c r="M39" s="64">
        <v>68.3</v>
      </c>
      <c r="N39" s="64">
        <v>171.4</v>
      </c>
      <c r="O39" s="64">
        <v>0</v>
      </c>
      <c r="P39" s="64">
        <v>1.25</v>
      </c>
      <c r="Q39" s="64">
        <v>9.81</v>
      </c>
      <c r="R39" s="198"/>
      <c r="S39" s="198"/>
      <c r="T39" s="198"/>
      <c r="U39" s="198"/>
    </row>
    <row r="40" spans="1:21" s="12" customFormat="1" x14ac:dyDescent="0.25">
      <c r="A40" s="213" t="s">
        <v>563</v>
      </c>
      <c r="B40" s="64">
        <v>52.21</v>
      </c>
      <c r="C40" s="64">
        <v>50.83</v>
      </c>
      <c r="D40" s="64">
        <v>67.05</v>
      </c>
      <c r="E40" s="64">
        <v>6</v>
      </c>
      <c r="F40" s="64">
        <v>2.13</v>
      </c>
      <c r="G40" s="64">
        <v>83.37</v>
      </c>
      <c r="H40" s="64">
        <v>52.28</v>
      </c>
      <c r="I40" s="214" t="s">
        <v>43</v>
      </c>
      <c r="J40" s="64">
        <v>1.05</v>
      </c>
      <c r="K40" s="64">
        <v>111.62</v>
      </c>
      <c r="L40" s="64">
        <v>19.86</v>
      </c>
      <c r="M40" s="64">
        <v>64.510000000000005</v>
      </c>
      <c r="N40" s="64">
        <v>237.6</v>
      </c>
      <c r="O40" s="64">
        <v>0</v>
      </c>
      <c r="P40" s="64">
        <v>1.1599999999999999</v>
      </c>
      <c r="Q40" s="64">
        <v>9.8000000000000007</v>
      </c>
      <c r="R40" s="198"/>
      <c r="S40" s="198"/>
      <c r="T40" s="198"/>
      <c r="U40" s="198"/>
    </row>
    <row r="41" spans="1:21" s="12" customFormat="1" x14ac:dyDescent="0.25">
      <c r="A41" s="213" t="s">
        <v>564</v>
      </c>
      <c r="B41" s="64">
        <v>49.83</v>
      </c>
      <c r="C41" s="64">
        <v>51.68</v>
      </c>
      <c r="D41" s="64">
        <v>65.58</v>
      </c>
      <c r="E41" s="64">
        <v>6.3</v>
      </c>
      <c r="F41" s="64">
        <v>2.13</v>
      </c>
      <c r="G41" s="64">
        <v>80.849999999999994</v>
      </c>
      <c r="H41" s="64">
        <v>60.66</v>
      </c>
      <c r="I41" s="214" t="s">
        <v>43</v>
      </c>
      <c r="J41" s="64">
        <v>0.68</v>
      </c>
      <c r="K41" s="64">
        <v>101.41</v>
      </c>
      <c r="L41" s="64">
        <v>21.34</v>
      </c>
      <c r="M41" s="64">
        <v>60.01</v>
      </c>
      <c r="N41" s="64">
        <v>279.3</v>
      </c>
      <c r="O41" s="64">
        <v>0</v>
      </c>
      <c r="P41" s="64">
        <v>1.1399999999999999</v>
      </c>
      <c r="Q41" s="64">
        <v>9.7799999999999994</v>
      </c>
      <c r="R41" s="198"/>
      <c r="S41" s="198"/>
      <c r="T41" s="198"/>
      <c r="U41" s="198"/>
    </row>
    <row r="42" spans="1:21" s="12" customFormat="1" x14ac:dyDescent="0.25">
      <c r="A42" s="213" t="s">
        <v>565</v>
      </c>
      <c r="B42" s="64">
        <v>47.85</v>
      </c>
      <c r="C42" s="64">
        <v>56.16</v>
      </c>
      <c r="D42" s="64">
        <v>66.34</v>
      </c>
      <c r="E42" s="64">
        <v>6.39</v>
      </c>
      <c r="F42" s="64">
        <v>2.13</v>
      </c>
      <c r="G42" s="64">
        <v>80.849999999999994</v>
      </c>
      <c r="H42" s="64">
        <v>60.66</v>
      </c>
      <c r="I42" s="214" t="s">
        <v>43</v>
      </c>
      <c r="J42" s="64">
        <v>0.39</v>
      </c>
      <c r="K42" s="64">
        <v>74.63</v>
      </c>
      <c r="L42" s="64">
        <v>22.35</v>
      </c>
      <c r="M42" s="64">
        <v>56.79</v>
      </c>
      <c r="N42" s="64">
        <v>327.8</v>
      </c>
      <c r="O42" s="64">
        <v>0</v>
      </c>
      <c r="P42" s="64">
        <v>1.17</v>
      </c>
      <c r="Q42" s="64">
        <v>9.7899999999999991</v>
      </c>
      <c r="R42" s="198"/>
      <c r="S42" s="198"/>
      <c r="T42" s="198"/>
      <c r="U42" s="198"/>
    </row>
    <row r="43" spans="1:21" s="12" customFormat="1" x14ac:dyDescent="0.25">
      <c r="A43" s="213" t="s">
        <v>566</v>
      </c>
      <c r="B43" s="64">
        <v>45.97</v>
      </c>
      <c r="C43" s="64">
        <v>59.37</v>
      </c>
      <c r="D43" s="64">
        <v>66.510000000000005</v>
      </c>
      <c r="E43" s="64">
        <v>6.62</v>
      </c>
      <c r="F43" s="64">
        <v>2.13</v>
      </c>
      <c r="G43" s="64">
        <v>80.849999999999994</v>
      </c>
      <c r="H43" s="64">
        <v>60.66</v>
      </c>
      <c r="I43" s="214" t="s">
        <v>43</v>
      </c>
      <c r="J43" s="64">
        <v>0.24</v>
      </c>
      <c r="K43" s="64">
        <v>100.05</v>
      </c>
      <c r="L43" s="64">
        <v>24.47</v>
      </c>
      <c r="M43" s="64">
        <v>50.05</v>
      </c>
      <c r="N43" s="64">
        <v>369.7</v>
      </c>
      <c r="O43" s="64">
        <v>0</v>
      </c>
      <c r="P43" s="64">
        <v>1.1599999999999999</v>
      </c>
      <c r="Q43" s="64">
        <v>9.76</v>
      </c>
      <c r="R43" s="198"/>
      <c r="S43" s="198"/>
      <c r="T43" s="198"/>
      <c r="U43" s="198"/>
    </row>
    <row r="44" spans="1:21" s="12" customFormat="1" x14ac:dyDescent="0.25">
      <c r="A44" s="213" t="s">
        <v>567</v>
      </c>
      <c r="B44" s="64">
        <v>43.69</v>
      </c>
      <c r="C44" s="64">
        <v>56.21</v>
      </c>
      <c r="D44" s="64">
        <v>63.03</v>
      </c>
      <c r="E44" s="64">
        <v>6.05</v>
      </c>
      <c r="F44" s="64">
        <v>2.13</v>
      </c>
      <c r="G44" s="64">
        <v>84.92</v>
      </c>
      <c r="H44" s="64">
        <v>54.58</v>
      </c>
      <c r="I44" s="214" t="s">
        <v>43</v>
      </c>
      <c r="J44" s="64">
        <v>0.52</v>
      </c>
      <c r="K44" s="64">
        <v>88.22</v>
      </c>
      <c r="L44" s="64">
        <v>24.33</v>
      </c>
      <c r="M44" s="64">
        <v>51</v>
      </c>
      <c r="N44" s="64">
        <v>403.5</v>
      </c>
      <c r="O44" s="64">
        <v>0</v>
      </c>
      <c r="P44" s="64">
        <v>1.1299999999999999</v>
      </c>
      <c r="Q44" s="64">
        <v>9.75</v>
      </c>
      <c r="R44" s="198"/>
      <c r="S44" s="198"/>
      <c r="T44" s="198"/>
      <c r="U44" s="198"/>
    </row>
    <row r="45" spans="1:21" s="12" customFormat="1" x14ac:dyDescent="0.25">
      <c r="A45" s="213" t="s">
        <v>568</v>
      </c>
      <c r="B45" s="64">
        <v>41.23</v>
      </c>
      <c r="C45" s="64">
        <v>59.15</v>
      </c>
      <c r="D45" s="64">
        <v>62.59</v>
      </c>
      <c r="E45" s="64">
        <v>6.31</v>
      </c>
      <c r="F45" s="64">
        <v>2.13</v>
      </c>
      <c r="G45" s="64">
        <v>89.79</v>
      </c>
      <c r="H45" s="64">
        <v>47.31</v>
      </c>
      <c r="I45" s="214" t="s">
        <v>43</v>
      </c>
      <c r="J45" s="64">
        <v>0.39</v>
      </c>
      <c r="K45" s="64">
        <v>35.22</v>
      </c>
      <c r="L45" s="64">
        <v>25.9</v>
      </c>
      <c r="M45" s="64">
        <v>46.42</v>
      </c>
      <c r="N45" s="64">
        <v>433.2</v>
      </c>
      <c r="O45" s="64">
        <v>0</v>
      </c>
      <c r="P45" s="64">
        <v>1.1100000000000001</v>
      </c>
      <c r="Q45" s="64">
        <v>9.74</v>
      </c>
      <c r="R45" s="198"/>
      <c r="S45" s="198"/>
      <c r="T45" s="198"/>
      <c r="U45" s="198"/>
    </row>
    <row r="46" spans="1:21" s="12" customFormat="1" x14ac:dyDescent="0.25">
      <c r="A46" s="213" t="s">
        <v>569</v>
      </c>
      <c r="B46" s="64">
        <v>38.76</v>
      </c>
      <c r="C46" s="64">
        <v>60.5</v>
      </c>
      <c r="D46" s="64">
        <v>61.32</v>
      </c>
      <c r="E46" s="64">
        <v>6.09</v>
      </c>
      <c r="F46" s="64">
        <v>2.13</v>
      </c>
      <c r="G46" s="64">
        <v>89.79</v>
      </c>
      <c r="H46" s="64">
        <v>47.31</v>
      </c>
      <c r="I46" s="214" t="s">
        <v>43</v>
      </c>
      <c r="J46" s="64">
        <v>0.34</v>
      </c>
      <c r="K46" s="64">
        <v>76.17</v>
      </c>
      <c r="L46" s="64">
        <v>26.4</v>
      </c>
      <c r="M46" s="64">
        <v>45.4</v>
      </c>
      <c r="N46" s="64">
        <v>451.7</v>
      </c>
      <c r="O46" s="64">
        <v>0</v>
      </c>
      <c r="P46" s="64">
        <v>1.08</v>
      </c>
      <c r="Q46" s="64">
        <v>9.76</v>
      </c>
      <c r="R46" s="198"/>
      <c r="S46" s="198"/>
      <c r="T46" s="198"/>
      <c r="U46" s="198"/>
    </row>
    <row r="47" spans="1:21" s="12" customFormat="1" x14ac:dyDescent="0.25">
      <c r="A47" s="213" t="s">
        <v>570</v>
      </c>
      <c r="B47" s="64">
        <v>35.369999999999997</v>
      </c>
      <c r="C47" s="64">
        <v>60.5</v>
      </c>
      <c r="D47" s="64">
        <v>58.59</v>
      </c>
      <c r="E47" s="64">
        <v>5.63</v>
      </c>
      <c r="F47" s="64">
        <v>2.13</v>
      </c>
      <c r="G47" s="64">
        <v>89.79</v>
      </c>
      <c r="H47" s="64">
        <v>47.31</v>
      </c>
      <c r="I47" s="214" t="s">
        <v>43</v>
      </c>
      <c r="J47" s="64">
        <v>1.32</v>
      </c>
      <c r="K47" s="64">
        <v>117.08</v>
      </c>
      <c r="L47" s="64">
        <v>25.28</v>
      </c>
      <c r="M47" s="64">
        <v>47.49</v>
      </c>
      <c r="N47" s="64">
        <v>474.2</v>
      </c>
      <c r="O47" s="64">
        <v>0</v>
      </c>
      <c r="P47" s="64">
        <v>1.06</v>
      </c>
      <c r="Q47" s="64">
        <v>9.75</v>
      </c>
      <c r="R47" s="198"/>
      <c r="S47" s="198"/>
      <c r="T47" s="198"/>
      <c r="U47" s="198"/>
    </row>
    <row r="48" spans="1:21" s="12" customFormat="1" x14ac:dyDescent="0.25">
      <c r="A48" s="213" t="s">
        <v>571</v>
      </c>
      <c r="B48" s="64">
        <v>31.44</v>
      </c>
      <c r="C48" s="64">
        <v>62.29</v>
      </c>
      <c r="D48" s="64">
        <v>56.38</v>
      </c>
      <c r="E48" s="64">
        <v>6.01</v>
      </c>
      <c r="F48" s="64">
        <v>2.13</v>
      </c>
      <c r="G48" s="64">
        <v>97.06</v>
      </c>
      <c r="H48" s="64">
        <v>48.44</v>
      </c>
      <c r="I48" s="214" t="s">
        <v>43</v>
      </c>
      <c r="J48" s="64">
        <v>1.23</v>
      </c>
      <c r="K48" s="64">
        <v>107.47</v>
      </c>
      <c r="L48" s="64">
        <v>25.52</v>
      </c>
      <c r="M48" s="64">
        <v>47.08</v>
      </c>
      <c r="N48" s="64">
        <v>498.1</v>
      </c>
      <c r="O48" s="64">
        <v>0</v>
      </c>
      <c r="P48" s="64">
        <v>1.03</v>
      </c>
      <c r="Q48" s="64">
        <v>9.74</v>
      </c>
      <c r="R48" s="198"/>
      <c r="S48" s="198"/>
      <c r="T48" s="198"/>
      <c r="U48" s="198"/>
    </row>
    <row r="49" spans="1:21" s="12" customFormat="1" x14ac:dyDescent="0.25">
      <c r="A49" s="213" t="s">
        <v>572</v>
      </c>
      <c r="B49" s="64">
        <v>27.52</v>
      </c>
      <c r="C49" s="64">
        <v>63.69</v>
      </c>
      <c r="D49" s="64">
        <v>53.97</v>
      </c>
      <c r="E49" s="64">
        <v>6.09</v>
      </c>
      <c r="F49" s="64">
        <v>2.13</v>
      </c>
      <c r="G49" s="64">
        <v>105.75</v>
      </c>
      <c r="H49" s="64">
        <v>49.79</v>
      </c>
      <c r="I49" s="214" t="s">
        <v>43</v>
      </c>
      <c r="J49" s="64">
        <v>1.28</v>
      </c>
      <c r="K49" s="64">
        <v>104.17</v>
      </c>
      <c r="L49" s="64">
        <v>25.67</v>
      </c>
      <c r="M49" s="64">
        <v>46.34</v>
      </c>
      <c r="N49" s="64">
        <v>508.1</v>
      </c>
      <c r="O49" s="64">
        <v>0</v>
      </c>
      <c r="P49" s="64">
        <v>0.99</v>
      </c>
      <c r="Q49" s="64">
        <v>9.74</v>
      </c>
      <c r="R49" s="198"/>
      <c r="S49" s="198"/>
      <c r="T49" s="198"/>
      <c r="U49" s="198"/>
    </row>
    <row r="50" spans="1:21" s="12" customFormat="1" x14ac:dyDescent="0.25">
      <c r="A50" s="213" t="s">
        <v>573</v>
      </c>
      <c r="B50" s="64">
        <v>23.36</v>
      </c>
      <c r="C50" s="64">
        <v>62.92</v>
      </c>
      <c r="D50" s="64">
        <v>50.23</v>
      </c>
      <c r="E50" s="64">
        <v>5.85</v>
      </c>
      <c r="F50" s="64">
        <v>2.13</v>
      </c>
      <c r="G50" s="64">
        <v>105.75</v>
      </c>
      <c r="H50" s="64">
        <v>49.79</v>
      </c>
      <c r="I50" s="214" t="s">
        <v>43</v>
      </c>
      <c r="J50" s="64">
        <v>1.19</v>
      </c>
      <c r="K50" s="64">
        <v>100.9</v>
      </c>
      <c r="L50" s="64">
        <v>26.31</v>
      </c>
      <c r="M50" s="64">
        <v>44.29</v>
      </c>
      <c r="N50" s="64">
        <v>519.29999999999995</v>
      </c>
      <c r="O50" s="64">
        <v>0</v>
      </c>
      <c r="P50" s="64">
        <v>0.96</v>
      </c>
      <c r="Q50" s="64">
        <v>9.7100000000000009</v>
      </c>
      <c r="R50" s="198"/>
      <c r="S50" s="198"/>
      <c r="T50" s="198"/>
      <c r="U50" s="198"/>
    </row>
    <row r="51" spans="1:21" s="12" customFormat="1" x14ac:dyDescent="0.25">
      <c r="A51" s="213" t="s">
        <v>574</v>
      </c>
      <c r="B51" s="64">
        <v>19.670000000000002</v>
      </c>
      <c r="C51" s="64">
        <v>62.34</v>
      </c>
      <c r="D51" s="64">
        <v>46.97</v>
      </c>
      <c r="E51" s="64">
        <v>5.53</v>
      </c>
      <c r="F51" s="64">
        <v>2.13</v>
      </c>
      <c r="G51" s="64">
        <v>105.75</v>
      </c>
      <c r="H51" s="64">
        <v>49.79</v>
      </c>
      <c r="I51" s="214" t="s">
        <v>43</v>
      </c>
      <c r="J51" s="64">
        <v>0.9</v>
      </c>
      <c r="K51" s="64">
        <v>92.22</v>
      </c>
      <c r="L51" s="64">
        <v>27.47</v>
      </c>
      <c r="M51" s="64">
        <v>41.44</v>
      </c>
      <c r="N51" s="64">
        <v>532.79999999999995</v>
      </c>
      <c r="O51" s="64">
        <v>0</v>
      </c>
      <c r="P51" s="64">
        <v>0.9</v>
      </c>
      <c r="Q51" s="64">
        <v>9.69</v>
      </c>
      <c r="R51" s="198"/>
      <c r="S51" s="198"/>
      <c r="T51" s="198"/>
      <c r="U51" s="198"/>
    </row>
    <row r="52" spans="1:21" s="12" customFormat="1" x14ac:dyDescent="0.25">
      <c r="A52" s="213" t="s">
        <v>575</v>
      </c>
      <c r="B52" s="64">
        <v>16.86</v>
      </c>
      <c r="C52" s="64">
        <v>60.29</v>
      </c>
      <c r="D52" s="64">
        <v>43.65</v>
      </c>
      <c r="E52" s="64">
        <v>5.78</v>
      </c>
      <c r="F52" s="64">
        <v>2.13</v>
      </c>
      <c r="G52" s="64">
        <v>93.41</v>
      </c>
      <c r="H52" s="64">
        <v>45.92</v>
      </c>
      <c r="I52" s="214" t="s">
        <v>43</v>
      </c>
      <c r="J52" s="64">
        <v>1.1200000000000001</v>
      </c>
      <c r="K52" s="64">
        <v>120.1</v>
      </c>
      <c r="L52" s="64">
        <v>27.31</v>
      </c>
      <c r="M52" s="64">
        <v>41.26</v>
      </c>
      <c r="N52" s="64">
        <v>546.4</v>
      </c>
      <c r="O52" s="64">
        <v>0</v>
      </c>
      <c r="P52" s="64">
        <v>0.86</v>
      </c>
      <c r="Q52" s="64">
        <v>9.68</v>
      </c>
      <c r="R52" s="198"/>
      <c r="S52" s="198"/>
      <c r="T52" s="198"/>
      <c r="U52" s="198"/>
    </row>
    <row r="53" spans="1:21" s="12" customFormat="1" x14ac:dyDescent="0.25">
      <c r="A53" s="213" t="s">
        <v>576</v>
      </c>
      <c r="B53" s="64">
        <v>14.37</v>
      </c>
      <c r="C53" s="64">
        <v>60.97</v>
      </c>
      <c r="D53" s="64">
        <v>42</v>
      </c>
      <c r="E53" s="64">
        <v>5.59</v>
      </c>
      <c r="F53" s="64">
        <v>2.13</v>
      </c>
      <c r="G53" s="64">
        <v>78.650000000000006</v>
      </c>
      <c r="H53" s="64">
        <v>41.08</v>
      </c>
      <c r="I53" s="214" t="s">
        <v>43</v>
      </c>
      <c r="J53" s="64">
        <v>1.29</v>
      </c>
      <c r="K53" s="64">
        <v>108.82</v>
      </c>
      <c r="L53" s="64">
        <v>27.71</v>
      </c>
      <c r="M53" s="64">
        <v>40.479999999999997</v>
      </c>
      <c r="N53" s="64">
        <v>539</v>
      </c>
      <c r="O53" s="64">
        <v>0</v>
      </c>
      <c r="P53" s="64">
        <v>0.79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3" t="s">
        <v>577</v>
      </c>
      <c r="B54" s="64">
        <v>12.17</v>
      </c>
      <c r="C54" s="64">
        <v>61.14</v>
      </c>
      <c r="D54" s="64">
        <v>40.32</v>
      </c>
      <c r="E54" s="64">
        <v>6.02</v>
      </c>
      <c r="F54" s="64">
        <v>2.13</v>
      </c>
      <c r="G54" s="64">
        <v>78.650000000000006</v>
      </c>
      <c r="H54" s="64">
        <v>41.08</v>
      </c>
      <c r="I54" s="214" t="s">
        <v>43</v>
      </c>
      <c r="J54" s="64">
        <v>0.2</v>
      </c>
      <c r="K54" s="64">
        <v>159.33000000000001</v>
      </c>
      <c r="L54" s="64">
        <v>29.63</v>
      </c>
      <c r="M54" s="64">
        <v>36.32</v>
      </c>
      <c r="N54" s="64">
        <v>524.9</v>
      </c>
      <c r="O54" s="64">
        <v>0</v>
      </c>
      <c r="P54" s="64">
        <v>0.8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3" t="s">
        <v>578</v>
      </c>
      <c r="B55" s="64">
        <v>10.49</v>
      </c>
      <c r="C55" s="64">
        <v>61.32</v>
      </c>
      <c r="D55" s="64">
        <v>39.08</v>
      </c>
      <c r="E55" s="64">
        <v>5.62</v>
      </c>
      <c r="F55" s="64">
        <v>2.13</v>
      </c>
      <c r="G55" s="64">
        <v>78.650000000000006</v>
      </c>
      <c r="H55" s="64">
        <v>41.08</v>
      </c>
      <c r="I55" s="214" t="s">
        <v>43</v>
      </c>
      <c r="J55" s="64">
        <v>1.1499999999999999</v>
      </c>
      <c r="K55" s="64">
        <v>153.61000000000001</v>
      </c>
      <c r="L55" s="64">
        <v>28.89</v>
      </c>
      <c r="M55" s="64">
        <v>37.19</v>
      </c>
      <c r="N55" s="64">
        <v>564.6</v>
      </c>
      <c r="O55" s="64">
        <v>0</v>
      </c>
      <c r="P55" s="64">
        <v>0.78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3" t="s">
        <v>579</v>
      </c>
      <c r="B56" s="64">
        <v>8.5500000000000007</v>
      </c>
      <c r="C56" s="64">
        <v>61.52</v>
      </c>
      <c r="D56" s="64">
        <v>37.619999999999997</v>
      </c>
      <c r="E56" s="64">
        <v>5.84</v>
      </c>
      <c r="F56" s="64">
        <v>2.16</v>
      </c>
      <c r="G56" s="64">
        <v>75.2</v>
      </c>
      <c r="H56" s="64">
        <v>32.090000000000003</v>
      </c>
      <c r="I56" s="214" t="s">
        <v>43</v>
      </c>
      <c r="J56" s="64">
        <v>1.01</v>
      </c>
      <c r="K56" s="64">
        <v>148.69</v>
      </c>
      <c r="L56" s="64">
        <v>29.16</v>
      </c>
      <c r="M56" s="64">
        <v>36.42</v>
      </c>
      <c r="N56" s="64">
        <v>555</v>
      </c>
      <c r="O56" s="64">
        <v>0</v>
      </c>
      <c r="P56" s="64">
        <v>0.7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3" t="s">
        <v>580</v>
      </c>
      <c r="B57" s="64">
        <v>7.08</v>
      </c>
      <c r="C57" s="64">
        <v>61.17</v>
      </c>
      <c r="D57" s="64">
        <v>36.26</v>
      </c>
      <c r="E57" s="64">
        <v>5.84</v>
      </c>
      <c r="F57" s="64">
        <v>2.13</v>
      </c>
      <c r="G57" s="64">
        <v>71.08</v>
      </c>
      <c r="H57" s="64">
        <v>21.36</v>
      </c>
      <c r="I57" s="214" t="s">
        <v>43</v>
      </c>
      <c r="J57" s="64">
        <v>0.96</v>
      </c>
      <c r="K57" s="64">
        <v>167.97</v>
      </c>
      <c r="L57" s="64">
        <v>29.01</v>
      </c>
      <c r="M57" s="64">
        <v>36.06</v>
      </c>
      <c r="N57" s="64">
        <v>558.5</v>
      </c>
      <c r="O57" s="64">
        <v>0</v>
      </c>
      <c r="P57" s="64">
        <v>0.7</v>
      </c>
      <c r="Q57" s="64">
        <v>9.57</v>
      </c>
      <c r="R57" s="198"/>
      <c r="S57" s="198"/>
      <c r="T57" s="198"/>
      <c r="U57" s="198"/>
    </row>
    <row r="58" spans="1:21" s="12" customFormat="1" x14ac:dyDescent="0.25">
      <c r="A58" s="213" t="s">
        <v>581</v>
      </c>
      <c r="B58" s="64">
        <v>5.84</v>
      </c>
      <c r="C58" s="64">
        <v>60.6</v>
      </c>
      <c r="D58" s="64">
        <v>34.97</v>
      </c>
      <c r="E58" s="64">
        <v>5.58</v>
      </c>
      <c r="F58" s="64">
        <v>2.13</v>
      </c>
      <c r="G58" s="64">
        <v>71.08</v>
      </c>
      <c r="H58" s="64">
        <v>21.36</v>
      </c>
      <c r="I58" s="214" t="s">
        <v>43</v>
      </c>
      <c r="J58" s="64">
        <v>0.49</v>
      </c>
      <c r="K58" s="64">
        <v>246.24</v>
      </c>
      <c r="L58" s="64">
        <v>29.6</v>
      </c>
      <c r="M58" s="64">
        <v>35.19</v>
      </c>
      <c r="N58" s="64">
        <v>563.5</v>
      </c>
      <c r="O58" s="64">
        <v>0</v>
      </c>
      <c r="P58" s="64">
        <v>0.69</v>
      </c>
      <c r="Q58" s="64">
        <v>9.5500000000000007</v>
      </c>
      <c r="R58" s="198"/>
      <c r="S58" s="198"/>
      <c r="T58" s="198"/>
      <c r="U58" s="198"/>
    </row>
    <row r="59" spans="1:21" s="12" customFormat="1" x14ac:dyDescent="0.25">
      <c r="A59" s="213" t="s">
        <v>582</v>
      </c>
      <c r="B59" s="64">
        <v>4.87</v>
      </c>
      <c r="C59" s="64">
        <v>62.61</v>
      </c>
      <c r="D59" s="64">
        <v>35.24</v>
      </c>
      <c r="E59" s="64">
        <v>5.8</v>
      </c>
      <c r="F59" s="64">
        <v>2.13</v>
      </c>
      <c r="G59" s="64">
        <v>71.08</v>
      </c>
      <c r="H59" s="64">
        <v>21.36</v>
      </c>
      <c r="I59" s="214" t="s">
        <v>43</v>
      </c>
      <c r="J59" s="64">
        <v>1.01</v>
      </c>
      <c r="K59" s="64">
        <v>318.81</v>
      </c>
      <c r="L59" s="64">
        <v>32.090000000000003</v>
      </c>
      <c r="M59" s="64">
        <v>31.23</v>
      </c>
      <c r="N59" s="64">
        <v>563.1</v>
      </c>
      <c r="O59" s="64">
        <v>0</v>
      </c>
      <c r="P59" s="64">
        <v>0.7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3" t="s">
        <v>583</v>
      </c>
      <c r="B60" s="64">
        <v>4.16</v>
      </c>
      <c r="C60" s="64">
        <v>60.42</v>
      </c>
      <c r="D60" s="64">
        <v>33.520000000000003</v>
      </c>
      <c r="E60" s="64">
        <v>5.22</v>
      </c>
      <c r="F60" s="64">
        <v>2.17</v>
      </c>
      <c r="G60" s="64">
        <v>69.319999999999993</v>
      </c>
      <c r="H60" s="64">
        <v>26.91</v>
      </c>
      <c r="I60" s="214" t="s">
        <v>43</v>
      </c>
      <c r="J60" s="64">
        <v>1.08</v>
      </c>
      <c r="K60" s="64">
        <v>318.32</v>
      </c>
      <c r="L60" s="64">
        <v>33.85</v>
      </c>
      <c r="M60" s="64">
        <v>28.7</v>
      </c>
      <c r="N60" s="64">
        <v>551.29999999999995</v>
      </c>
      <c r="O60" s="64">
        <v>0</v>
      </c>
      <c r="P60" s="64">
        <v>0.7</v>
      </c>
      <c r="Q60" s="64">
        <v>9.5500000000000007</v>
      </c>
      <c r="R60" s="198"/>
      <c r="S60" s="198"/>
      <c r="T60" s="198"/>
      <c r="U60" s="198"/>
    </row>
    <row r="61" spans="1:21" s="12" customFormat="1" x14ac:dyDescent="0.25">
      <c r="A61" s="213" t="s">
        <v>584</v>
      </c>
      <c r="B61" s="64">
        <v>3.82</v>
      </c>
      <c r="C61" s="64">
        <v>60.83</v>
      </c>
      <c r="D61" s="64">
        <v>33.47</v>
      </c>
      <c r="E61" s="64">
        <v>5.91</v>
      </c>
      <c r="F61" s="64">
        <v>2.13</v>
      </c>
      <c r="G61" s="64">
        <v>67.22</v>
      </c>
      <c r="H61" s="64">
        <v>33.549999999999997</v>
      </c>
      <c r="I61" s="214" t="s">
        <v>43</v>
      </c>
      <c r="J61" s="64">
        <v>0.88</v>
      </c>
      <c r="K61" s="64">
        <v>325.20999999999998</v>
      </c>
      <c r="L61" s="64">
        <v>33.729999999999997</v>
      </c>
      <c r="M61" s="64">
        <v>28.45</v>
      </c>
      <c r="N61" s="64">
        <v>523.70000000000005</v>
      </c>
      <c r="O61" s="64">
        <v>0</v>
      </c>
      <c r="P61" s="64">
        <v>0.7</v>
      </c>
      <c r="Q61" s="64">
        <v>9.56</v>
      </c>
      <c r="R61" s="198"/>
      <c r="S61" s="198"/>
      <c r="T61" s="198"/>
      <c r="U61" s="198"/>
    </row>
    <row r="62" spans="1:21" s="12" customFormat="1" x14ac:dyDescent="0.25">
      <c r="A62" s="213" t="s">
        <v>585</v>
      </c>
      <c r="B62" s="64">
        <v>3.6</v>
      </c>
      <c r="C62" s="64">
        <v>61.76</v>
      </c>
      <c r="D62" s="64">
        <v>33.78</v>
      </c>
      <c r="E62" s="64">
        <v>5.94</v>
      </c>
      <c r="F62" s="64">
        <v>2.17</v>
      </c>
      <c r="G62" s="64">
        <v>67.22</v>
      </c>
      <c r="H62" s="64">
        <v>33.549999999999997</v>
      </c>
      <c r="I62" s="214" t="s">
        <v>43</v>
      </c>
      <c r="J62" s="64">
        <v>0.63</v>
      </c>
      <c r="K62" s="64">
        <v>82.28</v>
      </c>
      <c r="L62" s="64">
        <v>31</v>
      </c>
      <c r="M62" s="64">
        <v>31.77</v>
      </c>
      <c r="N62" s="64">
        <v>515.29999999999995</v>
      </c>
      <c r="O62" s="64">
        <v>0</v>
      </c>
      <c r="P62" s="64">
        <v>0.68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3" t="s">
        <v>586</v>
      </c>
      <c r="B63" s="64">
        <v>3.43</v>
      </c>
      <c r="C63" s="64">
        <v>58.55</v>
      </c>
      <c r="D63" s="64">
        <v>31.97</v>
      </c>
      <c r="E63" s="64">
        <v>5.31</v>
      </c>
      <c r="F63" s="64">
        <v>2.13</v>
      </c>
      <c r="G63" s="64">
        <v>67.22</v>
      </c>
      <c r="H63" s="64">
        <v>33.549999999999997</v>
      </c>
      <c r="I63" s="214" t="s">
        <v>43</v>
      </c>
      <c r="J63" s="64">
        <v>0.42</v>
      </c>
      <c r="K63" s="64">
        <v>62.7</v>
      </c>
      <c r="L63" s="64">
        <v>30.07</v>
      </c>
      <c r="M63" s="64">
        <v>33.78</v>
      </c>
      <c r="N63" s="64">
        <v>411.3</v>
      </c>
      <c r="O63" s="64">
        <v>0</v>
      </c>
      <c r="P63" s="64">
        <v>0.67</v>
      </c>
      <c r="Q63" s="64">
        <v>9.56</v>
      </c>
      <c r="R63" s="198"/>
      <c r="S63" s="198"/>
      <c r="T63" s="198"/>
      <c r="U63" s="198"/>
    </row>
    <row r="64" spans="1:21" s="12" customFormat="1" x14ac:dyDescent="0.25">
      <c r="A64" s="213" t="s">
        <v>587</v>
      </c>
      <c r="B64" s="64">
        <v>3.42</v>
      </c>
      <c r="C64" s="64">
        <v>58.27</v>
      </c>
      <c r="D64" s="64">
        <v>31.81</v>
      </c>
      <c r="E64" s="64">
        <v>5.01</v>
      </c>
      <c r="F64" s="64">
        <v>2.16</v>
      </c>
      <c r="G64" s="64">
        <v>65.180000000000007</v>
      </c>
      <c r="H64" s="64">
        <v>35</v>
      </c>
      <c r="I64" s="214" t="s">
        <v>43</v>
      </c>
      <c r="J64" s="64">
        <v>0.87</v>
      </c>
      <c r="K64" s="64">
        <v>320.74</v>
      </c>
      <c r="L64" s="64">
        <v>32.36</v>
      </c>
      <c r="M64" s="64">
        <v>29.73</v>
      </c>
      <c r="N64" s="64">
        <v>489.4</v>
      </c>
      <c r="O64" s="64">
        <v>0</v>
      </c>
      <c r="P64" s="64">
        <v>0.7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3" t="s">
        <v>588</v>
      </c>
      <c r="B65" s="64">
        <v>3.28</v>
      </c>
      <c r="C65" s="64">
        <v>58.68</v>
      </c>
      <c r="D65" s="64">
        <v>31.91</v>
      </c>
      <c r="E65" s="64">
        <v>5.79</v>
      </c>
      <c r="F65" s="64">
        <v>2.4</v>
      </c>
      <c r="G65" s="64">
        <v>62.74</v>
      </c>
      <c r="H65" s="64">
        <v>36.74</v>
      </c>
      <c r="I65" s="214" t="s">
        <v>43</v>
      </c>
      <c r="J65" s="64">
        <v>0.36</v>
      </c>
      <c r="K65" s="64">
        <v>301.7</v>
      </c>
      <c r="L65" s="64">
        <v>32.04</v>
      </c>
      <c r="M65" s="64">
        <v>29.29</v>
      </c>
      <c r="N65" s="64">
        <v>489.1</v>
      </c>
      <c r="O65" s="64">
        <v>0</v>
      </c>
      <c r="P65" s="64">
        <v>0.66</v>
      </c>
      <c r="Q65" s="64">
        <v>9.56</v>
      </c>
      <c r="R65" s="198"/>
      <c r="S65" s="198"/>
      <c r="T65" s="198"/>
      <c r="U65" s="198"/>
    </row>
    <row r="66" spans="1:21" s="12" customFormat="1" x14ac:dyDescent="0.25">
      <c r="A66" s="213" t="s">
        <v>589</v>
      </c>
      <c r="B66" s="64">
        <v>3.07</v>
      </c>
      <c r="C66" s="64">
        <v>57.46</v>
      </c>
      <c r="D66" s="64">
        <v>31.11</v>
      </c>
      <c r="E66" s="64">
        <v>5.34</v>
      </c>
      <c r="F66" s="64">
        <v>2.62</v>
      </c>
      <c r="G66" s="64">
        <v>62.74</v>
      </c>
      <c r="H66" s="64">
        <v>36.74</v>
      </c>
      <c r="I66" s="214" t="s">
        <v>43</v>
      </c>
      <c r="J66" s="64">
        <v>0.47</v>
      </c>
      <c r="K66" s="64">
        <v>264.54000000000002</v>
      </c>
      <c r="L66" s="64">
        <v>30.44</v>
      </c>
      <c r="M66" s="64">
        <v>28.35</v>
      </c>
      <c r="N66" s="64">
        <v>372.5</v>
      </c>
      <c r="O66" s="64">
        <v>0</v>
      </c>
      <c r="P66" s="64">
        <v>0.66</v>
      </c>
      <c r="Q66" s="64">
        <v>9.5500000000000007</v>
      </c>
      <c r="R66" s="198"/>
      <c r="S66" s="198"/>
      <c r="T66" s="198"/>
      <c r="U66" s="198"/>
    </row>
    <row r="67" spans="1:21" s="12" customFormat="1" x14ac:dyDescent="0.25">
      <c r="A67" s="213" t="s">
        <v>590</v>
      </c>
      <c r="B67" s="64">
        <v>3.01</v>
      </c>
      <c r="C67" s="64">
        <v>57.97</v>
      </c>
      <c r="D67" s="64">
        <v>31.32</v>
      </c>
      <c r="E67" s="64">
        <v>5.3</v>
      </c>
      <c r="F67" s="64">
        <v>2.64</v>
      </c>
      <c r="G67" s="64">
        <v>62.74</v>
      </c>
      <c r="H67" s="64">
        <v>36.74</v>
      </c>
      <c r="I67" s="214" t="s">
        <v>43</v>
      </c>
      <c r="J67" s="64">
        <v>0.46</v>
      </c>
      <c r="K67" s="64">
        <v>246.46</v>
      </c>
      <c r="L67" s="64">
        <v>29.79</v>
      </c>
      <c r="M67" s="64">
        <v>29.4</v>
      </c>
      <c r="N67" s="64">
        <v>227.5</v>
      </c>
      <c r="O67" s="64">
        <v>0</v>
      </c>
      <c r="P67" s="64">
        <v>0.63</v>
      </c>
      <c r="Q67" s="64">
        <v>9.57</v>
      </c>
      <c r="R67" s="198"/>
      <c r="S67" s="198"/>
      <c r="T67" s="198"/>
      <c r="U67" s="198"/>
    </row>
    <row r="68" spans="1:21" s="12" customFormat="1" x14ac:dyDescent="0.25">
      <c r="A68" s="213" t="s">
        <v>591</v>
      </c>
      <c r="B68" s="64">
        <v>2.99</v>
      </c>
      <c r="C68" s="64">
        <v>54.06</v>
      </c>
      <c r="D68" s="64">
        <v>29.27</v>
      </c>
      <c r="E68" s="64">
        <v>5.38</v>
      </c>
      <c r="F68" s="64">
        <v>2.76</v>
      </c>
      <c r="G68" s="64">
        <v>58.31</v>
      </c>
      <c r="H68" s="64">
        <v>32.89</v>
      </c>
      <c r="I68" s="214" t="s">
        <v>43</v>
      </c>
      <c r="J68" s="64">
        <v>0.31</v>
      </c>
      <c r="K68" s="64">
        <v>245.38</v>
      </c>
      <c r="L68" s="64">
        <v>29.34</v>
      </c>
      <c r="M68" s="64">
        <v>31.87</v>
      </c>
      <c r="N68" s="64">
        <v>241</v>
      </c>
      <c r="O68" s="64">
        <v>0</v>
      </c>
      <c r="P68" s="64">
        <v>0.59</v>
      </c>
      <c r="Q68" s="64">
        <v>9.58</v>
      </c>
      <c r="R68" s="198"/>
      <c r="S68" s="198"/>
      <c r="T68" s="198"/>
      <c r="U68" s="198"/>
    </row>
    <row r="69" spans="1:21" s="12" customFormat="1" x14ac:dyDescent="0.25">
      <c r="A69" s="213" t="s">
        <v>592</v>
      </c>
      <c r="B69" s="64">
        <v>3.1</v>
      </c>
      <c r="C69" s="64">
        <v>53.74</v>
      </c>
      <c r="D69" s="64">
        <v>29.18</v>
      </c>
      <c r="E69" s="64">
        <v>5.59</v>
      </c>
      <c r="F69" s="64">
        <v>2.75</v>
      </c>
      <c r="G69" s="64">
        <v>53.02</v>
      </c>
      <c r="H69" s="64">
        <v>28.3</v>
      </c>
      <c r="I69" s="214" t="s">
        <v>43</v>
      </c>
      <c r="J69" s="64">
        <v>0.6</v>
      </c>
      <c r="K69" s="64">
        <v>312.27</v>
      </c>
      <c r="L69" s="64">
        <v>29.31</v>
      </c>
      <c r="M69" s="64">
        <v>32.9</v>
      </c>
      <c r="N69" s="64">
        <v>191.5</v>
      </c>
      <c r="O69" s="64">
        <v>0</v>
      </c>
      <c r="P69" s="64">
        <v>0.61</v>
      </c>
      <c r="Q69" s="64">
        <v>9.56</v>
      </c>
      <c r="R69" s="198"/>
      <c r="S69" s="198"/>
      <c r="T69" s="198"/>
      <c r="U69" s="198"/>
    </row>
    <row r="70" spans="1:21" s="12" customFormat="1" x14ac:dyDescent="0.25">
      <c r="A70" s="213" t="s">
        <v>593</v>
      </c>
      <c r="B70" s="64">
        <v>3.51</v>
      </c>
      <c r="C70" s="64">
        <v>54.31</v>
      </c>
      <c r="D70" s="64">
        <v>29.81</v>
      </c>
      <c r="E70" s="64">
        <v>5.22</v>
      </c>
      <c r="F70" s="64">
        <v>2.5099999999999998</v>
      </c>
      <c r="G70" s="64">
        <v>53.02</v>
      </c>
      <c r="H70" s="64">
        <v>28.3</v>
      </c>
      <c r="I70" s="214" t="s">
        <v>43</v>
      </c>
      <c r="J70" s="64">
        <v>0.3</v>
      </c>
      <c r="K70" s="64">
        <v>235.25</v>
      </c>
      <c r="L70" s="64">
        <v>29.1</v>
      </c>
      <c r="M70" s="64">
        <v>32.94</v>
      </c>
      <c r="N70" s="64">
        <v>192.8</v>
      </c>
      <c r="O70" s="64">
        <v>0</v>
      </c>
      <c r="P70" s="64">
        <v>0.6</v>
      </c>
      <c r="Q70" s="64">
        <v>9.5500000000000007</v>
      </c>
      <c r="R70" s="198"/>
      <c r="S70" s="198"/>
      <c r="T70" s="198"/>
      <c r="U70" s="198"/>
    </row>
    <row r="71" spans="1:21" s="12" customFormat="1" x14ac:dyDescent="0.25">
      <c r="A71" s="213" t="s">
        <v>594</v>
      </c>
      <c r="B71" s="64">
        <v>3.86</v>
      </c>
      <c r="C71" s="64">
        <v>54.78</v>
      </c>
      <c r="D71" s="64">
        <v>30.34</v>
      </c>
      <c r="E71" s="64">
        <v>4.87</v>
      </c>
      <c r="F71" s="64">
        <v>2.31</v>
      </c>
      <c r="G71" s="64">
        <v>53.02</v>
      </c>
      <c r="H71" s="64">
        <v>28.3</v>
      </c>
      <c r="I71" s="214" t="s">
        <v>43</v>
      </c>
      <c r="J71" s="64">
        <v>0.82</v>
      </c>
      <c r="K71" s="64">
        <v>304.13</v>
      </c>
      <c r="L71" s="64">
        <v>29.26</v>
      </c>
      <c r="M71" s="64">
        <v>32.729999999999997</v>
      </c>
      <c r="N71" s="64">
        <v>162.30000000000001</v>
      </c>
      <c r="O71" s="64">
        <v>0</v>
      </c>
      <c r="P71" s="64">
        <v>0.61</v>
      </c>
      <c r="Q71" s="64">
        <v>9.5500000000000007</v>
      </c>
      <c r="R71" s="198"/>
      <c r="S71" s="198"/>
      <c r="T71" s="198"/>
      <c r="U71" s="198"/>
    </row>
    <row r="72" spans="1:21" s="12" customFormat="1" x14ac:dyDescent="0.25">
      <c r="A72" s="213" t="s">
        <v>595</v>
      </c>
      <c r="B72" s="64">
        <v>4.0999999999999996</v>
      </c>
      <c r="C72" s="64">
        <v>55.25</v>
      </c>
      <c r="D72" s="64">
        <v>30.78</v>
      </c>
      <c r="E72" s="64">
        <v>5.45</v>
      </c>
      <c r="F72" s="64">
        <v>2.76</v>
      </c>
      <c r="G72" s="64">
        <v>56.34</v>
      </c>
      <c r="H72" s="64">
        <v>25.27</v>
      </c>
      <c r="I72" s="214" t="s">
        <v>43</v>
      </c>
      <c r="J72" s="64">
        <v>0.63</v>
      </c>
      <c r="K72" s="64">
        <v>274.04000000000002</v>
      </c>
      <c r="L72" s="64">
        <v>29.05</v>
      </c>
      <c r="M72" s="64">
        <v>32.380000000000003</v>
      </c>
      <c r="N72" s="64">
        <v>147</v>
      </c>
      <c r="O72" s="64">
        <v>0</v>
      </c>
      <c r="P72" s="64">
        <v>0.6</v>
      </c>
      <c r="Q72" s="64">
        <v>9.5500000000000007</v>
      </c>
      <c r="R72" s="198"/>
      <c r="S72" s="198"/>
      <c r="T72" s="198"/>
      <c r="U72" s="198"/>
    </row>
    <row r="73" spans="1:21" s="12" customFormat="1" x14ac:dyDescent="0.25">
      <c r="A73" s="213" t="s">
        <v>596</v>
      </c>
      <c r="B73" s="64">
        <v>4.1900000000000004</v>
      </c>
      <c r="C73" s="64">
        <v>55.79</v>
      </c>
      <c r="D73" s="64">
        <v>31.13</v>
      </c>
      <c r="E73" s="64">
        <v>5.3</v>
      </c>
      <c r="F73" s="64">
        <v>2.2000000000000002</v>
      </c>
      <c r="G73" s="64">
        <v>60.3</v>
      </c>
      <c r="H73" s="64">
        <v>21.48</v>
      </c>
      <c r="I73" s="214" t="s">
        <v>43</v>
      </c>
      <c r="J73" s="64">
        <v>0.97</v>
      </c>
      <c r="K73" s="64">
        <v>307.3</v>
      </c>
      <c r="L73" s="64">
        <v>28.61</v>
      </c>
      <c r="M73" s="64">
        <v>33.33</v>
      </c>
      <c r="N73" s="64">
        <v>130</v>
      </c>
      <c r="O73" s="64">
        <v>0</v>
      </c>
      <c r="P73" s="64">
        <v>0.63</v>
      </c>
      <c r="Q73" s="64">
        <v>9.5500000000000007</v>
      </c>
      <c r="R73" s="198"/>
      <c r="S73" s="198"/>
      <c r="T73" s="198"/>
      <c r="U73" s="198"/>
    </row>
    <row r="74" spans="1:21" s="12" customFormat="1" x14ac:dyDescent="0.25">
      <c r="A74" s="213" t="s">
        <v>597</v>
      </c>
      <c r="B74" s="64">
        <v>4.38</v>
      </c>
      <c r="C74" s="64">
        <v>55.85</v>
      </c>
      <c r="D74" s="64">
        <v>31.31</v>
      </c>
      <c r="E74" s="64">
        <v>5.64</v>
      </c>
      <c r="F74" s="64">
        <v>2.13</v>
      </c>
      <c r="G74" s="64">
        <v>60.3</v>
      </c>
      <c r="H74" s="64">
        <v>21.48</v>
      </c>
      <c r="I74" s="214" t="s">
        <v>43</v>
      </c>
      <c r="J74" s="64">
        <v>1.23</v>
      </c>
      <c r="K74" s="64">
        <v>314.81</v>
      </c>
      <c r="L74" s="64">
        <v>28.3</v>
      </c>
      <c r="M74" s="64">
        <v>34.69</v>
      </c>
      <c r="N74" s="64">
        <v>122.1</v>
      </c>
      <c r="O74" s="64">
        <v>0</v>
      </c>
      <c r="P74" s="64">
        <v>0.66</v>
      </c>
      <c r="Q74" s="64">
        <v>9.5500000000000007</v>
      </c>
      <c r="R74" s="198"/>
      <c r="S74" s="198"/>
      <c r="T74" s="198"/>
      <c r="U74" s="198"/>
    </row>
    <row r="75" spans="1:21" s="12" customFormat="1" x14ac:dyDescent="0.25">
      <c r="A75" s="213" t="s">
        <v>598</v>
      </c>
      <c r="B75" s="64">
        <v>4.63</v>
      </c>
      <c r="C75" s="64">
        <v>56.59</v>
      </c>
      <c r="D75" s="64">
        <v>31.9</v>
      </c>
      <c r="E75" s="64">
        <v>5.75</v>
      </c>
      <c r="F75" s="64">
        <v>2.1800000000000002</v>
      </c>
      <c r="G75" s="64">
        <v>60.3</v>
      </c>
      <c r="H75" s="64">
        <v>21.48</v>
      </c>
      <c r="I75" s="214" t="s">
        <v>43</v>
      </c>
      <c r="J75" s="64">
        <v>0.95</v>
      </c>
      <c r="K75" s="64">
        <v>325</v>
      </c>
      <c r="L75" s="64">
        <v>27.96</v>
      </c>
      <c r="M75" s="64">
        <v>34.99</v>
      </c>
      <c r="N75" s="64">
        <v>120.4</v>
      </c>
      <c r="O75" s="64">
        <v>0</v>
      </c>
      <c r="P75" s="64">
        <v>0.67</v>
      </c>
      <c r="Q75" s="64">
        <v>9.56</v>
      </c>
      <c r="R75" s="198"/>
      <c r="S75" s="198"/>
      <c r="T75" s="198"/>
      <c r="U75" s="198"/>
    </row>
    <row r="76" spans="1:21" s="12" customFormat="1" x14ac:dyDescent="0.25">
      <c r="A76" s="213" t="s">
        <v>599</v>
      </c>
      <c r="B76" s="64">
        <v>4.8</v>
      </c>
      <c r="C76" s="64">
        <v>59.56</v>
      </c>
      <c r="D76" s="64">
        <v>33.590000000000003</v>
      </c>
      <c r="E76" s="64">
        <v>5.56</v>
      </c>
      <c r="F76" s="64">
        <v>2.13</v>
      </c>
      <c r="G76" s="64">
        <v>61.77</v>
      </c>
      <c r="H76" s="64">
        <v>24.31</v>
      </c>
      <c r="I76" s="214" t="s">
        <v>43</v>
      </c>
      <c r="J76" s="64">
        <v>1.41</v>
      </c>
      <c r="K76" s="64">
        <v>338.82</v>
      </c>
      <c r="L76" s="64">
        <v>27.8</v>
      </c>
      <c r="M76" s="64">
        <v>35.28</v>
      </c>
      <c r="N76" s="64">
        <v>115.8</v>
      </c>
      <c r="O76" s="64">
        <v>0</v>
      </c>
      <c r="P76" s="64">
        <v>0.72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3" t="s">
        <v>600</v>
      </c>
      <c r="B77" s="64">
        <v>5.07</v>
      </c>
      <c r="C77" s="64">
        <v>59.36</v>
      </c>
      <c r="D77" s="64">
        <v>33.700000000000003</v>
      </c>
      <c r="E77" s="64">
        <v>5.67</v>
      </c>
      <c r="F77" s="64">
        <v>2.13</v>
      </c>
      <c r="G77" s="64">
        <v>63.51</v>
      </c>
      <c r="H77" s="64">
        <v>27.69</v>
      </c>
      <c r="I77" s="214" t="s">
        <v>43</v>
      </c>
      <c r="J77" s="64">
        <v>1.62</v>
      </c>
      <c r="K77" s="64">
        <v>337.62</v>
      </c>
      <c r="L77" s="64">
        <v>27.43</v>
      </c>
      <c r="M77" s="64">
        <v>33.630000000000003</v>
      </c>
      <c r="N77" s="64">
        <v>107.8</v>
      </c>
      <c r="O77" s="64">
        <v>0</v>
      </c>
      <c r="P77" s="64">
        <v>0.65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3" t="s">
        <v>601</v>
      </c>
      <c r="B78" s="64">
        <v>5.3</v>
      </c>
      <c r="C78" s="64">
        <v>60.77</v>
      </c>
      <c r="D78" s="64">
        <v>34.619999999999997</v>
      </c>
      <c r="E78" s="64">
        <v>5.47</v>
      </c>
      <c r="F78" s="64">
        <v>2.13</v>
      </c>
      <c r="G78" s="64">
        <v>63.51</v>
      </c>
      <c r="H78" s="64">
        <v>27.69</v>
      </c>
      <c r="I78" s="214" t="s">
        <v>43</v>
      </c>
      <c r="J78" s="64">
        <v>1.49</v>
      </c>
      <c r="K78" s="64">
        <v>326.22000000000003</v>
      </c>
      <c r="L78" s="64">
        <v>27</v>
      </c>
      <c r="M78" s="64">
        <v>33.67</v>
      </c>
      <c r="N78" s="64">
        <v>95.6</v>
      </c>
      <c r="O78" s="64">
        <v>0</v>
      </c>
      <c r="P78" s="64">
        <v>0.65</v>
      </c>
      <c r="Q78" s="64">
        <v>9.5500000000000007</v>
      </c>
      <c r="R78" s="198"/>
      <c r="S78" s="198"/>
      <c r="T78" s="198"/>
      <c r="U78" s="198"/>
    </row>
    <row r="79" spans="1:21" s="12" customFormat="1" x14ac:dyDescent="0.25">
      <c r="A79" s="213" t="s">
        <v>602</v>
      </c>
      <c r="B79" s="64">
        <v>5.72</v>
      </c>
      <c r="C79" s="64">
        <v>60.7</v>
      </c>
      <c r="D79" s="64">
        <v>34.92</v>
      </c>
      <c r="E79" s="64">
        <v>5.52</v>
      </c>
      <c r="F79" s="64">
        <v>2.13</v>
      </c>
      <c r="G79" s="64">
        <v>63.51</v>
      </c>
      <c r="H79" s="64">
        <v>27.69</v>
      </c>
      <c r="I79" s="214" t="s">
        <v>43</v>
      </c>
      <c r="J79" s="64">
        <v>1.31</v>
      </c>
      <c r="K79" s="64">
        <v>342.63</v>
      </c>
      <c r="L79" s="64">
        <v>26.35</v>
      </c>
      <c r="M79" s="64">
        <v>33.42</v>
      </c>
      <c r="N79" s="64">
        <v>86.7</v>
      </c>
      <c r="O79" s="64">
        <v>0</v>
      </c>
      <c r="P79" s="64">
        <v>0.7</v>
      </c>
      <c r="Q79" s="64">
        <v>9.57</v>
      </c>
      <c r="R79" s="198"/>
      <c r="S79" s="198"/>
      <c r="T79" s="198"/>
      <c r="U79" s="198"/>
    </row>
    <row r="80" spans="1:21" s="12" customFormat="1" x14ac:dyDescent="0.25">
      <c r="A80" s="213" t="s">
        <v>603</v>
      </c>
      <c r="B80" s="64">
        <v>6.72</v>
      </c>
      <c r="C80" s="64">
        <v>61.61</v>
      </c>
      <c r="D80" s="64">
        <v>36.200000000000003</v>
      </c>
      <c r="E80" s="64">
        <v>5.41</v>
      </c>
      <c r="F80" s="64">
        <v>2.13</v>
      </c>
      <c r="G80" s="64">
        <v>66.69</v>
      </c>
      <c r="H80" s="64">
        <v>22.65</v>
      </c>
      <c r="I80" s="214" t="s">
        <v>43</v>
      </c>
      <c r="J80" s="64">
        <v>0.97</v>
      </c>
      <c r="K80" s="64">
        <v>342.86</v>
      </c>
      <c r="L80" s="64">
        <v>25.57</v>
      </c>
      <c r="M80" s="64">
        <v>33.89</v>
      </c>
      <c r="N80" s="64">
        <v>81.099999999999994</v>
      </c>
      <c r="O80" s="64">
        <v>0</v>
      </c>
      <c r="P80" s="64">
        <v>0.85</v>
      </c>
      <c r="Q80" s="64">
        <v>9.57</v>
      </c>
      <c r="R80" s="198"/>
      <c r="S80" s="198"/>
      <c r="T80" s="198"/>
      <c r="U80" s="198"/>
    </row>
    <row r="81" spans="1:26" s="12" customFormat="1" x14ac:dyDescent="0.25">
      <c r="A81" s="213" t="s">
        <v>604</v>
      </c>
      <c r="B81" s="64">
        <v>9.42</v>
      </c>
      <c r="C81" s="64">
        <v>62.55</v>
      </c>
      <c r="D81" s="64">
        <v>38.86</v>
      </c>
      <c r="E81" s="64">
        <v>5.36</v>
      </c>
      <c r="F81" s="64">
        <v>2.13</v>
      </c>
      <c r="G81" s="64">
        <v>70.48</v>
      </c>
      <c r="H81" s="64">
        <v>16.64</v>
      </c>
      <c r="I81" s="214" t="s">
        <v>43</v>
      </c>
      <c r="J81" s="64">
        <v>0.6</v>
      </c>
      <c r="K81" s="64">
        <v>1.83</v>
      </c>
      <c r="L81" s="64">
        <v>24.87</v>
      </c>
      <c r="M81" s="64">
        <v>36.1</v>
      </c>
      <c r="N81" s="64">
        <v>79.8</v>
      </c>
      <c r="O81" s="64">
        <v>0</v>
      </c>
      <c r="P81" s="64">
        <v>0.93</v>
      </c>
      <c r="Q81" s="64">
        <v>9.58</v>
      </c>
      <c r="R81" s="198"/>
      <c r="S81" s="198"/>
      <c r="T81" s="198"/>
      <c r="U81" s="198"/>
    </row>
    <row r="82" spans="1:26" s="12" customFormat="1" x14ac:dyDescent="0.25">
      <c r="A82" s="213" t="s">
        <v>605</v>
      </c>
      <c r="B82" s="64">
        <v>14.58</v>
      </c>
      <c r="C82" s="64">
        <v>65.13</v>
      </c>
      <c r="D82" s="64">
        <v>44.34</v>
      </c>
      <c r="E82" s="64">
        <v>5.58</v>
      </c>
      <c r="F82" s="64">
        <v>2.13</v>
      </c>
      <c r="G82" s="64">
        <v>70.48</v>
      </c>
      <c r="H82" s="64">
        <v>16.64</v>
      </c>
      <c r="I82" s="214" t="s">
        <v>43</v>
      </c>
      <c r="J82" s="64">
        <v>0.52</v>
      </c>
      <c r="K82" s="64">
        <v>21.01</v>
      </c>
      <c r="L82" s="64">
        <v>24.13</v>
      </c>
      <c r="M82" s="64">
        <v>40.18</v>
      </c>
      <c r="N82" s="64">
        <v>79.599999999999994</v>
      </c>
      <c r="O82" s="64">
        <v>0</v>
      </c>
      <c r="P82" s="64">
        <v>1.24</v>
      </c>
      <c r="Q82" s="64">
        <v>9.58</v>
      </c>
      <c r="R82" s="198"/>
      <c r="S82" s="198"/>
      <c r="T82" s="198"/>
      <c r="U82" s="198"/>
    </row>
    <row r="83" spans="1:26" s="12" customFormat="1" x14ac:dyDescent="0.25">
      <c r="A83" s="213" t="s">
        <v>606</v>
      </c>
      <c r="B83" s="64">
        <v>22.61</v>
      </c>
      <c r="C83" s="64">
        <v>66.3</v>
      </c>
      <c r="D83" s="64">
        <v>51.39</v>
      </c>
      <c r="E83" s="64">
        <v>5.93</v>
      </c>
      <c r="F83" s="64">
        <v>2.13</v>
      </c>
      <c r="G83" s="64">
        <v>70.48</v>
      </c>
      <c r="H83" s="64">
        <v>16.64</v>
      </c>
      <c r="I83" s="214" t="s">
        <v>43</v>
      </c>
      <c r="J83" s="64">
        <v>0.47</v>
      </c>
      <c r="K83" s="64">
        <v>305.63</v>
      </c>
      <c r="L83" s="64">
        <v>23.25</v>
      </c>
      <c r="M83" s="64">
        <v>46.36</v>
      </c>
      <c r="N83" s="64">
        <v>79.599999999999994</v>
      </c>
      <c r="O83" s="64">
        <v>0</v>
      </c>
      <c r="P83" s="64">
        <v>1.51</v>
      </c>
      <c r="Q83" s="64">
        <v>9.58</v>
      </c>
      <c r="R83" s="198"/>
      <c r="S83" s="198"/>
      <c r="T83" s="198"/>
      <c r="U83" s="198"/>
    </row>
    <row r="84" spans="1:26" s="12" customFormat="1" x14ac:dyDescent="0.25">
      <c r="A84" s="213" t="s">
        <v>607</v>
      </c>
      <c r="B84" s="64">
        <v>30.51</v>
      </c>
      <c r="C84" s="64">
        <v>66.98</v>
      </c>
      <c r="D84" s="64">
        <v>58.09</v>
      </c>
      <c r="E84" s="64">
        <v>6.2</v>
      </c>
      <c r="F84" s="64">
        <v>2.13</v>
      </c>
      <c r="G84" s="64">
        <v>84.49</v>
      </c>
      <c r="H84" s="64">
        <v>24.09</v>
      </c>
      <c r="I84" s="214" t="s">
        <v>43</v>
      </c>
      <c r="J84" s="64">
        <v>0.61</v>
      </c>
      <c r="K84" s="64">
        <v>300.35000000000002</v>
      </c>
      <c r="L84" s="64">
        <v>22.64</v>
      </c>
      <c r="M84" s="64">
        <v>49.18</v>
      </c>
      <c r="N84" s="64">
        <v>79.3</v>
      </c>
      <c r="O84" s="64">
        <v>0</v>
      </c>
      <c r="P84" s="64">
        <v>1.45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3" t="s">
        <v>608</v>
      </c>
      <c r="B85" s="64">
        <v>36.950000000000003</v>
      </c>
      <c r="C85" s="64">
        <v>62.72</v>
      </c>
      <c r="D85" s="64">
        <v>61.03</v>
      </c>
      <c r="E85" s="64">
        <v>6.23</v>
      </c>
      <c r="F85" s="64">
        <v>2.13</v>
      </c>
      <c r="G85" s="64">
        <v>101.24</v>
      </c>
      <c r="H85" s="64">
        <v>33.4</v>
      </c>
      <c r="I85" s="214" t="s">
        <v>43</v>
      </c>
      <c r="J85" s="64">
        <v>0.2</v>
      </c>
      <c r="K85" s="64">
        <v>174.68</v>
      </c>
      <c r="L85" s="64">
        <v>22.22</v>
      </c>
      <c r="M85" s="64">
        <v>50.27</v>
      </c>
      <c r="N85" s="64">
        <v>79.2</v>
      </c>
      <c r="O85" s="64">
        <v>0</v>
      </c>
      <c r="P85" s="64">
        <v>1.49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3" t="s">
        <v>609</v>
      </c>
      <c r="B86" s="64">
        <v>44.27</v>
      </c>
      <c r="C86" s="64">
        <v>62.96</v>
      </c>
      <c r="D86" s="64">
        <v>67.02</v>
      </c>
      <c r="E86" s="64">
        <v>6.22</v>
      </c>
      <c r="F86" s="64">
        <v>2.13</v>
      </c>
      <c r="G86" s="64">
        <v>101.24</v>
      </c>
      <c r="H86" s="64">
        <v>33.4</v>
      </c>
      <c r="I86" s="214" t="s">
        <v>43</v>
      </c>
      <c r="J86" s="64">
        <v>0.48</v>
      </c>
      <c r="K86" s="64">
        <v>82.5</v>
      </c>
      <c r="L86" s="64">
        <v>22.18</v>
      </c>
      <c r="M86" s="64">
        <v>50.38</v>
      </c>
      <c r="N86" s="64">
        <v>79</v>
      </c>
      <c r="O86" s="64">
        <v>0</v>
      </c>
      <c r="P86" s="64">
        <v>1.61</v>
      </c>
      <c r="Q86" s="64">
        <v>9.69</v>
      </c>
      <c r="R86" s="198"/>
      <c r="S86" s="198"/>
      <c r="T86" s="198"/>
      <c r="U86" s="198"/>
    </row>
    <row r="87" spans="1:26" s="12" customFormat="1" x14ac:dyDescent="0.25">
      <c r="A87" s="213" t="s">
        <v>610</v>
      </c>
      <c r="B87" s="64">
        <v>54.74</v>
      </c>
      <c r="C87" s="64">
        <v>63.45</v>
      </c>
      <c r="D87" s="64">
        <v>75.67</v>
      </c>
      <c r="E87" s="64">
        <v>6.17</v>
      </c>
      <c r="F87" s="64">
        <v>2.13</v>
      </c>
      <c r="G87" s="64">
        <v>101.24</v>
      </c>
      <c r="H87" s="64">
        <v>33.4</v>
      </c>
      <c r="I87" s="214" t="s">
        <v>43</v>
      </c>
      <c r="J87" s="64">
        <v>0.64</v>
      </c>
      <c r="K87" s="64">
        <v>284.56</v>
      </c>
      <c r="L87" s="64">
        <v>21.99</v>
      </c>
      <c r="M87" s="64">
        <v>52.6</v>
      </c>
      <c r="N87" s="64">
        <v>79</v>
      </c>
      <c r="O87" s="64">
        <v>0</v>
      </c>
      <c r="P87" s="64">
        <v>2.0099999999999998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3" t="s">
        <v>611</v>
      </c>
      <c r="B88" s="64">
        <v>64.11</v>
      </c>
      <c r="C88" s="64">
        <v>63.31</v>
      </c>
      <c r="D88" s="64">
        <v>83.11</v>
      </c>
      <c r="E88" s="64">
        <v>7.06</v>
      </c>
      <c r="F88" s="64">
        <v>2.13</v>
      </c>
      <c r="G88" s="64">
        <v>133.94</v>
      </c>
      <c r="H88" s="64">
        <v>33.53</v>
      </c>
      <c r="I88" s="214" t="s">
        <v>43</v>
      </c>
      <c r="J88" s="64">
        <v>0.63</v>
      </c>
      <c r="K88" s="64">
        <v>286.43</v>
      </c>
      <c r="L88" s="64">
        <v>21.64</v>
      </c>
      <c r="M88" s="64">
        <v>53.88</v>
      </c>
      <c r="N88" s="64">
        <v>79.099999999999994</v>
      </c>
      <c r="O88" s="64">
        <v>0</v>
      </c>
      <c r="P88" s="64">
        <v>1.95</v>
      </c>
      <c r="Q88" s="64">
        <v>9.73</v>
      </c>
      <c r="R88" s="198"/>
      <c r="S88" s="198"/>
      <c r="T88" s="198"/>
      <c r="U88" s="198"/>
    </row>
    <row r="89" spans="1:26" s="12" customFormat="1" x14ac:dyDescent="0.25">
      <c r="A89" s="213" t="s">
        <v>612</v>
      </c>
      <c r="B89" s="64">
        <v>71.069999999999993</v>
      </c>
      <c r="C89" s="64">
        <v>62.64</v>
      </c>
      <c r="D89" s="64">
        <v>88.34</v>
      </c>
      <c r="E89" s="64">
        <v>7.08</v>
      </c>
      <c r="F89" s="64">
        <v>2.13</v>
      </c>
      <c r="G89" s="64">
        <v>173.02</v>
      </c>
      <c r="H89" s="64">
        <v>33.69</v>
      </c>
      <c r="I89" s="214" t="s">
        <v>43</v>
      </c>
      <c r="J89" s="64">
        <v>0.63</v>
      </c>
      <c r="K89" s="64">
        <v>265.20999999999998</v>
      </c>
      <c r="L89" s="64">
        <v>21.53</v>
      </c>
      <c r="M89" s="64">
        <v>56.76</v>
      </c>
      <c r="N89" s="64">
        <v>79.099999999999994</v>
      </c>
      <c r="O89" s="64">
        <v>0</v>
      </c>
      <c r="P89" s="64">
        <v>1.99</v>
      </c>
      <c r="Q89" s="64">
        <v>9.77</v>
      </c>
      <c r="R89" s="198"/>
      <c r="S89" s="198"/>
      <c r="T89" s="198"/>
      <c r="U89" s="198"/>
    </row>
    <row r="90" spans="1:26" s="12" customFormat="1" x14ac:dyDescent="0.25">
      <c r="A90" s="213" t="s">
        <v>613</v>
      </c>
      <c r="B90" s="64">
        <v>77.94</v>
      </c>
      <c r="C90" s="64">
        <v>61.4</v>
      </c>
      <c r="D90" s="64">
        <v>93.21</v>
      </c>
      <c r="E90" s="64">
        <v>7.46</v>
      </c>
      <c r="F90" s="64">
        <v>2.13</v>
      </c>
      <c r="G90" s="64">
        <v>173.02</v>
      </c>
      <c r="H90" s="64">
        <v>33.69</v>
      </c>
      <c r="I90" s="214" t="s">
        <v>43</v>
      </c>
      <c r="J90" s="64">
        <v>0.66</v>
      </c>
      <c r="K90" s="64">
        <v>293.66000000000003</v>
      </c>
      <c r="L90" s="64">
        <v>21.23</v>
      </c>
      <c r="M90" s="64">
        <v>61.91</v>
      </c>
      <c r="N90" s="64">
        <v>79.2</v>
      </c>
      <c r="O90" s="64">
        <v>0</v>
      </c>
      <c r="P90" s="64">
        <v>2.46</v>
      </c>
      <c r="Q90" s="64">
        <v>9.8000000000000007</v>
      </c>
      <c r="R90" s="198"/>
      <c r="S90" s="198"/>
      <c r="T90" s="198"/>
      <c r="U90" s="198"/>
    </row>
    <row r="91" spans="1:26" s="12" customFormat="1" x14ac:dyDescent="0.25">
      <c r="A91" s="213" t="s">
        <v>614</v>
      </c>
      <c r="B91" s="64">
        <v>86.05</v>
      </c>
      <c r="C91" s="64">
        <v>60.97</v>
      </c>
      <c r="D91" s="64">
        <v>99.49</v>
      </c>
      <c r="E91" s="64">
        <v>7.46</v>
      </c>
      <c r="F91" s="64">
        <v>2.13</v>
      </c>
      <c r="G91" s="64">
        <v>173.02</v>
      </c>
      <c r="H91" s="64">
        <v>33.69</v>
      </c>
      <c r="I91" s="214" t="s">
        <v>43</v>
      </c>
      <c r="J91" s="64">
        <v>0.66</v>
      </c>
      <c r="K91" s="64">
        <v>303.43</v>
      </c>
      <c r="L91" s="64">
        <v>20.91</v>
      </c>
      <c r="M91" s="64">
        <v>65.11</v>
      </c>
      <c r="N91" s="64">
        <v>79</v>
      </c>
      <c r="O91" s="64">
        <v>0</v>
      </c>
      <c r="P91" s="64">
        <v>3.16</v>
      </c>
      <c r="Q91" s="64">
        <v>9.81</v>
      </c>
      <c r="R91" s="198"/>
      <c r="S91" s="198"/>
      <c r="T91" s="198"/>
      <c r="U91" s="198"/>
    </row>
    <row r="92" spans="1:26" s="12" customFormat="1" x14ac:dyDescent="0.25">
      <c r="A92" s="213" t="s">
        <v>615</v>
      </c>
      <c r="B92" s="64">
        <v>96.67</v>
      </c>
      <c r="C92" s="64">
        <v>60.64</v>
      </c>
      <c r="D92" s="64">
        <v>107.82</v>
      </c>
      <c r="E92" s="64">
        <v>7.93</v>
      </c>
      <c r="F92" s="64">
        <v>2.13</v>
      </c>
      <c r="G92" s="64">
        <v>201.85</v>
      </c>
      <c r="H92" s="64">
        <v>37.729999999999997</v>
      </c>
      <c r="I92" s="214" t="s">
        <v>43</v>
      </c>
      <c r="J92" s="64">
        <v>0.63</v>
      </c>
      <c r="K92" s="64">
        <v>302.08999999999997</v>
      </c>
      <c r="L92" s="64">
        <v>20.67</v>
      </c>
      <c r="M92" s="64">
        <v>66.89</v>
      </c>
      <c r="N92" s="64">
        <v>79</v>
      </c>
      <c r="O92" s="64">
        <v>0</v>
      </c>
      <c r="P92" s="64">
        <v>1.7</v>
      </c>
      <c r="Q92" s="64">
        <v>9.83</v>
      </c>
      <c r="R92" s="198"/>
      <c r="S92" s="198"/>
      <c r="T92" s="198"/>
      <c r="U92" s="198"/>
    </row>
    <row r="93" spans="1:26" s="12" customFormat="1" x14ac:dyDescent="0.25">
      <c r="A93" s="213" t="s">
        <v>616</v>
      </c>
      <c r="B93" s="64">
        <v>112.6</v>
      </c>
      <c r="C93" s="64">
        <v>60.97</v>
      </c>
      <c r="D93" s="64">
        <v>120.77</v>
      </c>
      <c r="E93" s="64">
        <v>8.69</v>
      </c>
      <c r="F93" s="64">
        <v>2.13</v>
      </c>
      <c r="G93" s="64">
        <v>236.31</v>
      </c>
      <c r="H93" s="64">
        <v>42.56</v>
      </c>
      <c r="I93" s="214" t="s">
        <v>43</v>
      </c>
      <c r="J93" s="64">
        <v>0.69</v>
      </c>
      <c r="K93" s="64">
        <v>343.86</v>
      </c>
      <c r="L93" s="64">
        <v>20.46</v>
      </c>
      <c r="M93" s="64">
        <v>73.16</v>
      </c>
      <c r="N93" s="64">
        <v>79</v>
      </c>
      <c r="O93" s="64">
        <v>0</v>
      </c>
      <c r="P93" s="64">
        <v>2.36</v>
      </c>
      <c r="Q93" s="64">
        <v>9.8699999999999992</v>
      </c>
      <c r="R93" s="198"/>
      <c r="S93" s="198"/>
      <c r="T93" s="198"/>
      <c r="U93" s="198"/>
    </row>
    <row r="94" spans="1:26" s="12" customFormat="1" x14ac:dyDescent="0.25">
      <c r="A94" s="213" t="s">
        <v>617</v>
      </c>
      <c r="B94" s="64">
        <v>128.30000000000001</v>
      </c>
      <c r="C94" s="64">
        <v>60.96</v>
      </c>
      <c r="D94" s="64">
        <v>133.36000000000001</v>
      </c>
      <c r="E94" s="64">
        <v>9.07</v>
      </c>
      <c r="F94" s="64">
        <v>2.13</v>
      </c>
      <c r="G94" s="64">
        <v>236.31</v>
      </c>
      <c r="H94" s="64">
        <v>42.56</v>
      </c>
      <c r="I94" s="214" t="s">
        <v>43</v>
      </c>
      <c r="J94" s="64">
        <v>0.45</v>
      </c>
      <c r="K94" s="64">
        <v>281.98</v>
      </c>
      <c r="L94" s="64">
        <v>20.29</v>
      </c>
      <c r="M94" s="64">
        <v>74.87</v>
      </c>
      <c r="N94" s="64">
        <v>78.599999999999994</v>
      </c>
      <c r="O94" s="64">
        <v>0</v>
      </c>
      <c r="P94" s="64">
        <v>2.35</v>
      </c>
      <c r="Q94" s="64">
        <v>9.94</v>
      </c>
      <c r="R94" s="198"/>
      <c r="S94" s="198"/>
      <c r="T94" s="198"/>
      <c r="U94" s="198"/>
    </row>
    <row r="95" spans="1:26" s="12" customFormat="1" x14ac:dyDescent="0.25">
      <c r="A95" s="213" t="s">
        <v>618</v>
      </c>
      <c r="B95" s="64">
        <v>138.96</v>
      </c>
      <c r="C95" s="64">
        <v>61.18</v>
      </c>
      <c r="D95" s="64">
        <v>142.02000000000001</v>
      </c>
      <c r="E95" s="64">
        <v>9.77</v>
      </c>
      <c r="F95" s="64">
        <v>2.13</v>
      </c>
      <c r="G95" s="64">
        <v>236.31</v>
      </c>
      <c r="H95" s="64">
        <v>42.56</v>
      </c>
      <c r="I95" s="214" t="s">
        <v>43</v>
      </c>
      <c r="J95" s="64">
        <v>0.24</v>
      </c>
      <c r="K95" s="64">
        <v>318.89999999999998</v>
      </c>
      <c r="L95" s="64">
        <v>20.51</v>
      </c>
      <c r="M95" s="64">
        <v>70.69</v>
      </c>
      <c r="N95" s="64">
        <v>78.8</v>
      </c>
      <c r="O95" s="64">
        <v>0</v>
      </c>
      <c r="P95" s="64">
        <v>2.2999999999999998</v>
      </c>
      <c r="Q95" s="64">
        <v>10.050000000000001</v>
      </c>
      <c r="R95" s="198"/>
      <c r="S95" s="198"/>
      <c r="T95" s="198"/>
      <c r="U95" s="198"/>
    </row>
    <row r="96" spans="1:26" s="12" customFormat="1" x14ac:dyDescent="0.25">
      <c r="A96" s="213" t="s">
        <v>619</v>
      </c>
      <c r="B96" s="64">
        <v>153.5</v>
      </c>
      <c r="C96" s="64">
        <v>61.93</v>
      </c>
      <c r="D96" s="64">
        <v>154.08000000000001</v>
      </c>
      <c r="E96" s="64">
        <v>10.43</v>
      </c>
      <c r="F96" s="64">
        <v>2.13</v>
      </c>
      <c r="G96" s="64">
        <v>245.47</v>
      </c>
      <c r="H96" s="64">
        <v>47.52</v>
      </c>
      <c r="I96" s="214" t="s">
        <v>43</v>
      </c>
      <c r="J96" s="64">
        <v>0.6</v>
      </c>
      <c r="K96" s="64">
        <v>317.39999999999998</v>
      </c>
      <c r="L96" s="64">
        <v>20.27</v>
      </c>
      <c r="M96" s="64">
        <v>73.47</v>
      </c>
      <c r="N96" s="64">
        <v>79.099999999999994</v>
      </c>
      <c r="O96" s="64">
        <v>0</v>
      </c>
      <c r="P96" s="64">
        <v>2.71</v>
      </c>
      <c r="Q96" s="64">
        <v>10.08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620</v>
      </c>
      <c r="B97" s="64">
        <v>169.97</v>
      </c>
      <c r="C97" s="64">
        <v>62.22</v>
      </c>
      <c r="D97" s="64">
        <v>167.44</v>
      </c>
      <c r="E97" s="64">
        <v>10.93</v>
      </c>
      <c r="F97" s="64">
        <v>2.13</v>
      </c>
      <c r="G97" s="64">
        <v>256.42</v>
      </c>
      <c r="H97" s="64">
        <v>53.44</v>
      </c>
      <c r="I97" s="214" t="s">
        <v>43</v>
      </c>
      <c r="J97" s="64">
        <v>0.43</v>
      </c>
      <c r="K97" s="64">
        <v>298.44</v>
      </c>
      <c r="L97" s="64">
        <v>19.82</v>
      </c>
      <c r="M97" s="64">
        <v>76.260000000000005</v>
      </c>
      <c r="N97" s="64">
        <v>79.099999999999994</v>
      </c>
      <c r="O97" s="64">
        <v>0</v>
      </c>
      <c r="P97" s="64">
        <v>2.58</v>
      </c>
      <c r="Q97" s="64">
        <v>10.11</v>
      </c>
      <c r="R97" s="198"/>
      <c r="S97" s="198"/>
      <c r="T97" s="198"/>
      <c r="U97" s="198"/>
    </row>
    <row r="98" spans="1:33" s="12" customFormat="1" x14ac:dyDescent="0.25">
      <c r="A98" s="213" t="s">
        <v>621</v>
      </c>
      <c r="B98" s="64">
        <v>189.04</v>
      </c>
      <c r="C98" s="64">
        <v>61.75</v>
      </c>
      <c r="D98" s="64">
        <v>182.48</v>
      </c>
      <c r="E98" s="64">
        <v>11.11</v>
      </c>
      <c r="F98" s="64">
        <v>2.13</v>
      </c>
      <c r="G98" s="64">
        <v>256.42</v>
      </c>
      <c r="H98" s="64">
        <v>53.44</v>
      </c>
      <c r="I98" s="214" t="s">
        <v>43</v>
      </c>
      <c r="J98" s="64">
        <v>0.26</v>
      </c>
      <c r="K98" s="64">
        <v>346.47</v>
      </c>
      <c r="L98" s="64">
        <v>19.850000000000001</v>
      </c>
      <c r="M98" s="64">
        <v>77.27</v>
      </c>
      <c r="N98" s="64">
        <v>79</v>
      </c>
      <c r="O98" s="64">
        <v>0</v>
      </c>
      <c r="P98" s="64">
        <v>2.69</v>
      </c>
      <c r="Q98" s="64">
        <v>10.199999999999999</v>
      </c>
      <c r="R98" s="198"/>
      <c r="S98" s="198"/>
      <c r="T98" s="198"/>
      <c r="U98" s="198"/>
    </row>
    <row r="99" spans="1:33" s="12" customFormat="1" x14ac:dyDescent="0.25">
      <c r="A99" s="213" t="s">
        <v>622</v>
      </c>
      <c r="B99" s="64">
        <v>204.05</v>
      </c>
      <c r="C99" s="64">
        <v>62.14</v>
      </c>
      <c r="D99" s="64">
        <v>194.72</v>
      </c>
      <c r="E99" s="64">
        <v>11.52</v>
      </c>
      <c r="F99" s="64">
        <v>2.13</v>
      </c>
      <c r="G99" s="64">
        <v>256.42</v>
      </c>
      <c r="H99" s="64">
        <v>53.44</v>
      </c>
      <c r="I99" s="214" t="s">
        <v>43</v>
      </c>
      <c r="J99" s="64">
        <v>0.28999999999999998</v>
      </c>
      <c r="K99" s="64">
        <v>322.24</v>
      </c>
      <c r="L99" s="64">
        <v>19.79</v>
      </c>
      <c r="M99" s="64">
        <v>74.819999999999993</v>
      </c>
      <c r="N99" s="64">
        <v>78.900000000000006</v>
      </c>
      <c r="O99" s="64">
        <v>0</v>
      </c>
      <c r="P99" s="64">
        <v>2.68</v>
      </c>
      <c r="Q99" s="64">
        <v>10.31</v>
      </c>
      <c r="R99" s="198"/>
      <c r="S99" s="198"/>
      <c r="T99" s="198"/>
      <c r="U99" s="198"/>
    </row>
    <row r="100" spans="1:33" s="12" customFormat="1" x14ac:dyDescent="0.25">
      <c r="A100" s="213" t="s">
        <v>623</v>
      </c>
      <c r="B100" s="64">
        <v>213.1</v>
      </c>
      <c r="C100" s="64">
        <v>62.6</v>
      </c>
      <c r="D100" s="64">
        <v>202.22</v>
      </c>
      <c r="E100" s="64">
        <v>11.97</v>
      </c>
      <c r="F100" s="64">
        <v>2.13</v>
      </c>
      <c r="G100" s="64">
        <v>256.27</v>
      </c>
      <c r="H100" s="64">
        <v>58.16</v>
      </c>
      <c r="I100" s="214" t="s">
        <v>43</v>
      </c>
      <c r="J100" s="64">
        <v>0.61</v>
      </c>
      <c r="K100" s="64">
        <v>266.52</v>
      </c>
      <c r="L100" s="64">
        <v>19.79</v>
      </c>
      <c r="M100" s="64">
        <v>73.290000000000006</v>
      </c>
      <c r="N100" s="64">
        <v>79.099999999999994</v>
      </c>
      <c r="O100" s="64">
        <v>0</v>
      </c>
      <c r="P100" s="64">
        <v>3</v>
      </c>
      <c r="Q100" s="64">
        <v>10.44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624</v>
      </c>
      <c r="B101" s="64">
        <v>217.27</v>
      </c>
      <c r="C101" s="64">
        <v>59.94</v>
      </c>
      <c r="D101" s="64">
        <v>204.18</v>
      </c>
      <c r="E101" s="64">
        <v>11.45</v>
      </c>
      <c r="F101" s="64">
        <v>2.13</v>
      </c>
      <c r="G101" s="64">
        <v>256.08999999999997</v>
      </c>
      <c r="H101" s="64">
        <v>63.81</v>
      </c>
      <c r="I101" s="214" t="s">
        <v>43</v>
      </c>
      <c r="J101" s="64">
        <v>0.65</v>
      </c>
      <c r="K101" s="64">
        <v>329.61</v>
      </c>
      <c r="L101" s="64">
        <v>19.47</v>
      </c>
      <c r="M101" s="64">
        <v>77.989999999999995</v>
      </c>
      <c r="N101" s="64">
        <v>79.2</v>
      </c>
      <c r="O101" s="64">
        <v>0</v>
      </c>
      <c r="P101" s="64">
        <v>3.27</v>
      </c>
      <c r="Q101" s="64">
        <v>10.54</v>
      </c>
      <c r="R101" s="198"/>
      <c r="S101" s="198"/>
      <c r="T101" s="198"/>
      <c r="U101" s="198"/>
    </row>
    <row r="102" spans="1:33" s="12" customFormat="1" x14ac:dyDescent="0.25">
      <c r="A102" s="213" t="s">
        <v>625</v>
      </c>
      <c r="B102" s="64">
        <v>219.32</v>
      </c>
      <c r="C102" s="64">
        <v>55.78</v>
      </c>
      <c r="D102" s="64">
        <v>203.64</v>
      </c>
      <c r="E102" s="64">
        <v>10.97</v>
      </c>
      <c r="F102" s="64">
        <v>2.13</v>
      </c>
      <c r="G102" s="64">
        <v>256.08999999999997</v>
      </c>
      <c r="H102" s="64">
        <v>63.81</v>
      </c>
      <c r="I102" s="214" t="s">
        <v>43</v>
      </c>
      <c r="J102" s="64">
        <v>0.52</v>
      </c>
      <c r="K102" s="64">
        <v>295.99</v>
      </c>
      <c r="L102" s="64">
        <v>19.11</v>
      </c>
      <c r="M102" s="64">
        <v>78.459999999999994</v>
      </c>
      <c r="N102" s="64">
        <v>79.099999999999994</v>
      </c>
      <c r="O102" s="64">
        <v>0</v>
      </c>
      <c r="P102" s="64">
        <v>2.6</v>
      </c>
      <c r="Q102" s="64">
        <v>10.56</v>
      </c>
      <c r="R102" s="198"/>
      <c r="S102" s="198"/>
      <c r="T102" s="198"/>
      <c r="U102" s="198"/>
    </row>
    <row r="103" spans="1:33" s="12" customFormat="1" x14ac:dyDescent="0.25">
      <c r="A103" s="213" t="s">
        <v>626</v>
      </c>
      <c r="B103" s="64">
        <v>218.4</v>
      </c>
      <c r="C103" s="64">
        <v>56.35</v>
      </c>
      <c r="D103" s="64">
        <v>203.21</v>
      </c>
      <c r="E103" s="64">
        <v>10.64</v>
      </c>
      <c r="F103" s="64">
        <v>2.13</v>
      </c>
      <c r="G103" s="64">
        <v>256.08999999999997</v>
      </c>
      <c r="H103" s="64">
        <v>63.81</v>
      </c>
      <c r="I103" s="214" t="s">
        <v>43</v>
      </c>
      <c r="J103" s="64">
        <v>0.63</v>
      </c>
      <c r="K103" s="64">
        <v>291.44</v>
      </c>
      <c r="L103" s="64">
        <v>19.05</v>
      </c>
      <c r="M103" s="64">
        <v>79.900000000000006</v>
      </c>
      <c r="N103" s="64">
        <v>79</v>
      </c>
      <c r="O103" s="64">
        <v>0</v>
      </c>
      <c r="P103" s="64">
        <v>2.67</v>
      </c>
      <c r="Q103" s="64">
        <v>10.59</v>
      </c>
      <c r="R103" s="198"/>
      <c r="S103" s="198"/>
      <c r="T103" s="198"/>
      <c r="U103" s="198"/>
    </row>
    <row r="104" spans="1:33" s="12" customFormat="1" x14ac:dyDescent="0.25">
      <c r="A104" s="213" t="s">
        <v>627</v>
      </c>
      <c r="B104" s="64">
        <v>216.27</v>
      </c>
      <c r="C104" s="64">
        <v>55.95</v>
      </c>
      <c r="D104" s="64">
        <v>201.29</v>
      </c>
      <c r="E104" s="64">
        <v>10.06</v>
      </c>
      <c r="F104" s="64">
        <v>2.13</v>
      </c>
      <c r="G104" s="64">
        <v>212.14</v>
      </c>
      <c r="H104" s="64">
        <v>56.09</v>
      </c>
      <c r="I104" s="214" t="s">
        <v>43</v>
      </c>
      <c r="J104" s="64">
        <v>0.08</v>
      </c>
      <c r="K104" s="64">
        <v>230.4</v>
      </c>
      <c r="L104" s="64">
        <v>19.18</v>
      </c>
      <c r="M104" s="64">
        <v>74.2</v>
      </c>
      <c r="N104" s="64">
        <v>78.7</v>
      </c>
      <c r="O104" s="64">
        <v>0</v>
      </c>
      <c r="P104" s="64">
        <v>2.21</v>
      </c>
      <c r="Q104" s="64">
        <v>10.59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2.99</v>
      </c>
      <c r="C106" s="67">
        <f>MIN(C9:C104)</f>
        <v>47.6</v>
      </c>
      <c r="D106" s="67">
        <f t="shared" ref="D106:Q106" si="0">MIN(D9:D104)</f>
        <v>29.18</v>
      </c>
      <c r="E106" s="67">
        <f t="shared" si="0"/>
        <v>4.87</v>
      </c>
      <c r="F106" s="67">
        <f t="shared" si="0"/>
        <v>2.13</v>
      </c>
      <c r="G106" s="67">
        <f t="shared" si="0"/>
        <v>53.02</v>
      </c>
      <c r="H106" s="67">
        <f t="shared" si="0"/>
        <v>16.64</v>
      </c>
      <c r="I106" s="67">
        <f t="shared" si="0"/>
        <v>0</v>
      </c>
      <c r="J106" s="67">
        <f t="shared" si="0"/>
        <v>0.08</v>
      </c>
      <c r="K106" s="67">
        <f t="shared" si="0"/>
        <v>0.35</v>
      </c>
      <c r="L106" s="67">
        <f t="shared" si="0"/>
        <v>17.21</v>
      </c>
      <c r="M106" s="67">
        <f t="shared" si="0"/>
        <v>28.35</v>
      </c>
      <c r="N106" s="67">
        <f t="shared" si="0"/>
        <v>74.2</v>
      </c>
      <c r="O106" s="67">
        <f t="shared" si="0"/>
        <v>0</v>
      </c>
      <c r="P106" s="67">
        <f t="shared" si="0"/>
        <v>0.59</v>
      </c>
      <c r="Q106" s="67">
        <f t="shared" si="0"/>
        <v>9.52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219.32</v>
      </c>
      <c r="C107" s="66">
        <f t="shared" ref="C107:Q107" si="1">MAX(C9:C104)</f>
        <v>66.98</v>
      </c>
      <c r="D107" s="66">
        <f t="shared" si="1"/>
        <v>204.18</v>
      </c>
      <c r="E107" s="66">
        <f t="shared" si="1"/>
        <v>11.97</v>
      </c>
      <c r="F107" s="66">
        <f t="shared" si="1"/>
        <v>2.76</v>
      </c>
      <c r="G107" s="66">
        <f t="shared" si="1"/>
        <v>256.42</v>
      </c>
      <c r="H107" s="66">
        <f t="shared" si="1"/>
        <v>63.81</v>
      </c>
      <c r="I107" s="66">
        <f t="shared" si="1"/>
        <v>0</v>
      </c>
      <c r="J107" s="66">
        <f t="shared" si="1"/>
        <v>1.62</v>
      </c>
      <c r="K107" s="66">
        <f t="shared" si="1"/>
        <v>357.6</v>
      </c>
      <c r="L107" s="66">
        <f t="shared" si="1"/>
        <v>33.85</v>
      </c>
      <c r="M107" s="66">
        <f t="shared" si="1"/>
        <v>92.4</v>
      </c>
      <c r="N107" s="66">
        <f t="shared" si="1"/>
        <v>564.6</v>
      </c>
      <c r="O107" s="66">
        <f t="shared" si="1"/>
        <v>0</v>
      </c>
      <c r="P107" s="66">
        <f t="shared" si="1"/>
        <v>3.27</v>
      </c>
      <c r="Q107" s="66">
        <f t="shared" si="1"/>
        <v>10.59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66.656666666666695</v>
      </c>
      <c r="C108" s="67">
        <f t="shared" ref="C108:Q108" si="2">AVERAGE(C9:C104)</f>
        <v>57.730000000000018</v>
      </c>
      <c r="D108" s="67">
        <f t="shared" si="2"/>
        <v>82.238541666666706</v>
      </c>
      <c r="E108" s="67">
        <f t="shared" si="2"/>
        <v>7.264895833333334</v>
      </c>
      <c r="F108" s="67">
        <f t="shared" si="2"/>
        <v>2.1722916666666645</v>
      </c>
      <c r="G108" s="67">
        <f t="shared" si="2"/>
        <v>117.97427083333334</v>
      </c>
      <c r="H108" s="67">
        <f t="shared" si="2"/>
        <v>39.624791666666674</v>
      </c>
      <c r="I108" s="67" t="e">
        <f t="shared" si="2"/>
        <v>#DIV/0!</v>
      </c>
      <c r="J108" s="67">
        <f t="shared" si="2"/>
        <v>0.63281250000000011</v>
      </c>
      <c r="K108" s="67">
        <f t="shared" si="2"/>
        <v>204.84989583333342</v>
      </c>
      <c r="L108" s="67">
        <f t="shared" si="2"/>
        <v>23.071874999999995</v>
      </c>
      <c r="M108" s="67">
        <f t="shared" si="2"/>
        <v>58.236041666666686</v>
      </c>
      <c r="N108" s="67">
        <f t="shared" si="2"/>
        <v>200.41666666666652</v>
      </c>
      <c r="O108" s="67">
        <f t="shared" si="2"/>
        <v>0</v>
      </c>
      <c r="P108" s="67">
        <f t="shared" si="2"/>
        <v>1.4230208333333332</v>
      </c>
      <c r="Q108" s="67">
        <f t="shared" si="2"/>
        <v>9.8470833333333285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61.183420521140079</v>
      </c>
      <c r="C109" s="67">
        <f t="shared" ref="C109:Q109" si="3">STDEV(C9:C104)</f>
        <v>4.5378114363180568</v>
      </c>
      <c r="D109" s="67">
        <f t="shared" si="3"/>
        <v>48.817918280271748</v>
      </c>
      <c r="E109" s="67">
        <f t="shared" si="3"/>
        <v>1.8117691236623192</v>
      </c>
      <c r="F109" s="67">
        <f t="shared" si="3"/>
        <v>0.1367631773053942</v>
      </c>
      <c r="G109" s="67">
        <f t="shared" si="3"/>
        <v>58.958595940305365</v>
      </c>
      <c r="H109" s="67">
        <f t="shared" si="3"/>
        <v>11.340484439588955</v>
      </c>
      <c r="I109" s="67" t="e">
        <f t="shared" si="3"/>
        <v>#DIV/0!</v>
      </c>
      <c r="J109" s="67">
        <f t="shared" si="3"/>
        <v>0.36314330395936872</v>
      </c>
      <c r="K109" s="67">
        <f t="shared" si="3"/>
        <v>114.61087363215529</v>
      </c>
      <c r="L109" s="67">
        <f t="shared" si="3"/>
        <v>4.8783328283554388</v>
      </c>
      <c r="M109" s="67">
        <f t="shared" si="3"/>
        <v>20.627042877031013</v>
      </c>
      <c r="N109" s="67">
        <f t="shared" si="3"/>
        <v>181.28136297315163</v>
      </c>
      <c r="O109" s="67">
        <f t="shared" si="3"/>
        <v>0</v>
      </c>
      <c r="P109" s="67">
        <f t="shared" si="3"/>
        <v>0.69041729531252793</v>
      </c>
      <c r="Q109" s="67">
        <f t="shared" si="3"/>
        <v>0.27846918630128226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628</v>
      </c>
      <c r="B9" s="64">
        <v>212.26</v>
      </c>
      <c r="C9" s="64">
        <v>55.24</v>
      </c>
      <c r="D9" s="64">
        <v>197.7</v>
      </c>
      <c r="E9" s="64">
        <v>10.9</v>
      </c>
      <c r="F9" s="64">
        <v>2.13</v>
      </c>
      <c r="G9" s="64">
        <v>159.6</v>
      </c>
      <c r="H9" s="64">
        <v>46.86</v>
      </c>
      <c r="I9" s="210" t="s">
        <v>43</v>
      </c>
      <c r="J9" s="64">
        <v>0.51</v>
      </c>
      <c r="K9" s="64">
        <v>305.20999999999998</v>
      </c>
      <c r="L9" s="64">
        <v>19.309999999999999</v>
      </c>
      <c r="M9" s="64">
        <v>67.28</v>
      </c>
      <c r="N9" s="64">
        <v>79</v>
      </c>
      <c r="O9" s="64">
        <v>0</v>
      </c>
      <c r="P9" s="64">
        <v>2.13</v>
      </c>
      <c r="Q9" s="64">
        <v>10.6</v>
      </c>
      <c r="R9" s="198"/>
      <c r="S9" s="198"/>
      <c r="T9" s="198"/>
      <c r="U9" s="198"/>
    </row>
    <row r="10" spans="1:21" s="12" customFormat="1" x14ac:dyDescent="0.25">
      <c r="A10" s="213" t="s">
        <v>629</v>
      </c>
      <c r="B10" s="64">
        <v>206.21</v>
      </c>
      <c r="C10" s="64">
        <v>53.8</v>
      </c>
      <c r="D10" s="64">
        <v>192.09</v>
      </c>
      <c r="E10" s="64">
        <v>10.4</v>
      </c>
      <c r="F10" s="64">
        <v>2.13</v>
      </c>
      <c r="G10" s="64">
        <v>159.6</v>
      </c>
      <c r="H10" s="64">
        <v>46.86</v>
      </c>
      <c r="I10" s="210" t="s">
        <v>43</v>
      </c>
      <c r="J10" s="64">
        <v>0.55000000000000004</v>
      </c>
      <c r="K10" s="64">
        <v>354.08</v>
      </c>
      <c r="L10" s="64">
        <v>19.09</v>
      </c>
      <c r="M10" s="64">
        <v>64.760000000000005</v>
      </c>
      <c r="N10" s="64">
        <v>79.099999999999994</v>
      </c>
      <c r="O10" s="64">
        <v>0</v>
      </c>
      <c r="P10" s="64">
        <v>2.1800000000000002</v>
      </c>
      <c r="Q10" s="64">
        <v>10.59</v>
      </c>
      <c r="R10" s="198"/>
      <c r="S10" s="198"/>
      <c r="T10" s="198"/>
      <c r="U10" s="198"/>
    </row>
    <row r="11" spans="1:21" s="12" customFormat="1" x14ac:dyDescent="0.25">
      <c r="A11" s="213" t="s">
        <v>630</v>
      </c>
      <c r="B11" s="64">
        <v>199.64</v>
      </c>
      <c r="C11" s="64">
        <v>52.78</v>
      </c>
      <c r="D11" s="64">
        <v>186.29</v>
      </c>
      <c r="E11" s="64">
        <v>9.64</v>
      </c>
      <c r="F11" s="64">
        <v>2.13</v>
      </c>
      <c r="G11" s="64">
        <v>159.6</v>
      </c>
      <c r="H11" s="64">
        <v>46.86</v>
      </c>
      <c r="I11" s="210" t="s">
        <v>43</v>
      </c>
      <c r="J11" s="64">
        <v>0.62</v>
      </c>
      <c r="K11" s="64">
        <v>263.42</v>
      </c>
      <c r="L11" s="64">
        <v>18.91</v>
      </c>
      <c r="M11" s="64">
        <v>65.55</v>
      </c>
      <c r="N11" s="64">
        <v>79</v>
      </c>
      <c r="O11" s="64">
        <v>0</v>
      </c>
      <c r="P11" s="64">
        <v>2.25</v>
      </c>
      <c r="Q11" s="64">
        <v>10.58</v>
      </c>
      <c r="R11" s="198"/>
      <c r="S11" s="198"/>
      <c r="T11" s="198"/>
      <c r="U11" s="198"/>
    </row>
    <row r="12" spans="1:21" s="12" customFormat="1" x14ac:dyDescent="0.25">
      <c r="A12" s="213" t="s">
        <v>631</v>
      </c>
      <c r="B12" s="64">
        <v>193.14</v>
      </c>
      <c r="C12" s="64">
        <v>52.9</v>
      </c>
      <c r="D12" s="64">
        <v>181.15</v>
      </c>
      <c r="E12" s="64">
        <v>9.57</v>
      </c>
      <c r="F12" s="64">
        <v>2.13</v>
      </c>
      <c r="G12" s="64">
        <v>130.97999999999999</v>
      </c>
      <c r="H12" s="64">
        <v>33.840000000000003</v>
      </c>
      <c r="I12" s="210" t="s">
        <v>43</v>
      </c>
      <c r="J12" s="64">
        <v>0.34</v>
      </c>
      <c r="K12" s="64">
        <v>287.42</v>
      </c>
      <c r="L12" s="64">
        <v>18.46</v>
      </c>
      <c r="M12" s="64">
        <v>68.94</v>
      </c>
      <c r="N12" s="64">
        <v>79.099999999999994</v>
      </c>
      <c r="O12" s="64">
        <v>0</v>
      </c>
      <c r="P12" s="64">
        <v>2.2000000000000002</v>
      </c>
      <c r="Q12" s="64">
        <v>10.56</v>
      </c>
      <c r="R12" s="198"/>
      <c r="S12" s="198"/>
      <c r="T12" s="198"/>
      <c r="U12" s="198"/>
    </row>
    <row r="13" spans="1:21" s="12" customFormat="1" x14ac:dyDescent="0.25">
      <c r="A13" s="213" t="s">
        <v>632</v>
      </c>
      <c r="B13" s="64">
        <v>187.34</v>
      </c>
      <c r="C13" s="64">
        <v>55.26</v>
      </c>
      <c r="D13" s="64">
        <v>177.73</v>
      </c>
      <c r="E13" s="64">
        <v>9.07</v>
      </c>
      <c r="F13" s="64">
        <v>2.13</v>
      </c>
      <c r="G13" s="64">
        <v>96.77</v>
      </c>
      <c r="H13" s="64">
        <v>18.27</v>
      </c>
      <c r="I13" s="210" t="s">
        <v>43</v>
      </c>
      <c r="J13" s="64">
        <v>0.17</v>
      </c>
      <c r="K13" s="64">
        <v>332.49</v>
      </c>
      <c r="L13" s="64">
        <v>18.09</v>
      </c>
      <c r="M13" s="64">
        <v>73.14</v>
      </c>
      <c r="N13" s="64">
        <v>79.2</v>
      </c>
      <c r="O13" s="64">
        <v>0</v>
      </c>
      <c r="P13" s="64">
        <v>2.16</v>
      </c>
      <c r="Q13" s="64">
        <v>10.5</v>
      </c>
      <c r="R13" s="198"/>
      <c r="S13" s="198"/>
      <c r="T13" s="198"/>
      <c r="U13" s="198"/>
    </row>
    <row r="14" spans="1:21" s="12" customFormat="1" x14ac:dyDescent="0.25">
      <c r="A14" s="213" t="s">
        <v>633</v>
      </c>
      <c r="B14" s="64">
        <v>180.19</v>
      </c>
      <c r="C14" s="64">
        <v>53.6</v>
      </c>
      <c r="D14" s="64">
        <v>171.12</v>
      </c>
      <c r="E14" s="64">
        <v>9.39</v>
      </c>
      <c r="F14" s="64">
        <v>2.13</v>
      </c>
      <c r="G14" s="64">
        <v>96.77</v>
      </c>
      <c r="H14" s="64">
        <v>18.27</v>
      </c>
      <c r="I14" s="210" t="s">
        <v>43</v>
      </c>
      <c r="J14" s="64">
        <v>0.18</v>
      </c>
      <c r="K14" s="64">
        <v>282.38</v>
      </c>
      <c r="L14" s="64">
        <v>17.850000000000001</v>
      </c>
      <c r="M14" s="64">
        <v>75.16</v>
      </c>
      <c r="N14" s="64">
        <v>79.099999999999994</v>
      </c>
      <c r="O14" s="64">
        <v>0</v>
      </c>
      <c r="P14" s="64">
        <v>2.06</v>
      </c>
      <c r="Q14" s="64">
        <v>10.48</v>
      </c>
      <c r="R14" s="198"/>
      <c r="S14" s="198"/>
      <c r="T14" s="198"/>
      <c r="U14" s="198"/>
    </row>
    <row r="15" spans="1:21" s="12" customFormat="1" x14ac:dyDescent="0.25">
      <c r="A15" s="213" t="s">
        <v>634</v>
      </c>
      <c r="B15" s="64">
        <v>171.97</v>
      </c>
      <c r="C15" s="64">
        <v>54.24</v>
      </c>
      <c r="D15" s="64">
        <v>164.87</v>
      </c>
      <c r="E15" s="64">
        <v>8.99</v>
      </c>
      <c r="F15" s="64">
        <v>2.13</v>
      </c>
      <c r="G15" s="64">
        <v>96.77</v>
      </c>
      <c r="H15" s="64">
        <v>18.27</v>
      </c>
      <c r="I15" s="210" t="s">
        <v>43</v>
      </c>
      <c r="J15" s="64">
        <v>0.4</v>
      </c>
      <c r="K15" s="64">
        <v>310.97000000000003</v>
      </c>
      <c r="L15" s="64">
        <v>17.82</v>
      </c>
      <c r="M15" s="64">
        <v>74.22</v>
      </c>
      <c r="N15" s="64">
        <v>79.099999999999994</v>
      </c>
      <c r="O15" s="64">
        <v>0</v>
      </c>
      <c r="P15" s="64">
        <v>2.0299999999999998</v>
      </c>
      <c r="Q15" s="64">
        <v>10.45</v>
      </c>
      <c r="R15" s="198"/>
      <c r="S15" s="198"/>
      <c r="T15" s="198"/>
      <c r="U15" s="198"/>
    </row>
    <row r="16" spans="1:21" s="12" customFormat="1" x14ac:dyDescent="0.25">
      <c r="A16" s="213" t="s">
        <v>635</v>
      </c>
      <c r="B16" s="64">
        <v>163.96</v>
      </c>
      <c r="C16" s="64">
        <v>52.94</v>
      </c>
      <c r="D16" s="64">
        <v>157.77000000000001</v>
      </c>
      <c r="E16" s="64">
        <v>8.61</v>
      </c>
      <c r="F16" s="64">
        <v>2.13</v>
      </c>
      <c r="G16" s="64">
        <v>93.29</v>
      </c>
      <c r="H16" s="64">
        <v>28.49</v>
      </c>
      <c r="I16" s="210" t="s">
        <v>43</v>
      </c>
      <c r="J16" s="64">
        <v>0.14000000000000001</v>
      </c>
      <c r="K16" s="64">
        <v>165.3</v>
      </c>
      <c r="L16" s="64">
        <v>17.54</v>
      </c>
      <c r="M16" s="64">
        <v>75.790000000000006</v>
      </c>
      <c r="N16" s="64">
        <v>79</v>
      </c>
      <c r="O16" s="64">
        <v>0</v>
      </c>
      <c r="P16" s="64">
        <v>1.98</v>
      </c>
      <c r="Q16" s="64">
        <v>10.44</v>
      </c>
      <c r="R16" s="198"/>
      <c r="S16" s="198"/>
      <c r="T16" s="198"/>
      <c r="U16" s="198"/>
    </row>
    <row r="17" spans="1:21" s="12" customFormat="1" x14ac:dyDescent="0.25">
      <c r="A17" s="213" t="s">
        <v>636</v>
      </c>
      <c r="B17" s="64">
        <v>156.62</v>
      </c>
      <c r="C17" s="64">
        <v>53.05</v>
      </c>
      <c r="D17" s="64">
        <v>151.94</v>
      </c>
      <c r="E17" s="64">
        <v>8.58</v>
      </c>
      <c r="F17" s="64">
        <v>2.13</v>
      </c>
      <c r="G17" s="64">
        <v>89.13</v>
      </c>
      <c r="H17" s="64">
        <v>40.71</v>
      </c>
      <c r="I17" s="210" t="s">
        <v>43</v>
      </c>
      <c r="J17" s="64">
        <v>0.62</v>
      </c>
      <c r="K17" s="64">
        <v>280.66000000000003</v>
      </c>
      <c r="L17" s="64">
        <v>17.37</v>
      </c>
      <c r="M17" s="64">
        <v>78.41</v>
      </c>
      <c r="N17" s="64">
        <v>79.2</v>
      </c>
      <c r="O17" s="64">
        <v>0</v>
      </c>
      <c r="P17" s="64">
        <v>1.92</v>
      </c>
      <c r="Q17" s="64">
        <v>10.4</v>
      </c>
      <c r="R17" s="198"/>
      <c r="S17" s="198"/>
      <c r="T17" s="198"/>
      <c r="U17" s="198"/>
    </row>
    <row r="18" spans="1:21" s="12" customFormat="1" x14ac:dyDescent="0.25">
      <c r="A18" s="213" t="s">
        <v>637</v>
      </c>
      <c r="B18" s="64">
        <v>149.72</v>
      </c>
      <c r="C18" s="64">
        <v>52.16</v>
      </c>
      <c r="D18" s="64">
        <v>145.94</v>
      </c>
      <c r="E18" s="64">
        <v>8.01</v>
      </c>
      <c r="F18" s="64">
        <v>2.13</v>
      </c>
      <c r="G18" s="64">
        <v>89.13</v>
      </c>
      <c r="H18" s="64">
        <v>40.71</v>
      </c>
      <c r="I18" s="210" t="s">
        <v>43</v>
      </c>
      <c r="J18" s="64">
        <v>0.46</v>
      </c>
      <c r="K18" s="64">
        <v>267.97000000000003</v>
      </c>
      <c r="L18" s="64">
        <v>17.2</v>
      </c>
      <c r="M18" s="64">
        <v>79.17</v>
      </c>
      <c r="N18" s="64">
        <v>79.099999999999994</v>
      </c>
      <c r="O18" s="64">
        <v>0</v>
      </c>
      <c r="P18" s="64">
        <v>1.82</v>
      </c>
      <c r="Q18" s="64">
        <v>10.37</v>
      </c>
      <c r="R18" s="198"/>
      <c r="S18" s="198"/>
      <c r="T18" s="198"/>
      <c r="U18" s="198"/>
    </row>
    <row r="19" spans="1:21" s="12" customFormat="1" x14ac:dyDescent="0.25">
      <c r="A19" s="213" t="s">
        <v>638</v>
      </c>
      <c r="B19" s="64">
        <v>143.1</v>
      </c>
      <c r="C19" s="64">
        <v>51.48</v>
      </c>
      <c r="D19" s="64">
        <v>140.28</v>
      </c>
      <c r="E19" s="64">
        <v>7.8</v>
      </c>
      <c r="F19" s="64">
        <v>2.13</v>
      </c>
      <c r="G19" s="64">
        <v>89.13</v>
      </c>
      <c r="H19" s="64">
        <v>40.71</v>
      </c>
      <c r="I19" s="210" t="s">
        <v>43</v>
      </c>
      <c r="J19" s="64">
        <v>0.54</v>
      </c>
      <c r="K19" s="64">
        <v>286.16000000000003</v>
      </c>
      <c r="L19" s="64">
        <v>16.97</v>
      </c>
      <c r="M19" s="64">
        <v>80.55</v>
      </c>
      <c r="N19" s="64">
        <v>79.099999999999994</v>
      </c>
      <c r="O19" s="64">
        <v>0</v>
      </c>
      <c r="P19" s="64">
        <v>1.76</v>
      </c>
      <c r="Q19" s="64">
        <v>10.34</v>
      </c>
      <c r="R19" s="198"/>
      <c r="S19" s="198"/>
      <c r="T19" s="198"/>
      <c r="U19" s="198"/>
    </row>
    <row r="20" spans="1:21" s="12" customFormat="1" x14ac:dyDescent="0.25">
      <c r="A20" s="213" t="s">
        <v>639</v>
      </c>
      <c r="B20" s="64">
        <v>136.47</v>
      </c>
      <c r="C20" s="64">
        <v>52.56</v>
      </c>
      <c r="D20" s="64">
        <v>135.52000000000001</v>
      </c>
      <c r="E20" s="64">
        <v>7.7</v>
      </c>
      <c r="F20" s="64">
        <v>2.13</v>
      </c>
      <c r="G20" s="64">
        <v>92.18</v>
      </c>
      <c r="H20" s="64">
        <v>42.83</v>
      </c>
      <c r="I20" s="210" t="s">
        <v>43</v>
      </c>
      <c r="J20" s="64">
        <v>0.55000000000000004</v>
      </c>
      <c r="K20" s="64">
        <v>296.52999999999997</v>
      </c>
      <c r="L20" s="64">
        <v>16.88</v>
      </c>
      <c r="M20" s="64">
        <v>81.52</v>
      </c>
      <c r="N20" s="64">
        <v>79</v>
      </c>
      <c r="O20" s="64">
        <v>0</v>
      </c>
      <c r="P20" s="64">
        <v>1.69</v>
      </c>
      <c r="Q20" s="64">
        <v>10.32</v>
      </c>
      <c r="R20" s="198"/>
      <c r="S20" s="198"/>
      <c r="T20" s="198"/>
      <c r="U20" s="198"/>
    </row>
    <row r="21" spans="1:21" s="12" customFormat="1" x14ac:dyDescent="0.25">
      <c r="A21" s="213" t="s">
        <v>640</v>
      </c>
      <c r="B21" s="64">
        <v>130.47</v>
      </c>
      <c r="C21" s="64">
        <v>52.46</v>
      </c>
      <c r="D21" s="64">
        <v>130.66</v>
      </c>
      <c r="E21" s="64">
        <v>7.59</v>
      </c>
      <c r="F21" s="64">
        <v>2.13</v>
      </c>
      <c r="G21" s="64">
        <v>95.83</v>
      </c>
      <c r="H21" s="64">
        <v>45.48</v>
      </c>
      <c r="I21" s="210" t="s">
        <v>43</v>
      </c>
      <c r="J21" s="64">
        <v>0.45</v>
      </c>
      <c r="K21" s="64">
        <v>298.83999999999997</v>
      </c>
      <c r="L21" s="64">
        <v>16.88</v>
      </c>
      <c r="M21" s="64">
        <v>81.86</v>
      </c>
      <c r="N21" s="64">
        <v>79</v>
      </c>
      <c r="O21" s="64">
        <v>0</v>
      </c>
      <c r="P21" s="64">
        <v>1.57</v>
      </c>
      <c r="Q21" s="64">
        <v>10.28</v>
      </c>
      <c r="R21" s="198"/>
      <c r="S21" s="198"/>
      <c r="T21" s="198"/>
      <c r="U21" s="198"/>
    </row>
    <row r="22" spans="1:21" s="12" customFormat="1" x14ac:dyDescent="0.25">
      <c r="A22" s="213" t="s">
        <v>641</v>
      </c>
      <c r="B22" s="64">
        <v>125.27</v>
      </c>
      <c r="C22" s="64">
        <v>48.05</v>
      </c>
      <c r="D22" s="64">
        <v>124.18</v>
      </c>
      <c r="E22" s="64">
        <v>6.98</v>
      </c>
      <c r="F22" s="64">
        <v>2.13</v>
      </c>
      <c r="G22" s="64">
        <v>95.83</v>
      </c>
      <c r="H22" s="64">
        <v>45.48</v>
      </c>
      <c r="I22" s="210" t="s">
        <v>43</v>
      </c>
      <c r="J22" s="64">
        <v>0.62</v>
      </c>
      <c r="K22" s="64">
        <v>299.48</v>
      </c>
      <c r="L22" s="64">
        <v>16.75</v>
      </c>
      <c r="M22" s="64">
        <v>82.12</v>
      </c>
      <c r="N22" s="64">
        <v>79.099999999999994</v>
      </c>
      <c r="O22" s="64">
        <v>0</v>
      </c>
      <c r="P22" s="64">
        <v>1.2</v>
      </c>
      <c r="Q22" s="64">
        <v>10.24</v>
      </c>
      <c r="R22" s="198"/>
      <c r="S22" s="198"/>
      <c r="T22" s="198"/>
      <c r="U22" s="198"/>
    </row>
    <row r="23" spans="1:21" s="12" customFormat="1" x14ac:dyDescent="0.25">
      <c r="A23" s="213" t="s">
        <v>642</v>
      </c>
      <c r="B23" s="64">
        <v>120.64</v>
      </c>
      <c r="C23" s="64">
        <v>47.36</v>
      </c>
      <c r="D23" s="64">
        <v>120.11</v>
      </c>
      <c r="E23" s="64">
        <v>7.01</v>
      </c>
      <c r="F23" s="64">
        <v>2.13</v>
      </c>
      <c r="G23" s="64">
        <v>95.83</v>
      </c>
      <c r="H23" s="64">
        <v>45.48</v>
      </c>
      <c r="I23" s="210" t="s">
        <v>43</v>
      </c>
      <c r="J23" s="64">
        <v>0.55000000000000004</v>
      </c>
      <c r="K23" s="64">
        <v>333.25</v>
      </c>
      <c r="L23" s="64">
        <v>16.62</v>
      </c>
      <c r="M23" s="64">
        <v>83.7</v>
      </c>
      <c r="N23" s="64">
        <v>79.099999999999994</v>
      </c>
      <c r="O23" s="64">
        <v>0</v>
      </c>
      <c r="P23" s="64">
        <v>1.21</v>
      </c>
      <c r="Q23" s="64">
        <v>10.199999999999999</v>
      </c>
      <c r="R23" s="198"/>
      <c r="S23" s="198"/>
      <c r="T23" s="198"/>
      <c r="U23" s="198"/>
    </row>
    <row r="24" spans="1:21" s="12" customFormat="1" x14ac:dyDescent="0.25">
      <c r="A24" s="213" t="s">
        <v>643</v>
      </c>
      <c r="B24" s="64">
        <v>116.75</v>
      </c>
      <c r="C24" s="64">
        <v>48.62</v>
      </c>
      <c r="D24" s="64">
        <v>117.65</v>
      </c>
      <c r="E24" s="64">
        <v>7.23</v>
      </c>
      <c r="F24" s="64">
        <v>2.13</v>
      </c>
      <c r="G24" s="64">
        <v>86.09</v>
      </c>
      <c r="H24" s="64">
        <v>39.94</v>
      </c>
      <c r="I24" s="210" t="s">
        <v>43</v>
      </c>
      <c r="J24" s="64">
        <v>0.14000000000000001</v>
      </c>
      <c r="K24" s="64">
        <v>149.32</v>
      </c>
      <c r="L24" s="64">
        <v>16.37</v>
      </c>
      <c r="M24" s="64">
        <v>83.1</v>
      </c>
      <c r="N24" s="64">
        <v>79</v>
      </c>
      <c r="O24" s="64">
        <v>0</v>
      </c>
      <c r="P24" s="64">
        <v>1.1399999999999999</v>
      </c>
      <c r="Q24" s="64">
        <v>10.15</v>
      </c>
      <c r="R24" s="198"/>
      <c r="S24" s="198"/>
      <c r="T24" s="198"/>
      <c r="U24" s="198"/>
    </row>
    <row r="25" spans="1:21" s="12" customFormat="1" x14ac:dyDescent="0.25">
      <c r="A25" s="213" t="s">
        <v>644</v>
      </c>
      <c r="B25" s="64">
        <v>113.28</v>
      </c>
      <c r="C25" s="64">
        <v>48.68</v>
      </c>
      <c r="D25" s="64">
        <v>114.9</v>
      </c>
      <c r="E25" s="64">
        <v>7.23</v>
      </c>
      <c r="F25" s="64">
        <v>2.13</v>
      </c>
      <c r="G25" s="64">
        <v>74.45</v>
      </c>
      <c r="H25" s="64">
        <v>33.01</v>
      </c>
      <c r="I25" s="210" t="s">
        <v>43</v>
      </c>
      <c r="J25" s="64">
        <v>0.28000000000000003</v>
      </c>
      <c r="K25" s="64">
        <v>173.75</v>
      </c>
      <c r="L25" s="64">
        <v>16.59</v>
      </c>
      <c r="M25" s="64">
        <v>80.61</v>
      </c>
      <c r="N25" s="64">
        <v>78.7</v>
      </c>
      <c r="O25" s="64">
        <v>0</v>
      </c>
      <c r="P25" s="64">
        <v>1.23</v>
      </c>
      <c r="Q25" s="64">
        <v>10.11</v>
      </c>
      <c r="R25" s="198"/>
      <c r="S25" s="198"/>
      <c r="T25" s="198"/>
      <c r="U25" s="198"/>
    </row>
    <row r="26" spans="1:21" s="12" customFormat="1" x14ac:dyDescent="0.25">
      <c r="A26" s="213" t="s">
        <v>645</v>
      </c>
      <c r="B26" s="64">
        <v>110.08</v>
      </c>
      <c r="C26" s="64">
        <v>48.88</v>
      </c>
      <c r="D26" s="64">
        <v>112.44</v>
      </c>
      <c r="E26" s="64">
        <v>7.23</v>
      </c>
      <c r="F26" s="64">
        <v>2.13</v>
      </c>
      <c r="G26" s="64">
        <v>74.45</v>
      </c>
      <c r="H26" s="64">
        <v>33.01</v>
      </c>
      <c r="I26" s="210" t="s">
        <v>43</v>
      </c>
      <c r="J26" s="64">
        <v>0.7</v>
      </c>
      <c r="K26" s="64">
        <v>329.13</v>
      </c>
      <c r="L26" s="64">
        <v>16.670000000000002</v>
      </c>
      <c r="M26" s="64">
        <v>82.28</v>
      </c>
      <c r="N26" s="64">
        <v>78.8</v>
      </c>
      <c r="O26" s="64">
        <v>0</v>
      </c>
      <c r="P26" s="64">
        <v>1.17</v>
      </c>
      <c r="Q26" s="64">
        <v>10.11</v>
      </c>
      <c r="R26" s="198"/>
      <c r="S26" s="198"/>
      <c r="T26" s="198"/>
      <c r="U26" s="198"/>
    </row>
    <row r="27" spans="1:21" s="12" customFormat="1" x14ac:dyDescent="0.25">
      <c r="A27" s="213" t="s">
        <v>646</v>
      </c>
      <c r="B27" s="64">
        <v>107.49</v>
      </c>
      <c r="C27" s="64">
        <v>49.33</v>
      </c>
      <c r="D27" s="64">
        <v>110.6</v>
      </c>
      <c r="E27" s="64">
        <v>7.56</v>
      </c>
      <c r="F27" s="64">
        <v>2.13</v>
      </c>
      <c r="G27" s="64">
        <v>74.45</v>
      </c>
      <c r="H27" s="64">
        <v>33.01</v>
      </c>
      <c r="I27" s="210" t="s">
        <v>43</v>
      </c>
      <c r="J27" s="64">
        <v>0.74</v>
      </c>
      <c r="K27" s="64">
        <v>346.46</v>
      </c>
      <c r="L27" s="64">
        <v>16.5</v>
      </c>
      <c r="M27" s="64">
        <v>81.66</v>
      </c>
      <c r="N27" s="64">
        <v>79</v>
      </c>
      <c r="O27" s="64">
        <v>0</v>
      </c>
      <c r="P27" s="64">
        <v>1.08</v>
      </c>
      <c r="Q27" s="64">
        <v>10.08</v>
      </c>
      <c r="R27" s="198"/>
      <c r="S27" s="198"/>
      <c r="T27" s="198"/>
      <c r="U27" s="198"/>
    </row>
    <row r="28" spans="1:21" s="12" customFormat="1" x14ac:dyDescent="0.25">
      <c r="A28" s="213" t="s">
        <v>647</v>
      </c>
      <c r="B28" s="64">
        <v>105.06</v>
      </c>
      <c r="C28" s="64">
        <v>49.29</v>
      </c>
      <c r="D28" s="64">
        <v>108.63</v>
      </c>
      <c r="E28" s="64">
        <v>7.42</v>
      </c>
      <c r="F28" s="64">
        <v>2.13</v>
      </c>
      <c r="G28" s="64">
        <v>74.5</v>
      </c>
      <c r="H28" s="64">
        <v>29.98</v>
      </c>
      <c r="I28" s="210" t="s">
        <v>43</v>
      </c>
      <c r="J28" s="64">
        <v>0.57999999999999996</v>
      </c>
      <c r="K28" s="64">
        <v>283.2</v>
      </c>
      <c r="L28" s="64">
        <v>16.579999999999998</v>
      </c>
      <c r="M28" s="64">
        <v>79.260000000000005</v>
      </c>
      <c r="N28" s="64">
        <v>79.099999999999994</v>
      </c>
      <c r="O28" s="64">
        <v>0</v>
      </c>
      <c r="P28" s="64">
        <v>1.1399999999999999</v>
      </c>
      <c r="Q28" s="64">
        <v>10.08</v>
      </c>
      <c r="R28" s="198"/>
      <c r="S28" s="198"/>
      <c r="T28" s="198"/>
      <c r="U28" s="198"/>
    </row>
    <row r="29" spans="1:21" s="12" customFormat="1" x14ac:dyDescent="0.25">
      <c r="A29" s="213" t="s">
        <v>648</v>
      </c>
      <c r="B29" s="64">
        <v>102.26</v>
      </c>
      <c r="C29" s="64">
        <v>48.38</v>
      </c>
      <c r="D29" s="64">
        <v>105.91</v>
      </c>
      <c r="E29" s="64">
        <v>7.37</v>
      </c>
      <c r="F29" s="64">
        <v>2.13</v>
      </c>
      <c r="G29" s="64">
        <v>74.56</v>
      </c>
      <c r="H29" s="64">
        <v>26.19</v>
      </c>
      <c r="I29" s="210" t="s">
        <v>43</v>
      </c>
      <c r="J29" s="64">
        <v>0.33</v>
      </c>
      <c r="K29" s="64">
        <v>302.35000000000002</v>
      </c>
      <c r="L29" s="64">
        <v>16.46</v>
      </c>
      <c r="M29" s="64">
        <v>80.959999999999994</v>
      </c>
      <c r="N29" s="64">
        <v>78.900000000000006</v>
      </c>
      <c r="O29" s="64">
        <v>0</v>
      </c>
      <c r="P29" s="64">
        <v>1.1499999999999999</v>
      </c>
      <c r="Q29" s="64">
        <v>10.07</v>
      </c>
      <c r="R29" s="198"/>
      <c r="S29" s="198"/>
      <c r="T29" s="198"/>
      <c r="U29" s="198"/>
    </row>
    <row r="30" spans="1:21" s="12" customFormat="1" x14ac:dyDescent="0.25">
      <c r="A30" s="213" t="s">
        <v>649</v>
      </c>
      <c r="B30" s="64">
        <v>99.45</v>
      </c>
      <c r="C30" s="64">
        <v>48.06</v>
      </c>
      <c r="D30" s="64">
        <v>103.48</v>
      </c>
      <c r="E30" s="64">
        <v>7.32</v>
      </c>
      <c r="F30" s="64">
        <v>2.13</v>
      </c>
      <c r="G30" s="64">
        <v>74.56</v>
      </c>
      <c r="H30" s="64">
        <v>26.19</v>
      </c>
      <c r="I30" s="210" t="s">
        <v>43</v>
      </c>
      <c r="J30" s="64">
        <v>0.47</v>
      </c>
      <c r="K30" s="64">
        <v>336.12</v>
      </c>
      <c r="L30" s="64">
        <v>16.63</v>
      </c>
      <c r="M30" s="64">
        <v>79.16</v>
      </c>
      <c r="N30" s="64">
        <v>78.8</v>
      </c>
      <c r="O30" s="64">
        <v>0</v>
      </c>
      <c r="P30" s="64">
        <v>1.22</v>
      </c>
      <c r="Q30" s="64">
        <v>10.050000000000001</v>
      </c>
      <c r="R30" s="198"/>
      <c r="S30" s="198"/>
      <c r="T30" s="198"/>
      <c r="U30" s="198"/>
    </row>
    <row r="31" spans="1:21" s="12" customFormat="1" x14ac:dyDescent="0.25">
      <c r="A31" s="213" t="s">
        <v>650</v>
      </c>
      <c r="B31" s="64">
        <v>96.6</v>
      </c>
      <c r="C31" s="64">
        <v>49.96</v>
      </c>
      <c r="D31" s="64">
        <v>102.19</v>
      </c>
      <c r="E31" s="64">
        <v>7.5</v>
      </c>
      <c r="F31" s="64">
        <v>2.13</v>
      </c>
      <c r="G31" s="64">
        <v>74.56</v>
      </c>
      <c r="H31" s="64">
        <v>26.19</v>
      </c>
      <c r="I31" s="210" t="s">
        <v>43</v>
      </c>
      <c r="J31" s="64">
        <v>0.35</v>
      </c>
      <c r="K31" s="64">
        <v>273.99</v>
      </c>
      <c r="L31" s="64">
        <v>16.899999999999999</v>
      </c>
      <c r="M31" s="64">
        <v>76.989999999999995</v>
      </c>
      <c r="N31" s="64">
        <v>78.8</v>
      </c>
      <c r="O31" s="64">
        <v>0</v>
      </c>
      <c r="P31" s="64">
        <v>1.1599999999999999</v>
      </c>
      <c r="Q31" s="64">
        <v>10.039999999999999</v>
      </c>
      <c r="R31" s="198"/>
      <c r="S31" s="198"/>
      <c r="T31" s="198"/>
      <c r="U31" s="198"/>
    </row>
    <row r="32" spans="1:21" s="12" customFormat="1" x14ac:dyDescent="0.25">
      <c r="A32" s="213" t="s">
        <v>651</v>
      </c>
      <c r="B32" s="64">
        <v>93.33</v>
      </c>
      <c r="C32" s="64">
        <v>50.08</v>
      </c>
      <c r="D32" s="64">
        <v>99.63</v>
      </c>
      <c r="E32" s="64">
        <v>7.34</v>
      </c>
      <c r="F32" s="64">
        <v>2.13</v>
      </c>
      <c r="G32" s="64">
        <v>74.34</v>
      </c>
      <c r="H32" s="64">
        <v>21.92</v>
      </c>
      <c r="I32" s="210" t="s">
        <v>43</v>
      </c>
      <c r="J32" s="64">
        <v>0.51</v>
      </c>
      <c r="K32" s="64">
        <v>289.24</v>
      </c>
      <c r="L32" s="64">
        <v>16.440000000000001</v>
      </c>
      <c r="M32" s="64">
        <v>85.21</v>
      </c>
      <c r="N32" s="64">
        <v>79.5</v>
      </c>
      <c r="O32" s="64">
        <v>0</v>
      </c>
      <c r="P32" s="64">
        <v>1.1399999999999999</v>
      </c>
      <c r="Q32" s="64">
        <v>10.039999999999999</v>
      </c>
      <c r="R32" s="198"/>
      <c r="S32" s="198"/>
      <c r="T32" s="198"/>
      <c r="U32" s="198"/>
    </row>
    <row r="33" spans="1:21" s="12" customFormat="1" x14ac:dyDescent="0.25">
      <c r="A33" s="213" t="s">
        <v>652</v>
      </c>
      <c r="B33" s="64">
        <v>90.57</v>
      </c>
      <c r="C33" s="64">
        <v>49.83</v>
      </c>
      <c r="D33" s="64">
        <v>97.29</v>
      </c>
      <c r="E33" s="64">
        <v>6.86</v>
      </c>
      <c r="F33" s="64">
        <v>2.13</v>
      </c>
      <c r="G33" s="64">
        <v>74.069999999999993</v>
      </c>
      <c r="H33" s="64">
        <v>16.809999999999999</v>
      </c>
      <c r="I33" s="210" t="s">
        <v>43</v>
      </c>
      <c r="J33" s="64">
        <v>0.18</v>
      </c>
      <c r="K33" s="64">
        <v>125.4</v>
      </c>
      <c r="L33" s="64">
        <v>16.3</v>
      </c>
      <c r="M33" s="64">
        <v>82.72</v>
      </c>
      <c r="N33" s="64">
        <v>78.900000000000006</v>
      </c>
      <c r="O33" s="64">
        <v>0</v>
      </c>
      <c r="P33" s="64">
        <v>1.1000000000000001</v>
      </c>
      <c r="Q33" s="64">
        <v>9.99</v>
      </c>
      <c r="R33" s="198"/>
      <c r="S33" s="198"/>
      <c r="T33" s="198"/>
      <c r="U33" s="198"/>
    </row>
    <row r="34" spans="1:21" s="12" customFormat="1" x14ac:dyDescent="0.25">
      <c r="A34" s="213" t="s">
        <v>653</v>
      </c>
      <c r="B34" s="64">
        <v>88.11</v>
      </c>
      <c r="C34" s="64">
        <v>50.27</v>
      </c>
      <c r="D34" s="64">
        <v>95.54</v>
      </c>
      <c r="E34" s="64">
        <v>6.96</v>
      </c>
      <c r="F34" s="64">
        <v>2.13</v>
      </c>
      <c r="G34" s="64">
        <v>74.069999999999993</v>
      </c>
      <c r="H34" s="64">
        <v>16.809999999999999</v>
      </c>
      <c r="I34" s="210" t="s">
        <v>43</v>
      </c>
      <c r="J34" s="64">
        <v>0.51</v>
      </c>
      <c r="K34" s="64">
        <v>257.48</v>
      </c>
      <c r="L34" s="64">
        <v>16.62</v>
      </c>
      <c r="M34" s="64">
        <v>79.83</v>
      </c>
      <c r="N34" s="64">
        <v>79.8</v>
      </c>
      <c r="O34" s="64">
        <v>0</v>
      </c>
      <c r="P34" s="64">
        <v>1.07</v>
      </c>
      <c r="Q34" s="64">
        <v>9.98</v>
      </c>
      <c r="R34" s="198"/>
      <c r="S34" s="198"/>
      <c r="T34" s="198"/>
      <c r="U34" s="198"/>
    </row>
    <row r="35" spans="1:21" s="12" customFormat="1" x14ac:dyDescent="0.25">
      <c r="A35" s="213" t="s">
        <v>654</v>
      </c>
      <c r="B35" s="64">
        <v>86.48</v>
      </c>
      <c r="C35" s="64">
        <v>50.75</v>
      </c>
      <c r="D35" s="64">
        <v>94.49</v>
      </c>
      <c r="E35" s="64">
        <v>7.18</v>
      </c>
      <c r="F35" s="64">
        <v>2.13</v>
      </c>
      <c r="G35" s="64">
        <v>74.069999999999993</v>
      </c>
      <c r="H35" s="64">
        <v>16.809999999999999</v>
      </c>
      <c r="I35" s="210" t="s">
        <v>43</v>
      </c>
      <c r="J35" s="64">
        <v>0.15</v>
      </c>
      <c r="K35" s="64">
        <v>209.49</v>
      </c>
      <c r="L35" s="64">
        <v>16.309999999999999</v>
      </c>
      <c r="M35" s="64">
        <v>83.38</v>
      </c>
      <c r="N35" s="64">
        <v>83.7</v>
      </c>
      <c r="O35" s="64">
        <v>0</v>
      </c>
      <c r="P35" s="64">
        <v>1.05</v>
      </c>
      <c r="Q35" s="64">
        <v>9.98</v>
      </c>
      <c r="R35" s="198"/>
      <c r="S35" s="198"/>
      <c r="T35" s="198"/>
      <c r="U35" s="198"/>
    </row>
    <row r="36" spans="1:21" s="12" customFormat="1" x14ac:dyDescent="0.25">
      <c r="A36" s="213" t="s">
        <v>655</v>
      </c>
      <c r="B36" s="64">
        <v>85.79</v>
      </c>
      <c r="C36" s="64">
        <v>50.5</v>
      </c>
      <c r="D36" s="64">
        <v>93.81</v>
      </c>
      <c r="E36" s="64">
        <v>7</v>
      </c>
      <c r="F36" s="64">
        <v>2.13</v>
      </c>
      <c r="G36" s="64">
        <v>77.86</v>
      </c>
      <c r="H36" s="64">
        <v>23.48</v>
      </c>
      <c r="I36" s="210" t="s">
        <v>43</v>
      </c>
      <c r="J36" s="64">
        <v>0.31</v>
      </c>
      <c r="K36" s="64">
        <v>250.79</v>
      </c>
      <c r="L36" s="64">
        <v>16.579999999999998</v>
      </c>
      <c r="M36" s="64">
        <v>82.56</v>
      </c>
      <c r="N36" s="64">
        <v>95.3</v>
      </c>
      <c r="O36" s="64">
        <v>0</v>
      </c>
      <c r="P36" s="64">
        <v>1.02</v>
      </c>
      <c r="Q36" s="64">
        <v>9.9700000000000006</v>
      </c>
      <c r="R36" s="198"/>
      <c r="S36" s="198"/>
      <c r="T36" s="198"/>
      <c r="U36" s="198"/>
    </row>
    <row r="37" spans="1:21" s="12" customFormat="1" x14ac:dyDescent="0.25">
      <c r="A37" s="213" t="s">
        <v>656</v>
      </c>
      <c r="B37" s="64">
        <v>88.63</v>
      </c>
      <c r="C37" s="64">
        <v>52.16</v>
      </c>
      <c r="D37" s="64">
        <v>96.95</v>
      </c>
      <c r="E37" s="64">
        <v>6.93</v>
      </c>
      <c r="F37" s="64">
        <v>2.13</v>
      </c>
      <c r="G37" s="64">
        <v>82.39</v>
      </c>
      <c r="H37" s="64">
        <v>31.82</v>
      </c>
      <c r="I37" s="210" t="s">
        <v>43</v>
      </c>
      <c r="J37" s="64">
        <v>0.25</v>
      </c>
      <c r="K37" s="64">
        <v>303.04000000000002</v>
      </c>
      <c r="L37" s="64">
        <v>16.7</v>
      </c>
      <c r="M37" s="64">
        <v>84.07</v>
      </c>
      <c r="N37" s="64">
        <v>108</v>
      </c>
      <c r="O37" s="64">
        <v>0</v>
      </c>
      <c r="P37" s="64">
        <v>1.1499999999999999</v>
      </c>
      <c r="Q37" s="64">
        <v>9.93</v>
      </c>
      <c r="R37" s="198"/>
      <c r="S37" s="198"/>
      <c r="T37" s="198"/>
      <c r="U37" s="198"/>
    </row>
    <row r="38" spans="1:21" s="12" customFormat="1" x14ac:dyDescent="0.25">
      <c r="A38" s="213" t="s">
        <v>657</v>
      </c>
      <c r="B38" s="64">
        <v>93.51</v>
      </c>
      <c r="C38" s="64">
        <v>51.61</v>
      </c>
      <c r="D38" s="64">
        <v>100.57</v>
      </c>
      <c r="E38" s="64">
        <v>7.44</v>
      </c>
      <c r="F38" s="64">
        <v>2.13</v>
      </c>
      <c r="G38" s="64">
        <v>82.39</v>
      </c>
      <c r="H38" s="64">
        <v>31.82</v>
      </c>
      <c r="I38" s="210" t="s">
        <v>43</v>
      </c>
      <c r="J38" s="64">
        <v>0.53</v>
      </c>
      <c r="K38" s="64">
        <v>301.45999999999998</v>
      </c>
      <c r="L38" s="64">
        <v>17.27</v>
      </c>
      <c r="M38" s="64">
        <v>84.23</v>
      </c>
      <c r="N38" s="64">
        <v>124.3</v>
      </c>
      <c r="O38" s="64">
        <v>0</v>
      </c>
      <c r="P38" s="64">
        <v>1.1599999999999999</v>
      </c>
      <c r="Q38" s="64">
        <v>9.9600000000000009</v>
      </c>
      <c r="R38" s="198"/>
      <c r="S38" s="198"/>
      <c r="T38" s="198"/>
      <c r="U38" s="198"/>
    </row>
    <row r="39" spans="1:21" s="12" customFormat="1" x14ac:dyDescent="0.25">
      <c r="A39" s="213" t="s">
        <v>658</v>
      </c>
      <c r="B39" s="64">
        <v>94.26</v>
      </c>
      <c r="C39" s="64">
        <v>49.44</v>
      </c>
      <c r="D39" s="64">
        <v>100.04</v>
      </c>
      <c r="E39" s="64">
        <v>7.25</v>
      </c>
      <c r="F39" s="64">
        <v>2.13</v>
      </c>
      <c r="G39" s="64">
        <v>82.39</v>
      </c>
      <c r="H39" s="64">
        <v>31.82</v>
      </c>
      <c r="I39" s="210" t="s">
        <v>43</v>
      </c>
      <c r="J39" s="64">
        <v>0.95</v>
      </c>
      <c r="K39" s="64">
        <v>329.07</v>
      </c>
      <c r="L39" s="64">
        <v>18.329999999999998</v>
      </c>
      <c r="M39" s="64">
        <v>77.69</v>
      </c>
      <c r="N39" s="64">
        <v>179</v>
      </c>
      <c r="O39" s="64">
        <v>0</v>
      </c>
      <c r="P39" s="64">
        <v>1.19</v>
      </c>
      <c r="Q39" s="64">
        <v>10.029999999999999</v>
      </c>
      <c r="R39" s="198"/>
      <c r="S39" s="198"/>
      <c r="T39" s="198"/>
      <c r="U39" s="198"/>
    </row>
    <row r="40" spans="1:21" s="12" customFormat="1" x14ac:dyDescent="0.25">
      <c r="A40" s="213" t="s">
        <v>659</v>
      </c>
      <c r="B40" s="64">
        <v>92.73</v>
      </c>
      <c r="C40" s="64">
        <v>51.08</v>
      </c>
      <c r="D40" s="64">
        <v>99.67</v>
      </c>
      <c r="E40" s="64">
        <v>5.12</v>
      </c>
      <c r="F40" s="64">
        <v>2.13</v>
      </c>
      <c r="G40" s="64">
        <v>94.3</v>
      </c>
      <c r="H40" s="64">
        <v>31.96</v>
      </c>
      <c r="I40" s="210" t="s">
        <v>43</v>
      </c>
      <c r="J40" s="64">
        <v>0.88</v>
      </c>
      <c r="K40" s="64">
        <v>343.6</v>
      </c>
      <c r="L40" s="64">
        <v>20.67</v>
      </c>
      <c r="M40" s="64">
        <v>66.56</v>
      </c>
      <c r="N40" s="64">
        <v>234.5</v>
      </c>
      <c r="O40" s="64">
        <v>0</v>
      </c>
      <c r="P40" s="64">
        <v>1.24</v>
      </c>
      <c r="Q40" s="64">
        <v>10.02</v>
      </c>
      <c r="R40" s="198"/>
      <c r="S40" s="198"/>
      <c r="T40" s="198"/>
      <c r="U40" s="198"/>
    </row>
    <row r="41" spans="1:21" s="12" customFormat="1" x14ac:dyDescent="0.25">
      <c r="A41" s="213" t="s">
        <v>660</v>
      </c>
      <c r="B41" s="64">
        <v>91.74</v>
      </c>
      <c r="C41" s="64">
        <v>51.65</v>
      </c>
      <c r="D41" s="64">
        <v>99.18</v>
      </c>
      <c r="E41" s="64">
        <v>6.11</v>
      </c>
      <c r="F41" s="64">
        <v>2.13</v>
      </c>
      <c r="G41" s="64">
        <v>108.54</v>
      </c>
      <c r="H41" s="64">
        <v>32.14</v>
      </c>
      <c r="I41" s="210" t="s">
        <v>43</v>
      </c>
      <c r="J41" s="64">
        <v>0.8</v>
      </c>
      <c r="K41" s="64">
        <v>327.97</v>
      </c>
      <c r="L41" s="64">
        <v>22.96</v>
      </c>
      <c r="M41" s="64">
        <v>56.65</v>
      </c>
      <c r="N41" s="64">
        <v>259.2</v>
      </c>
      <c r="O41" s="64">
        <v>0</v>
      </c>
      <c r="P41" s="64">
        <v>1.25</v>
      </c>
      <c r="Q41" s="64">
        <v>10.01</v>
      </c>
      <c r="R41" s="198"/>
      <c r="S41" s="198"/>
      <c r="T41" s="198"/>
      <c r="U41" s="198"/>
    </row>
    <row r="42" spans="1:21" s="12" customFormat="1" x14ac:dyDescent="0.25">
      <c r="A42" s="213" t="s">
        <v>661</v>
      </c>
      <c r="B42" s="64">
        <v>90.24</v>
      </c>
      <c r="C42" s="64">
        <v>52.65</v>
      </c>
      <c r="D42" s="64">
        <v>98.49</v>
      </c>
      <c r="E42" s="64">
        <v>6.72</v>
      </c>
      <c r="F42" s="64">
        <v>2.13</v>
      </c>
      <c r="G42" s="64">
        <v>108.54</v>
      </c>
      <c r="H42" s="64">
        <v>32.14</v>
      </c>
      <c r="I42" s="210" t="s">
        <v>43</v>
      </c>
      <c r="J42" s="64">
        <v>0.99</v>
      </c>
      <c r="K42" s="64">
        <v>331</v>
      </c>
      <c r="L42" s="64">
        <v>24.39</v>
      </c>
      <c r="M42" s="64">
        <v>51.16</v>
      </c>
      <c r="N42" s="64">
        <v>286.7</v>
      </c>
      <c r="O42" s="64">
        <v>0</v>
      </c>
      <c r="P42" s="64">
        <v>1.37</v>
      </c>
      <c r="Q42" s="64">
        <v>10</v>
      </c>
      <c r="R42" s="198"/>
      <c r="S42" s="198"/>
      <c r="T42" s="198"/>
      <c r="U42" s="198"/>
    </row>
    <row r="43" spans="1:21" s="12" customFormat="1" x14ac:dyDescent="0.25">
      <c r="A43" s="213" t="s">
        <v>662</v>
      </c>
      <c r="B43" s="64">
        <v>88.2</v>
      </c>
      <c r="C43" s="64">
        <v>54.27</v>
      </c>
      <c r="D43" s="64">
        <v>97.71</v>
      </c>
      <c r="E43" s="64">
        <v>7.22</v>
      </c>
      <c r="F43" s="64">
        <v>2.13</v>
      </c>
      <c r="G43" s="64">
        <v>108.54</v>
      </c>
      <c r="H43" s="64">
        <v>32.14</v>
      </c>
      <c r="I43" s="210" t="s">
        <v>43</v>
      </c>
      <c r="J43" s="64">
        <v>1.21</v>
      </c>
      <c r="K43" s="64">
        <v>344.54</v>
      </c>
      <c r="L43" s="64">
        <v>26.15</v>
      </c>
      <c r="M43" s="64">
        <v>44.88</v>
      </c>
      <c r="N43" s="64">
        <v>331</v>
      </c>
      <c r="O43" s="64">
        <v>0</v>
      </c>
      <c r="P43" s="64">
        <v>1.54</v>
      </c>
      <c r="Q43" s="64">
        <v>10</v>
      </c>
      <c r="R43" s="198"/>
      <c r="S43" s="198"/>
      <c r="T43" s="198"/>
      <c r="U43" s="198"/>
    </row>
    <row r="44" spans="1:21" s="12" customFormat="1" x14ac:dyDescent="0.25">
      <c r="A44" s="213" t="s">
        <v>663</v>
      </c>
      <c r="B44" s="64">
        <v>85.86</v>
      </c>
      <c r="C44" s="64">
        <v>56.08</v>
      </c>
      <c r="D44" s="64">
        <v>96.78</v>
      </c>
      <c r="E44" s="64">
        <v>7.13</v>
      </c>
      <c r="F44" s="64">
        <v>2.13</v>
      </c>
      <c r="G44" s="64">
        <v>182.84</v>
      </c>
      <c r="H44" s="64">
        <v>38.549999999999997</v>
      </c>
      <c r="I44" s="210" t="s">
        <v>43</v>
      </c>
      <c r="J44" s="64">
        <v>0.96</v>
      </c>
      <c r="K44" s="64">
        <v>337.76</v>
      </c>
      <c r="L44" s="64">
        <v>27.58</v>
      </c>
      <c r="M44" s="64">
        <v>40.71</v>
      </c>
      <c r="N44" s="64">
        <v>380.8</v>
      </c>
      <c r="O44" s="64">
        <v>0</v>
      </c>
      <c r="P44" s="64">
        <v>1.42</v>
      </c>
      <c r="Q44" s="64">
        <v>9.9700000000000006</v>
      </c>
      <c r="R44" s="198"/>
      <c r="S44" s="198"/>
      <c r="T44" s="198"/>
      <c r="U44" s="198"/>
    </row>
    <row r="45" spans="1:21" s="12" customFormat="1" x14ac:dyDescent="0.25">
      <c r="A45" s="213" t="s">
        <v>664</v>
      </c>
      <c r="B45" s="64">
        <v>83.61</v>
      </c>
      <c r="C45" s="64">
        <v>58.26</v>
      </c>
      <c r="D45" s="64">
        <v>96.11</v>
      </c>
      <c r="E45" s="64">
        <v>7.43</v>
      </c>
      <c r="F45" s="64">
        <v>2.13</v>
      </c>
      <c r="G45" s="64">
        <v>271.63</v>
      </c>
      <c r="H45" s="64">
        <v>46.22</v>
      </c>
      <c r="I45" s="210" t="s">
        <v>43</v>
      </c>
      <c r="J45" s="64">
        <v>1.22</v>
      </c>
      <c r="K45" s="64">
        <v>344.99</v>
      </c>
      <c r="L45" s="64">
        <v>28.71</v>
      </c>
      <c r="M45" s="64">
        <v>37.590000000000003</v>
      </c>
      <c r="N45" s="64">
        <v>429.4</v>
      </c>
      <c r="O45" s="64">
        <v>0</v>
      </c>
      <c r="P45" s="64">
        <v>1.37</v>
      </c>
      <c r="Q45" s="64">
        <v>9.9700000000000006</v>
      </c>
      <c r="R45" s="198"/>
      <c r="S45" s="198"/>
      <c r="T45" s="198"/>
      <c r="U45" s="198"/>
    </row>
    <row r="46" spans="1:21" s="12" customFormat="1" x14ac:dyDescent="0.25">
      <c r="A46" s="213" t="s">
        <v>665</v>
      </c>
      <c r="B46" s="64">
        <v>80.33</v>
      </c>
      <c r="C46" s="64">
        <v>62.14</v>
      </c>
      <c r="D46" s="64">
        <v>95.51</v>
      </c>
      <c r="E46" s="64">
        <v>7.5</v>
      </c>
      <c r="F46" s="64">
        <v>2.13</v>
      </c>
      <c r="G46" s="64">
        <v>271.63</v>
      </c>
      <c r="H46" s="64">
        <v>46.22</v>
      </c>
      <c r="I46" s="210" t="s">
        <v>43</v>
      </c>
      <c r="J46" s="64">
        <v>1.1599999999999999</v>
      </c>
      <c r="K46" s="64">
        <v>338.65</v>
      </c>
      <c r="L46" s="64">
        <v>30.08</v>
      </c>
      <c r="M46" s="64">
        <v>34.020000000000003</v>
      </c>
      <c r="N46" s="64">
        <v>475.4</v>
      </c>
      <c r="O46" s="64">
        <v>0</v>
      </c>
      <c r="P46" s="64">
        <v>1.32</v>
      </c>
      <c r="Q46" s="64">
        <v>9.9600000000000009</v>
      </c>
      <c r="R46" s="198"/>
      <c r="S46" s="198"/>
      <c r="T46" s="198"/>
      <c r="U46" s="198"/>
    </row>
    <row r="47" spans="1:21" s="12" customFormat="1" x14ac:dyDescent="0.25">
      <c r="A47" s="213" t="s">
        <v>666</v>
      </c>
      <c r="B47" s="64">
        <v>76.3</v>
      </c>
      <c r="C47" s="64">
        <v>65.38</v>
      </c>
      <c r="D47" s="64">
        <v>93.97</v>
      </c>
      <c r="E47" s="64">
        <v>7.49</v>
      </c>
      <c r="F47" s="64">
        <v>2.13</v>
      </c>
      <c r="G47" s="64">
        <v>271.63</v>
      </c>
      <c r="H47" s="64">
        <v>46.22</v>
      </c>
      <c r="I47" s="210" t="s">
        <v>43</v>
      </c>
      <c r="J47" s="64">
        <v>0.79</v>
      </c>
      <c r="K47" s="64">
        <v>351.89</v>
      </c>
      <c r="L47" s="64">
        <v>30.63</v>
      </c>
      <c r="M47" s="64">
        <v>32.32</v>
      </c>
      <c r="N47" s="64">
        <v>501.2</v>
      </c>
      <c r="O47" s="64">
        <v>0</v>
      </c>
      <c r="P47" s="64">
        <v>1.31</v>
      </c>
      <c r="Q47" s="64">
        <v>9.9499999999999993</v>
      </c>
      <c r="R47" s="198"/>
      <c r="S47" s="198"/>
      <c r="T47" s="198"/>
      <c r="U47" s="198"/>
    </row>
    <row r="48" spans="1:21" s="12" customFormat="1" x14ac:dyDescent="0.25">
      <c r="A48" s="213" t="s">
        <v>667</v>
      </c>
      <c r="B48" s="64">
        <v>71.61</v>
      </c>
      <c r="C48" s="64">
        <v>63.78</v>
      </c>
      <c r="D48" s="64">
        <v>89.37</v>
      </c>
      <c r="E48" s="64">
        <v>6.62</v>
      </c>
      <c r="F48" s="64">
        <v>2.13</v>
      </c>
      <c r="G48" s="64">
        <v>218.9</v>
      </c>
      <c r="H48" s="64">
        <v>52.03</v>
      </c>
      <c r="I48" s="210" t="s">
        <v>43</v>
      </c>
      <c r="J48" s="64">
        <v>0.94</v>
      </c>
      <c r="K48" s="64">
        <v>339.68</v>
      </c>
      <c r="L48" s="64">
        <v>31.09</v>
      </c>
      <c r="M48" s="64">
        <v>31.48</v>
      </c>
      <c r="N48" s="64">
        <v>525.1</v>
      </c>
      <c r="O48" s="64">
        <v>0</v>
      </c>
      <c r="P48" s="64">
        <v>1.29</v>
      </c>
      <c r="Q48" s="64">
        <v>9.93</v>
      </c>
      <c r="R48" s="198"/>
      <c r="S48" s="198"/>
      <c r="T48" s="198"/>
      <c r="U48" s="198"/>
    </row>
    <row r="49" spans="1:21" s="12" customFormat="1" x14ac:dyDescent="0.25">
      <c r="A49" s="213" t="s">
        <v>668</v>
      </c>
      <c r="B49" s="64">
        <v>66.89</v>
      </c>
      <c r="C49" s="64">
        <v>66.77</v>
      </c>
      <c r="D49" s="64">
        <v>87.15</v>
      </c>
      <c r="E49" s="64">
        <v>6.56</v>
      </c>
      <c r="F49" s="64">
        <v>2.13</v>
      </c>
      <c r="G49" s="64">
        <v>155.88999999999999</v>
      </c>
      <c r="H49" s="64">
        <v>58.97</v>
      </c>
      <c r="I49" s="210" t="s">
        <v>43</v>
      </c>
      <c r="J49" s="64">
        <v>0.98</v>
      </c>
      <c r="K49" s="64">
        <v>340.72</v>
      </c>
      <c r="L49" s="64">
        <v>31.25</v>
      </c>
      <c r="M49" s="64">
        <v>30.77</v>
      </c>
      <c r="N49" s="64">
        <v>545.4</v>
      </c>
      <c r="O49" s="64">
        <v>0</v>
      </c>
      <c r="P49" s="64">
        <v>1.25</v>
      </c>
      <c r="Q49" s="64">
        <v>9.92</v>
      </c>
      <c r="R49" s="198"/>
      <c r="S49" s="198"/>
      <c r="T49" s="198"/>
      <c r="U49" s="198"/>
    </row>
    <row r="50" spans="1:21" s="12" customFormat="1" x14ac:dyDescent="0.25">
      <c r="A50" s="213" t="s">
        <v>669</v>
      </c>
      <c r="B50" s="64">
        <v>61.74</v>
      </c>
      <c r="C50" s="64">
        <v>68.77</v>
      </c>
      <c r="D50" s="64">
        <v>84.06</v>
      </c>
      <c r="E50" s="64">
        <v>6.29</v>
      </c>
      <c r="F50" s="64">
        <v>2.13</v>
      </c>
      <c r="G50" s="64">
        <v>155.88999999999999</v>
      </c>
      <c r="H50" s="64">
        <v>58.97</v>
      </c>
      <c r="I50" s="210" t="s">
        <v>43</v>
      </c>
      <c r="J50" s="64">
        <v>0.87</v>
      </c>
      <c r="K50" s="64">
        <v>324.7</v>
      </c>
      <c r="L50" s="64">
        <v>32.299999999999997</v>
      </c>
      <c r="M50" s="64">
        <v>28.89</v>
      </c>
      <c r="N50" s="64">
        <v>558.1</v>
      </c>
      <c r="O50" s="64">
        <v>0</v>
      </c>
      <c r="P50" s="64">
        <v>1.26</v>
      </c>
      <c r="Q50" s="64">
        <v>9.89</v>
      </c>
      <c r="R50" s="198"/>
      <c r="S50" s="198"/>
      <c r="T50" s="198"/>
      <c r="U50" s="198"/>
    </row>
    <row r="51" spans="1:21" s="12" customFormat="1" x14ac:dyDescent="0.25">
      <c r="A51" s="213" t="s">
        <v>670</v>
      </c>
      <c r="B51" s="26" t="s">
        <v>40</v>
      </c>
      <c r="C51" s="26" t="s">
        <v>40</v>
      </c>
      <c r="D51" s="26" t="s">
        <v>40</v>
      </c>
      <c r="E51" s="64">
        <v>11.86</v>
      </c>
      <c r="F51" s="64">
        <v>19.2</v>
      </c>
      <c r="G51" s="64">
        <v>155.88999999999999</v>
      </c>
      <c r="H51" s="64">
        <v>58.97</v>
      </c>
      <c r="I51" s="210" t="s">
        <v>43</v>
      </c>
      <c r="J51" s="64">
        <v>0.55000000000000004</v>
      </c>
      <c r="K51" s="64">
        <v>302.29000000000002</v>
      </c>
      <c r="L51" s="64">
        <v>31.9</v>
      </c>
      <c r="M51" s="64">
        <v>28.63</v>
      </c>
      <c r="N51" s="64">
        <v>575.9</v>
      </c>
      <c r="O51" s="64">
        <v>0</v>
      </c>
      <c r="P51" s="64">
        <v>0.9</v>
      </c>
      <c r="Q51" s="64">
        <v>10.06</v>
      </c>
      <c r="R51" s="198"/>
      <c r="S51" s="198"/>
      <c r="T51" s="198"/>
      <c r="U51" s="198"/>
    </row>
    <row r="52" spans="1:21" s="12" customFormat="1" x14ac:dyDescent="0.25">
      <c r="A52" s="213" t="s">
        <v>671</v>
      </c>
      <c r="B52" s="26" t="s">
        <v>40</v>
      </c>
      <c r="C52" s="26" t="s">
        <v>40</v>
      </c>
      <c r="D52" s="26" t="s">
        <v>40</v>
      </c>
      <c r="E52" s="64">
        <v>17.11</v>
      </c>
      <c r="F52" s="64">
        <v>29.9</v>
      </c>
      <c r="G52" s="64">
        <v>155.88999999999999</v>
      </c>
      <c r="H52" s="64">
        <v>58.97</v>
      </c>
      <c r="I52" s="210" t="s">
        <v>43</v>
      </c>
      <c r="J52" s="64">
        <v>0.4</v>
      </c>
      <c r="K52" s="64">
        <v>299.20999999999998</v>
      </c>
      <c r="L52" s="64">
        <v>31.79</v>
      </c>
      <c r="M52" s="64">
        <v>28.84</v>
      </c>
      <c r="N52" s="64">
        <v>574.6</v>
      </c>
      <c r="O52" s="64">
        <v>0</v>
      </c>
      <c r="P52" s="64">
        <v>0.6</v>
      </c>
      <c r="Q52" s="64">
        <v>9.9600000000000009</v>
      </c>
      <c r="R52" s="198"/>
      <c r="S52" s="198"/>
      <c r="T52" s="198"/>
      <c r="U52" s="198"/>
    </row>
    <row r="53" spans="1:21" s="12" customFormat="1" x14ac:dyDescent="0.25">
      <c r="A53" s="213" t="s">
        <v>672</v>
      </c>
      <c r="B53" s="26" t="s">
        <v>40</v>
      </c>
      <c r="C53" s="26" t="s">
        <v>40</v>
      </c>
      <c r="D53" s="26" t="s">
        <v>40</v>
      </c>
      <c r="E53" s="64">
        <v>12.51</v>
      </c>
      <c r="F53" s="64">
        <v>15.26</v>
      </c>
      <c r="G53" s="64">
        <v>155.88999999999999</v>
      </c>
      <c r="H53" s="64">
        <v>58.97</v>
      </c>
      <c r="I53" s="210" t="s">
        <v>43</v>
      </c>
      <c r="J53" s="64">
        <v>0.14000000000000001</v>
      </c>
      <c r="K53" s="64">
        <v>299.77999999999997</v>
      </c>
      <c r="L53" s="64">
        <v>32.03</v>
      </c>
      <c r="M53" s="64">
        <v>28.98</v>
      </c>
      <c r="N53" s="64">
        <v>583</v>
      </c>
      <c r="O53" s="64">
        <v>0</v>
      </c>
      <c r="P53" s="64">
        <v>0.62</v>
      </c>
      <c r="Q53" s="64">
        <v>9.73</v>
      </c>
      <c r="R53" s="198"/>
      <c r="S53" s="198"/>
      <c r="T53" s="198"/>
      <c r="U53" s="198"/>
    </row>
    <row r="54" spans="1:21" s="12" customFormat="1" x14ac:dyDescent="0.25">
      <c r="A54" s="213" t="s">
        <v>673</v>
      </c>
      <c r="B54" s="64">
        <v>2.42</v>
      </c>
      <c r="C54" s="64">
        <v>87.01</v>
      </c>
      <c r="D54" s="64">
        <v>46.03</v>
      </c>
      <c r="E54" s="64">
        <v>4.33</v>
      </c>
      <c r="F54" s="64">
        <v>10.58</v>
      </c>
      <c r="G54" s="64">
        <v>155.88999999999999</v>
      </c>
      <c r="H54" s="64">
        <v>58.97</v>
      </c>
      <c r="I54" s="210" t="s">
        <v>43</v>
      </c>
      <c r="J54" s="64">
        <v>0.39</v>
      </c>
      <c r="K54" s="64">
        <v>189.68</v>
      </c>
      <c r="L54" s="64">
        <v>30.03</v>
      </c>
      <c r="M54" s="64">
        <v>32.15</v>
      </c>
      <c r="N54" s="64">
        <v>583.70000000000005</v>
      </c>
      <c r="O54" s="64">
        <v>0</v>
      </c>
      <c r="P54" s="64">
        <v>0.61</v>
      </c>
      <c r="Q54" s="64">
        <v>9.65</v>
      </c>
      <c r="R54" s="198"/>
      <c r="S54" s="198"/>
      <c r="T54" s="198"/>
      <c r="U54" s="198"/>
    </row>
    <row r="55" spans="1:21" s="12" customFormat="1" x14ac:dyDescent="0.25">
      <c r="A55" s="213" t="s">
        <v>674</v>
      </c>
      <c r="B55" s="64">
        <v>1.98</v>
      </c>
      <c r="C55" s="64">
        <v>77.900000000000006</v>
      </c>
      <c r="D55" s="64">
        <v>40.909999999999997</v>
      </c>
      <c r="E55" s="64">
        <v>3.35</v>
      </c>
      <c r="F55" s="64">
        <v>11.53</v>
      </c>
      <c r="G55" s="64">
        <v>155.88999999999999</v>
      </c>
      <c r="H55" s="64">
        <v>58.97</v>
      </c>
      <c r="I55" s="210" t="s">
        <v>43</v>
      </c>
      <c r="J55" s="64">
        <v>0.33</v>
      </c>
      <c r="K55" s="64">
        <v>285.85000000000002</v>
      </c>
      <c r="L55" s="64">
        <v>31.04</v>
      </c>
      <c r="M55" s="64">
        <v>29.95</v>
      </c>
      <c r="N55" s="64">
        <v>576.79999999999995</v>
      </c>
      <c r="O55" s="64">
        <v>0</v>
      </c>
      <c r="P55" s="64">
        <v>0.56999999999999995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3" t="s">
        <v>675</v>
      </c>
      <c r="B56" s="64">
        <v>1.98</v>
      </c>
      <c r="C56" s="64">
        <v>70.930000000000007</v>
      </c>
      <c r="D56" s="64">
        <v>37.270000000000003</v>
      </c>
      <c r="E56" s="64">
        <v>8.09</v>
      </c>
      <c r="F56" s="64">
        <v>11.55</v>
      </c>
      <c r="G56" s="64">
        <v>155.88999999999999</v>
      </c>
      <c r="H56" s="64">
        <v>58.97</v>
      </c>
      <c r="I56" s="210" t="s">
        <v>43</v>
      </c>
      <c r="J56" s="64">
        <v>0.75</v>
      </c>
      <c r="K56" s="64">
        <v>292.11</v>
      </c>
      <c r="L56" s="64">
        <v>32.46</v>
      </c>
      <c r="M56" s="64">
        <v>27.96</v>
      </c>
      <c r="N56" s="64">
        <v>568</v>
      </c>
      <c r="O56" s="64">
        <v>0</v>
      </c>
      <c r="P56" s="64">
        <v>0.55000000000000004</v>
      </c>
      <c r="Q56" s="64">
        <v>9.58</v>
      </c>
      <c r="R56" s="198"/>
      <c r="S56" s="198"/>
      <c r="T56" s="198"/>
      <c r="U56" s="198"/>
    </row>
    <row r="57" spans="1:21" s="12" customFormat="1" x14ac:dyDescent="0.25">
      <c r="A57" s="213" t="s">
        <v>676</v>
      </c>
      <c r="B57" s="64">
        <v>1.95</v>
      </c>
      <c r="C57" s="64">
        <v>68.83</v>
      </c>
      <c r="D57" s="64">
        <v>36.15</v>
      </c>
      <c r="E57" s="64">
        <v>40.049999999999997</v>
      </c>
      <c r="F57" s="64">
        <v>18.329999999999998</v>
      </c>
      <c r="G57" s="64">
        <v>155.88999999999999</v>
      </c>
      <c r="H57" s="64">
        <v>58.97</v>
      </c>
      <c r="I57" s="210" t="s">
        <v>43</v>
      </c>
      <c r="J57" s="64">
        <v>0.44</v>
      </c>
      <c r="K57" s="64">
        <v>214.01</v>
      </c>
      <c r="L57" s="64">
        <v>30.96</v>
      </c>
      <c r="M57" s="64">
        <v>29.7</v>
      </c>
      <c r="N57" s="64">
        <v>557.70000000000005</v>
      </c>
      <c r="O57" s="64">
        <v>0</v>
      </c>
      <c r="P57" s="64">
        <v>0.55000000000000004</v>
      </c>
      <c r="Q57" s="64">
        <v>9.59</v>
      </c>
      <c r="R57" s="198"/>
      <c r="S57" s="198"/>
      <c r="T57" s="198"/>
      <c r="U57" s="198"/>
    </row>
    <row r="58" spans="1:21" s="12" customFormat="1" x14ac:dyDescent="0.25">
      <c r="A58" s="213" t="s">
        <v>677</v>
      </c>
      <c r="B58" s="64">
        <v>1.78</v>
      </c>
      <c r="C58" s="64">
        <v>63.46</v>
      </c>
      <c r="D58" s="64">
        <v>33.200000000000003</v>
      </c>
      <c r="E58" s="64">
        <v>90.83</v>
      </c>
      <c r="F58" s="64">
        <v>17.350000000000001</v>
      </c>
      <c r="G58" s="64">
        <v>155.88999999999999</v>
      </c>
      <c r="H58" s="64">
        <v>58.97</v>
      </c>
      <c r="I58" s="210" t="s">
        <v>43</v>
      </c>
      <c r="J58" s="64">
        <v>0.25</v>
      </c>
      <c r="K58" s="64">
        <v>196.37</v>
      </c>
      <c r="L58" s="64">
        <v>30.93</v>
      </c>
      <c r="M58" s="64">
        <v>30.1</v>
      </c>
      <c r="N58" s="64">
        <v>568.79999999999995</v>
      </c>
      <c r="O58" s="64">
        <v>0</v>
      </c>
      <c r="P58" s="64">
        <v>0.52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3" t="s">
        <v>678</v>
      </c>
      <c r="B59" s="64">
        <v>2.0099999999999998</v>
      </c>
      <c r="C59" s="64">
        <v>64.53</v>
      </c>
      <c r="D59" s="64">
        <v>33.950000000000003</v>
      </c>
      <c r="E59" s="26" t="s">
        <v>40</v>
      </c>
      <c r="F59" s="64">
        <v>14.08</v>
      </c>
      <c r="G59" s="64">
        <v>155.88999999999999</v>
      </c>
      <c r="H59" s="64">
        <v>58.97</v>
      </c>
      <c r="I59" s="210" t="s">
        <v>43</v>
      </c>
      <c r="J59" s="64">
        <v>0.12</v>
      </c>
      <c r="K59" s="64">
        <v>168.76</v>
      </c>
      <c r="L59" s="64">
        <v>31.2</v>
      </c>
      <c r="M59" s="64">
        <v>29.66</v>
      </c>
      <c r="N59" s="64">
        <v>541</v>
      </c>
      <c r="O59" s="64">
        <v>0</v>
      </c>
      <c r="P59" s="64">
        <v>0.56999999999999995</v>
      </c>
      <c r="Q59" s="64">
        <v>9.57</v>
      </c>
      <c r="R59" s="198"/>
      <c r="S59" s="198"/>
      <c r="T59" s="198"/>
      <c r="U59" s="198"/>
    </row>
    <row r="60" spans="1:21" s="12" customFormat="1" x14ac:dyDescent="0.25">
      <c r="A60" s="213" t="s">
        <v>679</v>
      </c>
      <c r="B60" s="64">
        <v>1.84</v>
      </c>
      <c r="C60" s="64">
        <v>64.069999999999993</v>
      </c>
      <c r="D60" s="64">
        <v>33.58</v>
      </c>
      <c r="E60" s="26" t="s">
        <v>40</v>
      </c>
      <c r="F60" s="64">
        <v>16.010000000000002</v>
      </c>
      <c r="G60" s="64">
        <v>155.88999999999999</v>
      </c>
      <c r="H60" s="64">
        <v>58.97</v>
      </c>
      <c r="I60" s="210" t="s">
        <v>43</v>
      </c>
      <c r="J60" s="64">
        <v>1.26</v>
      </c>
      <c r="K60" s="64">
        <v>155.9</v>
      </c>
      <c r="L60" s="64">
        <v>29.48</v>
      </c>
      <c r="M60" s="64">
        <v>32.299999999999997</v>
      </c>
      <c r="N60" s="64">
        <v>547.70000000000005</v>
      </c>
      <c r="O60" s="64">
        <v>0</v>
      </c>
      <c r="P60" s="64">
        <v>0.55000000000000004</v>
      </c>
      <c r="Q60" s="64">
        <v>9.57</v>
      </c>
      <c r="R60" s="198"/>
      <c r="S60" s="198"/>
      <c r="T60" s="198"/>
      <c r="U60" s="198"/>
    </row>
    <row r="61" spans="1:21" s="12" customFormat="1" x14ac:dyDescent="0.25">
      <c r="A61" s="213" t="s">
        <v>680</v>
      </c>
      <c r="B61" s="64">
        <v>2.0299999999999998</v>
      </c>
      <c r="C61" s="64">
        <v>59.04</v>
      </c>
      <c r="D61" s="64">
        <v>31.1</v>
      </c>
      <c r="E61" s="26" t="s">
        <v>40</v>
      </c>
      <c r="F61" s="64">
        <v>15.76</v>
      </c>
      <c r="G61" s="64">
        <v>155.88999999999999</v>
      </c>
      <c r="H61" s="64">
        <v>58.97</v>
      </c>
      <c r="I61" s="210" t="s">
        <v>43</v>
      </c>
      <c r="J61" s="64">
        <v>0.41</v>
      </c>
      <c r="K61" s="64">
        <v>173.73</v>
      </c>
      <c r="L61" s="64">
        <v>30.1</v>
      </c>
      <c r="M61" s="64">
        <v>31.32</v>
      </c>
      <c r="N61" s="64">
        <v>508.1</v>
      </c>
      <c r="O61" s="64">
        <v>0</v>
      </c>
      <c r="P61" s="64">
        <v>0.61</v>
      </c>
      <c r="Q61" s="64">
        <v>9.56</v>
      </c>
      <c r="R61" s="198"/>
      <c r="S61" s="198"/>
      <c r="T61" s="198"/>
      <c r="U61" s="198"/>
    </row>
    <row r="62" spans="1:21" s="12" customFormat="1" x14ac:dyDescent="0.25">
      <c r="A62" s="213" t="s">
        <v>681</v>
      </c>
      <c r="B62" s="64">
        <v>4.01</v>
      </c>
      <c r="C62" s="64">
        <v>53.23</v>
      </c>
      <c r="D62" s="64">
        <v>29.65</v>
      </c>
      <c r="E62" s="26" t="s">
        <v>40</v>
      </c>
      <c r="F62" s="64">
        <v>7.98</v>
      </c>
      <c r="G62" s="64">
        <v>155.88999999999999</v>
      </c>
      <c r="H62" s="64">
        <v>58.97</v>
      </c>
      <c r="I62" s="210" t="s">
        <v>43</v>
      </c>
      <c r="J62" s="64">
        <v>0.5</v>
      </c>
      <c r="K62" s="64">
        <v>216.99</v>
      </c>
      <c r="L62" s="64">
        <v>30.05</v>
      </c>
      <c r="M62" s="64">
        <v>30.2</v>
      </c>
      <c r="N62" s="64">
        <v>513</v>
      </c>
      <c r="O62" s="64">
        <v>0</v>
      </c>
      <c r="P62" s="64">
        <v>0.59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3" t="s">
        <v>682</v>
      </c>
      <c r="B63" s="64">
        <v>3.41</v>
      </c>
      <c r="C63" s="64">
        <v>51.47</v>
      </c>
      <c r="D63" s="64">
        <v>28.25</v>
      </c>
      <c r="E63" s="64">
        <v>3.65</v>
      </c>
      <c r="F63" s="64">
        <v>9.09</v>
      </c>
      <c r="G63" s="64">
        <v>155.88999999999999</v>
      </c>
      <c r="H63" s="64">
        <v>58.97</v>
      </c>
      <c r="I63" s="210" t="s">
        <v>43</v>
      </c>
      <c r="J63" s="64">
        <v>0.84</v>
      </c>
      <c r="K63" s="64">
        <v>288.36</v>
      </c>
      <c r="L63" s="64">
        <v>31.11</v>
      </c>
      <c r="M63" s="64">
        <v>27.26</v>
      </c>
      <c r="N63" s="64">
        <v>434.1</v>
      </c>
      <c r="O63" s="64">
        <v>0</v>
      </c>
      <c r="P63" s="64">
        <v>0.59</v>
      </c>
      <c r="Q63" s="64">
        <v>9.58</v>
      </c>
      <c r="R63" s="198"/>
      <c r="S63" s="198"/>
      <c r="T63" s="198"/>
      <c r="U63" s="198"/>
    </row>
    <row r="64" spans="1:21" s="12" customFormat="1" x14ac:dyDescent="0.25">
      <c r="A64" s="213" t="s">
        <v>683</v>
      </c>
      <c r="B64" s="64">
        <v>2.36</v>
      </c>
      <c r="C64" s="64">
        <v>52.82</v>
      </c>
      <c r="D64" s="64">
        <v>28.11</v>
      </c>
      <c r="E64" s="64">
        <v>7.86</v>
      </c>
      <c r="F64" s="64">
        <v>13.3</v>
      </c>
      <c r="G64" s="211" t="s">
        <v>40</v>
      </c>
      <c r="H64" s="211" t="s">
        <v>40</v>
      </c>
      <c r="I64" s="210" t="s">
        <v>43</v>
      </c>
      <c r="J64" s="64">
        <v>0.87</v>
      </c>
      <c r="K64" s="64">
        <v>295.14999999999998</v>
      </c>
      <c r="L64" s="64">
        <v>31.86</v>
      </c>
      <c r="M64" s="64">
        <v>27.07</v>
      </c>
      <c r="N64" s="64">
        <v>504</v>
      </c>
      <c r="O64" s="64">
        <v>0</v>
      </c>
      <c r="P64" s="64">
        <v>0.52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3" t="s">
        <v>684</v>
      </c>
      <c r="B65" s="64">
        <v>2.0499999999999998</v>
      </c>
      <c r="C65" s="64">
        <v>53.89</v>
      </c>
      <c r="D65" s="64">
        <v>28.42</v>
      </c>
      <c r="E65" s="64">
        <v>7.67</v>
      </c>
      <c r="F65" s="64">
        <v>11.88</v>
      </c>
      <c r="G65" s="211" t="s">
        <v>40</v>
      </c>
      <c r="H65" s="211" t="s">
        <v>40</v>
      </c>
      <c r="I65" s="210" t="s">
        <v>43</v>
      </c>
      <c r="J65" s="64">
        <v>0.39</v>
      </c>
      <c r="K65" s="64">
        <v>290.26</v>
      </c>
      <c r="L65" s="64">
        <v>31.16</v>
      </c>
      <c r="M65" s="64">
        <v>24.98</v>
      </c>
      <c r="N65" s="64">
        <v>471.9</v>
      </c>
      <c r="O65" s="64">
        <v>0</v>
      </c>
      <c r="P65" s="64">
        <v>0.51</v>
      </c>
      <c r="Q65" s="64">
        <v>9.57</v>
      </c>
      <c r="R65" s="198"/>
      <c r="S65" s="198"/>
      <c r="T65" s="198"/>
      <c r="U65" s="198"/>
    </row>
    <row r="66" spans="1:21" s="12" customFormat="1" x14ac:dyDescent="0.25">
      <c r="A66" s="213" t="s">
        <v>685</v>
      </c>
      <c r="B66" s="64">
        <v>2.27</v>
      </c>
      <c r="C66" s="64">
        <v>53.37</v>
      </c>
      <c r="D66" s="64">
        <v>28.33</v>
      </c>
      <c r="E66" s="64">
        <v>6.11</v>
      </c>
      <c r="F66" s="64">
        <v>6.39</v>
      </c>
      <c r="G66" s="211" t="s">
        <v>40</v>
      </c>
      <c r="H66" s="211" t="s">
        <v>40</v>
      </c>
      <c r="I66" s="210" t="s">
        <v>43</v>
      </c>
      <c r="J66" s="64">
        <v>0.09</v>
      </c>
      <c r="K66" s="64">
        <v>212.27</v>
      </c>
      <c r="L66" s="64">
        <v>30.64</v>
      </c>
      <c r="M66" s="64">
        <v>26.25</v>
      </c>
      <c r="N66" s="64">
        <v>408.4</v>
      </c>
      <c r="O66" s="64">
        <v>0</v>
      </c>
      <c r="P66" s="64">
        <v>0.46</v>
      </c>
      <c r="Q66" s="64">
        <v>9.57</v>
      </c>
      <c r="R66" s="198"/>
      <c r="S66" s="198"/>
      <c r="T66" s="198"/>
      <c r="U66" s="198"/>
    </row>
    <row r="67" spans="1:21" s="12" customFormat="1" x14ac:dyDescent="0.25">
      <c r="A67" s="213" t="s">
        <v>686</v>
      </c>
      <c r="B67" s="64">
        <v>2.65</v>
      </c>
      <c r="C67" s="64">
        <v>53.06</v>
      </c>
      <c r="D67" s="64">
        <v>28.47</v>
      </c>
      <c r="E67" s="64">
        <v>5.97</v>
      </c>
      <c r="F67" s="64">
        <v>3.78</v>
      </c>
      <c r="G67" s="211" t="s">
        <v>40</v>
      </c>
      <c r="H67" s="211" t="s">
        <v>40</v>
      </c>
      <c r="I67" s="210" t="s">
        <v>43</v>
      </c>
      <c r="J67" s="64">
        <v>0.41</v>
      </c>
      <c r="K67" s="64">
        <v>227.25</v>
      </c>
      <c r="L67" s="64">
        <v>30.42</v>
      </c>
      <c r="M67" s="64">
        <v>26.63</v>
      </c>
      <c r="N67" s="64">
        <v>228.6</v>
      </c>
      <c r="O67" s="64">
        <v>0</v>
      </c>
      <c r="P67" s="64">
        <v>0.48</v>
      </c>
      <c r="Q67" s="64">
        <v>9.58</v>
      </c>
      <c r="R67" s="198"/>
      <c r="S67" s="198"/>
      <c r="T67" s="198"/>
      <c r="U67" s="198"/>
    </row>
    <row r="68" spans="1:21" s="12" customFormat="1" x14ac:dyDescent="0.25">
      <c r="A68" s="213" t="s">
        <v>687</v>
      </c>
      <c r="B68" s="64">
        <v>3.05</v>
      </c>
      <c r="C68" s="64">
        <v>53.75</v>
      </c>
      <c r="D68" s="64">
        <v>29.15</v>
      </c>
      <c r="E68" s="64">
        <v>5.89</v>
      </c>
      <c r="F68" s="64">
        <v>2.98</v>
      </c>
      <c r="G68" s="64">
        <v>8.39</v>
      </c>
      <c r="H68" s="64">
        <v>4.0999999999999996</v>
      </c>
      <c r="I68" s="210" t="s">
        <v>43</v>
      </c>
      <c r="J68" s="64">
        <v>0.64</v>
      </c>
      <c r="K68" s="64">
        <v>265.36</v>
      </c>
      <c r="L68" s="64">
        <v>30.59</v>
      </c>
      <c r="M68" s="64">
        <v>25.33</v>
      </c>
      <c r="N68" s="64">
        <v>317.39999999999998</v>
      </c>
      <c r="O68" s="64">
        <v>0</v>
      </c>
      <c r="P68" s="64">
        <v>0.5</v>
      </c>
      <c r="Q68" s="64">
        <v>9.59</v>
      </c>
      <c r="R68" s="198"/>
      <c r="S68" s="198"/>
      <c r="T68" s="198"/>
      <c r="U68" s="198"/>
    </row>
    <row r="69" spans="1:21" s="12" customFormat="1" x14ac:dyDescent="0.25">
      <c r="A69" s="213" t="s">
        <v>688</v>
      </c>
      <c r="B69" s="64">
        <v>3.07</v>
      </c>
      <c r="C69" s="64">
        <v>53.45</v>
      </c>
      <c r="D69" s="64">
        <v>29.02</v>
      </c>
      <c r="E69" s="64">
        <v>5.96</v>
      </c>
      <c r="F69" s="64">
        <v>3.42</v>
      </c>
      <c r="G69" s="64">
        <v>75.55</v>
      </c>
      <c r="H69" s="64">
        <v>36.92</v>
      </c>
      <c r="I69" s="210" t="s">
        <v>43</v>
      </c>
      <c r="J69" s="64">
        <v>0.59</v>
      </c>
      <c r="K69" s="64">
        <v>246.43</v>
      </c>
      <c r="L69" s="64">
        <v>28.81</v>
      </c>
      <c r="M69" s="64">
        <v>28</v>
      </c>
      <c r="N69" s="64">
        <v>202.2</v>
      </c>
      <c r="O69" s="64">
        <v>0</v>
      </c>
      <c r="P69" s="64">
        <v>0.46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3" t="s">
        <v>689</v>
      </c>
      <c r="B70" s="64">
        <v>2.92</v>
      </c>
      <c r="C70" s="64">
        <v>53.46</v>
      </c>
      <c r="D70" s="64">
        <v>28.9</v>
      </c>
      <c r="E70" s="64">
        <v>5.47</v>
      </c>
      <c r="F70" s="64">
        <v>4.0599999999999996</v>
      </c>
      <c r="G70" s="64">
        <v>75.55</v>
      </c>
      <c r="H70" s="64">
        <v>36.92</v>
      </c>
      <c r="I70" s="210" t="s">
        <v>43</v>
      </c>
      <c r="J70" s="64">
        <v>0.76</v>
      </c>
      <c r="K70" s="64">
        <v>280.42</v>
      </c>
      <c r="L70" s="64">
        <v>29.16</v>
      </c>
      <c r="M70" s="64">
        <v>27.68</v>
      </c>
      <c r="N70" s="64">
        <v>173.5</v>
      </c>
      <c r="O70" s="64">
        <v>0</v>
      </c>
      <c r="P70" s="64">
        <v>0.47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3" t="s">
        <v>690</v>
      </c>
      <c r="B71" s="64">
        <v>2.68</v>
      </c>
      <c r="C71" s="64">
        <v>54.69</v>
      </c>
      <c r="D71" s="64">
        <v>29.35</v>
      </c>
      <c r="E71" s="64">
        <v>5.91</v>
      </c>
      <c r="F71" s="64">
        <v>7.44</v>
      </c>
      <c r="G71" s="64">
        <v>75.55</v>
      </c>
      <c r="H71" s="64">
        <v>36.92</v>
      </c>
      <c r="I71" s="210" t="s">
        <v>43</v>
      </c>
      <c r="J71" s="64">
        <v>0.55000000000000004</v>
      </c>
      <c r="K71" s="64">
        <v>265.81</v>
      </c>
      <c r="L71" s="64">
        <v>28.42</v>
      </c>
      <c r="M71" s="64">
        <v>28.07</v>
      </c>
      <c r="N71" s="64">
        <v>160.9</v>
      </c>
      <c r="O71" s="64">
        <v>0</v>
      </c>
      <c r="P71" s="64">
        <v>0.49</v>
      </c>
      <c r="Q71" s="64">
        <v>9.58</v>
      </c>
      <c r="R71" s="198"/>
      <c r="S71" s="198"/>
      <c r="T71" s="198"/>
      <c r="U71" s="198"/>
    </row>
    <row r="72" spans="1:21" s="12" customFormat="1" x14ac:dyDescent="0.25">
      <c r="A72" s="213" t="s">
        <v>691</v>
      </c>
      <c r="B72" s="64">
        <v>2.85</v>
      </c>
      <c r="C72" s="64">
        <v>57.66</v>
      </c>
      <c r="D72" s="64">
        <v>31.04</v>
      </c>
      <c r="E72" s="64">
        <v>7.76</v>
      </c>
      <c r="F72" s="64">
        <v>6.85</v>
      </c>
      <c r="G72" s="64">
        <v>74.23</v>
      </c>
      <c r="H72" s="64">
        <v>36.049999999999997</v>
      </c>
      <c r="I72" s="210" t="s">
        <v>43</v>
      </c>
      <c r="J72" s="64">
        <v>0.64</v>
      </c>
      <c r="K72" s="64">
        <v>308.23</v>
      </c>
      <c r="L72" s="64">
        <v>28.99</v>
      </c>
      <c r="M72" s="64">
        <v>28.29</v>
      </c>
      <c r="N72" s="64">
        <v>144.5</v>
      </c>
      <c r="O72" s="64">
        <v>0</v>
      </c>
      <c r="P72" s="64">
        <v>0.56000000000000005</v>
      </c>
      <c r="Q72" s="64">
        <v>9.59</v>
      </c>
      <c r="R72" s="198"/>
      <c r="S72" s="198"/>
      <c r="T72" s="198"/>
      <c r="U72" s="198"/>
    </row>
    <row r="73" spans="1:21" s="12" customFormat="1" x14ac:dyDescent="0.25">
      <c r="A73" s="213" t="s">
        <v>692</v>
      </c>
      <c r="B73" s="64">
        <v>3.01</v>
      </c>
      <c r="C73" s="64">
        <v>61.77</v>
      </c>
      <c r="D73" s="64">
        <v>33.31</v>
      </c>
      <c r="E73" s="64">
        <v>8.02</v>
      </c>
      <c r="F73" s="64">
        <v>6.55</v>
      </c>
      <c r="G73" s="64">
        <v>63.7</v>
      </c>
      <c r="H73" s="64">
        <v>28.17</v>
      </c>
      <c r="I73" s="210" t="s">
        <v>43</v>
      </c>
      <c r="J73" s="64">
        <v>0.5</v>
      </c>
      <c r="K73" s="64">
        <v>281.47000000000003</v>
      </c>
      <c r="L73" s="64">
        <v>28.82</v>
      </c>
      <c r="M73" s="64">
        <v>27.13</v>
      </c>
      <c r="N73" s="64">
        <v>134.30000000000001</v>
      </c>
      <c r="O73" s="64">
        <v>0</v>
      </c>
      <c r="P73" s="64">
        <v>0.53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3" t="s">
        <v>693</v>
      </c>
      <c r="B74" s="64">
        <v>2.79</v>
      </c>
      <c r="C74" s="64">
        <v>63.23</v>
      </c>
      <c r="D74" s="64">
        <v>33.9</v>
      </c>
      <c r="E74" s="64">
        <v>8.9</v>
      </c>
      <c r="F74" s="64">
        <v>11.64</v>
      </c>
      <c r="G74" s="64">
        <v>63.7</v>
      </c>
      <c r="H74" s="64">
        <v>28.17</v>
      </c>
      <c r="I74" s="210" t="s">
        <v>43</v>
      </c>
      <c r="J74" s="64">
        <v>0.51</v>
      </c>
      <c r="K74" s="64">
        <v>266.23</v>
      </c>
      <c r="L74" s="64">
        <v>28.34</v>
      </c>
      <c r="M74" s="64">
        <v>28.19</v>
      </c>
      <c r="N74" s="64">
        <v>123.9</v>
      </c>
      <c r="O74" s="64">
        <v>0</v>
      </c>
      <c r="P74" s="64">
        <v>0.52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3" t="s">
        <v>694</v>
      </c>
      <c r="B75" s="64">
        <v>3.13</v>
      </c>
      <c r="C75" s="64">
        <v>68.760000000000005</v>
      </c>
      <c r="D75" s="64">
        <v>37.06</v>
      </c>
      <c r="E75" s="64">
        <v>8.61</v>
      </c>
      <c r="F75" s="64">
        <v>10.029999999999999</v>
      </c>
      <c r="G75" s="64">
        <v>63.7</v>
      </c>
      <c r="H75" s="64">
        <v>28.17</v>
      </c>
      <c r="I75" s="210" t="s">
        <v>43</v>
      </c>
      <c r="J75" s="64">
        <v>0.69</v>
      </c>
      <c r="K75" s="64">
        <v>286.77999999999997</v>
      </c>
      <c r="L75" s="64">
        <v>28.15</v>
      </c>
      <c r="M75" s="64">
        <v>29.1</v>
      </c>
      <c r="N75" s="64">
        <v>116.3</v>
      </c>
      <c r="O75" s="64">
        <v>0</v>
      </c>
      <c r="P75" s="64">
        <v>0.53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3" t="s">
        <v>695</v>
      </c>
      <c r="B76" s="64">
        <v>3.15</v>
      </c>
      <c r="C76" s="64">
        <v>70.09</v>
      </c>
      <c r="D76" s="64">
        <v>37.76</v>
      </c>
      <c r="E76" s="64">
        <v>7.99</v>
      </c>
      <c r="F76" s="64">
        <v>5.59</v>
      </c>
      <c r="G76" s="64">
        <v>61.32</v>
      </c>
      <c r="H76" s="64">
        <v>27.32</v>
      </c>
      <c r="I76" s="210" t="s">
        <v>43</v>
      </c>
      <c r="J76" s="64">
        <v>0.51</v>
      </c>
      <c r="K76" s="64">
        <v>305.27999999999997</v>
      </c>
      <c r="L76" s="64">
        <v>28.05</v>
      </c>
      <c r="M76" s="64">
        <v>29.01</v>
      </c>
      <c r="N76" s="64">
        <v>109.1</v>
      </c>
      <c r="O76" s="64">
        <v>0</v>
      </c>
      <c r="P76" s="64">
        <v>0.59</v>
      </c>
      <c r="Q76" s="64">
        <v>9.59</v>
      </c>
      <c r="R76" s="198"/>
      <c r="S76" s="198"/>
      <c r="T76" s="198"/>
      <c r="U76" s="198"/>
    </row>
    <row r="77" spans="1:21" s="12" customFormat="1" x14ac:dyDescent="0.25">
      <c r="A77" s="213" t="s">
        <v>696</v>
      </c>
      <c r="B77" s="64">
        <v>4.5599999999999996</v>
      </c>
      <c r="C77" s="64">
        <v>70.62</v>
      </c>
      <c r="D77" s="64">
        <v>39.18</v>
      </c>
      <c r="E77" s="64">
        <v>7.68</v>
      </c>
      <c r="F77" s="64">
        <v>4.01</v>
      </c>
      <c r="G77" s="64">
        <v>42.29</v>
      </c>
      <c r="H77" s="64">
        <v>20.55</v>
      </c>
      <c r="I77" s="210" t="s">
        <v>43</v>
      </c>
      <c r="J77" s="64">
        <v>0.35</v>
      </c>
      <c r="K77" s="64">
        <v>281.74</v>
      </c>
      <c r="L77" s="64">
        <v>27.73</v>
      </c>
      <c r="M77" s="64">
        <v>29.5</v>
      </c>
      <c r="N77" s="64">
        <v>101.9</v>
      </c>
      <c r="O77" s="64">
        <v>0</v>
      </c>
      <c r="P77" s="64">
        <v>0.65</v>
      </c>
      <c r="Q77" s="64">
        <v>9.5500000000000007</v>
      </c>
      <c r="R77" s="198"/>
      <c r="S77" s="198"/>
      <c r="T77" s="198"/>
      <c r="U77" s="198"/>
    </row>
    <row r="78" spans="1:21" s="12" customFormat="1" x14ac:dyDescent="0.25">
      <c r="A78" s="213" t="s">
        <v>697</v>
      </c>
      <c r="B78" s="64">
        <v>5.48</v>
      </c>
      <c r="C78" s="64">
        <v>70.819999999999993</v>
      </c>
      <c r="D78" s="64">
        <v>40.020000000000003</v>
      </c>
      <c r="E78" s="64">
        <v>7.09</v>
      </c>
      <c r="F78" s="64">
        <v>2.14</v>
      </c>
      <c r="G78" s="64">
        <v>42.29</v>
      </c>
      <c r="H78" s="64">
        <v>20.55</v>
      </c>
      <c r="I78" s="210" t="s">
        <v>43</v>
      </c>
      <c r="J78" s="64">
        <v>0.1</v>
      </c>
      <c r="K78" s="64">
        <v>286.3</v>
      </c>
      <c r="L78" s="64">
        <v>27.21</v>
      </c>
      <c r="M78" s="64">
        <v>30.29</v>
      </c>
      <c r="N78" s="64">
        <v>93.6</v>
      </c>
      <c r="O78" s="64">
        <v>0</v>
      </c>
      <c r="P78" s="64">
        <v>0.64</v>
      </c>
      <c r="Q78" s="64">
        <v>9.57</v>
      </c>
      <c r="R78" s="198"/>
      <c r="S78" s="198"/>
      <c r="T78" s="198"/>
      <c r="U78" s="198"/>
    </row>
    <row r="79" spans="1:21" s="12" customFormat="1" x14ac:dyDescent="0.25">
      <c r="A79" s="213" t="s">
        <v>698</v>
      </c>
      <c r="B79" s="64">
        <v>5.58</v>
      </c>
      <c r="C79" s="64">
        <v>71.28</v>
      </c>
      <c r="D79" s="64">
        <v>40.340000000000003</v>
      </c>
      <c r="E79" s="64">
        <v>7.31</v>
      </c>
      <c r="F79" s="64">
        <v>2.13</v>
      </c>
      <c r="G79" s="64">
        <v>42.29</v>
      </c>
      <c r="H79" s="64">
        <v>20.55</v>
      </c>
      <c r="I79" s="210" t="s">
        <v>43</v>
      </c>
      <c r="J79" s="64">
        <v>0.18</v>
      </c>
      <c r="K79" s="64">
        <v>249.79</v>
      </c>
      <c r="L79" s="64">
        <v>26.69</v>
      </c>
      <c r="M79" s="64">
        <v>31.24</v>
      </c>
      <c r="N79" s="64">
        <v>85.9</v>
      </c>
      <c r="O79" s="64">
        <v>0</v>
      </c>
      <c r="P79" s="64">
        <v>0.56999999999999995</v>
      </c>
      <c r="Q79" s="64">
        <v>9.57</v>
      </c>
      <c r="R79" s="198"/>
      <c r="S79" s="198"/>
      <c r="T79" s="198"/>
      <c r="U79" s="198"/>
    </row>
    <row r="80" spans="1:21" s="12" customFormat="1" x14ac:dyDescent="0.25">
      <c r="A80" s="213" t="s">
        <v>699</v>
      </c>
      <c r="B80" s="64">
        <v>5.63</v>
      </c>
      <c r="C80" s="64">
        <v>70.94</v>
      </c>
      <c r="D80" s="64">
        <v>40.21</v>
      </c>
      <c r="E80" s="64">
        <v>7.04</v>
      </c>
      <c r="F80" s="64">
        <v>2.13</v>
      </c>
      <c r="G80" s="64">
        <v>44.07</v>
      </c>
      <c r="H80" s="64">
        <v>20.57</v>
      </c>
      <c r="I80" s="210" t="s">
        <v>43</v>
      </c>
      <c r="J80" s="64">
        <v>0.56000000000000005</v>
      </c>
      <c r="K80" s="64">
        <v>229.81</v>
      </c>
      <c r="L80" s="64">
        <v>26.09</v>
      </c>
      <c r="M80" s="64">
        <v>32.869999999999997</v>
      </c>
      <c r="N80" s="64">
        <v>80.900000000000006</v>
      </c>
      <c r="O80" s="64">
        <v>0</v>
      </c>
      <c r="P80" s="64">
        <v>0.62</v>
      </c>
      <c r="Q80" s="64">
        <v>9.56</v>
      </c>
      <c r="R80" s="198"/>
      <c r="S80" s="198"/>
      <c r="T80" s="198"/>
      <c r="U80" s="198"/>
    </row>
    <row r="81" spans="1:26" s="12" customFormat="1" x14ac:dyDescent="0.25">
      <c r="A81" s="213" t="s">
        <v>700</v>
      </c>
      <c r="B81" s="64">
        <v>6.37</v>
      </c>
      <c r="C81" s="64">
        <v>69.42</v>
      </c>
      <c r="D81" s="64">
        <v>40</v>
      </c>
      <c r="E81" s="64">
        <v>6.59</v>
      </c>
      <c r="F81" s="64">
        <v>2.13</v>
      </c>
      <c r="G81" s="64">
        <v>58.33</v>
      </c>
      <c r="H81" s="64">
        <v>20.72</v>
      </c>
      <c r="I81" s="210" t="s">
        <v>43</v>
      </c>
      <c r="J81" s="64">
        <v>0.57999999999999996</v>
      </c>
      <c r="K81" s="64">
        <v>274.16000000000003</v>
      </c>
      <c r="L81" s="64">
        <v>25.12</v>
      </c>
      <c r="M81" s="64">
        <v>35.93</v>
      </c>
      <c r="N81" s="64">
        <v>79.3</v>
      </c>
      <c r="O81" s="64">
        <v>0</v>
      </c>
      <c r="P81" s="64">
        <v>0.72</v>
      </c>
      <c r="Q81" s="64">
        <v>9.5399999999999991</v>
      </c>
      <c r="R81" s="198"/>
      <c r="S81" s="198"/>
      <c r="T81" s="198"/>
      <c r="U81" s="198"/>
    </row>
    <row r="82" spans="1:26" s="12" customFormat="1" x14ac:dyDescent="0.25">
      <c r="A82" s="213" t="s">
        <v>701</v>
      </c>
      <c r="B82" s="64">
        <v>8.64</v>
      </c>
      <c r="C82" s="64">
        <v>69.709999999999994</v>
      </c>
      <c r="D82" s="64">
        <v>41.97</v>
      </c>
      <c r="E82" s="64">
        <v>6.88</v>
      </c>
      <c r="F82" s="64">
        <v>2.13</v>
      </c>
      <c r="G82" s="64">
        <v>58.33</v>
      </c>
      <c r="H82" s="64">
        <v>20.72</v>
      </c>
      <c r="I82" s="210" t="s">
        <v>43</v>
      </c>
      <c r="J82" s="64">
        <v>0.43</v>
      </c>
      <c r="K82" s="64">
        <v>317.66000000000003</v>
      </c>
      <c r="L82" s="64">
        <v>24.36</v>
      </c>
      <c r="M82" s="64">
        <v>39.229999999999997</v>
      </c>
      <c r="N82" s="64">
        <v>79.2</v>
      </c>
      <c r="O82" s="64">
        <v>0</v>
      </c>
      <c r="P82" s="64">
        <v>1.19</v>
      </c>
      <c r="Q82" s="64">
        <v>9.56</v>
      </c>
      <c r="R82" s="198"/>
      <c r="S82" s="198"/>
      <c r="T82" s="198"/>
      <c r="U82" s="198"/>
    </row>
    <row r="83" spans="1:26" s="12" customFormat="1" x14ac:dyDescent="0.25">
      <c r="A83" s="213" t="s">
        <v>702</v>
      </c>
      <c r="B83" s="64">
        <v>13.17</v>
      </c>
      <c r="C83" s="64">
        <v>70.02</v>
      </c>
      <c r="D83" s="64">
        <v>45.77</v>
      </c>
      <c r="E83" s="64">
        <v>7</v>
      </c>
      <c r="F83" s="64">
        <v>2.13</v>
      </c>
      <c r="G83" s="64">
        <v>58.33</v>
      </c>
      <c r="H83" s="64">
        <v>20.72</v>
      </c>
      <c r="I83" s="210" t="s">
        <v>43</v>
      </c>
      <c r="J83" s="64">
        <v>0.42</v>
      </c>
      <c r="K83" s="64">
        <v>290.36</v>
      </c>
      <c r="L83" s="64">
        <v>23.74</v>
      </c>
      <c r="M83" s="64">
        <v>40.07</v>
      </c>
      <c r="N83" s="64">
        <v>79</v>
      </c>
      <c r="O83" s="64">
        <v>0</v>
      </c>
      <c r="P83" s="64">
        <v>0.82</v>
      </c>
      <c r="Q83" s="64">
        <v>9.58</v>
      </c>
      <c r="R83" s="198"/>
      <c r="S83" s="198"/>
      <c r="T83" s="198"/>
      <c r="U83" s="198"/>
    </row>
    <row r="84" spans="1:26" s="12" customFormat="1" x14ac:dyDescent="0.25">
      <c r="A84" s="213" t="s">
        <v>703</v>
      </c>
      <c r="B84" s="64">
        <v>15.89</v>
      </c>
      <c r="C84" s="64">
        <v>70.180000000000007</v>
      </c>
      <c r="D84" s="64">
        <v>48.04</v>
      </c>
      <c r="E84" s="64">
        <v>6.85</v>
      </c>
      <c r="F84" s="64">
        <v>2.13</v>
      </c>
      <c r="G84" s="64">
        <v>59.12</v>
      </c>
      <c r="H84" s="64">
        <v>21</v>
      </c>
      <c r="I84" s="210" t="s">
        <v>43</v>
      </c>
      <c r="J84" s="64">
        <v>0.55000000000000004</v>
      </c>
      <c r="K84" s="64">
        <v>332.72</v>
      </c>
      <c r="L84" s="64">
        <v>23.29</v>
      </c>
      <c r="M84" s="64">
        <v>42.29</v>
      </c>
      <c r="N84" s="64">
        <v>78.900000000000006</v>
      </c>
      <c r="O84" s="64">
        <v>0</v>
      </c>
      <c r="P84" s="64">
        <v>1.04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3" t="s">
        <v>704</v>
      </c>
      <c r="B85" s="64">
        <v>17.86</v>
      </c>
      <c r="C85" s="64">
        <v>69.760000000000005</v>
      </c>
      <c r="D85" s="64">
        <v>49.39</v>
      </c>
      <c r="E85" s="64">
        <v>6.67</v>
      </c>
      <c r="F85" s="64">
        <v>2.13</v>
      </c>
      <c r="G85" s="64">
        <v>65.430000000000007</v>
      </c>
      <c r="H85" s="64">
        <v>23.26</v>
      </c>
      <c r="I85" s="210" t="s">
        <v>43</v>
      </c>
      <c r="J85" s="64">
        <v>0.52</v>
      </c>
      <c r="K85" s="64">
        <v>278.58999999999997</v>
      </c>
      <c r="L85" s="64">
        <v>23.19</v>
      </c>
      <c r="M85" s="64">
        <v>40.43</v>
      </c>
      <c r="N85" s="64">
        <v>78.5</v>
      </c>
      <c r="O85" s="64">
        <v>0</v>
      </c>
      <c r="P85" s="64">
        <v>0.98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3" t="s">
        <v>705</v>
      </c>
      <c r="B86" s="64">
        <v>18.829999999999998</v>
      </c>
      <c r="C86" s="64">
        <v>69.41</v>
      </c>
      <c r="D86" s="64">
        <v>49.99</v>
      </c>
      <c r="E86" s="64">
        <v>6.89</v>
      </c>
      <c r="F86" s="64">
        <v>2.13</v>
      </c>
      <c r="G86" s="64">
        <v>65.430000000000007</v>
      </c>
      <c r="H86" s="64">
        <v>23.26</v>
      </c>
      <c r="I86" s="210" t="s">
        <v>43</v>
      </c>
      <c r="J86" s="64">
        <v>0.57999999999999996</v>
      </c>
      <c r="K86" s="64">
        <v>308.35000000000002</v>
      </c>
      <c r="L86" s="64">
        <v>23</v>
      </c>
      <c r="M86" s="64">
        <v>42.51</v>
      </c>
      <c r="N86" s="64">
        <v>78.7</v>
      </c>
      <c r="O86" s="64">
        <v>0</v>
      </c>
      <c r="P86" s="64">
        <v>1.35</v>
      </c>
      <c r="Q86" s="64">
        <v>9.65</v>
      </c>
      <c r="R86" s="198"/>
      <c r="S86" s="198"/>
      <c r="T86" s="198"/>
      <c r="U86" s="198"/>
    </row>
    <row r="87" spans="1:26" s="12" customFormat="1" x14ac:dyDescent="0.25">
      <c r="A87" s="213" t="s">
        <v>706</v>
      </c>
      <c r="B87" s="64">
        <v>22.78</v>
      </c>
      <c r="C87" s="64">
        <v>69.36</v>
      </c>
      <c r="D87" s="64">
        <v>53.13</v>
      </c>
      <c r="E87" s="64">
        <v>7.23</v>
      </c>
      <c r="F87" s="64">
        <v>2.13</v>
      </c>
      <c r="G87" s="64">
        <v>65.430000000000007</v>
      </c>
      <c r="H87" s="64">
        <v>23.26</v>
      </c>
      <c r="I87" s="210" t="s">
        <v>43</v>
      </c>
      <c r="J87" s="64">
        <v>0.53</v>
      </c>
      <c r="K87" s="64">
        <v>282.02</v>
      </c>
      <c r="L87" s="64">
        <v>22.6</v>
      </c>
      <c r="M87" s="64">
        <v>43.59</v>
      </c>
      <c r="N87" s="64">
        <v>78.7</v>
      </c>
      <c r="O87" s="64">
        <v>0</v>
      </c>
      <c r="P87" s="64">
        <v>1.1200000000000001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3" t="s">
        <v>707</v>
      </c>
      <c r="B88" s="64">
        <v>27.47</v>
      </c>
      <c r="C88" s="64">
        <v>69.400000000000006</v>
      </c>
      <c r="D88" s="64">
        <v>56.92</v>
      </c>
      <c r="E88" s="64">
        <v>6.99</v>
      </c>
      <c r="F88" s="64">
        <v>2.13</v>
      </c>
      <c r="G88" s="64">
        <v>66.290000000000006</v>
      </c>
      <c r="H88" s="64">
        <v>22.35</v>
      </c>
      <c r="I88" s="210" t="s">
        <v>43</v>
      </c>
      <c r="J88" s="64">
        <v>0.42</v>
      </c>
      <c r="K88" s="64">
        <v>290.8</v>
      </c>
      <c r="L88" s="64">
        <v>22.32</v>
      </c>
      <c r="M88" s="64">
        <v>45.32</v>
      </c>
      <c r="N88" s="64">
        <v>78.900000000000006</v>
      </c>
      <c r="O88" s="64">
        <v>0</v>
      </c>
      <c r="P88" s="64">
        <v>1.17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3" t="s">
        <v>708</v>
      </c>
      <c r="B89" s="64">
        <v>30.73</v>
      </c>
      <c r="C89" s="64">
        <v>65.72</v>
      </c>
      <c r="D89" s="64">
        <v>57.6</v>
      </c>
      <c r="E89" s="64">
        <v>7.26</v>
      </c>
      <c r="F89" s="64">
        <v>2.13</v>
      </c>
      <c r="G89" s="64">
        <v>73.16</v>
      </c>
      <c r="H89" s="64">
        <v>15.12</v>
      </c>
      <c r="I89" s="210" t="s">
        <v>43</v>
      </c>
      <c r="J89" s="64">
        <v>0.47</v>
      </c>
      <c r="K89" s="64">
        <v>262.31</v>
      </c>
      <c r="L89" s="64">
        <v>22.18</v>
      </c>
      <c r="M89" s="64">
        <v>46.75</v>
      </c>
      <c r="N89" s="64">
        <v>78.5</v>
      </c>
      <c r="O89" s="64">
        <v>0</v>
      </c>
      <c r="P89" s="64">
        <v>1.1499999999999999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3" t="s">
        <v>709</v>
      </c>
      <c r="B90" s="64">
        <v>32.82</v>
      </c>
      <c r="C90" s="64">
        <v>65.180000000000007</v>
      </c>
      <c r="D90" s="64">
        <v>58.99</v>
      </c>
      <c r="E90" s="64">
        <v>6.87</v>
      </c>
      <c r="F90" s="64">
        <v>2.13</v>
      </c>
      <c r="G90" s="64">
        <v>73.16</v>
      </c>
      <c r="H90" s="64">
        <v>15.12</v>
      </c>
      <c r="I90" s="210" t="s">
        <v>43</v>
      </c>
      <c r="J90" s="64">
        <v>0.55000000000000004</v>
      </c>
      <c r="K90" s="64">
        <v>222.36</v>
      </c>
      <c r="L90" s="64">
        <v>21.94</v>
      </c>
      <c r="M90" s="64">
        <v>49.01</v>
      </c>
      <c r="N90" s="64">
        <v>78.3</v>
      </c>
      <c r="O90" s="64">
        <v>0</v>
      </c>
      <c r="P90" s="64">
        <v>1.08</v>
      </c>
      <c r="Q90" s="64">
        <v>9.6999999999999993</v>
      </c>
      <c r="R90" s="198"/>
      <c r="S90" s="198"/>
      <c r="T90" s="198"/>
      <c r="U90" s="198"/>
    </row>
    <row r="91" spans="1:26" s="12" customFormat="1" x14ac:dyDescent="0.25">
      <c r="A91" s="213" t="s">
        <v>710</v>
      </c>
      <c r="B91" s="64">
        <v>35.68</v>
      </c>
      <c r="C91" s="64">
        <v>64.72</v>
      </c>
      <c r="D91" s="64">
        <v>61.05</v>
      </c>
      <c r="E91" s="64">
        <v>6.87</v>
      </c>
      <c r="F91" s="64">
        <v>2.13</v>
      </c>
      <c r="G91" s="64">
        <v>73.16</v>
      </c>
      <c r="H91" s="64">
        <v>15.12</v>
      </c>
      <c r="I91" s="210" t="s">
        <v>43</v>
      </c>
      <c r="J91" s="64">
        <v>0.28000000000000003</v>
      </c>
      <c r="K91" s="64">
        <v>287.13</v>
      </c>
      <c r="L91" s="64">
        <v>21.74</v>
      </c>
      <c r="M91" s="64">
        <v>51.24</v>
      </c>
      <c r="N91" s="64">
        <v>78.7</v>
      </c>
      <c r="O91" s="64">
        <v>0</v>
      </c>
      <c r="P91" s="64">
        <v>1.3</v>
      </c>
      <c r="Q91" s="64">
        <v>9.68</v>
      </c>
      <c r="R91" s="198"/>
      <c r="S91" s="198"/>
      <c r="T91" s="198"/>
      <c r="U91" s="198"/>
    </row>
    <row r="92" spans="1:26" s="12" customFormat="1" x14ac:dyDescent="0.25">
      <c r="A92" s="213" t="s">
        <v>711</v>
      </c>
      <c r="B92" s="64">
        <v>39.700000000000003</v>
      </c>
      <c r="C92" s="64">
        <v>64.23</v>
      </c>
      <c r="D92" s="64">
        <v>64.02</v>
      </c>
      <c r="E92" s="64">
        <v>6.84</v>
      </c>
      <c r="F92" s="64">
        <v>2.13</v>
      </c>
      <c r="G92" s="64">
        <v>75.510000000000005</v>
      </c>
      <c r="H92" s="64">
        <v>14.9</v>
      </c>
      <c r="I92" s="210" t="s">
        <v>43</v>
      </c>
      <c r="J92" s="64">
        <v>0.53</v>
      </c>
      <c r="K92" s="64">
        <v>326.33999999999997</v>
      </c>
      <c r="L92" s="64">
        <v>21.13</v>
      </c>
      <c r="M92" s="64">
        <v>54.82</v>
      </c>
      <c r="N92" s="64">
        <v>78.900000000000006</v>
      </c>
      <c r="O92" s="64">
        <v>0</v>
      </c>
      <c r="P92" s="64">
        <v>1.42</v>
      </c>
      <c r="Q92" s="64">
        <v>9.68</v>
      </c>
      <c r="R92" s="198"/>
      <c r="S92" s="198"/>
      <c r="T92" s="198"/>
      <c r="U92" s="198"/>
    </row>
    <row r="93" spans="1:26" s="12" customFormat="1" x14ac:dyDescent="0.25">
      <c r="A93" s="213" t="s">
        <v>712</v>
      </c>
      <c r="B93" s="64">
        <v>44.8</v>
      </c>
      <c r="C93" s="64">
        <v>64.03</v>
      </c>
      <c r="D93" s="64">
        <v>68</v>
      </c>
      <c r="E93" s="64">
        <v>7.49</v>
      </c>
      <c r="F93" s="64">
        <v>2.13</v>
      </c>
      <c r="G93" s="64">
        <v>96.63</v>
      </c>
      <c r="H93" s="64">
        <v>13.15</v>
      </c>
      <c r="I93" s="210" t="s">
        <v>43</v>
      </c>
      <c r="J93" s="64">
        <v>0.46</v>
      </c>
      <c r="K93" s="64">
        <v>280.39999999999998</v>
      </c>
      <c r="L93" s="64">
        <v>20.66</v>
      </c>
      <c r="M93" s="64">
        <v>58.93</v>
      </c>
      <c r="N93" s="64">
        <v>78.7</v>
      </c>
      <c r="O93" s="64">
        <v>0</v>
      </c>
      <c r="P93" s="64">
        <v>1.21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3" t="s">
        <v>713</v>
      </c>
      <c r="B94" s="64">
        <v>50.9</v>
      </c>
      <c r="C94" s="64">
        <v>63.4</v>
      </c>
      <c r="D94" s="64">
        <v>72.56</v>
      </c>
      <c r="E94" s="64">
        <v>7.61</v>
      </c>
      <c r="F94" s="64">
        <v>2.13</v>
      </c>
      <c r="G94" s="64">
        <v>96.63</v>
      </c>
      <c r="H94" s="64">
        <v>13.15</v>
      </c>
      <c r="I94" s="210" t="s">
        <v>43</v>
      </c>
      <c r="J94" s="64">
        <v>0.56000000000000005</v>
      </c>
      <c r="K94" s="64">
        <v>314.35000000000002</v>
      </c>
      <c r="L94" s="64">
        <v>20.43</v>
      </c>
      <c r="M94" s="64">
        <v>61.6</v>
      </c>
      <c r="N94" s="64">
        <v>78.8</v>
      </c>
      <c r="O94" s="64">
        <v>0</v>
      </c>
      <c r="P94" s="64">
        <v>1.7</v>
      </c>
      <c r="Q94" s="64">
        <v>9.7100000000000009</v>
      </c>
      <c r="R94" s="198"/>
      <c r="S94" s="198"/>
      <c r="T94" s="198"/>
      <c r="U94" s="198"/>
    </row>
    <row r="95" spans="1:26" s="12" customFormat="1" x14ac:dyDescent="0.25">
      <c r="A95" s="213" t="s">
        <v>714</v>
      </c>
      <c r="B95" s="64">
        <v>56.66</v>
      </c>
      <c r="C95" s="64">
        <v>62.85</v>
      </c>
      <c r="D95" s="64">
        <v>76.900000000000006</v>
      </c>
      <c r="E95" s="64">
        <v>7.88</v>
      </c>
      <c r="F95" s="64">
        <v>2.17</v>
      </c>
      <c r="G95" s="64">
        <v>96.63</v>
      </c>
      <c r="H95" s="64">
        <v>13.15</v>
      </c>
      <c r="I95" s="210" t="s">
        <v>43</v>
      </c>
      <c r="J95" s="64">
        <v>0.6</v>
      </c>
      <c r="K95" s="64">
        <v>246.23</v>
      </c>
      <c r="L95" s="64">
        <v>20.260000000000002</v>
      </c>
      <c r="M95" s="64">
        <v>60.01</v>
      </c>
      <c r="N95" s="64">
        <v>78.5</v>
      </c>
      <c r="O95" s="64">
        <v>0</v>
      </c>
      <c r="P95" s="64">
        <v>1.38</v>
      </c>
      <c r="Q95" s="64">
        <v>9.7200000000000006</v>
      </c>
      <c r="R95" s="198"/>
      <c r="S95" s="198"/>
      <c r="T95" s="198"/>
      <c r="U95" s="198"/>
    </row>
    <row r="96" spans="1:26" s="12" customFormat="1" x14ac:dyDescent="0.25">
      <c r="A96" s="213" t="s">
        <v>715</v>
      </c>
      <c r="B96" s="64">
        <v>59.73</v>
      </c>
      <c r="C96" s="64">
        <v>64.16</v>
      </c>
      <c r="D96" s="64">
        <v>80.040000000000006</v>
      </c>
      <c r="E96" s="64">
        <v>7.71</v>
      </c>
      <c r="F96" s="64">
        <v>2.13</v>
      </c>
      <c r="G96" s="64">
        <v>98.84</v>
      </c>
      <c r="H96" s="64">
        <v>21.36</v>
      </c>
      <c r="I96" s="210" t="s">
        <v>43</v>
      </c>
      <c r="J96" s="64">
        <v>0.69</v>
      </c>
      <c r="K96" s="64">
        <v>217.47</v>
      </c>
      <c r="L96" s="64">
        <v>20.98</v>
      </c>
      <c r="M96" s="64">
        <v>52.89</v>
      </c>
      <c r="N96" s="64">
        <v>77.5</v>
      </c>
      <c r="O96" s="64">
        <v>0</v>
      </c>
      <c r="P96" s="64">
        <v>1.18</v>
      </c>
      <c r="Q96" s="64">
        <v>9.74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716</v>
      </c>
      <c r="B97" s="64">
        <v>59.98</v>
      </c>
      <c r="C97" s="64">
        <v>64.31</v>
      </c>
      <c r="D97" s="64">
        <v>80.319999999999993</v>
      </c>
      <c r="E97" s="64">
        <v>7.9</v>
      </c>
      <c r="F97" s="64">
        <v>2.13</v>
      </c>
      <c r="G97" s="64">
        <v>116.49</v>
      </c>
      <c r="H97" s="64">
        <v>87</v>
      </c>
      <c r="I97" s="210" t="s">
        <v>43</v>
      </c>
      <c r="J97" s="64">
        <v>0.68</v>
      </c>
      <c r="K97" s="64">
        <v>224.69</v>
      </c>
      <c r="L97" s="64">
        <v>21.01</v>
      </c>
      <c r="M97" s="64">
        <v>53.61</v>
      </c>
      <c r="N97" s="64">
        <v>78</v>
      </c>
      <c r="O97" s="64">
        <v>0</v>
      </c>
      <c r="P97" s="64">
        <v>1.1499999999999999</v>
      </c>
      <c r="Q97" s="64">
        <v>9.7899999999999991</v>
      </c>
      <c r="R97" s="198"/>
      <c r="S97" s="198"/>
      <c r="T97" s="198"/>
      <c r="U97" s="198"/>
    </row>
    <row r="98" spans="1:33" s="12" customFormat="1" x14ac:dyDescent="0.25">
      <c r="A98" s="213" t="s">
        <v>717</v>
      </c>
      <c r="B98" s="64">
        <v>58.01</v>
      </c>
      <c r="C98" s="64">
        <v>62.69</v>
      </c>
      <c r="D98" s="64">
        <v>77.89</v>
      </c>
      <c r="E98" s="64">
        <v>7.2</v>
      </c>
      <c r="F98" s="64">
        <v>2.13</v>
      </c>
      <c r="G98" s="64">
        <v>116.49</v>
      </c>
      <c r="H98" s="64">
        <v>87</v>
      </c>
      <c r="I98" s="210" t="s">
        <v>43</v>
      </c>
      <c r="J98" s="64">
        <v>0.62</v>
      </c>
      <c r="K98" s="64">
        <v>230.59</v>
      </c>
      <c r="L98" s="64">
        <v>20.81</v>
      </c>
      <c r="M98" s="64">
        <v>55.21</v>
      </c>
      <c r="N98" s="64">
        <v>78.5</v>
      </c>
      <c r="O98" s="64">
        <v>0</v>
      </c>
      <c r="P98" s="64">
        <v>1.1299999999999999</v>
      </c>
      <c r="Q98" s="64">
        <v>9.81</v>
      </c>
      <c r="R98" s="198"/>
      <c r="S98" s="198"/>
      <c r="T98" s="198"/>
      <c r="U98" s="198"/>
    </row>
    <row r="99" spans="1:33" s="12" customFormat="1" x14ac:dyDescent="0.25">
      <c r="A99" s="213" t="s">
        <v>718</v>
      </c>
      <c r="B99" s="64">
        <v>55.4</v>
      </c>
      <c r="C99" s="64">
        <v>61.51</v>
      </c>
      <c r="D99" s="64">
        <v>75.19</v>
      </c>
      <c r="E99" s="64">
        <v>7.06</v>
      </c>
      <c r="F99" s="64">
        <v>2.13</v>
      </c>
      <c r="G99" s="64">
        <v>116.49</v>
      </c>
      <c r="H99" s="64">
        <v>87</v>
      </c>
      <c r="I99" s="210" t="s">
        <v>43</v>
      </c>
      <c r="J99" s="64">
        <v>0.61</v>
      </c>
      <c r="K99" s="64">
        <v>262.58</v>
      </c>
      <c r="L99" s="64">
        <v>20.37</v>
      </c>
      <c r="M99" s="64">
        <v>57</v>
      </c>
      <c r="N99" s="64">
        <v>78.8</v>
      </c>
      <c r="O99" s="64">
        <v>0</v>
      </c>
      <c r="P99" s="64">
        <v>1.1100000000000001</v>
      </c>
      <c r="Q99" s="64">
        <v>9.83</v>
      </c>
      <c r="R99" s="198"/>
      <c r="S99" s="198"/>
      <c r="T99" s="198"/>
      <c r="U99" s="198"/>
    </row>
    <row r="100" spans="1:33" s="12" customFormat="1" x14ac:dyDescent="0.25">
      <c r="A100" s="213" t="s">
        <v>719</v>
      </c>
      <c r="B100" s="64">
        <v>53.2</v>
      </c>
      <c r="C100" s="64">
        <v>60.43</v>
      </c>
      <c r="D100" s="64">
        <v>72.86</v>
      </c>
      <c r="E100" s="64">
        <v>6.65</v>
      </c>
      <c r="F100" s="64">
        <v>2.13</v>
      </c>
      <c r="G100" s="64">
        <v>113.61</v>
      </c>
      <c r="H100" s="64">
        <v>78.569999999999993</v>
      </c>
      <c r="I100" s="210" t="s">
        <v>43</v>
      </c>
      <c r="J100" s="64">
        <v>0.57999999999999996</v>
      </c>
      <c r="K100" s="64">
        <v>259.13</v>
      </c>
      <c r="L100" s="64">
        <v>19.95</v>
      </c>
      <c r="M100" s="64">
        <v>58.02</v>
      </c>
      <c r="N100" s="64">
        <v>78.900000000000006</v>
      </c>
      <c r="O100" s="64">
        <v>0</v>
      </c>
      <c r="P100" s="64">
        <v>1.07</v>
      </c>
      <c r="Q100" s="64">
        <v>9.81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720</v>
      </c>
      <c r="B101" s="64">
        <v>52.26</v>
      </c>
      <c r="C101" s="64">
        <v>59.78</v>
      </c>
      <c r="D101" s="64">
        <v>71.760000000000005</v>
      </c>
      <c r="E101" s="64">
        <v>6.84</v>
      </c>
      <c r="F101" s="64">
        <v>2.13</v>
      </c>
      <c r="G101" s="64">
        <v>90.57</v>
      </c>
      <c r="H101" s="64">
        <v>11.13</v>
      </c>
      <c r="I101" s="210" t="s">
        <v>43</v>
      </c>
      <c r="J101" s="64">
        <v>0.62</v>
      </c>
      <c r="K101" s="64">
        <v>248.5</v>
      </c>
      <c r="L101" s="64">
        <v>19.73</v>
      </c>
      <c r="M101" s="64">
        <v>60.03</v>
      </c>
      <c r="N101" s="64">
        <v>78.3</v>
      </c>
      <c r="O101" s="64">
        <v>0</v>
      </c>
      <c r="P101" s="64">
        <v>1.08</v>
      </c>
      <c r="Q101" s="64">
        <v>9.81</v>
      </c>
      <c r="R101" s="198"/>
      <c r="S101" s="198"/>
      <c r="T101" s="198"/>
      <c r="U101" s="198"/>
    </row>
    <row r="102" spans="1:33" s="12" customFormat="1" x14ac:dyDescent="0.25">
      <c r="A102" s="213" t="s">
        <v>721</v>
      </c>
      <c r="B102" s="64">
        <v>51.78</v>
      </c>
      <c r="C102" s="64">
        <v>59.75</v>
      </c>
      <c r="D102" s="64">
        <v>71.36</v>
      </c>
      <c r="E102" s="64">
        <v>6.76</v>
      </c>
      <c r="F102" s="64">
        <v>2.13</v>
      </c>
      <c r="G102" s="64">
        <v>90.57</v>
      </c>
      <c r="H102" s="64">
        <v>11.13</v>
      </c>
      <c r="I102" s="210" t="s">
        <v>43</v>
      </c>
      <c r="J102" s="64">
        <v>0.76</v>
      </c>
      <c r="K102" s="64">
        <v>323.95</v>
      </c>
      <c r="L102" s="64">
        <v>19.72</v>
      </c>
      <c r="M102" s="64">
        <v>62.65</v>
      </c>
      <c r="N102" s="64">
        <v>78.5</v>
      </c>
      <c r="O102" s="64">
        <v>0</v>
      </c>
      <c r="P102" s="64">
        <v>1.0900000000000001</v>
      </c>
      <c r="Q102" s="64">
        <v>9.81</v>
      </c>
      <c r="R102" s="198"/>
      <c r="S102" s="198"/>
      <c r="T102" s="198"/>
      <c r="U102" s="198"/>
    </row>
    <row r="103" spans="1:33" s="12" customFormat="1" x14ac:dyDescent="0.25">
      <c r="A103" s="213" t="s">
        <v>722</v>
      </c>
      <c r="B103" s="64">
        <v>51.79</v>
      </c>
      <c r="C103" s="64">
        <v>59.42</v>
      </c>
      <c r="D103" s="64">
        <v>71.2</v>
      </c>
      <c r="E103" s="64">
        <v>6.43</v>
      </c>
      <c r="F103" s="64">
        <v>2.13</v>
      </c>
      <c r="G103" s="64">
        <v>90.57</v>
      </c>
      <c r="H103" s="64">
        <v>11.13</v>
      </c>
      <c r="I103" s="210" t="s">
        <v>43</v>
      </c>
      <c r="J103" s="64">
        <v>0.33</v>
      </c>
      <c r="K103" s="64">
        <v>262.31</v>
      </c>
      <c r="L103" s="64">
        <v>19.07</v>
      </c>
      <c r="M103" s="64">
        <v>65.69</v>
      </c>
      <c r="N103" s="64">
        <v>78.2</v>
      </c>
      <c r="O103" s="64">
        <v>0</v>
      </c>
      <c r="P103" s="64">
        <v>1.06</v>
      </c>
      <c r="Q103" s="64">
        <v>9.7899999999999991</v>
      </c>
      <c r="R103" s="198"/>
      <c r="S103" s="198"/>
      <c r="T103" s="198"/>
      <c r="U103" s="198"/>
    </row>
    <row r="104" spans="1:33" s="12" customFormat="1" x14ac:dyDescent="0.25">
      <c r="A104" s="213" t="s">
        <v>723</v>
      </c>
      <c r="B104" s="64">
        <v>50.53</v>
      </c>
      <c r="C104" s="64">
        <v>58.9</v>
      </c>
      <c r="D104" s="64">
        <v>69.92</v>
      </c>
      <c r="E104" s="64">
        <v>4.17</v>
      </c>
      <c r="F104" s="64">
        <v>2.13</v>
      </c>
      <c r="G104" s="64">
        <v>90.02</v>
      </c>
      <c r="H104" s="64">
        <v>12.09</v>
      </c>
      <c r="I104" s="210" t="s">
        <v>43</v>
      </c>
      <c r="J104" s="64">
        <v>0.26</v>
      </c>
      <c r="K104" s="64">
        <v>293.24</v>
      </c>
      <c r="L104" s="64">
        <v>19.05</v>
      </c>
      <c r="M104" s="64">
        <v>62.62</v>
      </c>
      <c r="N104" s="64">
        <v>78.3</v>
      </c>
      <c r="O104" s="64">
        <v>0</v>
      </c>
      <c r="P104" s="64">
        <v>1.01</v>
      </c>
      <c r="Q104" s="64">
        <v>9.83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1.78</v>
      </c>
      <c r="C106" s="67">
        <f>MIN(C9:C104)</f>
        <v>47.36</v>
      </c>
      <c r="D106" s="67">
        <f t="shared" ref="D106:Q106" si="0">MIN(D9:D104)</f>
        <v>28.11</v>
      </c>
      <c r="E106" s="67">
        <f t="shared" si="0"/>
        <v>3.35</v>
      </c>
      <c r="F106" s="67">
        <f t="shared" si="0"/>
        <v>2.13</v>
      </c>
      <c r="G106" s="67">
        <f t="shared" si="0"/>
        <v>8.39</v>
      </c>
      <c r="H106" s="67">
        <f t="shared" si="0"/>
        <v>4.0999999999999996</v>
      </c>
      <c r="I106" s="67">
        <f t="shared" si="0"/>
        <v>0</v>
      </c>
      <c r="J106" s="67">
        <f t="shared" si="0"/>
        <v>0.09</v>
      </c>
      <c r="K106" s="67">
        <f t="shared" si="0"/>
        <v>125.4</v>
      </c>
      <c r="L106" s="67">
        <f t="shared" si="0"/>
        <v>16.3</v>
      </c>
      <c r="M106" s="67">
        <f t="shared" si="0"/>
        <v>24.98</v>
      </c>
      <c r="N106" s="67">
        <f t="shared" si="0"/>
        <v>77.5</v>
      </c>
      <c r="O106" s="67">
        <f t="shared" si="0"/>
        <v>0</v>
      </c>
      <c r="P106" s="67">
        <f t="shared" si="0"/>
        <v>0.46</v>
      </c>
      <c r="Q106" s="67">
        <f t="shared" si="0"/>
        <v>9.5399999999999991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212.26</v>
      </c>
      <c r="C107" s="66">
        <f t="shared" ref="C107:Q107" si="1">MAX(C9:C104)</f>
        <v>87.01</v>
      </c>
      <c r="D107" s="66">
        <f t="shared" si="1"/>
        <v>197.7</v>
      </c>
      <c r="E107" s="66">
        <f t="shared" si="1"/>
        <v>90.83</v>
      </c>
      <c r="F107" s="66">
        <f t="shared" si="1"/>
        <v>29.9</v>
      </c>
      <c r="G107" s="66">
        <f t="shared" si="1"/>
        <v>271.63</v>
      </c>
      <c r="H107" s="66">
        <f t="shared" si="1"/>
        <v>87</v>
      </c>
      <c r="I107" s="66">
        <f t="shared" si="1"/>
        <v>0</v>
      </c>
      <c r="J107" s="66">
        <f t="shared" si="1"/>
        <v>1.26</v>
      </c>
      <c r="K107" s="66">
        <f t="shared" si="1"/>
        <v>354.08</v>
      </c>
      <c r="L107" s="66">
        <f t="shared" si="1"/>
        <v>32.46</v>
      </c>
      <c r="M107" s="66">
        <f t="shared" si="1"/>
        <v>85.21</v>
      </c>
      <c r="N107" s="66">
        <f t="shared" si="1"/>
        <v>583.70000000000005</v>
      </c>
      <c r="O107" s="66">
        <f t="shared" si="1"/>
        <v>0</v>
      </c>
      <c r="P107" s="66">
        <f t="shared" si="1"/>
        <v>2.25</v>
      </c>
      <c r="Q107" s="66">
        <f t="shared" si="1"/>
        <v>10.6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63.801290322580599</v>
      </c>
      <c r="C108" s="67">
        <f t="shared" ref="C108:Q108" si="2">AVERAGE(C9:C104)</f>
        <v>59.000215053763448</v>
      </c>
      <c r="D108" s="67">
        <f t="shared" si="2"/>
        <v>80.612903225806463</v>
      </c>
      <c r="E108" s="67">
        <f t="shared" si="2"/>
        <v>8.6946739130434771</v>
      </c>
      <c r="F108" s="67">
        <f t="shared" si="2"/>
        <v>4.5995833333333316</v>
      </c>
      <c r="G108" s="67">
        <f t="shared" si="2"/>
        <v>104.1564130434783</v>
      </c>
      <c r="H108" s="67">
        <f t="shared" si="2"/>
        <v>35.505108695652197</v>
      </c>
      <c r="I108" s="67" t="e">
        <f t="shared" si="2"/>
        <v>#DIV/0!</v>
      </c>
      <c r="J108" s="67">
        <f t="shared" si="2"/>
        <v>0.53989583333333324</v>
      </c>
      <c r="K108" s="67">
        <f t="shared" si="2"/>
        <v>277.58135416666676</v>
      </c>
      <c r="L108" s="67">
        <f t="shared" si="2"/>
        <v>23.433958333333333</v>
      </c>
      <c r="M108" s="67">
        <f t="shared" si="2"/>
        <v>52.052500000000009</v>
      </c>
      <c r="N108" s="67">
        <f t="shared" si="2"/>
        <v>204.67604166666675</v>
      </c>
      <c r="O108" s="67">
        <f t="shared" si="2"/>
        <v>0</v>
      </c>
      <c r="P108" s="67">
        <f t="shared" si="2"/>
        <v>1.0978124999999996</v>
      </c>
      <c r="Q108" s="67">
        <f t="shared" si="2"/>
        <v>9.8742708333333358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58.501848692933528</v>
      </c>
      <c r="C109" s="67">
        <f t="shared" ref="C109:Q109" si="3">STDEV(C9:C104)</f>
        <v>8.2733644092896572</v>
      </c>
      <c r="D109" s="67">
        <f t="shared" si="3"/>
        <v>44.515886772873728</v>
      </c>
      <c r="E109" s="67">
        <f t="shared" si="3"/>
        <v>9.4602089109993504</v>
      </c>
      <c r="F109" s="67">
        <f t="shared" si="3"/>
        <v>5.1104977441519797</v>
      </c>
      <c r="G109" s="67">
        <f t="shared" si="3"/>
        <v>49.288557185313458</v>
      </c>
      <c r="H109" s="67">
        <f t="shared" si="3"/>
        <v>18.622451385154701</v>
      </c>
      <c r="I109" s="67" t="e">
        <f t="shared" si="3"/>
        <v>#DIV/0!</v>
      </c>
      <c r="J109" s="67">
        <f t="shared" si="3"/>
        <v>0.25603657136665647</v>
      </c>
      <c r="K109" s="67">
        <f t="shared" si="3"/>
        <v>50.613217966097729</v>
      </c>
      <c r="L109" s="67">
        <f t="shared" si="3"/>
        <v>5.6553967666043921</v>
      </c>
      <c r="M109" s="67">
        <f t="shared" si="3"/>
        <v>21.398318723921406</v>
      </c>
      <c r="N109" s="67">
        <f t="shared" si="3"/>
        <v>186.67366501311798</v>
      </c>
      <c r="O109" s="67">
        <f t="shared" si="3"/>
        <v>0</v>
      </c>
      <c r="P109" s="67">
        <f t="shared" si="3"/>
        <v>0.4716582239961043</v>
      </c>
      <c r="Q109" s="67">
        <f t="shared" si="3"/>
        <v>0.30071754466054462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 t="shared" ref="C110:D110" si="4">COUNT(C9:C104)+3</f>
        <v>96</v>
      </c>
      <c r="D110" s="66">
        <f t="shared" si="4"/>
        <v>96</v>
      </c>
      <c r="E110" s="66">
        <f>COUNT(E9:E104)+4</f>
        <v>96</v>
      </c>
      <c r="F110" s="66">
        <f t="shared" ref="F110:Q110" si="5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0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&lt;90%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LESS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724</v>
      </c>
      <c r="B9" s="64">
        <v>49.32</v>
      </c>
      <c r="C9" s="64">
        <v>56.8</v>
      </c>
      <c r="D9" s="64">
        <v>67.849999999999994</v>
      </c>
      <c r="E9" s="64">
        <v>4.87</v>
      </c>
      <c r="F9" s="64">
        <v>2.13</v>
      </c>
      <c r="G9" s="64">
        <v>85.6</v>
      </c>
      <c r="H9" s="64">
        <v>20.76</v>
      </c>
      <c r="I9" s="214" t="s">
        <v>43</v>
      </c>
      <c r="J9" s="64">
        <v>0.59</v>
      </c>
      <c r="K9" s="64">
        <v>291.97000000000003</v>
      </c>
      <c r="L9" s="64">
        <v>19.09</v>
      </c>
      <c r="M9" s="64">
        <v>61.81</v>
      </c>
      <c r="N9" s="64">
        <v>77.900000000000006</v>
      </c>
      <c r="O9" s="64">
        <v>0</v>
      </c>
      <c r="P9" s="64">
        <v>0.94</v>
      </c>
      <c r="Q9" s="64">
        <v>9.82</v>
      </c>
      <c r="R9" s="198"/>
      <c r="S9" s="198"/>
      <c r="T9" s="198"/>
      <c r="U9" s="198"/>
    </row>
    <row r="10" spans="1:21" s="12" customFormat="1" x14ac:dyDescent="0.25">
      <c r="A10" s="213" t="s">
        <v>725</v>
      </c>
      <c r="B10" s="64">
        <v>48.34</v>
      </c>
      <c r="C10" s="64">
        <v>54.58</v>
      </c>
      <c r="D10" s="64">
        <v>65.900000000000006</v>
      </c>
      <c r="E10" s="64">
        <v>4.42</v>
      </c>
      <c r="F10" s="64">
        <v>2.13</v>
      </c>
      <c r="G10" s="64">
        <v>85.6</v>
      </c>
      <c r="H10" s="64">
        <v>20.76</v>
      </c>
      <c r="I10" s="214" t="s">
        <v>43</v>
      </c>
      <c r="J10" s="64">
        <v>1.42</v>
      </c>
      <c r="K10" s="64">
        <v>341.69</v>
      </c>
      <c r="L10" s="64">
        <v>19.190000000000001</v>
      </c>
      <c r="M10" s="64">
        <v>62.06</v>
      </c>
      <c r="N10" s="64">
        <v>77.2</v>
      </c>
      <c r="O10" s="64">
        <v>0</v>
      </c>
      <c r="P10" s="64">
        <v>0.92</v>
      </c>
      <c r="Q10" s="64">
        <v>9.81</v>
      </c>
      <c r="R10" s="198"/>
      <c r="S10" s="198"/>
      <c r="T10" s="198"/>
      <c r="U10" s="198"/>
    </row>
    <row r="11" spans="1:21" s="12" customFormat="1" x14ac:dyDescent="0.25">
      <c r="A11" s="213" t="s">
        <v>726</v>
      </c>
      <c r="B11" s="64">
        <v>46.6</v>
      </c>
      <c r="C11" s="64">
        <v>55.1</v>
      </c>
      <c r="D11" s="64">
        <v>64.78</v>
      </c>
      <c r="E11" s="64">
        <v>4.55</v>
      </c>
      <c r="F11" s="64">
        <v>2.13</v>
      </c>
      <c r="G11" s="64">
        <v>85.6</v>
      </c>
      <c r="H11" s="64">
        <v>20.76</v>
      </c>
      <c r="I11" s="214" t="s">
        <v>43</v>
      </c>
      <c r="J11" s="64">
        <v>1.55</v>
      </c>
      <c r="K11" s="64">
        <v>351.95</v>
      </c>
      <c r="L11" s="64">
        <v>19.47</v>
      </c>
      <c r="M11" s="64">
        <v>61.42</v>
      </c>
      <c r="N11" s="64">
        <v>77.8</v>
      </c>
      <c r="O11" s="64">
        <v>0</v>
      </c>
      <c r="P11" s="64">
        <v>0.91</v>
      </c>
      <c r="Q11" s="64">
        <v>9.7899999999999991</v>
      </c>
      <c r="R11" s="198"/>
      <c r="S11" s="198"/>
      <c r="T11" s="198"/>
      <c r="U11" s="198"/>
    </row>
    <row r="12" spans="1:21" s="12" customFormat="1" x14ac:dyDescent="0.25">
      <c r="A12" s="213" t="s">
        <v>727</v>
      </c>
      <c r="B12" s="64">
        <v>44.51</v>
      </c>
      <c r="C12" s="64">
        <v>55.25</v>
      </c>
      <c r="D12" s="64">
        <v>63.19</v>
      </c>
      <c r="E12" s="64">
        <v>4.5599999999999996</v>
      </c>
      <c r="F12" s="64">
        <v>2.13</v>
      </c>
      <c r="G12" s="64">
        <v>84.59</v>
      </c>
      <c r="H12" s="64">
        <v>20.5</v>
      </c>
      <c r="I12" s="214" t="s">
        <v>43</v>
      </c>
      <c r="J12" s="64">
        <v>1.07</v>
      </c>
      <c r="K12" s="64">
        <v>354.84</v>
      </c>
      <c r="L12" s="64">
        <v>19.39</v>
      </c>
      <c r="M12" s="64">
        <v>62.99</v>
      </c>
      <c r="N12" s="64">
        <v>78.400000000000006</v>
      </c>
      <c r="O12" s="64">
        <v>0</v>
      </c>
      <c r="P12" s="64">
        <v>0.89</v>
      </c>
      <c r="Q12" s="64">
        <v>9.7799999999999994</v>
      </c>
      <c r="R12" s="198"/>
      <c r="S12" s="198"/>
      <c r="T12" s="198"/>
      <c r="U12" s="198"/>
    </row>
    <row r="13" spans="1:21" s="12" customFormat="1" x14ac:dyDescent="0.25">
      <c r="A13" s="213" t="s">
        <v>728</v>
      </c>
      <c r="B13" s="64">
        <v>42.94</v>
      </c>
      <c r="C13" s="64">
        <v>55.04</v>
      </c>
      <c r="D13" s="64">
        <v>61.81</v>
      </c>
      <c r="E13" s="64">
        <v>4.91</v>
      </c>
      <c r="F13" s="64">
        <v>2.13</v>
      </c>
      <c r="G13" s="64">
        <v>75.489999999999995</v>
      </c>
      <c r="H13" s="64">
        <v>18.48</v>
      </c>
      <c r="I13" s="214" t="s">
        <v>43</v>
      </c>
      <c r="J13" s="64">
        <v>0.69</v>
      </c>
      <c r="K13" s="64">
        <v>355.84</v>
      </c>
      <c r="L13" s="64">
        <v>19.420000000000002</v>
      </c>
      <c r="M13" s="64">
        <v>63.68</v>
      </c>
      <c r="N13" s="64">
        <v>78.3</v>
      </c>
      <c r="O13" s="64">
        <v>0</v>
      </c>
      <c r="P13" s="64">
        <v>0.78</v>
      </c>
      <c r="Q13" s="64">
        <v>9.75</v>
      </c>
      <c r="R13" s="198"/>
      <c r="S13" s="198"/>
      <c r="T13" s="198"/>
      <c r="U13" s="198"/>
    </row>
    <row r="14" spans="1:21" s="12" customFormat="1" x14ac:dyDescent="0.25">
      <c r="A14" s="213" t="s">
        <v>729</v>
      </c>
      <c r="B14" s="64">
        <v>41.29</v>
      </c>
      <c r="C14" s="64">
        <v>54.74</v>
      </c>
      <c r="D14" s="64">
        <v>60.33</v>
      </c>
      <c r="E14" s="64">
        <v>5.27</v>
      </c>
      <c r="F14" s="64">
        <v>2.13</v>
      </c>
      <c r="G14" s="64">
        <v>75.489999999999995</v>
      </c>
      <c r="H14" s="64">
        <v>18.48</v>
      </c>
      <c r="I14" s="214" t="s">
        <v>43</v>
      </c>
      <c r="J14" s="64">
        <v>1.0900000000000001</v>
      </c>
      <c r="K14" s="64">
        <v>352.75</v>
      </c>
      <c r="L14" s="64">
        <v>19.48</v>
      </c>
      <c r="M14" s="64">
        <v>63.61</v>
      </c>
      <c r="N14" s="64">
        <v>78.099999999999994</v>
      </c>
      <c r="O14" s="64">
        <v>0</v>
      </c>
      <c r="P14" s="64">
        <v>0.8</v>
      </c>
      <c r="Q14" s="64">
        <v>9.74</v>
      </c>
      <c r="R14" s="198"/>
      <c r="S14" s="198"/>
      <c r="T14" s="198"/>
      <c r="U14" s="198"/>
    </row>
    <row r="15" spans="1:21" s="12" customFormat="1" x14ac:dyDescent="0.25">
      <c r="A15" s="213" t="s">
        <v>730</v>
      </c>
      <c r="B15" s="64">
        <v>39.33</v>
      </c>
      <c r="C15" s="64">
        <v>54.31</v>
      </c>
      <c r="D15" s="64">
        <v>58.54</v>
      </c>
      <c r="E15" s="64">
        <v>4.71</v>
      </c>
      <c r="F15" s="64">
        <v>2.13</v>
      </c>
      <c r="G15" s="64">
        <v>75.489999999999995</v>
      </c>
      <c r="H15" s="64">
        <v>18.48</v>
      </c>
      <c r="I15" s="214" t="s">
        <v>43</v>
      </c>
      <c r="J15" s="64">
        <v>0.77</v>
      </c>
      <c r="K15" s="64">
        <v>345.98</v>
      </c>
      <c r="L15" s="64">
        <v>19.39</v>
      </c>
      <c r="M15" s="64">
        <v>64.069999999999993</v>
      </c>
      <c r="N15" s="64">
        <v>78.400000000000006</v>
      </c>
      <c r="O15" s="64">
        <v>0</v>
      </c>
      <c r="P15" s="64">
        <v>0.79</v>
      </c>
      <c r="Q15" s="64">
        <v>9.74</v>
      </c>
      <c r="R15" s="198"/>
      <c r="S15" s="198"/>
      <c r="T15" s="198"/>
      <c r="U15" s="198"/>
    </row>
    <row r="16" spans="1:21" s="12" customFormat="1" x14ac:dyDescent="0.25">
      <c r="A16" s="213" t="s">
        <v>731</v>
      </c>
      <c r="B16" s="64">
        <v>37.32</v>
      </c>
      <c r="C16" s="64">
        <v>53.49</v>
      </c>
      <c r="D16" s="64">
        <v>56.49</v>
      </c>
      <c r="E16" s="64">
        <v>4.8600000000000003</v>
      </c>
      <c r="F16" s="64">
        <v>2.13</v>
      </c>
      <c r="G16" s="64">
        <v>75.790000000000006</v>
      </c>
      <c r="H16" s="64">
        <v>20.56</v>
      </c>
      <c r="I16" s="214" t="s">
        <v>43</v>
      </c>
      <c r="J16" s="64">
        <v>0.88</v>
      </c>
      <c r="K16" s="64">
        <v>349.81</v>
      </c>
      <c r="L16" s="64">
        <v>19.309999999999999</v>
      </c>
      <c r="M16" s="64">
        <v>64.22</v>
      </c>
      <c r="N16" s="64">
        <v>78.2</v>
      </c>
      <c r="O16" s="64">
        <v>0</v>
      </c>
      <c r="P16" s="64">
        <v>0.75</v>
      </c>
      <c r="Q16" s="64">
        <v>9.73</v>
      </c>
      <c r="R16" s="198"/>
      <c r="S16" s="198"/>
      <c r="T16" s="198"/>
      <c r="U16" s="198"/>
    </row>
    <row r="17" spans="1:21" s="12" customFormat="1" x14ac:dyDescent="0.25">
      <c r="A17" s="213" t="s">
        <v>732</v>
      </c>
      <c r="B17" s="64">
        <v>35.340000000000003</v>
      </c>
      <c r="C17" s="64">
        <v>51.28</v>
      </c>
      <c r="D17" s="64">
        <v>53.76</v>
      </c>
      <c r="E17" s="64">
        <v>4.67</v>
      </c>
      <c r="F17" s="64">
        <v>2.13</v>
      </c>
      <c r="G17" s="64">
        <v>78.53</v>
      </c>
      <c r="H17" s="64">
        <v>39.299999999999997</v>
      </c>
      <c r="I17" s="214" t="s">
        <v>43</v>
      </c>
      <c r="J17" s="64">
        <v>0.98</v>
      </c>
      <c r="K17" s="64">
        <v>352.4</v>
      </c>
      <c r="L17" s="64">
        <v>19.29</v>
      </c>
      <c r="M17" s="64">
        <v>64.260000000000005</v>
      </c>
      <c r="N17" s="64">
        <v>78.3</v>
      </c>
      <c r="O17" s="64">
        <v>0</v>
      </c>
      <c r="P17" s="64">
        <v>0.83</v>
      </c>
      <c r="Q17" s="64">
        <v>9.74</v>
      </c>
      <c r="R17" s="198"/>
      <c r="S17" s="198"/>
      <c r="T17" s="198"/>
      <c r="U17" s="198"/>
    </row>
    <row r="18" spans="1:21" s="12" customFormat="1" x14ac:dyDescent="0.25">
      <c r="A18" s="213" t="s">
        <v>733</v>
      </c>
      <c r="B18" s="64">
        <v>32.89</v>
      </c>
      <c r="C18" s="64">
        <v>52.55</v>
      </c>
      <c r="D18" s="64">
        <v>52.45</v>
      </c>
      <c r="E18" s="64">
        <v>4.84</v>
      </c>
      <c r="F18" s="64">
        <v>2.13</v>
      </c>
      <c r="G18" s="64">
        <v>78.53</v>
      </c>
      <c r="H18" s="64">
        <v>39.299999999999997</v>
      </c>
      <c r="I18" s="214" t="s">
        <v>43</v>
      </c>
      <c r="J18" s="64">
        <v>1.07</v>
      </c>
      <c r="K18" s="64">
        <v>352.46</v>
      </c>
      <c r="L18" s="64">
        <v>19.2</v>
      </c>
      <c r="M18" s="64">
        <v>64.900000000000006</v>
      </c>
      <c r="N18" s="64">
        <v>78.5</v>
      </c>
      <c r="O18" s="64">
        <v>0</v>
      </c>
      <c r="P18" s="64">
        <v>0.79</v>
      </c>
      <c r="Q18" s="64">
        <v>9.73</v>
      </c>
      <c r="R18" s="198"/>
      <c r="S18" s="198"/>
      <c r="T18" s="198"/>
      <c r="U18" s="198"/>
    </row>
    <row r="19" spans="1:21" s="12" customFormat="1" x14ac:dyDescent="0.25">
      <c r="A19" s="213" t="s">
        <v>734</v>
      </c>
      <c r="B19" s="64">
        <v>30.1</v>
      </c>
      <c r="C19" s="64">
        <v>52.94</v>
      </c>
      <c r="D19" s="64">
        <v>50.42</v>
      </c>
      <c r="E19" s="64">
        <v>5</v>
      </c>
      <c r="F19" s="64">
        <v>2.13</v>
      </c>
      <c r="G19" s="64">
        <v>78.53</v>
      </c>
      <c r="H19" s="64">
        <v>39.299999999999997</v>
      </c>
      <c r="I19" s="214" t="s">
        <v>43</v>
      </c>
      <c r="J19" s="64">
        <v>1.25</v>
      </c>
      <c r="K19" s="64">
        <v>351.21</v>
      </c>
      <c r="L19" s="64">
        <v>19.04</v>
      </c>
      <c r="M19" s="64">
        <v>65.7</v>
      </c>
      <c r="N19" s="64">
        <v>78.599999999999994</v>
      </c>
      <c r="O19" s="64">
        <v>0</v>
      </c>
      <c r="P19" s="64">
        <v>0.78</v>
      </c>
      <c r="Q19" s="64">
        <v>9.7200000000000006</v>
      </c>
      <c r="R19" s="198"/>
      <c r="S19" s="198"/>
      <c r="T19" s="198"/>
      <c r="U19" s="198"/>
    </row>
    <row r="20" spans="1:21" s="12" customFormat="1" x14ac:dyDescent="0.25">
      <c r="A20" s="213" t="s">
        <v>735</v>
      </c>
      <c r="B20" s="64">
        <v>27.3</v>
      </c>
      <c r="C20" s="64">
        <v>53.66</v>
      </c>
      <c r="D20" s="64">
        <v>48.55</v>
      </c>
      <c r="E20" s="64">
        <v>4.51</v>
      </c>
      <c r="F20" s="64">
        <v>2.13</v>
      </c>
      <c r="G20" s="64">
        <v>76.849999999999994</v>
      </c>
      <c r="H20" s="64">
        <v>35.78</v>
      </c>
      <c r="I20" s="214" t="s">
        <v>43</v>
      </c>
      <c r="J20" s="64">
        <v>1.4</v>
      </c>
      <c r="K20" s="64">
        <v>355.59</v>
      </c>
      <c r="L20" s="64">
        <v>18.940000000000001</v>
      </c>
      <c r="M20" s="64">
        <v>65.400000000000006</v>
      </c>
      <c r="N20" s="64">
        <v>78.599999999999994</v>
      </c>
      <c r="O20" s="64">
        <v>0</v>
      </c>
      <c r="P20" s="64">
        <v>0.73</v>
      </c>
      <c r="Q20" s="64">
        <v>9.7100000000000009</v>
      </c>
      <c r="R20" s="198"/>
      <c r="S20" s="198"/>
      <c r="T20" s="198"/>
      <c r="U20" s="198"/>
    </row>
    <row r="21" spans="1:21" s="12" customFormat="1" x14ac:dyDescent="0.25">
      <c r="A21" s="213" t="s">
        <v>736</v>
      </c>
      <c r="B21" s="64">
        <v>24.43</v>
      </c>
      <c r="C21" s="64">
        <v>54.56</v>
      </c>
      <c r="D21" s="64">
        <v>46.72</v>
      </c>
      <c r="E21" s="64">
        <v>4.9000000000000004</v>
      </c>
      <c r="F21" s="64">
        <v>2.13</v>
      </c>
      <c r="G21" s="64">
        <v>63.47</v>
      </c>
      <c r="H21" s="64">
        <v>4.0599999999999996</v>
      </c>
      <c r="I21" s="214" t="s">
        <v>43</v>
      </c>
      <c r="J21" s="64">
        <v>1.21</v>
      </c>
      <c r="K21" s="64">
        <v>354.13</v>
      </c>
      <c r="L21" s="64">
        <v>18.809999999999999</v>
      </c>
      <c r="M21" s="64">
        <v>65.569999999999993</v>
      </c>
      <c r="N21" s="64">
        <v>78.7</v>
      </c>
      <c r="O21" s="64">
        <v>0</v>
      </c>
      <c r="P21" s="64">
        <v>0.73</v>
      </c>
      <c r="Q21" s="64">
        <v>9.7100000000000009</v>
      </c>
      <c r="R21" s="198"/>
      <c r="S21" s="198"/>
      <c r="T21" s="198"/>
      <c r="U21" s="198"/>
    </row>
    <row r="22" spans="1:21" s="12" customFormat="1" x14ac:dyDescent="0.25">
      <c r="A22" s="213" t="s">
        <v>737</v>
      </c>
      <c r="B22" s="64">
        <v>21.72</v>
      </c>
      <c r="C22" s="64">
        <v>54.76</v>
      </c>
      <c r="D22" s="64">
        <v>44.65</v>
      </c>
      <c r="E22" s="64">
        <v>4.84</v>
      </c>
      <c r="F22" s="64">
        <v>2.13</v>
      </c>
      <c r="G22" s="64">
        <v>63.47</v>
      </c>
      <c r="H22" s="64">
        <v>4.0599999999999996</v>
      </c>
      <c r="I22" s="214" t="s">
        <v>43</v>
      </c>
      <c r="J22" s="64">
        <v>1.61</v>
      </c>
      <c r="K22" s="64">
        <v>352.05</v>
      </c>
      <c r="L22" s="64">
        <v>18.600000000000001</v>
      </c>
      <c r="M22" s="64">
        <v>66.91</v>
      </c>
      <c r="N22" s="64">
        <v>78.8</v>
      </c>
      <c r="O22" s="64">
        <v>0</v>
      </c>
      <c r="P22" s="64">
        <v>0.68</v>
      </c>
      <c r="Q22" s="64">
        <v>9.6999999999999993</v>
      </c>
      <c r="R22" s="198"/>
      <c r="S22" s="198"/>
      <c r="T22" s="198"/>
      <c r="U22" s="198"/>
    </row>
    <row r="23" spans="1:21" s="12" customFormat="1" x14ac:dyDescent="0.25">
      <c r="A23" s="213" t="s">
        <v>738</v>
      </c>
      <c r="B23" s="64">
        <v>18.989999999999998</v>
      </c>
      <c r="C23" s="64">
        <v>55.39</v>
      </c>
      <c r="D23" s="64">
        <v>42.79</v>
      </c>
      <c r="E23" s="64">
        <v>4.78</v>
      </c>
      <c r="F23" s="64">
        <v>2.13</v>
      </c>
      <c r="G23" s="64">
        <v>63.47</v>
      </c>
      <c r="H23" s="64">
        <v>4.0599999999999996</v>
      </c>
      <c r="I23" s="214" t="s">
        <v>43</v>
      </c>
      <c r="J23" s="64">
        <v>1.75</v>
      </c>
      <c r="K23" s="64">
        <v>353.99</v>
      </c>
      <c r="L23" s="64">
        <v>18.420000000000002</v>
      </c>
      <c r="M23" s="64">
        <v>67.83</v>
      </c>
      <c r="N23" s="64">
        <v>78.8</v>
      </c>
      <c r="O23" s="64">
        <v>0</v>
      </c>
      <c r="P23" s="64">
        <v>0.67</v>
      </c>
      <c r="Q23" s="64">
        <v>9.6999999999999993</v>
      </c>
      <c r="R23" s="198"/>
      <c r="S23" s="198"/>
      <c r="T23" s="198"/>
      <c r="U23" s="198"/>
    </row>
    <row r="24" spans="1:21" s="12" customFormat="1" x14ac:dyDescent="0.25">
      <c r="A24" s="213" t="s">
        <v>739</v>
      </c>
      <c r="B24" s="64">
        <v>16.559999999999999</v>
      </c>
      <c r="C24" s="64">
        <v>55.56</v>
      </c>
      <c r="D24" s="64">
        <v>40.93</v>
      </c>
      <c r="E24" s="64">
        <v>5.17</v>
      </c>
      <c r="F24" s="64">
        <v>2.13</v>
      </c>
      <c r="G24" s="64">
        <v>63.24</v>
      </c>
      <c r="H24" s="64">
        <v>6.33</v>
      </c>
      <c r="I24" s="214" t="s">
        <v>43</v>
      </c>
      <c r="J24" s="64">
        <v>1.82</v>
      </c>
      <c r="K24" s="64">
        <v>353.79</v>
      </c>
      <c r="L24" s="64">
        <v>18.260000000000002</v>
      </c>
      <c r="M24" s="64">
        <v>68.73</v>
      </c>
      <c r="N24" s="64">
        <v>78.8</v>
      </c>
      <c r="O24" s="64">
        <v>0</v>
      </c>
      <c r="P24" s="64">
        <v>0.64</v>
      </c>
      <c r="Q24" s="64">
        <v>9.68</v>
      </c>
      <c r="R24" s="198"/>
      <c r="S24" s="198"/>
      <c r="T24" s="198"/>
      <c r="U24" s="198"/>
    </row>
    <row r="25" spans="1:21" s="12" customFormat="1" x14ac:dyDescent="0.25">
      <c r="A25" s="213" t="s">
        <v>740</v>
      </c>
      <c r="B25" s="64">
        <v>14.93</v>
      </c>
      <c r="C25" s="64">
        <v>56.94</v>
      </c>
      <c r="D25" s="64">
        <v>40.340000000000003</v>
      </c>
      <c r="E25" s="64">
        <v>4.8600000000000003</v>
      </c>
      <c r="F25" s="64">
        <v>2.13</v>
      </c>
      <c r="G25" s="64">
        <v>61.16</v>
      </c>
      <c r="H25" s="64">
        <v>26.74</v>
      </c>
      <c r="I25" s="214" t="s">
        <v>43</v>
      </c>
      <c r="J25" s="64">
        <v>1.74</v>
      </c>
      <c r="K25" s="64">
        <v>354.8</v>
      </c>
      <c r="L25" s="64">
        <v>18.07</v>
      </c>
      <c r="M25" s="64">
        <v>69.349999999999994</v>
      </c>
      <c r="N25" s="64">
        <v>78.7</v>
      </c>
      <c r="O25" s="64">
        <v>0</v>
      </c>
      <c r="P25" s="64">
        <v>0.64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3" t="s">
        <v>741</v>
      </c>
      <c r="B26" s="64">
        <v>13.72</v>
      </c>
      <c r="C26" s="64">
        <v>55.8</v>
      </c>
      <c r="D26" s="64">
        <v>38.78</v>
      </c>
      <c r="E26" s="64">
        <v>5.15</v>
      </c>
      <c r="F26" s="64">
        <v>2.13</v>
      </c>
      <c r="G26" s="64">
        <v>61.16</v>
      </c>
      <c r="H26" s="64">
        <v>26.74</v>
      </c>
      <c r="I26" s="214" t="s">
        <v>43</v>
      </c>
      <c r="J26" s="64">
        <v>1.9</v>
      </c>
      <c r="K26" s="64">
        <v>356.35</v>
      </c>
      <c r="L26" s="64">
        <v>18.04</v>
      </c>
      <c r="M26" s="64">
        <v>68.62</v>
      </c>
      <c r="N26" s="64">
        <v>78.599999999999994</v>
      </c>
      <c r="O26" s="64">
        <v>0</v>
      </c>
      <c r="P26" s="64">
        <v>0.6</v>
      </c>
      <c r="Q26" s="64">
        <v>9.68</v>
      </c>
      <c r="R26" s="198"/>
      <c r="S26" s="198"/>
      <c r="T26" s="198"/>
      <c r="U26" s="198"/>
    </row>
    <row r="27" spans="1:21" s="12" customFormat="1" x14ac:dyDescent="0.25">
      <c r="A27" s="213" t="s">
        <v>742</v>
      </c>
      <c r="B27" s="64">
        <v>12.56</v>
      </c>
      <c r="C27" s="64">
        <v>56.75</v>
      </c>
      <c r="D27" s="64">
        <v>38.35</v>
      </c>
      <c r="E27" s="64">
        <v>5.53</v>
      </c>
      <c r="F27" s="64">
        <v>2.13</v>
      </c>
      <c r="G27" s="64">
        <v>61.16</v>
      </c>
      <c r="H27" s="64">
        <v>26.74</v>
      </c>
      <c r="I27" s="214" t="s">
        <v>43</v>
      </c>
      <c r="J27" s="64">
        <v>1.64</v>
      </c>
      <c r="K27" s="64">
        <v>355.43</v>
      </c>
      <c r="L27" s="64">
        <v>17.95</v>
      </c>
      <c r="M27" s="64">
        <v>68.66</v>
      </c>
      <c r="N27" s="64">
        <v>78.8</v>
      </c>
      <c r="O27" s="64">
        <v>0</v>
      </c>
      <c r="P27" s="64">
        <v>0.6</v>
      </c>
      <c r="Q27" s="64">
        <v>9.67</v>
      </c>
      <c r="R27" s="198"/>
      <c r="S27" s="198"/>
      <c r="T27" s="198"/>
      <c r="U27" s="198"/>
    </row>
    <row r="28" spans="1:21" s="12" customFormat="1" x14ac:dyDescent="0.25">
      <c r="A28" s="213" t="s">
        <v>743</v>
      </c>
      <c r="B28" s="64">
        <v>11.8</v>
      </c>
      <c r="C28" s="64">
        <v>58.21</v>
      </c>
      <c r="D28" s="64">
        <v>38.5</v>
      </c>
      <c r="E28" s="64">
        <v>5.64</v>
      </c>
      <c r="F28" s="64">
        <v>2.13</v>
      </c>
      <c r="G28" s="64">
        <v>61.67</v>
      </c>
      <c r="H28" s="64">
        <v>24.39</v>
      </c>
      <c r="I28" s="214" t="s">
        <v>43</v>
      </c>
      <c r="J28" s="64">
        <v>2.06</v>
      </c>
      <c r="K28" s="64">
        <v>354.46</v>
      </c>
      <c r="L28" s="64">
        <v>17.809999999999999</v>
      </c>
      <c r="M28" s="64">
        <v>68.28</v>
      </c>
      <c r="N28" s="64">
        <v>78.400000000000006</v>
      </c>
      <c r="O28" s="64">
        <v>0</v>
      </c>
      <c r="P28" s="64">
        <v>0.59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3" t="s">
        <v>744</v>
      </c>
      <c r="B29" s="64">
        <v>10.84</v>
      </c>
      <c r="C29" s="64">
        <v>58.38</v>
      </c>
      <c r="D29" s="64">
        <v>37.82</v>
      </c>
      <c r="E29" s="64">
        <v>5.58</v>
      </c>
      <c r="F29" s="64">
        <v>2.13</v>
      </c>
      <c r="G29" s="64">
        <v>66.209999999999994</v>
      </c>
      <c r="H29" s="64">
        <v>3.21</v>
      </c>
      <c r="I29" s="214" t="s">
        <v>43</v>
      </c>
      <c r="J29" s="64">
        <v>1.64</v>
      </c>
      <c r="K29" s="64">
        <v>355.26</v>
      </c>
      <c r="L29" s="64">
        <v>17.73</v>
      </c>
      <c r="M29" s="64">
        <v>67.569999999999993</v>
      </c>
      <c r="N29" s="64">
        <v>78.3</v>
      </c>
      <c r="O29" s="64">
        <v>0</v>
      </c>
      <c r="P29" s="64">
        <v>0.56999999999999995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3" t="s">
        <v>745</v>
      </c>
      <c r="B30" s="64">
        <v>9.74</v>
      </c>
      <c r="C30" s="64">
        <v>58.15</v>
      </c>
      <c r="D30" s="64">
        <v>36.81</v>
      </c>
      <c r="E30" s="64">
        <v>5.62</v>
      </c>
      <c r="F30" s="64">
        <v>2.13</v>
      </c>
      <c r="G30" s="64">
        <v>66.209999999999994</v>
      </c>
      <c r="H30" s="64">
        <v>3.21</v>
      </c>
      <c r="I30" s="214" t="s">
        <v>43</v>
      </c>
      <c r="J30" s="64">
        <v>1.68</v>
      </c>
      <c r="K30" s="64">
        <v>356.53</v>
      </c>
      <c r="L30" s="64">
        <v>17.57</v>
      </c>
      <c r="M30" s="64">
        <v>68.14</v>
      </c>
      <c r="N30" s="64">
        <v>78.3</v>
      </c>
      <c r="O30" s="64">
        <v>0</v>
      </c>
      <c r="P30" s="64">
        <v>0.53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3" t="s">
        <v>746</v>
      </c>
      <c r="B31" s="64">
        <v>8.7899999999999991</v>
      </c>
      <c r="C31" s="64">
        <v>57.78</v>
      </c>
      <c r="D31" s="64">
        <v>35.86</v>
      </c>
      <c r="E31" s="64">
        <v>5.45</v>
      </c>
      <c r="F31" s="64">
        <v>2.13</v>
      </c>
      <c r="G31" s="64">
        <v>66.209999999999994</v>
      </c>
      <c r="H31" s="64">
        <v>3.21</v>
      </c>
      <c r="I31" s="214" t="s">
        <v>43</v>
      </c>
      <c r="J31" s="64">
        <v>1.67</v>
      </c>
      <c r="K31" s="64">
        <v>354.77</v>
      </c>
      <c r="L31" s="64">
        <v>17.47</v>
      </c>
      <c r="M31" s="64">
        <v>67.88</v>
      </c>
      <c r="N31" s="64">
        <v>78.400000000000006</v>
      </c>
      <c r="O31" s="64">
        <v>0</v>
      </c>
      <c r="P31" s="64">
        <v>0.51</v>
      </c>
      <c r="Q31" s="64">
        <v>9.59</v>
      </c>
      <c r="R31" s="198"/>
      <c r="S31" s="198"/>
      <c r="T31" s="198"/>
      <c r="U31" s="198"/>
    </row>
    <row r="32" spans="1:21" s="12" customFormat="1" x14ac:dyDescent="0.25">
      <c r="A32" s="213" t="s">
        <v>747</v>
      </c>
      <c r="B32" s="64">
        <v>7.96</v>
      </c>
      <c r="C32" s="64">
        <v>56.3</v>
      </c>
      <c r="D32" s="64">
        <v>34.42</v>
      </c>
      <c r="E32" s="64">
        <v>5.49</v>
      </c>
      <c r="F32" s="64">
        <v>2.13</v>
      </c>
      <c r="G32" s="64">
        <v>66.349999999999994</v>
      </c>
      <c r="H32" s="64">
        <v>6.53</v>
      </c>
      <c r="I32" s="214" t="s">
        <v>43</v>
      </c>
      <c r="J32" s="64">
        <v>1.1599999999999999</v>
      </c>
      <c r="K32" s="64">
        <v>358.8</v>
      </c>
      <c r="L32" s="64">
        <v>17.21</v>
      </c>
      <c r="M32" s="64">
        <v>69.38</v>
      </c>
      <c r="N32" s="64">
        <v>78.5</v>
      </c>
      <c r="O32" s="64">
        <v>0</v>
      </c>
      <c r="P32" s="64">
        <v>0.51</v>
      </c>
      <c r="Q32" s="64">
        <v>9.57</v>
      </c>
      <c r="R32" s="198"/>
      <c r="S32" s="198"/>
      <c r="T32" s="198"/>
      <c r="U32" s="198"/>
    </row>
    <row r="33" spans="1:21" s="12" customFormat="1" x14ac:dyDescent="0.25">
      <c r="A33" s="213" t="s">
        <v>748</v>
      </c>
      <c r="B33" s="64">
        <v>7.5</v>
      </c>
      <c r="C33" s="64">
        <v>54.5</v>
      </c>
      <c r="D33" s="64">
        <v>33.11</v>
      </c>
      <c r="E33" s="64">
        <v>5.41</v>
      </c>
      <c r="F33" s="64">
        <v>2.13</v>
      </c>
      <c r="G33" s="64">
        <v>67.66</v>
      </c>
      <c r="H33" s="64">
        <v>36.39</v>
      </c>
      <c r="I33" s="214" t="s">
        <v>43</v>
      </c>
      <c r="J33" s="64">
        <v>1.46</v>
      </c>
      <c r="K33" s="64">
        <v>354.3</v>
      </c>
      <c r="L33" s="64">
        <v>17.010000000000002</v>
      </c>
      <c r="M33" s="64">
        <v>70.81</v>
      </c>
      <c r="N33" s="64">
        <v>78.599999999999994</v>
      </c>
      <c r="O33" s="64">
        <v>0</v>
      </c>
      <c r="P33" s="64">
        <v>0.5</v>
      </c>
      <c r="Q33" s="64">
        <v>9.57</v>
      </c>
      <c r="R33" s="198"/>
      <c r="S33" s="198"/>
      <c r="T33" s="198"/>
      <c r="U33" s="198"/>
    </row>
    <row r="34" spans="1:21" s="12" customFormat="1" x14ac:dyDescent="0.25">
      <c r="A34" s="213" t="s">
        <v>749</v>
      </c>
      <c r="B34" s="64">
        <v>7.34</v>
      </c>
      <c r="C34" s="64">
        <v>51.76</v>
      </c>
      <c r="D34" s="64">
        <v>31.55</v>
      </c>
      <c r="E34" s="64">
        <v>4.91</v>
      </c>
      <c r="F34" s="64">
        <v>2.13</v>
      </c>
      <c r="G34" s="64">
        <v>67.66</v>
      </c>
      <c r="H34" s="64">
        <v>36.39</v>
      </c>
      <c r="I34" s="214" t="s">
        <v>43</v>
      </c>
      <c r="J34" s="64">
        <v>1.19</v>
      </c>
      <c r="K34" s="64">
        <v>352.95</v>
      </c>
      <c r="L34" s="64">
        <v>16.82</v>
      </c>
      <c r="M34" s="64">
        <v>71.86</v>
      </c>
      <c r="N34" s="64">
        <v>79</v>
      </c>
      <c r="O34" s="64">
        <v>0</v>
      </c>
      <c r="P34" s="64">
        <v>0.51</v>
      </c>
      <c r="Q34" s="64">
        <v>9.58</v>
      </c>
      <c r="R34" s="198"/>
      <c r="S34" s="198"/>
      <c r="T34" s="198"/>
      <c r="U34" s="198"/>
    </row>
    <row r="35" spans="1:21" s="12" customFormat="1" x14ac:dyDescent="0.25">
      <c r="A35" s="213" t="s">
        <v>750</v>
      </c>
      <c r="B35" s="64">
        <v>7.24</v>
      </c>
      <c r="C35" s="64">
        <v>51.99</v>
      </c>
      <c r="D35" s="64">
        <v>31.6</v>
      </c>
      <c r="E35" s="64">
        <v>5.05</v>
      </c>
      <c r="F35" s="64">
        <v>2.13</v>
      </c>
      <c r="G35" s="64">
        <v>67.66</v>
      </c>
      <c r="H35" s="64">
        <v>36.39</v>
      </c>
      <c r="I35" s="214" t="s">
        <v>43</v>
      </c>
      <c r="J35" s="64">
        <v>1.35</v>
      </c>
      <c r="K35" s="64">
        <v>352.3</v>
      </c>
      <c r="L35" s="64">
        <v>16.739999999999998</v>
      </c>
      <c r="M35" s="64">
        <v>72.459999999999994</v>
      </c>
      <c r="N35" s="64">
        <v>82</v>
      </c>
      <c r="O35" s="64">
        <v>0</v>
      </c>
      <c r="P35" s="64">
        <v>0.51</v>
      </c>
      <c r="Q35" s="64">
        <v>9.58</v>
      </c>
      <c r="R35" s="198"/>
      <c r="S35" s="198"/>
      <c r="T35" s="198"/>
      <c r="U35" s="198"/>
    </row>
    <row r="36" spans="1:21" s="12" customFormat="1" x14ac:dyDescent="0.25">
      <c r="A36" s="213" t="s">
        <v>751</v>
      </c>
      <c r="B36" s="64">
        <v>7.11</v>
      </c>
      <c r="C36" s="64">
        <v>51.88</v>
      </c>
      <c r="D36" s="64">
        <v>31.43</v>
      </c>
      <c r="E36" s="64">
        <v>5.22</v>
      </c>
      <c r="F36" s="64">
        <v>2.13</v>
      </c>
      <c r="G36" s="64">
        <v>66.930000000000007</v>
      </c>
      <c r="H36" s="64">
        <v>35.409999999999997</v>
      </c>
      <c r="I36" s="214" t="s">
        <v>43</v>
      </c>
      <c r="J36" s="64">
        <v>1.1299999999999999</v>
      </c>
      <c r="K36" s="64">
        <v>353.2</v>
      </c>
      <c r="L36" s="64">
        <v>16.72</v>
      </c>
      <c r="M36" s="64">
        <v>72.87</v>
      </c>
      <c r="N36" s="64">
        <v>91.1</v>
      </c>
      <c r="O36" s="64">
        <v>0</v>
      </c>
      <c r="P36" s="64">
        <v>0.5</v>
      </c>
      <c r="Q36" s="64">
        <v>9.58</v>
      </c>
      <c r="R36" s="198"/>
      <c r="S36" s="198"/>
      <c r="T36" s="198"/>
      <c r="U36" s="198"/>
    </row>
    <row r="37" spans="1:21" s="12" customFormat="1" x14ac:dyDescent="0.25">
      <c r="A37" s="213" t="s">
        <v>752</v>
      </c>
      <c r="B37" s="64">
        <v>7.52</v>
      </c>
      <c r="C37" s="64">
        <v>52.44</v>
      </c>
      <c r="D37" s="64">
        <v>32.049999999999997</v>
      </c>
      <c r="E37" s="64">
        <v>5.25</v>
      </c>
      <c r="F37" s="64">
        <v>2.13</v>
      </c>
      <c r="G37" s="64">
        <v>60.34</v>
      </c>
      <c r="H37" s="64">
        <v>26.64</v>
      </c>
      <c r="I37" s="214" t="s">
        <v>43</v>
      </c>
      <c r="J37" s="64">
        <v>1.23</v>
      </c>
      <c r="K37" s="64">
        <v>356.65</v>
      </c>
      <c r="L37" s="64">
        <v>16.7</v>
      </c>
      <c r="M37" s="64">
        <v>73.55</v>
      </c>
      <c r="N37" s="64">
        <v>104.2</v>
      </c>
      <c r="O37" s="64">
        <v>0</v>
      </c>
      <c r="P37" s="64">
        <v>0.53</v>
      </c>
      <c r="Q37" s="64">
        <v>9.57</v>
      </c>
      <c r="R37" s="198"/>
      <c r="S37" s="198"/>
      <c r="T37" s="198"/>
      <c r="U37" s="198"/>
    </row>
    <row r="38" spans="1:21" s="12" customFormat="1" x14ac:dyDescent="0.25">
      <c r="A38" s="213" t="s">
        <v>753</v>
      </c>
      <c r="B38" s="64">
        <v>8.11</v>
      </c>
      <c r="C38" s="64">
        <v>52.76</v>
      </c>
      <c r="D38" s="64">
        <v>32.69</v>
      </c>
      <c r="E38" s="64">
        <v>4.67</v>
      </c>
      <c r="F38" s="64">
        <v>2.13</v>
      </c>
      <c r="G38" s="64">
        <v>60.34</v>
      </c>
      <c r="H38" s="64">
        <v>26.64</v>
      </c>
      <c r="I38" s="214" t="s">
        <v>43</v>
      </c>
      <c r="J38" s="64">
        <v>1.22</v>
      </c>
      <c r="K38" s="64">
        <v>358.55</v>
      </c>
      <c r="L38" s="64">
        <v>16.86</v>
      </c>
      <c r="M38" s="64">
        <v>73.08</v>
      </c>
      <c r="N38" s="64">
        <v>120.7</v>
      </c>
      <c r="O38" s="64">
        <v>0</v>
      </c>
      <c r="P38" s="64">
        <v>0.55000000000000004</v>
      </c>
      <c r="Q38" s="64">
        <v>9.59</v>
      </c>
      <c r="R38" s="198"/>
      <c r="S38" s="198"/>
      <c r="T38" s="198"/>
      <c r="U38" s="198"/>
    </row>
    <row r="39" spans="1:21" s="12" customFormat="1" x14ac:dyDescent="0.25">
      <c r="A39" s="213" t="s">
        <v>754</v>
      </c>
      <c r="B39" s="64">
        <v>8.57</v>
      </c>
      <c r="C39" s="64">
        <v>53.62</v>
      </c>
      <c r="D39" s="64">
        <v>33.51</v>
      </c>
      <c r="E39" s="64">
        <v>4.5999999999999996</v>
      </c>
      <c r="F39" s="64">
        <v>2.13</v>
      </c>
      <c r="G39" s="64">
        <v>60.34</v>
      </c>
      <c r="H39" s="64">
        <v>26.64</v>
      </c>
      <c r="I39" s="214" t="s">
        <v>43</v>
      </c>
      <c r="J39" s="64">
        <v>1.28</v>
      </c>
      <c r="K39" s="64">
        <v>352.81</v>
      </c>
      <c r="L39" s="64">
        <v>17.38</v>
      </c>
      <c r="M39" s="64">
        <v>70.599999999999994</v>
      </c>
      <c r="N39" s="64">
        <v>163.5</v>
      </c>
      <c r="O39" s="64">
        <v>0</v>
      </c>
      <c r="P39" s="64">
        <v>0.56000000000000005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3" t="s">
        <v>755</v>
      </c>
      <c r="B40" s="64">
        <v>8.82</v>
      </c>
      <c r="C40" s="64">
        <v>54.16</v>
      </c>
      <c r="D40" s="64">
        <v>33.99</v>
      </c>
      <c r="E40" s="64">
        <v>5.58</v>
      </c>
      <c r="F40" s="64">
        <v>2.13</v>
      </c>
      <c r="G40" s="64">
        <v>60.42</v>
      </c>
      <c r="H40" s="64">
        <v>26.88</v>
      </c>
      <c r="I40" s="214" t="s">
        <v>43</v>
      </c>
      <c r="J40" s="64">
        <v>1.43</v>
      </c>
      <c r="K40" s="64">
        <v>354.73</v>
      </c>
      <c r="L40" s="64">
        <v>18.559999999999999</v>
      </c>
      <c r="M40" s="64">
        <v>65.25</v>
      </c>
      <c r="N40" s="64">
        <v>212.8</v>
      </c>
      <c r="O40" s="64">
        <v>0</v>
      </c>
      <c r="P40" s="64">
        <v>0.56000000000000005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3" t="s">
        <v>756</v>
      </c>
      <c r="B41" s="64">
        <v>9.08</v>
      </c>
      <c r="C41" s="64">
        <v>54.52</v>
      </c>
      <c r="D41" s="64">
        <v>34.39</v>
      </c>
      <c r="E41" s="64">
        <v>6.29</v>
      </c>
      <c r="F41" s="64">
        <v>2.13</v>
      </c>
      <c r="G41" s="64">
        <v>61.2</v>
      </c>
      <c r="H41" s="64">
        <v>28.78</v>
      </c>
      <c r="I41" s="214" t="s">
        <v>43</v>
      </c>
      <c r="J41" s="64">
        <v>0.73</v>
      </c>
      <c r="K41" s="64">
        <v>25.6</v>
      </c>
      <c r="L41" s="64">
        <v>19.010000000000002</v>
      </c>
      <c r="M41" s="64">
        <v>63.11</v>
      </c>
      <c r="N41" s="64">
        <v>255.8</v>
      </c>
      <c r="O41" s="64">
        <v>0</v>
      </c>
      <c r="P41" s="64">
        <v>0.56000000000000005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3" t="s">
        <v>757</v>
      </c>
      <c r="B42" s="64">
        <v>9.15</v>
      </c>
      <c r="C42" s="64">
        <v>55</v>
      </c>
      <c r="D42" s="64">
        <v>34.700000000000003</v>
      </c>
      <c r="E42" s="64">
        <v>6.62</v>
      </c>
      <c r="F42" s="64">
        <v>2.13</v>
      </c>
      <c r="G42" s="64">
        <v>61.2</v>
      </c>
      <c r="H42" s="64">
        <v>28.78</v>
      </c>
      <c r="I42" s="214" t="s">
        <v>43</v>
      </c>
      <c r="J42" s="64">
        <v>1.3</v>
      </c>
      <c r="K42" s="64">
        <v>357.45</v>
      </c>
      <c r="L42" s="64">
        <v>20.059999999999999</v>
      </c>
      <c r="M42" s="64">
        <v>58.63</v>
      </c>
      <c r="N42" s="64">
        <v>295.60000000000002</v>
      </c>
      <c r="O42" s="64">
        <v>0</v>
      </c>
      <c r="P42" s="64">
        <v>0.56999999999999995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3" t="s">
        <v>758</v>
      </c>
      <c r="B43" s="64">
        <v>9.0299999999999994</v>
      </c>
      <c r="C43" s="64">
        <v>52.09</v>
      </c>
      <c r="D43" s="64">
        <v>33.08</v>
      </c>
      <c r="E43" s="64">
        <v>6.19</v>
      </c>
      <c r="F43" s="64">
        <v>2.13</v>
      </c>
      <c r="G43" s="64">
        <v>61.2</v>
      </c>
      <c r="H43" s="64">
        <v>28.78</v>
      </c>
      <c r="I43" s="214" t="s">
        <v>43</v>
      </c>
      <c r="J43" s="64">
        <v>0.89</v>
      </c>
      <c r="K43" s="64">
        <v>63.89</v>
      </c>
      <c r="L43" s="64">
        <v>20.14</v>
      </c>
      <c r="M43" s="64">
        <v>57.59</v>
      </c>
      <c r="N43" s="64">
        <v>338</v>
      </c>
      <c r="O43" s="64">
        <v>0</v>
      </c>
      <c r="P43" s="64">
        <v>0.56000000000000005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3" t="s">
        <v>759</v>
      </c>
      <c r="B44" s="64">
        <v>8.75</v>
      </c>
      <c r="C44" s="64">
        <v>53.48</v>
      </c>
      <c r="D44" s="64">
        <v>33.58</v>
      </c>
      <c r="E44" s="64">
        <v>6.46</v>
      </c>
      <c r="F44" s="64">
        <v>2.13</v>
      </c>
      <c r="G44" s="64">
        <v>61.01</v>
      </c>
      <c r="H44" s="64">
        <v>28.56</v>
      </c>
      <c r="I44" s="214" t="s">
        <v>43</v>
      </c>
      <c r="J44" s="64">
        <v>1.37</v>
      </c>
      <c r="K44" s="64">
        <v>356.07</v>
      </c>
      <c r="L44" s="64">
        <v>21.18</v>
      </c>
      <c r="M44" s="64">
        <v>53.87</v>
      </c>
      <c r="N44" s="64">
        <v>375.5</v>
      </c>
      <c r="O44" s="64">
        <v>0</v>
      </c>
      <c r="P44" s="64">
        <v>0.59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3" t="s">
        <v>760</v>
      </c>
      <c r="B45" s="64">
        <v>8.74</v>
      </c>
      <c r="C45" s="64">
        <v>54.73</v>
      </c>
      <c r="D45" s="64">
        <v>34.229999999999997</v>
      </c>
      <c r="E45" s="64">
        <v>6.58</v>
      </c>
      <c r="F45" s="64">
        <v>2.13</v>
      </c>
      <c r="G45" s="64">
        <v>59.3</v>
      </c>
      <c r="H45" s="64">
        <v>26.75</v>
      </c>
      <c r="I45" s="214" t="s">
        <v>43</v>
      </c>
      <c r="J45" s="64">
        <v>0.87</v>
      </c>
      <c r="K45" s="64">
        <v>23.66</v>
      </c>
      <c r="L45" s="64">
        <v>21.67</v>
      </c>
      <c r="M45" s="64">
        <v>52.1</v>
      </c>
      <c r="N45" s="64">
        <v>414.8</v>
      </c>
      <c r="O45" s="64">
        <v>0</v>
      </c>
      <c r="P45" s="64">
        <v>0.56999999999999995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3" t="s">
        <v>761</v>
      </c>
      <c r="B46" s="64">
        <v>8.61</v>
      </c>
      <c r="C46" s="64">
        <v>55.56</v>
      </c>
      <c r="D46" s="64">
        <v>34.56</v>
      </c>
      <c r="E46" s="64">
        <v>6.77</v>
      </c>
      <c r="F46" s="64">
        <v>2.13</v>
      </c>
      <c r="G46" s="64">
        <v>59.3</v>
      </c>
      <c r="H46" s="64">
        <v>26.75</v>
      </c>
      <c r="I46" s="214" t="s">
        <v>43</v>
      </c>
      <c r="J46" s="64">
        <v>1.28</v>
      </c>
      <c r="K46" s="64">
        <v>0.12</v>
      </c>
      <c r="L46" s="64">
        <v>22.66</v>
      </c>
      <c r="M46" s="64">
        <v>49.22</v>
      </c>
      <c r="N46" s="64">
        <v>442</v>
      </c>
      <c r="O46" s="64">
        <v>0</v>
      </c>
      <c r="P46" s="64">
        <v>0.56999999999999995</v>
      </c>
      <c r="Q46" s="64">
        <v>9.59</v>
      </c>
      <c r="R46" s="198"/>
      <c r="S46" s="198"/>
      <c r="T46" s="198"/>
      <c r="U46" s="198"/>
    </row>
    <row r="47" spans="1:21" s="12" customFormat="1" x14ac:dyDescent="0.25">
      <c r="A47" s="213" t="s">
        <v>762</v>
      </c>
      <c r="B47" s="64">
        <v>8.31</v>
      </c>
      <c r="C47" s="64">
        <v>56.14</v>
      </c>
      <c r="D47" s="64">
        <v>34.619999999999997</v>
      </c>
      <c r="E47" s="64">
        <v>6.87</v>
      </c>
      <c r="F47" s="64">
        <v>2.13</v>
      </c>
      <c r="G47" s="64">
        <v>59.3</v>
      </c>
      <c r="H47" s="64">
        <v>26.75</v>
      </c>
      <c r="I47" s="214" t="s">
        <v>43</v>
      </c>
      <c r="J47" s="64">
        <v>0.86</v>
      </c>
      <c r="K47" s="64">
        <v>14.82</v>
      </c>
      <c r="L47" s="64">
        <v>23.31</v>
      </c>
      <c r="M47" s="64">
        <v>46.98</v>
      </c>
      <c r="N47" s="64">
        <v>466.5</v>
      </c>
      <c r="O47" s="64">
        <v>0</v>
      </c>
      <c r="P47" s="64">
        <v>0.57999999999999996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3" t="s">
        <v>763</v>
      </c>
      <c r="B48" s="64">
        <v>8.06</v>
      </c>
      <c r="C48" s="64">
        <v>56.46</v>
      </c>
      <c r="D48" s="64">
        <v>34.58</v>
      </c>
      <c r="E48" s="64">
        <v>6.75</v>
      </c>
      <c r="F48" s="64">
        <v>2.13</v>
      </c>
      <c r="G48" s="64">
        <v>59.15</v>
      </c>
      <c r="H48" s="64">
        <v>26.27</v>
      </c>
      <c r="I48" s="214" t="s">
        <v>43</v>
      </c>
      <c r="J48" s="64">
        <v>0.83</v>
      </c>
      <c r="K48" s="64">
        <v>12.06</v>
      </c>
      <c r="L48" s="64">
        <v>23.6</v>
      </c>
      <c r="M48" s="64">
        <v>46.4</v>
      </c>
      <c r="N48" s="64">
        <v>489.7</v>
      </c>
      <c r="O48" s="64">
        <v>0</v>
      </c>
      <c r="P48" s="64">
        <v>0.59</v>
      </c>
      <c r="Q48" s="64">
        <v>9.57</v>
      </c>
      <c r="R48" s="198"/>
      <c r="S48" s="198"/>
      <c r="T48" s="198"/>
      <c r="U48" s="198"/>
    </row>
    <row r="49" spans="1:21" s="12" customFormat="1" x14ac:dyDescent="0.25">
      <c r="A49" s="213" t="s">
        <v>764</v>
      </c>
      <c r="B49" s="64">
        <v>7.82</v>
      </c>
      <c r="C49" s="64">
        <v>56.62</v>
      </c>
      <c r="D49" s="64">
        <v>34.479999999999997</v>
      </c>
      <c r="E49" s="64">
        <v>6.78</v>
      </c>
      <c r="F49" s="64">
        <v>2.13</v>
      </c>
      <c r="G49" s="64">
        <v>57.75</v>
      </c>
      <c r="H49" s="64">
        <v>21.94</v>
      </c>
      <c r="I49" s="214" t="s">
        <v>43</v>
      </c>
      <c r="J49" s="64">
        <v>1.69</v>
      </c>
      <c r="K49" s="64">
        <v>349.45</v>
      </c>
      <c r="L49" s="64">
        <v>25.61</v>
      </c>
      <c r="M49" s="64">
        <v>41.02</v>
      </c>
      <c r="N49" s="64">
        <v>512.1</v>
      </c>
      <c r="O49" s="64">
        <v>0</v>
      </c>
      <c r="P49" s="64">
        <v>0.59</v>
      </c>
      <c r="Q49" s="64">
        <v>9.57</v>
      </c>
      <c r="R49" s="198"/>
      <c r="S49" s="198"/>
      <c r="T49" s="198"/>
      <c r="U49" s="198"/>
    </row>
    <row r="50" spans="1:21" s="12" customFormat="1" x14ac:dyDescent="0.25">
      <c r="A50" s="213" t="s">
        <v>765</v>
      </c>
      <c r="B50" s="64">
        <v>7.78</v>
      </c>
      <c r="C50" s="64">
        <v>58.3</v>
      </c>
      <c r="D50" s="64">
        <v>35.32</v>
      </c>
      <c r="E50" s="64">
        <v>6.85</v>
      </c>
      <c r="F50" s="64">
        <v>2.13</v>
      </c>
      <c r="G50" s="64">
        <v>57.75</v>
      </c>
      <c r="H50" s="64">
        <v>21.94</v>
      </c>
      <c r="I50" s="214" t="s">
        <v>43</v>
      </c>
      <c r="J50" s="64">
        <v>1.1100000000000001</v>
      </c>
      <c r="K50" s="64">
        <v>5.3</v>
      </c>
      <c r="L50" s="64">
        <v>25.53</v>
      </c>
      <c r="M50" s="64">
        <v>41.24</v>
      </c>
      <c r="N50" s="64">
        <v>528.70000000000005</v>
      </c>
      <c r="O50" s="64">
        <v>0</v>
      </c>
      <c r="P50" s="64">
        <v>0.59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13" t="s">
        <v>766</v>
      </c>
      <c r="B51" s="64">
        <v>7.49</v>
      </c>
      <c r="C51" s="64">
        <v>59.6</v>
      </c>
      <c r="D51" s="64">
        <v>35.770000000000003</v>
      </c>
      <c r="E51" s="64">
        <v>6.73</v>
      </c>
      <c r="F51" s="64">
        <v>2.13</v>
      </c>
      <c r="G51" s="64">
        <v>57.75</v>
      </c>
      <c r="H51" s="64">
        <v>21.94</v>
      </c>
      <c r="I51" s="214" t="s">
        <v>43</v>
      </c>
      <c r="J51" s="64">
        <v>0.59</v>
      </c>
      <c r="K51" s="64">
        <v>28.81</v>
      </c>
      <c r="L51" s="64">
        <v>24.95</v>
      </c>
      <c r="M51" s="64">
        <v>42.18</v>
      </c>
      <c r="N51" s="64">
        <v>536.4</v>
      </c>
      <c r="O51" s="64">
        <v>0</v>
      </c>
      <c r="P51" s="64">
        <v>0.57999999999999996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3" t="s">
        <v>767</v>
      </c>
      <c r="B52" s="64">
        <v>7.04</v>
      </c>
      <c r="C52" s="64">
        <v>58.79</v>
      </c>
      <c r="D52" s="64">
        <v>34.99</v>
      </c>
      <c r="E52" s="64">
        <v>6.35</v>
      </c>
      <c r="F52" s="64">
        <v>2.13</v>
      </c>
      <c r="G52" s="64">
        <v>58.18</v>
      </c>
      <c r="H52" s="64">
        <v>20.27</v>
      </c>
      <c r="I52" s="214" t="s">
        <v>43</v>
      </c>
      <c r="J52" s="64">
        <v>1.73</v>
      </c>
      <c r="K52" s="64">
        <v>347.28</v>
      </c>
      <c r="L52" s="64">
        <v>26.57</v>
      </c>
      <c r="M52" s="64">
        <v>38.74</v>
      </c>
      <c r="N52" s="64">
        <v>539.29999999999995</v>
      </c>
      <c r="O52" s="64">
        <v>0</v>
      </c>
      <c r="P52" s="64">
        <v>0.59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13" t="s">
        <v>768</v>
      </c>
      <c r="B53" s="64">
        <v>6.7</v>
      </c>
      <c r="C53" s="64">
        <v>58.97</v>
      </c>
      <c r="D53" s="64">
        <v>34.799999999999997</v>
      </c>
      <c r="E53" s="64">
        <v>7.2</v>
      </c>
      <c r="F53" s="64">
        <v>2.13</v>
      </c>
      <c r="G53" s="64">
        <v>61.56</v>
      </c>
      <c r="H53" s="64">
        <v>5.27</v>
      </c>
      <c r="I53" s="214" t="s">
        <v>43</v>
      </c>
      <c r="J53" s="64">
        <v>1.24</v>
      </c>
      <c r="K53" s="64">
        <v>358.01</v>
      </c>
      <c r="L53" s="64">
        <v>27.6</v>
      </c>
      <c r="M53" s="64">
        <v>36.96</v>
      </c>
      <c r="N53" s="64">
        <v>539.20000000000005</v>
      </c>
      <c r="O53" s="64">
        <v>0</v>
      </c>
      <c r="P53" s="64">
        <v>0.59</v>
      </c>
      <c r="Q53" s="64">
        <v>9.59</v>
      </c>
      <c r="R53" s="198"/>
      <c r="S53" s="198"/>
      <c r="T53" s="198"/>
      <c r="U53" s="198"/>
    </row>
    <row r="54" spans="1:21" s="12" customFormat="1" x14ac:dyDescent="0.25">
      <c r="A54" s="213" t="s">
        <v>769</v>
      </c>
      <c r="B54" s="64">
        <v>6.38</v>
      </c>
      <c r="C54" s="64">
        <v>58.49</v>
      </c>
      <c r="D54" s="64">
        <v>34.299999999999997</v>
      </c>
      <c r="E54" s="64">
        <v>6.52</v>
      </c>
      <c r="F54" s="64">
        <v>2.13</v>
      </c>
      <c r="G54" s="64">
        <v>61.56</v>
      </c>
      <c r="H54" s="64">
        <v>5.27</v>
      </c>
      <c r="I54" s="214" t="s">
        <v>43</v>
      </c>
      <c r="J54" s="64">
        <v>0.74</v>
      </c>
      <c r="K54" s="64">
        <v>63.04</v>
      </c>
      <c r="L54" s="64">
        <v>25.33</v>
      </c>
      <c r="M54" s="64">
        <v>42.03</v>
      </c>
      <c r="N54" s="64">
        <v>542.20000000000005</v>
      </c>
      <c r="O54" s="64">
        <v>0</v>
      </c>
      <c r="P54" s="64">
        <v>0.59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3" t="s">
        <v>770</v>
      </c>
      <c r="B55" s="64">
        <v>6.08</v>
      </c>
      <c r="C55" s="64">
        <v>58.44</v>
      </c>
      <c r="D55" s="64">
        <v>34.03</v>
      </c>
      <c r="E55" s="64">
        <v>6.48</v>
      </c>
      <c r="F55" s="64">
        <v>2.13</v>
      </c>
      <c r="G55" s="64">
        <v>61.56</v>
      </c>
      <c r="H55" s="64">
        <v>5.27</v>
      </c>
      <c r="I55" s="214" t="s">
        <v>43</v>
      </c>
      <c r="J55" s="64">
        <v>0.65</v>
      </c>
      <c r="K55" s="64">
        <v>46.69</v>
      </c>
      <c r="L55" s="64">
        <v>25.84</v>
      </c>
      <c r="M55" s="64">
        <v>40.380000000000003</v>
      </c>
      <c r="N55" s="64">
        <v>540</v>
      </c>
      <c r="O55" s="64">
        <v>0</v>
      </c>
      <c r="P55" s="64">
        <v>0.59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3" t="s">
        <v>771</v>
      </c>
      <c r="B56" s="64">
        <v>5.89</v>
      </c>
      <c r="C56" s="64">
        <v>58.07</v>
      </c>
      <c r="D56" s="64">
        <v>33.68</v>
      </c>
      <c r="E56" s="64">
        <v>6.44</v>
      </c>
      <c r="F56" s="64">
        <v>2.13</v>
      </c>
      <c r="G56" s="64">
        <v>61.84</v>
      </c>
      <c r="H56" s="64">
        <v>7.91</v>
      </c>
      <c r="I56" s="214" t="s">
        <v>43</v>
      </c>
      <c r="J56" s="64">
        <v>0.79</v>
      </c>
      <c r="K56" s="64">
        <v>25.67</v>
      </c>
      <c r="L56" s="64">
        <v>25.66</v>
      </c>
      <c r="M56" s="64">
        <v>40.5</v>
      </c>
      <c r="N56" s="64">
        <v>541</v>
      </c>
      <c r="O56" s="64">
        <v>0</v>
      </c>
      <c r="P56" s="64">
        <v>0.6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3" t="s">
        <v>772</v>
      </c>
      <c r="B57" s="64">
        <v>5.58</v>
      </c>
      <c r="C57" s="64">
        <v>57.94</v>
      </c>
      <c r="D57" s="64">
        <v>33.369999999999997</v>
      </c>
      <c r="E57" s="64">
        <v>6.44</v>
      </c>
      <c r="F57" s="64">
        <v>2.13</v>
      </c>
      <c r="G57" s="64">
        <v>64.11</v>
      </c>
      <c r="H57" s="64">
        <v>29.06</v>
      </c>
      <c r="I57" s="214" t="s">
        <v>43</v>
      </c>
      <c r="J57" s="64">
        <v>1.52</v>
      </c>
      <c r="K57" s="64">
        <v>96.02</v>
      </c>
      <c r="L57" s="64">
        <v>25.2</v>
      </c>
      <c r="M57" s="64">
        <v>41.68</v>
      </c>
      <c r="N57" s="64">
        <v>540.5</v>
      </c>
      <c r="O57" s="64">
        <v>0</v>
      </c>
      <c r="P57" s="64">
        <v>0.59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3" t="s">
        <v>773</v>
      </c>
      <c r="B58" s="64">
        <v>5.16</v>
      </c>
      <c r="C58" s="64">
        <v>57.37</v>
      </c>
      <c r="D58" s="64">
        <v>32.74</v>
      </c>
      <c r="E58" s="64">
        <v>6.15</v>
      </c>
      <c r="F58" s="64">
        <v>2.13</v>
      </c>
      <c r="G58" s="64">
        <v>64.11</v>
      </c>
      <c r="H58" s="64">
        <v>29.06</v>
      </c>
      <c r="I58" s="214" t="s">
        <v>43</v>
      </c>
      <c r="J58" s="64">
        <v>0.83</v>
      </c>
      <c r="K58" s="64">
        <v>13.1</v>
      </c>
      <c r="L58" s="64">
        <v>25.91</v>
      </c>
      <c r="M58" s="64">
        <v>39.979999999999997</v>
      </c>
      <c r="N58" s="64">
        <v>526.79999999999995</v>
      </c>
      <c r="O58" s="64">
        <v>0</v>
      </c>
      <c r="P58" s="64">
        <v>0.59</v>
      </c>
      <c r="Q58" s="64">
        <v>9.59</v>
      </c>
      <c r="R58" s="198"/>
      <c r="S58" s="198"/>
      <c r="T58" s="198"/>
      <c r="U58" s="198"/>
    </row>
    <row r="59" spans="1:21" s="12" customFormat="1" x14ac:dyDescent="0.25">
      <c r="A59" s="213" t="s">
        <v>774</v>
      </c>
      <c r="B59" s="64">
        <v>4.9800000000000004</v>
      </c>
      <c r="C59" s="64">
        <v>55.79</v>
      </c>
      <c r="D59" s="64">
        <v>31.76</v>
      </c>
      <c r="E59" s="64">
        <v>6.23</v>
      </c>
      <c r="F59" s="64">
        <v>2.13</v>
      </c>
      <c r="G59" s="64">
        <v>64.11</v>
      </c>
      <c r="H59" s="64">
        <v>29.06</v>
      </c>
      <c r="I59" s="214" t="s">
        <v>43</v>
      </c>
      <c r="J59" s="64">
        <v>1.36</v>
      </c>
      <c r="K59" s="64">
        <v>340.49</v>
      </c>
      <c r="L59" s="64">
        <v>27.77</v>
      </c>
      <c r="M59" s="64">
        <v>36.56</v>
      </c>
      <c r="N59" s="64">
        <v>525.6</v>
      </c>
      <c r="O59" s="64">
        <v>0</v>
      </c>
      <c r="P59" s="64">
        <v>0.6</v>
      </c>
      <c r="Q59" s="64">
        <v>9.58</v>
      </c>
      <c r="R59" s="198"/>
      <c r="S59" s="198"/>
      <c r="T59" s="198"/>
      <c r="U59" s="198"/>
    </row>
    <row r="60" spans="1:21" s="12" customFormat="1" x14ac:dyDescent="0.25">
      <c r="A60" s="213" t="s">
        <v>775</v>
      </c>
      <c r="B60" s="64">
        <v>4.9800000000000004</v>
      </c>
      <c r="C60" s="64">
        <v>53.74</v>
      </c>
      <c r="D60" s="64">
        <v>30.69</v>
      </c>
      <c r="E60" s="64">
        <v>6.04</v>
      </c>
      <c r="F60" s="64">
        <v>2.13</v>
      </c>
      <c r="G60" s="64">
        <v>63.82</v>
      </c>
      <c r="H60" s="64">
        <v>27.99</v>
      </c>
      <c r="I60" s="214" t="s">
        <v>43</v>
      </c>
      <c r="J60" s="64">
        <v>1.97</v>
      </c>
      <c r="K60" s="64">
        <v>343.78</v>
      </c>
      <c r="L60" s="64">
        <v>29.65</v>
      </c>
      <c r="M60" s="64">
        <v>32.35</v>
      </c>
      <c r="N60" s="64">
        <v>512.9</v>
      </c>
      <c r="O60" s="64">
        <v>0</v>
      </c>
      <c r="P60" s="64">
        <v>0.6</v>
      </c>
      <c r="Q60" s="64">
        <v>9.57</v>
      </c>
      <c r="R60" s="198"/>
      <c r="S60" s="198"/>
      <c r="T60" s="198"/>
      <c r="U60" s="198"/>
    </row>
    <row r="61" spans="1:21" s="12" customFormat="1" x14ac:dyDescent="0.25">
      <c r="A61" s="213" t="s">
        <v>776</v>
      </c>
      <c r="B61" s="64">
        <v>5.12</v>
      </c>
      <c r="C61" s="64">
        <v>55.25</v>
      </c>
      <c r="D61" s="64">
        <v>31.6</v>
      </c>
      <c r="E61" s="64">
        <v>6.42</v>
      </c>
      <c r="F61" s="64">
        <v>2.13</v>
      </c>
      <c r="G61" s="64">
        <v>61.54</v>
      </c>
      <c r="H61" s="64">
        <v>19.45</v>
      </c>
      <c r="I61" s="214" t="s">
        <v>43</v>
      </c>
      <c r="J61" s="64">
        <v>1.73</v>
      </c>
      <c r="K61" s="64">
        <v>344.2</v>
      </c>
      <c r="L61" s="64">
        <v>29.63</v>
      </c>
      <c r="M61" s="64">
        <v>31.95</v>
      </c>
      <c r="N61" s="64">
        <v>506.7</v>
      </c>
      <c r="O61" s="64">
        <v>0</v>
      </c>
      <c r="P61" s="64">
        <v>0.59</v>
      </c>
      <c r="Q61" s="64">
        <v>9.57</v>
      </c>
      <c r="R61" s="198"/>
      <c r="S61" s="198"/>
      <c r="T61" s="198"/>
      <c r="U61" s="198"/>
    </row>
    <row r="62" spans="1:21" s="12" customFormat="1" x14ac:dyDescent="0.25">
      <c r="A62" s="213" t="s">
        <v>777</v>
      </c>
      <c r="B62" s="64">
        <v>5.23</v>
      </c>
      <c r="C62" s="64">
        <v>56.39</v>
      </c>
      <c r="D62" s="64">
        <v>32.270000000000003</v>
      </c>
      <c r="E62" s="64">
        <v>5.99</v>
      </c>
      <c r="F62" s="64">
        <v>2.1800000000000002</v>
      </c>
      <c r="G62" s="64">
        <v>61.54</v>
      </c>
      <c r="H62" s="64">
        <v>19.45</v>
      </c>
      <c r="I62" s="214" t="s">
        <v>43</v>
      </c>
      <c r="J62" s="64">
        <v>1.56</v>
      </c>
      <c r="K62" s="64">
        <v>338.94</v>
      </c>
      <c r="L62" s="64">
        <v>30.08</v>
      </c>
      <c r="M62" s="64">
        <v>31.26</v>
      </c>
      <c r="N62" s="64">
        <v>495.6</v>
      </c>
      <c r="O62" s="64">
        <v>0</v>
      </c>
      <c r="P62" s="64">
        <v>0.62</v>
      </c>
      <c r="Q62" s="64">
        <v>9.57</v>
      </c>
      <c r="R62" s="198"/>
      <c r="S62" s="198"/>
      <c r="T62" s="198"/>
      <c r="U62" s="198"/>
    </row>
    <row r="63" spans="1:21" s="12" customFormat="1" x14ac:dyDescent="0.25">
      <c r="A63" s="213" t="s">
        <v>778</v>
      </c>
      <c r="B63" s="64">
        <v>5.24</v>
      </c>
      <c r="C63" s="64">
        <v>57.09</v>
      </c>
      <c r="D63" s="64">
        <v>32.65</v>
      </c>
      <c r="E63" s="64">
        <v>7.22</v>
      </c>
      <c r="F63" s="64">
        <v>2.13</v>
      </c>
      <c r="G63" s="64">
        <v>61.54</v>
      </c>
      <c r="H63" s="64">
        <v>19.45</v>
      </c>
      <c r="I63" s="214" t="s">
        <v>43</v>
      </c>
      <c r="J63" s="64">
        <v>1.86</v>
      </c>
      <c r="K63" s="64">
        <v>337.68</v>
      </c>
      <c r="L63" s="64">
        <v>29.97</v>
      </c>
      <c r="M63" s="64">
        <v>31.92</v>
      </c>
      <c r="N63" s="64">
        <v>465.7</v>
      </c>
      <c r="O63" s="64">
        <v>0</v>
      </c>
      <c r="P63" s="64">
        <v>0.64</v>
      </c>
      <c r="Q63" s="64">
        <v>9.56</v>
      </c>
      <c r="R63" s="198"/>
      <c r="S63" s="198"/>
      <c r="T63" s="198"/>
      <c r="U63" s="198"/>
    </row>
    <row r="64" spans="1:21" s="12" customFormat="1" x14ac:dyDescent="0.25">
      <c r="A64" s="213" t="s">
        <v>779</v>
      </c>
      <c r="B64" s="64">
        <v>5.23</v>
      </c>
      <c r="C64" s="64">
        <v>57.3</v>
      </c>
      <c r="D64" s="64">
        <v>32.76</v>
      </c>
      <c r="E64" s="64">
        <v>6.65</v>
      </c>
      <c r="F64" s="64">
        <v>2.13</v>
      </c>
      <c r="G64" s="64">
        <v>62.05</v>
      </c>
      <c r="H64" s="64">
        <v>21.51</v>
      </c>
      <c r="I64" s="214" t="s">
        <v>43</v>
      </c>
      <c r="J64" s="64">
        <v>1.1000000000000001</v>
      </c>
      <c r="K64" s="64">
        <v>8.5</v>
      </c>
      <c r="L64" s="64">
        <v>28.19</v>
      </c>
      <c r="M64" s="64">
        <v>34.75</v>
      </c>
      <c r="N64" s="64">
        <v>457.3</v>
      </c>
      <c r="O64" s="64">
        <v>0</v>
      </c>
      <c r="P64" s="64">
        <v>0.61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3" t="s">
        <v>780</v>
      </c>
      <c r="B65" s="64">
        <v>5.15</v>
      </c>
      <c r="C65" s="64">
        <v>57.63</v>
      </c>
      <c r="D65" s="64">
        <v>32.869999999999997</v>
      </c>
      <c r="E65" s="64">
        <v>7.06</v>
      </c>
      <c r="F65" s="64">
        <v>2.13</v>
      </c>
      <c r="G65" s="64">
        <v>66.09</v>
      </c>
      <c r="H65" s="64">
        <v>37.549999999999997</v>
      </c>
      <c r="I65" s="214" t="s">
        <v>43</v>
      </c>
      <c r="J65" s="64">
        <v>1.91</v>
      </c>
      <c r="K65" s="64">
        <v>348.84</v>
      </c>
      <c r="L65" s="64">
        <v>28.31</v>
      </c>
      <c r="M65" s="64">
        <v>35.020000000000003</v>
      </c>
      <c r="N65" s="64">
        <v>434.3</v>
      </c>
      <c r="O65" s="64">
        <v>0</v>
      </c>
      <c r="P65" s="64">
        <v>0.63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3" t="s">
        <v>781</v>
      </c>
      <c r="B66" s="64">
        <v>5.03</v>
      </c>
      <c r="C66" s="64">
        <v>57.94</v>
      </c>
      <c r="D66" s="64">
        <v>32.93</v>
      </c>
      <c r="E66" s="64">
        <v>6.78</v>
      </c>
      <c r="F66" s="64">
        <v>2.13</v>
      </c>
      <c r="G66" s="64">
        <v>66.09</v>
      </c>
      <c r="H66" s="64">
        <v>37.549999999999997</v>
      </c>
      <c r="I66" s="214" t="s">
        <v>43</v>
      </c>
      <c r="J66" s="64">
        <v>1.95</v>
      </c>
      <c r="K66" s="64">
        <v>339.63</v>
      </c>
      <c r="L66" s="64">
        <v>27.96</v>
      </c>
      <c r="M66" s="64">
        <v>36.17</v>
      </c>
      <c r="N66" s="64">
        <v>381.5</v>
      </c>
      <c r="O66" s="64">
        <v>0</v>
      </c>
      <c r="P66" s="64">
        <v>0.64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3" t="s">
        <v>782</v>
      </c>
      <c r="B67" s="64">
        <v>4.87</v>
      </c>
      <c r="C67" s="64">
        <v>61.3</v>
      </c>
      <c r="D67" s="64">
        <v>34.549999999999997</v>
      </c>
      <c r="E67" s="64">
        <v>7.4</v>
      </c>
      <c r="F67" s="64">
        <v>2.13</v>
      </c>
      <c r="G67" s="64">
        <v>66.09</v>
      </c>
      <c r="H67" s="64">
        <v>37.549999999999997</v>
      </c>
      <c r="I67" s="214" t="s">
        <v>43</v>
      </c>
      <c r="J67" s="64">
        <v>2.1800000000000002</v>
      </c>
      <c r="K67" s="64">
        <v>352.46</v>
      </c>
      <c r="L67" s="64">
        <v>27.25</v>
      </c>
      <c r="M67" s="64">
        <v>37.200000000000003</v>
      </c>
      <c r="N67" s="64">
        <v>234.1</v>
      </c>
      <c r="O67" s="64">
        <v>0</v>
      </c>
      <c r="P67" s="64">
        <v>0.64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3" t="s">
        <v>783</v>
      </c>
      <c r="B68" s="64">
        <v>4.6500000000000004</v>
      </c>
      <c r="C68" s="64">
        <v>61.19</v>
      </c>
      <c r="D68" s="64">
        <v>34.32</v>
      </c>
      <c r="E68" s="64">
        <v>7.01</v>
      </c>
      <c r="F68" s="64">
        <v>2.13</v>
      </c>
      <c r="G68" s="64">
        <v>67.37</v>
      </c>
      <c r="H68" s="64">
        <v>37.380000000000003</v>
      </c>
      <c r="I68" s="214" t="s">
        <v>43</v>
      </c>
      <c r="J68" s="64">
        <v>2.1</v>
      </c>
      <c r="K68" s="64">
        <v>347.92</v>
      </c>
      <c r="L68" s="64">
        <v>26.9</v>
      </c>
      <c r="M68" s="64">
        <v>37.700000000000003</v>
      </c>
      <c r="N68" s="64">
        <v>290.5</v>
      </c>
      <c r="O68" s="64">
        <v>0</v>
      </c>
      <c r="P68" s="64">
        <v>0.64</v>
      </c>
      <c r="Q68" s="64">
        <v>9.5500000000000007</v>
      </c>
      <c r="R68" s="198"/>
      <c r="S68" s="198"/>
      <c r="T68" s="198"/>
      <c r="U68" s="198"/>
    </row>
    <row r="69" spans="1:21" s="12" customFormat="1" x14ac:dyDescent="0.25">
      <c r="A69" s="213" t="s">
        <v>784</v>
      </c>
      <c r="B69" s="64">
        <v>4.58</v>
      </c>
      <c r="C69" s="64">
        <v>61.28</v>
      </c>
      <c r="D69" s="64">
        <v>34.32</v>
      </c>
      <c r="E69" s="64">
        <v>6.45</v>
      </c>
      <c r="F69" s="64">
        <v>2.13</v>
      </c>
      <c r="G69" s="64">
        <v>78.94</v>
      </c>
      <c r="H69" s="64">
        <v>36.04</v>
      </c>
      <c r="I69" s="214" t="s">
        <v>43</v>
      </c>
      <c r="J69" s="64">
        <v>2.0099999999999998</v>
      </c>
      <c r="K69" s="64">
        <v>346.84</v>
      </c>
      <c r="L69" s="64">
        <v>26.75</v>
      </c>
      <c r="M69" s="64">
        <v>38</v>
      </c>
      <c r="N69" s="64">
        <v>287.10000000000002</v>
      </c>
      <c r="O69" s="64">
        <v>0</v>
      </c>
      <c r="P69" s="64">
        <v>0.65</v>
      </c>
      <c r="Q69" s="64">
        <v>9.5500000000000007</v>
      </c>
      <c r="R69" s="198"/>
      <c r="S69" s="198"/>
      <c r="T69" s="198"/>
      <c r="U69" s="198"/>
    </row>
    <row r="70" spans="1:21" s="12" customFormat="1" x14ac:dyDescent="0.25">
      <c r="A70" s="213" t="s">
        <v>785</v>
      </c>
      <c r="B70" s="64">
        <v>4.6500000000000004</v>
      </c>
      <c r="C70" s="64">
        <v>61.79</v>
      </c>
      <c r="D70" s="64">
        <v>34.64</v>
      </c>
      <c r="E70" s="64">
        <v>6.91</v>
      </c>
      <c r="F70" s="64">
        <v>2.13</v>
      </c>
      <c r="G70" s="64">
        <v>78.94</v>
      </c>
      <c r="H70" s="64">
        <v>36.04</v>
      </c>
      <c r="I70" s="214" t="s">
        <v>43</v>
      </c>
      <c r="J70" s="64">
        <v>2.17</v>
      </c>
      <c r="K70" s="64">
        <v>350.6</v>
      </c>
      <c r="L70" s="64">
        <v>26.51</v>
      </c>
      <c r="M70" s="64">
        <v>38.44</v>
      </c>
      <c r="N70" s="64">
        <v>177</v>
      </c>
      <c r="O70" s="64">
        <v>0</v>
      </c>
      <c r="P70" s="64">
        <v>0.64</v>
      </c>
      <c r="Q70" s="64">
        <v>9.5500000000000007</v>
      </c>
      <c r="R70" s="198"/>
      <c r="S70" s="198"/>
      <c r="T70" s="198"/>
      <c r="U70" s="198"/>
    </row>
    <row r="71" spans="1:21" s="12" customFormat="1" x14ac:dyDescent="0.25">
      <c r="A71" s="213" t="s">
        <v>786</v>
      </c>
      <c r="B71" s="64">
        <v>4.82</v>
      </c>
      <c r="C71" s="64">
        <v>62.09</v>
      </c>
      <c r="D71" s="64">
        <v>34.93</v>
      </c>
      <c r="E71" s="64">
        <v>7.09</v>
      </c>
      <c r="F71" s="64">
        <v>2.13</v>
      </c>
      <c r="G71" s="64">
        <v>78.94</v>
      </c>
      <c r="H71" s="64">
        <v>36.04</v>
      </c>
      <c r="I71" s="214" t="s">
        <v>43</v>
      </c>
      <c r="J71" s="64">
        <v>1.95</v>
      </c>
      <c r="K71" s="64">
        <v>345.58</v>
      </c>
      <c r="L71" s="64">
        <v>25.94</v>
      </c>
      <c r="M71" s="64">
        <v>39.75</v>
      </c>
      <c r="N71" s="64">
        <v>156.1</v>
      </c>
      <c r="O71" s="64">
        <v>0</v>
      </c>
      <c r="P71" s="64">
        <v>0.66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3" t="s">
        <v>787</v>
      </c>
      <c r="B72" s="64">
        <v>4.9400000000000004</v>
      </c>
      <c r="C72" s="64">
        <v>62.6</v>
      </c>
      <c r="D72" s="64">
        <v>35.29</v>
      </c>
      <c r="E72" s="64">
        <v>5.1100000000000003</v>
      </c>
      <c r="F72" s="64">
        <v>2.13</v>
      </c>
      <c r="G72" s="64">
        <v>78.739999999999995</v>
      </c>
      <c r="H72" s="64">
        <v>35.479999999999997</v>
      </c>
      <c r="I72" s="214" t="s">
        <v>43</v>
      </c>
      <c r="J72" s="64">
        <v>1.85</v>
      </c>
      <c r="K72" s="64">
        <v>347</v>
      </c>
      <c r="L72" s="64">
        <v>25.62</v>
      </c>
      <c r="M72" s="64">
        <v>39.99</v>
      </c>
      <c r="N72" s="64">
        <v>143.9</v>
      </c>
      <c r="O72" s="64">
        <v>0</v>
      </c>
      <c r="P72" s="64">
        <v>0.67</v>
      </c>
      <c r="Q72" s="64">
        <v>9.58</v>
      </c>
      <c r="R72" s="198"/>
      <c r="S72" s="198"/>
      <c r="T72" s="198"/>
      <c r="U72" s="198"/>
    </row>
    <row r="73" spans="1:21" s="12" customFormat="1" x14ac:dyDescent="0.25">
      <c r="A73" s="213" t="s">
        <v>788</v>
      </c>
      <c r="B73" s="64">
        <v>5.08</v>
      </c>
      <c r="C73" s="64">
        <v>62.76</v>
      </c>
      <c r="D73" s="64">
        <v>35.49</v>
      </c>
      <c r="E73" s="64">
        <v>5.26</v>
      </c>
      <c r="F73" s="64">
        <v>2.13</v>
      </c>
      <c r="G73" s="64">
        <v>77.180000000000007</v>
      </c>
      <c r="H73" s="64">
        <v>30.43</v>
      </c>
      <c r="I73" s="214" t="s">
        <v>43</v>
      </c>
      <c r="J73" s="64">
        <v>1.73</v>
      </c>
      <c r="K73" s="64">
        <v>347.87</v>
      </c>
      <c r="L73" s="64">
        <v>25.16</v>
      </c>
      <c r="M73" s="64">
        <v>40.619999999999997</v>
      </c>
      <c r="N73" s="64">
        <v>134.30000000000001</v>
      </c>
      <c r="O73" s="64">
        <v>0</v>
      </c>
      <c r="P73" s="64">
        <v>0.7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3" t="s">
        <v>789</v>
      </c>
      <c r="B74" s="64">
        <v>5.28</v>
      </c>
      <c r="C74" s="64">
        <v>62.77</v>
      </c>
      <c r="D74" s="64">
        <v>35.65</v>
      </c>
      <c r="E74" s="64">
        <v>5.32</v>
      </c>
      <c r="F74" s="64">
        <v>2.13</v>
      </c>
      <c r="G74" s="64">
        <v>77.180000000000007</v>
      </c>
      <c r="H74" s="64">
        <v>30.43</v>
      </c>
      <c r="I74" s="214" t="s">
        <v>43</v>
      </c>
      <c r="J74" s="64">
        <v>2.0699999999999998</v>
      </c>
      <c r="K74" s="64">
        <v>354.64</v>
      </c>
      <c r="L74" s="64">
        <v>24.66</v>
      </c>
      <c r="M74" s="64">
        <v>41.24</v>
      </c>
      <c r="N74" s="64">
        <v>126</v>
      </c>
      <c r="O74" s="64">
        <v>0</v>
      </c>
      <c r="P74" s="64">
        <v>0.68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3" t="s">
        <v>790</v>
      </c>
      <c r="B75" s="64">
        <v>5.64</v>
      </c>
      <c r="C75" s="64">
        <v>63.01</v>
      </c>
      <c r="D75" s="64">
        <v>36.07</v>
      </c>
      <c r="E75" s="64">
        <v>5.42</v>
      </c>
      <c r="F75" s="64">
        <v>2.13</v>
      </c>
      <c r="G75" s="64">
        <v>77.180000000000007</v>
      </c>
      <c r="H75" s="64">
        <v>30.43</v>
      </c>
      <c r="I75" s="214" t="s">
        <v>43</v>
      </c>
      <c r="J75" s="64">
        <v>1.9</v>
      </c>
      <c r="K75" s="64">
        <v>352.27</v>
      </c>
      <c r="L75" s="64">
        <v>24.24</v>
      </c>
      <c r="M75" s="64">
        <v>42.28</v>
      </c>
      <c r="N75" s="64">
        <v>117.2</v>
      </c>
      <c r="O75" s="64">
        <v>0</v>
      </c>
      <c r="P75" s="64">
        <v>0.69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3" t="s">
        <v>791</v>
      </c>
      <c r="B76" s="64">
        <v>6.05</v>
      </c>
      <c r="C76" s="64">
        <v>61.02</v>
      </c>
      <c r="D76" s="64">
        <v>35.36</v>
      </c>
      <c r="E76" s="64">
        <v>5.42</v>
      </c>
      <c r="F76" s="64">
        <v>2.13</v>
      </c>
      <c r="G76" s="64">
        <v>77.66</v>
      </c>
      <c r="H76" s="64">
        <v>28.27</v>
      </c>
      <c r="I76" s="214" t="s">
        <v>43</v>
      </c>
      <c r="J76" s="64">
        <v>2.2799999999999998</v>
      </c>
      <c r="K76" s="64">
        <v>347.11</v>
      </c>
      <c r="L76" s="64">
        <v>23.77</v>
      </c>
      <c r="M76" s="64">
        <v>43.01</v>
      </c>
      <c r="N76" s="64">
        <v>108.5</v>
      </c>
      <c r="O76" s="64">
        <v>0</v>
      </c>
      <c r="P76" s="64">
        <v>0.7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3" t="s">
        <v>792</v>
      </c>
      <c r="B77" s="64">
        <v>6.13</v>
      </c>
      <c r="C77" s="64">
        <v>60.65</v>
      </c>
      <c r="D77" s="64">
        <v>35.229999999999997</v>
      </c>
      <c r="E77" s="64">
        <v>5.17</v>
      </c>
      <c r="F77" s="64">
        <v>2.13</v>
      </c>
      <c r="G77" s="64">
        <v>81.48</v>
      </c>
      <c r="H77" s="64">
        <v>10.96</v>
      </c>
      <c r="I77" s="214" t="s">
        <v>43</v>
      </c>
      <c r="J77" s="64">
        <v>2.0299999999999998</v>
      </c>
      <c r="K77" s="64">
        <v>352.2</v>
      </c>
      <c r="L77" s="64">
        <v>23.34</v>
      </c>
      <c r="M77" s="64">
        <v>43.52</v>
      </c>
      <c r="N77" s="64">
        <v>100.3</v>
      </c>
      <c r="O77" s="64">
        <v>0</v>
      </c>
      <c r="P77" s="64">
        <v>0.73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3" t="s">
        <v>793</v>
      </c>
      <c r="B78" s="64">
        <v>6.5</v>
      </c>
      <c r="C78" s="64">
        <v>62.23</v>
      </c>
      <c r="D78" s="64">
        <v>36.35</v>
      </c>
      <c r="E78" s="64">
        <v>5.87</v>
      </c>
      <c r="F78" s="64">
        <v>2.13</v>
      </c>
      <c r="G78" s="64">
        <v>81.48</v>
      </c>
      <c r="H78" s="64">
        <v>10.96</v>
      </c>
      <c r="I78" s="214" t="s">
        <v>43</v>
      </c>
      <c r="J78" s="64">
        <v>1.83</v>
      </c>
      <c r="K78" s="64">
        <v>350.81</v>
      </c>
      <c r="L78" s="64">
        <v>23</v>
      </c>
      <c r="M78" s="64">
        <v>44.1</v>
      </c>
      <c r="N78" s="64">
        <v>91.8</v>
      </c>
      <c r="O78" s="64">
        <v>0</v>
      </c>
      <c r="P78" s="64">
        <v>0.76</v>
      </c>
      <c r="Q78" s="64">
        <v>9.59</v>
      </c>
      <c r="R78" s="198"/>
      <c r="S78" s="198"/>
      <c r="T78" s="198"/>
      <c r="U78" s="198"/>
    </row>
    <row r="79" spans="1:21" s="12" customFormat="1" x14ac:dyDescent="0.25">
      <c r="A79" s="213" t="s">
        <v>794</v>
      </c>
      <c r="B79" s="64">
        <v>6.92</v>
      </c>
      <c r="C79" s="64">
        <v>63.55</v>
      </c>
      <c r="D79" s="64">
        <v>37.369999999999997</v>
      </c>
      <c r="E79" s="64">
        <v>5.77</v>
      </c>
      <c r="F79" s="64">
        <v>2.13</v>
      </c>
      <c r="G79" s="64">
        <v>81.48</v>
      </c>
      <c r="H79" s="64">
        <v>10.96</v>
      </c>
      <c r="I79" s="214" t="s">
        <v>43</v>
      </c>
      <c r="J79" s="64">
        <v>1.58</v>
      </c>
      <c r="K79" s="64">
        <v>355.91</v>
      </c>
      <c r="L79" s="64">
        <v>22.66</v>
      </c>
      <c r="M79" s="64">
        <v>44.24</v>
      </c>
      <c r="N79" s="64">
        <v>84.3</v>
      </c>
      <c r="O79" s="64">
        <v>0</v>
      </c>
      <c r="P79" s="64">
        <v>0.77</v>
      </c>
      <c r="Q79" s="64">
        <v>9.58</v>
      </c>
      <c r="R79" s="198"/>
      <c r="S79" s="198"/>
      <c r="T79" s="198"/>
      <c r="U79" s="198"/>
    </row>
    <row r="80" spans="1:21" s="12" customFormat="1" x14ac:dyDescent="0.25">
      <c r="A80" s="213" t="s">
        <v>795</v>
      </c>
      <c r="B80" s="64">
        <v>7.56</v>
      </c>
      <c r="C80" s="64">
        <v>64.16</v>
      </c>
      <c r="D80" s="64">
        <v>38.21</v>
      </c>
      <c r="E80" s="64">
        <v>5.52</v>
      </c>
      <c r="F80" s="64">
        <v>2.13</v>
      </c>
      <c r="G80" s="64">
        <v>81.73</v>
      </c>
      <c r="H80" s="64">
        <v>12.19</v>
      </c>
      <c r="I80" s="214" t="s">
        <v>43</v>
      </c>
      <c r="J80" s="64">
        <v>0.98</v>
      </c>
      <c r="K80" s="64">
        <v>355.87</v>
      </c>
      <c r="L80" s="64">
        <v>22.27</v>
      </c>
      <c r="M80" s="64">
        <v>45.73</v>
      </c>
      <c r="N80" s="64">
        <v>79.7</v>
      </c>
      <c r="O80" s="64">
        <v>0</v>
      </c>
      <c r="P80" s="64">
        <v>0.91</v>
      </c>
      <c r="Q80" s="64">
        <v>9.58</v>
      </c>
      <c r="R80" s="198"/>
      <c r="S80" s="198"/>
      <c r="T80" s="198"/>
      <c r="U80" s="198"/>
    </row>
    <row r="81" spans="1:26" s="12" customFormat="1" x14ac:dyDescent="0.25">
      <c r="A81" s="213" t="s">
        <v>796</v>
      </c>
      <c r="B81" s="64">
        <v>8.5399999999999991</v>
      </c>
      <c r="C81" s="64">
        <v>64.3</v>
      </c>
      <c r="D81" s="64">
        <v>39.07</v>
      </c>
      <c r="E81" s="64">
        <v>5.34</v>
      </c>
      <c r="F81" s="64">
        <v>2.13</v>
      </c>
      <c r="G81" s="64">
        <v>83.77</v>
      </c>
      <c r="H81" s="64">
        <v>22.04</v>
      </c>
      <c r="I81" s="214" t="s">
        <v>43</v>
      </c>
      <c r="J81" s="64">
        <v>1.31</v>
      </c>
      <c r="K81" s="64">
        <v>357.64</v>
      </c>
      <c r="L81" s="64">
        <v>21.92</v>
      </c>
      <c r="M81" s="64">
        <v>46.46</v>
      </c>
      <c r="N81" s="64">
        <v>78</v>
      </c>
      <c r="O81" s="64">
        <v>0</v>
      </c>
      <c r="P81" s="64">
        <v>0.97</v>
      </c>
      <c r="Q81" s="64">
        <v>9.57</v>
      </c>
      <c r="R81" s="198"/>
      <c r="S81" s="198"/>
      <c r="T81" s="198"/>
      <c r="U81" s="198"/>
    </row>
    <row r="82" spans="1:26" s="12" customFormat="1" x14ac:dyDescent="0.25">
      <c r="A82" s="213" t="s">
        <v>797</v>
      </c>
      <c r="B82" s="64">
        <v>9.6199999999999992</v>
      </c>
      <c r="C82" s="64">
        <v>64.040000000000006</v>
      </c>
      <c r="D82" s="64">
        <v>39.799999999999997</v>
      </c>
      <c r="E82" s="64">
        <v>5.66</v>
      </c>
      <c r="F82" s="64">
        <v>2.13</v>
      </c>
      <c r="G82" s="64">
        <v>83.77</v>
      </c>
      <c r="H82" s="64">
        <v>22.04</v>
      </c>
      <c r="I82" s="214" t="s">
        <v>43</v>
      </c>
      <c r="J82" s="64">
        <v>1.2</v>
      </c>
      <c r="K82" s="64">
        <v>358.54</v>
      </c>
      <c r="L82" s="64">
        <v>21.78</v>
      </c>
      <c r="M82" s="64">
        <v>46.87</v>
      </c>
      <c r="N82" s="64">
        <v>77.8</v>
      </c>
      <c r="O82" s="64">
        <v>0</v>
      </c>
      <c r="P82" s="64">
        <v>0.94</v>
      </c>
      <c r="Q82" s="64">
        <v>9.57</v>
      </c>
      <c r="R82" s="198"/>
      <c r="S82" s="198"/>
      <c r="T82" s="198"/>
      <c r="U82" s="198"/>
    </row>
    <row r="83" spans="1:26" s="12" customFormat="1" x14ac:dyDescent="0.25">
      <c r="A83" s="213" t="s">
        <v>798</v>
      </c>
      <c r="B83" s="64">
        <v>10.72</v>
      </c>
      <c r="C83" s="64">
        <v>65.14</v>
      </c>
      <c r="D83" s="64">
        <v>41.26</v>
      </c>
      <c r="E83" s="64">
        <v>5.49</v>
      </c>
      <c r="F83" s="64">
        <v>2.13</v>
      </c>
      <c r="G83" s="64">
        <v>83.77</v>
      </c>
      <c r="H83" s="64">
        <v>22.04</v>
      </c>
      <c r="I83" s="214" t="s">
        <v>43</v>
      </c>
      <c r="J83" s="64">
        <v>1.5</v>
      </c>
      <c r="K83" s="64">
        <v>354.29</v>
      </c>
      <c r="L83" s="64">
        <v>21.68</v>
      </c>
      <c r="M83" s="64">
        <v>48.74</v>
      </c>
      <c r="N83" s="64">
        <v>77.900000000000006</v>
      </c>
      <c r="O83" s="64">
        <v>0</v>
      </c>
      <c r="P83" s="64">
        <v>0.89</v>
      </c>
      <c r="Q83" s="64">
        <v>9.58</v>
      </c>
      <c r="R83" s="198"/>
      <c r="S83" s="198"/>
      <c r="T83" s="198"/>
      <c r="U83" s="198"/>
    </row>
    <row r="84" spans="1:26" s="12" customFormat="1" x14ac:dyDescent="0.25">
      <c r="A84" s="213" t="s">
        <v>799</v>
      </c>
      <c r="B84" s="64">
        <v>11.79</v>
      </c>
      <c r="C84" s="64">
        <v>67.14</v>
      </c>
      <c r="D84" s="64">
        <v>43.16</v>
      </c>
      <c r="E84" s="64">
        <v>5.97</v>
      </c>
      <c r="F84" s="64">
        <v>2.13</v>
      </c>
      <c r="G84" s="64">
        <v>84.82</v>
      </c>
      <c r="H84" s="64">
        <v>25.93</v>
      </c>
      <c r="I84" s="214" t="s">
        <v>43</v>
      </c>
      <c r="J84" s="64">
        <v>1.24</v>
      </c>
      <c r="K84" s="64">
        <v>355.67</v>
      </c>
      <c r="L84" s="64">
        <v>21.42</v>
      </c>
      <c r="M84" s="64">
        <v>50.65</v>
      </c>
      <c r="N84" s="64">
        <v>78.099999999999994</v>
      </c>
      <c r="O84" s="64">
        <v>0</v>
      </c>
      <c r="P84" s="64">
        <v>0.91</v>
      </c>
      <c r="Q84" s="64">
        <v>9.59</v>
      </c>
      <c r="R84" s="198"/>
      <c r="S84" s="198"/>
      <c r="T84" s="198"/>
      <c r="U84" s="198"/>
    </row>
    <row r="85" spans="1:26" s="12" customFormat="1" x14ac:dyDescent="0.25">
      <c r="A85" s="213" t="s">
        <v>800</v>
      </c>
      <c r="B85" s="64">
        <v>13.11</v>
      </c>
      <c r="C85" s="64">
        <v>67.28</v>
      </c>
      <c r="D85" s="64">
        <v>44.29</v>
      </c>
      <c r="E85" s="64">
        <v>5.84</v>
      </c>
      <c r="F85" s="64">
        <v>2.13</v>
      </c>
      <c r="G85" s="64">
        <v>93.26</v>
      </c>
      <c r="H85" s="64">
        <v>57.1</v>
      </c>
      <c r="I85" s="214" t="s">
        <v>43</v>
      </c>
      <c r="J85" s="64">
        <v>1.17</v>
      </c>
      <c r="K85" s="64">
        <v>356.78</v>
      </c>
      <c r="L85" s="64">
        <v>21.2</v>
      </c>
      <c r="M85" s="64">
        <v>51.68</v>
      </c>
      <c r="N85" s="64">
        <v>78.099999999999994</v>
      </c>
      <c r="O85" s="64">
        <v>0</v>
      </c>
      <c r="P85" s="64">
        <v>0.9</v>
      </c>
      <c r="Q85" s="64">
        <v>9.56</v>
      </c>
      <c r="R85" s="198"/>
      <c r="S85" s="198"/>
      <c r="T85" s="198"/>
      <c r="U85" s="198"/>
    </row>
    <row r="86" spans="1:26" s="12" customFormat="1" x14ac:dyDescent="0.25">
      <c r="A86" s="213" t="s">
        <v>801</v>
      </c>
      <c r="B86" s="64">
        <v>14.45</v>
      </c>
      <c r="C86" s="64">
        <v>67.47</v>
      </c>
      <c r="D86" s="64">
        <v>45.46</v>
      </c>
      <c r="E86" s="64">
        <v>5.57</v>
      </c>
      <c r="F86" s="64">
        <v>2.13</v>
      </c>
      <c r="G86" s="64">
        <v>93.26</v>
      </c>
      <c r="H86" s="64">
        <v>57.1</v>
      </c>
      <c r="I86" s="214" t="s">
        <v>43</v>
      </c>
      <c r="J86" s="64">
        <v>1.57</v>
      </c>
      <c r="K86" s="64">
        <v>356.24</v>
      </c>
      <c r="L86" s="64">
        <v>21.09</v>
      </c>
      <c r="M86" s="64">
        <v>50.91</v>
      </c>
      <c r="N86" s="64">
        <v>77.7</v>
      </c>
      <c r="O86" s="64">
        <v>0</v>
      </c>
      <c r="P86" s="64">
        <v>0.94</v>
      </c>
      <c r="Q86" s="64">
        <v>9.57</v>
      </c>
      <c r="R86" s="198"/>
      <c r="S86" s="198"/>
      <c r="T86" s="198"/>
      <c r="U86" s="198"/>
    </row>
    <row r="87" spans="1:26" s="12" customFormat="1" x14ac:dyDescent="0.25">
      <c r="A87" s="213" t="s">
        <v>802</v>
      </c>
      <c r="B87" s="64">
        <v>15.28</v>
      </c>
      <c r="C87" s="64">
        <v>67.790000000000006</v>
      </c>
      <c r="D87" s="64">
        <v>46.29</v>
      </c>
      <c r="E87" s="64">
        <v>5.55</v>
      </c>
      <c r="F87" s="64">
        <v>2.13</v>
      </c>
      <c r="G87" s="64">
        <v>93.26</v>
      </c>
      <c r="H87" s="64">
        <v>57.1</v>
      </c>
      <c r="I87" s="214" t="s">
        <v>43</v>
      </c>
      <c r="J87" s="64">
        <v>1.41</v>
      </c>
      <c r="K87" s="64">
        <v>356.91</v>
      </c>
      <c r="L87" s="64">
        <v>20.98</v>
      </c>
      <c r="M87" s="64">
        <v>50.73</v>
      </c>
      <c r="N87" s="64">
        <v>77.900000000000006</v>
      </c>
      <c r="O87" s="64">
        <v>0</v>
      </c>
      <c r="P87" s="64">
        <v>0.99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3" t="s">
        <v>803</v>
      </c>
      <c r="B88" s="64">
        <v>15.58</v>
      </c>
      <c r="C88" s="64">
        <v>67.59</v>
      </c>
      <c r="D88" s="64">
        <v>46.43</v>
      </c>
      <c r="E88" s="64">
        <v>5.79</v>
      </c>
      <c r="F88" s="64">
        <v>2.13</v>
      </c>
      <c r="G88" s="64">
        <v>93.69</v>
      </c>
      <c r="H88" s="64">
        <v>53.42</v>
      </c>
      <c r="I88" s="214" t="s">
        <v>43</v>
      </c>
      <c r="J88" s="64">
        <v>1.39</v>
      </c>
      <c r="K88" s="64">
        <v>354.99</v>
      </c>
      <c r="L88" s="64">
        <v>20.71</v>
      </c>
      <c r="M88" s="64">
        <v>53.17</v>
      </c>
      <c r="N88" s="64">
        <v>77.900000000000006</v>
      </c>
      <c r="O88" s="64">
        <v>0</v>
      </c>
      <c r="P88" s="64">
        <v>0.99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3" t="s">
        <v>804</v>
      </c>
      <c r="B89" s="64">
        <v>15.4</v>
      </c>
      <c r="C89" s="64">
        <v>67.540000000000006</v>
      </c>
      <c r="D89" s="64">
        <v>46.26</v>
      </c>
      <c r="E89" s="64">
        <v>5.94</v>
      </c>
      <c r="F89" s="64">
        <v>2.13</v>
      </c>
      <c r="G89" s="64">
        <v>97.5</v>
      </c>
      <c r="H89" s="64">
        <v>23.98</v>
      </c>
      <c r="I89" s="214" t="s">
        <v>43</v>
      </c>
      <c r="J89" s="64">
        <v>1.25</v>
      </c>
      <c r="K89" s="64">
        <v>355.2</v>
      </c>
      <c r="L89" s="64">
        <v>20.440000000000001</v>
      </c>
      <c r="M89" s="64">
        <v>49.73</v>
      </c>
      <c r="N89" s="64">
        <v>78.099999999999994</v>
      </c>
      <c r="O89" s="64">
        <v>0</v>
      </c>
      <c r="P89" s="64">
        <v>1.01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3" t="s">
        <v>805</v>
      </c>
      <c r="B90" s="64">
        <v>15.25</v>
      </c>
      <c r="C90" s="64">
        <v>66.87</v>
      </c>
      <c r="D90" s="64">
        <v>45.79</v>
      </c>
      <c r="E90" s="64">
        <v>5.35</v>
      </c>
      <c r="F90" s="64">
        <v>2.13</v>
      </c>
      <c r="G90" s="64">
        <v>97.5</v>
      </c>
      <c r="H90" s="64">
        <v>23.98</v>
      </c>
      <c r="I90" s="214" t="s">
        <v>43</v>
      </c>
      <c r="J90" s="64">
        <v>1.42</v>
      </c>
      <c r="K90" s="64">
        <v>354.25</v>
      </c>
      <c r="L90" s="64">
        <v>20.36</v>
      </c>
      <c r="M90" s="64">
        <v>46.41</v>
      </c>
      <c r="N90" s="64">
        <v>77.900000000000006</v>
      </c>
      <c r="O90" s="64">
        <v>0</v>
      </c>
      <c r="P90" s="64">
        <v>1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3" t="s">
        <v>806</v>
      </c>
      <c r="B91" s="64">
        <v>15.23</v>
      </c>
      <c r="C91" s="64">
        <v>66.8</v>
      </c>
      <c r="D91" s="64">
        <v>45.74</v>
      </c>
      <c r="E91" s="64">
        <v>5.25</v>
      </c>
      <c r="F91" s="64">
        <v>2.13</v>
      </c>
      <c r="G91" s="64">
        <v>97.5</v>
      </c>
      <c r="H91" s="64">
        <v>23.98</v>
      </c>
      <c r="I91" s="214" t="s">
        <v>43</v>
      </c>
      <c r="J91" s="64">
        <v>1.01</v>
      </c>
      <c r="K91" s="64">
        <v>353.53</v>
      </c>
      <c r="L91" s="64">
        <v>20.260000000000002</v>
      </c>
      <c r="M91" s="64">
        <v>45.07</v>
      </c>
      <c r="N91" s="64">
        <v>78.099999999999994</v>
      </c>
      <c r="O91" s="64">
        <v>0</v>
      </c>
      <c r="P91" s="64">
        <v>1</v>
      </c>
      <c r="Q91" s="64">
        <v>9.67</v>
      </c>
      <c r="R91" s="198"/>
      <c r="S91" s="198"/>
      <c r="T91" s="198"/>
      <c r="U91" s="198"/>
    </row>
    <row r="92" spans="1:26" s="12" customFormat="1" x14ac:dyDescent="0.25">
      <c r="A92" s="213" t="s">
        <v>807</v>
      </c>
      <c r="B92" s="64">
        <v>16.07</v>
      </c>
      <c r="C92" s="64">
        <v>66.569999999999993</v>
      </c>
      <c r="D92" s="64">
        <v>46.29</v>
      </c>
      <c r="E92" s="64">
        <v>5.16</v>
      </c>
      <c r="F92" s="64">
        <v>2.13</v>
      </c>
      <c r="G92" s="64">
        <v>96.69</v>
      </c>
      <c r="H92" s="64">
        <v>22.49</v>
      </c>
      <c r="I92" s="214" t="s">
        <v>43</v>
      </c>
      <c r="J92" s="64">
        <v>1.1499999999999999</v>
      </c>
      <c r="K92" s="64">
        <v>355.48</v>
      </c>
      <c r="L92" s="64">
        <v>20.05</v>
      </c>
      <c r="M92" s="64">
        <v>44.88</v>
      </c>
      <c r="N92" s="64">
        <v>78</v>
      </c>
      <c r="O92" s="64">
        <v>0</v>
      </c>
      <c r="P92" s="64">
        <v>0.99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3" t="s">
        <v>808</v>
      </c>
      <c r="B93" s="64">
        <v>17.100000000000001</v>
      </c>
      <c r="C93" s="64">
        <v>62.91</v>
      </c>
      <c r="D93" s="64">
        <v>45.21</v>
      </c>
      <c r="E93" s="64">
        <v>4.99</v>
      </c>
      <c r="F93" s="64">
        <v>2.13</v>
      </c>
      <c r="G93" s="64">
        <v>90.18</v>
      </c>
      <c r="H93" s="64">
        <v>10.55</v>
      </c>
      <c r="I93" s="214" t="s">
        <v>43</v>
      </c>
      <c r="J93" s="64">
        <v>1.37</v>
      </c>
      <c r="K93" s="64">
        <v>352.56</v>
      </c>
      <c r="L93" s="64">
        <v>19.809999999999999</v>
      </c>
      <c r="M93" s="64">
        <v>43.79</v>
      </c>
      <c r="N93" s="64">
        <v>77.8</v>
      </c>
      <c r="O93" s="64">
        <v>0</v>
      </c>
      <c r="P93" s="64">
        <v>1.01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3" t="s">
        <v>809</v>
      </c>
      <c r="B94" s="64">
        <v>17.88</v>
      </c>
      <c r="C94" s="64">
        <v>63.29</v>
      </c>
      <c r="D94" s="64">
        <v>46.03</v>
      </c>
      <c r="E94" s="64">
        <v>5.32</v>
      </c>
      <c r="F94" s="64">
        <v>2.13</v>
      </c>
      <c r="G94" s="64">
        <v>90.18</v>
      </c>
      <c r="H94" s="64">
        <v>10.55</v>
      </c>
      <c r="I94" s="214" t="s">
        <v>43</v>
      </c>
      <c r="J94" s="64">
        <v>1.42</v>
      </c>
      <c r="K94" s="64">
        <v>354.74</v>
      </c>
      <c r="L94" s="64">
        <v>19.63</v>
      </c>
      <c r="M94" s="64">
        <v>42.55</v>
      </c>
      <c r="N94" s="64">
        <v>78</v>
      </c>
      <c r="O94" s="64">
        <v>0</v>
      </c>
      <c r="P94" s="64">
        <v>0.97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3" t="s">
        <v>810</v>
      </c>
      <c r="B95" s="64">
        <v>18.21</v>
      </c>
      <c r="C95" s="64">
        <v>63.28</v>
      </c>
      <c r="D95" s="64">
        <v>46.29</v>
      </c>
      <c r="E95" s="64">
        <v>5.15</v>
      </c>
      <c r="F95" s="64">
        <v>2.13</v>
      </c>
      <c r="G95" s="64">
        <v>90.18</v>
      </c>
      <c r="H95" s="64">
        <v>10.55</v>
      </c>
      <c r="I95" s="214" t="s">
        <v>43</v>
      </c>
      <c r="J95" s="64">
        <v>1.59</v>
      </c>
      <c r="K95" s="64">
        <v>354.96</v>
      </c>
      <c r="L95" s="64">
        <v>19.32</v>
      </c>
      <c r="M95" s="64">
        <v>42.88</v>
      </c>
      <c r="N95" s="64">
        <v>78.2</v>
      </c>
      <c r="O95" s="64">
        <v>0</v>
      </c>
      <c r="P95" s="64">
        <v>0.94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3" t="s">
        <v>811</v>
      </c>
      <c r="B96" s="64">
        <v>18.43</v>
      </c>
      <c r="C96" s="64">
        <v>63.65</v>
      </c>
      <c r="D96" s="64">
        <v>46.65</v>
      </c>
      <c r="E96" s="64">
        <v>5.0599999999999996</v>
      </c>
      <c r="F96" s="64">
        <v>2.13</v>
      </c>
      <c r="G96" s="64">
        <v>89.8</v>
      </c>
      <c r="H96" s="64">
        <v>9.92</v>
      </c>
      <c r="I96" s="214" t="s">
        <v>43</v>
      </c>
      <c r="J96" s="64">
        <v>1.42</v>
      </c>
      <c r="K96" s="64">
        <v>357.41</v>
      </c>
      <c r="L96" s="64">
        <v>19.03</v>
      </c>
      <c r="M96" s="64">
        <v>41.26</v>
      </c>
      <c r="N96" s="64">
        <v>78.2</v>
      </c>
      <c r="O96" s="64">
        <v>0</v>
      </c>
      <c r="P96" s="64">
        <v>0.9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812</v>
      </c>
      <c r="B97" s="64">
        <v>18.920000000000002</v>
      </c>
      <c r="C97" s="64">
        <v>63.69</v>
      </c>
      <c r="D97" s="64">
        <v>47.07</v>
      </c>
      <c r="E97" s="64">
        <v>5.17</v>
      </c>
      <c r="F97" s="64">
        <v>2.13</v>
      </c>
      <c r="G97" s="64">
        <v>86.77</v>
      </c>
      <c r="H97" s="64">
        <v>4.8499999999999996</v>
      </c>
      <c r="I97" s="214" t="s">
        <v>43</v>
      </c>
      <c r="J97" s="64">
        <v>1.2</v>
      </c>
      <c r="K97" s="64">
        <v>355.87</v>
      </c>
      <c r="L97" s="64">
        <v>18.760000000000002</v>
      </c>
      <c r="M97" s="64">
        <v>37.869999999999997</v>
      </c>
      <c r="N97" s="64">
        <v>78.2</v>
      </c>
      <c r="O97" s="64">
        <v>0</v>
      </c>
      <c r="P97" s="64">
        <v>0.91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3" t="s">
        <v>813</v>
      </c>
      <c r="B98" s="64">
        <v>19.12</v>
      </c>
      <c r="C98" s="64">
        <v>62.58</v>
      </c>
      <c r="D98" s="64">
        <v>46.65</v>
      </c>
      <c r="E98" s="64">
        <v>5.16</v>
      </c>
      <c r="F98" s="64">
        <v>2.13</v>
      </c>
      <c r="G98" s="64">
        <v>86.77</v>
      </c>
      <c r="H98" s="64">
        <v>4.8499999999999996</v>
      </c>
      <c r="I98" s="214" t="s">
        <v>43</v>
      </c>
      <c r="J98" s="64">
        <v>1.24</v>
      </c>
      <c r="K98" s="64">
        <v>353.64</v>
      </c>
      <c r="L98" s="64">
        <v>18.55</v>
      </c>
      <c r="M98" s="64">
        <v>36.54</v>
      </c>
      <c r="N98" s="64">
        <v>78.099999999999994</v>
      </c>
      <c r="O98" s="64">
        <v>0</v>
      </c>
      <c r="P98" s="64">
        <v>0.9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3" t="s">
        <v>814</v>
      </c>
      <c r="B99" s="64">
        <v>19.2</v>
      </c>
      <c r="C99" s="64">
        <v>62.11</v>
      </c>
      <c r="D99" s="64">
        <v>46.48</v>
      </c>
      <c r="E99" s="64">
        <v>4.66</v>
      </c>
      <c r="F99" s="64">
        <v>2.13</v>
      </c>
      <c r="G99" s="64">
        <v>86.77</v>
      </c>
      <c r="H99" s="64">
        <v>4.8499999999999996</v>
      </c>
      <c r="I99" s="214" t="s">
        <v>43</v>
      </c>
      <c r="J99" s="64">
        <v>1.35</v>
      </c>
      <c r="K99" s="64">
        <v>354.28</v>
      </c>
      <c r="L99" s="64">
        <v>18.190000000000001</v>
      </c>
      <c r="M99" s="64">
        <v>37.130000000000003</v>
      </c>
      <c r="N99" s="64">
        <v>78.2</v>
      </c>
      <c r="O99" s="64">
        <v>0</v>
      </c>
      <c r="P99" s="64">
        <v>0.82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3" t="s">
        <v>815</v>
      </c>
      <c r="B100" s="64">
        <v>19.02</v>
      </c>
      <c r="C100" s="64">
        <v>62.12</v>
      </c>
      <c r="D100" s="64">
        <v>46.33</v>
      </c>
      <c r="E100" s="64">
        <v>4.5999999999999996</v>
      </c>
      <c r="F100" s="64">
        <v>2.13</v>
      </c>
      <c r="G100" s="64">
        <v>85.37</v>
      </c>
      <c r="H100" s="64">
        <v>35.65</v>
      </c>
      <c r="I100" s="214" t="s">
        <v>43</v>
      </c>
      <c r="J100" s="64">
        <v>0.97</v>
      </c>
      <c r="K100" s="64">
        <v>350.7</v>
      </c>
      <c r="L100" s="64">
        <v>17.97</v>
      </c>
      <c r="M100" s="64">
        <v>37.21</v>
      </c>
      <c r="N100" s="64">
        <v>78.099999999999994</v>
      </c>
      <c r="O100" s="64">
        <v>0</v>
      </c>
      <c r="P100" s="64">
        <v>0.93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816</v>
      </c>
      <c r="B101" s="64">
        <v>18.73</v>
      </c>
      <c r="C101" s="64">
        <v>62.7</v>
      </c>
      <c r="D101" s="64">
        <v>46.41</v>
      </c>
      <c r="E101" s="64">
        <v>4.9800000000000004</v>
      </c>
      <c r="F101" s="64">
        <v>2.13</v>
      </c>
      <c r="G101" s="64">
        <v>74.180000000000007</v>
      </c>
      <c r="H101" s="212" t="s">
        <v>42</v>
      </c>
      <c r="I101" s="214" t="s">
        <v>43</v>
      </c>
      <c r="J101" s="64">
        <v>0.65</v>
      </c>
      <c r="K101" s="64">
        <v>348.1</v>
      </c>
      <c r="L101" s="64">
        <v>17.850000000000001</v>
      </c>
      <c r="M101" s="64">
        <v>34.840000000000003</v>
      </c>
      <c r="N101" s="64">
        <v>78</v>
      </c>
      <c r="O101" s="64">
        <v>0</v>
      </c>
      <c r="P101" s="64">
        <v>0.91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3" t="s">
        <v>817</v>
      </c>
      <c r="B102" s="64">
        <v>18</v>
      </c>
      <c r="C102" s="64">
        <v>61.7</v>
      </c>
      <c r="D102" s="64">
        <v>45.3</v>
      </c>
      <c r="E102" s="64">
        <v>5.0199999999999996</v>
      </c>
      <c r="F102" s="64">
        <v>2.13</v>
      </c>
      <c r="G102" s="64">
        <v>74.180000000000007</v>
      </c>
      <c r="H102" s="212" t="s">
        <v>42</v>
      </c>
      <c r="I102" s="214" t="s">
        <v>43</v>
      </c>
      <c r="J102" s="64">
        <v>0.41</v>
      </c>
      <c r="K102" s="64">
        <v>9.75</v>
      </c>
      <c r="L102" s="64">
        <v>17.670000000000002</v>
      </c>
      <c r="M102" s="64">
        <v>34.25</v>
      </c>
      <c r="N102" s="64">
        <v>78.2</v>
      </c>
      <c r="O102" s="64">
        <v>0</v>
      </c>
      <c r="P102" s="64">
        <v>0.88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3" t="s">
        <v>818</v>
      </c>
      <c r="B103" s="64">
        <v>17.13</v>
      </c>
      <c r="C103" s="64">
        <v>60.38</v>
      </c>
      <c r="D103" s="64">
        <v>43.9</v>
      </c>
      <c r="E103" s="64">
        <v>4.2</v>
      </c>
      <c r="F103" s="64">
        <v>2.13</v>
      </c>
      <c r="G103" s="64">
        <v>74.180000000000007</v>
      </c>
      <c r="H103" s="212" t="s">
        <v>42</v>
      </c>
      <c r="I103" s="214" t="s">
        <v>43</v>
      </c>
      <c r="J103" s="64">
        <v>0.3</v>
      </c>
      <c r="K103" s="64">
        <v>15.31</v>
      </c>
      <c r="L103" s="64">
        <v>17.39</v>
      </c>
      <c r="M103" s="64">
        <v>34.72</v>
      </c>
      <c r="N103" s="64">
        <v>78.2</v>
      </c>
      <c r="O103" s="64">
        <v>0</v>
      </c>
      <c r="P103" s="64">
        <v>0.87</v>
      </c>
      <c r="Q103" s="64">
        <v>9.66</v>
      </c>
      <c r="R103" s="198"/>
      <c r="S103" s="198"/>
      <c r="T103" s="198"/>
      <c r="U103" s="198"/>
    </row>
    <row r="104" spans="1:33" s="12" customFormat="1" x14ac:dyDescent="0.25">
      <c r="A104" s="213" t="s">
        <v>819</v>
      </c>
      <c r="B104" s="64">
        <v>16.420000000000002</v>
      </c>
      <c r="C104" s="64">
        <v>59.5</v>
      </c>
      <c r="D104" s="64">
        <v>42.88</v>
      </c>
      <c r="E104" s="64">
        <v>3.73</v>
      </c>
      <c r="F104" s="64">
        <v>2.13</v>
      </c>
      <c r="G104" s="64">
        <v>72.67</v>
      </c>
      <c r="H104" s="212" t="s">
        <v>42</v>
      </c>
      <c r="I104" s="214" t="s">
        <v>43</v>
      </c>
      <c r="J104" s="64">
        <v>0.49</v>
      </c>
      <c r="K104" s="64">
        <v>351.38</v>
      </c>
      <c r="L104" s="64">
        <v>17.100000000000001</v>
      </c>
      <c r="M104" s="64">
        <v>34.64</v>
      </c>
      <c r="N104" s="64">
        <v>78.099999999999994</v>
      </c>
      <c r="O104" s="64">
        <v>0</v>
      </c>
      <c r="P104" s="64">
        <v>0.84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4.58</v>
      </c>
      <c r="C106" s="67">
        <f>MIN(C9:C104)</f>
        <v>51.28</v>
      </c>
      <c r="D106" s="67">
        <f t="shared" ref="D106:Q106" si="0">MIN(D9:D104)</f>
        <v>30.69</v>
      </c>
      <c r="E106" s="67">
        <f t="shared" si="0"/>
        <v>3.73</v>
      </c>
      <c r="F106" s="67">
        <f t="shared" si="0"/>
        <v>2.13</v>
      </c>
      <c r="G106" s="67">
        <f t="shared" si="0"/>
        <v>57.75</v>
      </c>
      <c r="H106" s="67">
        <f t="shared" si="0"/>
        <v>3.21</v>
      </c>
      <c r="I106" s="67">
        <f t="shared" si="0"/>
        <v>0</v>
      </c>
      <c r="J106" s="67">
        <f t="shared" si="0"/>
        <v>0.3</v>
      </c>
      <c r="K106" s="67">
        <f t="shared" si="0"/>
        <v>0.12</v>
      </c>
      <c r="L106" s="67">
        <f t="shared" si="0"/>
        <v>16.7</v>
      </c>
      <c r="M106" s="67">
        <f t="shared" si="0"/>
        <v>31.26</v>
      </c>
      <c r="N106" s="67">
        <f t="shared" si="0"/>
        <v>77.2</v>
      </c>
      <c r="O106" s="67">
        <f t="shared" si="0"/>
        <v>0</v>
      </c>
      <c r="P106" s="67">
        <f t="shared" si="0"/>
        <v>0.5</v>
      </c>
      <c r="Q106" s="67">
        <f t="shared" si="0"/>
        <v>9.5500000000000007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49.32</v>
      </c>
      <c r="C107" s="66">
        <f t="shared" ref="C107:Q107" si="1">MAX(C9:C104)</f>
        <v>67.790000000000006</v>
      </c>
      <c r="D107" s="66">
        <f t="shared" si="1"/>
        <v>67.849999999999994</v>
      </c>
      <c r="E107" s="66">
        <f t="shared" si="1"/>
        <v>7.4</v>
      </c>
      <c r="F107" s="66">
        <f t="shared" si="1"/>
        <v>2.1800000000000002</v>
      </c>
      <c r="G107" s="66">
        <f t="shared" si="1"/>
        <v>97.5</v>
      </c>
      <c r="H107" s="66">
        <f t="shared" si="1"/>
        <v>57.1</v>
      </c>
      <c r="I107" s="66">
        <f t="shared" si="1"/>
        <v>0</v>
      </c>
      <c r="J107" s="66">
        <f t="shared" si="1"/>
        <v>2.2799999999999998</v>
      </c>
      <c r="K107" s="66">
        <f t="shared" si="1"/>
        <v>358.8</v>
      </c>
      <c r="L107" s="66">
        <f t="shared" si="1"/>
        <v>30.08</v>
      </c>
      <c r="M107" s="66">
        <f t="shared" si="1"/>
        <v>73.55</v>
      </c>
      <c r="N107" s="66">
        <f t="shared" si="1"/>
        <v>542.20000000000005</v>
      </c>
      <c r="O107" s="66">
        <f t="shared" si="1"/>
        <v>0</v>
      </c>
      <c r="P107" s="66">
        <f t="shared" si="1"/>
        <v>1.01</v>
      </c>
      <c r="Q107" s="66">
        <f t="shared" si="1"/>
        <v>9.82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13.989687500000002</v>
      </c>
      <c r="C108" s="67">
        <f t="shared" ref="C108:Q108" si="2">AVERAGE(C9:C104)</f>
        <v>58.749687499999993</v>
      </c>
      <c r="D108" s="67">
        <f t="shared" si="2"/>
        <v>40.536875000000002</v>
      </c>
      <c r="E108" s="67">
        <f t="shared" si="2"/>
        <v>5.6291666666666673</v>
      </c>
      <c r="F108" s="67">
        <f t="shared" si="2"/>
        <v>2.1305208333333305</v>
      </c>
      <c r="G108" s="67">
        <f t="shared" si="2"/>
        <v>73.023333333333383</v>
      </c>
      <c r="H108" s="67">
        <f t="shared" si="2"/>
        <v>23.810978260869568</v>
      </c>
      <c r="I108" s="67" t="e">
        <f t="shared" si="2"/>
        <v>#DIV/0!</v>
      </c>
      <c r="J108" s="67">
        <f t="shared" si="2"/>
        <v>1.3550000000000004</v>
      </c>
      <c r="K108" s="67">
        <f t="shared" si="2"/>
        <v>297.674375</v>
      </c>
      <c r="L108" s="67">
        <f t="shared" si="2"/>
        <v>21.526666666666671</v>
      </c>
      <c r="M108" s="67">
        <f t="shared" si="2"/>
        <v>50.759479166666658</v>
      </c>
      <c r="N108" s="67">
        <f t="shared" si="2"/>
        <v>198.13124999999999</v>
      </c>
      <c r="O108" s="67">
        <f t="shared" si="2"/>
        <v>0</v>
      </c>
      <c r="P108" s="67">
        <f t="shared" si="2"/>
        <v>0.71947916666666656</v>
      </c>
      <c r="Q108" s="67">
        <f t="shared" si="2"/>
        <v>9.6227083333333301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11.130829964148655</v>
      </c>
      <c r="C109" s="67">
        <f t="shared" ref="C109:Q109" si="3">STDEV(C9:C104)</f>
        <v>4.5262259061990457</v>
      </c>
      <c r="D109" s="67">
        <f t="shared" si="3"/>
        <v>8.7597897490389407</v>
      </c>
      <c r="E109" s="67">
        <f t="shared" si="3"/>
        <v>0.81243709608049086</v>
      </c>
      <c r="F109" s="67">
        <f t="shared" si="3"/>
        <v>5.1031036307983071E-3</v>
      </c>
      <c r="G109" s="67">
        <f t="shared" si="3"/>
        <v>11.820177901115883</v>
      </c>
      <c r="H109" s="67">
        <f t="shared" si="3"/>
        <v>12.660208239158742</v>
      </c>
      <c r="I109" s="67" t="e">
        <f t="shared" si="3"/>
        <v>#DIV/0!</v>
      </c>
      <c r="J109" s="67">
        <f t="shared" si="3"/>
        <v>0.4438349622147959</v>
      </c>
      <c r="K109" s="67">
        <f t="shared" si="3"/>
        <v>121.79429012467565</v>
      </c>
      <c r="L109" s="67">
        <f t="shared" si="3"/>
        <v>3.7735100696319726</v>
      </c>
      <c r="M109" s="67">
        <f t="shared" si="3"/>
        <v>13.129128112294277</v>
      </c>
      <c r="N109" s="67">
        <f t="shared" si="3"/>
        <v>175.7114496538963</v>
      </c>
      <c r="O109" s="67">
        <f t="shared" si="3"/>
        <v>0</v>
      </c>
      <c r="P109" s="67">
        <f t="shared" si="3"/>
        <v>0.15792316447308466</v>
      </c>
      <c r="Q109" s="67">
        <f t="shared" si="3"/>
        <v>6.312025559728561E-2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D110" si="4">COUNT(C9:C104)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</f>
        <v>96</v>
      </c>
      <c r="H110" s="66">
        <f>COUNT(H9:H104)+4</f>
        <v>96</v>
      </c>
      <c r="I110" s="66">
        <f t="shared" ref="I110" si="6">COUNT(I9:I104)</f>
        <v>0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7">IF(C110&gt;=87,"&gt;90%",IF(C110&lt;=87,"&lt;90%"))</f>
        <v>&gt;90%</v>
      </c>
      <c r="D111" s="13" t="str">
        <f t="shared" si="7"/>
        <v>&gt;90%</v>
      </c>
      <c r="E111" s="13" t="str">
        <f t="shared" si="7"/>
        <v>&gt;90%</v>
      </c>
      <c r="F111" s="13" t="str">
        <f t="shared" si="7"/>
        <v>&gt;90%</v>
      </c>
      <c r="G111" s="13" t="str">
        <f t="shared" si="7"/>
        <v>&gt;90%</v>
      </c>
      <c r="H111" s="13" t="str">
        <f t="shared" si="7"/>
        <v>&gt;90%</v>
      </c>
      <c r="I111" s="13" t="str">
        <f t="shared" si="7"/>
        <v>&lt;90%</v>
      </c>
      <c r="J111" s="13" t="str">
        <f t="shared" si="7"/>
        <v>&gt;90%</v>
      </c>
      <c r="K111" s="13" t="str">
        <f t="shared" si="7"/>
        <v>&gt;90%</v>
      </c>
      <c r="L111" s="13" t="str">
        <f t="shared" si="7"/>
        <v>&gt;90%</v>
      </c>
      <c r="M111" s="13" t="str">
        <f t="shared" si="7"/>
        <v>&gt;90%</v>
      </c>
      <c r="N111" s="13" t="str">
        <f t="shared" si="7"/>
        <v>&gt;90%</v>
      </c>
      <c r="O111" s="13" t="str">
        <f t="shared" si="7"/>
        <v>&gt;90%</v>
      </c>
      <c r="P111" s="13" t="str">
        <f t="shared" si="7"/>
        <v>&gt;90%</v>
      </c>
      <c r="Q111" s="13" t="str">
        <f t="shared" si="7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8">IF(C110&gt;=87,"OK",IF(C110&lt;=87,"LESS"))</f>
        <v>OK</v>
      </c>
      <c r="D112" s="13" t="str">
        <f t="shared" si="8"/>
        <v>OK</v>
      </c>
      <c r="E112" s="13" t="str">
        <f t="shared" si="8"/>
        <v>OK</v>
      </c>
      <c r="F112" s="13" t="str">
        <f t="shared" si="8"/>
        <v>OK</v>
      </c>
      <c r="G112" s="13" t="str">
        <f t="shared" si="8"/>
        <v>OK</v>
      </c>
      <c r="H112" s="13" t="str">
        <f t="shared" si="8"/>
        <v>OK</v>
      </c>
      <c r="I112" s="13" t="str">
        <f t="shared" si="8"/>
        <v>LESS</v>
      </c>
      <c r="J112" s="13" t="str">
        <f t="shared" si="8"/>
        <v>OK</v>
      </c>
      <c r="K112" s="13" t="str">
        <f t="shared" si="8"/>
        <v>OK</v>
      </c>
      <c r="L112" s="13" t="str">
        <f t="shared" si="8"/>
        <v>OK</v>
      </c>
      <c r="M112" s="13" t="str">
        <f t="shared" si="8"/>
        <v>OK</v>
      </c>
      <c r="N112" s="13" t="str">
        <f t="shared" si="8"/>
        <v>OK</v>
      </c>
      <c r="O112" s="13" t="str">
        <f t="shared" si="8"/>
        <v>OK</v>
      </c>
      <c r="P112" s="13" t="str">
        <f t="shared" si="8"/>
        <v>OK</v>
      </c>
      <c r="Q112" s="13" t="str">
        <f t="shared" si="8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820</v>
      </c>
      <c r="B9" s="64">
        <v>16.14</v>
      </c>
      <c r="C9" s="64">
        <v>58.74</v>
      </c>
      <c r="D9" s="64">
        <v>42.26</v>
      </c>
      <c r="E9" s="64">
        <v>4.43</v>
      </c>
      <c r="F9" s="64">
        <v>2.13</v>
      </c>
      <c r="G9" s="64">
        <v>60.57</v>
      </c>
      <c r="H9" s="212" t="s">
        <v>42</v>
      </c>
      <c r="I9" s="210" t="s">
        <v>43</v>
      </c>
      <c r="J9" s="64">
        <v>0.54</v>
      </c>
      <c r="K9" s="64">
        <v>350.53</v>
      </c>
      <c r="L9" s="64">
        <v>16.899999999999999</v>
      </c>
      <c r="M9" s="64">
        <v>35.24</v>
      </c>
      <c r="N9" s="64">
        <v>78</v>
      </c>
      <c r="O9" s="64">
        <v>0</v>
      </c>
      <c r="P9" s="64">
        <v>0.82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3" t="s">
        <v>821</v>
      </c>
      <c r="B10" s="64">
        <v>15.61</v>
      </c>
      <c r="C10" s="64">
        <v>57.83</v>
      </c>
      <c r="D10" s="64">
        <v>41.35</v>
      </c>
      <c r="E10" s="64">
        <v>4.68</v>
      </c>
      <c r="F10" s="64">
        <v>2.13</v>
      </c>
      <c r="G10" s="64">
        <v>60.57</v>
      </c>
      <c r="H10" s="212" t="s">
        <v>42</v>
      </c>
      <c r="I10" s="210" t="s">
        <v>43</v>
      </c>
      <c r="J10" s="64">
        <v>0.56000000000000005</v>
      </c>
      <c r="K10" s="64">
        <v>2.78</v>
      </c>
      <c r="L10" s="64">
        <v>16.91</v>
      </c>
      <c r="M10" s="64">
        <v>34.44</v>
      </c>
      <c r="N10" s="64">
        <v>77.599999999999994</v>
      </c>
      <c r="O10" s="64">
        <v>0</v>
      </c>
      <c r="P10" s="64">
        <v>0.8</v>
      </c>
      <c r="Q10" s="64">
        <v>9.65</v>
      </c>
      <c r="R10" s="198"/>
      <c r="S10" s="198"/>
      <c r="T10" s="198"/>
      <c r="U10" s="198"/>
    </row>
    <row r="11" spans="1:21" s="12" customFormat="1" x14ac:dyDescent="0.25">
      <c r="A11" s="213" t="s">
        <v>822</v>
      </c>
      <c r="B11" s="64">
        <v>14.72</v>
      </c>
      <c r="C11" s="64">
        <v>56.64</v>
      </c>
      <c r="D11" s="64">
        <v>40.020000000000003</v>
      </c>
      <c r="E11" s="64">
        <v>4.2699999999999996</v>
      </c>
      <c r="F11" s="64">
        <v>2.13</v>
      </c>
      <c r="G11" s="64">
        <v>60.57</v>
      </c>
      <c r="H11" s="212" t="s">
        <v>42</v>
      </c>
      <c r="I11" s="210" t="s">
        <v>43</v>
      </c>
      <c r="J11" s="64">
        <v>0.71</v>
      </c>
      <c r="K11" s="64">
        <v>346.42</v>
      </c>
      <c r="L11" s="64">
        <v>16.8</v>
      </c>
      <c r="M11" s="64">
        <v>34.020000000000003</v>
      </c>
      <c r="N11" s="64">
        <v>77.599999999999994</v>
      </c>
      <c r="O11" s="64">
        <v>0</v>
      </c>
      <c r="P11" s="64">
        <v>0.78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13" t="s">
        <v>823</v>
      </c>
      <c r="B12" s="64">
        <v>13.73</v>
      </c>
      <c r="C12" s="64">
        <v>55.69</v>
      </c>
      <c r="D12" s="64">
        <v>38.729999999999997</v>
      </c>
      <c r="E12" s="64">
        <v>4.28</v>
      </c>
      <c r="F12" s="64">
        <v>2.13</v>
      </c>
      <c r="G12" s="64">
        <v>59.82</v>
      </c>
      <c r="H12" s="212" t="s">
        <v>42</v>
      </c>
      <c r="I12" s="210" t="s">
        <v>43</v>
      </c>
      <c r="J12" s="64">
        <v>0.83</v>
      </c>
      <c r="K12" s="64">
        <v>351.46</v>
      </c>
      <c r="L12" s="64">
        <v>16.77</v>
      </c>
      <c r="M12" s="64">
        <v>33.049999999999997</v>
      </c>
      <c r="N12" s="64">
        <v>77.900000000000006</v>
      </c>
      <c r="O12" s="64">
        <v>0</v>
      </c>
      <c r="P12" s="64">
        <v>0.74</v>
      </c>
      <c r="Q12" s="64">
        <v>9.67</v>
      </c>
      <c r="R12" s="198"/>
      <c r="S12" s="198"/>
      <c r="T12" s="198"/>
      <c r="U12" s="198"/>
    </row>
    <row r="13" spans="1:21" s="12" customFormat="1" x14ac:dyDescent="0.25">
      <c r="A13" s="213" t="s">
        <v>824</v>
      </c>
      <c r="B13" s="64">
        <v>12.9</v>
      </c>
      <c r="C13" s="64">
        <v>53.63</v>
      </c>
      <c r="D13" s="64">
        <v>36.99</v>
      </c>
      <c r="E13" s="64">
        <v>4.78</v>
      </c>
      <c r="F13" s="64">
        <v>2.13</v>
      </c>
      <c r="G13" s="64">
        <v>53.86</v>
      </c>
      <c r="H13" s="212" t="s">
        <v>42</v>
      </c>
      <c r="I13" s="210" t="s">
        <v>43</v>
      </c>
      <c r="J13" s="64">
        <v>0.54</v>
      </c>
      <c r="K13" s="64">
        <v>359.64</v>
      </c>
      <c r="L13" s="64">
        <v>16.57</v>
      </c>
      <c r="M13" s="64">
        <v>33.39</v>
      </c>
      <c r="N13" s="64">
        <v>77.900000000000006</v>
      </c>
      <c r="O13" s="64">
        <v>0</v>
      </c>
      <c r="P13" s="64">
        <v>0.68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3" t="s">
        <v>825</v>
      </c>
      <c r="B14" s="64">
        <v>12.37</v>
      </c>
      <c r="C14" s="64">
        <v>50.89</v>
      </c>
      <c r="D14" s="64">
        <v>35.130000000000003</v>
      </c>
      <c r="E14" s="64">
        <v>4.5199999999999996</v>
      </c>
      <c r="F14" s="64">
        <v>2.13</v>
      </c>
      <c r="G14" s="64">
        <v>53.86</v>
      </c>
      <c r="H14" s="212" t="s">
        <v>42</v>
      </c>
      <c r="I14" s="210" t="s">
        <v>43</v>
      </c>
      <c r="J14" s="64">
        <v>0.44</v>
      </c>
      <c r="K14" s="64">
        <v>1.18</v>
      </c>
      <c r="L14" s="64">
        <v>16.39</v>
      </c>
      <c r="M14" s="64">
        <v>34.26</v>
      </c>
      <c r="N14" s="64">
        <v>78.099999999999994</v>
      </c>
      <c r="O14" s="64">
        <v>0</v>
      </c>
      <c r="P14" s="64">
        <v>0.66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3" t="s">
        <v>826</v>
      </c>
      <c r="B15" s="64">
        <v>12.27</v>
      </c>
      <c r="C15" s="64">
        <v>50.65</v>
      </c>
      <c r="D15" s="64">
        <v>34.92</v>
      </c>
      <c r="E15" s="64">
        <v>4.1900000000000004</v>
      </c>
      <c r="F15" s="64">
        <v>2.13</v>
      </c>
      <c r="G15" s="64">
        <v>53.86</v>
      </c>
      <c r="H15" s="212" t="s">
        <v>42</v>
      </c>
      <c r="I15" s="210" t="s">
        <v>43</v>
      </c>
      <c r="J15" s="64">
        <v>0.7</v>
      </c>
      <c r="K15" s="64">
        <v>345.7</v>
      </c>
      <c r="L15" s="64">
        <v>16.09</v>
      </c>
      <c r="M15" s="64">
        <v>35.47</v>
      </c>
      <c r="N15" s="64">
        <v>78</v>
      </c>
      <c r="O15" s="64">
        <v>0</v>
      </c>
      <c r="P15" s="64">
        <v>0.64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3" t="s">
        <v>827</v>
      </c>
      <c r="B16" s="64">
        <v>11.94</v>
      </c>
      <c r="C16" s="64">
        <v>50.04</v>
      </c>
      <c r="D16" s="64">
        <v>34.340000000000003</v>
      </c>
      <c r="E16" s="64">
        <v>4.67</v>
      </c>
      <c r="F16" s="64">
        <v>2.13</v>
      </c>
      <c r="G16" s="64">
        <v>53.04</v>
      </c>
      <c r="H16" s="212" t="s">
        <v>42</v>
      </c>
      <c r="I16" s="210" t="s">
        <v>43</v>
      </c>
      <c r="J16" s="64">
        <v>1.24</v>
      </c>
      <c r="K16" s="64">
        <v>356.3</v>
      </c>
      <c r="L16" s="64">
        <v>16.16</v>
      </c>
      <c r="M16" s="64">
        <v>34.04</v>
      </c>
      <c r="N16" s="64">
        <v>77.599999999999994</v>
      </c>
      <c r="O16" s="64">
        <v>0</v>
      </c>
      <c r="P16" s="64">
        <v>0.61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3" t="s">
        <v>828</v>
      </c>
      <c r="B17" s="64">
        <v>11.44</v>
      </c>
      <c r="C17" s="64">
        <v>49.94</v>
      </c>
      <c r="D17" s="64">
        <v>33.89</v>
      </c>
      <c r="E17" s="64">
        <v>4.6900000000000004</v>
      </c>
      <c r="F17" s="64">
        <v>2.13</v>
      </c>
      <c r="G17" s="64">
        <v>45.73</v>
      </c>
      <c r="H17" s="212" t="s">
        <v>42</v>
      </c>
      <c r="I17" s="210" t="s">
        <v>43</v>
      </c>
      <c r="J17" s="64">
        <v>0.77</v>
      </c>
      <c r="K17" s="64">
        <v>5.01</v>
      </c>
      <c r="L17" s="64">
        <v>16.11</v>
      </c>
      <c r="M17" s="64">
        <v>34.21</v>
      </c>
      <c r="N17" s="64">
        <v>78.099999999999994</v>
      </c>
      <c r="O17" s="64">
        <v>0</v>
      </c>
      <c r="P17" s="64">
        <v>0.6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3" t="s">
        <v>829</v>
      </c>
      <c r="B18" s="64">
        <v>11.12</v>
      </c>
      <c r="C18" s="64">
        <v>49.17</v>
      </c>
      <c r="D18" s="64">
        <v>33.22</v>
      </c>
      <c r="E18" s="64">
        <v>4.72</v>
      </c>
      <c r="F18" s="64">
        <v>2.13</v>
      </c>
      <c r="G18" s="64">
        <v>45.73</v>
      </c>
      <c r="H18" s="212" t="s">
        <v>42</v>
      </c>
      <c r="I18" s="210" t="s">
        <v>43</v>
      </c>
      <c r="J18" s="64">
        <v>0.34</v>
      </c>
      <c r="K18" s="64">
        <v>24.69</v>
      </c>
      <c r="L18" s="64">
        <v>15.83</v>
      </c>
      <c r="M18" s="64">
        <v>34.619999999999997</v>
      </c>
      <c r="N18" s="64">
        <v>78.3</v>
      </c>
      <c r="O18" s="64">
        <v>0</v>
      </c>
      <c r="P18" s="64">
        <v>0.59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3" t="s">
        <v>830</v>
      </c>
      <c r="B19" s="64">
        <v>10.93</v>
      </c>
      <c r="C19" s="64">
        <v>48.66</v>
      </c>
      <c r="D19" s="64">
        <v>32.81</v>
      </c>
      <c r="E19" s="64">
        <v>4.4000000000000004</v>
      </c>
      <c r="F19" s="64">
        <v>2.13</v>
      </c>
      <c r="G19" s="64">
        <v>45.73</v>
      </c>
      <c r="H19" s="212" t="s">
        <v>42</v>
      </c>
      <c r="I19" s="210" t="s">
        <v>43</v>
      </c>
      <c r="J19" s="64">
        <v>0.52</v>
      </c>
      <c r="K19" s="64">
        <v>83.36</v>
      </c>
      <c r="L19" s="64">
        <v>15.62</v>
      </c>
      <c r="M19" s="64">
        <v>35.229999999999997</v>
      </c>
      <c r="N19" s="64">
        <v>77.900000000000006</v>
      </c>
      <c r="O19" s="64">
        <v>0</v>
      </c>
      <c r="P19" s="64">
        <v>0.57999999999999996</v>
      </c>
      <c r="Q19" s="64">
        <v>9.58</v>
      </c>
      <c r="R19" s="198"/>
      <c r="S19" s="198"/>
      <c r="T19" s="198"/>
      <c r="U19" s="198"/>
    </row>
    <row r="20" spans="1:21" s="12" customFormat="1" x14ac:dyDescent="0.25">
      <c r="A20" s="213" t="s">
        <v>831</v>
      </c>
      <c r="B20" s="64">
        <v>10.72</v>
      </c>
      <c r="C20" s="64">
        <v>47.37</v>
      </c>
      <c r="D20" s="64">
        <v>31.97</v>
      </c>
      <c r="E20" s="64">
        <v>4.4400000000000004</v>
      </c>
      <c r="F20" s="64">
        <v>2.13</v>
      </c>
      <c r="G20" s="64">
        <v>45.16</v>
      </c>
      <c r="H20" s="212" t="s">
        <v>42</v>
      </c>
      <c r="I20" s="210" t="s">
        <v>43</v>
      </c>
      <c r="J20" s="64">
        <v>0.36</v>
      </c>
      <c r="K20" s="64">
        <v>31.4</v>
      </c>
      <c r="L20" s="64">
        <v>15.55</v>
      </c>
      <c r="M20" s="64">
        <v>35.15</v>
      </c>
      <c r="N20" s="64">
        <v>78.2</v>
      </c>
      <c r="O20" s="64">
        <v>0</v>
      </c>
      <c r="P20" s="64">
        <v>0.57999999999999996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13" t="s">
        <v>832</v>
      </c>
      <c r="B21" s="64">
        <v>10.49</v>
      </c>
      <c r="C21" s="64">
        <v>47.79</v>
      </c>
      <c r="D21" s="64">
        <v>32</v>
      </c>
      <c r="E21" s="64">
        <v>4.68</v>
      </c>
      <c r="F21" s="64">
        <v>2.13</v>
      </c>
      <c r="G21" s="64">
        <v>40.03</v>
      </c>
      <c r="H21" s="212" t="s">
        <v>42</v>
      </c>
      <c r="I21" s="210" t="s">
        <v>43</v>
      </c>
      <c r="J21" s="64">
        <v>0.48</v>
      </c>
      <c r="K21" s="64">
        <v>47.1</v>
      </c>
      <c r="L21" s="64">
        <v>15.3</v>
      </c>
      <c r="M21" s="64">
        <v>35.69</v>
      </c>
      <c r="N21" s="64">
        <v>78.099999999999994</v>
      </c>
      <c r="O21" s="64">
        <v>0</v>
      </c>
      <c r="P21" s="64">
        <v>0.6</v>
      </c>
      <c r="Q21" s="64">
        <v>9.58</v>
      </c>
      <c r="R21" s="198"/>
      <c r="S21" s="198"/>
      <c r="T21" s="198"/>
      <c r="U21" s="198"/>
    </row>
    <row r="22" spans="1:21" s="12" customFormat="1" x14ac:dyDescent="0.25">
      <c r="A22" s="213" t="s">
        <v>833</v>
      </c>
      <c r="B22" s="64">
        <v>10.18</v>
      </c>
      <c r="C22" s="64">
        <v>47.96</v>
      </c>
      <c r="D22" s="64">
        <v>31.84</v>
      </c>
      <c r="E22" s="64">
        <v>5.08</v>
      </c>
      <c r="F22" s="64">
        <v>2.13</v>
      </c>
      <c r="G22" s="64">
        <v>40.03</v>
      </c>
      <c r="H22" s="212" t="s">
        <v>42</v>
      </c>
      <c r="I22" s="210" t="s">
        <v>43</v>
      </c>
      <c r="J22" s="64">
        <v>0.42</v>
      </c>
      <c r="K22" s="64">
        <v>43.92</v>
      </c>
      <c r="L22" s="64">
        <v>15.22</v>
      </c>
      <c r="M22" s="64">
        <v>36.26</v>
      </c>
      <c r="N22" s="64">
        <v>78</v>
      </c>
      <c r="O22" s="64">
        <v>0</v>
      </c>
      <c r="P22" s="64">
        <v>0.57999999999999996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13" t="s">
        <v>834</v>
      </c>
      <c r="B23" s="64">
        <v>9.66</v>
      </c>
      <c r="C23" s="64">
        <v>47.53</v>
      </c>
      <c r="D23" s="64">
        <v>31.2</v>
      </c>
      <c r="E23" s="64">
        <v>4.95</v>
      </c>
      <c r="F23" s="64">
        <v>2.13</v>
      </c>
      <c r="G23" s="64">
        <v>40.03</v>
      </c>
      <c r="H23" s="212" t="s">
        <v>42</v>
      </c>
      <c r="I23" s="210" t="s">
        <v>43</v>
      </c>
      <c r="J23" s="64">
        <v>0.6</v>
      </c>
      <c r="K23" s="64">
        <v>349.11</v>
      </c>
      <c r="L23" s="64">
        <v>15.05</v>
      </c>
      <c r="M23" s="64">
        <v>35.5</v>
      </c>
      <c r="N23" s="64">
        <v>78</v>
      </c>
      <c r="O23" s="64">
        <v>0</v>
      </c>
      <c r="P23" s="64">
        <v>0.56000000000000005</v>
      </c>
      <c r="Q23" s="64">
        <v>9.59</v>
      </c>
      <c r="R23" s="198"/>
      <c r="S23" s="198"/>
      <c r="T23" s="198"/>
      <c r="U23" s="198"/>
    </row>
    <row r="24" spans="1:21" s="12" customFormat="1" x14ac:dyDescent="0.25">
      <c r="A24" s="213" t="s">
        <v>835</v>
      </c>
      <c r="B24" s="64">
        <v>9.2799999999999994</v>
      </c>
      <c r="C24" s="64">
        <v>47.21</v>
      </c>
      <c r="D24" s="64">
        <v>30.73</v>
      </c>
      <c r="E24" s="64">
        <v>4.68</v>
      </c>
      <c r="F24" s="64">
        <v>2.13</v>
      </c>
      <c r="G24" s="64">
        <v>41.59</v>
      </c>
      <c r="H24" s="212" t="s">
        <v>42</v>
      </c>
      <c r="I24" s="210" t="s">
        <v>43</v>
      </c>
      <c r="J24" s="64">
        <v>0.63</v>
      </c>
      <c r="K24" s="64">
        <v>353.04</v>
      </c>
      <c r="L24" s="64">
        <v>14.89</v>
      </c>
      <c r="M24" s="64">
        <v>35.619999999999997</v>
      </c>
      <c r="N24" s="64">
        <v>78.099999999999994</v>
      </c>
      <c r="O24" s="64">
        <v>0</v>
      </c>
      <c r="P24" s="64">
        <v>0.56000000000000005</v>
      </c>
      <c r="Q24" s="64">
        <v>9.5399999999999991</v>
      </c>
      <c r="R24" s="198"/>
      <c r="S24" s="198"/>
      <c r="T24" s="198"/>
      <c r="U24" s="198"/>
    </row>
    <row r="25" spans="1:21" s="12" customFormat="1" x14ac:dyDescent="0.25">
      <c r="A25" s="213" t="s">
        <v>836</v>
      </c>
      <c r="B25" s="64">
        <v>9.0399999999999991</v>
      </c>
      <c r="C25" s="64">
        <v>47</v>
      </c>
      <c r="D25" s="64">
        <v>30.43</v>
      </c>
      <c r="E25" s="64">
        <v>5.13</v>
      </c>
      <c r="F25" s="64">
        <v>2.13</v>
      </c>
      <c r="G25" s="64">
        <v>55.64</v>
      </c>
      <c r="H25" s="212" t="s">
        <v>42</v>
      </c>
      <c r="I25" s="210" t="s">
        <v>43</v>
      </c>
      <c r="J25" s="64">
        <v>0.47</v>
      </c>
      <c r="K25" s="64">
        <v>63.35</v>
      </c>
      <c r="L25" s="64">
        <v>14.93</v>
      </c>
      <c r="M25" s="64">
        <v>35.17</v>
      </c>
      <c r="N25" s="64">
        <v>77.900000000000006</v>
      </c>
      <c r="O25" s="64">
        <v>0</v>
      </c>
      <c r="P25" s="64">
        <v>0.55000000000000004</v>
      </c>
      <c r="Q25" s="64">
        <v>9.5299999999999994</v>
      </c>
      <c r="R25" s="198"/>
      <c r="S25" s="198"/>
      <c r="T25" s="198"/>
      <c r="U25" s="198"/>
    </row>
    <row r="26" spans="1:21" s="12" customFormat="1" x14ac:dyDescent="0.25">
      <c r="A26" s="213" t="s">
        <v>837</v>
      </c>
      <c r="B26" s="64">
        <v>8.8699999999999992</v>
      </c>
      <c r="C26" s="64">
        <v>47.09</v>
      </c>
      <c r="D26" s="64">
        <v>30.34</v>
      </c>
      <c r="E26" s="64">
        <v>4.5599999999999996</v>
      </c>
      <c r="F26" s="64">
        <v>2.13</v>
      </c>
      <c r="G26" s="64">
        <v>55.64</v>
      </c>
      <c r="H26" s="212" t="s">
        <v>42</v>
      </c>
      <c r="I26" s="210" t="s">
        <v>43</v>
      </c>
      <c r="J26" s="64">
        <v>0.54</v>
      </c>
      <c r="K26" s="64">
        <v>352.66</v>
      </c>
      <c r="L26" s="64">
        <v>14.84</v>
      </c>
      <c r="M26" s="64">
        <v>34.71</v>
      </c>
      <c r="N26" s="64">
        <v>78</v>
      </c>
      <c r="O26" s="64">
        <v>0</v>
      </c>
      <c r="P26" s="64">
        <v>0.54</v>
      </c>
      <c r="Q26" s="64">
        <v>9.5299999999999994</v>
      </c>
      <c r="R26" s="198"/>
      <c r="S26" s="198"/>
      <c r="T26" s="198"/>
      <c r="U26" s="198"/>
    </row>
    <row r="27" spans="1:21" s="12" customFormat="1" x14ac:dyDescent="0.25">
      <c r="A27" s="213" t="s">
        <v>838</v>
      </c>
      <c r="B27" s="64">
        <v>8.64</v>
      </c>
      <c r="C27" s="64">
        <v>47.02</v>
      </c>
      <c r="D27" s="64">
        <v>30.12</v>
      </c>
      <c r="E27" s="64">
        <v>4.4400000000000004</v>
      </c>
      <c r="F27" s="64">
        <v>2.13</v>
      </c>
      <c r="G27" s="64">
        <v>55.64</v>
      </c>
      <c r="H27" s="212" t="s">
        <v>42</v>
      </c>
      <c r="I27" s="210" t="s">
        <v>43</v>
      </c>
      <c r="J27" s="64">
        <v>0.56999999999999995</v>
      </c>
      <c r="K27" s="64">
        <v>359.25</v>
      </c>
      <c r="L27" s="64">
        <v>14.76</v>
      </c>
      <c r="M27" s="64">
        <v>34.35</v>
      </c>
      <c r="N27" s="64">
        <v>77.900000000000006</v>
      </c>
      <c r="O27" s="64">
        <v>0</v>
      </c>
      <c r="P27" s="64">
        <v>0.52</v>
      </c>
      <c r="Q27" s="64">
        <v>9.51</v>
      </c>
      <c r="R27" s="198"/>
      <c r="S27" s="198"/>
      <c r="T27" s="198"/>
      <c r="U27" s="198"/>
    </row>
    <row r="28" spans="1:21" s="12" customFormat="1" x14ac:dyDescent="0.25">
      <c r="A28" s="213" t="s">
        <v>839</v>
      </c>
      <c r="B28" s="64">
        <v>8.67</v>
      </c>
      <c r="C28" s="64">
        <v>47.24</v>
      </c>
      <c r="D28" s="64">
        <v>30.26</v>
      </c>
      <c r="E28" s="64">
        <v>4.1500000000000004</v>
      </c>
      <c r="F28" s="64">
        <v>2.13</v>
      </c>
      <c r="G28" s="64">
        <v>55.43</v>
      </c>
      <c r="H28" s="212" t="s">
        <v>42</v>
      </c>
      <c r="I28" s="210" t="s">
        <v>43</v>
      </c>
      <c r="J28" s="64">
        <v>0.46</v>
      </c>
      <c r="K28" s="64">
        <v>17.04</v>
      </c>
      <c r="L28" s="64">
        <v>14.78</v>
      </c>
      <c r="M28" s="64">
        <v>35.39</v>
      </c>
      <c r="N28" s="64">
        <v>77.900000000000006</v>
      </c>
      <c r="O28" s="64">
        <v>0</v>
      </c>
      <c r="P28" s="64">
        <v>0.51</v>
      </c>
      <c r="Q28" s="64">
        <v>9.5</v>
      </c>
      <c r="R28" s="198"/>
      <c r="S28" s="198"/>
      <c r="T28" s="198"/>
      <c r="U28" s="198"/>
    </row>
    <row r="29" spans="1:21" s="12" customFormat="1" x14ac:dyDescent="0.25">
      <c r="A29" s="213" t="s">
        <v>840</v>
      </c>
      <c r="B29" s="64">
        <v>9.35</v>
      </c>
      <c r="C29" s="64">
        <v>47.56</v>
      </c>
      <c r="D29" s="64">
        <v>30.97</v>
      </c>
      <c r="E29" s="64">
        <v>3.92</v>
      </c>
      <c r="F29" s="64">
        <v>2.13</v>
      </c>
      <c r="G29" s="64">
        <v>53.56</v>
      </c>
      <c r="H29" s="212" t="s">
        <v>42</v>
      </c>
      <c r="I29" s="210" t="s">
        <v>43</v>
      </c>
      <c r="J29" s="64">
        <v>0.49</v>
      </c>
      <c r="K29" s="64">
        <v>350.57</v>
      </c>
      <c r="L29" s="64">
        <v>14.58</v>
      </c>
      <c r="M29" s="64">
        <v>35.93</v>
      </c>
      <c r="N29" s="64">
        <v>77.8</v>
      </c>
      <c r="O29" s="64">
        <v>0</v>
      </c>
      <c r="P29" s="64">
        <v>0.5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13" t="s">
        <v>841</v>
      </c>
      <c r="B30" s="64">
        <v>9.94</v>
      </c>
      <c r="C30" s="64">
        <v>46.02</v>
      </c>
      <c r="D30" s="64">
        <v>30.64</v>
      </c>
      <c r="E30" s="64">
        <v>4.1399999999999997</v>
      </c>
      <c r="F30" s="64">
        <v>2.13</v>
      </c>
      <c r="G30" s="64">
        <v>53.56</v>
      </c>
      <c r="H30" s="212" t="s">
        <v>42</v>
      </c>
      <c r="I30" s="210" t="s">
        <v>43</v>
      </c>
      <c r="J30" s="64">
        <v>0.61</v>
      </c>
      <c r="K30" s="64">
        <v>348.78</v>
      </c>
      <c r="L30" s="64">
        <v>14.52</v>
      </c>
      <c r="M30" s="64">
        <v>35.31</v>
      </c>
      <c r="N30" s="64">
        <v>77.900000000000006</v>
      </c>
      <c r="O30" s="64">
        <v>0</v>
      </c>
      <c r="P30" s="64">
        <v>0.47</v>
      </c>
      <c r="Q30" s="64">
        <v>9.5299999999999994</v>
      </c>
      <c r="R30" s="198"/>
      <c r="S30" s="198"/>
      <c r="T30" s="198"/>
      <c r="U30" s="198"/>
    </row>
    <row r="31" spans="1:21" s="12" customFormat="1" x14ac:dyDescent="0.25">
      <c r="A31" s="213" t="s">
        <v>842</v>
      </c>
      <c r="B31" s="64">
        <v>10.34</v>
      </c>
      <c r="C31" s="64">
        <v>45.76</v>
      </c>
      <c r="D31" s="64">
        <v>30.83</v>
      </c>
      <c r="E31" s="64">
        <v>3.85</v>
      </c>
      <c r="F31" s="64">
        <v>2.13</v>
      </c>
      <c r="G31" s="64">
        <v>53.56</v>
      </c>
      <c r="H31" s="212" t="s">
        <v>42</v>
      </c>
      <c r="I31" s="210" t="s">
        <v>43</v>
      </c>
      <c r="J31" s="64">
        <v>0.6</v>
      </c>
      <c r="K31" s="64">
        <v>345.89</v>
      </c>
      <c r="L31" s="64">
        <v>14.34</v>
      </c>
      <c r="M31" s="64">
        <v>36.21</v>
      </c>
      <c r="N31" s="64">
        <v>78.2</v>
      </c>
      <c r="O31" s="64">
        <v>0</v>
      </c>
      <c r="P31" s="64">
        <v>0.47</v>
      </c>
      <c r="Q31" s="64">
        <v>9.5399999999999991</v>
      </c>
      <c r="R31" s="198"/>
      <c r="S31" s="198"/>
      <c r="T31" s="198"/>
      <c r="U31" s="198"/>
    </row>
    <row r="32" spans="1:21" s="12" customFormat="1" x14ac:dyDescent="0.25">
      <c r="A32" s="213" t="s">
        <v>843</v>
      </c>
      <c r="B32" s="64">
        <v>11.28</v>
      </c>
      <c r="C32" s="64">
        <v>46.47</v>
      </c>
      <c r="D32" s="64">
        <v>31.95</v>
      </c>
      <c r="E32" s="64">
        <v>4.2</v>
      </c>
      <c r="F32" s="64">
        <v>2.13</v>
      </c>
      <c r="G32" s="64">
        <v>53.73</v>
      </c>
      <c r="H32" s="212" t="s">
        <v>42</v>
      </c>
      <c r="I32" s="210" t="s">
        <v>43</v>
      </c>
      <c r="J32" s="64">
        <v>0.63</v>
      </c>
      <c r="K32" s="64">
        <v>352.58</v>
      </c>
      <c r="L32" s="64">
        <v>14</v>
      </c>
      <c r="M32" s="64">
        <v>38</v>
      </c>
      <c r="N32" s="64">
        <v>78.099999999999994</v>
      </c>
      <c r="O32" s="64">
        <v>0</v>
      </c>
      <c r="P32" s="64">
        <v>0.46</v>
      </c>
      <c r="Q32" s="64">
        <v>9.57</v>
      </c>
      <c r="R32" s="198"/>
      <c r="S32" s="198"/>
      <c r="T32" s="198"/>
      <c r="U32" s="198"/>
    </row>
    <row r="33" spans="1:21" s="12" customFormat="1" x14ac:dyDescent="0.25">
      <c r="A33" s="213" t="s">
        <v>844</v>
      </c>
      <c r="B33" s="64">
        <v>11.99</v>
      </c>
      <c r="C33" s="64">
        <v>47.14</v>
      </c>
      <c r="D33" s="64">
        <v>32.869999999999997</v>
      </c>
      <c r="E33" s="64">
        <v>3.86</v>
      </c>
      <c r="F33" s="64">
        <v>2.13</v>
      </c>
      <c r="G33" s="64">
        <v>55.32</v>
      </c>
      <c r="H33" s="212" t="s">
        <v>42</v>
      </c>
      <c r="I33" s="210" t="s">
        <v>43</v>
      </c>
      <c r="J33" s="64">
        <v>0.12</v>
      </c>
      <c r="K33" s="64">
        <v>347.8</v>
      </c>
      <c r="L33" s="64">
        <v>13.84</v>
      </c>
      <c r="M33" s="64">
        <v>38.22</v>
      </c>
      <c r="N33" s="64">
        <v>78</v>
      </c>
      <c r="O33" s="64">
        <v>0</v>
      </c>
      <c r="P33" s="64">
        <v>0.46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3" t="s">
        <v>845</v>
      </c>
      <c r="B34" s="64">
        <v>12.42</v>
      </c>
      <c r="C34" s="64">
        <v>46.82</v>
      </c>
      <c r="D34" s="64">
        <v>33.049999999999997</v>
      </c>
      <c r="E34" s="64">
        <v>4.1500000000000004</v>
      </c>
      <c r="F34" s="64">
        <v>2.13</v>
      </c>
      <c r="G34" s="64">
        <v>55.32</v>
      </c>
      <c r="H34" s="212" t="s">
        <v>42</v>
      </c>
      <c r="I34" s="210" t="s">
        <v>43</v>
      </c>
      <c r="J34" s="64">
        <v>0.34</v>
      </c>
      <c r="K34" s="64">
        <v>29.46</v>
      </c>
      <c r="L34" s="64">
        <v>14</v>
      </c>
      <c r="M34" s="64">
        <v>37.369999999999997</v>
      </c>
      <c r="N34" s="64">
        <v>78.400000000000006</v>
      </c>
      <c r="O34" s="64">
        <v>0</v>
      </c>
      <c r="P34" s="64">
        <v>0.45</v>
      </c>
      <c r="Q34" s="64">
        <v>9.59</v>
      </c>
      <c r="R34" s="198"/>
      <c r="S34" s="198"/>
      <c r="T34" s="198"/>
      <c r="U34" s="198"/>
    </row>
    <row r="35" spans="1:21" s="12" customFormat="1" x14ac:dyDescent="0.25">
      <c r="A35" s="213" t="s">
        <v>846</v>
      </c>
      <c r="B35" s="64">
        <v>12.72</v>
      </c>
      <c r="C35" s="64">
        <v>46.53</v>
      </c>
      <c r="D35" s="64">
        <v>33.130000000000003</v>
      </c>
      <c r="E35" s="64">
        <v>4.1900000000000004</v>
      </c>
      <c r="F35" s="64">
        <v>2.13</v>
      </c>
      <c r="G35" s="64">
        <v>55.32</v>
      </c>
      <c r="H35" s="212" t="s">
        <v>42</v>
      </c>
      <c r="I35" s="210" t="s">
        <v>43</v>
      </c>
      <c r="J35" s="64">
        <v>0.37</v>
      </c>
      <c r="K35" s="64">
        <v>51.41</v>
      </c>
      <c r="L35" s="64">
        <v>14.01</v>
      </c>
      <c r="M35" s="64">
        <v>37.24</v>
      </c>
      <c r="N35" s="64">
        <v>82.2</v>
      </c>
      <c r="O35" s="64">
        <v>0</v>
      </c>
      <c r="P35" s="64">
        <v>0.46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13" t="s">
        <v>847</v>
      </c>
      <c r="B36" s="64">
        <v>13.53</v>
      </c>
      <c r="C36" s="64">
        <v>46.83</v>
      </c>
      <c r="D36" s="64">
        <v>33.94</v>
      </c>
      <c r="E36" s="64">
        <v>4.7300000000000004</v>
      </c>
      <c r="F36" s="64">
        <v>2.13</v>
      </c>
      <c r="G36" s="64">
        <v>55.76</v>
      </c>
      <c r="H36" s="212" t="s">
        <v>42</v>
      </c>
      <c r="I36" s="210" t="s">
        <v>43</v>
      </c>
      <c r="J36" s="64">
        <v>0.44</v>
      </c>
      <c r="K36" s="64">
        <v>45.41</v>
      </c>
      <c r="L36" s="64">
        <v>14.07</v>
      </c>
      <c r="M36" s="64">
        <v>37.69</v>
      </c>
      <c r="N36" s="64">
        <v>93.2</v>
      </c>
      <c r="O36" s="64">
        <v>0</v>
      </c>
      <c r="P36" s="64">
        <v>0.46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3" t="s">
        <v>848</v>
      </c>
      <c r="B37" s="64">
        <v>14.53</v>
      </c>
      <c r="C37" s="64">
        <v>47.18</v>
      </c>
      <c r="D37" s="64">
        <v>34.92</v>
      </c>
      <c r="E37" s="64">
        <v>4.42</v>
      </c>
      <c r="F37" s="64">
        <v>2.13</v>
      </c>
      <c r="G37" s="64">
        <v>59.73</v>
      </c>
      <c r="H37" s="212" t="s">
        <v>42</v>
      </c>
      <c r="I37" s="210" t="s">
        <v>43</v>
      </c>
      <c r="J37" s="64">
        <v>0.32</v>
      </c>
      <c r="K37" s="64">
        <v>69.650000000000006</v>
      </c>
      <c r="L37" s="64">
        <v>14.36</v>
      </c>
      <c r="M37" s="64">
        <v>37.24</v>
      </c>
      <c r="N37" s="64">
        <v>107.7</v>
      </c>
      <c r="O37" s="64">
        <v>0</v>
      </c>
      <c r="P37" s="64">
        <v>0.5</v>
      </c>
      <c r="Q37" s="64">
        <v>9.56</v>
      </c>
      <c r="R37" s="198"/>
      <c r="S37" s="198"/>
      <c r="T37" s="198"/>
      <c r="U37" s="198"/>
    </row>
    <row r="38" spans="1:21" s="12" customFormat="1" x14ac:dyDescent="0.25">
      <c r="A38" s="213" t="s">
        <v>849</v>
      </c>
      <c r="B38" s="64">
        <v>14.96</v>
      </c>
      <c r="C38" s="64">
        <v>48.11</v>
      </c>
      <c r="D38" s="64">
        <v>35.76</v>
      </c>
      <c r="E38" s="64">
        <v>4.66</v>
      </c>
      <c r="F38" s="64">
        <v>2.13</v>
      </c>
      <c r="G38" s="64">
        <v>59.73</v>
      </c>
      <c r="H38" s="212" t="s">
        <v>42</v>
      </c>
      <c r="I38" s="210" t="s">
        <v>43</v>
      </c>
      <c r="J38" s="64">
        <v>0.41</v>
      </c>
      <c r="K38" s="64">
        <v>66.02</v>
      </c>
      <c r="L38" s="64">
        <v>14.78</v>
      </c>
      <c r="M38" s="64">
        <v>36.07</v>
      </c>
      <c r="N38" s="64">
        <v>125.1</v>
      </c>
      <c r="O38" s="64">
        <v>0</v>
      </c>
      <c r="P38" s="64">
        <v>0.52</v>
      </c>
      <c r="Q38" s="64">
        <v>9.58</v>
      </c>
      <c r="R38" s="198"/>
      <c r="S38" s="198"/>
      <c r="T38" s="198"/>
      <c r="U38" s="198"/>
    </row>
    <row r="39" spans="1:21" s="12" customFormat="1" x14ac:dyDescent="0.25">
      <c r="A39" s="213" t="s">
        <v>850</v>
      </c>
      <c r="B39" s="64">
        <v>15</v>
      </c>
      <c r="C39" s="64">
        <v>48.59</v>
      </c>
      <c r="D39" s="64">
        <v>36.04</v>
      </c>
      <c r="E39" s="64">
        <v>4.5</v>
      </c>
      <c r="F39" s="64">
        <v>2.13</v>
      </c>
      <c r="G39" s="64">
        <v>59.73</v>
      </c>
      <c r="H39" s="212" t="s">
        <v>42</v>
      </c>
      <c r="I39" s="210" t="s">
        <v>43</v>
      </c>
      <c r="J39" s="64">
        <v>0.67</v>
      </c>
      <c r="K39" s="64">
        <v>77.55</v>
      </c>
      <c r="L39" s="64">
        <v>15.47</v>
      </c>
      <c r="M39" s="64">
        <v>34.159999999999997</v>
      </c>
      <c r="N39" s="64">
        <v>184.7</v>
      </c>
      <c r="O39" s="64">
        <v>0</v>
      </c>
      <c r="P39" s="64">
        <v>0.52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3" t="s">
        <v>851</v>
      </c>
      <c r="B40" s="64">
        <v>15.47</v>
      </c>
      <c r="C40" s="64">
        <v>49.48</v>
      </c>
      <c r="D40" s="64">
        <v>36.880000000000003</v>
      </c>
      <c r="E40" s="64">
        <v>6.36</v>
      </c>
      <c r="F40" s="64">
        <v>2.13</v>
      </c>
      <c r="G40" s="64">
        <v>59.26</v>
      </c>
      <c r="H40" s="212" t="s">
        <v>42</v>
      </c>
      <c r="I40" s="210" t="s">
        <v>43</v>
      </c>
      <c r="J40" s="64">
        <v>0.93</v>
      </c>
      <c r="K40" s="64">
        <v>352.42</v>
      </c>
      <c r="L40" s="64">
        <v>17.420000000000002</v>
      </c>
      <c r="M40" s="64">
        <v>30.49</v>
      </c>
      <c r="N40" s="64">
        <v>236.7</v>
      </c>
      <c r="O40" s="64">
        <v>0</v>
      </c>
      <c r="P40" s="64">
        <v>0.53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3" t="s">
        <v>852</v>
      </c>
      <c r="B41" s="64">
        <v>16.14</v>
      </c>
      <c r="C41" s="64">
        <v>50.44</v>
      </c>
      <c r="D41" s="64">
        <v>37.92</v>
      </c>
      <c r="E41" s="64">
        <v>6.44</v>
      </c>
      <c r="F41" s="64">
        <v>2.13</v>
      </c>
      <c r="G41" s="64">
        <v>55.45</v>
      </c>
      <c r="H41" s="212" t="s">
        <v>42</v>
      </c>
      <c r="I41" s="210" t="s">
        <v>43</v>
      </c>
      <c r="J41" s="64">
        <v>0.68</v>
      </c>
      <c r="K41" s="64">
        <v>9.4600000000000009</v>
      </c>
      <c r="L41" s="64">
        <v>18.600000000000001</v>
      </c>
      <c r="M41" s="64">
        <v>28.21</v>
      </c>
      <c r="N41" s="64">
        <v>281.89999999999998</v>
      </c>
      <c r="O41" s="64">
        <v>0</v>
      </c>
      <c r="P41" s="64">
        <v>0.54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3" t="s">
        <v>853</v>
      </c>
      <c r="B42" s="64">
        <v>16.649999999999999</v>
      </c>
      <c r="C42" s="64">
        <v>51.43</v>
      </c>
      <c r="D42" s="64">
        <v>38.85</v>
      </c>
      <c r="E42" s="64">
        <v>6.1</v>
      </c>
      <c r="F42" s="64">
        <v>2.13</v>
      </c>
      <c r="G42" s="64">
        <v>55.45</v>
      </c>
      <c r="H42" s="212" t="s">
        <v>42</v>
      </c>
      <c r="I42" s="210" t="s">
        <v>43</v>
      </c>
      <c r="J42" s="64">
        <v>1.43</v>
      </c>
      <c r="K42" s="64">
        <v>100.3</v>
      </c>
      <c r="L42" s="64">
        <v>18.72</v>
      </c>
      <c r="M42" s="64">
        <v>27.73</v>
      </c>
      <c r="N42" s="64">
        <v>335.6</v>
      </c>
      <c r="O42" s="64">
        <v>0</v>
      </c>
      <c r="P42" s="64">
        <v>0.54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3" t="s">
        <v>854</v>
      </c>
      <c r="B43" s="64">
        <v>16.27</v>
      </c>
      <c r="C43" s="64">
        <v>52.01</v>
      </c>
      <c r="D43" s="64">
        <v>38.85</v>
      </c>
      <c r="E43" s="64">
        <v>5.88</v>
      </c>
      <c r="F43" s="64">
        <v>2.13</v>
      </c>
      <c r="G43" s="64">
        <v>55.45</v>
      </c>
      <c r="H43" s="212" t="s">
        <v>42</v>
      </c>
      <c r="I43" s="210" t="s">
        <v>43</v>
      </c>
      <c r="J43" s="64">
        <v>1.52</v>
      </c>
      <c r="K43" s="64">
        <v>104.9</v>
      </c>
      <c r="L43" s="64">
        <v>18.09</v>
      </c>
      <c r="M43" s="64">
        <v>28.94</v>
      </c>
      <c r="N43" s="64">
        <v>370.8</v>
      </c>
      <c r="O43" s="64">
        <v>0</v>
      </c>
      <c r="P43" s="64">
        <v>0.53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3" t="s">
        <v>855</v>
      </c>
      <c r="B44" s="64">
        <v>15.54</v>
      </c>
      <c r="C44" s="64">
        <v>52.4</v>
      </c>
      <c r="D44" s="64">
        <v>38.46</v>
      </c>
      <c r="E44" s="64">
        <v>6.39</v>
      </c>
      <c r="F44" s="64">
        <v>2.13</v>
      </c>
      <c r="G44" s="64">
        <v>55.49</v>
      </c>
      <c r="H44" s="212" t="s">
        <v>42</v>
      </c>
      <c r="I44" s="210" t="s">
        <v>43</v>
      </c>
      <c r="J44" s="64">
        <v>1.94</v>
      </c>
      <c r="K44" s="64">
        <v>106.68</v>
      </c>
      <c r="L44" s="64">
        <v>18.28</v>
      </c>
      <c r="M44" s="64">
        <v>28</v>
      </c>
      <c r="N44" s="64">
        <v>415.1</v>
      </c>
      <c r="O44" s="64">
        <v>0</v>
      </c>
      <c r="P44" s="64">
        <v>0.53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3" t="s">
        <v>856</v>
      </c>
      <c r="B45" s="64">
        <v>15.22</v>
      </c>
      <c r="C45" s="64">
        <v>53.03</v>
      </c>
      <c r="D45" s="64">
        <v>38.53</v>
      </c>
      <c r="E45" s="64">
        <v>6.03</v>
      </c>
      <c r="F45" s="64">
        <v>2.13</v>
      </c>
      <c r="G45" s="64">
        <v>55.84</v>
      </c>
      <c r="H45" s="64">
        <v>11.73</v>
      </c>
      <c r="I45" s="210" t="s">
        <v>43</v>
      </c>
      <c r="J45" s="64">
        <v>0.7</v>
      </c>
      <c r="K45" s="64">
        <v>61.25</v>
      </c>
      <c r="L45" s="64">
        <v>19.68</v>
      </c>
      <c r="M45" s="64">
        <v>26.22</v>
      </c>
      <c r="N45" s="64">
        <v>443.1</v>
      </c>
      <c r="O45" s="64">
        <v>0</v>
      </c>
      <c r="P45" s="64">
        <v>0.53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13" t="s">
        <v>857</v>
      </c>
      <c r="B46" s="64">
        <v>15.36</v>
      </c>
      <c r="C46" s="64">
        <v>54.03</v>
      </c>
      <c r="D46" s="64">
        <v>39.159999999999997</v>
      </c>
      <c r="E46" s="64">
        <v>6.01</v>
      </c>
      <c r="F46" s="64">
        <v>2.13</v>
      </c>
      <c r="G46" s="64">
        <v>55.84</v>
      </c>
      <c r="H46" s="64">
        <v>11.73</v>
      </c>
      <c r="I46" s="210" t="s">
        <v>43</v>
      </c>
      <c r="J46" s="64">
        <v>1.81</v>
      </c>
      <c r="K46" s="64">
        <v>352.87</v>
      </c>
      <c r="L46" s="64">
        <v>23.19</v>
      </c>
      <c r="M46" s="64">
        <v>20.51</v>
      </c>
      <c r="N46" s="64">
        <v>477.4</v>
      </c>
      <c r="O46" s="64">
        <v>0</v>
      </c>
      <c r="P46" s="64">
        <v>0.53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3" t="s">
        <v>858</v>
      </c>
      <c r="B47" s="64">
        <v>15.68</v>
      </c>
      <c r="C47" s="64">
        <v>54</v>
      </c>
      <c r="D47" s="64">
        <v>39.409999999999997</v>
      </c>
      <c r="E47" s="64">
        <v>6.04</v>
      </c>
      <c r="F47" s="64">
        <v>2.13</v>
      </c>
      <c r="G47" s="64">
        <v>55.84</v>
      </c>
      <c r="H47" s="64">
        <v>11.73</v>
      </c>
      <c r="I47" s="210" t="s">
        <v>43</v>
      </c>
      <c r="J47" s="64">
        <v>1.38</v>
      </c>
      <c r="K47" s="64">
        <v>358.08</v>
      </c>
      <c r="L47" s="64">
        <v>24.39</v>
      </c>
      <c r="M47" s="64">
        <v>19.899999999999999</v>
      </c>
      <c r="N47" s="64">
        <v>507.1</v>
      </c>
      <c r="O47" s="64">
        <v>0</v>
      </c>
      <c r="P47" s="64">
        <v>0.54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3" t="s">
        <v>859</v>
      </c>
      <c r="B48" s="64">
        <v>16.48</v>
      </c>
      <c r="C48" s="64">
        <v>55.32</v>
      </c>
      <c r="D48" s="64">
        <v>40.75</v>
      </c>
      <c r="E48" s="64">
        <v>5.96</v>
      </c>
      <c r="F48" s="64">
        <v>2.13</v>
      </c>
      <c r="G48" s="64">
        <v>56.02</v>
      </c>
      <c r="H48" s="64">
        <v>13.84</v>
      </c>
      <c r="I48" s="210" t="s">
        <v>43</v>
      </c>
      <c r="J48" s="64">
        <v>0.9</v>
      </c>
      <c r="K48" s="64">
        <v>63.6</v>
      </c>
      <c r="L48" s="64">
        <v>24.11</v>
      </c>
      <c r="M48" s="64">
        <v>21.9</v>
      </c>
      <c r="N48" s="64">
        <v>528.79999999999995</v>
      </c>
      <c r="O48" s="64">
        <v>0</v>
      </c>
      <c r="P48" s="64">
        <v>0.54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3" t="s">
        <v>860</v>
      </c>
      <c r="B49" s="64">
        <v>17.12</v>
      </c>
      <c r="C49" s="64">
        <v>55.93</v>
      </c>
      <c r="D49" s="64">
        <v>41.57</v>
      </c>
      <c r="E49" s="64">
        <v>6.04</v>
      </c>
      <c r="F49" s="64">
        <v>2.13</v>
      </c>
      <c r="G49" s="64">
        <v>57.7</v>
      </c>
      <c r="H49" s="64">
        <v>32.79</v>
      </c>
      <c r="I49" s="210" t="s">
        <v>43</v>
      </c>
      <c r="J49" s="64">
        <v>0.96</v>
      </c>
      <c r="K49" s="64">
        <v>29.44</v>
      </c>
      <c r="L49" s="64">
        <v>22.74</v>
      </c>
      <c r="M49" s="64">
        <v>22.07</v>
      </c>
      <c r="N49" s="64">
        <v>544.20000000000005</v>
      </c>
      <c r="O49" s="64">
        <v>0</v>
      </c>
      <c r="P49" s="64">
        <v>0.55000000000000004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3" t="s">
        <v>861</v>
      </c>
      <c r="B50" s="64">
        <v>16.89</v>
      </c>
      <c r="C50" s="64">
        <v>56.89</v>
      </c>
      <c r="D50" s="64">
        <v>41.89</v>
      </c>
      <c r="E50" s="64">
        <v>6.28</v>
      </c>
      <c r="F50" s="64">
        <v>2.17</v>
      </c>
      <c r="G50" s="64">
        <v>57.7</v>
      </c>
      <c r="H50" s="64">
        <v>32.79</v>
      </c>
      <c r="I50" s="210" t="s">
        <v>43</v>
      </c>
      <c r="J50" s="64">
        <v>1.77</v>
      </c>
      <c r="K50" s="64">
        <v>106.49</v>
      </c>
      <c r="L50" s="64">
        <v>21.29</v>
      </c>
      <c r="M50" s="64">
        <v>23.91</v>
      </c>
      <c r="N50" s="64">
        <v>561.1</v>
      </c>
      <c r="O50" s="64">
        <v>0</v>
      </c>
      <c r="P50" s="64">
        <v>0.54</v>
      </c>
      <c r="Q50" s="64">
        <v>9.67</v>
      </c>
      <c r="R50" s="198"/>
      <c r="S50" s="198"/>
      <c r="T50" s="198"/>
      <c r="U50" s="198"/>
    </row>
    <row r="51" spans="1:21" s="12" customFormat="1" x14ac:dyDescent="0.25">
      <c r="A51" s="213" t="s">
        <v>862</v>
      </c>
      <c r="B51" s="64">
        <v>9.68</v>
      </c>
      <c r="C51" s="64">
        <v>63.88</v>
      </c>
      <c r="D51" s="64">
        <v>39.76</v>
      </c>
      <c r="E51" s="64">
        <v>8.5399999999999991</v>
      </c>
      <c r="F51" s="64">
        <v>9.84</v>
      </c>
      <c r="G51" s="64">
        <v>57.7</v>
      </c>
      <c r="H51" s="64">
        <v>32.79</v>
      </c>
      <c r="I51" s="210" t="s">
        <v>43</v>
      </c>
      <c r="J51" s="64">
        <v>1.8</v>
      </c>
      <c r="K51" s="64">
        <v>104.63</v>
      </c>
      <c r="L51" s="64">
        <v>20.65</v>
      </c>
      <c r="M51" s="64">
        <v>24.3</v>
      </c>
      <c r="N51" s="64">
        <v>571.4</v>
      </c>
      <c r="O51" s="64">
        <v>0</v>
      </c>
      <c r="P51" s="64">
        <v>0.42</v>
      </c>
      <c r="Q51" s="64">
        <v>9.73</v>
      </c>
      <c r="R51" s="198"/>
      <c r="S51" s="198"/>
      <c r="T51" s="198"/>
      <c r="U51" s="198"/>
    </row>
    <row r="52" spans="1:21" s="12" customFormat="1" x14ac:dyDescent="0.25">
      <c r="A52" s="213" t="s">
        <v>863</v>
      </c>
      <c r="B52" s="64">
        <v>5.17</v>
      </c>
      <c r="C52" s="64">
        <v>67.06</v>
      </c>
      <c r="D52" s="64">
        <v>37.81</v>
      </c>
      <c r="E52" s="64">
        <v>7.31</v>
      </c>
      <c r="F52" s="64">
        <v>3.9</v>
      </c>
      <c r="G52" s="64">
        <v>56.24</v>
      </c>
      <c r="H52" s="64">
        <v>31.8</v>
      </c>
      <c r="I52" s="210" t="s">
        <v>43</v>
      </c>
      <c r="J52" s="64">
        <v>1.37</v>
      </c>
      <c r="K52" s="64">
        <v>99.22</v>
      </c>
      <c r="L52" s="64">
        <v>21.9</v>
      </c>
      <c r="M52" s="64">
        <v>23.49</v>
      </c>
      <c r="N52" s="64">
        <v>563.6</v>
      </c>
      <c r="O52" s="64">
        <v>0</v>
      </c>
      <c r="P52" s="64">
        <v>0.42</v>
      </c>
      <c r="Q52" s="64">
        <v>9.68</v>
      </c>
      <c r="R52" s="198"/>
      <c r="S52" s="198"/>
      <c r="T52" s="198"/>
      <c r="U52" s="198"/>
    </row>
    <row r="53" spans="1:21" s="12" customFormat="1" x14ac:dyDescent="0.25">
      <c r="A53" s="213" t="s">
        <v>864</v>
      </c>
      <c r="B53" s="64">
        <v>5.37</v>
      </c>
      <c r="C53" s="64">
        <v>66.25</v>
      </c>
      <c r="D53" s="64">
        <v>37.54</v>
      </c>
      <c r="E53" s="64">
        <v>7.17</v>
      </c>
      <c r="F53" s="64">
        <v>2.14</v>
      </c>
      <c r="G53" s="64">
        <v>44.59</v>
      </c>
      <c r="H53" s="212" t="s">
        <v>42</v>
      </c>
      <c r="I53" s="210" t="s">
        <v>43</v>
      </c>
      <c r="J53" s="64">
        <v>0.57999999999999996</v>
      </c>
      <c r="K53" s="64">
        <v>54.74</v>
      </c>
      <c r="L53" s="64">
        <v>23.54</v>
      </c>
      <c r="M53" s="64">
        <v>21.23</v>
      </c>
      <c r="N53" s="64">
        <v>558.79999999999995</v>
      </c>
      <c r="O53" s="64">
        <v>0</v>
      </c>
      <c r="P53" s="64">
        <v>0.43</v>
      </c>
      <c r="Q53" s="64">
        <v>9.67</v>
      </c>
      <c r="R53" s="198"/>
      <c r="S53" s="198"/>
      <c r="T53" s="198"/>
      <c r="U53" s="198"/>
    </row>
    <row r="54" spans="1:21" s="12" customFormat="1" x14ac:dyDescent="0.25">
      <c r="A54" s="213" t="s">
        <v>865</v>
      </c>
      <c r="B54" s="64">
        <v>6</v>
      </c>
      <c r="C54" s="64">
        <v>66.16</v>
      </c>
      <c r="D54" s="64">
        <v>38</v>
      </c>
      <c r="E54" s="64">
        <v>7.62</v>
      </c>
      <c r="F54" s="64">
        <v>2.13</v>
      </c>
      <c r="G54" s="64">
        <v>44.59</v>
      </c>
      <c r="H54" s="212" t="s">
        <v>42</v>
      </c>
      <c r="I54" s="210" t="s">
        <v>43</v>
      </c>
      <c r="J54" s="64">
        <v>0.98</v>
      </c>
      <c r="K54" s="64">
        <v>96.14</v>
      </c>
      <c r="L54" s="64">
        <v>23.74</v>
      </c>
      <c r="M54" s="64">
        <v>20.3</v>
      </c>
      <c r="N54" s="64">
        <v>565.29999999999995</v>
      </c>
      <c r="O54" s="64">
        <v>0</v>
      </c>
      <c r="P54" s="64">
        <v>0.43</v>
      </c>
      <c r="Q54" s="64">
        <v>9.68</v>
      </c>
      <c r="R54" s="198"/>
      <c r="S54" s="198"/>
      <c r="T54" s="198"/>
      <c r="U54" s="198"/>
    </row>
    <row r="55" spans="1:21" s="12" customFormat="1" x14ac:dyDescent="0.25">
      <c r="A55" s="213" t="s">
        <v>866</v>
      </c>
      <c r="B55" s="64">
        <v>6.49</v>
      </c>
      <c r="C55" s="64">
        <v>66.61</v>
      </c>
      <c r="D55" s="64">
        <v>38.630000000000003</v>
      </c>
      <c r="E55" s="64">
        <v>8.74</v>
      </c>
      <c r="F55" s="64">
        <v>3.04</v>
      </c>
      <c r="G55" s="64">
        <v>44.59</v>
      </c>
      <c r="H55" s="212" t="s">
        <v>42</v>
      </c>
      <c r="I55" s="210" t="s">
        <v>43</v>
      </c>
      <c r="J55" s="64">
        <v>0.82</v>
      </c>
      <c r="K55" s="64">
        <v>84.13</v>
      </c>
      <c r="L55" s="64">
        <v>23.61</v>
      </c>
      <c r="M55" s="64">
        <v>19.260000000000002</v>
      </c>
      <c r="N55" s="64">
        <v>568.6</v>
      </c>
      <c r="O55" s="64">
        <v>0</v>
      </c>
      <c r="P55" s="64">
        <v>0.42</v>
      </c>
      <c r="Q55" s="64">
        <v>9.69</v>
      </c>
      <c r="R55" s="198"/>
      <c r="S55" s="198"/>
      <c r="T55" s="198"/>
      <c r="U55" s="198"/>
    </row>
    <row r="56" spans="1:21" s="12" customFormat="1" x14ac:dyDescent="0.25">
      <c r="A56" s="213" t="s">
        <v>867</v>
      </c>
      <c r="B56" s="64">
        <v>7.89</v>
      </c>
      <c r="C56" s="64">
        <v>73.52</v>
      </c>
      <c r="D56" s="64">
        <v>43.36</v>
      </c>
      <c r="E56" s="64">
        <v>11.41</v>
      </c>
      <c r="F56" s="64">
        <v>2.98</v>
      </c>
      <c r="G56" s="64">
        <v>44.74</v>
      </c>
      <c r="H56" s="212" t="s">
        <v>42</v>
      </c>
      <c r="I56" s="210" t="s">
        <v>43</v>
      </c>
      <c r="J56" s="64">
        <v>1.1499999999999999</v>
      </c>
      <c r="K56" s="64">
        <v>350.14</v>
      </c>
      <c r="L56" s="64">
        <v>26.45</v>
      </c>
      <c r="M56" s="64">
        <v>15.67</v>
      </c>
      <c r="N56" s="64">
        <v>562.70000000000005</v>
      </c>
      <c r="O56" s="64">
        <v>0</v>
      </c>
      <c r="P56" s="64">
        <v>0.42</v>
      </c>
      <c r="Q56" s="64">
        <v>9.75</v>
      </c>
      <c r="R56" s="198"/>
      <c r="S56" s="198"/>
      <c r="T56" s="198"/>
      <c r="U56" s="198"/>
    </row>
    <row r="57" spans="1:21" s="12" customFormat="1" x14ac:dyDescent="0.25">
      <c r="A57" s="213" t="s">
        <v>868</v>
      </c>
      <c r="B57" s="64">
        <v>9.1300000000000008</v>
      </c>
      <c r="C57" s="64">
        <v>77.040000000000006</v>
      </c>
      <c r="D57" s="64">
        <v>46.2</v>
      </c>
      <c r="E57" s="64">
        <v>9.58</v>
      </c>
      <c r="F57" s="64">
        <v>2.13</v>
      </c>
      <c r="G57" s="64">
        <v>46.06</v>
      </c>
      <c r="H57" s="212" t="s">
        <v>42</v>
      </c>
      <c r="I57" s="210" t="s">
        <v>43</v>
      </c>
      <c r="J57" s="64">
        <v>1.18</v>
      </c>
      <c r="K57" s="64">
        <v>349.21</v>
      </c>
      <c r="L57" s="64">
        <v>27.85</v>
      </c>
      <c r="M57" s="64">
        <v>14.66</v>
      </c>
      <c r="N57" s="64">
        <v>553.6</v>
      </c>
      <c r="O57" s="64">
        <v>0</v>
      </c>
      <c r="P57" s="64">
        <v>0.44</v>
      </c>
      <c r="Q57" s="64">
        <v>9.8000000000000007</v>
      </c>
      <c r="R57" s="198"/>
      <c r="S57" s="198"/>
      <c r="T57" s="198"/>
      <c r="U57" s="198"/>
    </row>
    <row r="58" spans="1:21" s="12" customFormat="1" x14ac:dyDescent="0.25">
      <c r="A58" s="213" t="s">
        <v>869</v>
      </c>
      <c r="B58" s="64">
        <v>10.28</v>
      </c>
      <c r="C58" s="64">
        <v>77.33</v>
      </c>
      <c r="D58" s="64">
        <v>47.27</v>
      </c>
      <c r="E58" s="64">
        <v>9.08</v>
      </c>
      <c r="F58" s="64">
        <v>2.13</v>
      </c>
      <c r="G58" s="64">
        <v>46.06</v>
      </c>
      <c r="H58" s="212" t="s">
        <v>42</v>
      </c>
      <c r="I58" s="210" t="s">
        <v>43</v>
      </c>
      <c r="J58" s="64">
        <v>1.1100000000000001</v>
      </c>
      <c r="K58" s="64">
        <v>100.05</v>
      </c>
      <c r="L58" s="64">
        <v>25.69</v>
      </c>
      <c r="M58" s="64">
        <v>15.56</v>
      </c>
      <c r="N58" s="64">
        <v>554.1</v>
      </c>
      <c r="O58" s="64">
        <v>0</v>
      </c>
      <c r="P58" s="64">
        <v>0.44</v>
      </c>
      <c r="Q58" s="64">
        <v>9.83</v>
      </c>
      <c r="R58" s="198"/>
      <c r="S58" s="198"/>
      <c r="T58" s="198"/>
      <c r="U58" s="198"/>
    </row>
    <row r="59" spans="1:21" s="12" customFormat="1" x14ac:dyDescent="0.25">
      <c r="A59" s="213" t="s">
        <v>870</v>
      </c>
      <c r="B59" s="64">
        <v>8.61</v>
      </c>
      <c r="C59" s="64">
        <v>75.510000000000005</v>
      </c>
      <c r="D59" s="64">
        <v>44.98</v>
      </c>
      <c r="E59" s="64">
        <v>9.08</v>
      </c>
      <c r="F59" s="64">
        <v>2.13</v>
      </c>
      <c r="G59" s="64">
        <v>46.06</v>
      </c>
      <c r="H59" s="212" t="s">
        <v>42</v>
      </c>
      <c r="I59" s="210" t="s">
        <v>43</v>
      </c>
      <c r="J59" s="64">
        <v>0.56000000000000005</v>
      </c>
      <c r="K59" s="64">
        <v>69.41</v>
      </c>
      <c r="L59" s="64">
        <v>24.66</v>
      </c>
      <c r="M59" s="64">
        <v>16.41</v>
      </c>
      <c r="N59" s="64">
        <v>543.6</v>
      </c>
      <c r="O59" s="64">
        <v>0</v>
      </c>
      <c r="P59" s="64">
        <v>0.41</v>
      </c>
      <c r="Q59" s="64">
        <v>9.86</v>
      </c>
      <c r="R59" s="198"/>
      <c r="S59" s="198"/>
      <c r="T59" s="198"/>
      <c r="U59" s="198"/>
    </row>
    <row r="60" spans="1:21" s="12" customFormat="1" x14ac:dyDescent="0.25">
      <c r="A60" s="213" t="s">
        <v>871</v>
      </c>
      <c r="B60" s="64">
        <v>8.2799999999999994</v>
      </c>
      <c r="C60" s="64">
        <v>73.63</v>
      </c>
      <c r="D60" s="64">
        <v>43.73</v>
      </c>
      <c r="E60" s="64">
        <v>7.07</v>
      </c>
      <c r="F60" s="64">
        <v>2.13</v>
      </c>
      <c r="G60" s="64">
        <v>47.06</v>
      </c>
      <c r="H60" s="212" t="s">
        <v>42</v>
      </c>
      <c r="I60" s="210" t="s">
        <v>43</v>
      </c>
      <c r="J60" s="64">
        <v>1.29</v>
      </c>
      <c r="K60" s="64">
        <v>350.44</v>
      </c>
      <c r="L60" s="64">
        <v>28.34</v>
      </c>
      <c r="M60" s="64">
        <v>13.74</v>
      </c>
      <c r="N60" s="64">
        <v>529.4</v>
      </c>
      <c r="O60" s="64">
        <v>0</v>
      </c>
      <c r="P60" s="64">
        <v>0.42</v>
      </c>
      <c r="Q60" s="64">
        <v>9.8800000000000008</v>
      </c>
      <c r="R60" s="198"/>
      <c r="S60" s="198"/>
      <c r="T60" s="198"/>
      <c r="U60" s="198"/>
    </row>
    <row r="61" spans="1:21" s="12" customFormat="1" x14ac:dyDescent="0.25">
      <c r="A61" s="213" t="s">
        <v>872</v>
      </c>
      <c r="B61" s="64">
        <v>9.73</v>
      </c>
      <c r="C61" s="64">
        <v>71.63</v>
      </c>
      <c r="D61" s="64">
        <v>43.85</v>
      </c>
      <c r="E61" s="64">
        <v>7.01</v>
      </c>
      <c r="F61" s="64">
        <v>2.13</v>
      </c>
      <c r="G61" s="64">
        <v>55.03</v>
      </c>
      <c r="H61" s="212" t="s">
        <v>42</v>
      </c>
      <c r="I61" s="210" t="s">
        <v>43</v>
      </c>
      <c r="J61" s="64">
        <v>1.08</v>
      </c>
      <c r="K61" s="64">
        <v>330.79</v>
      </c>
      <c r="L61" s="64">
        <v>28.22</v>
      </c>
      <c r="M61" s="64">
        <v>14.59</v>
      </c>
      <c r="N61" s="64">
        <v>521.4</v>
      </c>
      <c r="O61" s="64">
        <v>0</v>
      </c>
      <c r="P61" s="64">
        <v>0.44</v>
      </c>
      <c r="Q61" s="64">
        <v>9.94</v>
      </c>
      <c r="R61" s="198"/>
      <c r="S61" s="198"/>
      <c r="T61" s="198"/>
      <c r="U61" s="198"/>
    </row>
    <row r="62" spans="1:21" s="12" customFormat="1" x14ac:dyDescent="0.25">
      <c r="A62" s="213" t="s">
        <v>873</v>
      </c>
      <c r="B62" s="64">
        <v>10.61</v>
      </c>
      <c r="C62" s="64">
        <v>70.06</v>
      </c>
      <c r="D62" s="64">
        <v>43.73</v>
      </c>
      <c r="E62" s="64">
        <v>6.65</v>
      </c>
      <c r="F62" s="64">
        <v>2.13</v>
      </c>
      <c r="G62" s="64">
        <v>55.03</v>
      </c>
      <c r="H62" s="212" t="s">
        <v>42</v>
      </c>
      <c r="I62" s="210" t="s">
        <v>43</v>
      </c>
      <c r="J62" s="64">
        <v>1.64</v>
      </c>
      <c r="K62" s="64">
        <v>339.57</v>
      </c>
      <c r="L62" s="64">
        <v>29.47</v>
      </c>
      <c r="M62" s="64">
        <v>14.13</v>
      </c>
      <c r="N62" s="64">
        <v>510.7</v>
      </c>
      <c r="O62" s="64">
        <v>0</v>
      </c>
      <c r="P62" s="64">
        <v>0.46</v>
      </c>
      <c r="Q62" s="64">
        <v>9.99</v>
      </c>
      <c r="R62" s="198"/>
      <c r="S62" s="198"/>
      <c r="T62" s="198"/>
      <c r="U62" s="198"/>
    </row>
    <row r="63" spans="1:21" s="12" customFormat="1" x14ac:dyDescent="0.25">
      <c r="A63" s="213" t="s">
        <v>874</v>
      </c>
      <c r="B63" s="64">
        <v>11.39</v>
      </c>
      <c r="C63" s="64">
        <v>70.56</v>
      </c>
      <c r="D63" s="64">
        <v>44.62</v>
      </c>
      <c r="E63" s="64">
        <v>7.41</v>
      </c>
      <c r="F63" s="64">
        <v>2.13</v>
      </c>
      <c r="G63" s="64">
        <v>55.03</v>
      </c>
      <c r="H63" s="212" t="s">
        <v>42</v>
      </c>
      <c r="I63" s="210" t="s">
        <v>43</v>
      </c>
      <c r="J63" s="64">
        <v>0.83</v>
      </c>
      <c r="K63" s="64">
        <v>335.5</v>
      </c>
      <c r="L63" s="64">
        <v>29.41</v>
      </c>
      <c r="M63" s="64">
        <v>14.46</v>
      </c>
      <c r="N63" s="64">
        <v>406.9</v>
      </c>
      <c r="O63" s="64">
        <v>0</v>
      </c>
      <c r="P63" s="64">
        <v>0.49</v>
      </c>
      <c r="Q63" s="64">
        <v>10.09</v>
      </c>
      <c r="R63" s="198"/>
      <c r="S63" s="198"/>
      <c r="T63" s="198"/>
      <c r="U63" s="198"/>
    </row>
    <row r="64" spans="1:21" s="12" customFormat="1" x14ac:dyDescent="0.25">
      <c r="A64" s="213" t="s">
        <v>875</v>
      </c>
      <c r="B64" s="64">
        <v>12.91</v>
      </c>
      <c r="C64" s="64">
        <v>70.59</v>
      </c>
      <c r="D64" s="64">
        <v>45.86</v>
      </c>
      <c r="E64" s="64">
        <v>6.26</v>
      </c>
      <c r="F64" s="64">
        <v>2.13</v>
      </c>
      <c r="G64" s="64">
        <v>53.93</v>
      </c>
      <c r="H64" s="212" t="s">
        <v>42</v>
      </c>
      <c r="I64" s="210" t="s">
        <v>43</v>
      </c>
      <c r="J64" s="64">
        <v>0.77</v>
      </c>
      <c r="K64" s="64">
        <v>350.73</v>
      </c>
      <c r="L64" s="64">
        <v>28.81</v>
      </c>
      <c r="M64" s="64">
        <v>15.74</v>
      </c>
      <c r="N64" s="64">
        <v>430.4</v>
      </c>
      <c r="O64" s="64">
        <v>0</v>
      </c>
      <c r="P64" s="64">
        <v>0.51</v>
      </c>
      <c r="Q64" s="64">
        <v>10.130000000000001</v>
      </c>
      <c r="R64" s="198"/>
      <c r="S64" s="198"/>
      <c r="T64" s="198"/>
      <c r="U64" s="198"/>
    </row>
    <row r="65" spans="1:21" s="12" customFormat="1" x14ac:dyDescent="0.25">
      <c r="A65" s="213" t="s">
        <v>876</v>
      </c>
      <c r="B65" s="64">
        <v>13.44</v>
      </c>
      <c r="C65" s="64">
        <v>70.77</v>
      </c>
      <c r="D65" s="64">
        <v>46.38</v>
      </c>
      <c r="E65" s="64">
        <v>6.4</v>
      </c>
      <c r="F65" s="64">
        <v>2.13</v>
      </c>
      <c r="G65" s="64">
        <v>45.16</v>
      </c>
      <c r="H65" s="64">
        <v>21.09</v>
      </c>
      <c r="I65" s="210" t="s">
        <v>43</v>
      </c>
      <c r="J65" s="64">
        <v>0.85</v>
      </c>
      <c r="K65" s="64">
        <v>1.17</v>
      </c>
      <c r="L65" s="64">
        <v>27.06</v>
      </c>
      <c r="M65" s="64">
        <v>17.21</v>
      </c>
      <c r="N65" s="64">
        <v>347.4</v>
      </c>
      <c r="O65" s="64">
        <v>0</v>
      </c>
      <c r="P65" s="64">
        <v>0.52</v>
      </c>
      <c r="Q65" s="64">
        <v>10.16</v>
      </c>
      <c r="R65" s="198"/>
      <c r="S65" s="198"/>
      <c r="T65" s="198"/>
      <c r="U65" s="198"/>
    </row>
    <row r="66" spans="1:21" s="12" customFormat="1" x14ac:dyDescent="0.25">
      <c r="A66" s="213" t="s">
        <v>877</v>
      </c>
      <c r="B66" s="64">
        <v>13.53</v>
      </c>
      <c r="C66" s="64">
        <v>69.44</v>
      </c>
      <c r="D66" s="64">
        <v>45.75</v>
      </c>
      <c r="E66" s="64">
        <v>6.11</v>
      </c>
      <c r="F66" s="64">
        <v>2.13</v>
      </c>
      <c r="G66" s="64">
        <v>45.16</v>
      </c>
      <c r="H66" s="64">
        <v>21.09</v>
      </c>
      <c r="I66" s="210" t="s">
        <v>43</v>
      </c>
      <c r="J66" s="64">
        <v>1.07</v>
      </c>
      <c r="K66" s="64">
        <v>346.7</v>
      </c>
      <c r="L66" s="64">
        <v>27.42</v>
      </c>
      <c r="M66" s="64">
        <v>17.78</v>
      </c>
      <c r="N66" s="64">
        <v>275.2</v>
      </c>
      <c r="O66" s="64">
        <v>0</v>
      </c>
      <c r="P66" s="64">
        <v>0.54</v>
      </c>
      <c r="Q66" s="64">
        <v>10.16</v>
      </c>
      <c r="R66" s="198"/>
      <c r="S66" s="198"/>
      <c r="T66" s="198"/>
      <c r="U66" s="198"/>
    </row>
    <row r="67" spans="1:21" s="12" customFormat="1" x14ac:dyDescent="0.25">
      <c r="A67" s="213" t="s">
        <v>878</v>
      </c>
      <c r="B67" s="64">
        <v>13.79</v>
      </c>
      <c r="C67" s="64">
        <v>68.67</v>
      </c>
      <c r="D67" s="64">
        <v>45.56</v>
      </c>
      <c r="E67" s="64">
        <v>6.58</v>
      </c>
      <c r="F67" s="64">
        <v>2.13</v>
      </c>
      <c r="G67" s="64">
        <v>45.16</v>
      </c>
      <c r="H67" s="64">
        <v>21.09</v>
      </c>
      <c r="I67" s="210" t="s">
        <v>43</v>
      </c>
      <c r="J67" s="64">
        <v>1.51</v>
      </c>
      <c r="K67" s="64">
        <v>339.34</v>
      </c>
      <c r="L67" s="64">
        <v>27.38</v>
      </c>
      <c r="M67" s="64">
        <v>18.29</v>
      </c>
      <c r="N67" s="64">
        <v>237.4</v>
      </c>
      <c r="O67" s="64">
        <v>0</v>
      </c>
      <c r="P67" s="64">
        <v>0.64</v>
      </c>
      <c r="Q67" s="64">
        <v>10.16</v>
      </c>
      <c r="R67" s="198"/>
      <c r="S67" s="198"/>
      <c r="T67" s="198"/>
      <c r="U67" s="198"/>
    </row>
    <row r="68" spans="1:21" s="12" customFormat="1" x14ac:dyDescent="0.25">
      <c r="A68" s="213" t="s">
        <v>879</v>
      </c>
      <c r="B68" s="64">
        <v>14.1</v>
      </c>
      <c r="C68" s="64">
        <v>68.599999999999994</v>
      </c>
      <c r="D68" s="64">
        <v>45.77</v>
      </c>
      <c r="E68" s="64">
        <v>6.79</v>
      </c>
      <c r="F68" s="64">
        <v>2.13</v>
      </c>
      <c r="G68" s="64">
        <v>48.28</v>
      </c>
      <c r="H68" s="64">
        <v>19.28</v>
      </c>
      <c r="I68" s="210" t="s">
        <v>43</v>
      </c>
      <c r="J68" s="64">
        <v>1.26</v>
      </c>
      <c r="K68" s="64">
        <v>344.96</v>
      </c>
      <c r="L68" s="64">
        <v>27.28</v>
      </c>
      <c r="M68" s="64">
        <v>17.5</v>
      </c>
      <c r="N68" s="64">
        <v>286.5</v>
      </c>
      <c r="O68" s="64">
        <v>0</v>
      </c>
      <c r="P68" s="64">
        <v>0.63</v>
      </c>
      <c r="Q68" s="64">
        <v>10.18</v>
      </c>
      <c r="R68" s="198"/>
      <c r="S68" s="198"/>
      <c r="T68" s="198"/>
      <c r="U68" s="198"/>
    </row>
    <row r="69" spans="1:21" s="12" customFormat="1" x14ac:dyDescent="0.25">
      <c r="A69" s="213" t="s">
        <v>880</v>
      </c>
      <c r="B69" s="64">
        <v>14.32</v>
      </c>
      <c r="C69" s="64">
        <v>70.31</v>
      </c>
      <c r="D69" s="64">
        <v>46.84</v>
      </c>
      <c r="E69" s="64">
        <v>8.5</v>
      </c>
      <c r="F69" s="64">
        <v>2.13</v>
      </c>
      <c r="G69" s="64">
        <v>73.260000000000005</v>
      </c>
      <c r="H69" s="212" t="s">
        <v>42</v>
      </c>
      <c r="I69" s="210" t="s">
        <v>43</v>
      </c>
      <c r="J69" s="64">
        <v>1.24</v>
      </c>
      <c r="K69" s="64">
        <v>351.94</v>
      </c>
      <c r="L69" s="64">
        <v>27.01</v>
      </c>
      <c r="M69" s="64">
        <v>17.82</v>
      </c>
      <c r="N69" s="64">
        <v>253.5</v>
      </c>
      <c r="O69" s="64">
        <v>0</v>
      </c>
      <c r="P69" s="64">
        <v>0.67</v>
      </c>
      <c r="Q69" s="64">
        <v>10.19</v>
      </c>
      <c r="R69" s="198"/>
      <c r="S69" s="198"/>
      <c r="T69" s="198"/>
      <c r="U69" s="198"/>
    </row>
    <row r="70" spans="1:21" s="12" customFormat="1" x14ac:dyDescent="0.25">
      <c r="A70" s="213" t="s">
        <v>881</v>
      </c>
      <c r="B70" s="64">
        <v>15.44</v>
      </c>
      <c r="C70" s="64">
        <v>76.7</v>
      </c>
      <c r="D70" s="64">
        <v>51.08</v>
      </c>
      <c r="E70" s="64">
        <v>13.41</v>
      </c>
      <c r="F70" s="64">
        <v>2.61</v>
      </c>
      <c r="G70" s="64">
        <v>73.260000000000005</v>
      </c>
      <c r="H70" s="212" t="s">
        <v>42</v>
      </c>
      <c r="I70" s="210" t="s">
        <v>43</v>
      </c>
      <c r="J70" s="64">
        <v>1.19</v>
      </c>
      <c r="K70" s="64">
        <v>353.75</v>
      </c>
      <c r="L70" s="64">
        <v>25.96</v>
      </c>
      <c r="M70" s="64">
        <v>19.920000000000002</v>
      </c>
      <c r="N70" s="64">
        <v>213.8</v>
      </c>
      <c r="O70" s="64">
        <v>0</v>
      </c>
      <c r="P70" s="64">
        <v>0.69</v>
      </c>
      <c r="Q70" s="64">
        <v>10.220000000000001</v>
      </c>
      <c r="R70" s="198"/>
      <c r="S70" s="198"/>
      <c r="T70" s="198"/>
      <c r="U70" s="198"/>
    </row>
    <row r="71" spans="1:21" s="12" customFormat="1" x14ac:dyDescent="0.25">
      <c r="A71" s="213" t="s">
        <v>882</v>
      </c>
      <c r="B71" s="64">
        <v>13.1</v>
      </c>
      <c r="C71" s="64">
        <v>89.72</v>
      </c>
      <c r="D71" s="64">
        <v>56</v>
      </c>
      <c r="E71" s="64">
        <v>16.61</v>
      </c>
      <c r="F71" s="64">
        <v>2.4300000000000002</v>
      </c>
      <c r="G71" s="64">
        <v>73.260000000000005</v>
      </c>
      <c r="H71" s="212" t="s">
        <v>42</v>
      </c>
      <c r="I71" s="210" t="s">
        <v>43</v>
      </c>
      <c r="J71" s="64">
        <v>1.86</v>
      </c>
      <c r="K71" s="64">
        <v>337.87</v>
      </c>
      <c r="L71" s="64">
        <v>25.96</v>
      </c>
      <c r="M71" s="64">
        <v>21.34</v>
      </c>
      <c r="N71" s="64">
        <v>176.3</v>
      </c>
      <c r="O71" s="64">
        <v>0</v>
      </c>
      <c r="P71" s="64">
        <v>0.66</v>
      </c>
      <c r="Q71" s="64">
        <v>10.31</v>
      </c>
      <c r="R71" s="198"/>
      <c r="S71" s="198"/>
      <c r="T71" s="198"/>
      <c r="U71" s="198"/>
    </row>
    <row r="72" spans="1:21" s="12" customFormat="1" x14ac:dyDescent="0.25">
      <c r="A72" s="213" t="s">
        <v>883</v>
      </c>
      <c r="B72" s="64">
        <v>10.74</v>
      </c>
      <c r="C72" s="64">
        <v>93.3</v>
      </c>
      <c r="D72" s="64">
        <v>55.98</v>
      </c>
      <c r="E72" s="64">
        <v>12.28</v>
      </c>
      <c r="F72" s="64">
        <v>2.14</v>
      </c>
      <c r="G72" s="64">
        <v>72.87</v>
      </c>
      <c r="H72" s="212" t="s">
        <v>42</v>
      </c>
      <c r="I72" s="210" t="s">
        <v>43</v>
      </c>
      <c r="J72" s="64">
        <v>1.43</v>
      </c>
      <c r="K72" s="64">
        <v>348.46</v>
      </c>
      <c r="L72" s="64">
        <v>25.26</v>
      </c>
      <c r="M72" s="64">
        <v>23.4</v>
      </c>
      <c r="N72" s="64">
        <v>150.69999999999999</v>
      </c>
      <c r="O72" s="64">
        <v>0</v>
      </c>
      <c r="P72" s="64">
        <v>0.68</v>
      </c>
      <c r="Q72" s="64">
        <v>10.33</v>
      </c>
      <c r="R72" s="198"/>
      <c r="S72" s="198"/>
      <c r="T72" s="198"/>
      <c r="U72" s="198"/>
    </row>
    <row r="73" spans="1:21" s="12" customFormat="1" x14ac:dyDescent="0.25">
      <c r="A73" s="213" t="s">
        <v>884</v>
      </c>
      <c r="B73" s="64">
        <v>14.77</v>
      </c>
      <c r="C73" s="64">
        <v>107.2</v>
      </c>
      <c r="D73" s="64">
        <v>66.48</v>
      </c>
      <c r="E73" s="64">
        <v>42.72</v>
      </c>
      <c r="F73" s="64">
        <v>7.62</v>
      </c>
      <c r="G73" s="64">
        <v>69.75</v>
      </c>
      <c r="H73" s="212" t="s">
        <v>42</v>
      </c>
      <c r="I73" s="210" t="s">
        <v>43</v>
      </c>
      <c r="J73" s="64">
        <v>1.28</v>
      </c>
      <c r="K73" s="64">
        <v>354.48</v>
      </c>
      <c r="L73" s="64">
        <v>24.88</v>
      </c>
      <c r="M73" s="64">
        <v>23.85</v>
      </c>
      <c r="N73" s="64">
        <v>148.69999999999999</v>
      </c>
      <c r="O73" s="64">
        <v>0</v>
      </c>
      <c r="P73" s="64">
        <v>0.8</v>
      </c>
      <c r="Q73" s="64">
        <v>10.31</v>
      </c>
      <c r="R73" s="198"/>
      <c r="S73" s="198"/>
      <c r="T73" s="198"/>
      <c r="U73" s="198"/>
    </row>
    <row r="74" spans="1:21" s="12" customFormat="1" x14ac:dyDescent="0.25">
      <c r="A74" s="213" t="s">
        <v>885</v>
      </c>
      <c r="B74" s="64">
        <v>11.15</v>
      </c>
      <c r="C74" s="64">
        <v>118.84</v>
      </c>
      <c r="D74" s="64">
        <v>69.650000000000006</v>
      </c>
      <c r="E74" s="64">
        <v>75.61</v>
      </c>
      <c r="F74" s="64">
        <v>17.07</v>
      </c>
      <c r="G74" s="64">
        <v>69.75</v>
      </c>
      <c r="H74" s="212" t="s">
        <v>42</v>
      </c>
      <c r="I74" s="210" t="s">
        <v>43</v>
      </c>
      <c r="J74" s="64">
        <v>1.44</v>
      </c>
      <c r="K74" s="64">
        <v>350.19</v>
      </c>
      <c r="L74" s="64">
        <v>24.44</v>
      </c>
      <c r="M74" s="64">
        <v>25</v>
      </c>
      <c r="N74" s="64">
        <v>132.69999999999999</v>
      </c>
      <c r="O74" s="64">
        <v>0</v>
      </c>
      <c r="P74" s="64">
        <v>0.83</v>
      </c>
      <c r="Q74" s="64">
        <v>10.45</v>
      </c>
      <c r="R74" s="198"/>
      <c r="S74" s="198"/>
      <c r="T74" s="198"/>
      <c r="U74" s="198"/>
    </row>
    <row r="75" spans="1:21" s="12" customFormat="1" x14ac:dyDescent="0.25">
      <c r="A75" s="213" t="s">
        <v>886</v>
      </c>
      <c r="B75" s="64">
        <v>13.47</v>
      </c>
      <c r="C75" s="64">
        <v>129.41999999999999</v>
      </c>
      <c r="D75" s="64">
        <v>77.040000000000006</v>
      </c>
      <c r="E75" s="64">
        <v>65.400000000000006</v>
      </c>
      <c r="F75" s="64">
        <v>10.210000000000001</v>
      </c>
      <c r="G75" s="64">
        <v>69.75</v>
      </c>
      <c r="H75" s="212" t="s">
        <v>42</v>
      </c>
      <c r="I75" s="210" t="s">
        <v>43</v>
      </c>
      <c r="J75" s="64">
        <v>1.21</v>
      </c>
      <c r="K75" s="64">
        <v>356.38</v>
      </c>
      <c r="L75" s="64">
        <v>23.9</v>
      </c>
      <c r="M75" s="64">
        <v>26.38</v>
      </c>
      <c r="N75" s="64">
        <v>120.2</v>
      </c>
      <c r="O75" s="64">
        <v>0</v>
      </c>
      <c r="P75" s="64">
        <v>0.91</v>
      </c>
      <c r="Q75" s="64">
        <v>10.43</v>
      </c>
      <c r="R75" s="198"/>
      <c r="S75" s="198"/>
      <c r="T75" s="198"/>
      <c r="U75" s="198"/>
    </row>
    <row r="76" spans="1:21" s="12" customFormat="1" x14ac:dyDescent="0.25">
      <c r="A76" s="213" t="s">
        <v>887</v>
      </c>
      <c r="B76" s="64">
        <v>10.35</v>
      </c>
      <c r="C76" s="64">
        <v>123.27</v>
      </c>
      <c r="D76" s="64">
        <v>71.33</v>
      </c>
      <c r="E76" s="64">
        <v>58.21</v>
      </c>
      <c r="F76" s="64">
        <v>15.37</v>
      </c>
      <c r="G76" s="64">
        <v>71.5</v>
      </c>
      <c r="H76" s="212" t="s">
        <v>42</v>
      </c>
      <c r="I76" s="210" t="s">
        <v>43</v>
      </c>
      <c r="J76" s="64">
        <v>0.52</v>
      </c>
      <c r="K76" s="64">
        <v>47.98</v>
      </c>
      <c r="L76" s="64">
        <v>23.06</v>
      </c>
      <c r="M76" s="64">
        <v>26.34</v>
      </c>
      <c r="N76" s="64">
        <v>111.5</v>
      </c>
      <c r="O76" s="64">
        <v>0</v>
      </c>
      <c r="P76" s="64">
        <v>0.97</v>
      </c>
      <c r="Q76" s="64">
        <v>10.39</v>
      </c>
      <c r="R76" s="198"/>
      <c r="S76" s="198"/>
      <c r="T76" s="198"/>
      <c r="U76" s="198"/>
    </row>
    <row r="77" spans="1:21" s="12" customFormat="1" x14ac:dyDescent="0.25">
      <c r="A77" s="213" t="s">
        <v>888</v>
      </c>
      <c r="B77" s="64">
        <v>6.61</v>
      </c>
      <c r="C77" s="64">
        <v>117.61</v>
      </c>
      <c r="D77" s="64">
        <v>65.37</v>
      </c>
      <c r="E77" s="64">
        <v>27.15</v>
      </c>
      <c r="F77" s="64">
        <v>11.86</v>
      </c>
      <c r="G77" s="64">
        <v>85.43</v>
      </c>
      <c r="H77" s="212" t="s">
        <v>42</v>
      </c>
      <c r="I77" s="210" t="s">
        <v>43</v>
      </c>
      <c r="J77" s="64">
        <v>0.59</v>
      </c>
      <c r="K77" s="64">
        <v>52.93</v>
      </c>
      <c r="L77" s="64">
        <v>22.55</v>
      </c>
      <c r="M77" s="64">
        <v>27.89</v>
      </c>
      <c r="N77" s="64">
        <v>100.8</v>
      </c>
      <c r="O77" s="64">
        <v>0</v>
      </c>
      <c r="P77" s="64">
        <v>1.06</v>
      </c>
      <c r="Q77" s="64">
        <v>10.199999999999999</v>
      </c>
      <c r="R77" s="198"/>
      <c r="S77" s="198"/>
      <c r="T77" s="198"/>
      <c r="U77" s="198"/>
    </row>
    <row r="78" spans="1:21" s="12" customFormat="1" x14ac:dyDescent="0.25">
      <c r="A78" s="213" t="s">
        <v>889</v>
      </c>
      <c r="B78" s="64">
        <v>15.92</v>
      </c>
      <c r="C78" s="64">
        <v>130.97</v>
      </c>
      <c r="D78" s="64">
        <v>79.819999999999993</v>
      </c>
      <c r="E78" s="64">
        <v>25.86</v>
      </c>
      <c r="F78" s="64">
        <v>7.38</v>
      </c>
      <c r="G78" s="64">
        <v>85.43</v>
      </c>
      <c r="H78" s="212" t="s">
        <v>42</v>
      </c>
      <c r="I78" s="210" t="s">
        <v>43</v>
      </c>
      <c r="J78" s="64">
        <v>0.75</v>
      </c>
      <c r="K78" s="64">
        <v>357.76</v>
      </c>
      <c r="L78" s="64">
        <v>22.19</v>
      </c>
      <c r="M78" s="64">
        <v>30.56</v>
      </c>
      <c r="N78" s="64">
        <v>91.9</v>
      </c>
      <c r="O78" s="64">
        <v>0</v>
      </c>
      <c r="P78" s="64">
        <v>1.3</v>
      </c>
      <c r="Q78" s="64">
        <v>10.15</v>
      </c>
      <c r="R78" s="198"/>
      <c r="S78" s="198"/>
      <c r="T78" s="198"/>
      <c r="U78" s="198"/>
    </row>
    <row r="79" spans="1:21" s="12" customFormat="1" x14ac:dyDescent="0.25">
      <c r="A79" s="213" t="s">
        <v>890</v>
      </c>
      <c r="B79" s="64">
        <v>40.69</v>
      </c>
      <c r="C79" s="64">
        <v>158.9</v>
      </c>
      <c r="D79" s="64">
        <v>114.27</v>
      </c>
      <c r="E79" s="64">
        <v>33.58</v>
      </c>
      <c r="F79" s="64">
        <v>3.69</v>
      </c>
      <c r="G79" s="64">
        <v>85.43</v>
      </c>
      <c r="H79" s="212" t="s">
        <v>42</v>
      </c>
      <c r="I79" s="210" t="s">
        <v>43</v>
      </c>
      <c r="J79" s="64">
        <v>0.9</v>
      </c>
      <c r="K79" s="64">
        <v>357.56</v>
      </c>
      <c r="L79" s="64">
        <v>21.79</v>
      </c>
      <c r="M79" s="64">
        <v>30.78</v>
      </c>
      <c r="N79" s="64">
        <v>84.3</v>
      </c>
      <c r="O79" s="64">
        <v>0</v>
      </c>
      <c r="P79" s="64">
        <v>1.36</v>
      </c>
      <c r="Q79" s="64">
        <v>10.16</v>
      </c>
      <c r="R79" s="198"/>
      <c r="S79" s="198"/>
      <c r="T79" s="198"/>
      <c r="U79" s="198"/>
    </row>
    <row r="80" spans="1:21" s="12" customFormat="1" x14ac:dyDescent="0.25">
      <c r="A80" s="213" t="s">
        <v>891</v>
      </c>
      <c r="B80" s="64">
        <v>38.31</v>
      </c>
      <c r="C80" s="64">
        <v>147.38999999999999</v>
      </c>
      <c r="D80" s="64">
        <v>106.35</v>
      </c>
      <c r="E80" s="64">
        <v>20.57</v>
      </c>
      <c r="F80" s="64">
        <v>2.85</v>
      </c>
      <c r="G80" s="64">
        <v>84.9</v>
      </c>
      <c r="H80" s="212" t="s">
        <v>42</v>
      </c>
      <c r="I80" s="210" t="s">
        <v>43</v>
      </c>
      <c r="J80" s="64">
        <v>0.53</v>
      </c>
      <c r="K80" s="64">
        <v>13.3</v>
      </c>
      <c r="L80" s="64">
        <v>21.21</v>
      </c>
      <c r="M80" s="64">
        <v>31.25</v>
      </c>
      <c r="N80" s="64">
        <v>79.3</v>
      </c>
      <c r="O80" s="64">
        <v>0</v>
      </c>
      <c r="P80" s="64">
        <v>1.6</v>
      </c>
      <c r="Q80" s="64">
        <v>10.37</v>
      </c>
      <c r="R80" s="198"/>
      <c r="S80" s="198"/>
      <c r="T80" s="198"/>
      <c r="U80" s="198"/>
    </row>
    <row r="81" spans="1:26" s="12" customFormat="1" x14ac:dyDescent="0.25">
      <c r="A81" s="213" t="s">
        <v>892</v>
      </c>
      <c r="B81" s="64">
        <v>37.21</v>
      </c>
      <c r="C81" s="64">
        <v>132.49</v>
      </c>
      <c r="D81" s="64">
        <v>97.68</v>
      </c>
      <c r="E81" s="64">
        <v>14.37</v>
      </c>
      <c r="F81" s="64">
        <v>2.42</v>
      </c>
      <c r="G81" s="64">
        <v>80.64</v>
      </c>
      <c r="H81" s="212" t="s">
        <v>42</v>
      </c>
      <c r="I81" s="210" t="s">
        <v>43</v>
      </c>
      <c r="J81" s="64">
        <v>0.36</v>
      </c>
      <c r="K81" s="64">
        <v>15.12</v>
      </c>
      <c r="L81" s="64">
        <v>20.7</v>
      </c>
      <c r="M81" s="64">
        <v>34.69</v>
      </c>
      <c r="N81" s="64">
        <v>77.8</v>
      </c>
      <c r="O81" s="64">
        <v>0</v>
      </c>
      <c r="P81" s="64">
        <v>1.46</v>
      </c>
      <c r="Q81" s="64">
        <v>10.37</v>
      </c>
      <c r="R81" s="198"/>
      <c r="S81" s="198"/>
      <c r="T81" s="198"/>
      <c r="U81" s="198"/>
    </row>
    <row r="82" spans="1:26" s="12" customFormat="1" x14ac:dyDescent="0.25">
      <c r="A82" s="213" t="s">
        <v>893</v>
      </c>
      <c r="B82" s="64">
        <v>38.18</v>
      </c>
      <c r="C82" s="64">
        <v>118.23</v>
      </c>
      <c r="D82" s="64">
        <v>91.01</v>
      </c>
      <c r="E82" s="64">
        <v>12.53</v>
      </c>
      <c r="F82" s="64">
        <v>2.87</v>
      </c>
      <c r="G82" s="64">
        <v>80.64</v>
      </c>
      <c r="H82" s="212" t="s">
        <v>42</v>
      </c>
      <c r="I82" s="210" t="s">
        <v>43</v>
      </c>
      <c r="J82" s="64">
        <v>0.53</v>
      </c>
      <c r="K82" s="64">
        <v>326.55</v>
      </c>
      <c r="L82" s="64">
        <v>20.13</v>
      </c>
      <c r="M82" s="64">
        <v>38.369999999999997</v>
      </c>
      <c r="N82" s="64">
        <v>77.599999999999994</v>
      </c>
      <c r="O82" s="64">
        <v>0</v>
      </c>
      <c r="P82" s="64">
        <v>1.41</v>
      </c>
      <c r="Q82" s="64">
        <v>10.35</v>
      </c>
      <c r="R82" s="198"/>
      <c r="S82" s="198"/>
      <c r="T82" s="198"/>
      <c r="U82" s="198"/>
    </row>
    <row r="83" spans="1:26" s="12" customFormat="1" x14ac:dyDescent="0.25">
      <c r="A83" s="213" t="s">
        <v>894</v>
      </c>
      <c r="B83" s="64">
        <v>40.03</v>
      </c>
      <c r="C83" s="64">
        <v>106.14</v>
      </c>
      <c r="D83" s="64">
        <v>86.18</v>
      </c>
      <c r="E83" s="64">
        <v>11.52</v>
      </c>
      <c r="F83" s="64">
        <v>2.78</v>
      </c>
      <c r="G83" s="64">
        <v>80.64</v>
      </c>
      <c r="H83" s="212" t="s">
        <v>42</v>
      </c>
      <c r="I83" s="210" t="s">
        <v>43</v>
      </c>
      <c r="J83" s="64">
        <v>0.69</v>
      </c>
      <c r="K83" s="64">
        <v>338.47</v>
      </c>
      <c r="L83" s="64">
        <v>19.5</v>
      </c>
      <c r="M83" s="64">
        <v>46.74</v>
      </c>
      <c r="N83" s="64">
        <v>77.599999999999994</v>
      </c>
      <c r="O83" s="64">
        <v>0</v>
      </c>
      <c r="P83" s="64">
        <v>1.86</v>
      </c>
      <c r="Q83" s="64">
        <v>10.35</v>
      </c>
      <c r="R83" s="198"/>
      <c r="S83" s="198"/>
      <c r="T83" s="198"/>
      <c r="U83" s="198"/>
    </row>
    <row r="84" spans="1:26" s="12" customFormat="1" x14ac:dyDescent="0.25">
      <c r="A84" s="213" t="s">
        <v>895</v>
      </c>
      <c r="B84" s="64">
        <v>42.73</v>
      </c>
      <c r="C84" s="64">
        <v>94.33</v>
      </c>
      <c r="D84" s="64">
        <v>82.17</v>
      </c>
      <c r="E84" s="64">
        <v>11.23</v>
      </c>
      <c r="F84" s="64">
        <v>2.54</v>
      </c>
      <c r="G84" s="64">
        <v>81.62</v>
      </c>
      <c r="H84" s="212" t="s">
        <v>42</v>
      </c>
      <c r="I84" s="210" t="s">
        <v>43</v>
      </c>
      <c r="J84" s="64">
        <v>0.76</v>
      </c>
      <c r="K84" s="64">
        <v>2.35</v>
      </c>
      <c r="L84" s="64">
        <v>19</v>
      </c>
      <c r="M84" s="64">
        <v>46.65</v>
      </c>
      <c r="N84" s="64">
        <v>77.5</v>
      </c>
      <c r="O84" s="64">
        <v>0</v>
      </c>
      <c r="P84" s="64">
        <v>1.52</v>
      </c>
      <c r="Q84" s="64">
        <v>10.39</v>
      </c>
      <c r="R84" s="198"/>
      <c r="S84" s="198"/>
      <c r="T84" s="198"/>
      <c r="U84" s="198"/>
    </row>
    <row r="85" spans="1:26" s="12" customFormat="1" x14ac:dyDescent="0.25">
      <c r="A85" s="213" t="s">
        <v>896</v>
      </c>
      <c r="B85" s="64">
        <v>45.53</v>
      </c>
      <c r="C85" s="64">
        <v>78.28</v>
      </c>
      <c r="D85" s="64">
        <v>76.040000000000006</v>
      </c>
      <c r="E85" s="64">
        <v>10.15</v>
      </c>
      <c r="F85" s="64">
        <v>2.57</v>
      </c>
      <c r="G85" s="64">
        <v>90.47</v>
      </c>
      <c r="H85" s="212" t="s">
        <v>42</v>
      </c>
      <c r="I85" s="210" t="s">
        <v>43</v>
      </c>
      <c r="J85" s="64">
        <v>0.57999999999999996</v>
      </c>
      <c r="K85" s="64">
        <v>4.41</v>
      </c>
      <c r="L85" s="64">
        <v>18.850000000000001</v>
      </c>
      <c r="M85" s="64">
        <v>44.09</v>
      </c>
      <c r="N85" s="64">
        <v>77.5</v>
      </c>
      <c r="O85" s="64">
        <v>0</v>
      </c>
      <c r="P85" s="64">
        <v>1.32</v>
      </c>
      <c r="Q85" s="64">
        <v>10.37</v>
      </c>
      <c r="R85" s="198"/>
      <c r="S85" s="198"/>
      <c r="T85" s="198"/>
      <c r="U85" s="198"/>
    </row>
    <row r="86" spans="1:26" s="12" customFormat="1" x14ac:dyDescent="0.25">
      <c r="A86" s="213" t="s">
        <v>897</v>
      </c>
      <c r="B86" s="64">
        <v>48.58</v>
      </c>
      <c r="C86" s="64">
        <v>70.239999999999995</v>
      </c>
      <c r="D86" s="64">
        <v>74.28</v>
      </c>
      <c r="E86" s="64">
        <v>10.31</v>
      </c>
      <c r="F86" s="64">
        <v>2.15</v>
      </c>
      <c r="G86" s="64">
        <v>90.47</v>
      </c>
      <c r="H86" s="212" t="s">
        <v>42</v>
      </c>
      <c r="I86" s="210" t="s">
        <v>43</v>
      </c>
      <c r="J86" s="64">
        <v>0.66</v>
      </c>
      <c r="K86" s="64">
        <v>333.58</v>
      </c>
      <c r="L86" s="64">
        <v>18.670000000000002</v>
      </c>
      <c r="M86" s="64">
        <v>46.73</v>
      </c>
      <c r="N86" s="64">
        <v>77.2</v>
      </c>
      <c r="O86" s="64">
        <v>0</v>
      </c>
      <c r="P86" s="64">
        <v>1.43</v>
      </c>
      <c r="Q86" s="64">
        <v>10.46</v>
      </c>
      <c r="R86" s="198"/>
      <c r="S86" s="198"/>
      <c r="T86" s="198"/>
      <c r="U86" s="198"/>
    </row>
    <row r="87" spans="1:26" s="12" customFormat="1" x14ac:dyDescent="0.25">
      <c r="A87" s="213" t="s">
        <v>898</v>
      </c>
      <c r="B87" s="64">
        <v>56.37</v>
      </c>
      <c r="C87" s="64">
        <v>65.010000000000005</v>
      </c>
      <c r="D87" s="64">
        <v>77.790000000000006</v>
      </c>
      <c r="E87" s="64">
        <v>10.66</v>
      </c>
      <c r="F87" s="64">
        <v>2.14</v>
      </c>
      <c r="G87" s="64">
        <v>90.47</v>
      </c>
      <c r="H87" s="212" t="s">
        <v>42</v>
      </c>
      <c r="I87" s="210" t="s">
        <v>43</v>
      </c>
      <c r="J87" s="64">
        <v>0.53</v>
      </c>
      <c r="K87" s="64">
        <v>303.63</v>
      </c>
      <c r="L87" s="64">
        <v>18.489999999999998</v>
      </c>
      <c r="M87" s="64">
        <v>49.85</v>
      </c>
      <c r="N87" s="64">
        <v>77.3</v>
      </c>
      <c r="O87" s="64">
        <v>0</v>
      </c>
      <c r="P87" s="64">
        <v>1.51</v>
      </c>
      <c r="Q87" s="64">
        <v>10.56</v>
      </c>
      <c r="R87" s="198"/>
      <c r="S87" s="198"/>
      <c r="T87" s="198"/>
      <c r="U87" s="198"/>
    </row>
    <row r="88" spans="1:26" s="12" customFormat="1" x14ac:dyDescent="0.25">
      <c r="A88" s="213" t="s">
        <v>899</v>
      </c>
      <c r="B88" s="64">
        <v>65.14</v>
      </c>
      <c r="C88" s="64">
        <v>55.37</v>
      </c>
      <c r="D88" s="64">
        <v>79.790000000000006</v>
      </c>
      <c r="E88" s="64">
        <v>10.24</v>
      </c>
      <c r="F88" s="64">
        <v>2.21</v>
      </c>
      <c r="G88" s="64">
        <v>93.91</v>
      </c>
      <c r="H88" s="212" t="s">
        <v>42</v>
      </c>
      <c r="I88" s="210" t="s">
        <v>43</v>
      </c>
      <c r="J88" s="64">
        <v>0.54</v>
      </c>
      <c r="K88" s="64">
        <v>33.72</v>
      </c>
      <c r="L88" s="64">
        <v>18.489999999999998</v>
      </c>
      <c r="M88" s="64">
        <v>48.03</v>
      </c>
      <c r="N88" s="64">
        <v>77.3</v>
      </c>
      <c r="O88" s="64">
        <v>0</v>
      </c>
      <c r="P88" s="64">
        <v>1.59</v>
      </c>
      <c r="Q88" s="64">
        <v>10.64</v>
      </c>
      <c r="R88" s="198"/>
      <c r="S88" s="198"/>
      <c r="T88" s="198"/>
      <c r="U88" s="198"/>
    </row>
    <row r="89" spans="1:26" s="12" customFormat="1" x14ac:dyDescent="0.25">
      <c r="A89" s="213" t="s">
        <v>900</v>
      </c>
      <c r="B89" s="64">
        <v>72.81</v>
      </c>
      <c r="C89" s="64">
        <v>55.75</v>
      </c>
      <c r="D89" s="64">
        <v>86.14</v>
      </c>
      <c r="E89" s="64">
        <v>10</v>
      </c>
      <c r="F89" s="64">
        <v>2.13</v>
      </c>
      <c r="G89" s="64">
        <v>121.44</v>
      </c>
      <c r="H89" s="64">
        <v>45.1</v>
      </c>
      <c r="I89" s="210" t="s">
        <v>43</v>
      </c>
      <c r="J89" s="64">
        <v>0.31</v>
      </c>
      <c r="K89" s="64">
        <v>302.64999999999998</v>
      </c>
      <c r="L89" s="64">
        <v>18.53</v>
      </c>
      <c r="M89" s="64">
        <v>46.13</v>
      </c>
      <c r="N89" s="64">
        <v>77.3</v>
      </c>
      <c r="O89" s="64">
        <v>0</v>
      </c>
      <c r="P89" s="64">
        <v>1.67</v>
      </c>
      <c r="Q89" s="64">
        <v>10.72</v>
      </c>
      <c r="R89" s="198"/>
      <c r="S89" s="198"/>
      <c r="T89" s="198"/>
      <c r="U89" s="198"/>
    </row>
    <row r="90" spans="1:26" s="12" customFormat="1" x14ac:dyDescent="0.25">
      <c r="A90" s="213" t="s">
        <v>901</v>
      </c>
      <c r="B90" s="64">
        <v>78.45</v>
      </c>
      <c r="C90" s="64">
        <v>53.27</v>
      </c>
      <c r="D90" s="64">
        <v>89.36</v>
      </c>
      <c r="E90" s="64">
        <v>10.09</v>
      </c>
      <c r="F90" s="64">
        <v>2.13</v>
      </c>
      <c r="G90" s="64">
        <v>121.44</v>
      </c>
      <c r="H90" s="64">
        <v>45.1</v>
      </c>
      <c r="I90" s="210" t="s">
        <v>43</v>
      </c>
      <c r="J90" s="64">
        <v>0.61</v>
      </c>
      <c r="K90" s="64">
        <v>304.83</v>
      </c>
      <c r="L90" s="64">
        <v>18.25</v>
      </c>
      <c r="M90" s="64">
        <v>48.14</v>
      </c>
      <c r="N90" s="64">
        <v>77.5</v>
      </c>
      <c r="O90" s="64">
        <v>0</v>
      </c>
      <c r="P90" s="64">
        <v>1.74</v>
      </c>
      <c r="Q90" s="64">
        <v>10.85</v>
      </c>
      <c r="R90" s="198"/>
      <c r="S90" s="198"/>
      <c r="T90" s="198"/>
      <c r="U90" s="198"/>
    </row>
    <row r="91" spans="1:26" s="12" customFormat="1" x14ac:dyDescent="0.25">
      <c r="A91" s="213" t="s">
        <v>902</v>
      </c>
      <c r="B91" s="64">
        <v>86.98</v>
      </c>
      <c r="C91" s="64">
        <v>49.03</v>
      </c>
      <c r="D91" s="64">
        <v>93.99</v>
      </c>
      <c r="E91" s="64">
        <v>10.3</v>
      </c>
      <c r="F91" s="64">
        <v>2.13</v>
      </c>
      <c r="G91" s="64">
        <v>121.44</v>
      </c>
      <c r="H91" s="64">
        <v>45.1</v>
      </c>
      <c r="I91" s="210" t="s">
        <v>43</v>
      </c>
      <c r="J91" s="64">
        <v>0.53</v>
      </c>
      <c r="K91" s="64">
        <v>301.13</v>
      </c>
      <c r="L91" s="64">
        <v>17.93</v>
      </c>
      <c r="M91" s="64">
        <v>52.53</v>
      </c>
      <c r="N91" s="64">
        <v>77.5</v>
      </c>
      <c r="O91" s="64">
        <v>0</v>
      </c>
      <c r="P91" s="64">
        <v>1.83</v>
      </c>
      <c r="Q91" s="64">
        <v>11.01</v>
      </c>
      <c r="R91" s="198"/>
      <c r="S91" s="198"/>
      <c r="T91" s="198"/>
      <c r="U91" s="198"/>
    </row>
    <row r="92" spans="1:26" s="12" customFormat="1" x14ac:dyDescent="0.25">
      <c r="A92" s="213" t="s">
        <v>903</v>
      </c>
      <c r="B92" s="64">
        <v>92.98</v>
      </c>
      <c r="C92" s="64">
        <v>46.07</v>
      </c>
      <c r="D92" s="64">
        <v>97.26</v>
      </c>
      <c r="E92" s="64">
        <v>10.95</v>
      </c>
      <c r="F92" s="64">
        <v>2.13</v>
      </c>
      <c r="G92" s="64">
        <v>122.45</v>
      </c>
      <c r="H92" s="64">
        <v>54.04</v>
      </c>
      <c r="I92" s="210" t="s">
        <v>43</v>
      </c>
      <c r="J92" s="64">
        <v>0.6</v>
      </c>
      <c r="K92" s="64">
        <v>348.31</v>
      </c>
      <c r="L92" s="64">
        <v>17.55</v>
      </c>
      <c r="M92" s="64">
        <v>53.41</v>
      </c>
      <c r="N92" s="64">
        <v>77.5</v>
      </c>
      <c r="O92" s="64">
        <v>0</v>
      </c>
      <c r="P92" s="64">
        <v>1.91</v>
      </c>
      <c r="Q92" s="64">
        <v>11.09</v>
      </c>
      <c r="R92" s="198"/>
      <c r="S92" s="198"/>
      <c r="T92" s="198"/>
      <c r="U92" s="198"/>
    </row>
    <row r="93" spans="1:26" s="12" customFormat="1" x14ac:dyDescent="0.25">
      <c r="A93" s="213" t="s">
        <v>904</v>
      </c>
      <c r="B93" s="64">
        <v>100.14</v>
      </c>
      <c r="C93" s="64">
        <v>52.66</v>
      </c>
      <c r="D93" s="64">
        <v>106.44</v>
      </c>
      <c r="E93" s="64">
        <v>11.02</v>
      </c>
      <c r="F93" s="64">
        <v>2.13</v>
      </c>
      <c r="G93" s="64">
        <v>130.47</v>
      </c>
      <c r="H93" s="212" t="s">
        <v>42</v>
      </c>
      <c r="I93" s="210" t="s">
        <v>43</v>
      </c>
      <c r="J93" s="64">
        <v>0.61</v>
      </c>
      <c r="K93" s="64">
        <v>327.20999999999998</v>
      </c>
      <c r="L93" s="64">
        <v>17.329999999999998</v>
      </c>
      <c r="M93" s="64">
        <v>54.73</v>
      </c>
      <c r="N93" s="64">
        <v>77.400000000000006</v>
      </c>
      <c r="O93" s="64">
        <v>0</v>
      </c>
      <c r="P93" s="64">
        <v>2.0299999999999998</v>
      </c>
      <c r="Q93" s="64">
        <v>11.1</v>
      </c>
      <c r="R93" s="198"/>
      <c r="S93" s="198"/>
      <c r="T93" s="198"/>
      <c r="U93" s="198"/>
    </row>
    <row r="94" spans="1:26" s="12" customFormat="1" x14ac:dyDescent="0.25">
      <c r="A94" s="213" t="s">
        <v>905</v>
      </c>
      <c r="B94" s="64">
        <v>111.58</v>
      </c>
      <c r="C94" s="64">
        <v>46.97</v>
      </c>
      <c r="D94" s="64">
        <v>112.64</v>
      </c>
      <c r="E94" s="64">
        <v>11.05</v>
      </c>
      <c r="F94" s="64">
        <v>2.13</v>
      </c>
      <c r="G94" s="64">
        <v>130.47</v>
      </c>
      <c r="H94" s="212" t="s">
        <v>42</v>
      </c>
      <c r="I94" s="210" t="s">
        <v>43</v>
      </c>
      <c r="J94" s="64">
        <v>0.67</v>
      </c>
      <c r="K94" s="64">
        <v>351.74</v>
      </c>
      <c r="L94" s="64">
        <v>17.21</v>
      </c>
      <c r="M94" s="64">
        <v>56.49</v>
      </c>
      <c r="N94" s="64">
        <v>77.400000000000006</v>
      </c>
      <c r="O94" s="64">
        <v>0</v>
      </c>
      <c r="P94" s="64">
        <v>2.5</v>
      </c>
      <c r="Q94" s="64">
        <v>11.07</v>
      </c>
      <c r="R94" s="198"/>
      <c r="S94" s="198"/>
      <c r="T94" s="198"/>
      <c r="U94" s="198"/>
    </row>
    <row r="95" spans="1:26" s="12" customFormat="1" x14ac:dyDescent="0.25">
      <c r="A95" s="213" t="s">
        <v>906</v>
      </c>
      <c r="B95" s="64">
        <v>120.11</v>
      </c>
      <c r="C95" s="64">
        <v>43.41</v>
      </c>
      <c r="D95" s="64">
        <v>117.62</v>
      </c>
      <c r="E95" s="64">
        <v>11.08</v>
      </c>
      <c r="F95" s="64">
        <v>2.13</v>
      </c>
      <c r="G95" s="64">
        <v>130.47</v>
      </c>
      <c r="H95" s="212" t="s">
        <v>42</v>
      </c>
      <c r="I95" s="210" t="s">
        <v>43</v>
      </c>
      <c r="J95" s="64">
        <v>0.57999999999999996</v>
      </c>
      <c r="K95" s="64">
        <v>300.57</v>
      </c>
      <c r="L95" s="64">
        <v>17.12</v>
      </c>
      <c r="M95" s="64">
        <v>59.27</v>
      </c>
      <c r="N95" s="64">
        <v>77.400000000000006</v>
      </c>
      <c r="O95" s="64">
        <v>0</v>
      </c>
      <c r="P95" s="64">
        <v>2.6</v>
      </c>
      <c r="Q95" s="64">
        <v>11.05</v>
      </c>
      <c r="R95" s="198"/>
      <c r="S95" s="198"/>
      <c r="T95" s="198"/>
      <c r="U95" s="198"/>
    </row>
    <row r="96" spans="1:26" s="12" customFormat="1" x14ac:dyDescent="0.25">
      <c r="A96" s="213" t="s">
        <v>907</v>
      </c>
      <c r="B96" s="64">
        <v>124.28</v>
      </c>
      <c r="C96" s="64">
        <v>43.84</v>
      </c>
      <c r="D96" s="64">
        <v>121.19</v>
      </c>
      <c r="E96" s="64">
        <v>10.75</v>
      </c>
      <c r="F96" s="64">
        <v>2.13</v>
      </c>
      <c r="G96" s="64">
        <v>132.75</v>
      </c>
      <c r="H96" s="212" t="s">
        <v>42</v>
      </c>
      <c r="I96" s="210" t="s">
        <v>43</v>
      </c>
      <c r="J96" s="64">
        <v>0.54</v>
      </c>
      <c r="K96" s="64">
        <v>335.66</v>
      </c>
      <c r="L96" s="64">
        <v>16.97</v>
      </c>
      <c r="M96" s="64">
        <v>58.14</v>
      </c>
      <c r="N96" s="64">
        <v>77.3</v>
      </c>
      <c r="O96" s="64">
        <v>0</v>
      </c>
      <c r="P96" s="64">
        <v>2.44</v>
      </c>
      <c r="Q96" s="64">
        <v>11.04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908</v>
      </c>
      <c r="B97" s="64">
        <v>127.7</v>
      </c>
      <c r="C97" s="64">
        <v>46.83</v>
      </c>
      <c r="D97" s="64">
        <v>125.5</v>
      </c>
      <c r="E97" s="64">
        <v>11.13</v>
      </c>
      <c r="F97" s="64">
        <v>2.13</v>
      </c>
      <c r="G97" s="64">
        <v>150.93</v>
      </c>
      <c r="H97" s="212" t="s">
        <v>42</v>
      </c>
      <c r="I97" s="210" t="s">
        <v>43</v>
      </c>
      <c r="J97" s="64">
        <v>0.51</v>
      </c>
      <c r="K97" s="64">
        <v>30.4</v>
      </c>
      <c r="L97" s="64">
        <v>17.149999999999999</v>
      </c>
      <c r="M97" s="64">
        <v>57.27</v>
      </c>
      <c r="N97" s="64">
        <v>77.3</v>
      </c>
      <c r="O97" s="64">
        <v>0</v>
      </c>
      <c r="P97" s="64">
        <v>2.87</v>
      </c>
      <c r="Q97" s="64">
        <v>11</v>
      </c>
      <c r="R97" s="198"/>
      <c r="S97" s="198"/>
      <c r="T97" s="198"/>
      <c r="U97" s="198"/>
    </row>
    <row r="98" spans="1:33" s="12" customFormat="1" x14ac:dyDescent="0.25">
      <c r="A98" s="213" t="s">
        <v>909</v>
      </c>
      <c r="B98" s="64">
        <v>131.51</v>
      </c>
      <c r="C98" s="64">
        <v>47.7</v>
      </c>
      <c r="D98" s="64">
        <v>129</v>
      </c>
      <c r="E98" s="64">
        <v>11.17</v>
      </c>
      <c r="F98" s="64">
        <v>2.13</v>
      </c>
      <c r="G98" s="64">
        <v>150.93</v>
      </c>
      <c r="H98" s="212" t="s">
        <v>42</v>
      </c>
      <c r="I98" s="210" t="s">
        <v>43</v>
      </c>
      <c r="J98" s="64">
        <v>0.47</v>
      </c>
      <c r="K98" s="64">
        <v>277.57</v>
      </c>
      <c r="L98" s="64">
        <v>17.010000000000002</v>
      </c>
      <c r="M98" s="64">
        <v>57.76</v>
      </c>
      <c r="N98" s="64">
        <v>77.5</v>
      </c>
      <c r="O98" s="64">
        <v>0</v>
      </c>
      <c r="P98" s="64">
        <v>2.58</v>
      </c>
      <c r="Q98" s="64">
        <v>10.95</v>
      </c>
      <c r="R98" s="198"/>
      <c r="S98" s="198"/>
      <c r="T98" s="198"/>
      <c r="U98" s="198"/>
    </row>
    <row r="99" spans="1:33" s="12" customFormat="1" x14ac:dyDescent="0.25">
      <c r="A99" s="213" t="s">
        <v>910</v>
      </c>
      <c r="B99" s="64">
        <v>133.65</v>
      </c>
      <c r="C99" s="64">
        <v>48.13</v>
      </c>
      <c r="D99" s="64">
        <v>130.94999999999999</v>
      </c>
      <c r="E99" s="64">
        <v>11.05</v>
      </c>
      <c r="F99" s="64">
        <v>2.13</v>
      </c>
      <c r="G99" s="64">
        <v>150.93</v>
      </c>
      <c r="H99" s="212" t="s">
        <v>42</v>
      </c>
      <c r="I99" s="210" t="s">
        <v>43</v>
      </c>
      <c r="J99" s="64">
        <v>0.68</v>
      </c>
      <c r="K99" s="64">
        <v>243.73</v>
      </c>
      <c r="L99" s="64">
        <v>17.09</v>
      </c>
      <c r="M99" s="64">
        <v>52.7</v>
      </c>
      <c r="N99" s="64">
        <v>77.2</v>
      </c>
      <c r="O99" s="64">
        <v>0</v>
      </c>
      <c r="P99" s="64">
        <v>2.5</v>
      </c>
      <c r="Q99" s="64">
        <v>10.95</v>
      </c>
      <c r="R99" s="198"/>
      <c r="S99" s="198"/>
      <c r="T99" s="198"/>
      <c r="U99" s="198"/>
    </row>
    <row r="100" spans="1:33" s="12" customFormat="1" x14ac:dyDescent="0.25">
      <c r="A100" s="213" t="s">
        <v>911</v>
      </c>
      <c r="B100" s="64">
        <v>134.80000000000001</v>
      </c>
      <c r="C100" s="64">
        <v>49.07</v>
      </c>
      <c r="D100" s="64">
        <v>132.36000000000001</v>
      </c>
      <c r="E100" s="64">
        <v>10.94</v>
      </c>
      <c r="F100" s="64">
        <v>2.13</v>
      </c>
      <c r="G100" s="64">
        <v>153.36000000000001</v>
      </c>
      <c r="H100" s="212" t="s">
        <v>42</v>
      </c>
      <c r="I100" s="210" t="s">
        <v>43</v>
      </c>
      <c r="J100" s="64">
        <v>0.61</v>
      </c>
      <c r="K100" s="64">
        <v>256.60000000000002</v>
      </c>
      <c r="L100" s="64">
        <v>16.7</v>
      </c>
      <c r="M100" s="64">
        <v>57.79</v>
      </c>
      <c r="N100" s="64">
        <v>77.5</v>
      </c>
      <c r="O100" s="64">
        <v>0</v>
      </c>
      <c r="P100" s="64">
        <v>2.5499999999999998</v>
      </c>
      <c r="Q100" s="64">
        <v>10.92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912</v>
      </c>
      <c r="B101" s="64">
        <v>137.47</v>
      </c>
      <c r="C101" s="64">
        <v>49.13</v>
      </c>
      <c r="D101" s="64">
        <v>134.53</v>
      </c>
      <c r="E101" s="64">
        <v>11.44</v>
      </c>
      <c r="F101" s="64">
        <v>2.13</v>
      </c>
      <c r="G101" s="64">
        <v>172.74</v>
      </c>
      <c r="H101" s="212" t="s">
        <v>42</v>
      </c>
      <c r="I101" s="210" t="s">
        <v>43</v>
      </c>
      <c r="J101" s="64">
        <v>0.47</v>
      </c>
      <c r="K101" s="64">
        <v>10.119999999999999</v>
      </c>
      <c r="L101" s="64">
        <v>16.329999999999998</v>
      </c>
      <c r="M101" s="64">
        <v>61.68</v>
      </c>
      <c r="N101" s="64">
        <v>77.5</v>
      </c>
      <c r="O101" s="64">
        <v>0</v>
      </c>
      <c r="P101" s="64">
        <v>2.57</v>
      </c>
      <c r="Q101" s="64">
        <v>10.85</v>
      </c>
      <c r="R101" s="198"/>
      <c r="S101" s="198"/>
      <c r="T101" s="198"/>
      <c r="U101" s="198"/>
    </row>
    <row r="102" spans="1:33" s="12" customFormat="1" x14ac:dyDescent="0.25">
      <c r="A102" s="213" t="s">
        <v>913</v>
      </c>
      <c r="B102" s="64">
        <v>142.24</v>
      </c>
      <c r="C102" s="64">
        <v>54.25</v>
      </c>
      <c r="D102" s="64">
        <v>141.04</v>
      </c>
      <c r="E102" s="64">
        <v>11.5</v>
      </c>
      <c r="F102" s="64">
        <v>2.13</v>
      </c>
      <c r="G102" s="64">
        <v>172.74</v>
      </c>
      <c r="H102" s="212" t="s">
        <v>42</v>
      </c>
      <c r="I102" s="210" t="s">
        <v>43</v>
      </c>
      <c r="J102" s="64">
        <v>0.66</v>
      </c>
      <c r="K102" s="64">
        <v>340.84</v>
      </c>
      <c r="L102" s="64">
        <v>16.079999999999998</v>
      </c>
      <c r="M102" s="64">
        <v>66.72</v>
      </c>
      <c r="N102" s="64">
        <v>77.5</v>
      </c>
      <c r="O102" s="64">
        <v>0</v>
      </c>
      <c r="P102" s="64">
        <v>2.54</v>
      </c>
      <c r="Q102" s="64">
        <v>10.8</v>
      </c>
      <c r="R102" s="198"/>
      <c r="S102" s="198"/>
      <c r="T102" s="198"/>
      <c r="U102" s="198"/>
    </row>
    <row r="103" spans="1:33" s="12" customFormat="1" x14ac:dyDescent="0.25">
      <c r="A103" s="213" t="s">
        <v>914</v>
      </c>
      <c r="B103" s="64">
        <v>145.9</v>
      </c>
      <c r="C103" s="64">
        <v>60.05</v>
      </c>
      <c r="D103" s="64">
        <v>147</v>
      </c>
      <c r="E103" s="64">
        <v>11.61</v>
      </c>
      <c r="F103" s="64">
        <v>2.1800000000000002</v>
      </c>
      <c r="G103" s="64">
        <v>172.74</v>
      </c>
      <c r="H103" s="212" t="s">
        <v>42</v>
      </c>
      <c r="I103" s="210" t="s">
        <v>43</v>
      </c>
      <c r="J103" s="64">
        <v>0.46</v>
      </c>
      <c r="K103" s="64">
        <v>329.02</v>
      </c>
      <c r="L103" s="64">
        <v>16.190000000000001</v>
      </c>
      <c r="M103" s="64">
        <v>63.71</v>
      </c>
      <c r="N103" s="64">
        <v>77.400000000000006</v>
      </c>
      <c r="O103" s="64">
        <v>0</v>
      </c>
      <c r="P103" s="64">
        <v>2.58</v>
      </c>
      <c r="Q103" s="64">
        <v>10.81</v>
      </c>
      <c r="R103" s="198"/>
      <c r="S103" s="198"/>
      <c r="T103" s="198"/>
      <c r="U103" s="198"/>
    </row>
    <row r="104" spans="1:33" s="12" customFormat="1" x14ac:dyDescent="0.25">
      <c r="A104" s="213" t="s">
        <v>915</v>
      </c>
      <c r="B104" s="64">
        <v>150.86000000000001</v>
      </c>
      <c r="C104" s="64">
        <v>55.63</v>
      </c>
      <c r="D104" s="64">
        <v>148.66</v>
      </c>
      <c r="E104" s="64">
        <v>8.02</v>
      </c>
      <c r="F104" s="64">
        <v>2.13</v>
      </c>
      <c r="G104" s="64">
        <v>175.32</v>
      </c>
      <c r="H104" s="212" t="s">
        <v>42</v>
      </c>
      <c r="I104" s="210" t="s">
        <v>43</v>
      </c>
      <c r="J104" s="64">
        <v>0.65</v>
      </c>
      <c r="K104" s="64">
        <v>313.60000000000002</v>
      </c>
      <c r="L104" s="64">
        <v>15.95</v>
      </c>
      <c r="M104" s="64">
        <v>62.49</v>
      </c>
      <c r="N104" s="64">
        <v>77.400000000000006</v>
      </c>
      <c r="O104" s="64">
        <v>0</v>
      </c>
      <c r="P104" s="64">
        <v>2.6</v>
      </c>
      <c r="Q104" s="64">
        <v>10.81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5.17</v>
      </c>
      <c r="C106" s="67">
        <f>MIN(C9:C104)</f>
        <v>43.41</v>
      </c>
      <c r="D106" s="67">
        <f t="shared" ref="D106:Q106" si="0">MIN(D9:D104)</f>
        <v>30.12</v>
      </c>
      <c r="E106" s="67">
        <f t="shared" si="0"/>
        <v>3.85</v>
      </c>
      <c r="F106" s="67">
        <f t="shared" si="0"/>
        <v>2.13</v>
      </c>
      <c r="G106" s="67">
        <f t="shared" si="0"/>
        <v>40.03</v>
      </c>
      <c r="H106" s="67">
        <f t="shared" si="0"/>
        <v>11.73</v>
      </c>
      <c r="I106" s="67">
        <f t="shared" si="0"/>
        <v>0</v>
      </c>
      <c r="J106" s="67">
        <f t="shared" si="0"/>
        <v>0.12</v>
      </c>
      <c r="K106" s="67">
        <f t="shared" si="0"/>
        <v>1.17</v>
      </c>
      <c r="L106" s="67">
        <f t="shared" si="0"/>
        <v>13.84</v>
      </c>
      <c r="M106" s="67">
        <f t="shared" si="0"/>
        <v>13.74</v>
      </c>
      <c r="N106" s="67">
        <f t="shared" si="0"/>
        <v>77.2</v>
      </c>
      <c r="O106" s="67">
        <f t="shared" si="0"/>
        <v>0</v>
      </c>
      <c r="P106" s="67">
        <f t="shared" si="0"/>
        <v>0.41</v>
      </c>
      <c r="Q106" s="67">
        <f t="shared" si="0"/>
        <v>9.5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150.86000000000001</v>
      </c>
      <c r="C107" s="66">
        <f t="shared" ref="C107:Q107" si="1">MAX(C9:C104)</f>
        <v>158.9</v>
      </c>
      <c r="D107" s="66">
        <f t="shared" si="1"/>
        <v>148.66</v>
      </c>
      <c r="E107" s="66">
        <f t="shared" si="1"/>
        <v>75.61</v>
      </c>
      <c r="F107" s="66">
        <f t="shared" si="1"/>
        <v>17.07</v>
      </c>
      <c r="G107" s="66">
        <f t="shared" si="1"/>
        <v>175.32</v>
      </c>
      <c r="H107" s="66">
        <f t="shared" si="1"/>
        <v>54.04</v>
      </c>
      <c r="I107" s="66">
        <f t="shared" si="1"/>
        <v>0</v>
      </c>
      <c r="J107" s="66">
        <f t="shared" si="1"/>
        <v>1.94</v>
      </c>
      <c r="K107" s="66">
        <f t="shared" si="1"/>
        <v>359.64</v>
      </c>
      <c r="L107" s="66">
        <f t="shared" si="1"/>
        <v>29.47</v>
      </c>
      <c r="M107" s="66">
        <f t="shared" si="1"/>
        <v>66.72</v>
      </c>
      <c r="N107" s="66">
        <f t="shared" si="1"/>
        <v>571.4</v>
      </c>
      <c r="O107" s="66">
        <f t="shared" si="1"/>
        <v>0</v>
      </c>
      <c r="P107" s="66">
        <f t="shared" si="1"/>
        <v>2.87</v>
      </c>
      <c r="Q107" s="66">
        <f t="shared" si="1"/>
        <v>11.1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33.209374999999994</v>
      </c>
      <c r="C108" s="67">
        <f t="shared" ref="C108:Q108" si="2">AVERAGE(C9:C104)</f>
        <v>65.23833333333333</v>
      </c>
      <c r="D108" s="67">
        <f t="shared" si="2"/>
        <v>59.339062499999983</v>
      </c>
      <c r="E108" s="67">
        <f t="shared" si="2"/>
        <v>10.496979166666666</v>
      </c>
      <c r="F108" s="67">
        <f t="shared" si="2"/>
        <v>2.8985416666666652</v>
      </c>
      <c r="G108" s="67">
        <f t="shared" si="2"/>
        <v>73.462812499999998</v>
      </c>
      <c r="H108" s="67">
        <f t="shared" si="2"/>
        <v>28.193125000000006</v>
      </c>
      <c r="I108" s="67" t="e">
        <f t="shared" si="2"/>
        <v>#DIV/0!</v>
      </c>
      <c r="J108" s="67">
        <f t="shared" si="2"/>
        <v>0.80354166666666671</v>
      </c>
      <c r="K108" s="67">
        <f t="shared" si="2"/>
        <v>214.95656249999999</v>
      </c>
      <c r="L108" s="67">
        <f t="shared" si="2"/>
        <v>19.654791666666672</v>
      </c>
      <c r="M108" s="67">
        <f t="shared" si="2"/>
        <v>33.959270833333328</v>
      </c>
      <c r="N108" s="67">
        <f t="shared" si="2"/>
        <v>202.40937500000004</v>
      </c>
      <c r="O108" s="67">
        <f t="shared" si="2"/>
        <v>0</v>
      </c>
      <c r="P108" s="67">
        <f t="shared" si="2"/>
        <v>0.97177083333333325</v>
      </c>
      <c r="Q108" s="67">
        <f t="shared" si="2"/>
        <v>10.039791666666666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40.913380871569458</v>
      </c>
      <c r="C109" s="67">
        <f t="shared" ref="C109:Q109" si="3">STDEV(C9:C104)</f>
        <v>25.365775685761122</v>
      </c>
      <c r="D109" s="67">
        <f t="shared" si="3"/>
        <v>33.344228162358526</v>
      </c>
      <c r="E109" s="67">
        <f t="shared" si="3"/>
        <v>11.839846649059504</v>
      </c>
      <c r="F109" s="67">
        <f t="shared" si="3"/>
        <v>2.5716822178925178</v>
      </c>
      <c r="G109" s="67">
        <f t="shared" si="3"/>
        <v>35.237125120296348</v>
      </c>
      <c r="H109" s="67">
        <f t="shared" si="3"/>
        <v>13.788676861226854</v>
      </c>
      <c r="I109" s="67" t="e">
        <f t="shared" si="3"/>
        <v>#DIV/0!</v>
      </c>
      <c r="J109" s="67">
        <f t="shared" si="3"/>
        <v>0.40962108078633042</v>
      </c>
      <c r="K109" s="67">
        <f t="shared" si="3"/>
        <v>145.9454812904869</v>
      </c>
      <c r="L109" s="67">
        <f t="shared" si="3"/>
        <v>4.5577468993183059</v>
      </c>
      <c r="M109" s="67">
        <f t="shared" si="3"/>
        <v>13.425320871969912</v>
      </c>
      <c r="N109" s="67">
        <f t="shared" si="3"/>
        <v>182.4268407525978</v>
      </c>
      <c r="O109" s="67">
        <f t="shared" si="3"/>
        <v>0</v>
      </c>
      <c r="P109" s="67">
        <f t="shared" si="3"/>
        <v>0.70892207988669498</v>
      </c>
      <c r="Q109" s="67">
        <f t="shared" si="3"/>
        <v>0.50636574916736277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 t="shared" si="4"/>
        <v>96</v>
      </c>
      <c r="H110" s="66">
        <f>COUNT(H9:H104)+80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916</v>
      </c>
      <c r="B9" s="64">
        <v>151.94999999999999</v>
      </c>
      <c r="C9" s="64">
        <v>55.93</v>
      </c>
      <c r="D9" s="64">
        <v>149.69999999999999</v>
      </c>
      <c r="E9" s="64">
        <v>10.73</v>
      </c>
      <c r="F9" s="64">
        <v>2.13</v>
      </c>
      <c r="G9" s="64">
        <v>196.03</v>
      </c>
      <c r="H9" s="209" t="s">
        <v>36</v>
      </c>
      <c r="I9" s="210" t="s">
        <v>43</v>
      </c>
      <c r="J9" s="64">
        <v>0.62</v>
      </c>
      <c r="K9" s="64">
        <v>326.62</v>
      </c>
      <c r="L9" s="64">
        <v>15.73</v>
      </c>
      <c r="M9" s="64">
        <v>63.7</v>
      </c>
      <c r="N9" s="64">
        <v>77.5</v>
      </c>
      <c r="O9" s="64">
        <v>0</v>
      </c>
      <c r="P9" s="64">
        <v>2.6</v>
      </c>
      <c r="Q9" s="64">
        <v>10.82</v>
      </c>
      <c r="R9" s="198"/>
      <c r="S9" s="198"/>
      <c r="T9" s="198"/>
      <c r="U9" s="198"/>
    </row>
    <row r="10" spans="1:21" s="12" customFormat="1" x14ac:dyDescent="0.25">
      <c r="A10" s="213" t="s">
        <v>917</v>
      </c>
      <c r="B10" s="64">
        <v>150.16</v>
      </c>
      <c r="C10" s="64">
        <v>55.36</v>
      </c>
      <c r="D10" s="64">
        <v>147.97</v>
      </c>
      <c r="E10" s="64">
        <v>10.1</v>
      </c>
      <c r="F10" s="64">
        <v>2.13</v>
      </c>
      <c r="G10" s="64">
        <v>196.03</v>
      </c>
      <c r="H10" s="209" t="s">
        <v>36</v>
      </c>
      <c r="I10" s="210" t="s">
        <v>43</v>
      </c>
      <c r="J10" s="64">
        <v>0.51</v>
      </c>
      <c r="K10" s="64">
        <v>281</v>
      </c>
      <c r="L10" s="64">
        <v>15.72</v>
      </c>
      <c r="M10" s="64">
        <v>57.28</v>
      </c>
      <c r="N10" s="64">
        <v>77.2</v>
      </c>
      <c r="O10" s="64">
        <v>0</v>
      </c>
      <c r="P10" s="64">
        <v>2.57</v>
      </c>
      <c r="Q10" s="64">
        <v>10.86</v>
      </c>
      <c r="R10" s="198"/>
      <c r="S10" s="198"/>
      <c r="T10" s="198"/>
      <c r="U10" s="198"/>
    </row>
    <row r="11" spans="1:21" s="12" customFormat="1" x14ac:dyDescent="0.25">
      <c r="A11" s="213" t="s">
        <v>918</v>
      </c>
      <c r="B11" s="64">
        <v>145.19999999999999</v>
      </c>
      <c r="C11" s="64">
        <v>56.36</v>
      </c>
      <c r="D11" s="64">
        <v>144.51</v>
      </c>
      <c r="E11" s="64">
        <v>9.8699999999999992</v>
      </c>
      <c r="F11" s="64">
        <v>2.13</v>
      </c>
      <c r="G11" s="64">
        <v>196.03</v>
      </c>
      <c r="H11" s="209" t="s">
        <v>36</v>
      </c>
      <c r="I11" s="210" t="s">
        <v>43</v>
      </c>
      <c r="J11" s="64">
        <v>0.56999999999999995</v>
      </c>
      <c r="K11" s="64">
        <v>240.36</v>
      </c>
      <c r="L11" s="64">
        <v>15.79</v>
      </c>
      <c r="M11" s="64">
        <v>58.52</v>
      </c>
      <c r="N11" s="64">
        <v>77.400000000000006</v>
      </c>
      <c r="O11" s="64">
        <v>0</v>
      </c>
      <c r="P11" s="64">
        <v>2.5299999999999998</v>
      </c>
      <c r="Q11" s="64">
        <v>10.83</v>
      </c>
      <c r="R11" s="198"/>
      <c r="S11" s="198"/>
      <c r="T11" s="198"/>
      <c r="U11" s="198"/>
    </row>
    <row r="12" spans="1:21" s="12" customFormat="1" x14ac:dyDescent="0.25">
      <c r="A12" s="213" t="s">
        <v>919</v>
      </c>
      <c r="B12" s="64">
        <v>142.04</v>
      </c>
      <c r="C12" s="64">
        <v>53.04</v>
      </c>
      <c r="D12" s="64">
        <v>140.24</v>
      </c>
      <c r="E12" s="64">
        <v>9.5500000000000007</v>
      </c>
      <c r="F12" s="64">
        <v>2.13</v>
      </c>
      <c r="G12" s="64">
        <v>193.41</v>
      </c>
      <c r="H12" s="209" t="s">
        <v>36</v>
      </c>
      <c r="I12" s="210" t="s">
        <v>43</v>
      </c>
      <c r="J12" s="64">
        <v>0.4</v>
      </c>
      <c r="K12" s="64">
        <v>305.22000000000003</v>
      </c>
      <c r="L12" s="64">
        <v>15.65</v>
      </c>
      <c r="M12" s="64">
        <v>59.43</v>
      </c>
      <c r="N12" s="64">
        <v>77.5</v>
      </c>
      <c r="O12" s="64">
        <v>0</v>
      </c>
      <c r="P12" s="64">
        <v>2.4900000000000002</v>
      </c>
      <c r="Q12" s="64">
        <v>10.81</v>
      </c>
      <c r="R12" s="198"/>
      <c r="S12" s="198"/>
      <c r="T12" s="198"/>
      <c r="U12" s="198"/>
    </row>
    <row r="13" spans="1:21" s="12" customFormat="1" x14ac:dyDescent="0.25">
      <c r="A13" s="213" t="s">
        <v>920</v>
      </c>
      <c r="B13" s="64">
        <v>138.93</v>
      </c>
      <c r="C13" s="64">
        <v>57.76</v>
      </c>
      <c r="D13" s="64">
        <v>140.21</v>
      </c>
      <c r="E13" s="64">
        <v>9.73</v>
      </c>
      <c r="F13" s="64">
        <v>2.13</v>
      </c>
      <c r="G13" s="64">
        <v>172.45</v>
      </c>
      <c r="H13" s="64">
        <v>48.47</v>
      </c>
      <c r="I13" s="210" t="s">
        <v>43</v>
      </c>
      <c r="J13" s="64">
        <v>0.49</v>
      </c>
      <c r="K13" s="64">
        <v>257.70999999999998</v>
      </c>
      <c r="L13" s="64">
        <v>15.42</v>
      </c>
      <c r="M13" s="64">
        <v>60.68</v>
      </c>
      <c r="N13" s="64">
        <v>77.400000000000006</v>
      </c>
      <c r="O13" s="64">
        <v>0</v>
      </c>
      <c r="P13" s="64">
        <v>2.19</v>
      </c>
      <c r="Q13" s="64">
        <v>10.75</v>
      </c>
      <c r="R13" s="198"/>
      <c r="S13" s="198"/>
      <c r="T13" s="198"/>
      <c r="U13" s="198"/>
    </row>
    <row r="14" spans="1:21" s="12" customFormat="1" x14ac:dyDescent="0.25">
      <c r="A14" s="213" t="s">
        <v>921</v>
      </c>
      <c r="B14" s="64">
        <v>135.6</v>
      </c>
      <c r="C14" s="64">
        <v>52.63</v>
      </c>
      <c r="D14" s="64">
        <v>134.87</v>
      </c>
      <c r="E14" s="64">
        <v>9.3699999999999992</v>
      </c>
      <c r="F14" s="64">
        <v>2.13</v>
      </c>
      <c r="G14" s="64">
        <v>172.45</v>
      </c>
      <c r="H14" s="64">
        <v>48.47</v>
      </c>
      <c r="I14" s="210" t="s">
        <v>43</v>
      </c>
      <c r="J14" s="64">
        <v>0.49</v>
      </c>
      <c r="K14" s="64">
        <v>257.83</v>
      </c>
      <c r="L14" s="64">
        <v>15.47</v>
      </c>
      <c r="M14" s="64">
        <v>60.49</v>
      </c>
      <c r="N14" s="64">
        <v>77.2</v>
      </c>
      <c r="O14" s="64">
        <v>0</v>
      </c>
      <c r="P14" s="64">
        <v>2.2200000000000002</v>
      </c>
      <c r="Q14" s="64">
        <v>10.73</v>
      </c>
      <c r="R14" s="198"/>
      <c r="S14" s="198"/>
      <c r="T14" s="198"/>
      <c r="U14" s="198"/>
    </row>
    <row r="15" spans="1:21" s="12" customFormat="1" x14ac:dyDescent="0.25">
      <c r="A15" s="213" t="s">
        <v>922</v>
      </c>
      <c r="B15" s="64">
        <v>130.94</v>
      </c>
      <c r="C15" s="64">
        <v>54.72</v>
      </c>
      <c r="D15" s="64">
        <v>132.22</v>
      </c>
      <c r="E15" s="64">
        <v>9.24</v>
      </c>
      <c r="F15" s="64">
        <v>2.13</v>
      </c>
      <c r="G15" s="64">
        <v>172.45</v>
      </c>
      <c r="H15" s="64">
        <v>48.47</v>
      </c>
      <c r="I15" s="210" t="s">
        <v>43</v>
      </c>
      <c r="J15" s="64">
        <v>0.62</v>
      </c>
      <c r="K15" s="64">
        <v>207.14</v>
      </c>
      <c r="L15" s="64">
        <v>15.39</v>
      </c>
      <c r="M15" s="64">
        <v>68.849999999999994</v>
      </c>
      <c r="N15" s="64">
        <v>77</v>
      </c>
      <c r="O15" s="64">
        <v>0</v>
      </c>
      <c r="P15" s="64">
        <v>2.17</v>
      </c>
      <c r="Q15" s="64">
        <v>10.7</v>
      </c>
      <c r="R15" s="198"/>
      <c r="S15" s="198"/>
      <c r="T15" s="198"/>
      <c r="U15" s="198"/>
    </row>
    <row r="16" spans="1:21" s="12" customFormat="1" x14ac:dyDescent="0.25">
      <c r="A16" s="213" t="s">
        <v>923</v>
      </c>
      <c r="B16" s="64">
        <v>128.01</v>
      </c>
      <c r="C16" s="64">
        <v>48.3</v>
      </c>
      <c r="D16" s="64">
        <v>126.51</v>
      </c>
      <c r="E16" s="64">
        <v>9.23</v>
      </c>
      <c r="F16" s="64">
        <v>2.13</v>
      </c>
      <c r="G16" s="64">
        <v>169.99</v>
      </c>
      <c r="H16" s="64">
        <v>48.29</v>
      </c>
      <c r="I16" s="210" t="s">
        <v>43</v>
      </c>
      <c r="J16" s="64">
        <v>0.68</v>
      </c>
      <c r="K16" s="64">
        <v>208.25</v>
      </c>
      <c r="L16" s="64">
        <v>15.11</v>
      </c>
      <c r="M16" s="64">
        <v>72.680000000000007</v>
      </c>
      <c r="N16" s="64">
        <v>77.2</v>
      </c>
      <c r="O16" s="64">
        <v>0</v>
      </c>
      <c r="P16" s="64">
        <v>1.91</v>
      </c>
      <c r="Q16" s="64">
        <v>10.64</v>
      </c>
      <c r="R16" s="198"/>
      <c r="S16" s="198"/>
      <c r="T16" s="198"/>
      <c r="U16" s="198"/>
    </row>
    <row r="17" spans="1:21" s="12" customFormat="1" x14ac:dyDescent="0.25">
      <c r="A17" s="213" t="s">
        <v>924</v>
      </c>
      <c r="B17" s="64">
        <v>125.82</v>
      </c>
      <c r="C17" s="64">
        <v>47.06</v>
      </c>
      <c r="D17" s="64">
        <v>124.11</v>
      </c>
      <c r="E17" s="64">
        <v>8.76</v>
      </c>
      <c r="F17" s="64">
        <v>2.13</v>
      </c>
      <c r="G17" s="64">
        <v>147.85</v>
      </c>
      <c r="H17" s="64">
        <v>46.7</v>
      </c>
      <c r="I17" s="210" t="s">
        <v>43</v>
      </c>
      <c r="J17" s="64">
        <v>0.67</v>
      </c>
      <c r="K17" s="64">
        <v>232.94</v>
      </c>
      <c r="L17" s="64">
        <v>15.08</v>
      </c>
      <c r="M17" s="64">
        <v>73.72</v>
      </c>
      <c r="N17" s="64">
        <v>77.400000000000006</v>
      </c>
      <c r="O17" s="64">
        <v>0</v>
      </c>
      <c r="P17" s="64">
        <v>1.94</v>
      </c>
      <c r="Q17" s="64">
        <v>10.56</v>
      </c>
      <c r="R17" s="198"/>
      <c r="S17" s="198"/>
      <c r="T17" s="198"/>
      <c r="U17" s="198"/>
    </row>
    <row r="18" spans="1:21" s="12" customFormat="1" x14ac:dyDescent="0.25">
      <c r="A18" s="213" t="s">
        <v>925</v>
      </c>
      <c r="B18" s="64">
        <v>123.49</v>
      </c>
      <c r="C18" s="64">
        <v>46.55</v>
      </c>
      <c r="D18" s="64">
        <v>121.98</v>
      </c>
      <c r="E18" s="64">
        <v>8.43</v>
      </c>
      <c r="F18" s="64">
        <v>2.13</v>
      </c>
      <c r="G18" s="64">
        <v>147.85</v>
      </c>
      <c r="H18" s="64">
        <v>46.7</v>
      </c>
      <c r="I18" s="210" t="s">
        <v>43</v>
      </c>
      <c r="J18" s="64">
        <v>0.47</v>
      </c>
      <c r="K18" s="64">
        <v>333.63</v>
      </c>
      <c r="L18" s="64">
        <v>14.8</v>
      </c>
      <c r="M18" s="64">
        <v>75.02</v>
      </c>
      <c r="N18" s="64">
        <v>77.7</v>
      </c>
      <c r="O18" s="64">
        <v>0</v>
      </c>
      <c r="P18" s="64">
        <v>1.87</v>
      </c>
      <c r="Q18" s="64">
        <v>10.5</v>
      </c>
      <c r="R18" s="198"/>
      <c r="S18" s="198"/>
      <c r="T18" s="198"/>
      <c r="U18" s="198"/>
    </row>
    <row r="19" spans="1:21" s="12" customFormat="1" x14ac:dyDescent="0.25">
      <c r="A19" s="213" t="s">
        <v>926</v>
      </c>
      <c r="B19" s="64">
        <v>120.9</v>
      </c>
      <c r="C19" s="64">
        <v>46.48</v>
      </c>
      <c r="D19" s="64">
        <v>119.86</v>
      </c>
      <c r="E19" s="64">
        <v>8.0299999999999994</v>
      </c>
      <c r="F19" s="64">
        <v>2.13</v>
      </c>
      <c r="G19" s="64">
        <v>147.85</v>
      </c>
      <c r="H19" s="64">
        <v>46.7</v>
      </c>
      <c r="I19" s="210" t="s">
        <v>43</v>
      </c>
      <c r="J19" s="64">
        <v>0.56000000000000005</v>
      </c>
      <c r="K19" s="64">
        <v>330.14</v>
      </c>
      <c r="L19" s="64">
        <v>14.33</v>
      </c>
      <c r="M19" s="64">
        <v>78.8</v>
      </c>
      <c r="N19" s="64">
        <v>77.400000000000006</v>
      </c>
      <c r="O19" s="64">
        <v>0</v>
      </c>
      <c r="P19" s="64">
        <v>1.81</v>
      </c>
      <c r="Q19" s="64">
        <v>10.47</v>
      </c>
      <c r="R19" s="198"/>
      <c r="S19" s="198"/>
      <c r="T19" s="198"/>
      <c r="U19" s="198"/>
    </row>
    <row r="20" spans="1:21" s="12" customFormat="1" x14ac:dyDescent="0.25">
      <c r="A20" s="213" t="s">
        <v>927</v>
      </c>
      <c r="B20" s="64">
        <v>118.17</v>
      </c>
      <c r="C20" s="64">
        <v>46.01</v>
      </c>
      <c r="D20" s="64">
        <v>117.43</v>
      </c>
      <c r="E20" s="64">
        <v>8.23</v>
      </c>
      <c r="F20" s="64">
        <v>2.13</v>
      </c>
      <c r="G20" s="64">
        <v>147.30000000000001</v>
      </c>
      <c r="H20" s="64">
        <v>45.36</v>
      </c>
      <c r="I20" s="210" t="s">
        <v>43</v>
      </c>
      <c r="J20" s="64">
        <v>0.65</v>
      </c>
      <c r="K20" s="64">
        <v>300.7</v>
      </c>
      <c r="L20" s="64">
        <v>13.96</v>
      </c>
      <c r="M20" s="64">
        <v>80.91</v>
      </c>
      <c r="N20" s="64">
        <v>77.400000000000006</v>
      </c>
      <c r="O20" s="64">
        <v>0</v>
      </c>
      <c r="P20" s="64">
        <v>1.84</v>
      </c>
      <c r="Q20" s="64">
        <v>10.43</v>
      </c>
      <c r="R20" s="198"/>
      <c r="S20" s="198"/>
      <c r="T20" s="198"/>
      <c r="U20" s="198"/>
    </row>
    <row r="21" spans="1:21" s="12" customFormat="1" x14ac:dyDescent="0.25">
      <c r="A21" s="213" t="s">
        <v>928</v>
      </c>
      <c r="B21" s="64">
        <v>115.43</v>
      </c>
      <c r="C21" s="64">
        <v>46.13</v>
      </c>
      <c r="D21" s="64">
        <v>115.29</v>
      </c>
      <c r="E21" s="64">
        <v>7.84</v>
      </c>
      <c r="F21" s="64">
        <v>2.13</v>
      </c>
      <c r="G21" s="64">
        <v>142.31</v>
      </c>
      <c r="H21" s="64">
        <v>33.31</v>
      </c>
      <c r="I21" s="210" t="s">
        <v>43</v>
      </c>
      <c r="J21" s="64">
        <v>0.56000000000000005</v>
      </c>
      <c r="K21" s="64">
        <v>336.49</v>
      </c>
      <c r="L21" s="64">
        <v>13.79</v>
      </c>
      <c r="M21" s="64">
        <v>83.75</v>
      </c>
      <c r="N21" s="64">
        <v>77.400000000000006</v>
      </c>
      <c r="O21" s="64">
        <v>0</v>
      </c>
      <c r="P21" s="64">
        <v>1.77</v>
      </c>
      <c r="Q21" s="64">
        <v>10.39</v>
      </c>
      <c r="R21" s="198"/>
      <c r="S21" s="198"/>
      <c r="T21" s="198"/>
      <c r="U21" s="198"/>
    </row>
    <row r="22" spans="1:21" s="12" customFormat="1" x14ac:dyDescent="0.25">
      <c r="A22" s="213" t="s">
        <v>929</v>
      </c>
      <c r="B22" s="64">
        <v>112.28</v>
      </c>
      <c r="C22" s="64">
        <v>46.04</v>
      </c>
      <c r="D22" s="64">
        <v>112.72</v>
      </c>
      <c r="E22" s="64">
        <v>7.81</v>
      </c>
      <c r="F22" s="64">
        <v>2.13</v>
      </c>
      <c r="G22" s="64">
        <v>142.31</v>
      </c>
      <c r="H22" s="64">
        <v>33.31</v>
      </c>
      <c r="I22" s="210" t="s">
        <v>43</v>
      </c>
      <c r="J22" s="64">
        <v>1.24</v>
      </c>
      <c r="K22" s="64">
        <v>354.05</v>
      </c>
      <c r="L22" s="64">
        <v>13.93</v>
      </c>
      <c r="M22" s="64">
        <v>70.8</v>
      </c>
      <c r="N22" s="64">
        <v>75.7</v>
      </c>
      <c r="O22" s="64">
        <v>0</v>
      </c>
      <c r="P22" s="64">
        <v>1.55</v>
      </c>
      <c r="Q22" s="64">
        <v>10.35</v>
      </c>
      <c r="R22" s="198"/>
      <c r="S22" s="198"/>
      <c r="T22" s="198"/>
      <c r="U22" s="198"/>
    </row>
    <row r="23" spans="1:21" s="12" customFormat="1" x14ac:dyDescent="0.25">
      <c r="A23" s="213" t="s">
        <v>930</v>
      </c>
      <c r="B23" s="64">
        <v>107.48</v>
      </c>
      <c r="C23" s="64">
        <v>46.72</v>
      </c>
      <c r="D23" s="64">
        <v>109.22</v>
      </c>
      <c r="E23" s="64">
        <v>7.54</v>
      </c>
      <c r="F23" s="64">
        <v>2.13</v>
      </c>
      <c r="G23" s="64">
        <v>142.31</v>
      </c>
      <c r="H23" s="64">
        <v>33.31</v>
      </c>
      <c r="I23" s="210" t="s">
        <v>43</v>
      </c>
      <c r="J23" s="64">
        <v>0.48</v>
      </c>
      <c r="K23" s="64">
        <v>19.45</v>
      </c>
      <c r="L23" s="64">
        <v>15.01</v>
      </c>
      <c r="M23" s="64">
        <v>55.1</v>
      </c>
      <c r="N23" s="64">
        <v>76.8</v>
      </c>
      <c r="O23" s="64">
        <v>0</v>
      </c>
      <c r="P23" s="64">
        <v>1.71</v>
      </c>
      <c r="Q23" s="64">
        <v>10.34</v>
      </c>
      <c r="R23" s="198"/>
      <c r="S23" s="198"/>
      <c r="T23" s="198"/>
      <c r="U23" s="198"/>
    </row>
    <row r="24" spans="1:21" s="12" customFormat="1" x14ac:dyDescent="0.25">
      <c r="A24" s="213" t="s">
        <v>931</v>
      </c>
      <c r="B24" s="64">
        <v>102.14</v>
      </c>
      <c r="C24" s="64">
        <v>56.13</v>
      </c>
      <c r="D24" s="64">
        <v>109.86</v>
      </c>
      <c r="E24" s="64">
        <v>7.55</v>
      </c>
      <c r="F24" s="64">
        <v>2.13</v>
      </c>
      <c r="G24" s="64">
        <v>139.57</v>
      </c>
      <c r="H24" s="64">
        <v>34.090000000000003</v>
      </c>
      <c r="I24" s="210" t="s">
        <v>43</v>
      </c>
      <c r="J24" s="64">
        <v>0.56000000000000005</v>
      </c>
      <c r="K24" s="64">
        <v>27.84</v>
      </c>
      <c r="L24" s="64">
        <v>14.81</v>
      </c>
      <c r="M24" s="64">
        <v>56.08</v>
      </c>
      <c r="N24" s="64">
        <v>77.400000000000006</v>
      </c>
      <c r="O24" s="64">
        <v>0</v>
      </c>
      <c r="P24" s="64">
        <v>1.67</v>
      </c>
      <c r="Q24" s="64">
        <v>10.31</v>
      </c>
      <c r="R24" s="198"/>
      <c r="S24" s="198"/>
      <c r="T24" s="198"/>
      <c r="U24" s="198"/>
    </row>
    <row r="25" spans="1:21" s="12" customFormat="1" x14ac:dyDescent="0.25">
      <c r="A25" s="213" t="s">
        <v>932</v>
      </c>
      <c r="B25" s="64">
        <v>97.58</v>
      </c>
      <c r="C25" s="64">
        <v>58.26</v>
      </c>
      <c r="D25" s="64">
        <v>107.32</v>
      </c>
      <c r="E25" s="64">
        <v>7.82</v>
      </c>
      <c r="F25" s="64">
        <v>2.13</v>
      </c>
      <c r="G25" s="64">
        <v>114.85</v>
      </c>
      <c r="H25" s="64">
        <v>41.12</v>
      </c>
      <c r="I25" s="210" t="s">
        <v>43</v>
      </c>
      <c r="J25" s="64">
        <v>0.97</v>
      </c>
      <c r="K25" s="64">
        <v>358.44</v>
      </c>
      <c r="L25" s="64">
        <v>14.84</v>
      </c>
      <c r="M25" s="64">
        <v>54.43</v>
      </c>
      <c r="N25" s="64">
        <v>76.8</v>
      </c>
      <c r="O25" s="64">
        <v>0</v>
      </c>
      <c r="P25" s="64">
        <v>1.6</v>
      </c>
      <c r="Q25" s="64">
        <v>10.29</v>
      </c>
      <c r="R25" s="198"/>
      <c r="S25" s="198"/>
      <c r="T25" s="198"/>
      <c r="U25" s="198"/>
    </row>
    <row r="26" spans="1:21" s="12" customFormat="1" x14ac:dyDescent="0.25">
      <c r="A26" s="213" t="s">
        <v>933</v>
      </c>
      <c r="B26" s="64">
        <v>93.09</v>
      </c>
      <c r="C26" s="64">
        <v>53.96</v>
      </c>
      <c r="D26" s="64">
        <v>101.46</v>
      </c>
      <c r="E26" s="64">
        <v>7.27</v>
      </c>
      <c r="F26" s="64">
        <v>2.13</v>
      </c>
      <c r="G26" s="64">
        <v>114.85</v>
      </c>
      <c r="H26" s="64">
        <v>41.12</v>
      </c>
      <c r="I26" s="210" t="s">
        <v>43</v>
      </c>
      <c r="J26" s="64">
        <v>1.0900000000000001</v>
      </c>
      <c r="K26" s="64">
        <v>352.94</v>
      </c>
      <c r="L26" s="64">
        <v>15.01</v>
      </c>
      <c r="M26" s="64">
        <v>47.3</v>
      </c>
      <c r="N26" s="64">
        <v>76.900000000000006</v>
      </c>
      <c r="O26" s="64">
        <v>0</v>
      </c>
      <c r="P26" s="64">
        <v>1.51</v>
      </c>
      <c r="Q26" s="64">
        <v>10.27</v>
      </c>
      <c r="R26" s="198"/>
      <c r="S26" s="198"/>
      <c r="T26" s="198"/>
      <c r="U26" s="198"/>
    </row>
    <row r="27" spans="1:21" s="12" customFormat="1" x14ac:dyDescent="0.25">
      <c r="A27" s="213" t="s">
        <v>934</v>
      </c>
      <c r="B27" s="64">
        <v>88.12</v>
      </c>
      <c r="C27" s="64">
        <v>53.84</v>
      </c>
      <c r="D27" s="64">
        <v>97.42</v>
      </c>
      <c r="E27" s="64">
        <v>6.94</v>
      </c>
      <c r="F27" s="64">
        <v>2.13</v>
      </c>
      <c r="G27" s="64">
        <v>114.85</v>
      </c>
      <c r="H27" s="64">
        <v>41.12</v>
      </c>
      <c r="I27" s="210" t="s">
        <v>43</v>
      </c>
      <c r="J27" s="64">
        <v>1.22</v>
      </c>
      <c r="K27" s="64">
        <v>356.56</v>
      </c>
      <c r="L27" s="64">
        <v>14.96</v>
      </c>
      <c r="M27" s="64">
        <v>45.63</v>
      </c>
      <c r="N27" s="64">
        <v>77.2</v>
      </c>
      <c r="O27" s="64">
        <v>0</v>
      </c>
      <c r="P27" s="64">
        <v>1.45</v>
      </c>
      <c r="Q27" s="64">
        <v>10.26</v>
      </c>
      <c r="R27" s="198"/>
      <c r="S27" s="198"/>
      <c r="T27" s="198"/>
      <c r="U27" s="198"/>
    </row>
    <row r="28" spans="1:21" s="12" customFormat="1" x14ac:dyDescent="0.25">
      <c r="A28" s="213" t="s">
        <v>935</v>
      </c>
      <c r="B28" s="64">
        <v>83.59</v>
      </c>
      <c r="C28" s="64">
        <v>48.76</v>
      </c>
      <c r="D28" s="64">
        <v>91.13</v>
      </c>
      <c r="E28" s="64">
        <v>6.63</v>
      </c>
      <c r="F28" s="64">
        <v>2.13</v>
      </c>
      <c r="G28" s="64">
        <v>110.43</v>
      </c>
      <c r="H28" s="64">
        <v>51.97</v>
      </c>
      <c r="I28" s="210" t="s">
        <v>43</v>
      </c>
      <c r="J28" s="64">
        <v>1.38</v>
      </c>
      <c r="K28" s="64">
        <v>358.81</v>
      </c>
      <c r="L28" s="64">
        <v>14.89</v>
      </c>
      <c r="M28" s="64">
        <v>44.51</v>
      </c>
      <c r="N28" s="64">
        <v>77.2</v>
      </c>
      <c r="O28" s="64">
        <v>0</v>
      </c>
      <c r="P28" s="64">
        <v>1.36</v>
      </c>
      <c r="Q28" s="64">
        <v>10.23</v>
      </c>
      <c r="R28" s="198"/>
      <c r="S28" s="198"/>
      <c r="T28" s="198"/>
      <c r="U28" s="198"/>
    </row>
    <row r="29" spans="1:21" s="12" customFormat="1" x14ac:dyDescent="0.25">
      <c r="A29" s="213" t="s">
        <v>936</v>
      </c>
      <c r="B29" s="64">
        <v>79.34</v>
      </c>
      <c r="C29" s="64">
        <v>52.31</v>
      </c>
      <c r="D29" s="64">
        <v>89.58</v>
      </c>
      <c r="E29" s="64">
        <v>6.27</v>
      </c>
      <c r="F29" s="64">
        <v>2.13</v>
      </c>
      <c r="G29" s="64">
        <v>70.650000000000006</v>
      </c>
      <c r="H29" s="209" t="s">
        <v>36</v>
      </c>
      <c r="I29" s="210" t="s">
        <v>43</v>
      </c>
      <c r="J29" s="64">
        <v>1.2</v>
      </c>
      <c r="K29" s="64">
        <v>357.1</v>
      </c>
      <c r="L29" s="64">
        <v>14.84</v>
      </c>
      <c r="M29" s="64">
        <v>45.05</v>
      </c>
      <c r="N29" s="64">
        <v>77.400000000000006</v>
      </c>
      <c r="O29" s="64">
        <v>0</v>
      </c>
      <c r="P29" s="64">
        <v>1.27</v>
      </c>
      <c r="Q29" s="64">
        <v>10.18</v>
      </c>
      <c r="R29" s="198"/>
      <c r="S29" s="198"/>
      <c r="T29" s="198"/>
      <c r="U29" s="198"/>
    </row>
    <row r="30" spans="1:21" s="12" customFormat="1" x14ac:dyDescent="0.25">
      <c r="A30" s="213" t="s">
        <v>937</v>
      </c>
      <c r="B30" s="64">
        <v>75.5</v>
      </c>
      <c r="C30" s="64">
        <v>51.49</v>
      </c>
      <c r="D30" s="64">
        <v>86.07</v>
      </c>
      <c r="E30" s="64">
        <v>6.03</v>
      </c>
      <c r="F30" s="64">
        <v>2.13</v>
      </c>
      <c r="G30" s="64">
        <v>70.650000000000006</v>
      </c>
      <c r="H30" s="209" t="s">
        <v>36</v>
      </c>
      <c r="I30" s="210" t="s">
        <v>43</v>
      </c>
      <c r="J30" s="64">
        <v>1.1000000000000001</v>
      </c>
      <c r="K30" s="64">
        <v>353.75</v>
      </c>
      <c r="L30" s="64">
        <v>14.56</v>
      </c>
      <c r="M30" s="64">
        <v>46.51</v>
      </c>
      <c r="N30" s="64">
        <v>77.400000000000006</v>
      </c>
      <c r="O30" s="64">
        <v>0</v>
      </c>
      <c r="P30" s="64">
        <v>1.22</v>
      </c>
      <c r="Q30" s="64">
        <v>10.19</v>
      </c>
      <c r="R30" s="198"/>
      <c r="S30" s="198"/>
      <c r="T30" s="198"/>
      <c r="U30" s="198"/>
    </row>
    <row r="31" spans="1:21" s="12" customFormat="1" x14ac:dyDescent="0.25">
      <c r="A31" s="213" t="s">
        <v>938</v>
      </c>
      <c r="B31" s="64">
        <v>72.239999999999995</v>
      </c>
      <c r="C31" s="64">
        <v>50.06</v>
      </c>
      <c r="D31" s="64">
        <v>82.7</v>
      </c>
      <c r="E31" s="64">
        <v>6.25</v>
      </c>
      <c r="F31" s="64">
        <v>2.13</v>
      </c>
      <c r="G31" s="64">
        <v>70.650000000000006</v>
      </c>
      <c r="H31" s="209" t="s">
        <v>36</v>
      </c>
      <c r="I31" s="210" t="s">
        <v>43</v>
      </c>
      <c r="J31" s="64">
        <v>0.38</v>
      </c>
      <c r="K31" s="64">
        <v>21.62</v>
      </c>
      <c r="L31" s="64">
        <v>14.37</v>
      </c>
      <c r="M31" s="64">
        <v>45.64</v>
      </c>
      <c r="N31" s="64">
        <v>77.599999999999994</v>
      </c>
      <c r="O31" s="64">
        <v>0</v>
      </c>
      <c r="P31" s="64">
        <v>1.1499999999999999</v>
      </c>
      <c r="Q31" s="64">
        <v>10.16</v>
      </c>
      <c r="R31" s="198"/>
      <c r="S31" s="198"/>
      <c r="T31" s="198"/>
      <c r="U31" s="198"/>
    </row>
    <row r="32" spans="1:21" s="12" customFormat="1" x14ac:dyDescent="0.25">
      <c r="A32" s="213" t="s">
        <v>939</v>
      </c>
      <c r="B32" s="64">
        <v>69.17</v>
      </c>
      <c r="C32" s="64">
        <v>50.05</v>
      </c>
      <c r="D32" s="64">
        <v>80.239999999999995</v>
      </c>
      <c r="E32" s="64">
        <v>5.71</v>
      </c>
      <c r="F32" s="64">
        <v>2.13</v>
      </c>
      <c r="G32" s="64">
        <v>70.510000000000005</v>
      </c>
      <c r="H32" s="209" t="s">
        <v>36</v>
      </c>
      <c r="I32" s="210" t="s">
        <v>43</v>
      </c>
      <c r="J32" s="64">
        <v>0.46</v>
      </c>
      <c r="K32" s="64">
        <v>48.67</v>
      </c>
      <c r="L32" s="64">
        <v>14.13</v>
      </c>
      <c r="M32" s="64">
        <v>46.42</v>
      </c>
      <c r="N32" s="64">
        <v>77.400000000000006</v>
      </c>
      <c r="O32" s="64">
        <v>0</v>
      </c>
      <c r="P32" s="64">
        <v>1.1100000000000001</v>
      </c>
      <c r="Q32" s="64">
        <v>10.130000000000001</v>
      </c>
      <c r="R32" s="198"/>
      <c r="S32" s="198"/>
      <c r="T32" s="198"/>
      <c r="U32" s="198"/>
    </row>
    <row r="33" spans="1:21" s="12" customFormat="1" x14ac:dyDescent="0.25">
      <c r="A33" s="213" t="s">
        <v>940</v>
      </c>
      <c r="B33" s="64">
        <v>66.44</v>
      </c>
      <c r="C33" s="64">
        <v>48.97</v>
      </c>
      <c r="D33" s="64">
        <v>77.489999999999995</v>
      </c>
      <c r="E33" s="64">
        <v>5.44</v>
      </c>
      <c r="F33" s="64">
        <v>2.13</v>
      </c>
      <c r="G33" s="64">
        <v>69.319999999999993</v>
      </c>
      <c r="H33" s="209" t="s">
        <v>36</v>
      </c>
      <c r="I33" s="210" t="s">
        <v>43</v>
      </c>
      <c r="J33" s="64">
        <v>0.55000000000000004</v>
      </c>
      <c r="K33" s="64">
        <v>6.69</v>
      </c>
      <c r="L33" s="64">
        <v>14.1</v>
      </c>
      <c r="M33" s="64">
        <v>45.45</v>
      </c>
      <c r="N33" s="64">
        <v>77.3</v>
      </c>
      <c r="O33" s="64">
        <v>0</v>
      </c>
      <c r="P33" s="64">
        <v>1.02</v>
      </c>
      <c r="Q33" s="64">
        <v>10.1</v>
      </c>
      <c r="R33" s="198"/>
      <c r="S33" s="198"/>
      <c r="T33" s="198"/>
      <c r="U33" s="198"/>
    </row>
    <row r="34" spans="1:21" s="12" customFormat="1" x14ac:dyDescent="0.25">
      <c r="A34" s="213" t="s">
        <v>941</v>
      </c>
      <c r="B34" s="64">
        <v>64.25</v>
      </c>
      <c r="C34" s="64">
        <v>43.74</v>
      </c>
      <c r="D34" s="64">
        <v>73</v>
      </c>
      <c r="E34" s="64">
        <v>5.5</v>
      </c>
      <c r="F34" s="64">
        <v>2.13</v>
      </c>
      <c r="G34" s="64">
        <v>69.319999999999993</v>
      </c>
      <c r="H34" s="209" t="s">
        <v>36</v>
      </c>
      <c r="I34" s="210" t="s">
        <v>43</v>
      </c>
      <c r="J34" s="64">
        <v>0.27</v>
      </c>
      <c r="K34" s="64">
        <v>42.95</v>
      </c>
      <c r="L34" s="64">
        <v>14.02</v>
      </c>
      <c r="M34" s="64">
        <v>44.78</v>
      </c>
      <c r="N34" s="64">
        <v>78</v>
      </c>
      <c r="O34" s="64">
        <v>0</v>
      </c>
      <c r="P34" s="64">
        <v>1.01</v>
      </c>
      <c r="Q34" s="64">
        <v>10.09</v>
      </c>
      <c r="R34" s="198"/>
      <c r="S34" s="198"/>
      <c r="T34" s="198"/>
      <c r="U34" s="198"/>
    </row>
    <row r="35" spans="1:21" s="12" customFormat="1" x14ac:dyDescent="0.25">
      <c r="A35" s="213" t="s">
        <v>942</v>
      </c>
      <c r="B35" s="64">
        <v>61.97</v>
      </c>
      <c r="C35" s="64">
        <v>43.77</v>
      </c>
      <c r="D35" s="64">
        <v>71.19</v>
      </c>
      <c r="E35" s="64">
        <v>5.36</v>
      </c>
      <c r="F35" s="64">
        <v>2.13</v>
      </c>
      <c r="G35" s="64">
        <v>69.319999999999993</v>
      </c>
      <c r="H35" s="209" t="s">
        <v>36</v>
      </c>
      <c r="I35" s="210" t="s">
        <v>43</v>
      </c>
      <c r="J35" s="64">
        <v>0.39</v>
      </c>
      <c r="K35" s="64">
        <v>23.95</v>
      </c>
      <c r="L35" s="64">
        <v>13.99</v>
      </c>
      <c r="M35" s="64">
        <v>45.6</v>
      </c>
      <c r="N35" s="64">
        <v>81.3</v>
      </c>
      <c r="O35" s="64">
        <v>0</v>
      </c>
      <c r="P35" s="64">
        <v>0.96</v>
      </c>
      <c r="Q35" s="64">
        <v>10.039999999999999</v>
      </c>
      <c r="R35" s="198"/>
      <c r="S35" s="198"/>
      <c r="T35" s="198"/>
      <c r="U35" s="198"/>
    </row>
    <row r="36" spans="1:21" s="12" customFormat="1" x14ac:dyDescent="0.25">
      <c r="A36" s="213" t="s">
        <v>943</v>
      </c>
      <c r="B36" s="64">
        <v>60.32</v>
      </c>
      <c r="C36" s="64">
        <v>44.13</v>
      </c>
      <c r="D36" s="64">
        <v>70.05</v>
      </c>
      <c r="E36" s="64">
        <v>4.88</v>
      </c>
      <c r="F36" s="64">
        <v>2.13</v>
      </c>
      <c r="G36" s="64">
        <v>66.790000000000006</v>
      </c>
      <c r="H36" s="209" t="s">
        <v>36</v>
      </c>
      <c r="I36" s="210" t="s">
        <v>43</v>
      </c>
      <c r="J36" s="64">
        <v>0.7</v>
      </c>
      <c r="K36" s="64">
        <v>345.41</v>
      </c>
      <c r="L36" s="64">
        <v>14</v>
      </c>
      <c r="M36" s="64">
        <v>45.43</v>
      </c>
      <c r="N36" s="64">
        <v>91.4</v>
      </c>
      <c r="O36" s="64">
        <v>0</v>
      </c>
      <c r="P36" s="64">
        <v>0.91</v>
      </c>
      <c r="Q36" s="64">
        <v>10.01</v>
      </c>
      <c r="R36" s="198"/>
      <c r="S36" s="198"/>
      <c r="T36" s="198"/>
      <c r="U36" s="198"/>
    </row>
    <row r="37" spans="1:21" s="12" customFormat="1" x14ac:dyDescent="0.25">
      <c r="A37" s="213" t="s">
        <v>944</v>
      </c>
      <c r="B37" s="64">
        <v>59.39</v>
      </c>
      <c r="C37" s="64">
        <v>45.81</v>
      </c>
      <c r="D37" s="64">
        <v>70.180000000000007</v>
      </c>
      <c r="E37" s="64">
        <v>5.34</v>
      </c>
      <c r="F37" s="64">
        <v>2.13</v>
      </c>
      <c r="G37" s="64">
        <v>44.02</v>
      </c>
      <c r="H37" s="209" t="s">
        <v>36</v>
      </c>
      <c r="I37" s="210" t="s">
        <v>43</v>
      </c>
      <c r="J37" s="64">
        <v>0.56999999999999995</v>
      </c>
      <c r="K37" s="64">
        <v>358.18</v>
      </c>
      <c r="L37" s="64">
        <v>14.22</v>
      </c>
      <c r="M37" s="64">
        <v>46.17</v>
      </c>
      <c r="N37" s="64">
        <v>105.9</v>
      </c>
      <c r="O37" s="64">
        <v>0</v>
      </c>
      <c r="P37" s="64">
        <v>1.03</v>
      </c>
      <c r="Q37" s="64">
        <v>9.98</v>
      </c>
      <c r="R37" s="198"/>
      <c r="S37" s="198"/>
      <c r="T37" s="198"/>
      <c r="U37" s="198"/>
    </row>
    <row r="38" spans="1:21" s="12" customFormat="1" x14ac:dyDescent="0.25">
      <c r="A38" s="213" t="s">
        <v>945</v>
      </c>
      <c r="B38" s="64">
        <v>58.94</v>
      </c>
      <c r="C38" s="64">
        <v>46.58</v>
      </c>
      <c r="D38" s="64">
        <v>70.22</v>
      </c>
      <c r="E38" s="64">
        <v>4.99</v>
      </c>
      <c r="F38" s="64">
        <v>2.13</v>
      </c>
      <c r="G38" s="64">
        <v>44.02</v>
      </c>
      <c r="H38" s="209" t="s">
        <v>36</v>
      </c>
      <c r="I38" s="210" t="s">
        <v>43</v>
      </c>
      <c r="J38" s="64">
        <v>0.36</v>
      </c>
      <c r="K38" s="64">
        <v>14.7</v>
      </c>
      <c r="L38" s="64">
        <v>14.68</v>
      </c>
      <c r="M38" s="64">
        <v>43.32</v>
      </c>
      <c r="N38" s="64">
        <v>123.7</v>
      </c>
      <c r="O38" s="64">
        <v>0</v>
      </c>
      <c r="P38" s="64">
        <v>1.03</v>
      </c>
      <c r="Q38" s="64">
        <v>9.9499999999999993</v>
      </c>
      <c r="R38" s="198"/>
      <c r="S38" s="198"/>
      <c r="T38" s="198"/>
      <c r="U38" s="198"/>
    </row>
    <row r="39" spans="1:21" s="12" customFormat="1" x14ac:dyDescent="0.25">
      <c r="A39" s="213" t="s">
        <v>946</v>
      </c>
      <c r="B39" s="64">
        <v>57.76</v>
      </c>
      <c r="C39" s="64">
        <v>46.47</v>
      </c>
      <c r="D39" s="64">
        <v>69.22</v>
      </c>
      <c r="E39" s="64">
        <v>5.26</v>
      </c>
      <c r="F39" s="64">
        <v>2.13</v>
      </c>
      <c r="G39" s="64">
        <v>44.02</v>
      </c>
      <c r="H39" s="209" t="s">
        <v>36</v>
      </c>
      <c r="I39" s="210" t="s">
        <v>43</v>
      </c>
      <c r="J39" s="64">
        <v>0.44</v>
      </c>
      <c r="K39" s="64">
        <v>48.05</v>
      </c>
      <c r="L39" s="64">
        <v>15.39</v>
      </c>
      <c r="M39" s="64">
        <v>40.49</v>
      </c>
      <c r="N39" s="64">
        <v>183.2</v>
      </c>
      <c r="O39" s="64">
        <v>0</v>
      </c>
      <c r="P39" s="64">
        <v>1.02</v>
      </c>
      <c r="Q39" s="64">
        <v>9.9499999999999993</v>
      </c>
      <c r="R39" s="198"/>
      <c r="S39" s="198"/>
      <c r="T39" s="198"/>
      <c r="U39" s="198"/>
    </row>
    <row r="40" spans="1:21" s="12" customFormat="1" x14ac:dyDescent="0.25">
      <c r="A40" s="213" t="s">
        <v>947</v>
      </c>
      <c r="B40" s="64">
        <v>56.3</v>
      </c>
      <c r="C40" s="64">
        <v>47.23</v>
      </c>
      <c r="D40" s="64">
        <v>68.45</v>
      </c>
      <c r="E40" s="64">
        <v>5.54</v>
      </c>
      <c r="F40" s="64">
        <v>2.13</v>
      </c>
      <c r="G40" s="64">
        <v>44.67</v>
      </c>
      <c r="H40" s="209" t="s">
        <v>36</v>
      </c>
      <c r="I40" s="210" t="s">
        <v>43</v>
      </c>
      <c r="J40" s="64">
        <v>0.65</v>
      </c>
      <c r="K40" s="64">
        <v>78.510000000000005</v>
      </c>
      <c r="L40" s="64">
        <v>16.57</v>
      </c>
      <c r="M40" s="64">
        <v>37.4</v>
      </c>
      <c r="N40" s="64">
        <v>237.5</v>
      </c>
      <c r="O40" s="64">
        <v>0</v>
      </c>
      <c r="P40" s="64">
        <v>0.99</v>
      </c>
      <c r="Q40" s="64">
        <v>9.92</v>
      </c>
      <c r="R40" s="198"/>
      <c r="S40" s="198"/>
      <c r="T40" s="198"/>
      <c r="U40" s="198"/>
    </row>
    <row r="41" spans="1:21" s="12" customFormat="1" x14ac:dyDescent="0.25">
      <c r="A41" s="213" t="s">
        <v>948</v>
      </c>
      <c r="B41" s="64">
        <v>55.32</v>
      </c>
      <c r="C41" s="64">
        <v>49.63</v>
      </c>
      <c r="D41" s="64">
        <v>68.91</v>
      </c>
      <c r="E41" s="64">
        <v>5.22</v>
      </c>
      <c r="F41" s="64">
        <v>2.13</v>
      </c>
      <c r="G41" s="64">
        <v>50.57</v>
      </c>
      <c r="H41" s="209" t="s">
        <v>36</v>
      </c>
      <c r="I41" s="210" t="s">
        <v>43</v>
      </c>
      <c r="J41" s="64">
        <v>0.53</v>
      </c>
      <c r="K41" s="64">
        <v>51.67</v>
      </c>
      <c r="L41" s="64">
        <v>17.940000000000001</v>
      </c>
      <c r="M41" s="64">
        <v>34.340000000000003</v>
      </c>
      <c r="N41" s="64">
        <v>283.10000000000002</v>
      </c>
      <c r="O41" s="64">
        <v>0</v>
      </c>
      <c r="P41" s="64">
        <v>0.96</v>
      </c>
      <c r="Q41" s="64">
        <v>9.9</v>
      </c>
      <c r="R41" s="198"/>
      <c r="S41" s="198"/>
      <c r="T41" s="198"/>
      <c r="U41" s="198"/>
    </row>
    <row r="42" spans="1:21" s="12" customFormat="1" x14ac:dyDescent="0.25">
      <c r="A42" s="213" t="s">
        <v>949</v>
      </c>
      <c r="B42" s="64">
        <v>54.49</v>
      </c>
      <c r="C42" s="64">
        <v>50.91</v>
      </c>
      <c r="D42" s="64">
        <v>68.92</v>
      </c>
      <c r="E42" s="64">
        <v>5.13</v>
      </c>
      <c r="F42" s="64">
        <v>2.13</v>
      </c>
      <c r="G42" s="64">
        <v>50.57</v>
      </c>
      <c r="H42" s="209" t="s">
        <v>36</v>
      </c>
      <c r="I42" s="210" t="s">
        <v>43</v>
      </c>
      <c r="J42" s="64">
        <v>1.07</v>
      </c>
      <c r="K42" s="64">
        <v>92.63</v>
      </c>
      <c r="L42" s="64">
        <v>18.149999999999999</v>
      </c>
      <c r="M42" s="64">
        <v>33.74</v>
      </c>
      <c r="N42" s="64">
        <v>332.5</v>
      </c>
      <c r="O42" s="64">
        <v>0</v>
      </c>
      <c r="P42" s="64">
        <v>0.94</v>
      </c>
      <c r="Q42" s="64">
        <v>9.9</v>
      </c>
      <c r="R42" s="198"/>
      <c r="S42" s="198"/>
      <c r="T42" s="198"/>
      <c r="U42" s="198"/>
    </row>
    <row r="43" spans="1:21" s="12" customFormat="1" x14ac:dyDescent="0.25">
      <c r="A43" s="213" t="s">
        <v>950</v>
      </c>
      <c r="B43" s="64">
        <v>53.45</v>
      </c>
      <c r="C43" s="64">
        <v>51.62</v>
      </c>
      <c r="D43" s="64">
        <v>68.459999999999994</v>
      </c>
      <c r="E43" s="64">
        <v>5.43</v>
      </c>
      <c r="F43" s="64">
        <v>2.13</v>
      </c>
      <c r="G43" s="64">
        <v>50.57</v>
      </c>
      <c r="H43" s="209" t="s">
        <v>36</v>
      </c>
      <c r="I43" s="210" t="s">
        <v>43</v>
      </c>
      <c r="J43" s="64">
        <v>1.04</v>
      </c>
      <c r="K43" s="64">
        <v>103.01</v>
      </c>
      <c r="L43" s="64">
        <v>18.72</v>
      </c>
      <c r="M43" s="64">
        <v>33.159999999999997</v>
      </c>
      <c r="N43" s="64">
        <v>372.6</v>
      </c>
      <c r="O43" s="64">
        <v>0</v>
      </c>
      <c r="P43" s="64">
        <v>0.92</v>
      </c>
      <c r="Q43" s="64">
        <v>9.8699999999999992</v>
      </c>
      <c r="R43" s="198"/>
      <c r="S43" s="198"/>
      <c r="T43" s="198"/>
      <c r="U43" s="198"/>
    </row>
    <row r="44" spans="1:21" s="12" customFormat="1" x14ac:dyDescent="0.25">
      <c r="A44" s="213" t="s">
        <v>951</v>
      </c>
      <c r="B44" s="64">
        <v>52.29</v>
      </c>
      <c r="C44" s="64">
        <v>47.27</v>
      </c>
      <c r="D44" s="64">
        <v>65.25</v>
      </c>
      <c r="E44" s="64">
        <v>5.12</v>
      </c>
      <c r="F44" s="64">
        <v>2.13</v>
      </c>
      <c r="G44" s="64">
        <v>52.07</v>
      </c>
      <c r="H44" s="209" t="s">
        <v>36</v>
      </c>
      <c r="I44" s="210" t="s">
        <v>43</v>
      </c>
      <c r="J44" s="64">
        <v>0.52</v>
      </c>
      <c r="K44" s="64">
        <v>50.15</v>
      </c>
      <c r="L44" s="64">
        <v>20.09</v>
      </c>
      <c r="M44" s="64">
        <v>31.61</v>
      </c>
      <c r="N44" s="64">
        <v>411.2</v>
      </c>
      <c r="O44" s="64">
        <v>0</v>
      </c>
      <c r="P44" s="64">
        <v>0.89</v>
      </c>
      <c r="Q44" s="64">
        <v>9.89</v>
      </c>
      <c r="R44" s="198"/>
      <c r="S44" s="198"/>
      <c r="T44" s="198"/>
      <c r="U44" s="198"/>
    </row>
    <row r="45" spans="1:21" s="12" customFormat="1" x14ac:dyDescent="0.25">
      <c r="A45" s="213" t="s">
        <v>952</v>
      </c>
      <c r="B45" s="64">
        <v>51.23</v>
      </c>
      <c r="C45" s="64">
        <v>50.44</v>
      </c>
      <c r="D45" s="64">
        <v>66.06</v>
      </c>
      <c r="E45" s="64">
        <v>5.35</v>
      </c>
      <c r="F45" s="64">
        <v>2.13</v>
      </c>
      <c r="G45" s="64">
        <v>65.58</v>
      </c>
      <c r="H45" s="209" t="s">
        <v>36</v>
      </c>
      <c r="I45" s="210" t="s">
        <v>43</v>
      </c>
      <c r="J45" s="64">
        <v>0.93</v>
      </c>
      <c r="K45" s="64">
        <v>89.94</v>
      </c>
      <c r="L45" s="64">
        <v>20.309999999999999</v>
      </c>
      <c r="M45" s="64">
        <v>31.03</v>
      </c>
      <c r="N45" s="64">
        <v>452.5</v>
      </c>
      <c r="O45" s="64">
        <v>0</v>
      </c>
      <c r="P45" s="64">
        <v>0.87</v>
      </c>
      <c r="Q45" s="64">
        <v>9.8699999999999992</v>
      </c>
      <c r="R45" s="198"/>
      <c r="S45" s="198"/>
      <c r="T45" s="198"/>
      <c r="U45" s="198"/>
    </row>
    <row r="46" spans="1:21" s="12" customFormat="1" x14ac:dyDescent="0.25">
      <c r="A46" s="213" t="s">
        <v>953</v>
      </c>
      <c r="B46" s="64">
        <v>49.49</v>
      </c>
      <c r="C46" s="64">
        <v>51.17</v>
      </c>
      <c r="D46" s="64">
        <v>65.05</v>
      </c>
      <c r="E46" s="64">
        <v>4.95</v>
      </c>
      <c r="F46" s="64">
        <v>2.13</v>
      </c>
      <c r="G46" s="64">
        <v>65.58</v>
      </c>
      <c r="H46" s="209" t="s">
        <v>36</v>
      </c>
      <c r="I46" s="210" t="s">
        <v>43</v>
      </c>
      <c r="J46" s="64">
        <v>1.1000000000000001</v>
      </c>
      <c r="K46" s="64">
        <v>85.52</v>
      </c>
      <c r="L46" s="64">
        <v>20.190000000000001</v>
      </c>
      <c r="M46" s="64">
        <v>29.81</v>
      </c>
      <c r="N46" s="64">
        <v>493.9</v>
      </c>
      <c r="O46" s="64">
        <v>0</v>
      </c>
      <c r="P46" s="64">
        <v>0.84</v>
      </c>
      <c r="Q46" s="64">
        <v>9.8800000000000008</v>
      </c>
      <c r="R46" s="198"/>
      <c r="S46" s="198"/>
      <c r="T46" s="198"/>
      <c r="U46" s="198"/>
    </row>
    <row r="47" spans="1:21" s="12" customFormat="1" x14ac:dyDescent="0.25">
      <c r="A47" s="213" t="s">
        <v>954</v>
      </c>
      <c r="B47" s="64">
        <v>47.18</v>
      </c>
      <c r="C47" s="64">
        <v>49.16</v>
      </c>
      <c r="D47" s="64">
        <v>62.14</v>
      </c>
      <c r="E47" s="64">
        <v>4.9800000000000004</v>
      </c>
      <c r="F47" s="64">
        <v>2.13</v>
      </c>
      <c r="G47" s="64">
        <v>65.58</v>
      </c>
      <c r="H47" s="209" t="s">
        <v>36</v>
      </c>
      <c r="I47" s="210" t="s">
        <v>43</v>
      </c>
      <c r="J47" s="64">
        <v>1.76</v>
      </c>
      <c r="K47" s="64">
        <v>97.06</v>
      </c>
      <c r="L47" s="64">
        <v>20.65</v>
      </c>
      <c r="M47" s="64">
        <v>27.73</v>
      </c>
      <c r="N47" s="64">
        <v>526.29999999999995</v>
      </c>
      <c r="O47" s="64">
        <v>0</v>
      </c>
      <c r="P47" s="64">
        <v>0.8</v>
      </c>
      <c r="Q47" s="64">
        <v>9.8800000000000008</v>
      </c>
      <c r="R47" s="198"/>
      <c r="S47" s="198"/>
      <c r="T47" s="198"/>
      <c r="U47" s="198"/>
    </row>
    <row r="48" spans="1:21" s="12" customFormat="1" x14ac:dyDescent="0.25">
      <c r="A48" s="213" t="s">
        <v>955</v>
      </c>
      <c r="B48" s="64">
        <v>44.37</v>
      </c>
      <c r="C48" s="64">
        <v>50.22</v>
      </c>
      <c r="D48" s="64">
        <v>60.44</v>
      </c>
      <c r="E48" s="64">
        <v>4.5999999999999996</v>
      </c>
      <c r="F48" s="64">
        <v>2.13</v>
      </c>
      <c r="G48" s="64">
        <v>65.45</v>
      </c>
      <c r="H48" s="209" t="s">
        <v>36</v>
      </c>
      <c r="I48" s="210" t="s">
        <v>43</v>
      </c>
      <c r="J48" s="64">
        <v>0.68</v>
      </c>
      <c r="K48" s="64">
        <v>56.23</v>
      </c>
      <c r="L48" s="64">
        <v>22.12</v>
      </c>
      <c r="M48" s="64">
        <v>25.95</v>
      </c>
      <c r="N48" s="64">
        <v>544.20000000000005</v>
      </c>
      <c r="O48" s="64">
        <v>0</v>
      </c>
      <c r="P48" s="64">
        <v>0.77</v>
      </c>
      <c r="Q48" s="64">
        <v>9.89</v>
      </c>
      <c r="R48" s="198"/>
      <c r="S48" s="198"/>
      <c r="T48" s="198"/>
      <c r="U48" s="198"/>
    </row>
    <row r="49" spans="1:21" s="12" customFormat="1" x14ac:dyDescent="0.25">
      <c r="A49" s="213" t="s">
        <v>956</v>
      </c>
      <c r="B49" s="64">
        <v>42.33</v>
      </c>
      <c r="C49" s="64">
        <v>52.77</v>
      </c>
      <c r="D49" s="64">
        <v>60.14</v>
      </c>
      <c r="E49" s="64">
        <v>4.33</v>
      </c>
      <c r="F49" s="64">
        <v>2.13</v>
      </c>
      <c r="G49" s="64">
        <v>64.42</v>
      </c>
      <c r="H49" s="209" t="s">
        <v>36</v>
      </c>
      <c r="I49" s="210" t="s">
        <v>43</v>
      </c>
      <c r="J49" s="64">
        <v>1.59</v>
      </c>
      <c r="K49" s="64">
        <v>111.16</v>
      </c>
      <c r="L49" s="64">
        <v>22.62</v>
      </c>
      <c r="M49" s="64">
        <v>25.78</v>
      </c>
      <c r="N49" s="64">
        <v>569.4</v>
      </c>
      <c r="O49" s="64">
        <v>0</v>
      </c>
      <c r="P49" s="64">
        <v>0.75</v>
      </c>
      <c r="Q49" s="64">
        <v>9.8699999999999992</v>
      </c>
      <c r="R49" s="198"/>
      <c r="S49" s="198"/>
      <c r="T49" s="198"/>
      <c r="U49" s="198"/>
    </row>
    <row r="50" spans="1:21" s="12" customFormat="1" x14ac:dyDescent="0.25">
      <c r="A50" s="213" t="s">
        <v>957</v>
      </c>
      <c r="B50" s="64">
        <v>40.07</v>
      </c>
      <c r="C50" s="64">
        <v>51.55</v>
      </c>
      <c r="D50" s="64">
        <v>57.69</v>
      </c>
      <c r="E50" s="64">
        <v>4.26</v>
      </c>
      <c r="F50" s="64">
        <v>2.13</v>
      </c>
      <c r="G50" s="64">
        <v>64.42</v>
      </c>
      <c r="H50" s="209" t="s">
        <v>36</v>
      </c>
      <c r="I50" s="210" t="s">
        <v>43</v>
      </c>
      <c r="J50" s="64">
        <v>1.99</v>
      </c>
      <c r="K50" s="64">
        <v>103.53</v>
      </c>
      <c r="L50" s="64">
        <v>21.49</v>
      </c>
      <c r="M50" s="64">
        <v>26.25</v>
      </c>
      <c r="N50" s="64">
        <v>581.79999999999995</v>
      </c>
      <c r="O50" s="64">
        <v>0</v>
      </c>
      <c r="P50" s="64">
        <v>0.72</v>
      </c>
      <c r="Q50" s="64">
        <v>9.85</v>
      </c>
      <c r="R50" s="198"/>
      <c r="S50" s="198"/>
      <c r="T50" s="198"/>
      <c r="U50" s="198"/>
    </row>
    <row r="51" spans="1:21" s="12" customFormat="1" x14ac:dyDescent="0.25">
      <c r="A51" s="213" t="s">
        <v>958</v>
      </c>
      <c r="B51" s="64">
        <v>37.44</v>
      </c>
      <c r="C51" s="64">
        <v>51.95</v>
      </c>
      <c r="D51" s="64">
        <v>55.79</v>
      </c>
      <c r="E51" s="64">
        <v>4.42</v>
      </c>
      <c r="F51" s="64">
        <v>2.13</v>
      </c>
      <c r="G51" s="64">
        <v>64.42</v>
      </c>
      <c r="H51" s="209" t="s">
        <v>36</v>
      </c>
      <c r="I51" s="210" t="s">
        <v>43</v>
      </c>
      <c r="J51" s="64">
        <v>1.2</v>
      </c>
      <c r="K51" s="64">
        <v>105.07</v>
      </c>
      <c r="L51" s="64">
        <v>22.02</v>
      </c>
      <c r="M51" s="64">
        <v>26.95</v>
      </c>
      <c r="N51" s="64">
        <v>579.6</v>
      </c>
      <c r="O51" s="64">
        <v>0</v>
      </c>
      <c r="P51" s="64">
        <v>0.69</v>
      </c>
      <c r="Q51" s="64">
        <v>9.85</v>
      </c>
      <c r="R51" s="198"/>
      <c r="S51" s="198"/>
      <c r="T51" s="198"/>
      <c r="U51" s="198"/>
    </row>
    <row r="52" spans="1:21" s="12" customFormat="1" x14ac:dyDescent="0.25">
      <c r="A52" s="213" t="s">
        <v>959</v>
      </c>
      <c r="B52" s="64">
        <v>35.659999999999997</v>
      </c>
      <c r="C52" s="64">
        <v>48.23</v>
      </c>
      <c r="D52" s="64">
        <v>52.42</v>
      </c>
      <c r="E52" s="64">
        <v>4.2</v>
      </c>
      <c r="F52" s="64">
        <v>2.13</v>
      </c>
      <c r="G52" s="64">
        <v>62.6</v>
      </c>
      <c r="H52" s="209" t="s">
        <v>36</v>
      </c>
      <c r="I52" s="210" t="s">
        <v>43</v>
      </c>
      <c r="J52" s="64">
        <v>1.03</v>
      </c>
      <c r="K52" s="64">
        <v>357.55</v>
      </c>
      <c r="L52" s="64">
        <v>26.63</v>
      </c>
      <c r="M52" s="64">
        <v>20.46</v>
      </c>
      <c r="N52" s="64">
        <v>576</v>
      </c>
      <c r="O52" s="64">
        <v>0</v>
      </c>
      <c r="P52" s="64">
        <v>0.68</v>
      </c>
      <c r="Q52" s="64">
        <v>9.83</v>
      </c>
      <c r="R52" s="198"/>
      <c r="S52" s="198"/>
      <c r="T52" s="198"/>
      <c r="U52" s="198"/>
    </row>
    <row r="53" spans="1:21" s="12" customFormat="1" x14ac:dyDescent="0.25">
      <c r="A53" s="213" t="s">
        <v>960</v>
      </c>
      <c r="B53" s="64">
        <v>34.840000000000003</v>
      </c>
      <c r="C53" s="64">
        <v>49.8</v>
      </c>
      <c r="D53" s="64">
        <v>52.58</v>
      </c>
      <c r="E53" s="64">
        <v>4.51</v>
      </c>
      <c r="F53" s="64">
        <v>2.13</v>
      </c>
      <c r="G53" s="64">
        <v>47.97</v>
      </c>
      <c r="H53" s="209" t="s">
        <v>36</v>
      </c>
      <c r="I53" s="210" t="s">
        <v>43</v>
      </c>
      <c r="J53" s="64">
        <v>0.63</v>
      </c>
      <c r="K53" s="64">
        <v>5.49</v>
      </c>
      <c r="L53" s="64">
        <v>25.87</v>
      </c>
      <c r="M53" s="64">
        <v>22.42</v>
      </c>
      <c r="N53" s="64">
        <v>577.4</v>
      </c>
      <c r="O53" s="64">
        <v>0</v>
      </c>
      <c r="P53" s="64">
        <v>0.65</v>
      </c>
      <c r="Q53" s="64">
        <v>9.7899999999999991</v>
      </c>
      <c r="R53" s="198"/>
      <c r="S53" s="198"/>
      <c r="T53" s="198"/>
      <c r="U53" s="198"/>
    </row>
    <row r="54" spans="1:21" s="12" customFormat="1" x14ac:dyDescent="0.25">
      <c r="A54" s="213" t="s">
        <v>961</v>
      </c>
      <c r="B54" s="64">
        <v>34.11</v>
      </c>
      <c r="C54" s="64">
        <v>50.88</v>
      </c>
      <c r="D54" s="64">
        <v>52.56</v>
      </c>
      <c r="E54" s="64">
        <v>4.54</v>
      </c>
      <c r="F54" s="64">
        <v>2.13</v>
      </c>
      <c r="G54" s="64">
        <v>47.97</v>
      </c>
      <c r="H54" s="209" t="s">
        <v>36</v>
      </c>
      <c r="I54" s="210" t="s">
        <v>43</v>
      </c>
      <c r="J54" s="64">
        <v>0.67</v>
      </c>
      <c r="K54" s="64">
        <v>101.63</v>
      </c>
      <c r="L54" s="64">
        <v>25.51</v>
      </c>
      <c r="M54" s="64">
        <v>25.24</v>
      </c>
      <c r="N54" s="64">
        <v>581.29999999999995</v>
      </c>
      <c r="O54" s="64">
        <v>0</v>
      </c>
      <c r="P54" s="64">
        <v>0.66</v>
      </c>
      <c r="Q54" s="64">
        <v>9.76</v>
      </c>
      <c r="R54" s="198"/>
      <c r="S54" s="198"/>
      <c r="T54" s="198"/>
      <c r="U54" s="198"/>
    </row>
    <row r="55" spans="1:21" s="12" customFormat="1" x14ac:dyDescent="0.25">
      <c r="A55" s="213" t="s">
        <v>962</v>
      </c>
      <c r="B55" s="64">
        <v>32.76</v>
      </c>
      <c r="C55" s="64">
        <v>51.19</v>
      </c>
      <c r="D55" s="64">
        <v>51.64</v>
      </c>
      <c r="E55" s="64">
        <v>4.3499999999999996</v>
      </c>
      <c r="F55" s="64">
        <v>2.13</v>
      </c>
      <c r="G55" s="64">
        <v>47.97</v>
      </c>
      <c r="H55" s="209" t="s">
        <v>36</v>
      </c>
      <c r="I55" s="210" t="s">
        <v>43</v>
      </c>
      <c r="J55" s="64">
        <v>0.4</v>
      </c>
      <c r="K55" s="64">
        <v>92.84</v>
      </c>
      <c r="L55" s="64">
        <v>24.97</v>
      </c>
      <c r="M55" s="64">
        <v>22.24</v>
      </c>
      <c r="N55" s="64">
        <v>576</v>
      </c>
      <c r="O55" s="64">
        <v>0</v>
      </c>
      <c r="P55" s="64">
        <v>0.64</v>
      </c>
      <c r="Q55" s="64">
        <v>9.74</v>
      </c>
      <c r="R55" s="198"/>
      <c r="S55" s="198"/>
      <c r="T55" s="198"/>
      <c r="U55" s="198"/>
    </row>
    <row r="56" spans="1:21" s="12" customFormat="1" x14ac:dyDescent="0.25">
      <c r="A56" s="213" t="s">
        <v>963</v>
      </c>
      <c r="B56" s="64">
        <v>31.09</v>
      </c>
      <c r="C56" s="64">
        <v>51.3</v>
      </c>
      <c r="D56" s="64">
        <v>50.36</v>
      </c>
      <c r="E56" s="64">
        <v>4.42</v>
      </c>
      <c r="F56" s="64">
        <v>2.13</v>
      </c>
      <c r="G56" s="64">
        <v>47.39</v>
      </c>
      <c r="H56" s="209" t="s">
        <v>36</v>
      </c>
      <c r="I56" s="210" t="s">
        <v>43</v>
      </c>
      <c r="J56" s="64">
        <v>0.7</v>
      </c>
      <c r="K56" s="64">
        <v>338.05</v>
      </c>
      <c r="L56" s="64">
        <v>26.71</v>
      </c>
      <c r="M56" s="64">
        <v>19.850000000000001</v>
      </c>
      <c r="N56" s="64">
        <v>568.9</v>
      </c>
      <c r="O56" s="64">
        <v>0</v>
      </c>
      <c r="P56" s="64">
        <v>0.62</v>
      </c>
      <c r="Q56" s="64">
        <v>9.75</v>
      </c>
      <c r="R56" s="198"/>
      <c r="S56" s="198"/>
      <c r="T56" s="198"/>
      <c r="U56" s="198"/>
    </row>
    <row r="57" spans="1:21" s="12" customFormat="1" x14ac:dyDescent="0.25">
      <c r="A57" s="213" t="s">
        <v>964</v>
      </c>
      <c r="B57" s="64">
        <v>29.7</v>
      </c>
      <c r="C57" s="64">
        <v>51.46</v>
      </c>
      <c r="D57" s="64">
        <v>49.33</v>
      </c>
      <c r="E57" s="64">
        <v>4.6100000000000003</v>
      </c>
      <c r="F57" s="64">
        <v>2.13</v>
      </c>
      <c r="G57" s="64">
        <v>42.69</v>
      </c>
      <c r="H57" s="209" t="s">
        <v>36</v>
      </c>
      <c r="I57" s="210" t="s">
        <v>43</v>
      </c>
      <c r="J57" s="64">
        <v>0.3</v>
      </c>
      <c r="K57" s="64">
        <v>320.19</v>
      </c>
      <c r="L57" s="64">
        <v>27.6</v>
      </c>
      <c r="M57" s="64">
        <v>21.11</v>
      </c>
      <c r="N57" s="64">
        <v>564.79999999999995</v>
      </c>
      <c r="O57" s="64">
        <v>0</v>
      </c>
      <c r="P57" s="64">
        <v>0.62</v>
      </c>
      <c r="Q57" s="64">
        <v>9.74</v>
      </c>
      <c r="R57" s="198"/>
      <c r="S57" s="198"/>
      <c r="T57" s="198"/>
      <c r="U57" s="198"/>
    </row>
    <row r="58" spans="1:21" s="12" customFormat="1" x14ac:dyDescent="0.25">
      <c r="A58" s="213" t="s">
        <v>965</v>
      </c>
      <c r="B58" s="64">
        <v>28.48</v>
      </c>
      <c r="C58" s="64">
        <v>51.8</v>
      </c>
      <c r="D58" s="64">
        <v>48.53</v>
      </c>
      <c r="E58" s="64">
        <v>4.3</v>
      </c>
      <c r="F58" s="64">
        <v>2.13</v>
      </c>
      <c r="G58" s="64">
        <v>42.69</v>
      </c>
      <c r="H58" s="209" t="s">
        <v>36</v>
      </c>
      <c r="I58" s="210" t="s">
        <v>43</v>
      </c>
      <c r="J58" s="64">
        <v>1.22</v>
      </c>
      <c r="K58" s="64">
        <v>335.12</v>
      </c>
      <c r="L58" s="64">
        <v>29.3</v>
      </c>
      <c r="M58" s="64">
        <v>17.09</v>
      </c>
      <c r="N58" s="64">
        <v>561.20000000000005</v>
      </c>
      <c r="O58" s="64">
        <v>0</v>
      </c>
      <c r="P58" s="64">
        <v>0.61</v>
      </c>
      <c r="Q58" s="64">
        <v>9.7200000000000006</v>
      </c>
      <c r="R58" s="198"/>
      <c r="S58" s="198"/>
      <c r="T58" s="198"/>
      <c r="U58" s="198"/>
    </row>
    <row r="59" spans="1:21" s="12" customFormat="1" x14ac:dyDescent="0.25">
      <c r="A59" s="213" t="s">
        <v>966</v>
      </c>
      <c r="B59" s="64">
        <v>27.33</v>
      </c>
      <c r="C59" s="64">
        <v>55.39</v>
      </c>
      <c r="D59" s="64">
        <v>49.48</v>
      </c>
      <c r="E59" s="64">
        <v>3.89</v>
      </c>
      <c r="F59" s="64">
        <v>2.13</v>
      </c>
      <c r="G59" s="64">
        <v>42.69</v>
      </c>
      <c r="H59" s="209" t="s">
        <v>36</v>
      </c>
      <c r="I59" s="210" t="s">
        <v>43</v>
      </c>
      <c r="J59" s="64">
        <v>0.77</v>
      </c>
      <c r="K59" s="64">
        <v>351.32</v>
      </c>
      <c r="L59" s="64">
        <v>28.42</v>
      </c>
      <c r="M59" s="64">
        <v>19.77</v>
      </c>
      <c r="N59" s="64">
        <v>554.29999999999995</v>
      </c>
      <c r="O59" s="64">
        <v>0</v>
      </c>
      <c r="P59" s="64">
        <v>0.61</v>
      </c>
      <c r="Q59" s="64">
        <v>9.6999999999999993</v>
      </c>
      <c r="R59" s="198"/>
      <c r="S59" s="198"/>
      <c r="T59" s="198"/>
      <c r="U59" s="198"/>
    </row>
    <row r="60" spans="1:21" s="12" customFormat="1" x14ac:dyDescent="0.25">
      <c r="A60" s="213" t="s">
        <v>967</v>
      </c>
      <c r="B60" s="64">
        <v>26.25</v>
      </c>
      <c r="C60" s="64">
        <v>54.2</v>
      </c>
      <c r="D60" s="64">
        <v>47.99</v>
      </c>
      <c r="E60" s="64">
        <v>4.47</v>
      </c>
      <c r="F60" s="64">
        <v>2.13</v>
      </c>
      <c r="G60" s="64">
        <v>42.7</v>
      </c>
      <c r="H60" s="209" t="s">
        <v>36</v>
      </c>
      <c r="I60" s="210" t="s">
        <v>43</v>
      </c>
      <c r="J60" s="64">
        <v>1.1200000000000001</v>
      </c>
      <c r="K60" s="64">
        <v>333.23</v>
      </c>
      <c r="L60" s="64">
        <v>28.71</v>
      </c>
      <c r="M60" s="64">
        <v>19.670000000000002</v>
      </c>
      <c r="N60" s="64">
        <v>547.1</v>
      </c>
      <c r="O60" s="64">
        <v>0</v>
      </c>
      <c r="P60" s="64">
        <v>0.6</v>
      </c>
      <c r="Q60" s="64">
        <v>9.69</v>
      </c>
      <c r="R60" s="198"/>
      <c r="S60" s="198"/>
      <c r="T60" s="198"/>
      <c r="U60" s="198"/>
    </row>
    <row r="61" spans="1:21" s="12" customFormat="1" x14ac:dyDescent="0.25">
      <c r="A61" s="213" t="s">
        <v>968</v>
      </c>
      <c r="B61" s="64">
        <v>25.28</v>
      </c>
      <c r="C61" s="64">
        <v>55.26</v>
      </c>
      <c r="D61" s="64">
        <v>47.76</v>
      </c>
      <c r="E61" s="64">
        <v>4.2699999999999996</v>
      </c>
      <c r="F61" s="64">
        <v>2.13</v>
      </c>
      <c r="G61" s="64">
        <v>42.76</v>
      </c>
      <c r="H61" s="209" t="s">
        <v>36</v>
      </c>
      <c r="I61" s="210" t="s">
        <v>43</v>
      </c>
      <c r="J61" s="64">
        <v>0.8</v>
      </c>
      <c r="K61" s="64">
        <v>122.97</v>
      </c>
      <c r="L61" s="64">
        <v>27.21</v>
      </c>
      <c r="M61" s="64">
        <v>20.329999999999998</v>
      </c>
      <c r="N61" s="64">
        <v>534.70000000000005</v>
      </c>
      <c r="O61" s="64">
        <v>0</v>
      </c>
      <c r="P61" s="64">
        <v>0.66</v>
      </c>
      <c r="Q61" s="64">
        <v>9.69</v>
      </c>
      <c r="R61" s="198"/>
      <c r="S61" s="198"/>
      <c r="T61" s="198"/>
      <c r="U61" s="198"/>
    </row>
    <row r="62" spans="1:21" s="12" customFormat="1" x14ac:dyDescent="0.25">
      <c r="A62" s="213" t="s">
        <v>969</v>
      </c>
      <c r="B62" s="64">
        <v>23.57</v>
      </c>
      <c r="C62" s="64">
        <v>55.03</v>
      </c>
      <c r="D62" s="64">
        <v>46.28</v>
      </c>
      <c r="E62" s="64">
        <v>4.4800000000000004</v>
      </c>
      <c r="F62" s="64">
        <v>2.13</v>
      </c>
      <c r="G62" s="64">
        <v>42.76</v>
      </c>
      <c r="H62" s="209" t="s">
        <v>36</v>
      </c>
      <c r="I62" s="210" t="s">
        <v>43</v>
      </c>
      <c r="J62" s="64">
        <v>0.87</v>
      </c>
      <c r="K62" s="64">
        <v>334.41</v>
      </c>
      <c r="L62" s="64">
        <v>27.85</v>
      </c>
      <c r="M62" s="64">
        <v>20.37</v>
      </c>
      <c r="N62" s="64">
        <v>515.29999999999995</v>
      </c>
      <c r="O62" s="64">
        <v>0</v>
      </c>
      <c r="P62" s="64">
        <v>0.68</v>
      </c>
      <c r="Q62" s="64">
        <v>9.6999999999999993</v>
      </c>
      <c r="R62" s="198"/>
      <c r="S62" s="198"/>
      <c r="T62" s="198"/>
      <c r="U62" s="198"/>
    </row>
    <row r="63" spans="1:21" s="12" customFormat="1" x14ac:dyDescent="0.25">
      <c r="A63" s="213" t="s">
        <v>970</v>
      </c>
      <c r="B63" s="64">
        <v>21.95</v>
      </c>
      <c r="C63" s="64">
        <v>56.51</v>
      </c>
      <c r="D63" s="64">
        <v>45.75</v>
      </c>
      <c r="E63" s="64">
        <v>4.38</v>
      </c>
      <c r="F63" s="64">
        <v>2.13</v>
      </c>
      <c r="G63" s="64">
        <v>42.76</v>
      </c>
      <c r="H63" s="209" t="s">
        <v>36</v>
      </c>
      <c r="I63" s="210" t="s">
        <v>43</v>
      </c>
      <c r="J63" s="64">
        <v>1.0900000000000001</v>
      </c>
      <c r="K63" s="64">
        <v>327.26</v>
      </c>
      <c r="L63" s="64">
        <v>29.32</v>
      </c>
      <c r="M63" s="64">
        <v>18.39</v>
      </c>
      <c r="N63" s="64">
        <v>471.3</v>
      </c>
      <c r="O63" s="64">
        <v>0</v>
      </c>
      <c r="P63" s="64">
        <v>0.67</v>
      </c>
      <c r="Q63" s="64">
        <v>9.7100000000000009</v>
      </c>
      <c r="R63" s="198"/>
      <c r="S63" s="198"/>
      <c r="T63" s="198"/>
      <c r="U63" s="198"/>
    </row>
    <row r="64" spans="1:21" s="12" customFormat="1" x14ac:dyDescent="0.25">
      <c r="A64" s="213" t="s">
        <v>971</v>
      </c>
      <c r="B64" s="64">
        <v>20.52</v>
      </c>
      <c r="C64" s="64">
        <v>58.22</v>
      </c>
      <c r="D64" s="64">
        <v>45.49</v>
      </c>
      <c r="E64" s="64">
        <v>4.29</v>
      </c>
      <c r="F64" s="64">
        <v>2.13</v>
      </c>
      <c r="G64" s="64">
        <v>44.85</v>
      </c>
      <c r="H64" s="209" t="s">
        <v>36</v>
      </c>
      <c r="I64" s="210" t="s">
        <v>43</v>
      </c>
      <c r="J64" s="64">
        <v>1.01</v>
      </c>
      <c r="K64" s="64">
        <v>350.04</v>
      </c>
      <c r="L64" s="64">
        <v>29.5</v>
      </c>
      <c r="M64" s="64">
        <v>18.47</v>
      </c>
      <c r="N64" s="64">
        <v>471.2</v>
      </c>
      <c r="O64" s="64">
        <v>0</v>
      </c>
      <c r="P64" s="64">
        <v>0.68</v>
      </c>
      <c r="Q64" s="64">
        <v>9.7200000000000006</v>
      </c>
      <c r="R64" s="198"/>
      <c r="S64" s="198"/>
      <c r="T64" s="198"/>
      <c r="U64" s="198"/>
    </row>
    <row r="65" spans="1:21" s="12" customFormat="1" x14ac:dyDescent="0.25">
      <c r="A65" s="213" t="s">
        <v>972</v>
      </c>
      <c r="B65" s="64">
        <v>19.059999999999999</v>
      </c>
      <c r="C65" s="64">
        <v>58.81</v>
      </c>
      <c r="D65" s="64">
        <v>44.63</v>
      </c>
      <c r="E65" s="64">
        <v>4.5599999999999996</v>
      </c>
      <c r="F65" s="64">
        <v>2.13</v>
      </c>
      <c r="G65" s="64">
        <v>61.58</v>
      </c>
      <c r="H65" s="209" t="s">
        <v>36</v>
      </c>
      <c r="I65" s="210" t="s">
        <v>43</v>
      </c>
      <c r="J65" s="64">
        <v>1.07</v>
      </c>
      <c r="K65" s="64">
        <v>348.07</v>
      </c>
      <c r="L65" s="64">
        <v>29.29</v>
      </c>
      <c r="M65" s="64">
        <v>19.8</v>
      </c>
      <c r="N65" s="64">
        <v>425.1</v>
      </c>
      <c r="O65" s="64">
        <v>0</v>
      </c>
      <c r="P65" s="64">
        <v>0.68</v>
      </c>
      <c r="Q65" s="64">
        <v>9.6999999999999993</v>
      </c>
      <c r="R65" s="198"/>
      <c r="S65" s="198"/>
      <c r="T65" s="198"/>
      <c r="U65" s="198"/>
    </row>
    <row r="66" spans="1:21" s="12" customFormat="1" x14ac:dyDescent="0.25">
      <c r="A66" s="213" t="s">
        <v>973</v>
      </c>
      <c r="B66" s="64">
        <v>17.8</v>
      </c>
      <c r="C66" s="64">
        <v>59.5</v>
      </c>
      <c r="D66" s="64">
        <v>43.98</v>
      </c>
      <c r="E66" s="64">
        <v>4.8600000000000003</v>
      </c>
      <c r="F66" s="64">
        <v>2.13</v>
      </c>
      <c r="G66" s="64">
        <v>61.58</v>
      </c>
      <c r="H66" s="209" t="s">
        <v>36</v>
      </c>
      <c r="I66" s="210" t="s">
        <v>43</v>
      </c>
      <c r="J66" s="64">
        <v>1.91</v>
      </c>
      <c r="K66" s="64">
        <v>348.75</v>
      </c>
      <c r="L66" s="64">
        <v>28.39</v>
      </c>
      <c r="M66" s="64">
        <v>21.83</v>
      </c>
      <c r="N66" s="64">
        <v>338.7</v>
      </c>
      <c r="O66" s="64">
        <v>0</v>
      </c>
      <c r="P66" s="64">
        <v>0.68</v>
      </c>
      <c r="Q66" s="64">
        <v>9.69</v>
      </c>
      <c r="R66" s="198"/>
      <c r="S66" s="198"/>
      <c r="T66" s="198"/>
      <c r="U66" s="198"/>
    </row>
    <row r="67" spans="1:21" s="12" customFormat="1" x14ac:dyDescent="0.25">
      <c r="A67" s="213" t="s">
        <v>974</v>
      </c>
      <c r="B67" s="64">
        <v>16.41</v>
      </c>
      <c r="C67" s="64">
        <v>59.77</v>
      </c>
      <c r="D67" s="64">
        <v>43.01</v>
      </c>
      <c r="E67" s="64">
        <v>4.71</v>
      </c>
      <c r="F67" s="64">
        <v>2.13</v>
      </c>
      <c r="G67" s="64">
        <v>61.58</v>
      </c>
      <c r="H67" s="209" t="s">
        <v>36</v>
      </c>
      <c r="I67" s="210" t="s">
        <v>43</v>
      </c>
      <c r="J67" s="64">
        <v>1.68</v>
      </c>
      <c r="K67" s="64">
        <v>336.69</v>
      </c>
      <c r="L67" s="64">
        <v>28.59</v>
      </c>
      <c r="M67" s="64">
        <v>21.96</v>
      </c>
      <c r="N67" s="64">
        <v>249</v>
      </c>
      <c r="O67" s="64">
        <v>0</v>
      </c>
      <c r="P67" s="64">
        <v>0.69</v>
      </c>
      <c r="Q67" s="64">
        <v>9.69</v>
      </c>
      <c r="R67" s="198"/>
      <c r="S67" s="198"/>
      <c r="T67" s="198"/>
      <c r="U67" s="198"/>
    </row>
    <row r="68" spans="1:21" s="12" customFormat="1" x14ac:dyDescent="0.25">
      <c r="A68" s="213" t="s">
        <v>975</v>
      </c>
      <c r="B68" s="64">
        <v>15.21</v>
      </c>
      <c r="C68" s="64">
        <v>60.64</v>
      </c>
      <c r="D68" s="64">
        <v>42.5</v>
      </c>
      <c r="E68" s="64">
        <v>4.92</v>
      </c>
      <c r="F68" s="64">
        <v>2.13</v>
      </c>
      <c r="G68" s="64">
        <v>62.95</v>
      </c>
      <c r="H68" s="209" t="s">
        <v>36</v>
      </c>
      <c r="I68" s="210" t="s">
        <v>43</v>
      </c>
      <c r="J68" s="64">
        <v>1.23</v>
      </c>
      <c r="K68" s="64">
        <v>355.68</v>
      </c>
      <c r="L68" s="64">
        <v>28.12</v>
      </c>
      <c r="M68" s="64">
        <v>22.63</v>
      </c>
      <c r="N68" s="64">
        <v>295</v>
      </c>
      <c r="O68" s="64">
        <v>0</v>
      </c>
      <c r="P68" s="64">
        <v>0.69</v>
      </c>
      <c r="Q68" s="64">
        <v>9.69</v>
      </c>
      <c r="R68" s="198"/>
      <c r="S68" s="198"/>
      <c r="T68" s="198"/>
      <c r="U68" s="198"/>
    </row>
    <row r="69" spans="1:21" s="12" customFormat="1" x14ac:dyDescent="0.25">
      <c r="A69" s="213" t="s">
        <v>976</v>
      </c>
      <c r="B69" s="64">
        <v>14.43</v>
      </c>
      <c r="C69" s="64">
        <v>57.36</v>
      </c>
      <c r="D69" s="64">
        <v>40.17</v>
      </c>
      <c r="E69" s="64">
        <v>4.7</v>
      </c>
      <c r="F69" s="64">
        <v>2.13</v>
      </c>
      <c r="G69" s="64">
        <v>75.3</v>
      </c>
      <c r="H69" s="209" t="s">
        <v>36</v>
      </c>
      <c r="I69" s="210" t="s">
        <v>43</v>
      </c>
      <c r="J69" s="64">
        <v>1.61</v>
      </c>
      <c r="K69" s="64">
        <v>354.42</v>
      </c>
      <c r="L69" s="64">
        <v>27.6</v>
      </c>
      <c r="M69" s="64">
        <v>23.23</v>
      </c>
      <c r="N69" s="64">
        <v>321.5</v>
      </c>
      <c r="O69" s="64">
        <v>0</v>
      </c>
      <c r="P69" s="64">
        <v>0.64</v>
      </c>
      <c r="Q69" s="64">
        <v>9.67</v>
      </c>
      <c r="R69" s="198"/>
      <c r="S69" s="198"/>
      <c r="T69" s="198"/>
      <c r="U69" s="198"/>
    </row>
    <row r="70" spans="1:21" s="12" customFormat="1" x14ac:dyDescent="0.25">
      <c r="A70" s="213" t="s">
        <v>977</v>
      </c>
      <c r="B70" s="64">
        <v>13.94</v>
      </c>
      <c r="C70" s="64">
        <v>56.54</v>
      </c>
      <c r="D70" s="64">
        <v>39.340000000000003</v>
      </c>
      <c r="E70" s="64">
        <v>4.6500000000000004</v>
      </c>
      <c r="F70" s="64">
        <v>2.13</v>
      </c>
      <c r="G70" s="64">
        <v>75.3</v>
      </c>
      <c r="H70" s="209" t="s">
        <v>36</v>
      </c>
      <c r="I70" s="210" t="s">
        <v>43</v>
      </c>
      <c r="J70" s="64">
        <v>1.99</v>
      </c>
      <c r="K70" s="64">
        <v>341.84</v>
      </c>
      <c r="L70" s="64">
        <v>27.34</v>
      </c>
      <c r="M70" s="64">
        <v>24.52</v>
      </c>
      <c r="N70" s="64">
        <v>204</v>
      </c>
      <c r="O70" s="64">
        <v>0</v>
      </c>
      <c r="P70" s="64">
        <v>0.66</v>
      </c>
      <c r="Q70" s="64">
        <v>9.66</v>
      </c>
      <c r="R70" s="198"/>
      <c r="S70" s="198"/>
      <c r="T70" s="198"/>
      <c r="U70" s="198"/>
    </row>
    <row r="71" spans="1:21" s="12" customFormat="1" x14ac:dyDescent="0.25">
      <c r="A71" s="213" t="s">
        <v>978</v>
      </c>
      <c r="B71" s="64">
        <v>13.49</v>
      </c>
      <c r="C71" s="64">
        <v>57.06</v>
      </c>
      <c r="D71" s="64">
        <v>39.25</v>
      </c>
      <c r="E71" s="64">
        <v>4.7300000000000004</v>
      </c>
      <c r="F71" s="64">
        <v>2.13</v>
      </c>
      <c r="G71" s="64">
        <v>75.3</v>
      </c>
      <c r="H71" s="209" t="s">
        <v>36</v>
      </c>
      <c r="I71" s="210" t="s">
        <v>43</v>
      </c>
      <c r="J71" s="64">
        <v>1.51</v>
      </c>
      <c r="K71" s="64">
        <v>327.39999999999998</v>
      </c>
      <c r="L71" s="64">
        <v>26.75</v>
      </c>
      <c r="M71" s="64">
        <v>25.7</v>
      </c>
      <c r="N71" s="64">
        <v>159.1</v>
      </c>
      <c r="O71" s="64">
        <v>0</v>
      </c>
      <c r="P71" s="64">
        <v>0.66</v>
      </c>
      <c r="Q71" s="64">
        <v>9.64</v>
      </c>
      <c r="R71" s="198"/>
      <c r="S71" s="198"/>
      <c r="T71" s="198"/>
      <c r="U71" s="198"/>
    </row>
    <row r="72" spans="1:21" s="12" customFormat="1" x14ac:dyDescent="0.25">
      <c r="A72" s="213" t="s">
        <v>979</v>
      </c>
      <c r="B72" s="64">
        <v>13.21</v>
      </c>
      <c r="C72" s="64">
        <v>56.98</v>
      </c>
      <c r="D72" s="64">
        <v>38.99</v>
      </c>
      <c r="E72" s="64">
        <v>5.83</v>
      </c>
      <c r="F72" s="64">
        <v>2.13</v>
      </c>
      <c r="G72" s="64">
        <v>75.67</v>
      </c>
      <c r="H72" s="209" t="s">
        <v>36</v>
      </c>
      <c r="I72" s="210" t="s">
        <v>43</v>
      </c>
      <c r="J72" s="64">
        <v>0.81</v>
      </c>
      <c r="K72" s="64">
        <v>6.47</v>
      </c>
      <c r="L72" s="64">
        <v>26.16</v>
      </c>
      <c r="M72" s="64">
        <v>25.43</v>
      </c>
      <c r="N72" s="64">
        <v>135.6</v>
      </c>
      <c r="O72" s="64">
        <v>0</v>
      </c>
      <c r="P72" s="64">
        <v>0.62</v>
      </c>
      <c r="Q72" s="64">
        <v>9.64</v>
      </c>
      <c r="R72" s="198"/>
      <c r="S72" s="198"/>
      <c r="T72" s="198"/>
      <c r="U72" s="198"/>
    </row>
    <row r="73" spans="1:21" s="12" customFormat="1" x14ac:dyDescent="0.25">
      <c r="A73" s="213" t="s">
        <v>980</v>
      </c>
      <c r="B73" s="64">
        <v>13.04</v>
      </c>
      <c r="C73" s="64">
        <v>56.66</v>
      </c>
      <c r="D73" s="64">
        <v>38.68</v>
      </c>
      <c r="E73" s="64">
        <v>6.1</v>
      </c>
      <c r="F73" s="64">
        <v>2.13</v>
      </c>
      <c r="G73" s="64">
        <v>79.02</v>
      </c>
      <c r="H73" s="64">
        <v>36.659999999999997</v>
      </c>
      <c r="I73" s="210" t="s">
        <v>43</v>
      </c>
      <c r="J73" s="64">
        <v>1.46</v>
      </c>
      <c r="K73" s="64">
        <v>339.16</v>
      </c>
      <c r="L73" s="64">
        <v>25.69</v>
      </c>
      <c r="M73" s="64">
        <v>26.48</v>
      </c>
      <c r="N73" s="64">
        <v>126.2</v>
      </c>
      <c r="O73" s="64">
        <v>0</v>
      </c>
      <c r="P73" s="64">
        <v>0.66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3" t="s">
        <v>981</v>
      </c>
      <c r="B74" s="64">
        <v>12.95</v>
      </c>
      <c r="C74" s="64">
        <v>55.95</v>
      </c>
      <c r="D74" s="64">
        <v>38.24</v>
      </c>
      <c r="E74" s="64">
        <v>5.93</v>
      </c>
      <c r="F74" s="64">
        <v>2.13</v>
      </c>
      <c r="G74" s="64">
        <v>79.02</v>
      </c>
      <c r="H74" s="64">
        <v>36.659999999999997</v>
      </c>
      <c r="I74" s="210" t="s">
        <v>43</v>
      </c>
      <c r="J74" s="64">
        <v>1.45</v>
      </c>
      <c r="K74" s="64">
        <v>331.67</v>
      </c>
      <c r="L74" s="64">
        <v>25.73</v>
      </c>
      <c r="M74" s="64">
        <v>27.04</v>
      </c>
      <c r="N74" s="64">
        <v>119.7</v>
      </c>
      <c r="O74" s="64">
        <v>0</v>
      </c>
      <c r="P74" s="64">
        <v>0.69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3" t="s">
        <v>982</v>
      </c>
      <c r="B75" s="64">
        <v>13</v>
      </c>
      <c r="C75" s="64">
        <v>55.42</v>
      </c>
      <c r="D75" s="64">
        <v>38</v>
      </c>
      <c r="E75" s="64">
        <v>6.07</v>
      </c>
      <c r="F75" s="64">
        <v>2.13</v>
      </c>
      <c r="G75" s="64">
        <v>79.02</v>
      </c>
      <c r="H75" s="64">
        <v>36.659999999999997</v>
      </c>
      <c r="I75" s="210" t="s">
        <v>43</v>
      </c>
      <c r="J75" s="64">
        <v>1.56</v>
      </c>
      <c r="K75" s="64">
        <v>339.76</v>
      </c>
      <c r="L75" s="64">
        <v>25.47</v>
      </c>
      <c r="M75" s="64">
        <v>26.79</v>
      </c>
      <c r="N75" s="64">
        <v>114.6</v>
      </c>
      <c r="O75" s="64">
        <v>0</v>
      </c>
      <c r="P75" s="64">
        <v>0.67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3" t="s">
        <v>983</v>
      </c>
      <c r="B76" s="64">
        <v>13.22</v>
      </c>
      <c r="C76" s="64">
        <v>55.38</v>
      </c>
      <c r="D76" s="64">
        <v>38.159999999999997</v>
      </c>
      <c r="E76" s="64">
        <v>5.99</v>
      </c>
      <c r="F76" s="64">
        <v>2.13</v>
      </c>
      <c r="G76" s="64">
        <v>77.75</v>
      </c>
      <c r="H76" s="64">
        <v>38.75</v>
      </c>
      <c r="I76" s="210" t="s">
        <v>43</v>
      </c>
      <c r="J76" s="64">
        <v>1.63</v>
      </c>
      <c r="K76" s="64">
        <v>331.09</v>
      </c>
      <c r="L76" s="64">
        <v>25.09</v>
      </c>
      <c r="M76" s="64">
        <v>27.24</v>
      </c>
      <c r="N76" s="64">
        <v>109.2</v>
      </c>
      <c r="O76" s="64">
        <v>0</v>
      </c>
      <c r="P76" s="64">
        <v>0.69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3" t="s">
        <v>984</v>
      </c>
      <c r="B77" s="64">
        <v>13.36</v>
      </c>
      <c r="C77" s="64">
        <v>57.39</v>
      </c>
      <c r="D77" s="64">
        <v>39.32</v>
      </c>
      <c r="E77" s="64">
        <v>6.37</v>
      </c>
      <c r="F77" s="64">
        <v>2.13</v>
      </c>
      <c r="G77" s="64">
        <v>66.319999999999993</v>
      </c>
      <c r="H77" s="64">
        <v>55.94</v>
      </c>
      <c r="I77" s="210" t="s">
        <v>43</v>
      </c>
      <c r="J77" s="64">
        <v>1.57</v>
      </c>
      <c r="K77" s="64">
        <v>350.23</v>
      </c>
      <c r="L77" s="64">
        <v>24.56</v>
      </c>
      <c r="M77" s="64">
        <v>27.73</v>
      </c>
      <c r="N77" s="64">
        <v>101.8</v>
      </c>
      <c r="O77" s="64">
        <v>0</v>
      </c>
      <c r="P77" s="64">
        <v>0.68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3" t="s">
        <v>985</v>
      </c>
      <c r="B78" s="64">
        <v>13.92</v>
      </c>
      <c r="C78" s="64">
        <v>57.52</v>
      </c>
      <c r="D78" s="64">
        <v>39.840000000000003</v>
      </c>
      <c r="E78" s="64">
        <v>6.18</v>
      </c>
      <c r="F78" s="64">
        <v>2.13</v>
      </c>
      <c r="G78" s="64">
        <v>66.319999999999993</v>
      </c>
      <c r="H78" s="64">
        <v>55.94</v>
      </c>
      <c r="I78" s="210" t="s">
        <v>43</v>
      </c>
      <c r="J78" s="64">
        <v>1.23</v>
      </c>
      <c r="K78" s="64">
        <v>355.89</v>
      </c>
      <c r="L78" s="64">
        <v>24.02</v>
      </c>
      <c r="M78" s="64">
        <v>27.81</v>
      </c>
      <c r="N78" s="64">
        <v>93.8</v>
      </c>
      <c r="O78" s="64">
        <v>0</v>
      </c>
      <c r="P78" s="64">
        <v>0.71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3" t="s">
        <v>986</v>
      </c>
      <c r="B79" s="64">
        <v>15.15</v>
      </c>
      <c r="C79" s="64">
        <v>57.96</v>
      </c>
      <c r="D79" s="64">
        <v>41.05</v>
      </c>
      <c r="E79" s="64">
        <v>6.35</v>
      </c>
      <c r="F79" s="64">
        <v>2.13</v>
      </c>
      <c r="G79" s="64">
        <v>66.319999999999993</v>
      </c>
      <c r="H79" s="64">
        <v>55.94</v>
      </c>
      <c r="I79" s="210" t="s">
        <v>43</v>
      </c>
      <c r="J79" s="64">
        <v>1.1399999999999999</v>
      </c>
      <c r="K79" s="64">
        <v>0.38</v>
      </c>
      <c r="L79" s="64">
        <v>23.34</v>
      </c>
      <c r="M79" s="64">
        <v>28.9</v>
      </c>
      <c r="N79" s="64">
        <v>86.2</v>
      </c>
      <c r="O79" s="64">
        <v>0</v>
      </c>
      <c r="P79" s="64">
        <v>0.74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3" t="s">
        <v>987</v>
      </c>
      <c r="B80" s="64">
        <v>17</v>
      </c>
      <c r="C80" s="64">
        <v>58.04</v>
      </c>
      <c r="D80" s="64">
        <v>42.58</v>
      </c>
      <c r="E80" s="64">
        <v>5.69</v>
      </c>
      <c r="F80" s="64">
        <v>2.13</v>
      </c>
      <c r="G80" s="64">
        <v>69.05</v>
      </c>
      <c r="H80" s="64">
        <v>55.4</v>
      </c>
      <c r="I80" s="210" t="s">
        <v>43</v>
      </c>
      <c r="J80" s="64">
        <v>1.01</v>
      </c>
      <c r="K80" s="64">
        <v>353.16</v>
      </c>
      <c r="L80" s="64">
        <v>22.67</v>
      </c>
      <c r="M80" s="64">
        <v>29.21</v>
      </c>
      <c r="N80" s="64">
        <v>80.8</v>
      </c>
      <c r="O80" s="64">
        <v>0</v>
      </c>
      <c r="P80" s="64">
        <v>0.8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3" t="s">
        <v>988</v>
      </c>
      <c r="B81" s="64">
        <v>19.239999999999998</v>
      </c>
      <c r="C81" s="64">
        <v>58.78</v>
      </c>
      <c r="D81" s="64">
        <v>44.77</v>
      </c>
      <c r="E81" s="64">
        <v>6.29</v>
      </c>
      <c r="F81" s="64">
        <v>2.13</v>
      </c>
      <c r="G81" s="64">
        <v>93.57</v>
      </c>
      <c r="H81" s="64">
        <v>51.13</v>
      </c>
      <c r="I81" s="210" t="s">
        <v>43</v>
      </c>
      <c r="J81" s="64">
        <v>0.92</v>
      </c>
      <c r="K81" s="64">
        <v>359.85</v>
      </c>
      <c r="L81" s="64">
        <v>22.09</v>
      </c>
      <c r="M81" s="64">
        <v>29.76</v>
      </c>
      <c r="N81" s="64">
        <v>79</v>
      </c>
      <c r="O81" s="64">
        <v>0</v>
      </c>
      <c r="P81" s="64">
        <v>0.85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3" t="s">
        <v>989</v>
      </c>
      <c r="B82" s="64">
        <v>21.54</v>
      </c>
      <c r="C82" s="64">
        <v>59.66</v>
      </c>
      <c r="D82" s="64">
        <v>47.07</v>
      </c>
      <c r="E82" s="64">
        <v>6.3</v>
      </c>
      <c r="F82" s="64">
        <v>2.13</v>
      </c>
      <c r="G82" s="64">
        <v>93.57</v>
      </c>
      <c r="H82" s="64">
        <v>51.13</v>
      </c>
      <c r="I82" s="210" t="s">
        <v>43</v>
      </c>
      <c r="J82" s="64">
        <v>0.82</v>
      </c>
      <c r="K82" s="64">
        <v>356.58</v>
      </c>
      <c r="L82" s="64">
        <v>21.47</v>
      </c>
      <c r="M82" s="64">
        <v>30.7</v>
      </c>
      <c r="N82" s="64">
        <v>78.5</v>
      </c>
      <c r="O82" s="64">
        <v>0</v>
      </c>
      <c r="P82" s="64">
        <v>0.89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3" t="s">
        <v>990</v>
      </c>
      <c r="B83" s="64">
        <v>23.47</v>
      </c>
      <c r="C83" s="64">
        <v>60.03</v>
      </c>
      <c r="D83" s="64">
        <v>48.8</v>
      </c>
      <c r="E83" s="64">
        <v>5.99</v>
      </c>
      <c r="F83" s="64">
        <v>2.13</v>
      </c>
      <c r="G83" s="64">
        <v>93.57</v>
      </c>
      <c r="H83" s="64">
        <v>51.13</v>
      </c>
      <c r="I83" s="210" t="s">
        <v>43</v>
      </c>
      <c r="J83" s="64">
        <v>0.86</v>
      </c>
      <c r="K83" s="64">
        <v>3.98</v>
      </c>
      <c r="L83" s="64">
        <v>21.05</v>
      </c>
      <c r="M83" s="64">
        <v>31.4</v>
      </c>
      <c r="N83" s="64">
        <v>78.400000000000006</v>
      </c>
      <c r="O83" s="64">
        <v>0</v>
      </c>
      <c r="P83" s="64">
        <v>0.95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3" t="s">
        <v>991</v>
      </c>
      <c r="B84" s="64">
        <v>26.21</v>
      </c>
      <c r="C84" s="64">
        <v>60.58</v>
      </c>
      <c r="D84" s="64">
        <v>51.29</v>
      </c>
      <c r="E84" s="64">
        <v>6.51</v>
      </c>
      <c r="F84" s="64">
        <v>2.13</v>
      </c>
      <c r="G84" s="64">
        <v>91.88</v>
      </c>
      <c r="H84" s="64">
        <v>57.73</v>
      </c>
      <c r="I84" s="210" t="s">
        <v>43</v>
      </c>
      <c r="J84" s="64">
        <v>0.62</v>
      </c>
      <c r="K84" s="64">
        <v>22.44</v>
      </c>
      <c r="L84" s="64">
        <v>20.5</v>
      </c>
      <c r="M84" s="64">
        <v>32.58</v>
      </c>
      <c r="N84" s="64">
        <v>78.7</v>
      </c>
      <c r="O84" s="64">
        <v>0</v>
      </c>
      <c r="P84" s="64">
        <v>1.1499999999999999</v>
      </c>
      <c r="Q84" s="64">
        <v>9.66</v>
      </c>
      <c r="R84" s="198"/>
      <c r="S84" s="198"/>
      <c r="T84" s="198"/>
      <c r="U84" s="198"/>
    </row>
    <row r="85" spans="1:26" s="12" customFormat="1" x14ac:dyDescent="0.25">
      <c r="A85" s="213" t="s">
        <v>992</v>
      </c>
      <c r="B85" s="64">
        <v>28.77</v>
      </c>
      <c r="C85" s="64">
        <v>61.26</v>
      </c>
      <c r="D85" s="64">
        <v>53.71</v>
      </c>
      <c r="E85" s="64">
        <v>6.55</v>
      </c>
      <c r="F85" s="64">
        <v>2.13</v>
      </c>
      <c r="G85" s="64">
        <v>76.67</v>
      </c>
      <c r="H85" s="209" t="s">
        <v>36</v>
      </c>
      <c r="I85" s="210" t="s">
        <v>43</v>
      </c>
      <c r="J85" s="64">
        <v>0.74</v>
      </c>
      <c r="K85" s="64">
        <v>70.06</v>
      </c>
      <c r="L85" s="64">
        <v>20.28</v>
      </c>
      <c r="M85" s="64">
        <v>33.14</v>
      </c>
      <c r="N85" s="64">
        <v>78.3</v>
      </c>
      <c r="O85" s="64">
        <v>0</v>
      </c>
      <c r="P85" s="64">
        <v>1.0900000000000001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3" t="s">
        <v>993</v>
      </c>
      <c r="B86" s="64">
        <v>30.66</v>
      </c>
      <c r="C86" s="64">
        <v>61.18</v>
      </c>
      <c r="D86" s="64">
        <v>55.18</v>
      </c>
      <c r="E86" s="64">
        <v>6.81</v>
      </c>
      <c r="F86" s="64">
        <v>2.13</v>
      </c>
      <c r="G86" s="64">
        <v>76.67</v>
      </c>
      <c r="H86" s="209" t="s">
        <v>36</v>
      </c>
      <c r="I86" s="210" t="s">
        <v>43</v>
      </c>
      <c r="J86" s="64">
        <v>0.63</v>
      </c>
      <c r="K86" s="64">
        <v>54.46</v>
      </c>
      <c r="L86" s="64">
        <v>19.98</v>
      </c>
      <c r="M86" s="64">
        <v>34.17</v>
      </c>
      <c r="N86" s="64">
        <v>78.400000000000006</v>
      </c>
      <c r="O86" s="64">
        <v>0</v>
      </c>
      <c r="P86" s="64">
        <v>1.37</v>
      </c>
      <c r="Q86" s="64">
        <v>9.6999999999999993</v>
      </c>
      <c r="R86" s="198"/>
      <c r="S86" s="198"/>
      <c r="T86" s="198"/>
      <c r="U86" s="198"/>
    </row>
    <row r="87" spans="1:26" s="12" customFormat="1" x14ac:dyDescent="0.25">
      <c r="A87" s="213" t="s">
        <v>994</v>
      </c>
      <c r="B87" s="64">
        <v>32.96</v>
      </c>
      <c r="C87" s="64">
        <v>57.53</v>
      </c>
      <c r="D87" s="64">
        <v>55.12</v>
      </c>
      <c r="E87" s="64">
        <v>6.59</v>
      </c>
      <c r="F87" s="64">
        <v>2.13</v>
      </c>
      <c r="G87" s="64">
        <v>76.67</v>
      </c>
      <c r="H87" s="209" t="s">
        <v>36</v>
      </c>
      <c r="I87" s="210" t="s">
        <v>43</v>
      </c>
      <c r="J87" s="64">
        <v>0.63</v>
      </c>
      <c r="K87" s="64">
        <v>66.78</v>
      </c>
      <c r="L87" s="64">
        <v>19.73</v>
      </c>
      <c r="M87" s="64">
        <v>34.43</v>
      </c>
      <c r="N87" s="64">
        <v>78.2</v>
      </c>
      <c r="O87" s="64">
        <v>0</v>
      </c>
      <c r="P87" s="64">
        <v>1.53</v>
      </c>
      <c r="Q87" s="64">
        <v>9.7100000000000009</v>
      </c>
      <c r="R87" s="198"/>
      <c r="S87" s="198"/>
      <c r="T87" s="198"/>
      <c r="U87" s="198"/>
    </row>
    <row r="88" spans="1:26" s="12" customFormat="1" x14ac:dyDescent="0.25">
      <c r="A88" s="213" t="s">
        <v>995</v>
      </c>
      <c r="B88" s="64">
        <v>35.15</v>
      </c>
      <c r="C88" s="64">
        <v>57.76</v>
      </c>
      <c r="D88" s="64">
        <v>56.99</v>
      </c>
      <c r="E88" s="64">
        <v>6.21</v>
      </c>
      <c r="F88" s="64">
        <v>2.13</v>
      </c>
      <c r="G88" s="64">
        <v>78.86</v>
      </c>
      <c r="H88" s="209" t="s">
        <v>36</v>
      </c>
      <c r="I88" s="210" t="s">
        <v>43</v>
      </c>
      <c r="J88" s="64">
        <v>0.43</v>
      </c>
      <c r="K88" s="64">
        <v>353.96</v>
      </c>
      <c r="L88" s="64">
        <v>19.28</v>
      </c>
      <c r="M88" s="64">
        <v>35.630000000000003</v>
      </c>
      <c r="N88" s="64">
        <v>78.400000000000006</v>
      </c>
      <c r="O88" s="64">
        <v>0</v>
      </c>
      <c r="P88" s="64">
        <v>1.66</v>
      </c>
      <c r="Q88" s="64">
        <v>9.67</v>
      </c>
      <c r="R88" s="198"/>
      <c r="S88" s="198"/>
      <c r="T88" s="198"/>
      <c r="U88" s="198"/>
    </row>
    <row r="89" spans="1:26" s="12" customFormat="1" x14ac:dyDescent="0.25">
      <c r="A89" s="213" t="s">
        <v>996</v>
      </c>
      <c r="B89" s="64">
        <v>37.11</v>
      </c>
      <c r="C89" s="64">
        <v>58.15</v>
      </c>
      <c r="D89" s="64">
        <v>58.77</v>
      </c>
      <c r="E89" s="64">
        <v>6.49</v>
      </c>
      <c r="F89" s="64">
        <v>2.13</v>
      </c>
      <c r="G89" s="64">
        <v>96.38</v>
      </c>
      <c r="H89" s="209" t="s">
        <v>36</v>
      </c>
      <c r="I89" s="210" t="s">
        <v>43</v>
      </c>
      <c r="J89" s="64">
        <v>0.56999999999999995</v>
      </c>
      <c r="K89" s="64">
        <v>63.56</v>
      </c>
      <c r="L89" s="64">
        <v>19.059999999999999</v>
      </c>
      <c r="M89" s="64">
        <v>36.39</v>
      </c>
      <c r="N89" s="64">
        <v>78.099999999999994</v>
      </c>
      <c r="O89" s="64">
        <v>0</v>
      </c>
      <c r="P89" s="64">
        <v>1.59</v>
      </c>
      <c r="Q89" s="64">
        <v>9.7100000000000009</v>
      </c>
      <c r="R89" s="198"/>
      <c r="S89" s="198"/>
      <c r="T89" s="198"/>
      <c r="U89" s="198"/>
    </row>
    <row r="90" spans="1:26" s="12" customFormat="1" x14ac:dyDescent="0.25">
      <c r="A90" s="213" t="s">
        <v>997</v>
      </c>
      <c r="B90" s="64">
        <v>37.83</v>
      </c>
      <c r="C90" s="64">
        <v>57.54</v>
      </c>
      <c r="D90" s="64">
        <v>59.03</v>
      </c>
      <c r="E90" s="64">
        <v>6.55</v>
      </c>
      <c r="F90" s="64">
        <v>2.13</v>
      </c>
      <c r="G90" s="64">
        <v>96.38</v>
      </c>
      <c r="H90" s="209" t="s">
        <v>36</v>
      </c>
      <c r="I90" s="210" t="s">
        <v>43</v>
      </c>
      <c r="J90" s="64">
        <v>0.55000000000000004</v>
      </c>
      <c r="K90" s="64">
        <v>67.64</v>
      </c>
      <c r="L90" s="64">
        <v>18.809999999999999</v>
      </c>
      <c r="M90" s="64">
        <v>37.08</v>
      </c>
      <c r="N90" s="64">
        <v>78.099999999999994</v>
      </c>
      <c r="O90" s="64">
        <v>0</v>
      </c>
      <c r="P90" s="64">
        <v>1.49</v>
      </c>
      <c r="Q90" s="64">
        <v>9.6999999999999993</v>
      </c>
      <c r="R90" s="198"/>
      <c r="S90" s="198"/>
      <c r="T90" s="198"/>
      <c r="U90" s="198"/>
    </row>
    <row r="91" spans="1:26" s="12" customFormat="1" x14ac:dyDescent="0.25">
      <c r="A91" s="213" t="s">
        <v>998</v>
      </c>
      <c r="B91" s="64">
        <v>37.770000000000003</v>
      </c>
      <c r="C91" s="64">
        <v>57.07</v>
      </c>
      <c r="D91" s="64">
        <v>58.73</v>
      </c>
      <c r="E91" s="64">
        <v>6.68</v>
      </c>
      <c r="F91" s="64">
        <v>2.13</v>
      </c>
      <c r="G91" s="64">
        <v>96.38</v>
      </c>
      <c r="H91" s="209" t="s">
        <v>36</v>
      </c>
      <c r="I91" s="210" t="s">
        <v>43</v>
      </c>
      <c r="J91" s="64">
        <v>0.57999999999999996</v>
      </c>
      <c r="K91" s="64">
        <v>42.95</v>
      </c>
      <c r="L91" s="64">
        <v>18.45</v>
      </c>
      <c r="M91" s="64">
        <v>37.69</v>
      </c>
      <c r="N91" s="64">
        <v>78.099999999999994</v>
      </c>
      <c r="O91" s="64">
        <v>0</v>
      </c>
      <c r="P91" s="64">
        <v>1.5</v>
      </c>
      <c r="Q91" s="64">
        <v>9.7100000000000009</v>
      </c>
      <c r="R91" s="198"/>
      <c r="S91" s="198"/>
      <c r="T91" s="198"/>
      <c r="U91" s="198"/>
    </row>
    <row r="92" spans="1:26" s="12" customFormat="1" x14ac:dyDescent="0.25">
      <c r="A92" s="213" t="s">
        <v>999</v>
      </c>
      <c r="B92" s="64">
        <v>38.21</v>
      </c>
      <c r="C92" s="64">
        <v>56.78</v>
      </c>
      <c r="D92" s="64">
        <v>58.93</v>
      </c>
      <c r="E92" s="64">
        <v>6.66</v>
      </c>
      <c r="F92" s="64">
        <v>2.13</v>
      </c>
      <c r="G92" s="64">
        <v>97.91</v>
      </c>
      <c r="H92" s="209" t="s">
        <v>36</v>
      </c>
      <c r="I92" s="210" t="s">
        <v>43</v>
      </c>
      <c r="J92" s="64">
        <v>0.77</v>
      </c>
      <c r="K92" s="64">
        <v>64.09</v>
      </c>
      <c r="L92" s="64">
        <v>18.27</v>
      </c>
      <c r="M92" s="64">
        <v>38.549999999999997</v>
      </c>
      <c r="N92" s="64">
        <v>77.900000000000006</v>
      </c>
      <c r="O92" s="64">
        <v>0</v>
      </c>
      <c r="P92" s="64">
        <v>1.68</v>
      </c>
      <c r="Q92" s="64">
        <v>9.69</v>
      </c>
      <c r="R92" s="198"/>
      <c r="S92" s="198"/>
      <c r="T92" s="198"/>
      <c r="U92" s="198"/>
    </row>
    <row r="93" spans="1:26" s="12" customFormat="1" x14ac:dyDescent="0.25">
      <c r="A93" s="213" t="s">
        <v>1000</v>
      </c>
      <c r="B93" s="64">
        <v>39.15</v>
      </c>
      <c r="C93" s="64">
        <v>56.14</v>
      </c>
      <c r="D93" s="64">
        <v>59.35</v>
      </c>
      <c r="E93" s="64">
        <v>6.66</v>
      </c>
      <c r="F93" s="64">
        <v>2.13</v>
      </c>
      <c r="G93" s="64">
        <v>111.69</v>
      </c>
      <c r="H93" s="209" t="s">
        <v>36</v>
      </c>
      <c r="I93" s="210" t="s">
        <v>43</v>
      </c>
      <c r="J93" s="64">
        <v>0.66</v>
      </c>
      <c r="K93" s="64">
        <v>52.86</v>
      </c>
      <c r="L93" s="64">
        <v>18.14</v>
      </c>
      <c r="M93" s="64">
        <v>38.159999999999997</v>
      </c>
      <c r="N93" s="64">
        <v>77.900000000000006</v>
      </c>
      <c r="O93" s="64">
        <v>0</v>
      </c>
      <c r="P93" s="64">
        <v>1.56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3" t="s">
        <v>1001</v>
      </c>
      <c r="B94" s="64">
        <v>39.96</v>
      </c>
      <c r="C94" s="64">
        <v>57.44</v>
      </c>
      <c r="D94" s="64">
        <v>60.68</v>
      </c>
      <c r="E94" s="64">
        <v>6.95</v>
      </c>
      <c r="F94" s="64">
        <v>2.13</v>
      </c>
      <c r="G94" s="64">
        <v>111.69</v>
      </c>
      <c r="H94" s="209" t="s">
        <v>36</v>
      </c>
      <c r="I94" s="210" t="s">
        <v>43</v>
      </c>
      <c r="J94" s="64">
        <v>0.61</v>
      </c>
      <c r="K94" s="64">
        <v>61.7</v>
      </c>
      <c r="L94" s="64">
        <v>17.91</v>
      </c>
      <c r="M94" s="64">
        <v>38.450000000000003</v>
      </c>
      <c r="N94" s="64">
        <v>78.2</v>
      </c>
      <c r="O94" s="64">
        <v>0</v>
      </c>
      <c r="P94" s="64">
        <v>1.47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3" t="s">
        <v>1002</v>
      </c>
      <c r="B95" s="64">
        <v>40.380000000000003</v>
      </c>
      <c r="C95" s="64">
        <v>58.81</v>
      </c>
      <c r="D95" s="64">
        <v>61.73</v>
      </c>
      <c r="E95" s="64">
        <v>6.71</v>
      </c>
      <c r="F95" s="64">
        <v>2.13</v>
      </c>
      <c r="G95" s="64">
        <v>111.69</v>
      </c>
      <c r="H95" s="209" t="s">
        <v>36</v>
      </c>
      <c r="I95" s="210" t="s">
        <v>43</v>
      </c>
      <c r="J95" s="64">
        <v>0.59</v>
      </c>
      <c r="K95" s="64">
        <v>45.83</v>
      </c>
      <c r="L95" s="64">
        <v>17.600000000000001</v>
      </c>
      <c r="M95" s="64">
        <v>38.06</v>
      </c>
      <c r="N95" s="64">
        <v>78</v>
      </c>
      <c r="O95" s="64">
        <v>0</v>
      </c>
      <c r="P95" s="64">
        <v>1.47</v>
      </c>
      <c r="Q95" s="64">
        <v>9.6999999999999993</v>
      </c>
      <c r="R95" s="198"/>
      <c r="S95" s="198"/>
      <c r="T95" s="198"/>
      <c r="U95" s="198"/>
    </row>
    <row r="96" spans="1:26" s="12" customFormat="1" x14ac:dyDescent="0.25">
      <c r="A96" s="213" t="s">
        <v>1003</v>
      </c>
      <c r="B96" s="64">
        <v>40.28</v>
      </c>
      <c r="C96" s="64">
        <v>58.81</v>
      </c>
      <c r="D96" s="64">
        <v>61.65</v>
      </c>
      <c r="E96" s="64">
        <v>6.44</v>
      </c>
      <c r="F96" s="64">
        <v>2.13</v>
      </c>
      <c r="G96" s="64">
        <v>109.01</v>
      </c>
      <c r="H96" s="209" t="s">
        <v>36</v>
      </c>
      <c r="I96" s="210" t="s">
        <v>43</v>
      </c>
      <c r="J96" s="64">
        <v>0.56999999999999995</v>
      </c>
      <c r="K96" s="64">
        <v>32.94</v>
      </c>
      <c r="L96" s="64">
        <v>17.579999999999998</v>
      </c>
      <c r="M96" s="64">
        <v>36.03</v>
      </c>
      <c r="N96" s="64">
        <v>77.8</v>
      </c>
      <c r="O96" s="64">
        <v>0</v>
      </c>
      <c r="P96" s="64">
        <v>1.47</v>
      </c>
      <c r="Q96" s="64">
        <v>9.7200000000000006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1004</v>
      </c>
      <c r="B97" s="64">
        <v>40.450000000000003</v>
      </c>
      <c r="C97" s="64">
        <v>59.04</v>
      </c>
      <c r="D97" s="64">
        <v>61.91</v>
      </c>
      <c r="E97" s="64">
        <v>6.44</v>
      </c>
      <c r="F97" s="64">
        <v>2.13</v>
      </c>
      <c r="G97" s="64">
        <v>84.85</v>
      </c>
      <c r="H97" s="209" t="s">
        <v>36</v>
      </c>
      <c r="I97" s="210" t="s">
        <v>43</v>
      </c>
      <c r="J97" s="64">
        <v>0.57999999999999996</v>
      </c>
      <c r="K97" s="64">
        <v>342.07</v>
      </c>
      <c r="L97" s="64">
        <v>17.29</v>
      </c>
      <c r="M97" s="64">
        <v>37.67</v>
      </c>
      <c r="N97" s="64">
        <v>78.3</v>
      </c>
      <c r="O97" s="64">
        <v>0</v>
      </c>
      <c r="P97" s="64">
        <v>1.47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13" t="s">
        <v>1005</v>
      </c>
      <c r="B98" s="64">
        <v>42.53</v>
      </c>
      <c r="C98" s="64">
        <v>59.42</v>
      </c>
      <c r="D98" s="64">
        <v>63.77</v>
      </c>
      <c r="E98" s="64">
        <v>6.85</v>
      </c>
      <c r="F98" s="64">
        <v>2.13</v>
      </c>
      <c r="G98" s="64">
        <v>84.85</v>
      </c>
      <c r="H98" s="209" t="s">
        <v>36</v>
      </c>
      <c r="I98" s="210" t="s">
        <v>43</v>
      </c>
      <c r="J98" s="64">
        <v>0.46</v>
      </c>
      <c r="K98" s="64">
        <v>348.5</v>
      </c>
      <c r="L98" s="64">
        <v>16.84</v>
      </c>
      <c r="M98" s="64">
        <v>38.01</v>
      </c>
      <c r="N98" s="64">
        <v>78.400000000000006</v>
      </c>
      <c r="O98" s="64">
        <v>0</v>
      </c>
      <c r="P98" s="64">
        <v>1.48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13" t="s">
        <v>1006</v>
      </c>
      <c r="B99" s="64">
        <v>44.05</v>
      </c>
      <c r="C99" s="64">
        <v>59.48</v>
      </c>
      <c r="D99" s="64">
        <v>65.02</v>
      </c>
      <c r="E99" s="64">
        <v>6.7</v>
      </c>
      <c r="F99" s="64">
        <v>2.13</v>
      </c>
      <c r="G99" s="64">
        <v>84.85</v>
      </c>
      <c r="H99" s="209" t="s">
        <v>36</v>
      </c>
      <c r="I99" s="210" t="s">
        <v>43</v>
      </c>
      <c r="J99" s="64">
        <v>0.48</v>
      </c>
      <c r="K99" s="64">
        <v>4.4800000000000004</v>
      </c>
      <c r="L99" s="64">
        <v>16.54</v>
      </c>
      <c r="M99" s="64">
        <v>40.130000000000003</v>
      </c>
      <c r="N99" s="64">
        <v>78</v>
      </c>
      <c r="O99" s="64">
        <v>0</v>
      </c>
      <c r="P99" s="64">
        <v>1.47</v>
      </c>
      <c r="Q99" s="64">
        <v>9.74</v>
      </c>
      <c r="R99" s="198"/>
      <c r="S99" s="198"/>
      <c r="T99" s="198"/>
      <c r="U99" s="198"/>
    </row>
    <row r="100" spans="1:33" s="12" customFormat="1" x14ac:dyDescent="0.25">
      <c r="A100" s="213" t="s">
        <v>1007</v>
      </c>
      <c r="B100" s="64">
        <v>46.43</v>
      </c>
      <c r="C100" s="64">
        <v>59.92</v>
      </c>
      <c r="D100" s="64">
        <v>67.17</v>
      </c>
      <c r="E100" s="64">
        <v>6.67</v>
      </c>
      <c r="F100" s="64">
        <v>2.13</v>
      </c>
      <c r="G100" s="64">
        <v>85.17</v>
      </c>
      <c r="H100" s="209" t="s">
        <v>36</v>
      </c>
      <c r="I100" s="210" t="s">
        <v>43</v>
      </c>
      <c r="J100" s="64">
        <v>0.5</v>
      </c>
      <c r="K100" s="64">
        <v>15.04</v>
      </c>
      <c r="L100" s="64">
        <v>16.850000000000001</v>
      </c>
      <c r="M100" s="64">
        <v>35.81</v>
      </c>
      <c r="N100" s="64">
        <v>77.7</v>
      </c>
      <c r="O100" s="64">
        <v>0</v>
      </c>
      <c r="P100" s="64">
        <v>1.48</v>
      </c>
      <c r="Q100" s="64">
        <v>9.74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1008</v>
      </c>
      <c r="B101" s="64">
        <v>46.26</v>
      </c>
      <c r="C101" s="64">
        <v>59.85</v>
      </c>
      <c r="D101" s="64">
        <v>66.989999999999995</v>
      </c>
      <c r="E101" s="64">
        <v>6.39</v>
      </c>
      <c r="F101" s="64">
        <v>2.13</v>
      </c>
      <c r="G101" s="64">
        <v>87.74</v>
      </c>
      <c r="H101" s="209" t="s">
        <v>36</v>
      </c>
      <c r="I101" s="210" t="s">
        <v>43</v>
      </c>
      <c r="J101" s="64">
        <v>0.56000000000000005</v>
      </c>
      <c r="K101" s="64">
        <v>342.29</v>
      </c>
      <c r="L101" s="64">
        <v>16.86</v>
      </c>
      <c r="M101" s="64">
        <v>34.94</v>
      </c>
      <c r="N101" s="64">
        <v>77.8</v>
      </c>
      <c r="O101" s="64">
        <v>0</v>
      </c>
      <c r="P101" s="64">
        <v>1.46</v>
      </c>
      <c r="Q101" s="64">
        <v>9.76</v>
      </c>
      <c r="R101" s="198"/>
      <c r="S101" s="198"/>
      <c r="T101" s="198"/>
      <c r="U101" s="198"/>
    </row>
    <row r="102" spans="1:33" s="12" customFormat="1" x14ac:dyDescent="0.25">
      <c r="A102" s="213" t="s">
        <v>1009</v>
      </c>
      <c r="B102" s="64">
        <v>46.27</v>
      </c>
      <c r="C102" s="64">
        <v>59.97</v>
      </c>
      <c r="D102" s="64">
        <v>67.06</v>
      </c>
      <c r="E102" s="64">
        <v>6.26</v>
      </c>
      <c r="F102" s="64">
        <v>2.13</v>
      </c>
      <c r="G102" s="64">
        <v>87.74</v>
      </c>
      <c r="H102" s="209" t="s">
        <v>36</v>
      </c>
      <c r="I102" s="210" t="s">
        <v>43</v>
      </c>
      <c r="J102" s="64">
        <v>0.56999999999999995</v>
      </c>
      <c r="K102" s="64">
        <v>352.08</v>
      </c>
      <c r="L102" s="64">
        <v>16.739999999999998</v>
      </c>
      <c r="M102" s="64">
        <v>34.369999999999997</v>
      </c>
      <c r="N102" s="64">
        <v>77.900000000000006</v>
      </c>
      <c r="O102" s="64">
        <v>0</v>
      </c>
      <c r="P102" s="64">
        <v>1.42</v>
      </c>
      <c r="Q102" s="64">
        <v>9.7799999999999994</v>
      </c>
      <c r="R102" s="198"/>
      <c r="S102" s="198"/>
      <c r="T102" s="198"/>
      <c r="U102" s="198"/>
    </row>
    <row r="103" spans="1:33" s="12" customFormat="1" x14ac:dyDescent="0.25">
      <c r="A103" s="213" t="s">
        <v>1010</v>
      </c>
      <c r="B103" s="64">
        <v>46.02</v>
      </c>
      <c r="C103" s="64">
        <v>59.18</v>
      </c>
      <c r="D103" s="64">
        <v>66.45</v>
      </c>
      <c r="E103" s="64">
        <v>6.56</v>
      </c>
      <c r="F103" s="64">
        <v>2.13</v>
      </c>
      <c r="G103" s="64">
        <v>87.74</v>
      </c>
      <c r="H103" s="209" t="s">
        <v>36</v>
      </c>
      <c r="I103" s="210" t="s">
        <v>43</v>
      </c>
      <c r="J103" s="64">
        <v>0.63</v>
      </c>
      <c r="K103" s="64">
        <v>331.72</v>
      </c>
      <c r="L103" s="64">
        <v>16.59</v>
      </c>
      <c r="M103" s="64">
        <v>34.11</v>
      </c>
      <c r="N103" s="64">
        <v>78.099999999999994</v>
      </c>
      <c r="O103" s="64">
        <v>0</v>
      </c>
      <c r="P103" s="64">
        <v>1.4</v>
      </c>
      <c r="Q103" s="64">
        <v>9.77</v>
      </c>
      <c r="R103" s="198"/>
      <c r="S103" s="198"/>
      <c r="T103" s="198"/>
      <c r="U103" s="198"/>
    </row>
    <row r="104" spans="1:33" s="12" customFormat="1" x14ac:dyDescent="0.25">
      <c r="A104" s="213" t="s">
        <v>1011</v>
      </c>
      <c r="B104" s="64">
        <v>46.25</v>
      </c>
      <c r="C104" s="64">
        <v>57.43</v>
      </c>
      <c r="D104" s="64">
        <v>65.709999999999994</v>
      </c>
      <c r="E104" s="64">
        <v>7</v>
      </c>
      <c r="F104" s="64">
        <v>2.13</v>
      </c>
      <c r="G104" s="64">
        <v>85.97</v>
      </c>
      <c r="H104" s="64">
        <v>9.1300000000000008</v>
      </c>
      <c r="I104" s="210" t="s">
        <v>43</v>
      </c>
      <c r="J104" s="64">
        <v>0.59</v>
      </c>
      <c r="K104" s="64">
        <v>339.24</v>
      </c>
      <c r="L104" s="64">
        <v>16.23</v>
      </c>
      <c r="M104" s="64">
        <v>35.4</v>
      </c>
      <c r="N104" s="64">
        <v>78</v>
      </c>
      <c r="O104" s="64">
        <v>0</v>
      </c>
      <c r="P104" s="64">
        <v>1.25</v>
      </c>
      <c r="Q104" s="64">
        <v>9.76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12.95</v>
      </c>
      <c r="C106" s="67">
        <f>MIN(C9:C104)</f>
        <v>43.74</v>
      </c>
      <c r="D106" s="67">
        <f t="shared" ref="D106:Q106" si="0">MIN(D9:D104)</f>
        <v>38</v>
      </c>
      <c r="E106" s="67">
        <f t="shared" si="0"/>
        <v>3.89</v>
      </c>
      <c r="F106" s="67">
        <f t="shared" si="0"/>
        <v>2.13</v>
      </c>
      <c r="G106" s="67">
        <f t="shared" si="0"/>
        <v>42.69</v>
      </c>
      <c r="H106" s="67">
        <f t="shared" si="0"/>
        <v>9.1300000000000008</v>
      </c>
      <c r="I106" s="67">
        <f t="shared" si="0"/>
        <v>0</v>
      </c>
      <c r="J106" s="67">
        <f t="shared" si="0"/>
        <v>0.27</v>
      </c>
      <c r="K106" s="67">
        <f t="shared" si="0"/>
        <v>0.38</v>
      </c>
      <c r="L106" s="67">
        <f t="shared" si="0"/>
        <v>13.79</v>
      </c>
      <c r="M106" s="67">
        <f t="shared" si="0"/>
        <v>17.09</v>
      </c>
      <c r="N106" s="67">
        <f t="shared" si="0"/>
        <v>75.7</v>
      </c>
      <c r="O106" s="67">
        <f t="shared" si="0"/>
        <v>0</v>
      </c>
      <c r="P106" s="67">
        <f t="shared" si="0"/>
        <v>0.6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151.94999999999999</v>
      </c>
      <c r="C107" s="66">
        <f t="shared" ref="C107:Q107" si="1">MAX(C9:C104)</f>
        <v>61.26</v>
      </c>
      <c r="D107" s="66">
        <f t="shared" si="1"/>
        <v>149.69999999999999</v>
      </c>
      <c r="E107" s="66">
        <f t="shared" si="1"/>
        <v>10.73</v>
      </c>
      <c r="F107" s="66">
        <f t="shared" si="1"/>
        <v>2.13</v>
      </c>
      <c r="G107" s="66">
        <f t="shared" si="1"/>
        <v>196.03</v>
      </c>
      <c r="H107" s="66">
        <f t="shared" si="1"/>
        <v>57.73</v>
      </c>
      <c r="I107" s="66">
        <f t="shared" si="1"/>
        <v>0</v>
      </c>
      <c r="J107" s="66">
        <f t="shared" si="1"/>
        <v>1.99</v>
      </c>
      <c r="K107" s="66">
        <f t="shared" si="1"/>
        <v>359.85</v>
      </c>
      <c r="L107" s="66">
        <f t="shared" si="1"/>
        <v>29.5</v>
      </c>
      <c r="M107" s="66">
        <f t="shared" si="1"/>
        <v>83.75</v>
      </c>
      <c r="N107" s="66">
        <f t="shared" si="1"/>
        <v>581.79999999999995</v>
      </c>
      <c r="O107" s="66">
        <f t="shared" si="1"/>
        <v>0</v>
      </c>
      <c r="P107" s="66">
        <f t="shared" si="1"/>
        <v>2.6</v>
      </c>
      <c r="Q107" s="66">
        <f t="shared" si="1"/>
        <v>10.86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54.311250000000001</v>
      </c>
      <c r="C108" s="67">
        <f t="shared" ref="C108:Q108" si="2">AVERAGE(C9:C104)</f>
        <v>53.952083333333348</v>
      </c>
      <c r="D108" s="67">
        <f t="shared" si="2"/>
        <v>70.365208333333314</v>
      </c>
      <c r="E108" s="67">
        <f t="shared" si="2"/>
        <v>6.1733333333333364</v>
      </c>
      <c r="F108" s="67">
        <f t="shared" si="2"/>
        <v>2.1299999999999972</v>
      </c>
      <c r="G108" s="67">
        <f t="shared" si="2"/>
        <v>87.55958333333335</v>
      </c>
      <c r="H108" s="67">
        <f t="shared" si="2"/>
        <v>44.162413793103468</v>
      </c>
      <c r="I108" s="67" t="e">
        <f t="shared" si="2"/>
        <v>#DIV/0!</v>
      </c>
      <c r="J108" s="67">
        <f t="shared" si="2"/>
        <v>0.85520833333333313</v>
      </c>
      <c r="K108" s="67">
        <f t="shared" si="2"/>
        <v>209.14093750000004</v>
      </c>
      <c r="L108" s="67">
        <f t="shared" si="2"/>
        <v>19.993854166666658</v>
      </c>
      <c r="M108" s="67">
        <f t="shared" si="2"/>
        <v>38.027708333333329</v>
      </c>
      <c r="N108" s="67">
        <f t="shared" si="2"/>
        <v>207.44687499999998</v>
      </c>
      <c r="O108" s="67">
        <f t="shared" si="2"/>
        <v>0</v>
      </c>
      <c r="P108" s="67">
        <f t="shared" si="2"/>
        <v>1.1783333333333335</v>
      </c>
      <c r="Q108" s="67">
        <f t="shared" si="2"/>
        <v>9.9336458333333422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38.582853547848643</v>
      </c>
      <c r="C109" s="67">
        <f t="shared" ref="C109:Q109" si="3">STDEV(C9:C104)</f>
        <v>4.8311654726951136</v>
      </c>
      <c r="D109" s="67">
        <f t="shared" si="3"/>
        <v>29.956458331144745</v>
      </c>
      <c r="E109" s="67">
        <f t="shared" si="3"/>
        <v>1.5423670575938901</v>
      </c>
      <c r="F109" s="67">
        <f t="shared" si="3"/>
        <v>2.678522416932523E-15</v>
      </c>
      <c r="G109" s="67">
        <f t="shared" si="3"/>
        <v>40.270635479587689</v>
      </c>
      <c r="H109" s="67">
        <f t="shared" si="3"/>
        <v>10.237400847303631</v>
      </c>
      <c r="I109" s="67" t="e">
        <f t="shared" si="3"/>
        <v>#DIV/0!</v>
      </c>
      <c r="J109" s="67">
        <f t="shared" si="3"/>
        <v>0.41607686326008458</v>
      </c>
      <c r="K109" s="67">
        <f t="shared" si="3"/>
        <v>142.11239553386946</v>
      </c>
      <c r="L109" s="67">
        <f t="shared" si="3"/>
        <v>5.0748557396746978</v>
      </c>
      <c r="M109" s="67">
        <f t="shared" si="3"/>
        <v>15.883173849551863</v>
      </c>
      <c r="N109" s="67">
        <f t="shared" si="3"/>
        <v>190.21634051957238</v>
      </c>
      <c r="O109" s="67">
        <f t="shared" si="3"/>
        <v>0</v>
      </c>
      <c r="P109" s="67">
        <f t="shared" si="3"/>
        <v>0.52292832691270363</v>
      </c>
      <c r="Q109" s="67">
        <f t="shared" si="3"/>
        <v>0.34808081273316738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COUNT(H9:H104)+67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1012</v>
      </c>
      <c r="B9" s="64">
        <v>46.33</v>
      </c>
      <c r="C9" s="64">
        <v>54.51</v>
      </c>
      <c r="D9" s="64">
        <v>64.25</v>
      </c>
      <c r="E9" s="64">
        <v>6.61</v>
      </c>
      <c r="F9" s="64">
        <v>2.13</v>
      </c>
      <c r="G9" s="64">
        <v>71.84</v>
      </c>
      <c r="H9" s="212" t="s">
        <v>42</v>
      </c>
      <c r="I9" s="210" t="s">
        <v>43</v>
      </c>
      <c r="J9" s="64">
        <v>0.6</v>
      </c>
      <c r="K9" s="64">
        <v>337.09</v>
      </c>
      <c r="L9" s="64">
        <v>16.14</v>
      </c>
      <c r="M9" s="64">
        <v>35.18</v>
      </c>
      <c r="N9" s="64">
        <v>77.900000000000006</v>
      </c>
      <c r="O9" s="64">
        <v>0</v>
      </c>
      <c r="P9" s="64">
        <v>1.2</v>
      </c>
      <c r="Q9" s="64">
        <v>9.7899999999999991</v>
      </c>
      <c r="R9" s="198"/>
      <c r="S9" s="198"/>
      <c r="T9" s="198"/>
      <c r="U9" s="198"/>
    </row>
    <row r="10" spans="1:21" s="12" customFormat="1" x14ac:dyDescent="0.25">
      <c r="A10" s="213" t="s">
        <v>1013</v>
      </c>
      <c r="B10" s="64">
        <v>45.66</v>
      </c>
      <c r="C10" s="64">
        <v>53.94</v>
      </c>
      <c r="D10" s="64">
        <v>63.42</v>
      </c>
      <c r="E10" s="64">
        <v>6.03</v>
      </c>
      <c r="F10" s="64">
        <v>2.13</v>
      </c>
      <c r="G10" s="64">
        <v>71.84</v>
      </c>
      <c r="H10" s="212" t="s">
        <v>42</v>
      </c>
      <c r="I10" s="210" t="s">
        <v>43</v>
      </c>
      <c r="J10" s="64">
        <v>0.48</v>
      </c>
      <c r="K10" s="64">
        <v>357.76</v>
      </c>
      <c r="L10" s="64">
        <v>16.47</v>
      </c>
      <c r="M10" s="64">
        <v>33.9</v>
      </c>
      <c r="N10" s="64">
        <v>77.5</v>
      </c>
      <c r="O10" s="64">
        <v>0</v>
      </c>
      <c r="P10" s="64">
        <v>1.19</v>
      </c>
      <c r="Q10" s="64">
        <v>9.77</v>
      </c>
      <c r="R10" s="198"/>
      <c r="S10" s="198"/>
      <c r="T10" s="198"/>
      <c r="U10" s="198"/>
    </row>
    <row r="11" spans="1:21" s="12" customFormat="1" x14ac:dyDescent="0.25">
      <c r="A11" s="213" t="s">
        <v>1014</v>
      </c>
      <c r="B11" s="64">
        <v>44.32</v>
      </c>
      <c r="C11" s="64">
        <v>53.49</v>
      </c>
      <c r="D11" s="64">
        <v>62.11</v>
      </c>
      <c r="E11" s="64">
        <v>6.57</v>
      </c>
      <c r="F11" s="64">
        <v>2.13</v>
      </c>
      <c r="G11" s="64">
        <v>71.84</v>
      </c>
      <c r="H11" s="212" t="s">
        <v>42</v>
      </c>
      <c r="I11" s="210" t="s">
        <v>43</v>
      </c>
      <c r="J11" s="64">
        <v>0.46</v>
      </c>
      <c r="K11" s="64">
        <v>355.8</v>
      </c>
      <c r="L11" s="64">
        <v>16.57</v>
      </c>
      <c r="M11" s="64">
        <v>33.450000000000003</v>
      </c>
      <c r="N11" s="64">
        <v>77.8</v>
      </c>
      <c r="O11" s="64">
        <v>0</v>
      </c>
      <c r="P11" s="64">
        <v>1.1100000000000001</v>
      </c>
      <c r="Q11" s="64">
        <v>9.76</v>
      </c>
      <c r="R11" s="198"/>
      <c r="S11" s="198"/>
      <c r="T11" s="198"/>
      <c r="U11" s="198"/>
    </row>
    <row r="12" spans="1:21" s="12" customFormat="1" x14ac:dyDescent="0.25">
      <c r="A12" s="213" t="s">
        <v>1015</v>
      </c>
      <c r="B12" s="64">
        <v>42.79</v>
      </c>
      <c r="C12" s="64">
        <v>53.19</v>
      </c>
      <c r="D12" s="64">
        <v>60.73</v>
      </c>
      <c r="E12" s="64">
        <v>5.88</v>
      </c>
      <c r="F12" s="64">
        <v>2.13</v>
      </c>
      <c r="G12" s="64">
        <v>71.13</v>
      </c>
      <c r="H12" s="212" t="s">
        <v>42</v>
      </c>
      <c r="I12" s="210" t="s">
        <v>43</v>
      </c>
      <c r="J12" s="64">
        <v>0.51</v>
      </c>
      <c r="K12" s="64">
        <v>24.89</v>
      </c>
      <c r="L12" s="64">
        <v>16.55</v>
      </c>
      <c r="M12" s="64">
        <v>33.76</v>
      </c>
      <c r="N12" s="64">
        <v>77.8</v>
      </c>
      <c r="O12" s="64">
        <v>0</v>
      </c>
      <c r="P12" s="64">
        <v>1.1200000000000001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13" t="s">
        <v>1016</v>
      </c>
      <c r="B13" s="64">
        <v>41.33</v>
      </c>
      <c r="C13" s="64">
        <v>52.11</v>
      </c>
      <c r="D13" s="64">
        <v>58.99</v>
      </c>
      <c r="E13" s="64">
        <v>6.51</v>
      </c>
      <c r="F13" s="64">
        <v>2.35</v>
      </c>
      <c r="G13" s="64">
        <v>65.510000000000005</v>
      </c>
      <c r="H13" s="212" t="s">
        <v>42</v>
      </c>
      <c r="I13" s="210" t="s">
        <v>43</v>
      </c>
      <c r="J13" s="64">
        <v>0.38</v>
      </c>
      <c r="K13" s="64">
        <v>9.48</v>
      </c>
      <c r="L13" s="64">
        <v>16.420000000000002</v>
      </c>
      <c r="M13" s="64">
        <v>33.78</v>
      </c>
      <c r="N13" s="64">
        <v>77.8</v>
      </c>
      <c r="O13" s="64">
        <v>0</v>
      </c>
      <c r="P13" s="64">
        <v>0.95</v>
      </c>
      <c r="Q13" s="64">
        <v>9.75</v>
      </c>
      <c r="R13" s="198"/>
      <c r="S13" s="198"/>
      <c r="T13" s="198"/>
      <c r="U13" s="198"/>
    </row>
    <row r="14" spans="1:21" s="12" customFormat="1" x14ac:dyDescent="0.25">
      <c r="A14" s="213" t="s">
        <v>1017</v>
      </c>
      <c r="B14" s="64">
        <v>39.68</v>
      </c>
      <c r="C14" s="64">
        <v>51.54</v>
      </c>
      <c r="D14" s="64">
        <v>57.37</v>
      </c>
      <c r="E14" s="64">
        <v>6.34</v>
      </c>
      <c r="F14" s="64">
        <v>2.13</v>
      </c>
      <c r="G14" s="64">
        <v>65.510000000000005</v>
      </c>
      <c r="H14" s="212" t="s">
        <v>42</v>
      </c>
      <c r="I14" s="210" t="s">
        <v>43</v>
      </c>
      <c r="J14" s="64">
        <v>0.54</v>
      </c>
      <c r="K14" s="64">
        <v>63.3</v>
      </c>
      <c r="L14" s="64">
        <v>16.559999999999999</v>
      </c>
      <c r="M14" s="64">
        <v>32.880000000000003</v>
      </c>
      <c r="N14" s="64">
        <v>77.5</v>
      </c>
      <c r="O14" s="64">
        <v>0</v>
      </c>
      <c r="P14" s="64">
        <v>0.94</v>
      </c>
      <c r="Q14" s="64">
        <v>9.75</v>
      </c>
      <c r="R14" s="198"/>
      <c r="S14" s="198"/>
      <c r="T14" s="198"/>
      <c r="U14" s="198"/>
    </row>
    <row r="15" spans="1:21" s="12" customFormat="1" x14ac:dyDescent="0.25">
      <c r="A15" s="213" t="s">
        <v>1018</v>
      </c>
      <c r="B15" s="64">
        <v>38.01</v>
      </c>
      <c r="C15" s="64">
        <v>50.29</v>
      </c>
      <c r="D15" s="64">
        <v>55.38</v>
      </c>
      <c r="E15" s="64">
        <v>6.25</v>
      </c>
      <c r="F15" s="64">
        <v>2.13</v>
      </c>
      <c r="G15" s="64">
        <v>65.510000000000005</v>
      </c>
      <c r="H15" s="212" t="s">
        <v>42</v>
      </c>
      <c r="I15" s="210" t="s">
        <v>43</v>
      </c>
      <c r="J15" s="64">
        <v>0.68</v>
      </c>
      <c r="K15" s="64">
        <v>349.19</v>
      </c>
      <c r="L15" s="64">
        <v>16.239999999999998</v>
      </c>
      <c r="M15" s="64">
        <v>33.479999999999997</v>
      </c>
      <c r="N15" s="64">
        <v>78.2</v>
      </c>
      <c r="O15" s="64">
        <v>0</v>
      </c>
      <c r="P15" s="64">
        <v>0.89</v>
      </c>
      <c r="Q15" s="64">
        <v>9.73</v>
      </c>
      <c r="R15" s="198"/>
      <c r="S15" s="198"/>
      <c r="T15" s="198"/>
      <c r="U15" s="198"/>
    </row>
    <row r="16" spans="1:21" s="12" customFormat="1" x14ac:dyDescent="0.25">
      <c r="A16" s="213" t="s">
        <v>1019</v>
      </c>
      <c r="B16" s="64">
        <v>36.4</v>
      </c>
      <c r="C16" s="64">
        <v>48.56</v>
      </c>
      <c r="D16" s="64">
        <v>53.18</v>
      </c>
      <c r="E16" s="64">
        <v>6.17</v>
      </c>
      <c r="F16" s="64">
        <v>2.13</v>
      </c>
      <c r="G16" s="64">
        <v>64.760000000000005</v>
      </c>
      <c r="H16" s="212" t="s">
        <v>42</v>
      </c>
      <c r="I16" s="210" t="s">
        <v>43</v>
      </c>
      <c r="J16" s="64">
        <v>0.69</v>
      </c>
      <c r="K16" s="64">
        <v>347.36</v>
      </c>
      <c r="L16" s="64">
        <v>15.83</v>
      </c>
      <c r="M16" s="64">
        <v>32.07</v>
      </c>
      <c r="N16" s="64">
        <v>78.2</v>
      </c>
      <c r="O16" s="64">
        <v>0</v>
      </c>
      <c r="P16" s="64">
        <v>1</v>
      </c>
      <c r="Q16" s="64">
        <v>9.6999999999999993</v>
      </c>
      <c r="R16" s="198"/>
      <c r="S16" s="198"/>
      <c r="T16" s="198"/>
      <c r="U16" s="198"/>
    </row>
    <row r="17" spans="1:21" s="12" customFormat="1" x14ac:dyDescent="0.25">
      <c r="A17" s="213" t="s">
        <v>1020</v>
      </c>
      <c r="B17" s="64">
        <v>35.29</v>
      </c>
      <c r="C17" s="64">
        <v>50</v>
      </c>
      <c r="D17" s="64">
        <v>53.05</v>
      </c>
      <c r="E17" s="64">
        <v>6.26</v>
      </c>
      <c r="F17" s="64">
        <v>2.13</v>
      </c>
      <c r="G17" s="64">
        <v>58.04</v>
      </c>
      <c r="H17" s="212" t="s">
        <v>42</v>
      </c>
      <c r="I17" s="210" t="s">
        <v>43</v>
      </c>
      <c r="J17" s="64">
        <v>0.43</v>
      </c>
      <c r="K17" s="64">
        <v>355.84</v>
      </c>
      <c r="L17" s="64">
        <v>15.51</v>
      </c>
      <c r="M17" s="64">
        <v>31.48</v>
      </c>
      <c r="N17" s="64">
        <v>78.2</v>
      </c>
      <c r="O17" s="64">
        <v>0</v>
      </c>
      <c r="P17" s="64">
        <v>0.97</v>
      </c>
      <c r="Q17" s="64">
        <v>9.69</v>
      </c>
      <c r="R17" s="198"/>
      <c r="S17" s="198"/>
      <c r="T17" s="198"/>
      <c r="U17" s="198"/>
    </row>
    <row r="18" spans="1:21" s="12" customFormat="1" x14ac:dyDescent="0.25">
      <c r="A18" s="213" t="s">
        <v>1021</v>
      </c>
      <c r="B18" s="64">
        <v>34.380000000000003</v>
      </c>
      <c r="C18" s="64">
        <v>51.27</v>
      </c>
      <c r="D18" s="64">
        <v>52.98</v>
      </c>
      <c r="E18" s="64">
        <v>6.19</v>
      </c>
      <c r="F18" s="64">
        <v>2.13</v>
      </c>
      <c r="G18" s="64">
        <v>58.04</v>
      </c>
      <c r="H18" s="212" t="s">
        <v>42</v>
      </c>
      <c r="I18" s="210" t="s">
        <v>43</v>
      </c>
      <c r="J18" s="64">
        <v>0.52</v>
      </c>
      <c r="K18" s="64">
        <v>348.49</v>
      </c>
      <c r="L18" s="64">
        <v>15.19</v>
      </c>
      <c r="M18" s="64">
        <v>31.76</v>
      </c>
      <c r="N18" s="64">
        <v>78.099999999999994</v>
      </c>
      <c r="O18" s="64">
        <v>0</v>
      </c>
      <c r="P18" s="64">
        <v>0.91</v>
      </c>
      <c r="Q18" s="64">
        <v>9.6999999999999993</v>
      </c>
      <c r="R18" s="198"/>
      <c r="S18" s="198"/>
      <c r="T18" s="198"/>
      <c r="U18" s="198"/>
    </row>
    <row r="19" spans="1:21" s="12" customFormat="1" x14ac:dyDescent="0.25">
      <c r="A19" s="213" t="s">
        <v>1022</v>
      </c>
      <c r="B19" s="64">
        <v>33.130000000000003</v>
      </c>
      <c r="C19" s="64">
        <v>51.32</v>
      </c>
      <c r="D19" s="64">
        <v>52.01</v>
      </c>
      <c r="E19" s="64">
        <v>5.8</v>
      </c>
      <c r="F19" s="64">
        <v>2.13</v>
      </c>
      <c r="G19" s="64">
        <v>58.04</v>
      </c>
      <c r="H19" s="212" t="s">
        <v>42</v>
      </c>
      <c r="I19" s="210" t="s">
        <v>43</v>
      </c>
      <c r="J19" s="64">
        <v>0.56999999999999995</v>
      </c>
      <c r="K19" s="64">
        <v>339.7</v>
      </c>
      <c r="L19" s="64">
        <v>14.9</v>
      </c>
      <c r="M19" s="64">
        <v>32.380000000000003</v>
      </c>
      <c r="N19" s="64">
        <v>78.400000000000006</v>
      </c>
      <c r="O19" s="64">
        <v>0</v>
      </c>
      <c r="P19" s="64">
        <v>0.89</v>
      </c>
      <c r="Q19" s="64">
        <v>9.7200000000000006</v>
      </c>
      <c r="R19" s="198"/>
      <c r="S19" s="198"/>
      <c r="T19" s="198"/>
      <c r="U19" s="198"/>
    </row>
    <row r="20" spans="1:21" s="12" customFormat="1" x14ac:dyDescent="0.25">
      <c r="A20" s="213" t="s">
        <v>1023</v>
      </c>
      <c r="B20" s="64">
        <v>32.26</v>
      </c>
      <c r="C20" s="64">
        <v>51.88</v>
      </c>
      <c r="D20" s="64">
        <v>51.59</v>
      </c>
      <c r="E20" s="64">
        <v>6.05</v>
      </c>
      <c r="F20" s="64">
        <v>2.13</v>
      </c>
      <c r="G20" s="64">
        <v>58.33</v>
      </c>
      <c r="H20" s="212" t="s">
        <v>42</v>
      </c>
      <c r="I20" s="210" t="s">
        <v>43</v>
      </c>
      <c r="J20" s="64">
        <v>0.49</v>
      </c>
      <c r="K20" s="64">
        <v>352</v>
      </c>
      <c r="L20" s="64">
        <v>14.63</v>
      </c>
      <c r="M20" s="64">
        <v>32.799999999999997</v>
      </c>
      <c r="N20" s="64">
        <v>78.2</v>
      </c>
      <c r="O20" s="64">
        <v>0</v>
      </c>
      <c r="P20" s="64">
        <v>0.86</v>
      </c>
      <c r="Q20" s="64">
        <v>9.7200000000000006</v>
      </c>
      <c r="R20" s="198"/>
      <c r="S20" s="198"/>
      <c r="T20" s="198"/>
      <c r="U20" s="198"/>
    </row>
    <row r="21" spans="1:21" s="12" customFormat="1" x14ac:dyDescent="0.25">
      <c r="A21" s="213" t="s">
        <v>1024</v>
      </c>
      <c r="B21" s="64">
        <v>31.61</v>
      </c>
      <c r="C21" s="64">
        <v>52.14</v>
      </c>
      <c r="D21" s="64">
        <v>51.22</v>
      </c>
      <c r="E21" s="64">
        <v>5.25</v>
      </c>
      <c r="F21" s="64">
        <v>2.13</v>
      </c>
      <c r="G21" s="64">
        <v>60.68</v>
      </c>
      <c r="H21" s="64">
        <v>36.5</v>
      </c>
      <c r="I21" s="210" t="s">
        <v>43</v>
      </c>
      <c r="J21" s="64">
        <v>0.45</v>
      </c>
      <c r="K21" s="64">
        <v>0.19</v>
      </c>
      <c r="L21" s="64">
        <v>14.27</v>
      </c>
      <c r="M21" s="64">
        <v>33.92</v>
      </c>
      <c r="N21" s="64">
        <v>78.400000000000006</v>
      </c>
      <c r="O21" s="64">
        <v>0</v>
      </c>
      <c r="P21" s="64">
        <v>0.82</v>
      </c>
      <c r="Q21" s="64">
        <v>9.75</v>
      </c>
      <c r="R21" s="198"/>
      <c r="S21" s="198"/>
      <c r="T21" s="198"/>
      <c r="U21" s="198"/>
    </row>
    <row r="22" spans="1:21" s="12" customFormat="1" x14ac:dyDescent="0.25">
      <c r="A22" s="213" t="s">
        <v>1025</v>
      </c>
      <c r="B22" s="64">
        <v>31.16</v>
      </c>
      <c r="C22" s="64">
        <v>52.13</v>
      </c>
      <c r="D22" s="64">
        <v>50.85</v>
      </c>
      <c r="E22" s="64">
        <v>5.37</v>
      </c>
      <c r="F22" s="64">
        <v>2.13</v>
      </c>
      <c r="G22" s="64">
        <v>60.68</v>
      </c>
      <c r="H22" s="64">
        <v>36.5</v>
      </c>
      <c r="I22" s="210" t="s">
        <v>43</v>
      </c>
      <c r="J22" s="64">
        <v>0.62</v>
      </c>
      <c r="K22" s="64">
        <v>344.44</v>
      </c>
      <c r="L22" s="64">
        <v>13.75</v>
      </c>
      <c r="M22" s="64">
        <v>39.15</v>
      </c>
      <c r="N22" s="64">
        <v>78.5</v>
      </c>
      <c r="O22" s="64">
        <v>0</v>
      </c>
      <c r="P22" s="64">
        <v>0.79</v>
      </c>
      <c r="Q22" s="64">
        <v>9.76</v>
      </c>
      <c r="R22" s="198"/>
      <c r="S22" s="198"/>
      <c r="T22" s="198"/>
      <c r="U22" s="198"/>
    </row>
    <row r="23" spans="1:21" s="12" customFormat="1" x14ac:dyDescent="0.25">
      <c r="A23" s="213" t="s">
        <v>1026</v>
      </c>
      <c r="B23" s="64">
        <v>30.92</v>
      </c>
      <c r="C23" s="64">
        <v>52.1</v>
      </c>
      <c r="D23" s="64">
        <v>50.64</v>
      </c>
      <c r="E23" s="64">
        <v>5.34</v>
      </c>
      <c r="F23" s="64">
        <v>2.13</v>
      </c>
      <c r="G23" s="64">
        <v>60.68</v>
      </c>
      <c r="H23" s="64">
        <v>36.5</v>
      </c>
      <c r="I23" s="210" t="s">
        <v>43</v>
      </c>
      <c r="J23" s="64">
        <v>0.64</v>
      </c>
      <c r="K23" s="64">
        <v>56</v>
      </c>
      <c r="L23" s="64">
        <v>13.59</v>
      </c>
      <c r="M23" s="64">
        <v>37.32</v>
      </c>
      <c r="N23" s="64">
        <v>78.3</v>
      </c>
      <c r="O23" s="64">
        <v>0</v>
      </c>
      <c r="P23" s="64">
        <v>0.77</v>
      </c>
      <c r="Q23" s="64">
        <v>9.7200000000000006</v>
      </c>
      <c r="R23" s="198"/>
      <c r="S23" s="198"/>
      <c r="T23" s="198"/>
      <c r="U23" s="198"/>
    </row>
    <row r="24" spans="1:21" s="12" customFormat="1" x14ac:dyDescent="0.25">
      <c r="A24" s="213" t="s">
        <v>1027</v>
      </c>
      <c r="B24" s="64">
        <v>30.89</v>
      </c>
      <c r="C24" s="64">
        <v>52.32</v>
      </c>
      <c r="D24" s="64">
        <v>50.73</v>
      </c>
      <c r="E24" s="64">
        <v>5.65</v>
      </c>
      <c r="F24" s="64">
        <v>2.13</v>
      </c>
      <c r="G24" s="64">
        <v>60.61</v>
      </c>
      <c r="H24" s="64">
        <v>36.979999999999997</v>
      </c>
      <c r="I24" s="210" t="s">
        <v>43</v>
      </c>
      <c r="J24" s="64">
        <v>0.59</v>
      </c>
      <c r="K24" s="64">
        <v>65.63</v>
      </c>
      <c r="L24" s="64">
        <v>13.6</v>
      </c>
      <c r="M24" s="64">
        <v>38.21</v>
      </c>
      <c r="N24" s="64">
        <v>78.5</v>
      </c>
      <c r="O24" s="64">
        <v>0</v>
      </c>
      <c r="P24" s="64">
        <v>0.74</v>
      </c>
      <c r="Q24" s="64">
        <v>9.6999999999999993</v>
      </c>
      <c r="R24" s="198"/>
      <c r="S24" s="198"/>
      <c r="T24" s="198"/>
      <c r="U24" s="198"/>
    </row>
    <row r="25" spans="1:21" s="12" customFormat="1" x14ac:dyDescent="0.25">
      <c r="A25" s="213" t="s">
        <v>1028</v>
      </c>
      <c r="B25" s="64">
        <v>30.83</v>
      </c>
      <c r="C25" s="64">
        <v>52.22</v>
      </c>
      <c r="D25" s="64">
        <v>50.63</v>
      </c>
      <c r="E25" s="64">
        <v>5.49</v>
      </c>
      <c r="F25" s="64">
        <v>2.13</v>
      </c>
      <c r="G25" s="64">
        <v>60.03</v>
      </c>
      <c r="H25" s="64">
        <v>41.34</v>
      </c>
      <c r="I25" s="210" t="s">
        <v>43</v>
      </c>
      <c r="J25" s="64">
        <v>0.37</v>
      </c>
      <c r="K25" s="64">
        <v>123.68</v>
      </c>
      <c r="L25" s="64">
        <v>12.88</v>
      </c>
      <c r="M25" s="64">
        <v>41.51</v>
      </c>
      <c r="N25" s="64">
        <v>78.3</v>
      </c>
      <c r="O25" s="64">
        <v>0</v>
      </c>
      <c r="P25" s="64">
        <v>0.71</v>
      </c>
      <c r="Q25" s="64">
        <v>9.6999999999999993</v>
      </c>
      <c r="R25" s="198"/>
      <c r="S25" s="198"/>
      <c r="T25" s="198"/>
      <c r="U25" s="198"/>
    </row>
    <row r="26" spans="1:21" s="12" customFormat="1" x14ac:dyDescent="0.25">
      <c r="A26" s="213" t="s">
        <v>1029</v>
      </c>
      <c r="B26" s="64">
        <v>30.12</v>
      </c>
      <c r="C26" s="64">
        <v>49.63</v>
      </c>
      <c r="D26" s="64">
        <v>48.7</v>
      </c>
      <c r="E26" s="64">
        <v>5.41</v>
      </c>
      <c r="F26" s="64">
        <v>2.13</v>
      </c>
      <c r="G26" s="64">
        <v>60.03</v>
      </c>
      <c r="H26" s="64">
        <v>41.34</v>
      </c>
      <c r="I26" s="210" t="s">
        <v>43</v>
      </c>
      <c r="J26" s="64">
        <v>0.43</v>
      </c>
      <c r="K26" s="64">
        <v>301.92</v>
      </c>
      <c r="L26" s="64">
        <v>12.7</v>
      </c>
      <c r="M26" s="64">
        <v>42.22</v>
      </c>
      <c r="N26" s="64">
        <v>78.2</v>
      </c>
      <c r="O26" s="64">
        <v>0</v>
      </c>
      <c r="P26" s="64">
        <v>0.64</v>
      </c>
      <c r="Q26" s="64">
        <v>9.7200000000000006</v>
      </c>
      <c r="R26" s="198"/>
      <c r="S26" s="198"/>
      <c r="T26" s="198"/>
      <c r="U26" s="198"/>
    </row>
    <row r="27" spans="1:21" s="12" customFormat="1" x14ac:dyDescent="0.25">
      <c r="A27" s="213" t="s">
        <v>1030</v>
      </c>
      <c r="B27" s="64">
        <v>29.61</v>
      </c>
      <c r="C27" s="64">
        <v>49.21</v>
      </c>
      <c r="D27" s="64">
        <v>48.08</v>
      </c>
      <c r="E27" s="64">
        <v>5.49</v>
      </c>
      <c r="F27" s="64">
        <v>2.13</v>
      </c>
      <c r="G27" s="64">
        <v>60.03</v>
      </c>
      <c r="H27" s="64">
        <v>41.34</v>
      </c>
      <c r="I27" s="210" t="s">
        <v>43</v>
      </c>
      <c r="J27" s="64">
        <v>0.14000000000000001</v>
      </c>
      <c r="K27" s="64">
        <v>110.32</v>
      </c>
      <c r="L27" s="64">
        <v>12.35</v>
      </c>
      <c r="M27" s="64">
        <v>43.97</v>
      </c>
      <c r="N27" s="64">
        <v>78.3</v>
      </c>
      <c r="O27" s="64">
        <v>0</v>
      </c>
      <c r="P27" s="64">
        <v>0.61</v>
      </c>
      <c r="Q27" s="64">
        <v>9.6999999999999993</v>
      </c>
      <c r="R27" s="198"/>
      <c r="S27" s="198"/>
      <c r="T27" s="198"/>
      <c r="U27" s="198"/>
    </row>
    <row r="28" spans="1:21" s="12" customFormat="1" x14ac:dyDescent="0.25">
      <c r="A28" s="213" t="s">
        <v>1031</v>
      </c>
      <c r="B28" s="64">
        <v>30.05</v>
      </c>
      <c r="C28" s="64">
        <v>49.94</v>
      </c>
      <c r="D28" s="64">
        <v>48.81</v>
      </c>
      <c r="E28" s="64">
        <v>5.43</v>
      </c>
      <c r="F28" s="64">
        <v>2.13</v>
      </c>
      <c r="G28" s="64">
        <v>59.49</v>
      </c>
      <c r="H28" s="64">
        <v>40.64</v>
      </c>
      <c r="I28" s="210" t="s">
        <v>43</v>
      </c>
      <c r="J28" s="64">
        <v>0.71</v>
      </c>
      <c r="K28" s="64">
        <v>246.15</v>
      </c>
      <c r="L28" s="64">
        <v>12.66</v>
      </c>
      <c r="M28" s="64">
        <v>43.84</v>
      </c>
      <c r="N28" s="64">
        <v>77.599999999999994</v>
      </c>
      <c r="O28" s="64">
        <v>0</v>
      </c>
      <c r="P28" s="64">
        <v>0.63</v>
      </c>
      <c r="Q28" s="64">
        <v>9.68</v>
      </c>
      <c r="R28" s="198"/>
      <c r="S28" s="198"/>
      <c r="T28" s="198"/>
      <c r="U28" s="198"/>
    </row>
    <row r="29" spans="1:21" s="12" customFormat="1" x14ac:dyDescent="0.25">
      <c r="A29" s="213" t="s">
        <v>1032</v>
      </c>
      <c r="B29" s="64">
        <v>31.1</v>
      </c>
      <c r="C29" s="64">
        <v>50.64</v>
      </c>
      <c r="D29" s="64">
        <v>50.02</v>
      </c>
      <c r="E29" s="64">
        <v>5.72</v>
      </c>
      <c r="F29" s="64">
        <v>2.13</v>
      </c>
      <c r="G29" s="64">
        <v>54.59</v>
      </c>
      <c r="H29" s="64">
        <v>34.340000000000003</v>
      </c>
      <c r="I29" s="210" t="s">
        <v>43</v>
      </c>
      <c r="J29" s="64">
        <v>0.56000000000000005</v>
      </c>
      <c r="K29" s="64">
        <v>248.02</v>
      </c>
      <c r="L29" s="64">
        <v>12.63</v>
      </c>
      <c r="M29" s="64">
        <v>44.78</v>
      </c>
      <c r="N29" s="64">
        <v>78.2</v>
      </c>
      <c r="O29" s="64">
        <v>0</v>
      </c>
      <c r="P29" s="64">
        <v>0.59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3" t="s">
        <v>1033</v>
      </c>
      <c r="B30" s="64">
        <v>31.75</v>
      </c>
      <c r="C30" s="64">
        <v>50.36</v>
      </c>
      <c r="D30" s="64">
        <v>50.4</v>
      </c>
      <c r="E30" s="64">
        <v>5.48</v>
      </c>
      <c r="F30" s="64">
        <v>2.13</v>
      </c>
      <c r="G30" s="64">
        <v>54.59</v>
      </c>
      <c r="H30" s="64">
        <v>34.340000000000003</v>
      </c>
      <c r="I30" s="210" t="s">
        <v>43</v>
      </c>
      <c r="J30" s="64">
        <v>0.66</v>
      </c>
      <c r="K30" s="64">
        <v>251.95</v>
      </c>
      <c r="L30" s="64">
        <v>12.24</v>
      </c>
      <c r="M30" s="64">
        <v>55.7</v>
      </c>
      <c r="N30" s="64">
        <v>78.3</v>
      </c>
      <c r="O30" s="64">
        <v>0</v>
      </c>
      <c r="P30" s="64">
        <v>0.61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3" t="s">
        <v>1034</v>
      </c>
      <c r="B31" s="64">
        <v>32.799999999999997</v>
      </c>
      <c r="C31" s="64">
        <v>50.15</v>
      </c>
      <c r="D31" s="64">
        <v>51.13</v>
      </c>
      <c r="E31" s="64">
        <v>5.5</v>
      </c>
      <c r="F31" s="64">
        <v>2.13</v>
      </c>
      <c r="G31" s="64">
        <v>54.59</v>
      </c>
      <c r="H31" s="64">
        <v>34.340000000000003</v>
      </c>
      <c r="I31" s="210" t="s">
        <v>43</v>
      </c>
      <c r="J31" s="64">
        <v>0.75</v>
      </c>
      <c r="K31" s="64">
        <v>221.01</v>
      </c>
      <c r="L31" s="64">
        <v>11.85</v>
      </c>
      <c r="M31" s="64">
        <v>67.349999999999994</v>
      </c>
      <c r="N31" s="64">
        <v>77.599999999999994</v>
      </c>
      <c r="O31" s="64">
        <v>0</v>
      </c>
      <c r="P31" s="64">
        <v>0.61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3" t="s">
        <v>1035</v>
      </c>
      <c r="B32" s="64">
        <v>34.29</v>
      </c>
      <c r="C32" s="64">
        <v>49.56</v>
      </c>
      <c r="D32" s="64">
        <v>52.01</v>
      </c>
      <c r="E32" s="64">
        <v>5.62</v>
      </c>
      <c r="F32" s="64">
        <v>2.13</v>
      </c>
      <c r="G32" s="64">
        <v>55.72</v>
      </c>
      <c r="H32" s="64">
        <v>34.29</v>
      </c>
      <c r="I32" s="210" t="s">
        <v>43</v>
      </c>
      <c r="J32" s="64">
        <v>0.46</v>
      </c>
      <c r="K32" s="64">
        <v>277.27</v>
      </c>
      <c r="L32" s="64">
        <v>11.38</v>
      </c>
      <c r="M32" s="64">
        <v>72.47</v>
      </c>
      <c r="N32" s="64">
        <v>78.400000000000006</v>
      </c>
      <c r="O32" s="64">
        <v>0</v>
      </c>
      <c r="P32" s="64">
        <v>0.61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3" t="s">
        <v>1036</v>
      </c>
      <c r="B33" s="64">
        <v>36.03</v>
      </c>
      <c r="C33" s="64">
        <v>48.93</v>
      </c>
      <c r="D33" s="64">
        <v>53.08</v>
      </c>
      <c r="E33" s="64">
        <v>5.79</v>
      </c>
      <c r="F33" s="64">
        <v>2.13</v>
      </c>
      <c r="G33" s="64">
        <v>65.94</v>
      </c>
      <c r="H33" s="64">
        <v>33.79</v>
      </c>
      <c r="I33" s="210" t="s">
        <v>43</v>
      </c>
      <c r="J33" s="64">
        <v>0.65</v>
      </c>
      <c r="K33" s="64">
        <v>305.54000000000002</v>
      </c>
      <c r="L33" s="64">
        <v>10.74</v>
      </c>
      <c r="M33" s="64">
        <v>76.67</v>
      </c>
      <c r="N33" s="64">
        <v>78.5</v>
      </c>
      <c r="O33" s="64">
        <v>0</v>
      </c>
      <c r="P33" s="64">
        <v>0.61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3" t="s">
        <v>1037</v>
      </c>
      <c r="B34" s="64">
        <v>37.32</v>
      </c>
      <c r="C34" s="64">
        <v>48.81</v>
      </c>
      <c r="D34" s="64">
        <v>54.05</v>
      </c>
      <c r="E34" s="64">
        <v>6.03</v>
      </c>
      <c r="F34" s="64">
        <v>2.13</v>
      </c>
      <c r="G34" s="64">
        <v>65.94</v>
      </c>
      <c r="H34" s="64">
        <v>33.79</v>
      </c>
      <c r="I34" s="210" t="s">
        <v>43</v>
      </c>
      <c r="J34" s="64">
        <v>0.69</v>
      </c>
      <c r="K34" s="64">
        <v>235.37</v>
      </c>
      <c r="L34" s="64">
        <v>10.46</v>
      </c>
      <c r="M34" s="64">
        <v>78.38</v>
      </c>
      <c r="N34" s="64">
        <v>79.2</v>
      </c>
      <c r="O34" s="64">
        <v>0</v>
      </c>
      <c r="P34" s="64">
        <v>0.61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3" t="s">
        <v>1038</v>
      </c>
      <c r="B35" s="64">
        <v>38.54</v>
      </c>
      <c r="C35" s="64">
        <v>48.14</v>
      </c>
      <c r="D35" s="64">
        <v>54.68</v>
      </c>
      <c r="E35" s="64">
        <v>6.19</v>
      </c>
      <c r="F35" s="64">
        <v>2.13</v>
      </c>
      <c r="G35" s="64">
        <v>65.94</v>
      </c>
      <c r="H35" s="64">
        <v>33.79</v>
      </c>
      <c r="I35" s="210" t="s">
        <v>43</v>
      </c>
      <c r="J35" s="64">
        <v>0.59</v>
      </c>
      <c r="K35" s="64">
        <v>287.2</v>
      </c>
      <c r="L35" s="64">
        <v>10.54</v>
      </c>
      <c r="M35" s="64">
        <v>79.849999999999994</v>
      </c>
      <c r="N35" s="64">
        <v>83.4</v>
      </c>
      <c r="O35" s="64">
        <v>0</v>
      </c>
      <c r="P35" s="64">
        <v>0.62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3" t="s">
        <v>1039</v>
      </c>
      <c r="B36" s="64">
        <v>42.33</v>
      </c>
      <c r="C36" s="64">
        <v>47.45</v>
      </c>
      <c r="D36" s="64">
        <v>57.37</v>
      </c>
      <c r="E36" s="64">
        <v>6.42</v>
      </c>
      <c r="F36" s="64">
        <v>2.13</v>
      </c>
      <c r="G36" s="64">
        <v>69.239999999999995</v>
      </c>
      <c r="H36" s="64">
        <v>33.17</v>
      </c>
      <c r="I36" s="210" t="s">
        <v>43</v>
      </c>
      <c r="J36" s="64">
        <v>0.6</v>
      </c>
      <c r="K36" s="64">
        <v>289.98</v>
      </c>
      <c r="L36" s="64">
        <v>10.46</v>
      </c>
      <c r="M36" s="64">
        <v>80.92</v>
      </c>
      <c r="N36" s="64">
        <v>90.9</v>
      </c>
      <c r="O36" s="64">
        <v>0</v>
      </c>
      <c r="P36" s="64">
        <v>0.66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13" t="s">
        <v>1040</v>
      </c>
      <c r="B37" s="64">
        <v>48.65</v>
      </c>
      <c r="C37" s="64">
        <v>47.04</v>
      </c>
      <c r="D37" s="64">
        <v>62.21</v>
      </c>
      <c r="E37" s="64">
        <v>6.87</v>
      </c>
      <c r="F37" s="64">
        <v>2.13</v>
      </c>
      <c r="G37" s="64">
        <v>95.64</v>
      </c>
      <c r="H37" s="64">
        <v>27.56</v>
      </c>
      <c r="I37" s="210" t="s">
        <v>43</v>
      </c>
      <c r="J37" s="64">
        <v>0.56000000000000005</v>
      </c>
      <c r="K37" s="64">
        <v>296</v>
      </c>
      <c r="L37" s="64">
        <v>10.72</v>
      </c>
      <c r="M37" s="64">
        <v>80.78</v>
      </c>
      <c r="N37" s="64">
        <v>99.2</v>
      </c>
      <c r="O37" s="64">
        <v>0</v>
      </c>
      <c r="P37" s="64">
        <v>0.76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3" t="s">
        <v>1041</v>
      </c>
      <c r="B38" s="64">
        <v>54.13</v>
      </c>
      <c r="C38" s="64">
        <v>46.93</v>
      </c>
      <c r="D38" s="64">
        <v>66.55</v>
      </c>
      <c r="E38" s="64">
        <v>6.56</v>
      </c>
      <c r="F38" s="64">
        <v>2.13</v>
      </c>
      <c r="G38" s="64">
        <v>95.64</v>
      </c>
      <c r="H38" s="64">
        <v>27.56</v>
      </c>
      <c r="I38" s="210" t="s">
        <v>43</v>
      </c>
      <c r="J38" s="64">
        <v>0.45</v>
      </c>
      <c r="K38" s="64">
        <v>271.82</v>
      </c>
      <c r="L38" s="64">
        <v>11.73</v>
      </c>
      <c r="M38" s="64">
        <v>76.55</v>
      </c>
      <c r="N38" s="64">
        <v>127.6</v>
      </c>
      <c r="O38" s="64">
        <v>0</v>
      </c>
      <c r="P38" s="64">
        <v>0.82</v>
      </c>
      <c r="Q38" s="64">
        <v>9.7200000000000006</v>
      </c>
      <c r="R38" s="198"/>
      <c r="S38" s="198"/>
      <c r="T38" s="198"/>
      <c r="U38" s="198"/>
    </row>
    <row r="39" spans="1:21" s="12" customFormat="1" x14ac:dyDescent="0.25">
      <c r="A39" s="213" t="s">
        <v>1042</v>
      </c>
      <c r="B39" s="64">
        <v>60.23</v>
      </c>
      <c r="C39" s="64">
        <v>47.7</v>
      </c>
      <c r="D39" s="64">
        <v>71.84</v>
      </c>
      <c r="E39" s="64">
        <v>7.58</v>
      </c>
      <c r="F39" s="64">
        <v>2.13</v>
      </c>
      <c r="G39" s="64">
        <v>95.64</v>
      </c>
      <c r="H39" s="64">
        <v>27.56</v>
      </c>
      <c r="I39" s="210" t="s">
        <v>43</v>
      </c>
      <c r="J39" s="64">
        <v>0.41</v>
      </c>
      <c r="K39" s="64">
        <v>125.62</v>
      </c>
      <c r="L39" s="64">
        <v>13.74</v>
      </c>
      <c r="M39" s="64">
        <v>66.400000000000006</v>
      </c>
      <c r="N39" s="64">
        <v>222.1</v>
      </c>
      <c r="O39" s="64">
        <v>0</v>
      </c>
      <c r="P39" s="64">
        <v>0.87</v>
      </c>
      <c r="Q39" s="64">
        <v>9.74</v>
      </c>
      <c r="R39" s="198"/>
      <c r="S39" s="198"/>
      <c r="T39" s="198"/>
      <c r="U39" s="198"/>
    </row>
    <row r="40" spans="1:21" s="12" customFormat="1" x14ac:dyDescent="0.25">
      <c r="A40" s="213" t="s">
        <v>1043</v>
      </c>
      <c r="B40" s="64">
        <v>64.11</v>
      </c>
      <c r="C40" s="64">
        <v>48.66</v>
      </c>
      <c r="D40" s="64">
        <v>75.459999999999994</v>
      </c>
      <c r="E40" s="64">
        <v>6.09</v>
      </c>
      <c r="F40" s="64">
        <v>2.13</v>
      </c>
      <c r="G40" s="64">
        <v>97.67</v>
      </c>
      <c r="H40" s="64">
        <v>30.74</v>
      </c>
      <c r="I40" s="210" t="s">
        <v>43</v>
      </c>
      <c r="J40" s="64">
        <v>0.56999999999999995</v>
      </c>
      <c r="K40" s="64">
        <v>13.69</v>
      </c>
      <c r="L40" s="64">
        <v>18.18</v>
      </c>
      <c r="M40" s="64">
        <v>46.17</v>
      </c>
      <c r="N40" s="64">
        <v>296.7</v>
      </c>
      <c r="O40" s="64">
        <v>0</v>
      </c>
      <c r="P40" s="64">
        <v>0.89</v>
      </c>
      <c r="Q40" s="64">
        <v>9.76</v>
      </c>
      <c r="R40" s="198"/>
      <c r="S40" s="198"/>
      <c r="T40" s="198"/>
      <c r="U40" s="198"/>
    </row>
    <row r="41" spans="1:21" s="12" customFormat="1" x14ac:dyDescent="0.25">
      <c r="A41" s="213" t="s">
        <v>1044</v>
      </c>
      <c r="B41" s="64">
        <v>67.040000000000006</v>
      </c>
      <c r="C41" s="64">
        <v>49.93</v>
      </c>
      <c r="D41" s="64">
        <v>78.47</v>
      </c>
      <c r="E41" s="64">
        <v>7.36</v>
      </c>
      <c r="F41" s="64">
        <v>2.13</v>
      </c>
      <c r="G41" s="64">
        <v>115.9</v>
      </c>
      <c r="H41" s="64">
        <v>56.15</v>
      </c>
      <c r="I41" s="210" t="s">
        <v>43</v>
      </c>
      <c r="J41" s="64">
        <v>0.43</v>
      </c>
      <c r="K41" s="64">
        <v>33.33</v>
      </c>
      <c r="L41" s="64">
        <v>20.350000000000001</v>
      </c>
      <c r="M41" s="64">
        <v>38.21</v>
      </c>
      <c r="N41" s="64">
        <v>348.4</v>
      </c>
      <c r="O41" s="64">
        <v>0</v>
      </c>
      <c r="P41" s="64">
        <v>0.92</v>
      </c>
      <c r="Q41" s="64">
        <v>9.81</v>
      </c>
      <c r="R41" s="198"/>
      <c r="S41" s="198"/>
      <c r="T41" s="198"/>
      <c r="U41" s="198"/>
    </row>
    <row r="42" spans="1:21" s="12" customFormat="1" x14ac:dyDescent="0.25">
      <c r="A42" s="213" t="s">
        <v>1045</v>
      </c>
      <c r="B42" s="64">
        <v>68.2</v>
      </c>
      <c r="C42" s="64">
        <v>51.5</v>
      </c>
      <c r="D42" s="64">
        <v>80.23</v>
      </c>
      <c r="E42" s="64">
        <v>7.46</v>
      </c>
      <c r="F42" s="64">
        <v>2.13</v>
      </c>
      <c r="G42" s="64">
        <v>115.9</v>
      </c>
      <c r="H42" s="64">
        <v>56.15</v>
      </c>
      <c r="I42" s="210" t="s">
        <v>43</v>
      </c>
      <c r="J42" s="64">
        <v>0.87</v>
      </c>
      <c r="K42" s="64">
        <v>103.85</v>
      </c>
      <c r="L42" s="64">
        <v>20.14</v>
      </c>
      <c r="M42" s="64">
        <v>29.58</v>
      </c>
      <c r="N42" s="64">
        <v>414.5</v>
      </c>
      <c r="O42" s="64">
        <v>0</v>
      </c>
      <c r="P42" s="64">
        <v>0.93</v>
      </c>
      <c r="Q42" s="64">
        <v>9.84</v>
      </c>
      <c r="R42" s="198"/>
      <c r="S42" s="198"/>
      <c r="T42" s="198"/>
      <c r="U42" s="198"/>
    </row>
    <row r="43" spans="1:21" s="12" customFormat="1" x14ac:dyDescent="0.25">
      <c r="A43" s="213" t="s">
        <v>1046</v>
      </c>
      <c r="B43" s="64">
        <v>66.62</v>
      </c>
      <c r="C43" s="64">
        <v>52.15</v>
      </c>
      <c r="D43" s="64">
        <v>79.3</v>
      </c>
      <c r="E43" s="64">
        <v>7.13</v>
      </c>
      <c r="F43" s="64">
        <v>2.13</v>
      </c>
      <c r="G43" s="64">
        <v>115.9</v>
      </c>
      <c r="H43" s="64">
        <v>56.15</v>
      </c>
      <c r="I43" s="210" t="s">
        <v>43</v>
      </c>
      <c r="J43" s="64">
        <v>0.55000000000000004</v>
      </c>
      <c r="K43" s="64">
        <v>86.2</v>
      </c>
      <c r="L43" s="64">
        <v>20.98</v>
      </c>
      <c r="M43" s="64">
        <v>26.93</v>
      </c>
      <c r="N43" s="64">
        <v>457.3</v>
      </c>
      <c r="O43" s="64">
        <v>0</v>
      </c>
      <c r="P43" s="64">
        <v>0.93</v>
      </c>
      <c r="Q43" s="64">
        <v>9.8800000000000008</v>
      </c>
      <c r="R43" s="198"/>
      <c r="S43" s="198"/>
      <c r="T43" s="198"/>
      <c r="U43" s="198"/>
    </row>
    <row r="44" spans="1:21" s="12" customFormat="1" x14ac:dyDescent="0.25">
      <c r="A44" s="213" t="s">
        <v>1047</v>
      </c>
      <c r="B44" s="64">
        <v>64.02</v>
      </c>
      <c r="C44" s="64">
        <v>49.87</v>
      </c>
      <c r="D44" s="64">
        <v>76.02</v>
      </c>
      <c r="E44" s="64">
        <v>6.69</v>
      </c>
      <c r="F44" s="64">
        <v>2.13</v>
      </c>
      <c r="G44" s="64">
        <v>114.88</v>
      </c>
      <c r="H44" s="64">
        <v>56.93</v>
      </c>
      <c r="I44" s="210" t="s">
        <v>43</v>
      </c>
      <c r="J44" s="64">
        <v>1.69</v>
      </c>
      <c r="K44" s="64">
        <v>97.67</v>
      </c>
      <c r="L44" s="64">
        <v>20.62</v>
      </c>
      <c r="M44" s="64">
        <v>24.66</v>
      </c>
      <c r="N44" s="64">
        <v>508.2</v>
      </c>
      <c r="O44" s="64">
        <v>0</v>
      </c>
      <c r="P44" s="64">
        <v>0.92</v>
      </c>
      <c r="Q44" s="64">
        <v>9.8800000000000008</v>
      </c>
      <c r="R44" s="198"/>
      <c r="S44" s="198"/>
      <c r="T44" s="198"/>
      <c r="U44" s="198"/>
    </row>
    <row r="45" spans="1:21" s="12" customFormat="1" x14ac:dyDescent="0.25">
      <c r="A45" s="213" t="s">
        <v>1048</v>
      </c>
      <c r="B45" s="64">
        <v>60.75</v>
      </c>
      <c r="C45" s="64">
        <v>50.78</v>
      </c>
      <c r="D45" s="64">
        <v>73.87</v>
      </c>
      <c r="E45" s="64">
        <v>6.25</v>
      </c>
      <c r="F45" s="64">
        <v>2.13</v>
      </c>
      <c r="G45" s="64">
        <v>106.73</v>
      </c>
      <c r="H45" s="64">
        <v>63.98</v>
      </c>
      <c r="I45" s="210" t="s">
        <v>43</v>
      </c>
      <c r="J45" s="64">
        <v>1.83</v>
      </c>
      <c r="K45" s="64">
        <v>109.56</v>
      </c>
      <c r="L45" s="64">
        <v>20.16</v>
      </c>
      <c r="M45" s="64">
        <v>26.6</v>
      </c>
      <c r="N45" s="64">
        <v>545.6</v>
      </c>
      <c r="O45" s="64">
        <v>0</v>
      </c>
      <c r="P45" s="64">
        <v>0.9</v>
      </c>
      <c r="Q45" s="64">
        <v>9.8800000000000008</v>
      </c>
      <c r="R45" s="198"/>
      <c r="S45" s="198"/>
      <c r="T45" s="198"/>
      <c r="U45" s="198"/>
    </row>
    <row r="46" spans="1:21" s="12" customFormat="1" x14ac:dyDescent="0.25">
      <c r="A46" s="213" t="s">
        <v>1049</v>
      </c>
      <c r="B46" s="64">
        <v>56.79</v>
      </c>
      <c r="C46" s="64">
        <v>51.94</v>
      </c>
      <c r="D46" s="64">
        <v>71.3</v>
      </c>
      <c r="E46" s="64">
        <v>6.58</v>
      </c>
      <c r="F46" s="64">
        <v>2.13</v>
      </c>
      <c r="G46" s="64">
        <v>106.73</v>
      </c>
      <c r="H46" s="64">
        <v>63.98</v>
      </c>
      <c r="I46" s="210" t="s">
        <v>43</v>
      </c>
      <c r="J46" s="64">
        <v>0.71</v>
      </c>
      <c r="K46" s="64">
        <v>77.31</v>
      </c>
      <c r="L46" s="64">
        <v>22.23</v>
      </c>
      <c r="M46" s="64">
        <v>24.33</v>
      </c>
      <c r="N46" s="64">
        <v>567.4</v>
      </c>
      <c r="O46" s="64">
        <v>0</v>
      </c>
      <c r="P46" s="64">
        <v>0.89</v>
      </c>
      <c r="Q46" s="64">
        <v>9.85</v>
      </c>
      <c r="R46" s="198"/>
      <c r="S46" s="198"/>
      <c r="T46" s="198"/>
      <c r="U46" s="198"/>
    </row>
    <row r="47" spans="1:21" s="12" customFormat="1" x14ac:dyDescent="0.25">
      <c r="A47" s="213" t="s">
        <v>1050</v>
      </c>
      <c r="B47" s="64">
        <v>53.1</v>
      </c>
      <c r="C47" s="64">
        <v>52.95</v>
      </c>
      <c r="D47" s="64">
        <v>68.87</v>
      </c>
      <c r="E47" s="64">
        <v>5.73</v>
      </c>
      <c r="F47" s="64">
        <v>2.13</v>
      </c>
      <c r="G47" s="64">
        <v>106.73</v>
      </c>
      <c r="H47" s="64">
        <v>63.98</v>
      </c>
      <c r="I47" s="210" t="s">
        <v>43</v>
      </c>
      <c r="J47" s="64">
        <v>0.55000000000000004</v>
      </c>
      <c r="K47" s="64">
        <v>43.87</v>
      </c>
      <c r="L47" s="64">
        <v>23.97</v>
      </c>
      <c r="M47" s="64">
        <v>22.64</v>
      </c>
      <c r="N47" s="64">
        <v>594.1</v>
      </c>
      <c r="O47" s="64">
        <v>0</v>
      </c>
      <c r="P47" s="64">
        <v>0.87</v>
      </c>
      <c r="Q47" s="64">
        <v>9.82</v>
      </c>
      <c r="R47" s="198"/>
      <c r="S47" s="198"/>
      <c r="T47" s="198"/>
      <c r="U47" s="198"/>
    </row>
    <row r="48" spans="1:21" s="12" customFormat="1" x14ac:dyDescent="0.25">
      <c r="A48" s="213" t="s">
        <v>1051</v>
      </c>
      <c r="B48" s="64">
        <v>49.77</v>
      </c>
      <c r="C48" s="64">
        <v>53.98</v>
      </c>
      <c r="D48" s="64">
        <v>66.73</v>
      </c>
      <c r="E48" s="64">
        <v>6.27</v>
      </c>
      <c r="F48" s="64">
        <v>2.13</v>
      </c>
      <c r="G48" s="64">
        <v>104.05</v>
      </c>
      <c r="H48" s="64">
        <v>61.73</v>
      </c>
      <c r="I48" s="210" t="s">
        <v>43</v>
      </c>
      <c r="J48" s="64">
        <v>1.53</v>
      </c>
      <c r="K48" s="64">
        <v>114.6</v>
      </c>
      <c r="L48" s="64">
        <v>22.86</v>
      </c>
      <c r="M48" s="64">
        <v>24.29</v>
      </c>
      <c r="N48" s="64">
        <v>621.20000000000005</v>
      </c>
      <c r="O48" s="64">
        <v>0</v>
      </c>
      <c r="P48" s="64">
        <v>0.86</v>
      </c>
      <c r="Q48" s="64">
        <v>9.8000000000000007</v>
      </c>
      <c r="R48" s="198"/>
      <c r="S48" s="198"/>
      <c r="T48" s="198"/>
      <c r="U48" s="198"/>
    </row>
    <row r="49" spans="1:21" s="12" customFormat="1" x14ac:dyDescent="0.25">
      <c r="A49" s="213" t="s">
        <v>1052</v>
      </c>
      <c r="B49" s="64">
        <v>46.24</v>
      </c>
      <c r="C49" s="64">
        <v>54.61</v>
      </c>
      <c r="D49" s="64">
        <v>64.23</v>
      </c>
      <c r="E49" s="64">
        <v>6.14</v>
      </c>
      <c r="F49" s="64">
        <v>2.13</v>
      </c>
      <c r="G49" s="64">
        <v>82.55</v>
      </c>
      <c r="H49" s="64">
        <v>43.74</v>
      </c>
      <c r="I49" s="210" t="s">
        <v>43</v>
      </c>
      <c r="J49" s="64">
        <v>0.76</v>
      </c>
      <c r="K49" s="64">
        <v>53.66</v>
      </c>
      <c r="L49" s="64">
        <v>23.65</v>
      </c>
      <c r="M49" s="64">
        <v>22.81</v>
      </c>
      <c r="N49" s="64">
        <v>629.5</v>
      </c>
      <c r="O49" s="64">
        <v>0</v>
      </c>
      <c r="P49" s="64">
        <v>0.84</v>
      </c>
      <c r="Q49" s="64">
        <v>9.77</v>
      </c>
      <c r="R49" s="198"/>
      <c r="S49" s="198"/>
      <c r="T49" s="198"/>
      <c r="U49" s="198"/>
    </row>
    <row r="50" spans="1:21" s="12" customFormat="1" x14ac:dyDescent="0.25">
      <c r="A50" s="213" t="s">
        <v>1053</v>
      </c>
      <c r="B50" s="64">
        <v>42.67</v>
      </c>
      <c r="C50" s="64">
        <v>55.25</v>
      </c>
      <c r="D50" s="64">
        <v>61.71</v>
      </c>
      <c r="E50" s="64">
        <v>5.89</v>
      </c>
      <c r="F50" s="64">
        <v>2.13</v>
      </c>
      <c r="G50" s="64">
        <v>82.55</v>
      </c>
      <c r="H50" s="64">
        <v>43.74</v>
      </c>
      <c r="I50" s="210" t="s">
        <v>43</v>
      </c>
      <c r="J50" s="64">
        <v>1.21</v>
      </c>
      <c r="K50" s="64">
        <v>102.61</v>
      </c>
      <c r="L50" s="64">
        <v>24.8</v>
      </c>
      <c r="M50" s="64">
        <v>20.98</v>
      </c>
      <c r="N50" s="64">
        <v>634.1</v>
      </c>
      <c r="O50" s="64">
        <v>0</v>
      </c>
      <c r="P50" s="64">
        <v>0.83</v>
      </c>
      <c r="Q50" s="64">
        <v>9.75</v>
      </c>
      <c r="R50" s="198"/>
      <c r="S50" s="198"/>
      <c r="T50" s="198"/>
      <c r="U50" s="198"/>
    </row>
    <row r="51" spans="1:21" s="12" customFormat="1" x14ac:dyDescent="0.25">
      <c r="A51" s="213" t="s">
        <v>1054</v>
      </c>
      <c r="B51" s="64">
        <v>38.99</v>
      </c>
      <c r="C51" s="64">
        <v>56.8</v>
      </c>
      <c r="D51" s="64">
        <v>59.57</v>
      </c>
      <c r="E51" s="64">
        <v>5.76</v>
      </c>
      <c r="F51" s="64">
        <v>2.13</v>
      </c>
      <c r="G51" s="64">
        <v>82.55</v>
      </c>
      <c r="H51" s="64">
        <v>43.74</v>
      </c>
      <c r="I51" s="210" t="s">
        <v>43</v>
      </c>
      <c r="J51" s="64">
        <v>0.83</v>
      </c>
      <c r="K51" s="64">
        <v>97.02</v>
      </c>
      <c r="L51" s="64">
        <v>24.44</v>
      </c>
      <c r="M51" s="64">
        <v>20.89</v>
      </c>
      <c r="N51" s="64">
        <v>636.9</v>
      </c>
      <c r="O51" s="64">
        <v>0</v>
      </c>
      <c r="P51" s="64">
        <v>0.81</v>
      </c>
      <c r="Q51" s="64">
        <v>9.74</v>
      </c>
      <c r="R51" s="198"/>
      <c r="S51" s="198"/>
      <c r="T51" s="198"/>
      <c r="U51" s="198"/>
    </row>
    <row r="52" spans="1:21" s="12" customFormat="1" x14ac:dyDescent="0.25">
      <c r="A52" s="213" t="s">
        <v>1055</v>
      </c>
      <c r="B52" s="64">
        <v>35.770000000000003</v>
      </c>
      <c r="C52" s="64">
        <v>58.12</v>
      </c>
      <c r="D52" s="64">
        <v>57.67</v>
      </c>
      <c r="E52" s="64">
        <v>5.82</v>
      </c>
      <c r="F52" s="64">
        <v>2.13</v>
      </c>
      <c r="G52" s="64">
        <v>82.04</v>
      </c>
      <c r="H52" s="64">
        <v>43.22</v>
      </c>
      <c r="I52" s="210" t="s">
        <v>43</v>
      </c>
      <c r="J52" s="64">
        <v>0.69</v>
      </c>
      <c r="K52" s="64">
        <v>40.94</v>
      </c>
      <c r="L52" s="64">
        <v>26.31</v>
      </c>
      <c r="M52" s="64">
        <v>18.73</v>
      </c>
      <c r="N52" s="64">
        <v>626.5</v>
      </c>
      <c r="O52" s="64">
        <v>0</v>
      </c>
      <c r="P52" s="64">
        <v>0.79</v>
      </c>
      <c r="Q52" s="64">
        <v>9.7100000000000009</v>
      </c>
      <c r="R52" s="198"/>
      <c r="S52" s="198"/>
      <c r="T52" s="198"/>
      <c r="U52" s="198"/>
    </row>
    <row r="53" spans="1:21" s="12" customFormat="1" x14ac:dyDescent="0.25">
      <c r="A53" s="213" t="s">
        <v>1056</v>
      </c>
      <c r="B53" s="64">
        <v>33.17</v>
      </c>
      <c r="C53" s="64">
        <v>58.39</v>
      </c>
      <c r="D53" s="64">
        <v>55.73</v>
      </c>
      <c r="E53" s="64">
        <v>5.59</v>
      </c>
      <c r="F53" s="64">
        <v>2.13</v>
      </c>
      <c r="G53" s="64">
        <v>77.459999999999994</v>
      </c>
      <c r="H53" s="64">
        <v>38.57</v>
      </c>
      <c r="I53" s="210" t="s">
        <v>43</v>
      </c>
      <c r="J53" s="64">
        <v>1.08</v>
      </c>
      <c r="K53" s="64">
        <v>357.31</v>
      </c>
      <c r="L53" s="64">
        <v>28.48</v>
      </c>
      <c r="M53" s="64">
        <v>15.95</v>
      </c>
      <c r="N53" s="64">
        <v>613.79999999999995</v>
      </c>
      <c r="O53" s="64">
        <v>0</v>
      </c>
      <c r="P53" s="64">
        <v>0.78</v>
      </c>
      <c r="Q53" s="64">
        <v>9.7100000000000009</v>
      </c>
      <c r="R53" s="198"/>
      <c r="S53" s="198"/>
      <c r="T53" s="198"/>
      <c r="U53" s="198"/>
    </row>
    <row r="54" spans="1:21" s="12" customFormat="1" x14ac:dyDescent="0.25">
      <c r="A54" s="213" t="s">
        <v>1057</v>
      </c>
      <c r="B54" s="64">
        <v>30.95</v>
      </c>
      <c r="C54" s="64">
        <v>58.84</v>
      </c>
      <c r="D54" s="64">
        <v>54.18</v>
      </c>
      <c r="E54" s="64">
        <v>5.53</v>
      </c>
      <c r="F54" s="64">
        <v>2.13</v>
      </c>
      <c r="G54" s="64">
        <v>77.459999999999994</v>
      </c>
      <c r="H54" s="64">
        <v>38.57</v>
      </c>
      <c r="I54" s="210" t="s">
        <v>43</v>
      </c>
      <c r="J54" s="64">
        <v>0.68</v>
      </c>
      <c r="K54" s="64">
        <v>41.91</v>
      </c>
      <c r="L54" s="64">
        <v>29.21</v>
      </c>
      <c r="M54" s="64">
        <v>13.72</v>
      </c>
      <c r="N54" s="64">
        <v>620.6</v>
      </c>
      <c r="O54" s="64">
        <v>0</v>
      </c>
      <c r="P54" s="64">
        <v>0.77</v>
      </c>
      <c r="Q54" s="64">
        <v>9.7200000000000006</v>
      </c>
      <c r="R54" s="198"/>
      <c r="S54" s="198"/>
      <c r="T54" s="198"/>
      <c r="U54" s="198"/>
    </row>
    <row r="55" spans="1:21" s="12" customFormat="1" x14ac:dyDescent="0.25">
      <c r="A55" s="213" t="s">
        <v>1058</v>
      </c>
      <c r="B55" s="64">
        <v>28.54</v>
      </c>
      <c r="C55" s="64">
        <v>58.69</v>
      </c>
      <c r="D55" s="64">
        <v>52.17</v>
      </c>
      <c r="E55" s="64">
        <v>5.36</v>
      </c>
      <c r="F55" s="64">
        <v>2.13</v>
      </c>
      <c r="G55" s="64">
        <v>77.459999999999994</v>
      </c>
      <c r="H55" s="64">
        <v>38.57</v>
      </c>
      <c r="I55" s="210" t="s">
        <v>43</v>
      </c>
      <c r="J55" s="64">
        <v>1.1599999999999999</v>
      </c>
      <c r="K55" s="64">
        <v>117.7</v>
      </c>
      <c r="L55" s="64">
        <v>26.48</v>
      </c>
      <c r="M55" s="64">
        <v>15.1</v>
      </c>
      <c r="N55" s="64">
        <v>628.1</v>
      </c>
      <c r="O55" s="64">
        <v>0</v>
      </c>
      <c r="P55" s="64">
        <v>0.75</v>
      </c>
      <c r="Q55" s="64">
        <v>9.6999999999999993</v>
      </c>
      <c r="R55" s="198"/>
      <c r="S55" s="198"/>
      <c r="T55" s="198"/>
      <c r="U55" s="198"/>
    </row>
    <row r="56" spans="1:21" s="12" customFormat="1" x14ac:dyDescent="0.25">
      <c r="A56" s="213" t="s">
        <v>1059</v>
      </c>
      <c r="B56" s="64">
        <v>25.72</v>
      </c>
      <c r="C56" s="64">
        <v>58.42</v>
      </c>
      <c r="D56" s="64">
        <v>49.77</v>
      </c>
      <c r="E56" s="64">
        <v>4.79</v>
      </c>
      <c r="F56" s="64">
        <v>2.13</v>
      </c>
      <c r="G56" s="64">
        <v>76.61</v>
      </c>
      <c r="H56" s="64">
        <v>39.049999999999997</v>
      </c>
      <c r="I56" s="210" t="s">
        <v>43</v>
      </c>
      <c r="J56" s="64">
        <v>0.82</v>
      </c>
      <c r="K56" s="64">
        <v>339.82</v>
      </c>
      <c r="L56" s="64">
        <v>28.95</v>
      </c>
      <c r="M56" s="64">
        <v>13.48</v>
      </c>
      <c r="N56" s="64">
        <v>619</v>
      </c>
      <c r="O56" s="64">
        <v>0</v>
      </c>
      <c r="P56" s="64">
        <v>0.73</v>
      </c>
      <c r="Q56" s="64">
        <v>9.6999999999999993</v>
      </c>
      <c r="R56" s="198"/>
      <c r="S56" s="198"/>
      <c r="T56" s="198"/>
      <c r="U56" s="198"/>
    </row>
    <row r="57" spans="1:21" s="12" customFormat="1" x14ac:dyDescent="0.25">
      <c r="A57" s="213" t="s">
        <v>1060</v>
      </c>
      <c r="B57" s="64">
        <v>23.42</v>
      </c>
      <c r="C57" s="64">
        <v>58.25</v>
      </c>
      <c r="D57" s="64">
        <v>47.83</v>
      </c>
      <c r="E57" s="64">
        <v>5.22</v>
      </c>
      <c r="F57" s="64">
        <v>2.13</v>
      </c>
      <c r="G57" s="64">
        <v>68.930000000000007</v>
      </c>
      <c r="H57" s="64">
        <v>43.38</v>
      </c>
      <c r="I57" s="210" t="s">
        <v>43</v>
      </c>
      <c r="J57" s="64">
        <v>0.62</v>
      </c>
      <c r="K57" s="64">
        <v>77.900000000000006</v>
      </c>
      <c r="L57" s="64">
        <v>28.7</v>
      </c>
      <c r="M57" s="64">
        <v>11.63</v>
      </c>
      <c r="N57" s="64">
        <v>620.1</v>
      </c>
      <c r="O57" s="64">
        <v>0</v>
      </c>
      <c r="P57" s="64">
        <v>0.71</v>
      </c>
      <c r="Q57" s="64">
        <v>9.69</v>
      </c>
      <c r="R57" s="198"/>
      <c r="S57" s="198"/>
      <c r="T57" s="198"/>
      <c r="U57" s="198"/>
    </row>
    <row r="58" spans="1:21" s="12" customFormat="1" x14ac:dyDescent="0.25">
      <c r="A58" s="213" t="s">
        <v>1061</v>
      </c>
      <c r="B58" s="64">
        <v>21.27</v>
      </c>
      <c r="C58" s="64">
        <v>57.66</v>
      </c>
      <c r="D58" s="64">
        <v>45.81</v>
      </c>
      <c r="E58" s="64">
        <v>5.07</v>
      </c>
      <c r="F58" s="64">
        <v>2.13</v>
      </c>
      <c r="G58" s="64">
        <v>68.930000000000007</v>
      </c>
      <c r="H58" s="64">
        <v>43.38</v>
      </c>
      <c r="I58" s="210" t="s">
        <v>43</v>
      </c>
      <c r="J58" s="64">
        <v>1.1200000000000001</v>
      </c>
      <c r="K58" s="64">
        <v>95.15</v>
      </c>
      <c r="L58" s="64">
        <v>26.84</v>
      </c>
      <c r="M58" s="64">
        <v>12.95</v>
      </c>
      <c r="N58" s="64">
        <v>627.4</v>
      </c>
      <c r="O58" s="64">
        <v>0</v>
      </c>
      <c r="P58" s="64">
        <v>0.68</v>
      </c>
      <c r="Q58" s="64">
        <v>9.67</v>
      </c>
      <c r="R58" s="198"/>
      <c r="S58" s="198"/>
      <c r="T58" s="198"/>
      <c r="U58" s="198"/>
    </row>
    <row r="59" spans="1:21" s="12" customFormat="1" x14ac:dyDescent="0.25">
      <c r="A59" s="213" t="s">
        <v>1062</v>
      </c>
      <c r="B59" s="64">
        <v>18.809999999999999</v>
      </c>
      <c r="C59" s="64">
        <v>56.77</v>
      </c>
      <c r="D59" s="64">
        <v>43.36</v>
      </c>
      <c r="E59" s="64">
        <v>4.6100000000000003</v>
      </c>
      <c r="F59" s="64">
        <v>2.13</v>
      </c>
      <c r="G59" s="64">
        <v>68.930000000000007</v>
      </c>
      <c r="H59" s="64">
        <v>43.38</v>
      </c>
      <c r="I59" s="210" t="s">
        <v>43</v>
      </c>
      <c r="J59" s="64">
        <v>0.6</v>
      </c>
      <c r="K59" s="64">
        <v>79.27</v>
      </c>
      <c r="L59" s="64">
        <v>27.58</v>
      </c>
      <c r="M59" s="64">
        <v>11.44</v>
      </c>
      <c r="N59" s="64">
        <v>624.29999999999995</v>
      </c>
      <c r="O59" s="64">
        <v>0</v>
      </c>
      <c r="P59" s="64">
        <v>0.65</v>
      </c>
      <c r="Q59" s="64">
        <v>9.67</v>
      </c>
      <c r="R59" s="198"/>
      <c r="S59" s="198"/>
      <c r="T59" s="198"/>
      <c r="U59" s="198"/>
    </row>
    <row r="60" spans="1:21" s="12" customFormat="1" x14ac:dyDescent="0.25">
      <c r="A60" s="213" t="s">
        <v>1063</v>
      </c>
      <c r="B60" s="64">
        <v>16.89</v>
      </c>
      <c r="C60" s="64">
        <v>56.11</v>
      </c>
      <c r="D60" s="64">
        <v>41.48</v>
      </c>
      <c r="E60" s="64">
        <v>4.6900000000000004</v>
      </c>
      <c r="F60" s="64">
        <v>2.13</v>
      </c>
      <c r="G60" s="64">
        <v>67.19</v>
      </c>
      <c r="H60" s="64">
        <v>42.71</v>
      </c>
      <c r="I60" s="210" t="s">
        <v>43</v>
      </c>
      <c r="J60" s="64">
        <v>0.6</v>
      </c>
      <c r="K60" s="64">
        <v>72.58</v>
      </c>
      <c r="L60" s="64">
        <v>29.4</v>
      </c>
      <c r="M60" s="64">
        <v>9.7799999999999994</v>
      </c>
      <c r="N60" s="64">
        <v>618.4</v>
      </c>
      <c r="O60" s="64">
        <v>0</v>
      </c>
      <c r="P60" s="64">
        <v>0.64</v>
      </c>
      <c r="Q60" s="64">
        <v>9.67</v>
      </c>
      <c r="R60" s="198"/>
      <c r="S60" s="198"/>
      <c r="T60" s="198"/>
      <c r="U60" s="198"/>
    </row>
    <row r="61" spans="1:21" s="12" customFormat="1" x14ac:dyDescent="0.25">
      <c r="A61" s="213" t="s">
        <v>1064</v>
      </c>
      <c r="B61" s="64">
        <v>15.48</v>
      </c>
      <c r="C61" s="64">
        <v>54.91</v>
      </c>
      <c r="D61" s="64">
        <v>39.729999999999997</v>
      </c>
      <c r="E61" s="64">
        <v>4.32</v>
      </c>
      <c r="F61" s="64">
        <v>2.13</v>
      </c>
      <c r="G61" s="64">
        <v>53.34</v>
      </c>
      <c r="H61" s="64">
        <v>36.72</v>
      </c>
      <c r="I61" s="210" t="s">
        <v>43</v>
      </c>
      <c r="J61" s="64">
        <v>0.99</v>
      </c>
      <c r="K61" s="64">
        <v>353.25</v>
      </c>
      <c r="L61" s="64">
        <v>29.44</v>
      </c>
      <c r="M61" s="64">
        <v>10.69</v>
      </c>
      <c r="N61" s="64">
        <v>601.79999999999995</v>
      </c>
      <c r="O61" s="64">
        <v>0</v>
      </c>
      <c r="P61" s="64">
        <v>0.55000000000000004</v>
      </c>
      <c r="Q61" s="64">
        <v>9.65</v>
      </c>
      <c r="R61" s="198"/>
      <c r="S61" s="198"/>
      <c r="T61" s="198"/>
      <c r="U61" s="198"/>
    </row>
    <row r="62" spans="1:21" s="12" customFormat="1" x14ac:dyDescent="0.25">
      <c r="A62" s="213" t="s">
        <v>1065</v>
      </c>
      <c r="B62" s="64">
        <v>14.42</v>
      </c>
      <c r="C62" s="64">
        <v>53.8</v>
      </c>
      <c r="D62" s="64">
        <v>38.29</v>
      </c>
      <c r="E62" s="64">
        <v>4.8499999999999996</v>
      </c>
      <c r="F62" s="64">
        <v>2.13</v>
      </c>
      <c r="G62" s="64">
        <v>53.34</v>
      </c>
      <c r="H62" s="64">
        <v>36.72</v>
      </c>
      <c r="I62" s="210" t="s">
        <v>43</v>
      </c>
      <c r="J62" s="64">
        <v>0.15</v>
      </c>
      <c r="K62" s="64">
        <v>45.15</v>
      </c>
      <c r="L62" s="64">
        <v>31.15</v>
      </c>
      <c r="M62" s="64">
        <v>9.1199999999999992</v>
      </c>
      <c r="N62" s="64">
        <v>597.20000000000005</v>
      </c>
      <c r="O62" s="64">
        <v>0</v>
      </c>
      <c r="P62" s="64">
        <v>0.56999999999999995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3" t="s">
        <v>1066</v>
      </c>
      <c r="B63" s="64">
        <v>13.43</v>
      </c>
      <c r="C63" s="64">
        <v>53.08</v>
      </c>
      <c r="D63" s="64">
        <v>37.130000000000003</v>
      </c>
      <c r="E63" s="64">
        <v>4.2</v>
      </c>
      <c r="F63" s="64">
        <v>2.13</v>
      </c>
      <c r="G63" s="64">
        <v>53.34</v>
      </c>
      <c r="H63" s="64">
        <v>36.72</v>
      </c>
      <c r="I63" s="210" t="s">
        <v>43</v>
      </c>
      <c r="J63" s="64">
        <v>0.72</v>
      </c>
      <c r="K63" s="64">
        <v>58.88</v>
      </c>
      <c r="L63" s="64">
        <v>27.9</v>
      </c>
      <c r="M63" s="64">
        <v>9.84</v>
      </c>
      <c r="N63" s="64">
        <v>552.4</v>
      </c>
      <c r="O63" s="64">
        <v>0</v>
      </c>
      <c r="P63" s="64">
        <v>0.53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3" t="s">
        <v>1067</v>
      </c>
      <c r="B64" s="64">
        <v>12.22</v>
      </c>
      <c r="C64" s="64">
        <v>52.18</v>
      </c>
      <c r="D64" s="64">
        <v>35.68</v>
      </c>
      <c r="E64" s="64">
        <v>4.24</v>
      </c>
      <c r="F64" s="64">
        <v>2.13</v>
      </c>
      <c r="G64" s="64">
        <v>51.81</v>
      </c>
      <c r="H64" s="64">
        <v>36.42</v>
      </c>
      <c r="I64" s="210" t="s">
        <v>43</v>
      </c>
      <c r="J64" s="64">
        <v>0.44</v>
      </c>
      <c r="K64" s="64">
        <v>48.75</v>
      </c>
      <c r="L64" s="64">
        <v>29.1</v>
      </c>
      <c r="M64" s="64">
        <v>9.43</v>
      </c>
      <c r="N64" s="64">
        <v>549.1</v>
      </c>
      <c r="O64" s="64">
        <v>0</v>
      </c>
      <c r="P64" s="64">
        <v>0.52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3" t="s">
        <v>1068</v>
      </c>
      <c r="B65" s="64">
        <v>11.51</v>
      </c>
      <c r="C65" s="64">
        <v>51.31</v>
      </c>
      <c r="D65" s="64">
        <v>34.659999999999997</v>
      </c>
      <c r="E65" s="64">
        <v>4.09</v>
      </c>
      <c r="F65" s="64">
        <v>2.13</v>
      </c>
      <c r="G65" s="64">
        <v>39.53</v>
      </c>
      <c r="H65" s="64">
        <v>33.799999999999997</v>
      </c>
      <c r="I65" s="210" t="s">
        <v>43</v>
      </c>
      <c r="J65" s="64">
        <v>0.68</v>
      </c>
      <c r="K65" s="64">
        <v>107.86</v>
      </c>
      <c r="L65" s="64">
        <v>29.37</v>
      </c>
      <c r="M65" s="64">
        <v>9.4</v>
      </c>
      <c r="N65" s="64">
        <v>488.9</v>
      </c>
      <c r="O65" s="64">
        <v>0</v>
      </c>
      <c r="P65" s="64">
        <v>0.48</v>
      </c>
      <c r="Q65" s="64">
        <v>9.58</v>
      </c>
      <c r="R65" s="198"/>
      <c r="S65" s="198"/>
      <c r="T65" s="198"/>
      <c r="U65" s="198"/>
    </row>
    <row r="66" spans="1:21" s="12" customFormat="1" x14ac:dyDescent="0.25">
      <c r="A66" s="213" t="s">
        <v>1069</v>
      </c>
      <c r="B66" s="64">
        <v>10.75</v>
      </c>
      <c r="C66" s="64">
        <v>50.21</v>
      </c>
      <c r="D66" s="64">
        <v>33.479999999999997</v>
      </c>
      <c r="E66" s="64">
        <v>4.21</v>
      </c>
      <c r="F66" s="64">
        <v>2.13</v>
      </c>
      <c r="G66" s="64">
        <v>39.53</v>
      </c>
      <c r="H66" s="64">
        <v>33.799999999999997</v>
      </c>
      <c r="I66" s="210" t="s">
        <v>43</v>
      </c>
      <c r="J66" s="64">
        <v>1.07</v>
      </c>
      <c r="K66" s="64">
        <v>145.18</v>
      </c>
      <c r="L66" s="64">
        <v>27.38</v>
      </c>
      <c r="M66" s="64">
        <v>10.56</v>
      </c>
      <c r="N66" s="64">
        <v>392.1</v>
      </c>
      <c r="O66" s="64">
        <v>0</v>
      </c>
      <c r="P66" s="64">
        <v>0.51</v>
      </c>
      <c r="Q66" s="64">
        <v>9.57</v>
      </c>
      <c r="R66" s="198"/>
      <c r="S66" s="198"/>
      <c r="T66" s="198"/>
      <c r="U66" s="198"/>
    </row>
    <row r="67" spans="1:21" s="12" customFormat="1" x14ac:dyDescent="0.25">
      <c r="A67" s="213" t="s">
        <v>1070</v>
      </c>
      <c r="B67" s="64">
        <v>9.7200000000000006</v>
      </c>
      <c r="C67" s="64">
        <v>49.56</v>
      </c>
      <c r="D67" s="64">
        <v>32.31</v>
      </c>
      <c r="E67" s="64">
        <v>4.25</v>
      </c>
      <c r="F67" s="64">
        <v>2.13</v>
      </c>
      <c r="G67" s="64">
        <v>39.53</v>
      </c>
      <c r="H67" s="64">
        <v>33.799999999999997</v>
      </c>
      <c r="I67" s="210" t="s">
        <v>43</v>
      </c>
      <c r="J67" s="64">
        <v>1.3</v>
      </c>
      <c r="K67" s="64">
        <v>160.83000000000001</v>
      </c>
      <c r="L67" s="64">
        <v>27</v>
      </c>
      <c r="M67" s="64">
        <v>10.81</v>
      </c>
      <c r="N67" s="64">
        <v>297.39999999999998</v>
      </c>
      <c r="O67" s="64">
        <v>0</v>
      </c>
      <c r="P67" s="64">
        <v>0.5</v>
      </c>
      <c r="Q67" s="64">
        <v>9.51</v>
      </c>
      <c r="R67" s="198"/>
      <c r="S67" s="198"/>
      <c r="T67" s="198"/>
      <c r="U67" s="198"/>
    </row>
    <row r="68" spans="1:21" s="12" customFormat="1" x14ac:dyDescent="0.25">
      <c r="A68" s="213" t="s">
        <v>1071</v>
      </c>
      <c r="B68" s="64">
        <v>8.69</v>
      </c>
      <c r="C68" s="64">
        <v>48.94</v>
      </c>
      <c r="D68" s="64">
        <v>31.16</v>
      </c>
      <c r="E68" s="64">
        <v>4.45</v>
      </c>
      <c r="F68" s="64">
        <v>2.13</v>
      </c>
      <c r="G68" s="64">
        <v>39.270000000000003</v>
      </c>
      <c r="H68" s="64">
        <v>33.56</v>
      </c>
      <c r="I68" s="210" t="s">
        <v>43</v>
      </c>
      <c r="J68" s="64">
        <v>0.72</v>
      </c>
      <c r="K68" s="64">
        <v>112.41</v>
      </c>
      <c r="L68" s="64">
        <v>26.91</v>
      </c>
      <c r="M68" s="64">
        <v>11.56</v>
      </c>
      <c r="N68" s="64">
        <v>331.5</v>
      </c>
      <c r="O68" s="64">
        <v>0</v>
      </c>
      <c r="P68" s="64">
        <v>0.47</v>
      </c>
      <c r="Q68" s="64">
        <v>9.4600000000000009</v>
      </c>
      <c r="R68" s="198"/>
      <c r="S68" s="198"/>
      <c r="T68" s="198"/>
      <c r="U68" s="198"/>
    </row>
    <row r="69" spans="1:21" s="12" customFormat="1" x14ac:dyDescent="0.25">
      <c r="A69" s="213" t="s">
        <v>1072</v>
      </c>
      <c r="B69" s="64">
        <v>7.98</v>
      </c>
      <c r="C69" s="64">
        <v>49.23</v>
      </c>
      <c r="D69" s="64">
        <v>30.74</v>
      </c>
      <c r="E69" s="64">
        <v>4.5599999999999996</v>
      </c>
      <c r="F69" s="64">
        <v>2.13</v>
      </c>
      <c r="G69" s="64">
        <v>37.119999999999997</v>
      </c>
      <c r="H69" s="64">
        <v>31.83</v>
      </c>
      <c r="I69" s="210" t="s">
        <v>43</v>
      </c>
      <c r="J69" s="64">
        <v>0.59</v>
      </c>
      <c r="K69" s="64">
        <v>131.54</v>
      </c>
      <c r="L69" s="64">
        <v>27.81</v>
      </c>
      <c r="M69" s="64">
        <v>11.61</v>
      </c>
      <c r="N69" s="64">
        <v>338.9</v>
      </c>
      <c r="O69" s="64">
        <v>0</v>
      </c>
      <c r="P69" s="64">
        <v>0.52</v>
      </c>
      <c r="Q69" s="64">
        <v>9.42</v>
      </c>
      <c r="R69" s="198"/>
      <c r="S69" s="198"/>
      <c r="T69" s="198"/>
      <c r="U69" s="198"/>
    </row>
    <row r="70" spans="1:21" s="12" customFormat="1" x14ac:dyDescent="0.25">
      <c r="A70" s="213" t="s">
        <v>1073</v>
      </c>
      <c r="B70" s="64">
        <v>7.05</v>
      </c>
      <c r="C70" s="64">
        <v>49.13</v>
      </c>
      <c r="D70" s="64">
        <v>29.94</v>
      </c>
      <c r="E70" s="64">
        <v>4.8</v>
      </c>
      <c r="F70" s="64">
        <v>2.13</v>
      </c>
      <c r="G70" s="64">
        <v>37.119999999999997</v>
      </c>
      <c r="H70" s="64">
        <v>31.83</v>
      </c>
      <c r="I70" s="210" t="s">
        <v>43</v>
      </c>
      <c r="J70" s="64">
        <v>0.64</v>
      </c>
      <c r="K70" s="64">
        <v>163.49</v>
      </c>
      <c r="L70" s="64">
        <v>27.06</v>
      </c>
      <c r="M70" s="64">
        <v>11.73</v>
      </c>
      <c r="N70" s="64">
        <v>214.4</v>
      </c>
      <c r="O70" s="64">
        <v>0</v>
      </c>
      <c r="P70" s="64">
        <v>0.49</v>
      </c>
      <c r="Q70" s="64">
        <v>9.3800000000000008</v>
      </c>
      <c r="R70" s="198"/>
      <c r="S70" s="198"/>
      <c r="T70" s="198"/>
      <c r="U70" s="198"/>
    </row>
    <row r="71" spans="1:21" s="12" customFormat="1" x14ac:dyDescent="0.25">
      <c r="A71" s="213" t="s">
        <v>1074</v>
      </c>
      <c r="B71" s="64">
        <v>5.94</v>
      </c>
      <c r="C71" s="64">
        <v>48.78</v>
      </c>
      <c r="D71" s="64">
        <v>28.87</v>
      </c>
      <c r="E71" s="64">
        <v>4.3099999999999996</v>
      </c>
      <c r="F71" s="64">
        <v>2.13</v>
      </c>
      <c r="G71" s="64">
        <v>37.119999999999997</v>
      </c>
      <c r="H71" s="64">
        <v>31.83</v>
      </c>
      <c r="I71" s="210" t="s">
        <v>43</v>
      </c>
      <c r="J71" s="64">
        <v>0.91</v>
      </c>
      <c r="K71" s="64">
        <v>144.46</v>
      </c>
      <c r="L71" s="64">
        <v>26.41</v>
      </c>
      <c r="M71" s="64">
        <v>12.41</v>
      </c>
      <c r="N71" s="64">
        <v>148.80000000000001</v>
      </c>
      <c r="O71" s="64">
        <v>0</v>
      </c>
      <c r="P71" s="64">
        <v>0.47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13" t="s">
        <v>1075</v>
      </c>
      <c r="B72" s="64">
        <v>5.18</v>
      </c>
      <c r="C72" s="64">
        <v>48.25</v>
      </c>
      <c r="D72" s="64">
        <v>27.98</v>
      </c>
      <c r="E72" s="64">
        <v>5.32</v>
      </c>
      <c r="F72" s="64">
        <v>2.13</v>
      </c>
      <c r="G72" s="64">
        <v>37.1</v>
      </c>
      <c r="H72" s="64">
        <v>31.98</v>
      </c>
      <c r="I72" s="210" t="s">
        <v>43</v>
      </c>
      <c r="J72" s="64">
        <v>0.72</v>
      </c>
      <c r="K72" s="64">
        <v>127.36</v>
      </c>
      <c r="L72" s="64">
        <v>26.24</v>
      </c>
      <c r="M72" s="64">
        <v>13.03</v>
      </c>
      <c r="N72" s="64">
        <v>141.80000000000001</v>
      </c>
      <c r="O72" s="64">
        <v>0</v>
      </c>
      <c r="P72" s="64">
        <v>0.48</v>
      </c>
      <c r="Q72" s="64">
        <v>9.3000000000000007</v>
      </c>
      <c r="R72" s="198"/>
      <c r="S72" s="198"/>
      <c r="T72" s="198"/>
      <c r="U72" s="198"/>
    </row>
    <row r="73" spans="1:21" s="12" customFormat="1" x14ac:dyDescent="0.25">
      <c r="A73" s="213" t="s">
        <v>1076</v>
      </c>
      <c r="B73" s="64">
        <v>5.05</v>
      </c>
      <c r="C73" s="64">
        <v>48.58</v>
      </c>
      <c r="D73" s="64">
        <v>28.06</v>
      </c>
      <c r="E73" s="64">
        <v>5.9</v>
      </c>
      <c r="F73" s="64">
        <v>2.13</v>
      </c>
      <c r="G73" s="64">
        <v>36.9</v>
      </c>
      <c r="H73" s="64">
        <v>33.380000000000003</v>
      </c>
      <c r="I73" s="210" t="s">
        <v>43</v>
      </c>
      <c r="J73" s="64">
        <v>0.28999999999999998</v>
      </c>
      <c r="K73" s="64">
        <v>13.2</v>
      </c>
      <c r="L73" s="64">
        <v>26.42</v>
      </c>
      <c r="M73" s="64">
        <v>13.19</v>
      </c>
      <c r="N73" s="64">
        <v>120.5</v>
      </c>
      <c r="O73" s="64">
        <v>0</v>
      </c>
      <c r="P73" s="64">
        <v>0.51</v>
      </c>
      <c r="Q73" s="64">
        <v>9.27</v>
      </c>
      <c r="R73" s="198"/>
      <c r="S73" s="198"/>
      <c r="T73" s="198"/>
      <c r="U73" s="198"/>
    </row>
    <row r="74" spans="1:21" s="12" customFormat="1" x14ac:dyDescent="0.25">
      <c r="A74" s="213" t="s">
        <v>1077</v>
      </c>
      <c r="B74" s="64">
        <v>5.1100000000000003</v>
      </c>
      <c r="C74" s="64">
        <v>48.94</v>
      </c>
      <c r="D74" s="64">
        <v>28.29</v>
      </c>
      <c r="E74" s="64">
        <v>5.81</v>
      </c>
      <c r="F74" s="64">
        <v>2.13</v>
      </c>
      <c r="G74" s="64">
        <v>36.9</v>
      </c>
      <c r="H74" s="64">
        <v>33.380000000000003</v>
      </c>
      <c r="I74" s="210" t="s">
        <v>43</v>
      </c>
      <c r="J74" s="64">
        <v>0.7</v>
      </c>
      <c r="K74" s="64">
        <v>149.9</v>
      </c>
      <c r="L74" s="64">
        <v>25.86</v>
      </c>
      <c r="M74" s="64">
        <v>13.62</v>
      </c>
      <c r="N74" s="64">
        <v>114</v>
      </c>
      <c r="O74" s="64">
        <v>0</v>
      </c>
      <c r="P74" s="64">
        <v>0.48</v>
      </c>
      <c r="Q74" s="64">
        <v>9.27</v>
      </c>
      <c r="R74" s="198"/>
      <c r="S74" s="198"/>
      <c r="T74" s="198"/>
      <c r="U74" s="198"/>
    </row>
    <row r="75" spans="1:21" s="12" customFormat="1" x14ac:dyDescent="0.25">
      <c r="A75" s="213" t="s">
        <v>1078</v>
      </c>
      <c r="B75" s="64">
        <v>4.93</v>
      </c>
      <c r="C75" s="64">
        <v>48.86</v>
      </c>
      <c r="D75" s="64">
        <v>28.11</v>
      </c>
      <c r="E75" s="64">
        <v>5.82</v>
      </c>
      <c r="F75" s="64">
        <v>2.13</v>
      </c>
      <c r="G75" s="64">
        <v>36.9</v>
      </c>
      <c r="H75" s="64">
        <v>33.380000000000003</v>
      </c>
      <c r="I75" s="210" t="s">
        <v>43</v>
      </c>
      <c r="J75" s="64">
        <v>0.57999999999999996</v>
      </c>
      <c r="K75" s="64">
        <v>135.87</v>
      </c>
      <c r="L75" s="64">
        <v>25.96</v>
      </c>
      <c r="M75" s="64">
        <v>14.17</v>
      </c>
      <c r="N75" s="64">
        <v>107.5</v>
      </c>
      <c r="O75" s="64">
        <v>0</v>
      </c>
      <c r="P75" s="64">
        <v>0.47</v>
      </c>
      <c r="Q75" s="64">
        <v>9.27</v>
      </c>
      <c r="R75" s="198"/>
      <c r="S75" s="198"/>
      <c r="T75" s="198"/>
      <c r="U75" s="198"/>
    </row>
    <row r="76" spans="1:21" s="12" customFormat="1" x14ac:dyDescent="0.25">
      <c r="A76" s="213" t="s">
        <v>1079</v>
      </c>
      <c r="B76" s="64">
        <v>4.83</v>
      </c>
      <c r="C76" s="64">
        <v>48.75</v>
      </c>
      <c r="D76" s="64">
        <v>27.96</v>
      </c>
      <c r="E76" s="64">
        <v>5.83</v>
      </c>
      <c r="F76" s="64">
        <v>2.13</v>
      </c>
      <c r="G76" s="64">
        <v>37.64</v>
      </c>
      <c r="H76" s="64">
        <v>30.78</v>
      </c>
      <c r="I76" s="210" t="s">
        <v>43</v>
      </c>
      <c r="J76" s="64">
        <v>1.0900000000000001</v>
      </c>
      <c r="K76" s="64">
        <v>108.22</v>
      </c>
      <c r="L76" s="64">
        <v>25.49</v>
      </c>
      <c r="M76" s="64">
        <v>14.28</v>
      </c>
      <c r="N76" s="64">
        <v>102.2</v>
      </c>
      <c r="O76" s="64">
        <v>0</v>
      </c>
      <c r="P76" s="64">
        <v>0.46</v>
      </c>
      <c r="Q76" s="64">
        <v>9.27</v>
      </c>
      <c r="R76" s="198"/>
      <c r="S76" s="198"/>
      <c r="T76" s="198"/>
      <c r="U76" s="198"/>
    </row>
    <row r="77" spans="1:21" s="12" customFormat="1" x14ac:dyDescent="0.25">
      <c r="A77" s="213" t="s">
        <v>1080</v>
      </c>
      <c r="B77" s="64">
        <v>4.71</v>
      </c>
      <c r="C77" s="64">
        <v>48.31</v>
      </c>
      <c r="D77" s="64">
        <v>27.64</v>
      </c>
      <c r="E77" s="64">
        <v>5.76</v>
      </c>
      <c r="F77" s="64">
        <v>2.13</v>
      </c>
      <c r="G77" s="64">
        <v>43.52</v>
      </c>
      <c r="H77" s="64">
        <v>10.01</v>
      </c>
      <c r="I77" s="210" t="s">
        <v>43</v>
      </c>
      <c r="J77" s="64">
        <v>0.36</v>
      </c>
      <c r="K77" s="64">
        <v>191.72</v>
      </c>
      <c r="L77" s="64">
        <v>25.3</v>
      </c>
      <c r="M77" s="64">
        <v>14.84</v>
      </c>
      <c r="N77" s="64">
        <v>96.2</v>
      </c>
      <c r="O77" s="64">
        <v>0</v>
      </c>
      <c r="P77" s="64">
        <v>0.46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13" t="s">
        <v>1081</v>
      </c>
      <c r="B78" s="64">
        <v>4.88</v>
      </c>
      <c r="C78" s="64">
        <v>48.78</v>
      </c>
      <c r="D78" s="64">
        <v>28.02</v>
      </c>
      <c r="E78" s="64">
        <v>5.98</v>
      </c>
      <c r="F78" s="64">
        <v>2.13</v>
      </c>
      <c r="G78" s="64">
        <v>43.52</v>
      </c>
      <c r="H78" s="64">
        <v>10.01</v>
      </c>
      <c r="I78" s="210" t="s">
        <v>43</v>
      </c>
      <c r="J78" s="64">
        <v>0.63</v>
      </c>
      <c r="K78" s="64">
        <v>351.75</v>
      </c>
      <c r="L78" s="64">
        <v>24.6</v>
      </c>
      <c r="M78" s="64">
        <v>18.41</v>
      </c>
      <c r="N78" s="64">
        <v>89.8</v>
      </c>
      <c r="O78" s="64">
        <v>0</v>
      </c>
      <c r="P78" s="64">
        <v>0.76</v>
      </c>
      <c r="Q78" s="64">
        <v>9.2899999999999991</v>
      </c>
      <c r="R78" s="198"/>
      <c r="S78" s="198"/>
      <c r="T78" s="198"/>
      <c r="U78" s="198"/>
    </row>
    <row r="79" spans="1:21" s="12" customFormat="1" x14ac:dyDescent="0.25">
      <c r="A79" s="213" t="s">
        <v>1082</v>
      </c>
      <c r="B79" s="64">
        <v>5.92</v>
      </c>
      <c r="C79" s="64">
        <v>50.55</v>
      </c>
      <c r="D79" s="64">
        <v>29.78</v>
      </c>
      <c r="E79" s="64">
        <v>5.77</v>
      </c>
      <c r="F79" s="64">
        <v>2.13</v>
      </c>
      <c r="G79" s="64">
        <v>43.52</v>
      </c>
      <c r="H79" s="64">
        <v>10.01</v>
      </c>
      <c r="I79" s="210" t="s">
        <v>43</v>
      </c>
      <c r="J79" s="64">
        <v>0.44</v>
      </c>
      <c r="K79" s="64">
        <v>296.06</v>
      </c>
      <c r="L79" s="64">
        <v>23.57</v>
      </c>
      <c r="M79" s="64">
        <v>21.71</v>
      </c>
      <c r="N79" s="64">
        <v>82.5</v>
      </c>
      <c r="O79" s="64">
        <v>0</v>
      </c>
      <c r="P79" s="64">
        <v>0.66</v>
      </c>
      <c r="Q79" s="64">
        <v>9.35</v>
      </c>
      <c r="R79" s="198"/>
      <c r="S79" s="198"/>
      <c r="T79" s="198"/>
      <c r="U79" s="198"/>
    </row>
    <row r="80" spans="1:21" s="12" customFormat="1" x14ac:dyDescent="0.25">
      <c r="A80" s="213" t="s">
        <v>1083</v>
      </c>
      <c r="B80" s="64">
        <v>7.58</v>
      </c>
      <c r="C80" s="64">
        <v>52.13</v>
      </c>
      <c r="D80" s="64">
        <v>31.94</v>
      </c>
      <c r="E80" s="64">
        <v>5.36</v>
      </c>
      <c r="F80" s="64">
        <v>2.13</v>
      </c>
      <c r="G80" s="64">
        <v>44.93</v>
      </c>
      <c r="H80" s="64">
        <v>18.82</v>
      </c>
      <c r="I80" s="210" t="s">
        <v>43</v>
      </c>
      <c r="J80" s="64">
        <v>0.61</v>
      </c>
      <c r="K80" s="64">
        <v>325</v>
      </c>
      <c r="L80" s="64">
        <v>22.5</v>
      </c>
      <c r="M80" s="64">
        <v>27.64</v>
      </c>
      <c r="N80" s="64">
        <v>77</v>
      </c>
      <c r="O80" s="64">
        <v>0</v>
      </c>
      <c r="P80" s="64">
        <v>1.05</v>
      </c>
      <c r="Q80" s="64">
        <v>9.4499999999999993</v>
      </c>
      <c r="R80" s="198"/>
      <c r="S80" s="198"/>
      <c r="T80" s="198"/>
      <c r="U80" s="198"/>
    </row>
    <row r="81" spans="1:26" s="12" customFormat="1" x14ac:dyDescent="0.25">
      <c r="A81" s="213" t="s">
        <v>1084</v>
      </c>
      <c r="B81" s="64">
        <v>10.6</v>
      </c>
      <c r="C81" s="64">
        <v>53.44</v>
      </c>
      <c r="D81" s="64">
        <v>35.04</v>
      </c>
      <c r="E81" s="64">
        <v>5.36</v>
      </c>
      <c r="F81" s="64">
        <v>2.13</v>
      </c>
      <c r="G81" s="64">
        <v>57.69</v>
      </c>
      <c r="H81" s="64">
        <v>19.28</v>
      </c>
      <c r="I81" s="210" t="s">
        <v>43</v>
      </c>
      <c r="J81" s="64">
        <v>0.56000000000000005</v>
      </c>
      <c r="K81" s="64">
        <v>327.54000000000002</v>
      </c>
      <c r="L81" s="64">
        <v>21.35</v>
      </c>
      <c r="M81" s="64">
        <v>30.18</v>
      </c>
      <c r="N81" s="64">
        <v>75</v>
      </c>
      <c r="O81" s="64">
        <v>0</v>
      </c>
      <c r="P81" s="64">
        <v>1.38</v>
      </c>
      <c r="Q81" s="64">
        <v>9.58</v>
      </c>
      <c r="R81" s="198"/>
      <c r="S81" s="198"/>
      <c r="T81" s="198"/>
      <c r="U81" s="198"/>
    </row>
    <row r="82" spans="1:26" s="12" customFormat="1" x14ac:dyDescent="0.25">
      <c r="A82" s="213" t="s">
        <v>1085</v>
      </c>
      <c r="B82" s="64">
        <v>15.05</v>
      </c>
      <c r="C82" s="64">
        <v>55.23</v>
      </c>
      <c r="D82" s="64">
        <v>39.54</v>
      </c>
      <c r="E82" s="64">
        <v>6.02</v>
      </c>
      <c r="F82" s="64">
        <v>2.13</v>
      </c>
      <c r="G82" s="64">
        <v>57.69</v>
      </c>
      <c r="H82" s="64">
        <v>19.28</v>
      </c>
      <c r="I82" s="210" t="s">
        <v>43</v>
      </c>
      <c r="J82" s="64">
        <v>0.43</v>
      </c>
      <c r="K82" s="64">
        <v>71.33</v>
      </c>
      <c r="L82" s="64">
        <v>20.54</v>
      </c>
      <c r="M82" s="64">
        <v>31.61</v>
      </c>
      <c r="N82" s="64">
        <v>74.5</v>
      </c>
      <c r="O82" s="64">
        <v>0</v>
      </c>
      <c r="P82" s="64">
        <v>1.1499999999999999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3" t="s">
        <v>1086</v>
      </c>
      <c r="B83" s="64">
        <v>25.27</v>
      </c>
      <c r="C83" s="64">
        <v>57.97</v>
      </c>
      <c r="D83" s="64">
        <v>49.17</v>
      </c>
      <c r="E83" s="64">
        <v>6.42</v>
      </c>
      <c r="F83" s="64">
        <v>2.13</v>
      </c>
      <c r="G83" s="64">
        <v>57.69</v>
      </c>
      <c r="H83" s="64">
        <v>19.28</v>
      </c>
      <c r="I83" s="210" t="s">
        <v>43</v>
      </c>
      <c r="J83" s="64">
        <v>0.23</v>
      </c>
      <c r="K83" s="64">
        <v>285.45999999999998</v>
      </c>
      <c r="L83" s="64">
        <v>19.87</v>
      </c>
      <c r="M83" s="64">
        <v>36.56</v>
      </c>
      <c r="N83" s="64">
        <v>74.099999999999994</v>
      </c>
      <c r="O83" s="64">
        <v>0</v>
      </c>
      <c r="P83" s="64">
        <v>1.39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3" t="s">
        <v>1087</v>
      </c>
      <c r="B84" s="64">
        <v>37.26</v>
      </c>
      <c r="C84" s="64">
        <v>60.61</v>
      </c>
      <c r="D84" s="64">
        <v>60.17</v>
      </c>
      <c r="E84" s="64">
        <v>6.79</v>
      </c>
      <c r="F84" s="64">
        <v>2.13</v>
      </c>
      <c r="G84" s="64">
        <v>69.11</v>
      </c>
      <c r="H84" s="64">
        <v>16.88</v>
      </c>
      <c r="I84" s="210" t="s">
        <v>43</v>
      </c>
      <c r="J84" s="64">
        <v>0.36</v>
      </c>
      <c r="K84" s="64">
        <v>194.59</v>
      </c>
      <c r="L84" s="64">
        <v>19.739999999999998</v>
      </c>
      <c r="M84" s="64">
        <v>33.78</v>
      </c>
      <c r="N84" s="64">
        <v>73.400000000000006</v>
      </c>
      <c r="O84" s="64">
        <v>0</v>
      </c>
      <c r="P84" s="64">
        <v>1.17</v>
      </c>
      <c r="Q84" s="64">
        <v>9.65</v>
      </c>
      <c r="R84" s="198"/>
      <c r="S84" s="198"/>
      <c r="T84" s="198"/>
      <c r="U84" s="198"/>
    </row>
    <row r="85" spans="1:26" s="12" customFormat="1" x14ac:dyDescent="0.25">
      <c r="A85" s="213" t="s">
        <v>1088</v>
      </c>
      <c r="B85" s="64">
        <v>45.24</v>
      </c>
      <c r="C85" s="64">
        <v>61.61</v>
      </c>
      <c r="D85" s="64">
        <v>67.09</v>
      </c>
      <c r="E85" s="64">
        <v>7.21</v>
      </c>
      <c r="F85" s="64">
        <v>2.13</v>
      </c>
      <c r="G85" s="64">
        <v>160.47</v>
      </c>
      <c r="H85" s="64">
        <v>95.21</v>
      </c>
      <c r="I85" s="210" t="s">
        <v>43</v>
      </c>
      <c r="J85" s="64">
        <v>0.63</v>
      </c>
      <c r="K85" s="64">
        <v>318.18</v>
      </c>
      <c r="L85" s="64">
        <v>20.100000000000001</v>
      </c>
      <c r="M85" s="64">
        <v>36.49</v>
      </c>
      <c r="N85" s="64">
        <v>73.900000000000006</v>
      </c>
      <c r="O85" s="64">
        <v>0</v>
      </c>
      <c r="P85" s="64">
        <v>1.6</v>
      </c>
      <c r="Q85" s="64">
        <v>9.73</v>
      </c>
      <c r="R85" s="198"/>
      <c r="S85" s="198"/>
      <c r="T85" s="198"/>
      <c r="U85" s="198"/>
    </row>
    <row r="86" spans="1:26" s="12" customFormat="1" x14ac:dyDescent="0.25">
      <c r="A86" s="213" t="s">
        <v>1089</v>
      </c>
      <c r="B86" s="64">
        <v>50.85</v>
      </c>
      <c r="C86" s="64">
        <v>61.88</v>
      </c>
      <c r="D86" s="64">
        <v>71.73</v>
      </c>
      <c r="E86" s="64">
        <v>7.12</v>
      </c>
      <c r="F86" s="64">
        <v>2.13</v>
      </c>
      <c r="G86" s="64">
        <v>160.47</v>
      </c>
      <c r="H86" s="64">
        <v>95.21</v>
      </c>
      <c r="I86" s="210" t="s">
        <v>43</v>
      </c>
      <c r="J86" s="64">
        <v>0.23</v>
      </c>
      <c r="K86" s="64">
        <v>149.69</v>
      </c>
      <c r="L86" s="64">
        <v>19.100000000000001</v>
      </c>
      <c r="M86" s="64">
        <v>36.32</v>
      </c>
      <c r="N86" s="64">
        <v>74.400000000000006</v>
      </c>
      <c r="O86" s="64">
        <v>0</v>
      </c>
      <c r="P86" s="64">
        <v>1.2</v>
      </c>
      <c r="Q86" s="64">
        <v>9.7899999999999991</v>
      </c>
      <c r="R86" s="198"/>
      <c r="S86" s="198"/>
      <c r="T86" s="198"/>
      <c r="U86" s="198"/>
    </row>
    <row r="87" spans="1:26" s="12" customFormat="1" x14ac:dyDescent="0.25">
      <c r="A87" s="213" t="s">
        <v>1090</v>
      </c>
      <c r="B87" s="64">
        <v>55.84</v>
      </c>
      <c r="C87" s="64">
        <v>63.16</v>
      </c>
      <c r="D87" s="64">
        <v>76.41</v>
      </c>
      <c r="E87" s="64">
        <v>7.26</v>
      </c>
      <c r="F87" s="64">
        <v>2.13</v>
      </c>
      <c r="G87" s="64">
        <v>160.47</v>
      </c>
      <c r="H87" s="64">
        <v>95.21</v>
      </c>
      <c r="I87" s="210" t="s">
        <v>43</v>
      </c>
      <c r="J87" s="64">
        <v>0.35</v>
      </c>
      <c r="K87" s="64">
        <v>289.83999999999997</v>
      </c>
      <c r="L87" s="64">
        <v>18.829999999999998</v>
      </c>
      <c r="M87" s="64">
        <v>31.52</v>
      </c>
      <c r="N87" s="64">
        <v>73.8</v>
      </c>
      <c r="O87" s="64">
        <v>0</v>
      </c>
      <c r="P87" s="64">
        <v>0.95</v>
      </c>
      <c r="Q87" s="64">
        <v>9.83</v>
      </c>
      <c r="R87" s="198"/>
      <c r="S87" s="198"/>
      <c r="T87" s="198"/>
      <c r="U87" s="198"/>
    </row>
    <row r="88" spans="1:26" s="12" customFormat="1" x14ac:dyDescent="0.25">
      <c r="A88" s="213" t="s">
        <v>1091</v>
      </c>
      <c r="B88" s="64">
        <v>59.34</v>
      </c>
      <c r="C88" s="64">
        <v>64.17</v>
      </c>
      <c r="D88" s="64">
        <v>79.739999999999995</v>
      </c>
      <c r="E88" s="64">
        <v>7.55</v>
      </c>
      <c r="F88" s="64">
        <v>2.13</v>
      </c>
      <c r="G88" s="64">
        <v>155.04</v>
      </c>
      <c r="H88" s="64">
        <v>84.63</v>
      </c>
      <c r="I88" s="210" t="s">
        <v>43</v>
      </c>
      <c r="J88" s="64">
        <v>0.22</v>
      </c>
      <c r="K88" s="64">
        <v>296.33</v>
      </c>
      <c r="L88" s="64">
        <v>19.079999999999998</v>
      </c>
      <c r="M88" s="64">
        <v>29.25</v>
      </c>
      <c r="N88" s="64">
        <v>73.3</v>
      </c>
      <c r="O88" s="64">
        <v>0</v>
      </c>
      <c r="P88" s="64">
        <v>1</v>
      </c>
      <c r="Q88" s="64">
        <v>9.8699999999999992</v>
      </c>
      <c r="R88" s="198"/>
      <c r="S88" s="198"/>
      <c r="T88" s="198"/>
      <c r="U88" s="198"/>
    </row>
    <row r="89" spans="1:26" s="12" customFormat="1" x14ac:dyDescent="0.25">
      <c r="A89" s="213" t="s">
        <v>1092</v>
      </c>
      <c r="B89" s="64">
        <v>61.68</v>
      </c>
      <c r="C89" s="64">
        <v>64.06</v>
      </c>
      <c r="D89" s="64">
        <v>81.55</v>
      </c>
      <c r="E89" s="64">
        <v>8.11</v>
      </c>
      <c r="F89" s="64">
        <v>2.13</v>
      </c>
      <c r="G89" s="64">
        <v>111.58</v>
      </c>
      <c r="H89" s="212" t="s">
        <v>42</v>
      </c>
      <c r="I89" s="210" t="s">
        <v>43</v>
      </c>
      <c r="J89" s="64">
        <v>0.75</v>
      </c>
      <c r="K89" s="64">
        <v>318.32</v>
      </c>
      <c r="L89" s="64">
        <v>18.62</v>
      </c>
      <c r="M89" s="64">
        <v>43.77</v>
      </c>
      <c r="N89" s="64">
        <v>74.599999999999994</v>
      </c>
      <c r="O89" s="64">
        <v>0</v>
      </c>
      <c r="P89" s="64">
        <v>1.08</v>
      </c>
      <c r="Q89" s="64">
        <v>9.91</v>
      </c>
      <c r="R89" s="198"/>
      <c r="S89" s="198"/>
      <c r="T89" s="198"/>
      <c r="U89" s="198"/>
    </row>
    <row r="90" spans="1:26" s="12" customFormat="1" x14ac:dyDescent="0.25">
      <c r="A90" s="213" t="s">
        <v>1093</v>
      </c>
      <c r="B90" s="64">
        <v>65.28</v>
      </c>
      <c r="C90" s="64">
        <v>63.92</v>
      </c>
      <c r="D90" s="64">
        <v>84.37</v>
      </c>
      <c r="E90" s="64">
        <v>7.9</v>
      </c>
      <c r="F90" s="64">
        <v>2.13</v>
      </c>
      <c r="G90" s="64">
        <v>111.58</v>
      </c>
      <c r="H90" s="212" t="s">
        <v>42</v>
      </c>
      <c r="I90" s="210" t="s">
        <v>43</v>
      </c>
      <c r="J90" s="64">
        <v>0.46</v>
      </c>
      <c r="K90" s="64">
        <v>293.19</v>
      </c>
      <c r="L90" s="64">
        <v>17.57</v>
      </c>
      <c r="M90" s="64">
        <v>35.07</v>
      </c>
      <c r="N90" s="64">
        <v>74.5</v>
      </c>
      <c r="O90" s="64">
        <v>0</v>
      </c>
      <c r="P90" s="64">
        <v>1.1200000000000001</v>
      </c>
      <c r="Q90" s="64">
        <v>9.92</v>
      </c>
      <c r="R90" s="198"/>
      <c r="S90" s="198"/>
      <c r="T90" s="198"/>
      <c r="U90" s="198"/>
    </row>
    <row r="91" spans="1:26" s="12" customFormat="1" x14ac:dyDescent="0.25">
      <c r="A91" s="213" t="s">
        <v>1094</v>
      </c>
      <c r="B91" s="64">
        <v>67.099999999999994</v>
      </c>
      <c r="C91" s="64">
        <v>64.27</v>
      </c>
      <c r="D91" s="64">
        <v>86.01</v>
      </c>
      <c r="E91" s="64">
        <v>7.88</v>
      </c>
      <c r="F91" s="64">
        <v>2.13</v>
      </c>
      <c r="G91" s="64">
        <v>111.58</v>
      </c>
      <c r="H91" s="212" t="s">
        <v>42</v>
      </c>
      <c r="I91" s="210" t="s">
        <v>43</v>
      </c>
      <c r="J91" s="64">
        <v>0.39</v>
      </c>
      <c r="K91" s="64">
        <v>287.45999999999998</v>
      </c>
      <c r="L91" s="64">
        <v>17.34</v>
      </c>
      <c r="M91" s="64">
        <v>39.54</v>
      </c>
      <c r="N91" s="64">
        <v>74.3</v>
      </c>
      <c r="O91" s="64">
        <v>0</v>
      </c>
      <c r="P91" s="64">
        <v>1.1399999999999999</v>
      </c>
      <c r="Q91" s="64">
        <v>9.94</v>
      </c>
      <c r="R91" s="198"/>
      <c r="S91" s="198"/>
      <c r="T91" s="198"/>
      <c r="U91" s="198"/>
    </row>
    <row r="92" spans="1:26" s="12" customFormat="1" x14ac:dyDescent="0.25">
      <c r="A92" s="213" t="s">
        <v>1095</v>
      </c>
      <c r="B92" s="64">
        <v>83.01</v>
      </c>
      <c r="C92" s="64">
        <v>65.83</v>
      </c>
      <c r="D92" s="64">
        <v>99.59</v>
      </c>
      <c r="E92" s="64">
        <v>8.06</v>
      </c>
      <c r="F92" s="64">
        <v>2.13</v>
      </c>
      <c r="G92" s="64">
        <v>112.16</v>
      </c>
      <c r="H92" s="212" t="s">
        <v>42</v>
      </c>
      <c r="I92" s="210" t="s">
        <v>43</v>
      </c>
      <c r="J92" s="64">
        <v>0.63</v>
      </c>
      <c r="K92" s="64">
        <v>313.69</v>
      </c>
      <c r="L92" s="64">
        <v>16.96</v>
      </c>
      <c r="M92" s="64">
        <v>44.02</v>
      </c>
      <c r="N92" s="64">
        <v>74.5</v>
      </c>
      <c r="O92" s="64">
        <v>0</v>
      </c>
      <c r="P92" s="64">
        <v>1.31</v>
      </c>
      <c r="Q92" s="64">
        <v>9.8699999999999992</v>
      </c>
      <c r="R92" s="198"/>
      <c r="S92" s="198"/>
      <c r="T92" s="198"/>
      <c r="U92" s="198"/>
    </row>
    <row r="93" spans="1:26" s="12" customFormat="1" x14ac:dyDescent="0.25">
      <c r="A93" s="213" t="s">
        <v>1096</v>
      </c>
      <c r="B93" s="64">
        <v>94.45</v>
      </c>
      <c r="C93" s="64">
        <v>67.48</v>
      </c>
      <c r="D93" s="64">
        <v>109.62</v>
      </c>
      <c r="E93" s="64">
        <v>8.59</v>
      </c>
      <c r="F93" s="64">
        <v>2.13</v>
      </c>
      <c r="G93" s="64">
        <v>116.78</v>
      </c>
      <c r="H93" s="212" t="s">
        <v>42</v>
      </c>
      <c r="I93" s="210" t="s">
        <v>43</v>
      </c>
      <c r="J93" s="64">
        <v>0.65</v>
      </c>
      <c r="K93" s="64">
        <v>312.66000000000003</v>
      </c>
      <c r="L93" s="64">
        <v>16.68</v>
      </c>
      <c r="M93" s="64">
        <v>44.76</v>
      </c>
      <c r="N93" s="64">
        <v>74.2</v>
      </c>
      <c r="O93" s="64">
        <v>0</v>
      </c>
      <c r="P93" s="64">
        <v>1.37</v>
      </c>
      <c r="Q93" s="64">
        <v>9.94</v>
      </c>
      <c r="R93" s="198"/>
      <c r="S93" s="198"/>
      <c r="T93" s="198"/>
      <c r="U93" s="198"/>
    </row>
    <row r="94" spans="1:26" s="12" customFormat="1" x14ac:dyDescent="0.25">
      <c r="A94" s="213" t="s">
        <v>1097</v>
      </c>
      <c r="B94" s="64">
        <v>103.55</v>
      </c>
      <c r="C94" s="64">
        <v>68.45</v>
      </c>
      <c r="D94" s="64">
        <v>117.42</v>
      </c>
      <c r="E94" s="64">
        <v>9.19</v>
      </c>
      <c r="F94" s="64">
        <v>2.13</v>
      </c>
      <c r="G94" s="64">
        <v>116.78</v>
      </c>
      <c r="H94" s="212" t="s">
        <v>42</v>
      </c>
      <c r="I94" s="210" t="s">
        <v>43</v>
      </c>
      <c r="J94" s="64">
        <v>0.67</v>
      </c>
      <c r="K94" s="64">
        <v>308.99</v>
      </c>
      <c r="L94" s="64">
        <v>16.53</v>
      </c>
      <c r="M94" s="64">
        <v>47.53</v>
      </c>
      <c r="N94" s="64">
        <v>74.2</v>
      </c>
      <c r="O94" s="64">
        <v>0</v>
      </c>
      <c r="P94" s="64">
        <v>1.44</v>
      </c>
      <c r="Q94" s="64">
        <v>10.01</v>
      </c>
      <c r="R94" s="198"/>
      <c r="S94" s="198"/>
      <c r="T94" s="198"/>
      <c r="U94" s="198"/>
    </row>
    <row r="95" spans="1:26" s="12" customFormat="1" x14ac:dyDescent="0.25">
      <c r="A95" s="213" t="s">
        <v>1098</v>
      </c>
      <c r="B95" s="64">
        <v>111.49</v>
      </c>
      <c r="C95" s="64">
        <v>69.12</v>
      </c>
      <c r="D95" s="64">
        <v>124.14</v>
      </c>
      <c r="E95" s="64">
        <v>8.83</v>
      </c>
      <c r="F95" s="64">
        <v>2.13</v>
      </c>
      <c r="G95" s="64">
        <v>116.78</v>
      </c>
      <c r="H95" s="212" t="s">
        <v>42</v>
      </c>
      <c r="I95" s="210" t="s">
        <v>43</v>
      </c>
      <c r="J95" s="64">
        <v>0.64</v>
      </c>
      <c r="K95" s="64">
        <v>318.3</v>
      </c>
      <c r="L95" s="64">
        <v>16.329999999999998</v>
      </c>
      <c r="M95" s="64">
        <v>46.87</v>
      </c>
      <c r="N95" s="64">
        <v>74.3</v>
      </c>
      <c r="O95" s="64">
        <v>0</v>
      </c>
      <c r="P95" s="64">
        <v>1.5</v>
      </c>
      <c r="Q95" s="64">
        <v>10.07</v>
      </c>
      <c r="R95" s="198"/>
      <c r="S95" s="198"/>
      <c r="T95" s="198"/>
      <c r="U95" s="198"/>
    </row>
    <row r="96" spans="1:26" s="12" customFormat="1" x14ac:dyDescent="0.25">
      <c r="A96" s="213" t="s">
        <v>1099</v>
      </c>
      <c r="B96" s="64">
        <v>121.48</v>
      </c>
      <c r="C96" s="64">
        <v>69.709999999999994</v>
      </c>
      <c r="D96" s="64">
        <v>132.46</v>
      </c>
      <c r="E96" s="64">
        <v>9.25</v>
      </c>
      <c r="F96" s="64">
        <v>2.13</v>
      </c>
      <c r="G96" s="64">
        <v>121.35</v>
      </c>
      <c r="H96" s="212" t="s">
        <v>42</v>
      </c>
      <c r="I96" s="210" t="s">
        <v>43</v>
      </c>
      <c r="J96" s="64">
        <v>0.45</v>
      </c>
      <c r="K96" s="64">
        <v>60.52</v>
      </c>
      <c r="L96" s="64">
        <v>16.149999999999999</v>
      </c>
      <c r="M96" s="64">
        <v>47.44</v>
      </c>
      <c r="N96" s="64">
        <v>74.400000000000006</v>
      </c>
      <c r="O96" s="64">
        <v>0</v>
      </c>
      <c r="P96" s="64">
        <v>1.77</v>
      </c>
      <c r="Q96" s="64">
        <v>10.09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1100</v>
      </c>
      <c r="B97" s="64">
        <v>135.65</v>
      </c>
      <c r="C97" s="64">
        <v>68.25</v>
      </c>
      <c r="D97" s="64">
        <v>143.06</v>
      </c>
      <c r="E97" s="64">
        <v>9.41</v>
      </c>
      <c r="F97" s="64">
        <v>2.13</v>
      </c>
      <c r="G97" s="64">
        <v>157.91</v>
      </c>
      <c r="H97" s="212" t="s">
        <v>42</v>
      </c>
      <c r="I97" s="210" t="s">
        <v>43</v>
      </c>
      <c r="J97" s="64">
        <v>0.45</v>
      </c>
      <c r="K97" s="64">
        <v>347.13</v>
      </c>
      <c r="L97" s="64">
        <v>15.78</v>
      </c>
      <c r="M97" s="64">
        <v>51.43</v>
      </c>
      <c r="N97" s="64">
        <v>74.400000000000006</v>
      </c>
      <c r="O97" s="64">
        <v>0</v>
      </c>
      <c r="P97" s="64">
        <v>2.08</v>
      </c>
      <c r="Q97" s="64">
        <v>10.130000000000001</v>
      </c>
      <c r="R97" s="198"/>
      <c r="S97" s="198"/>
      <c r="T97" s="198"/>
      <c r="U97" s="198"/>
    </row>
    <row r="98" spans="1:33" s="12" customFormat="1" x14ac:dyDescent="0.25">
      <c r="A98" s="213" t="s">
        <v>1101</v>
      </c>
      <c r="B98" s="64">
        <v>147.1</v>
      </c>
      <c r="C98" s="64">
        <v>68.81</v>
      </c>
      <c r="D98" s="64">
        <v>152.54</v>
      </c>
      <c r="E98" s="64">
        <v>9.4600000000000009</v>
      </c>
      <c r="F98" s="64">
        <v>2.13</v>
      </c>
      <c r="G98" s="64">
        <v>157.91</v>
      </c>
      <c r="H98" s="212" t="s">
        <v>42</v>
      </c>
      <c r="I98" s="210" t="s">
        <v>43</v>
      </c>
      <c r="J98" s="64">
        <v>0.59</v>
      </c>
      <c r="K98" s="64">
        <v>257.27</v>
      </c>
      <c r="L98" s="64">
        <v>15.55</v>
      </c>
      <c r="M98" s="64">
        <v>49.79</v>
      </c>
      <c r="N98" s="64">
        <v>74.400000000000006</v>
      </c>
      <c r="O98" s="64">
        <v>0</v>
      </c>
      <c r="P98" s="64">
        <v>1.92</v>
      </c>
      <c r="Q98" s="64">
        <v>10.19</v>
      </c>
      <c r="R98" s="198"/>
      <c r="S98" s="198"/>
      <c r="T98" s="198"/>
      <c r="U98" s="198"/>
    </row>
    <row r="99" spans="1:33" s="12" customFormat="1" x14ac:dyDescent="0.25">
      <c r="A99" s="213" t="s">
        <v>1102</v>
      </c>
      <c r="B99" s="64">
        <v>155.96</v>
      </c>
      <c r="C99" s="64">
        <v>68.900000000000006</v>
      </c>
      <c r="D99" s="64">
        <v>159.69</v>
      </c>
      <c r="E99" s="64">
        <v>9.65</v>
      </c>
      <c r="F99" s="64">
        <v>2.13</v>
      </c>
      <c r="G99" s="64">
        <v>157.91</v>
      </c>
      <c r="H99" s="212" t="s">
        <v>42</v>
      </c>
      <c r="I99" s="210" t="s">
        <v>43</v>
      </c>
      <c r="J99" s="64">
        <v>0.12</v>
      </c>
      <c r="K99" s="64">
        <v>258.22000000000003</v>
      </c>
      <c r="L99" s="64">
        <v>15.23</v>
      </c>
      <c r="M99" s="64">
        <v>51.25</v>
      </c>
      <c r="N99" s="64">
        <v>74.400000000000006</v>
      </c>
      <c r="O99" s="64">
        <v>0</v>
      </c>
      <c r="P99" s="64">
        <v>1.86</v>
      </c>
      <c r="Q99" s="64">
        <v>10.28</v>
      </c>
      <c r="R99" s="198"/>
      <c r="S99" s="198"/>
      <c r="T99" s="198"/>
      <c r="U99" s="198"/>
    </row>
    <row r="100" spans="1:33" s="12" customFormat="1" x14ac:dyDescent="0.25">
      <c r="A100" s="213" t="s">
        <v>1103</v>
      </c>
      <c r="B100" s="64">
        <v>166.3</v>
      </c>
      <c r="C100" s="64">
        <v>68.95</v>
      </c>
      <c r="D100" s="64">
        <v>168.01</v>
      </c>
      <c r="E100" s="64">
        <v>9.4700000000000006</v>
      </c>
      <c r="F100" s="64">
        <v>2.13</v>
      </c>
      <c r="G100" s="64">
        <v>156.33000000000001</v>
      </c>
      <c r="H100" s="212" t="s">
        <v>42</v>
      </c>
      <c r="I100" s="210" t="s">
        <v>43</v>
      </c>
      <c r="J100" s="64">
        <v>0.56000000000000005</v>
      </c>
      <c r="K100" s="64">
        <v>265.95</v>
      </c>
      <c r="L100" s="64">
        <v>14.97</v>
      </c>
      <c r="M100" s="64">
        <v>51.7</v>
      </c>
      <c r="N100" s="64">
        <v>74.3</v>
      </c>
      <c r="O100" s="64">
        <v>0</v>
      </c>
      <c r="P100" s="64">
        <v>1.93</v>
      </c>
      <c r="Q100" s="64">
        <v>10.3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1104</v>
      </c>
      <c r="B101" s="64">
        <v>174.59</v>
      </c>
      <c r="C101" s="64">
        <v>68.89</v>
      </c>
      <c r="D101" s="64">
        <v>174.63</v>
      </c>
      <c r="E101" s="64">
        <v>9.74</v>
      </c>
      <c r="F101" s="64">
        <v>2.13</v>
      </c>
      <c r="G101" s="64">
        <v>142.07</v>
      </c>
      <c r="H101" s="64">
        <v>79.709999999999994</v>
      </c>
      <c r="I101" s="210" t="s">
        <v>43</v>
      </c>
      <c r="J101" s="64">
        <v>0.54</v>
      </c>
      <c r="K101" s="64">
        <v>297.14</v>
      </c>
      <c r="L101" s="64">
        <v>14.81</v>
      </c>
      <c r="M101" s="64">
        <v>50.45</v>
      </c>
      <c r="N101" s="64">
        <v>74.3</v>
      </c>
      <c r="O101" s="64">
        <v>0</v>
      </c>
      <c r="P101" s="64">
        <v>1.82</v>
      </c>
      <c r="Q101" s="64">
        <v>10.35</v>
      </c>
      <c r="R101" s="198"/>
      <c r="S101" s="198"/>
      <c r="T101" s="198"/>
      <c r="U101" s="198"/>
    </row>
    <row r="102" spans="1:33" s="12" customFormat="1" x14ac:dyDescent="0.25">
      <c r="A102" s="213" t="s">
        <v>1105</v>
      </c>
      <c r="B102" s="64">
        <v>180.86</v>
      </c>
      <c r="C102" s="64">
        <v>67.900000000000006</v>
      </c>
      <c r="D102" s="64">
        <v>179.14</v>
      </c>
      <c r="E102" s="64">
        <v>9.81</v>
      </c>
      <c r="F102" s="64">
        <v>2.13</v>
      </c>
      <c r="G102" s="64">
        <v>142.07</v>
      </c>
      <c r="H102" s="64">
        <v>79.709999999999994</v>
      </c>
      <c r="I102" s="210" t="s">
        <v>43</v>
      </c>
      <c r="J102" s="64">
        <v>0.61</v>
      </c>
      <c r="K102" s="64">
        <v>287.94</v>
      </c>
      <c r="L102" s="64">
        <v>14.49</v>
      </c>
      <c r="M102" s="64">
        <v>51.74</v>
      </c>
      <c r="N102" s="64">
        <v>74.3</v>
      </c>
      <c r="O102" s="64">
        <v>0</v>
      </c>
      <c r="P102" s="64">
        <v>1.76</v>
      </c>
      <c r="Q102" s="64">
        <v>10.42</v>
      </c>
      <c r="R102" s="198"/>
      <c r="S102" s="198"/>
      <c r="T102" s="198"/>
      <c r="U102" s="198"/>
    </row>
    <row r="103" spans="1:33" s="12" customFormat="1" x14ac:dyDescent="0.25">
      <c r="A103" s="213" t="s">
        <v>1106</v>
      </c>
      <c r="B103" s="64">
        <v>185.62</v>
      </c>
      <c r="C103" s="64">
        <v>67.31</v>
      </c>
      <c r="D103" s="64">
        <v>182.64</v>
      </c>
      <c r="E103" s="64">
        <v>9.4</v>
      </c>
      <c r="F103" s="64">
        <v>2.13</v>
      </c>
      <c r="G103" s="64">
        <v>142.07</v>
      </c>
      <c r="H103" s="64">
        <v>79.709999999999994</v>
      </c>
      <c r="I103" s="210" t="s">
        <v>43</v>
      </c>
      <c r="J103" s="64">
        <v>0.62</v>
      </c>
      <c r="K103" s="64">
        <v>286.64999999999998</v>
      </c>
      <c r="L103" s="64">
        <v>14.48</v>
      </c>
      <c r="M103" s="64">
        <v>51.33</v>
      </c>
      <c r="N103" s="64">
        <v>74.400000000000006</v>
      </c>
      <c r="O103" s="64">
        <v>0</v>
      </c>
      <c r="P103" s="64">
        <v>1.7</v>
      </c>
      <c r="Q103" s="64">
        <v>10.47</v>
      </c>
      <c r="R103" s="198"/>
      <c r="S103" s="198"/>
      <c r="T103" s="198"/>
      <c r="U103" s="198"/>
    </row>
    <row r="104" spans="1:33" s="12" customFormat="1" x14ac:dyDescent="0.25">
      <c r="A104" s="213" t="s">
        <v>1107</v>
      </c>
      <c r="B104" s="64">
        <v>188.76</v>
      </c>
      <c r="C104" s="64">
        <v>66.760000000000005</v>
      </c>
      <c r="D104" s="64">
        <v>184.87</v>
      </c>
      <c r="E104" s="64">
        <v>7.56</v>
      </c>
      <c r="F104" s="64">
        <v>2.13</v>
      </c>
      <c r="G104" s="64">
        <v>141.30000000000001</v>
      </c>
      <c r="H104" s="64">
        <v>76.41</v>
      </c>
      <c r="I104" s="210" t="s">
        <v>43</v>
      </c>
      <c r="J104" s="64">
        <v>0.59</v>
      </c>
      <c r="K104" s="64">
        <v>235.97</v>
      </c>
      <c r="L104" s="64">
        <v>14.34</v>
      </c>
      <c r="M104" s="64">
        <v>53.68</v>
      </c>
      <c r="N104" s="64">
        <v>74.2</v>
      </c>
      <c r="O104" s="64">
        <v>0</v>
      </c>
      <c r="P104" s="64">
        <v>1.78</v>
      </c>
      <c r="Q104" s="64">
        <v>10.49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4.71</v>
      </c>
      <c r="C106" s="67">
        <f>MIN(C9:C104)</f>
        <v>46.93</v>
      </c>
      <c r="D106" s="67">
        <f t="shared" ref="D106:Q106" si="0">MIN(D9:D104)</f>
        <v>27.64</v>
      </c>
      <c r="E106" s="67">
        <f t="shared" si="0"/>
        <v>4.09</v>
      </c>
      <c r="F106" s="67">
        <f t="shared" si="0"/>
        <v>2.13</v>
      </c>
      <c r="G106" s="67">
        <f t="shared" si="0"/>
        <v>36.9</v>
      </c>
      <c r="H106" s="67">
        <f t="shared" si="0"/>
        <v>10.01</v>
      </c>
      <c r="I106" s="67">
        <f t="shared" si="0"/>
        <v>0</v>
      </c>
      <c r="J106" s="67">
        <f t="shared" si="0"/>
        <v>0.12</v>
      </c>
      <c r="K106" s="67">
        <f t="shared" si="0"/>
        <v>0.19</v>
      </c>
      <c r="L106" s="67">
        <f t="shared" si="0"/>
        <v>10.46</v>
      </c>
      <c r="M106" s="67">
        <f t="shared" si="0"/>
        <v>9.1199999999999992</v>
      </c>
      <c r="N106" s="67">
        <f t="shared" si="0"/>
        <v>73.3</v>
      </c>
      <c r="O106" s="67">
        <f t="shared" si="0"/>
        <v>0</v>
      </c>
      <c r="P106" s="67">
        <f t="shared" si="0"/>
        <v>0.46</v>
      </c>
      <c r="Q106" s="67">
        <f t="shared" si="0"/>
        <v>9.27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188.76</v>
      </c>
      <c r="C107" s="66">
        <f t="shared" ref="C107:Q107" si="1">MAX(C9:C104)</f>
        <v>69.709999999999994</v>
      </c>
      <c r="D107" s="66">
        <f t="shared" si="1"/>
        <v>184.87</v>
      </c>
      <c r="E107" s="66">
        <f t="shared" si="1"/>
        <v>9.81</v>
      </c>
      <c r="F107" s="66">
        <f t="shared" si="1"/>
        <v>2.35</v>
      </c>
      <c r="G107" s="66">
        <f t="shared" si="1"/>
        <v>160.47</v>
      </c>
      <c r="H107" s="66">
        <f t="shared" si="1"/>
        <v>95.21</v>
      </c>
      <c r="I107" s="66">
        <f t="shared" si="1"/>
        <v>0</v>
      </c>
      <c r="J107" s="66">
        <f t="shared" si="1"/>
        <v>1.83</v>
      </c>
      <c r="K107" s="66">
        <f t="shared" si="1"/>
        <v>357.76</v>
      </c>
      <c r="L107" s="66">
        <f t="shared" si="1"/>
        <v>31.15</v>
      </c>
      <c r="M107" s="66">
        <f t="shared" si="1"/>
        <v>80.92</v>
      </c>
      <c r="N107" s="66">
        <f t="shared" si="1"/>
        <v>636.9</v>
      </c>
      <c r="O107" s="66">
        <f t="shared" si="1"/>
        <v>0</v>
      </c>
      <c r="P107" s="66">
        <f t="shared" si="1"/>
        <v>2.08</v>
      </c>
      <c r="Q107" s="66">
        <f t="shared" si="1"/>
        <v>10.49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47.734270833333341</v>
      </c>
      <c r="C108" s="67">
        <f t="shared" ref="C108:Q108" si="2">AVERAGE(C9:C104)</f>
        <v>54.980520833333365</v>
      </c>
      <c r="D108" s="67">
        <f t="shared" si="2"/>
        <v>65.627291666666679</v>
      </c>
      <c r="E108" s="67">
        <f t="shared" si="2"/>
        <v>6.3098958333333321</v>
      </c>
      <c r="F108" s="67">
        <f t="shared" si="2"/>
        <v>2.132291666666664</v>
      </c>
      <c r="G108" s="67">
        <f t="shared" si="2"/>
        <v>80.937604166666659</v>
      </c>
      <c r="H108" s="67">
        <f t="shared" si="2"/>
        <v>42.039027777777811</v>
      </c>
      <c r="I108" s="67" t="e">
        <f t="shared" si="2"/>
        <v>#DIV/0!</v>
      </c>
      <c r="J108" s="67">
        <f t="shared" si="2"/>
        <v>0.63479166666666675</v>
      </c>
      <c r="K108" s="67">
        <f t="shared" si="2"/>
        <v>198.00208333333339</v>
      </c>
      <c r="L108" s="67">
        <f t="shared" si="2"/>
        <v>19.661874999999991</v>
      </c>
      <c r="M108" s="67">
        <f t="shared" si="2"/>
        <v>33.769895833333329</v>
      </c>
      <c r="N108" s="67">
        <f t="shared" si="2"/>
        <v>226.38854166666673</v>
      </c>
      <c r="O108" s="67">
        <f t="shared" si="2"/>
        <v>0</v>
      </c>
      <c r="P108" s="67">
        <f t="shared" si="2"/>
        <v>0.92250000000000021</v>
      </c>
      <c r="Q108" s="67">
        <f t="shared" si="2"/>
        <v>9.7329166666666698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43.444973078349449</v>
      </c>
      <c r="C109" s="67">
        <f t="shared" ref="C109:Q109" si="3">STDEV(C9:C104)</f>
        <v>6.7327479913737882</v>
      </c>
      <c r="D109" s="67">
        <f t="shared" si="3"/>
        <v>37.562204813914384</v>
      </c>
      <c r="E109" s="67">
        <f t="shared" si="3"/>
        <v>1.4294360277592517</v>
      </c>
      <c r="F109" s="67">
        <f t="shared" si="3"/>
        <v>2.2453655975512504E-2</v>
      </c>
      <c r="G109" s="67">
        <f t="shared" si="3"/>
        <v>36.131116105673613</v>
      </c>
      <c r="H109" s="67">
        <f t="shared" si="3"/>
        <v>19.430481220235354</v>
      </c>
      <c r="I109" s="67" t="e">
        <f t="shared" si="3"/>
        <v>#DIV/0!</v>
      </c>
      <c r="J109" s="67">
        <f t="shared" si="3"/>
        <v>0.29234795118386514</v>
      </c>
      <c r="K109" s="67">
        <f t="shared" si="3"/>
        <v>115.99965247603724</v>
      </c>
      <c r="L109" s="67">
        <f t="shared" si="3"/>
        <v>5.9221671553401487</v>
      </c>
      <c r="M109" s="67">
        <f t="shared" si="3"/>
        <v>18.896145276347372</v>
      </c>
      <c r="N109" s="67">
        <f t="shared" si="3"/>
        <v>218.95220380607054</v>
      </c>
      <c r="O109" s="67">
        <f t="shared" si="3"/>
        <v>0</v>
      </c>
      <c r="P109" s="67">
        <f t="shared" si="3"/>
        <v>0.39711591838099197</v>
      </c>
      <c r="Q109" s="67">
        <f t="shared" si="3"/>
        <v>0.25228603927691901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COUNT(H9:H104)+24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7" sqref="H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1108</v>
      </c>
      <c r="B9" s="64">
        <v>187.81</v>
      </c>
      <c r="C9" s="64">
        <v>65.930000000000007</v>
      </c>
      <c r="D9" s="64">
        <v>183.67</v>
      </c>
      <c r="E9" s="64">
        <v>8.1300000000000008</v>
      </c>
      <c r="F9" s="64">
        <v>2.13</v>
      </c>
      <c r="G9" s="64">
        <v>135.15</v>
      </c>
      <c r="H9" s="64">
        <v>52.15</v>
      </c>
      <c r="I9" s="210" t="s">
        <v>43</v>
      </c>
      <c r="J9" s="64">
        <v>0.35</v>
      </c>
      <c r="K9" s="64">
        <v>307.70999999999998</v>
      </c>
      <c r="L9" s="64">
        <v>14.43</v>
      </c>
      <c r="M9" s="64">
        <v>56.12</v>
      </c>
      <c r="N9" s="64">
        <v>74.3</v>
      </c>
      <c r="O9" s="64">
        <v>0</v>
      </c>
      <c r="P9" s="64">
        <v>1.77</v>
      </c>
      <c r="Q9" s="64">
        <v>10.57</v>
      </c>
      <c r="R9" s="198"/>
      <c r="S9" s="198"/>
      <c r="T9" s="198"/>
      <c r="U9" s="198"/>
    </row>
    <row r="10" spans="1:21" s="12" customFormat="1" x14ac:dyDescent="0.25">
      <c r="A10" s="213" t="s">
        <v>1109</v>
      </c>
      <c r="B10" s="64">
        <v>186.39</v>
      </c>
      <c r="C10" s="64">
        <v>65.31</v>
      </c>
      <c r="D10" s="64">
        <v>182.22</v>
      </c>
      <c r="E10" s="64">
        <v>8.26</v>
      </c>
      <c r="F10" s="64">
        <v>2.13</v>
      </c>
      <c r="G10" s="64">
        <v>135.15</v>
      </c>
      <c r="H10" s="64">
        <v>52.15</v>
      </c>
      <c r="I10" s="210" t="s">
        <v>43</v>
      </c>
      <c r="J10" s="64">
        <v>0.47</v>
      </c>
      <c r="K10" s="64">
        <v>303.70999999999998</v>
      </c>
      <c r="L10" s="64">
        <v>14.24</v>
      </c>
      <c r="M10" s="64">
        <v>64.489999999999995</v>
      </c>
      <c r="N10" s="64">
        <v>74.2</v>
      </c>
      <c r="O10" s="64">
        <v>0</v>
      </c>
      <c r="P10" s="64">
        <v>1.82</v>
      </c>
      <c r="Q10" s="64">
        <v>10.54</v>
      </c>
      <c r="R10" s="198"/>
      <c r="S10" s="198"/>
      <c r="T10" s="198"/>
      <c r="U10" s="198"/>
    </row>
    <row r="11" spans="1:21" s="12" customFormat="1" x14ac:dyDescent="0.25">
      <c r="A11" s="213" t="s">
        <v>1110</v>
      </c>
      <c r="B11" s="64">
        <v>186.57</v>
      </c>
      <c r="C11" s="64">
        <v>64.09</v>
      </c>
      <c r="D11" s="64">
        <v>181.72</v>
      </c>
      <c r="E11" s="64">
        <v>8.0399999999999991</v>
      </c>
      <c r="F11" s="64">
        <v>2.13</v>
      </c>
      <c r="G11" s="64">
        <v>135.15</v>
      </c>
      <c r="H11" s="64">
        <v>52.15</v>
      </c>
      <c r="I11" s="210" t="s">
        <v>43</v>
      </c>
      <c r="J11" s="64">
        <v>0.54</v>
      </c>
      <c r="K11" s="64">
        <v>215.92</v>
      </c>
      <c r="L11" s="64">
        <v>14.56</v>
      </c>
      <c r="M11" s="64">
        <v>61.21</v>
      </c>
      <c r="N11" s="64">
        <v>73.599999999999994</v>
      </c>
      <c r="O11" s="64">
        <v>0</v>
      </c>
      <c r="P11" s="64">
        <v>1.83</v>
      </c>
      <c r="Q11" s="64">
        <v>10.52</v>
      </c>
      <c r="R11" s="198"/>
      <c r="S11" s="198"/>
      <c r="T11" s="198"/>
      <c r="U11" s="198"/>
    </row>
    <row r="12" spans="1:21" s="12" customFormat="1" x14ac:dyDescent="0.25">
      <c r="A12" s="213" t="s">
        <v>1111</v>
      </c>
      <c r="B12" s="64">
        <v>187.52</v>
      </c>
      <c r="C12" s="64">
        <v>62.42</v>
      </c>
      <c r="D12" s="64">
        <v>181.61</v>
      </c>
      <c r="E12" s="64">
        <v>7.74</v>
      </c>
      <c r="F12" s="64">
        <v>2.13</v>
      </c>
      <c r="G12" s="64">
        <v>134.77000000000001</v>
      </c>
      <c r="H12" s="64">
        <v>45.89</v>
      </c>
      <c r="I12" s="210" t="s">
        <v>43</v>
      </c>
      <c r="J12" s="64">
        <v>0.57999999999999996</v>
      </c>
      <c r="K12" s="64">
        <v>330.38</v>
      </c>
      <c r="L12" s="64">
        <v>14.43</v>
      </c>
      <c r="M12" s="64">
        <v>64.19</v>
      </c>
      <c r="N12" s="64">
        <v>74.5</v>
      </c>
      <c r="O12" s="64">
        <v>0</v>
      </c>
      <c r="P12" s="64">
        <v>1.86</v>
      </c>
      <c r="Q12" s="64">
        <v>10.55</v>
      </c>
      <c r="R12" s="198"/>
      <c r="S12" s="198"/>
      <c r="T12" s="198"/>
      <c r="U12" s="198"/>
    </row>
    <row r="13" spans="1:21" s="12" customFormat="1" x14ac:dyDescent="0.25">
      <c r="A13" s="213" t="s">
        <v>1112</v>
      </c>
      <c r="B13" s="64">
        <v>188.23</v>
      </c>
      <c r="C13" s="64">
        <v>61.22</v>
      </c>
      <c r="D13" s="64">
        <v>181.56</v>
      </c>
      <c r="E13" s="64">
        <v>8.19</v>
      </c>
      <c r="F13" s="64">
        <v>2.13</v>
      </c>
      <c r="G13" s="64">
        <v>131.69999999999999</v>
      </c>
      <c r="H13" s="64">
        <v>2.09</v>
      </c>
      <c r="I13" s="210" t="s">
        <v>43</v>
      </c>
      <c r="J13" s="64">
        <v>0.63</v>
      </c>
      <c r="K13" s="64">
        <v>275.22000000000003</v>
      </c>
      <c r="L13" s="64">
        <v>14.03</v>
      </c>
      <c r="M13" s="64">
        <v>63.48</v>
      </c>
      <c r="N13" s="64">
        <v>74.5</v>
      </c>
      <c r="O13" s="64">
        <v>0</v>
      </c>
      <c r="P13" s="64">
        <v>1.63</v>
      </c>
      <c r="Q13" s="64">
        <v>10.55</v>
      </c>
      <c r="R13" s="198"/>
      <c r="S13" s="198"/>
      <c r="T13" s="198"/>
      <c r="U13" s="198"/>
    </row>
    <row r="14" spans="1:21" s="12" customFormat="1" x14ac:dyDescent="0.25">
      <c r="A14" s="213" t="s">
        <v>1113</v>
      </c>
      <c r="B14" s="64">
        <v>187.29</v>
      </c>
      <c r="C14" s="64">
        <v>60.54</v>
      </c>
      <c r="D14" s="64">
        <v>180.45</v>
      </c>
      <c r="E14" s="64">
        <v>8.14</v>
      </c>
      <c r="F14" s="64">
        <v>2.13</v>
      </c>
      <c r="G14" s="64">
        <v>131.69999999999999</v>
      </c>
      <c r="H14" s="64">
        <v>2.09</v>
      </c>
      <c r="I14" s="210" t="s">
        <v>43</v>
      </c>
      <c r="J14" s="64">
        <v>0.61</v>
      </c>
      <c r="K14" s="64">
        <v>286.83999999999997</v>
      </c>
      <c r="L14" s="64">
        <v>13.63</v>
      </c>
      <c r="M14" s="64">
        <v>63.82</v>
      </c>
      <c r="N14" s="64">
        <v>74.5</v>
      </c>
      <c r="O14" s="64">
        <v>0</v>
      </c>
      <c r="P14" s="64">
        <v>1.7</v>
      </c>
      <c r="Q14" s="64">
        <v>10.55</v>
      </c>
      <c r="R14" s="198"/>
      <c r="S14" s="198"/>
      <c r="T14" s="198"/>
      <c r="U14" s="198"/>
    </row>
    <row r="15" spans="1:21" s="12" customFormat="1" x14ac:dyDescent="0.25">
      <c r="A15" s="213" t="s">
        <v>1114</v>
      </c>
      <c r="B15" s="64">
        <v>185.36</v>
      </c>
      <c r="C15" s="64">
        <v>59.81</v>
      </c>
      <c r="D15" s="64">
        <v>178.51</v>
      </c>
      <c r="E15" s="64">
        <v>8.2100000000000009</v>
      </c>
      <c r="F15" s="64">
        <v>2.13</v>
      </c>
      <c r="G15" s="64">
        <v>131.69999999999999</v>
      </c>
      <c r="H15" s="64">
        <v>2.09</v>
      </c>
      <c r="I15" s="210" t="s">
        <v>43</v>
      </c>
      <c r="J15" s="64">
        <v>0.22</v>
      </c>
      <c r="K15" s="64">
        <v>150.99</v>
      </c>
      <c r="L15" s="64">
        <v>13.43</v>
      </c>
      <c r="M15" s="64">
        <v>63.32</v>
      </c>
      <c r="N15" s="64">
        <v>74.400000000000006</v>
      </c>
      <c r="O15" s="64">
        <v>0</v>
      </c>
      <c r="P15" s="64">
        <v>1.7</v>
      </c>
      <c r="Q15" s="64">
        <v>10.58</v>
      </c>
      <c r="R15" s="198"/>
      <c r="S15" s="198"/>
      <c r="T15" s="198"/>
      <c r="U15" s="198"/>
    </row>
    <row r="16" spans="1:21" s="12" customFormat="1" x14ac:dyDescent="0.25">
      <c r="A16" s="213" t="s">
        <v>1115</v>
      </c>
      <c r="B16" s="64">
        <v>182.42</v>
      </c>
      <c r="C16" s="64">
        <v>58.92</v>
      </c>
      <c r="D16" s="64">
        <v>175.7</v>
      </c>
      <c r="E16" s="64">
        <v>8.42</v>
      </c>
      <c r="F16" s="64">
        <v>2.13</v>
      </c>
      <c r="G16" s="64">
        <v>129.22999999999999</v>
      </c>
      <c r="H16" s="64">
        <v>61.24</v>
      </c>
      <c r="I16" s="210" t="s">
        <v>43</v>
      </c>
      <c r="J16" s="64">
        <v>0.55000000000000004</v>
      </c>
      <c r="K16" s="64">
        <v>286.13</v>
      </c>
      <c r="L16" s="64">
        <v>14.23</v>
      </c>
      <c r="M16" s="64">
        <v>54.95</v>
      </c>
      <c r="N16" s="64">
        <v>73.2</v>
      </c>
      <c r="O16" s="64">
        <v>0</v>
      </c>
      <c r="P16" s="64">
        <v>1.7</v>
      </c>
      <c r="Q16" s="64">
        <v>10.57</v>
      </c>
      <c r="R16" s="198"/>
      <c r="S16" s="198"/>
      <c r="T16" s="198"/>
      <c r="U16" s="198"/>
    </row>
    <row r="17" spans="1:21" s="12" customFormat="1" x14ac:dyDescent="0.25">
      <c r="A17" s="213" t="s">
        <v>1116</v>
      </c>
      <c r="B17" s="64">
        <v>179.04</v>
      </c>
      <c r="C17" s="64">
        <v>58.43</v>
      </c>
      <c r="D17" s="64">
        <v>172.73</v>
      </c>
      <c r="E17" s="64">
        <v>8.5500000000000007</v>
      </c>
      <c r="F17" s="64">
        <v>2.13</v>
      </c>
      <c r="G17" s="64">
        <v>107.05</v>
      </c>
      <c r="H17" s="64">
        <v>36.450000000000003</v>
      </c>
      <c r="I17" s="210" t="s">
        <v>43</v>
      </c>
      <c r="J17" s="64">
        <v>0.68</v>
      </c>
      <c r="K17" s="64">
        <v>301.02</v>
      </c>
      <c r="L17" s="64">
        <v>13.65</v>
      </c>
      <c r="M17" s="64">
        <v>60.38</v>
      </c>
      <c r="N17" s="64">
        <v>74.7</v>
      </c>
      <c r="O17" s="64">
        <v>0</v>
      </c>
      <c r="P17" s="64">
        <v>1.68</v>
      </c>
      <c r="Q17" s="64">
        <v>10.57</v>
      </c>
      <c r="R17" s="198"/>
      <c r="S17" s="198"/>
      <c r="T17" s="198"/>
      <c r="U17" s="198"/>
    </row>
    <row r="18" spans="1:21" s="12" customFormat="1" x14ac:dyDescent="0.25">
      <c r="A18" s="213" t="s">
        <v>1117</v>
      </c>
      <c r="B18" s="64">
        <v>173.14</v>
      </c>
      <c r="C18" s="64">
        <v>56.92</v>
      </c>
      <c r="D18" s="64">
        <v>167.21</v>
      </c>
      <c r="E18" s="64">
        <v>8.2799999999999994</v>
      </c>
      <c r="F18" s="64">
        <v>2.13</v>
      </c>
      <c r="G18" s="64">
        <v>107.05</v>
      </c>
      <c r="H18" s="64">
        <v>36.450000000000003</v>
      </c>
      <c r="I18" s="210" t="s">
        <v>43</v>
      </c>
      <c r="J18" s="64">
        <v>0.33</v>
      </c>
      <c r="K18" s="64">
        <v>156.76</v>
      </c>
      <c r="L18" s="64">
        <v>13.45</v>
      </c>
      <c r="M18" s="64">
        <v>47.31</v>
      </c>
      <c r="N18" s="64">
        <v>74.599999999999994</v>
      </c>
      <c r="O18" s="64">
        <v>0</v>
      </c>
      <c r="P18" s="64">
        <v>1.6</v>
      </c>
      <c r="Q18" s="64">
        <v>10.61</v>
      </c>
      <c r="R18" s="198"/>
      <c r="S18" s="198"/>
      <c r="T18" s="198"/>
      <c r="U18" s="198"/>
    </row>
    <row r="19" spans="1:21" s="12" customFormat="1" x14ac:dyDescent="0.25">
      <c r="A19" s="213" t="s">
        <v>1118</v>
      </c>
      <c r="B19" s="64">
        <v>165.73</v>
      </c>
      <c r="C19" s="64">
        <v>54.53</v>
      </c>
      <c r="D19" s="64">
        <v>160.02000000000001</v>
      </c>
      <c r="E19" s="64">
        <v>7.8</v>
      </c>
      <c r="F19" s="64">
        <v>2.13</v>
      </c>
      <c r="G19" s="64">
        <v>107.05</v>
      </c>
      <c r="H19" s="64">
        <v>36.450000000000003</v>
      </c>
      <c r="I19" s="210" t="s">
        <v>43</v>
      </c>
      <c r="J19" s="64">
        <v>0.19</v>
      </c>
      <c r="K19" s="64">
        <v>41.54</v>
      </c>
      <c r="L19" s="64">
        <v>13.35</v>
      </c>
      <c r="M19" s="64">
        <v>55.32</v>
      </c>
      <c r="N19" s="64">
        <v>74.5</v>
      </c>
      <c r="O19" s="64">
        <v>0</v>
      </c>
      <c r="P19" s="64">
        <v>1.51</v>
      </c>
      <c r="Q19" s="64">
        <v>10.58</v>
      </c>
      <c r="R19" s="198"/>
      <c r="S19" s="198"/>
      <c r="T19" s="198"/>
      <c r="U19" s="198"/>
    </row>
    <row r="20" spans="1:21" s="12" customFormat="1" x14ac:dyDescent="0.25">
      <c r="A20" s="213" t="s">
        <v>1119</v>
      </c>
      <c r="B20" s="64">
        <v>160.44</v>
      </c>
      <c r="C20" s="64">
        <v>54.7</v>
      </c>
      <c r="D20" s="64">
        <v>155.86000000000001</v>
      </c>
      <c r="E20" s="64">
        <v>8.08</v>
      </c>
      <c r="F20" s="64">
        <v>2.13</v>
      </c>
      <c r="G20" s="64">
        <v>98.94</v>
      </c>
      <c r="H20" s="64">
        <v>48.31</v>
      </c>
      <c r="I20" s="210" t="s">
        <v>43</v>
      </c>
      <c r="J20" s="64">
        <v>0.45</v>
      </c>
      <c r="K20" s="64">
        <v>289.27</v>
      </c>
      <c r="L20" s="64">
        <v>13.08</v>
      </c>
      <c r="M20" s="64">
        <v>55.76</v>
      </c>
      <c r="N20" s="64">
        <v>74.5</v>
      </c>
      <c r="O20" s="64">
        <v>0</v>
      </c>
      <c r="P20" s="64">
        <v>1.47</v>
      </c>
      <c r="Q20" s="64">
        <v>10.52</v>
      </c>
      <c r="R20" s="198"/>
      <c r="S20" s="198"/>
      <c r="T20" s="198"/>
      <c r="U20" s="198"/>
    </row>
    <row r="21" spans="1:21" s="12" customFormat="1" x14ac:dyDescent="0.25">
      <c r="A21" s="213" t="s">
        <v>1120</v>
      </c>
      <c r="B21" s="64">
        <v>155.63</v>
      </c>
      <c r="C21" s="64">
        <v>54.97</v>
      </c>
      <c r="D21" s="64">
        <v>152.15</v>
      </c>
      <c r="E21" s="64">
        <v>7.46</v>
      </c>
      <c r="F21" s="64">
        <v>2.13</v>
      </c>
      <c r="G21" s="64">
        <v>25.96</v>
      </c>
      <c r="H21" s="209" t="s">
        <v>36</v>
      </c>
      <c r="I21" s="210" t="s">
        <v>43</v>
      </c>
      <c r="J21" s="64">
        <v>0.59</v>
      </c>
      <c r="K21" s="64">
        <v>246.06</v>
      </c>
      <c r="L21" s="64">
        <v>13.2</v>
      </c>
      <c r="M21" s="64">
        <v>59.82</v>
      </c>
      <c r="N21" s="64">
        <v>74.099999999999994</v>
      </c>
      <c r="O21" s="64">
        <v>0</v>
      </c>
      <c r="P21" s="64">
        <v>1.51</v>
      </c>
      <c r="Q21" s="64">
        <v>10.5</v>
      </c>
      <c r="R21" s="198"/>
      <c r="S21" s="198"/>
      <c r="T21" s="198"/>
      <c r="U21" s="198"/>
    </row>
    <row r="22" spans="1:21" s="12" customFormat="1" x14ac:dyDescent="0.25">
      <c r="A22" s="213" t="s">
        <v>1121</v>
      </c>
      <c r="B22" s="64">
        <v>150.46</v>
      </c>
      <c r="C22" s="64">
        <v>55.24</v>
      </c>
      <c r="D22" s="64">
        <v>148.13999999999999</v>
      </c>
      <c r="E22" s="64">
        <v>7.56</v>
      </c>
      <c r="F22" s="64">
        <v>2.13</v>
      </c>
      <c r="G22" s="64">
        <v>25.96</v>
      </c>
      <c r="H22" s="209" t="s">
        <v>36</v>
      </c>
      <c r="I22" s="210" t="s">
        <v>43</v>
      </c>
      <c r="J22" s="64">
        <v>0.64</v>
      </c>
      <c r="K22" s="64">
        <v>333.57</v>
      </c>
      <c r="L22" s="64">
        <v>13.04</v>
      </c>
      <c r="M22" s="64">
        <v>64.790000000000006</v>
      </c>
      <c r="N22" s="64">
        <v>74.599999999999994</v>
      </c>
      <c r="O22" s="64">
        <v>0</v>
      </c>
      <c r="P22" s="64">
        <v>1.46</v>
      </c>
      <c r="Q22" s="64">
        <v>10.49</v>
      </c>
      <c r="R22" s="198"/>
      <c r="S22" s="198"/>
      <c r="T22" s="198"/>
      <c r="U22" s="198"/>
    </row>
    <row r="23" spans="1:21" s="12" customFormat="1" x14ac:dyDescent="0.25">
      <c r="A23" s="213" t="s">
        <v>1122</v>
      </c>
      <c r="B23" s="64">
        <v>145.4</v>
      </c>
      <c r="C23" s="64">
        <v>54.21</v>
      </c>
      <c r="D23" s="64">
        <v>143.55000000000001</v>
      </c>
      <c r="E23" s="64">
        <v>7.46</v>
      </c>
      <c r="F23" s="64">
        <v>2.13</v>
      </c>
      <c r="G23" s="64">
        <v>25.96</v>
      </c>
      <c r="H23" s="209" t="s">
        <v>36</v>
      </c>
      <c r="I23" s="210" t="s">
        <v>43</v>
      </c>
      <c r="J23" s="64">
        <v>0.65</v>
      </c>
      <c r="K23" s="64">
        <v>335.86</v>
      </c>
      <c r="L23" s="64">
        <v>12.7</v>
      </c>
      <c r="M23" s="64">
        <v>68.8</v>
      </c>
      <c r="N23" s="64">
        <v>74.7</v>
      </c>
      <c r="O23" s="64">
        <v>0</v>
      </c>
      <c r="P23" s="64">
        <v>1.47</v>
      </c>
      <c r="Q23" s="64">
        <v>10.48</v>
      </c>
      <c r="R23" s="198"/>
      <c r="S23" s="198"/>
      <c r="T23" s="198"/>
      <c r="U23" s="198"/>
    </row>
    <row r="24" spans="1:21" s="12" customFormat="1" x14ac:dyDescent="0.25">
      <c r="A24" s="213" t="s">
        <v>1123</v>
      </c>
      <c r="B24" s="64">
        <v>141.35</v>
      </c>
      <c r="C24" s="64">
        <v>53.63</v>
      </c>
      <c r="D24" s="64">
        <v>140</v>
      </c>
      <c r="E24" s="64">
        <v>7.94</v>
      </c>
      <c r="F24" s="64">
        <v>2.13</v>
      </c>
      <c r="G24" s="64">
        <v>34.119999999999997</v>
      </c>
      <c r="H24" s="209" t="s">
        <v>36</v>
      </c>
      <c r="I24" s="210" t="s">
        <v>43</v>
      </c>
      <c r="J24" s="64">
        <v>0.64</v>
      </c>
      <c r="K24" s="64">
        <v>274.56</v>
      </c>
      <c r="L24" s="64">
        <v>12.73</v>
      </c>
      <c r="M24" s="64">
        <v>70.22</v>
      </c>
      <c r="N24" s="64">
        <v>74.2</v>
      </c>
      <c r="O24" s="64">
        <v>0</v>
      </c>
      <c r="P24" s="64">
        <v>1.47</v>
      </c>
      <c r="Q24" s="64">
        <v>10.46</v>
      </c>
      <c r="R24" s="198"/>
      <c r="S24" s="198"/>
      <c r="T24" s="198"/>
      <c r="U24" s="198"/>
    </row>
    <row r="25" spans="1:21" s="12" customFormat="1" x14ac:dyDescent="0.25">
      <c r="A25" s="213" t="s">
        <v>1124</v>
      </c>
      <c r="B25" s="64">
        <v>138.33000000000001</v>
      </c>
      <c r="C25" s="64">
        <v>52.8</v>
      </c>
      <c r="D25" s="64">
        <v>137.13999999999999</v>
      </c>
      <c r="E25" s="64">
        <v>7.55</v>
      </c>
      <c r="F25" s="64">
        <v>2.13</v>
      </c>
      <c r="G25" s="64">
        <v>99.45</v>
      </c>
      <c r="H25" s="64">
        <v>48.95</v>
      </c>
      <c r="I25" s="210" t="s">
        <v>43</v>
      </c>
      <c r="J25" s="64">
        <v>0.56999999999999995</v>
      </c>
      <c r="K25" s="64">
        <v>289.01</v>
      </c>
      <c r="L25" s="64">
        <v>12.74</v>
      </c>
      <c r="M25" s="64">
        <v>72.099999999999994</v>
      </c>
      <c r="N25" s="64">
        <v>74.3</v>
      </c>
      <c r="O25" s="64">
        <v>0</v>
      </c>
      <c r="P25" s="64">
        <v>1.45</v>
      </c>
      <c r="Q25" s="64">
        <v>10.43</v>
      </c>
      <c r="R25" s="198"/>
      <c r="S25" s="198"/>
      <c r="T25" s="198"/>
      <c r="U25" s="198"/>
    </row>
    <row r="26" spans="1:21" s="12" customFormat="1" x14ac:dyDescent="0.25">
      <c r="A26" s="213" t="s">
        <v>1125</v>
      </c>
      <c r="B26" s="64">
        <v>136.16</v>
      </c>
      <c r="C26" s="64">
        <v>50.56</v>
      </c>
      <c r="D26" s="64">
        <v>134.22999999999999</v>
      </c>
      <c r="E26" s="64">
        <v>7.8</v>
      </c>
      <c r="F26" s="64">
        <v>2.13</v>
      </c>
      <c r="G26" s="64">
        <v>99.45</v>
      </c>
      <c r="H26" s="64">
        <v>48.95</v>
      </c>
      <c r="I26" s="210" t="s">
        <v>43</v>
      </c>
      <c r="J26" s="64">
        <v>0.67</v>
      </c>
      <c r="K26" s="64">
        <v>325.07</v>
      </c>
      <c r="L26" s="64">
        <v>12.33</v>
      </c>
      <c r="M26" s="64">
        <v>76.849999999999994</v>
      </c>
      <c r="N26" s="64">
        <v>74.400000000000006</v>
      </c>
      <c r="O26" s="64">
        <v>0</v>
      </c>
      <c r="P26" s="64">
        <v>1.46</v>
      </c>
      <c r="Q26" s="64">
        <v>10.4</v>
      </c>
      <c r="R26" s="198"/>
      <c r="S26" s="198"/>
      <c r="T26" s="198"/>
      <c r="U26" s="198"/>
    </row>
    <row r="27" spans="1:21" s="12" customFormat="1" x14ac:dyDescent="0.25">
      <c r="A27" s="213" t="s">
        <v>1126</v>
      </c>
      <c r="B27" s="64">
        <v>135.32</v>
      </c>
      <c r="C27" s="64">
        <v>49.94</v>
      </c>
      <c r="D27" s="64">
        <v>133.22999999999999</v>
      </c>
      <c r="E27" s="64">
        <v>7.96</v>
      </c>
      <c r="F27" s="64">
        <v>2.13</v>
      </c>
      <c r="G27" s="64">
        <v>99.45</v>
      </c>
      <c r="H27" s="64">
        <v>48.95</v>
      </c>
      <c r="I27" s="210" t="s">
        <v>43</v>
      </c>
      <c r="J27" s="64">
        <v>0.35</v>
      </c>
      <c r="K27" s="64">
        <v>191.25</v>
      </c>
      <c r="L27" s="64">
        <v>12.33</v>
      </c>
      <c r="M27" s="64">
        <v>77.87</v>
      </c>
      <c r="N27" s="64">
        <v>74.099999999999994</v>
      </c>
      <c r="O27" s="64">
        <v>0</v>
      </c>
      <c r="P27" s="64">
        <v>1.48</v>
      </c>
      <c r="Q27" s="64">
        <v>10.35</v>
      </c>
      <c r="R27" s="198"/>
      <c r="S27" s="198"/>
      <c r="T27" s="198"/>
      <c r="U27" s="198"/>
    </row>
    <row r="28" spans="1:21" s="12" customFormat="1" x14ac:dyDescent="0.25">
      <c r="A28" s="213" t="s">
        <v>1127</v>
      </c>
      <c r="B28" s="64">
        <v>135.94</v>
      </c>
      <c r="C28" s="64">
        <v>50.45</v>
      </c>
      <c r="D28" s="64">
        <v>134</v>
      </c>
      <c r="E28" s="64">
        <v>7.94</v>
      </c>
      <c r="F28" s="64">
        <v>2.13</v>
      </c>
      <c r="G28" s="64">
        <v>100.87</v>
      </c>
      <c r="H28" s="64">
        <v>47.86</v>
      </c>
      <c r="I28" s="210" t="s">
        <v>43</v>
      </c>
      <c r="J28" s="64">
        <v>0.31</v>
      </c>
      <c r="K28" s="64">
        <v>313.16000000000003</v>
      </c>
      <c r="L28" s="64">
        <v>12.66</v>
      </c>
      <c r="M28" s="64">
        <v>74.209999999999994</v>
      </c>
      <c r="N28" s="64">
        <v>74.099999999999994</v>
      </c>
      <c r="O28" s="64">
        <v>0</v>
      </c>
      <c r="P28" s="64">
        <v>1.48</v>
      </c>
      <c r="Q28" s="64">
        <v>10.35</v>
      </c>
      <c r="R28" s="198"/>
      <c r="S28" s="198"/>
      <c r="T28" s="198"/>
      <c r="U28" s="198"/>
    </row>
    <row r="29" spans="1:21" s="12" customFormat="1" x14ac:dyDescent="0.25">
      <c r="A29" s="213" t="s">
        <v>1128</v>
      </c>
      <c r="B29" s="64">
        <v>137.80000000000001</v>
      </c>
      <c r="C29" s="64">
        <v>49.65</v>
      </c>
      <c r="D29" s="64">
        <v>135.07</v>
      </c>
      <c r="E29" s="64">
        <v>8.25</v>
      </c>
      <c r="F29" s="64">
        <v>2.13</v>
      </c>
      <c r="G29" s="64">
        <v>112.29</v>
      </c>
      <c r="H29" s="64">
        <v>38.090000000000003</v>
      </c>
      <c r="I29" s="210" t="s">
        <v>43</v>
      </c>
      <c r="J29" s="64">
        <v>0.35</v>
      </c>
      <c r="K29" s="64">
        <v>334.04</v>
      </c>
      <c r="L29" s="64">
        <v>12.48</v>
      </c>
      <c r="M29" s="64">
        <v>77.599999999999994</v>
      </c>
      <c r="N29" s="64">
        <v>73.7</v>
      </c>
      <c r="O29" s="64">
        <v>0</v>
      </c>
      <c r="P29" s="64">
        <v>1.49</v>
      </c>
      <c r="Q29" s="64">
        <v>10.34</v>
      </c>
      <c r="R29" s="198"/>
      <c r="S29" s="198"/>
      <c r="T29" s="198"/>
      <c r="U29" s="198"/>
    </row>
    <row r="30" spans="1:21" s="12" customFormat="1" x14ac:dyDescent="0.25">
      <c r="A30" s="213" t="s">
        <v>1129</v>
      </c>
      <c r="B30" s="64">
        <v>142.08000000000001</v>
      </c>
      <c r="C30" s="64">
        <v>49.85</v>
      </c>
      <c r="D30" s="64">
        <v>138.61000000000001</v>
      </c>
      <c r="E30" s="64">
        <v>8.5500000000000007</v>
      </c>
      <c r="F30" s="64">
        <v>2.13</v>
      </c>
      <c r="G30" s="64">
        <v>112.29</v>
      </c>
      <c r="H30" s="64">
        <v>38.090000000000003</v>
      </c>
      <c r="I30" s="210" t="s">
        <v>43</v>
      </c>
      <c r="J30" s="64">
        <v>0.21</v>
      </c>
      <c r="K30" s="64">
        <v>332.97</v>
      </c>
      <c r="L30" s="64">
        <v>12.08</v>
      </c>
      <c r="M30" s="64">
        <v>79.290000000000006</v>
      </c>
      <c r="N30" s="64">
        <v>73.900000000000006</v>
      </c>
      <c r="O30" s="64">
        <v>0</v>
      </c>
      <c r="P30" s="64">
        <v>1.52</v>
      </c>
      <c r="Q30" s="64">
        <v>10.34</v>
      </c>
      <c r="R30" s="198"/>
      <c r="S30" s="198"/>
      <c r="T30" s="198"/>
      <c r="U30" s="198"/>
    </row>
    <row r="31" spans="1:21" s="12" customFormat="1" x14ac:dyDescent="0.25">
      <c r="A31" s="213" t="s">
        <v>1130</v>
      </c>
      <c r="B31" s="64">
        <v>147.37</v>
      </c>
      <c r="C31" s="64">
        <v>50.65</v>
      </c>
      <c r="D31" s="64">
        <v>143.26</v>
      </c>
      <c r="E31" s="64">
        <v>8.8699999999999992</v>
      </c>
      <c r="F31" s="64">
        <v>2.13</v>
      </c>
      <c r="G31" s="64">
        <v>112.29</v>
      </c>
      <c r="H31" s="64">
        <v>38.090000000000003</v>
      </c>
      <c r="I31" s="210" t="s">
        <v>43</v>
      </c>
      <c r="J31" s="64">
        <v>0.44</v>
      </c>
      <c r="K31" s="64">
        <v>281.91000000000003</v>
      </c>
      <c r="L31" s="64">
        <v>12.31</v>
      </c>
      <c r="M31" s="64">
        <v>79.37</v>
      </c>
      <c r="N31" s="64">
        <v>73.400000000000006</v>
      </c>
      <c r="O31" s="64">
        <v>0</v>
      </c>
      <c r="P31" s="64">
        <v>1.53</v>
      </c>
      <c r="Q31" s="64">
        <v>10.35</v>
      </c>
      <c r="R31" s="198"/>
      <c r="S31" s="198"/>
      <c r="T31" s="198"/>
      <c r="U31" s="198"/>
    </row>
    <row r="32" spans="1:21" s="12" customFormat="1" x14ac:dyDescent="0.25">
      <c r="A32" s="213" t="s">
        <v>1131</v>
      </c>
      <c r="B32" s="64">
        <v>153.72</v>
      </c>
      <c r="C32" s="64">
        <v>51.48</v>
      </c>
      <c r="D32" s="64">
        <v>148.79</v>
      </c>
      <c r="E32" s="64">
        <v>9.06</v>
      </c>
      <c r="F32" s="64">
        <v>2.13</v>
      </c>
      <c r="G32" s="64">
        <v>117.28</v>
      </c>
      <c r="H32" s="64">
        <v>40.53</v>
      </c>
      <c r="I32" s="210" t="s">
        <v>43</v>
      </c>
      <c r="J32" s="64">
        <v>0.42</v>
      </c>
      <c r="K32" s="64">
        <v>250.96</v>
      </c>
      <c r="L32" s="64">
        <v>12.37</v>
      </c>
      <c r="M32" s="64">
        <v>78.37</v>
      </c>
      <c r="N32" s="64">
        <v>73.599999999999994</v>
      </c>
      <c r="O32" s="64">
        <v>0</v>
      </c>
      <c r="P32" s="64">
        <v>1.56</v>
      </c>
      <c r="Q32" s="64">
        <v>10.36</v>
      </c>
      <c r="R32" s="198"/>
      <c r="S32" s="198"/>
      <c r="T32" s="198"/>
      <c r="U32" s="198"/>
    </row>
    <row r="33" spans="1:21" s="12" customFormat="1" x14ac:dyDescent="0.25">
      <c r="A33" s="213" t="s">
        <v>1132</v>
      </c>
      <c r="B33" s="64">
        <v>160.34</v>
      </c>
      <c r="C33" s="64">
        <v>51.89</v>
      </c>
      <c r="D33" s="64">
        <v>154.31</v>
      </c>
      <c r="E33" s="64">
        <v>9.23</v>
      </c>
      <c r="F33" s="64">
        <v>2.13</v>
      </c>
      <c r="G33" s="64">
        <v>162.19999999999999</v>
      </c>
      <c r="H33" s="64">
        <v>60.02</v>
      </c>
      <c r="I33" s="210" t="s">
        <v>43</v>
      </c>
      <c r="J33" s="64">
        <v>0.52</v>
      </c>
      <c r="K33" s="64">
        <v>273.33</v>
      </c>
      <c r="L33" s="64">
        <v>12.55</v>
      </c>
      <c r="M33" s="64">
        <v>78.91</v>
      </c>
      <c r="N33" s="64">
        <v>73.900000000000006</v>
      </c>
      <c r="O33" s="64">
        <v>0</v>
      </c>
      <c r="P33" s="64">
        <v>1.59</v>
      </c>
      <c r="Q33" s="64">
        <v>10.4</v>
      </c>
      <c r="R33" s="198"/>
      <c r="S33" s="198"/>
      <c r="T33" s="198"/>
      <c r="U33" s="198"/>
    </row>
    <row r="34" spans="1:21" s="12" customFormat="1" x14ac:dyDescent="0.25">
      <c r="A34" s="213" t="s">
        <v>1133</v>
      </c>
      <c r="B34" s="64">
        <v>165.74</v>
      </c>
      <c r="C34" s="64">
        <v>51.97</v>
      </c>
      <c r="D34" s="64">
        <v>158.69</v>
      </c>
      <c r="E34" s="64">
        <v>9.51</v>
      </c>
      <c r="F34" s="64">
        <v>2.13</v>
      </c>
      <c r="G34" s="64">
        <v>162.19999999999999</v>
      </c>
      <c r="H34" s="64">
        <v>60.02</v>
      </c>
      <c r="I34" s="210" t="s">
        <v>43</v>
      </c>
      <c r="J34" s="64">
        <v>0.46</v>
      </c>
      <c r="K34" s="64">
        <v>296.95999999999998</v>
      </c>
      <c r="L34" s="64">
        <v>12.65</v>
      </c>
      <c r="M34" s="64">
        <v>79.17</v>
      </c>
      <c r="N34" s="64">
        <v>74.5</v>
      </c>
      <c r="O34" s="64">
        <v>0</v>
      </c>
      <c r="P34" s="64">
        <v>1.61</v>
      </c>
      <c r="Q34" s="64">
        <v>10.46</v>
      </c>
      <c r="R34" s="198"/>
      <c r="S34" s="198"/>
      <c r="T34" s="198"/>
      <c r="U34" s="198"/>
    </row>
    <row r="35" spans="1:21" s="12" customFormat="1" x14ac:dyDescent="0.25">
      <c r="A35" s="213" t="s">
        <v>1134</v>
      </c>
      <c r="B35" s="64">
        <v>171.17</v>
      </c>
      <c r="C35" s="64">
        <v>51.96</v>
      </c>
      <c r="D35" s="64">
        <v>163.04</v>
      </c>
      <c r="E35" s="64">
        <v>9.83</v>
      </c>
      <c r="F35" s="64">
        <v>2.13</v>
      </c>
      <c r="G35" s="64">
        <v>162.19999999999999</v>
      </c>
      <c r="H35" s="64">
        <v>60.02</v>
      </c>
      <c r="I35" s="210" t="s">
        <v>43</v>
      </c>
      <c r="J35" s="64">
        <v>0.6</v>
      </c>
      <c r="K35" s="64">
        <v>286.19</v>
      </c>
      <c r="L35" s="64">
        <v>12.37</v>
      </c>
      <c r="M35" s="64">
        <v>83.42</v>
      </c>
      <c r="N35" s="64">
        <v>78.900000000000006</v>
      </c>
      <c r="O35" s="64">
        <v>0</v>
      </c>
      <c r="P35" s="64">
        <v>1.63</v>
      </c>
      <c r="Q35" s="64">
        <v>10.49</v>
      </c>
      <c r="R35" s="198"/>
      <c r="S35" s="198"/>
      <c r="T35" s="198"/>
      <c r="U35" s="198"/>
    </row>
    <row r="36" spans="1:21" s="12" customFormat="1" x14ac:dyDescent="0.25">
      <c r="A36" s="213" t="s">
        <v>1135</v>
      </c>
      <c r="B36" s="64">
        <v>171.76</v>
      </c>
      <c r="C36" s="64">
        <v>50.25</v>
      </c>
      <c r="D36" s="64">
        <v>162.61000000000001</v>
      </c>
      <c r="E36" s="64">
        <v>9.49</v>
      </c>
      <c r="F36" s="64">
        <v>2.13</v>
      </c>
      <c r="G36" s="64">
        <v>163.36000000000001</v>
      </c>
      <c r="H36" s="64">
        <v>59.23</v>
      </c>
      <c r="I36" s="210" t="s">
        <v>43</v>
      </c>
      <c r="J36" s="64">
        <v>0.56999999999999995</v>
      </c>
      <c r="K36" s="64">
        <v>326.12</v>
      </c>
      <c r="L36" s="64">
        <v>12.3</v>
      </c>
      <c r="M36" s="64">
        <v>84.74</v>
      </c>
      <c r="N36" s="64">
        <v>88.7</v>
      </c>
      <c r="O36" s="64">
        <v>0</v>
      </c>
      <c r="P36" s="64">
        <v>1.58</v>
      </c>
      <c r="Q36" s="64">
        <v>10.58</v>
      </c>
      <c r="R36" s="198"/>
      <c r="S36" s="198"/>
      <c r="T36" s="198"/>
      <c r="U36" s="198"/>
    </row>
    <row r="37" spans="1:21" s="12" customFormat="1" x14ac:dyDescent="0.25">
      <c r="A37" s="213" t="s">
        <v>1136</v>
      </c>
      <c r="B37" s="64">
        <v>171.04</v>
      </c>
      <c r="C37" s="64">
        <v>47.87</v>
      </c>
      <c r="D37" s="64">
        <v>160.79</v>
      </c>
      <c r="E37" s="64">
        <v>9.52</v>
      </c>
      <c r="F37" s="64">
        <v>2.13</v>
      </c>
      <c r="G37" s="64">
        <v>173.82</v>
      </c>
      <c r="H37" s="64">
        <v>52.05</v>
      </c>
      <c r="I37" s="210" t="s">
        <v>43</v>
      </c>
      <c r="J37" s="64">
        <v>0.61</v>
      </c>
      <c r="K37" s="64">
        <v>310.29000000000002</v>
      </c>
      <c r="L37" s="64">
        <v>12.78</v>
      </c>
      <c r="M37" s="64">
        <v>82.72</v>
      </c>
      <c r="N37" s="64">
        <v>100.5</v>
      </c>
      <c r="O37" s="64">
        <v>0</v>
      </c>
      <c r="P37" s="64">
        <v>1.58</v>
      </c>
      <c r="Q37" s="64">
        <v>10.59</v>
      </c>
      <c r="R37" s="198"/>
      <c r="S37" s="198"/>
      <c r="T37" s="198"/>
      <c r="U37" s="198"/>
    </row>
    <row r="38" spans="1:21" s="12" customFormat="1" x14ac:dyDescent="0.25">
      <c r="A38" s="213" t="s">
        <v>1137</v>
      </c>
      <c r="B38" s="64">
        <v>170.81</v>
      </c>
      <c r="C38" s="64">
        <v>47.9</v>
      </c>
      <c r="D38" s="64">
        <v>160.63</v>
      </c>
      <c r="E38" s="64">
        <v>9.43</v>
      </c>
      <c r="F38" s="64">
        <v>2.13</v>
      </c>
      <c r="G38" s="64">
        <v>173.82</v>
      </c>
      <c r="H38" s="64">
        <v>52.05</v>
      </c>
      <c r="I38" s="210" t="s">
        <v>43</v>
      </c>
      <c r="J38" s="64">
        <v>0.39</v>
      </c>
      <c r="K38" s="64">
        <v>255.94</v>
      </c>
      <c r="L38" s="64">
        <v>13.5</v>
      </c>
      <c r="M38" s="64">
        <v>79.03</v>
      </c>
      <c r="N38" s="64">
        <v>120.1</v>
      </c>
      <c r="O38" s="64">
        <v>0</v>
      </c>
      <c r="P38" s="64">
        <v>1.51</v>
      </c>
      <c r="Q38" s="64">
        <v>10.58</v>
      </c>
      <c r="R38" s="198"/>
      <c r="S38" s="198"/>
      <c r="T38" s="198"/>
      <c r="U38" s="198"/>
    </row>
    <row r="39" spans="1:21" s="12" customFormat="1" x14ac:dyDescent="0.25">
      <c r="A39" s="213" t="s">
        <v>1138</v>
      </c>
      <c r="B39" s="64">
        <v>168.62</v>
      </c>
      <c r="C39" s="64">
        <v>48.66</v>
      </c>
      <c r="D39" s="64">
        <v>159.26</v>
      </c>
      <c r="E39" s="64">
        <v>9.6300000000000008</v>
      </c>
      <c r="F39" s="64">
        <v>2.13</v>
      </c>
      <c r="G39" s="64">
        <v>173.82</v>
      </c>
      <c r="H39" s="64">
        <v>52.05</v>
      </c>
      <c r="I39" s="210" t="s">
        <v>43</v>
      </c>
      <c r="J39" s="64">
        <v>0.86</v>
      </c>
      <c r="K39" s="64">
        <v>203.52</v>
      </c>
      <c r="L39" s="64">
        <v>14.83</v>
      </c>
      <c r="M39" s="64">
        <v>66.08</v>
      </c>
      <c r="N39" s="64">
        <v>199.5</v>
      </c>
      <c r="O39" s="64">
        <v>0</v>
      </c>
      <c r="P39" s="64">
        <v>1.57</v>
      </c>
      <c r="Q39" s="64">
        <v>10.61</v>
      </c>
      <c r="R39" s="198"/>
      <c r="S39" s="198"/>
      <c r="T39" s="198"/>
      <c r="U39" s="198"/>
    </row>
    <row r="40" spans="1:21" s="12" customFormat="1" x14ac:dyDescent="0.25">
      <c r="A40" s="213" t="s">
        <v>1139</v>
      </c>
      <c r="B40" s="64">
        <v>163.22999999999999</v>
      </c>
      <c r="C40" s="64">
        <v>48.51</v>
      </c>
      <c r="D40" s="64">
        <v>154.87</v>
      </c>
      <c r="E40" s="64">
        <v>7.64</v>
      </c>
      <c r="F40" s="64">
        <v>2.13</v>
      </c>
      <c r="G40" s="64">
        <v>164.22</v>
      </c>
      <c r="H40" s="64">
        <v>52.95</v>
      </c>
      <c r="I40" s="210" t="s">
        <v>43</v>
      </c>
      <c r="J40" s="64">
        <v>0.42</v>
      </c>
      <c r="K40" s="64">
        <v>243.94</v>
      </c>
      <c r="L40" s="64">
        <v>17.21</v>
      </c>
      <c r="M40" s="64">
        <v>52.33</v>
      </c>
      <c r="N40" s="64">
        <v>255.6</v>
      </c>
      <c r="O40" s="64">
        <v>0</v>
      </c>
      <c r="P40" s="64">
        <v>1.52</v>
      </c>
      <c r="Q40" s="64">
        <v>10.65</v>
      </c>
      <c r="R40" s="198"/>
      <c r="S40" s="198"/>
      <c r="T40" s="198"/>
      <c r="U40" s="198"/>
    </row>
    <row r="41" spans="1:21" s="12" customFormat="1" x14ac:dyDescent="0.25">
      <c r="A41" s="213" t="s">
        <v>1140</v>
      </c>
      <c r="B41" s="64">
        <v>158.16</v>
      </c>
      <c r="C41" s="64">
        <v>49.37</v>
      </c>
      <c r="D41" s="64">
        <v>151.25</v>
      </c>
      <c r="E41" s="64">
        <v>8.58</v>
      </c>
      <c r="F41" s="64">
        <v>2.13</v>
      </c>
      <c r="G41" s="64">
        <v>77.86</v>
      </c>
      <c r="H41" s="209" t="s">
        <v>36</v>
      </c>
      <c r="I41" s="210" t="s">
        <v>43</v>
      </c>
      <c r="J41" s="64">
        <v>0.56999999999999995</v>
      </c>
      <c r="K41" s="64">
        <v>198.48</v>
      </c>
      <c r="L41" s="64">
        <v>18.73</v>
      </c>
      <c r="M41" s="64">
        <v>44.45</v>
      </c>
      <c r="N41" s="64">
        <v>303.8</v>
      </c>
      <c r="O41" s="64">
        <v>0</v>
      </c>
      <c r="P41" s="64">
        <v>1.51</v>
      </c>
      <c r="Q41" s="64">
        <v>10.61</v>
      </c>
      <c r="R41" s="198"/>
      <c r="S41" s="198"/>
      <c r="T41" s="198"/>
      <c r="U41" s="198"/>
    </row>
    <row r="42" spans="1:21" s="12" customFormat="1" x14ac:dyDescent="0.25">
      <c r="A42" s="213" t="s">
        <v>1141</v>
      </c>
      <c r="B42" s="64">
        <v>151.35</v>
      </c>
      <c r="C42" s="64">
        <v>49.01</v>
      </c>
      <c r="D42" s="64">
        <v>145.6</v>
      </c>
      <c r="E42" s="64">
        <v>8.11</v>
      </c>
      <c r="F42" s="64">
        <v>2.13</v>
      </c>
      <c r="G42" s="64">
        <v>77.86</v>
      </c>
      <c r="H42" s="209" t="s">
        <v>36</v>
      </c>
      <c r="I42" s="210" t="s">
        <v>43</v>
      </c>
      <c r="J42" s="64">
        <v>1.1599999999999999</v>
      </c>
      <c r="K42" s="64">
        <v>157.61000000000001</v>
      </c>
      <c r="L42" s="64">
        <v>19.11</v>
      </c>
      <c r="M42" s="64">
        <v>41.45</v>
      </c>
      <c r="N42" s="64">
        <v>354</v>
      </c>
      <c r="O42" s="64">
        <v>0</v>
      </c>
      <c r="P42" s="64">
        <v>1.47</v>
      </c>
      <c r="Q42" s="64">
        <v>10.6</v>
      </c>
      <c r="R42" s="198"/>
      <c r="S42" s="198"/>
      <c r="T42" s="198"/>
      <c r="U42" s="198"/>
    </row>
    <row r="43" spans="1:21" s="12" customFormat="1" x14ac:dyDescent="0.25">
      <c r="A43" s="213" t="s">
        <v>1142</v>
      </c>
      <c r="B43" s="64">
        <v>143.88999999999999</v>
      </c>
      <c r="C43" s="64">
        <v>49.88</v>
      </c>
      <c r="D43" s="64">
        <v>140.07</v>
      </c>
      <c r="E43" s="64">
        <v>7.62</v>
      </c>
      <c r="F43" s="64">
        <v>2.13</v>
      </c>
      <c r="G43" s="64">
        <v>77.86</v>
      </c>
      <c r="H43" s="209" t="s">
        <v>36</v>
      </c>
      <c r="I43" s="210" t="s">
        <v>43</v>
      </c>
      <c r="J43" s="64">
        <v>0.65</v>
      </c>
      <c r="K43" s="64">
        <v>185.74</v>
      </c>
      <c r="L43" s="64">
        <v>20</v>
      </c>
      <c r="M43" s="64">
        <v>39.619999999999997</v>
      </c>
      <c r="N43" s="64">
        <v>391.9</v>
      </c>
      <c r="O43" s="64">
        <v>0</v>
      </c>
      <c r="P43" s="64">
        <v>1.42</v>
      </c>
      <c r="Q43" s="64">
        <v>10.56</v>
      </c>
      <c r="R43" s="198"/>
      <c r="S43" s="198"/>
      <c r="T43" s="198"/>
      <c r="U43" s="198"/>
    </row>
    <row r="44" spans="1:21" s="12" customFormat="1" x14ac:dyDescent="0.25">
      <c r="A44" s="213" t="s">
        <v>1143</v>
      </c>
      <c r="B44" s="64">
        <v>136.66999999999999</v>
      </c>
      <c r="C44" s="64">
        <v>51.68</v>
      </c>
      <c r="D44" s="64">
        <v>135.22</v>
      </c>
      <c r="E44" s="64">
        <v>7.2</v>
      </c>
      <c r="F44" s="64">
        <v>2.13</v>
      </c>
      <c r="G44" s="64">
        <v>76.959999999999994</v>
      </c>
      <c r="H44" s="209" t="s">
        <v>36</v>
      </c>
      <c r="I44" s="210" t="s">
        <v>43</v>
      </c>
      <c r="J44" s="64">
        <v>0.73</v>
      </c>
      <c r="K44" s="64">
        <v>161.75</v>
      </c>
      <c r="L44" s="64">
        <v>21.38</v>
      </c>
      <c r="M44" s="64">
        <v>35.68</v>
      </c>
      <c r="N44" s="64">
        <v>433.3</v>
      </c>
      <c r="O44" s="64">
        <v>0</v>
      </c>
      <c r="P44" s="64">
        <v>1.38</v>
      </c>
      <c r="Q44" s="64">
        <v>10.55</v>
      </c>
      <c r="R44" s="198"/>
      <c r="S44" s="198"/>
      <c r="T44" s="198"/>
      <c r="U44" s="198"/>
    </row>
    <row r="45" spans="1:21" s="12" customFormat="1" x14ac:dyDescent="0.25">
      <c r="A45" s="213" t="s">
        <v>1144</v>
      </c>
      <c r="B45" s="64">
        <v>129.01</v>
      </c>
      <c r="C45" s="64">
        <v>53</v>
      </c>
      <c r="D45" s="64">
        <v>129.77000000000001</v>
      </c>
      <c r="E45" s="64">
        <v>7</v>
      </c>
      <c r="F45" s="64">
        <v>2.13</v>
      </c>
      <c r="G45" s="64">
        <v>69.73</v>
      </c>
      <c r="H45" s="209" t="s">
        <v>36</v>
      </c>
      <c r="I45" s="210" t="s">
        <v>43</v>
      </c>
      <c r="J45" s="64">
        <v>0.69</v>
      </c>
      <c r="K45" s="64">
        <v>186.57</v>
      </c>
      <c r="L45" s="64">
        <v>22.35</v>
      </c>
      <c r="M45" s="64">
        <v>33.590000000000003</v>
      </c>
      <c r="N45" s="64">
        <v>467.4</v>
      </c>
      <c r="O45" s="64">
        <v>0</v>
      </c>
      <c r="P45" s="64">
        <v>1.34</v>
      </c>
      <c r="Q45" s="64">
        <v>10.54</v>
      </c>
      <c r="R45" s="198"/>
      <c r="S45" s="198"/>
      <c r="T45" s="198"/>
      <c r="U45" s="198"/>
    </row>
    <row r="46" spans="1:21" s="12" customFormat="1" x14ac:dyDescent="0.25">
      <c r="A46" s="213" t="s">
        <v>1145</v>
      </c>
      <c r="B46" s="64">
        <v>120.34</v>
      </c>
      <c r="C46" s="64">
        <v>54.08</v>
      </c>
      <c r="D46" s="64">
        <v>123.38</v>
      </c>
      <c r="E46" s="64">
        <v>6.8</v>
      </c>
      <c r="F46" s="64">
        <v>2.13</v>
      </c>
      <c r="G46" s="64">
        <v>69.73</v>
      </c>
      <c r="H46" s="209" t="s">
        <v>36</v>
      </c>
      <c r="I46" s="210" t="s">
        <v>43</v>
      </c>
      <c r="J46" s="64">
        <v>0.91</v>
      </c>
      <c r="K46" s="64">
        <v>163.57</v>
      </c>
      <c r="L46" s="64">
        <v>22.99</v>
      </c>
      <c r="M46" s="64">
        <v>30.17</v>
      </c>
      <c r="N46" s="64">
        <v>506.3</v>
      </c>
      <c r="O46" s="64">
        <v>0</v>
      </c>
      <c r="P46" s="64">
        <v>1.29</v>
      </c>
      <c r="Q46" s="64">
        <v>10.49</v>
      </c>
      <c r="R46" s="198"/>
      <c r="S46" s="198"/>
      <c r="T46" s="198"/>
      <c r="U46" s="198"/>
    </row>
    <row r="47" spans="1:21" s="12" customFormat="1" x14ac:dyDescent="0.25">
      <c r="A47" s="213" t="s">
        <v>1146</v>
      </c>
      <c r="B47" s="64">
        <v>111.36</v>
      </c>
      <c r="C47" s="64">
        <v>55.44</v>
      </c>
      <c r="D47" s="64">
        <v>116.89</v>
      </c>
      <c r="E47" s="64">
        <v>6.75</v>
      </c>
      <c r="F47" s="64">
        <v>2.13</v>
      </c>
      <c r="G47" s="64">
        <v>69.73</v>
      </c>
      <c r="H47" s="209" t="s">
        <v>36</v>
      </c>
      <c r="I47" s="210" t="s">
        <v>43</v>
      </c>
      <c r="J47" s="64">
        <v>0.97</v>
      </c>
      <c r="K47" s="64">
        <v>148.82</v>
      </c>
      <c r="L47" s="64">
        <v>24.13</v>
      </c>
      <c r="M47" s="64">
        <v>26.65</v>
      </c>
      <c r="N47" s="64">
        <v>538.20000000000005</v>
      </c>
      <c r="O47" s="64">
        <v>0</v>
      </c>
      <c r="P47" s="64">
        <v>1.23</v>
      </c>
      <c r="Q47" s="64">
        <v>10.46</v>
      </c>
      <c r="R47" s="198"/>
      <c r="S47" s="198"/>
      <c r="T47" s="198"/>
      <c r="U47" s="198"/>
    </row>
    <row r="48" spans="1:21" s="12" customFormat="1" x14ac:dyDescent="0.25">
      <c r="A48" s="213" t="s">
        <v>1147</v>
      </c>
      <c r="B48" s="64">
        <v>102.72</v>
      </c>
      <c r="C48" s="64">
        <v>56.67</v>
      </c>
      <c r="D48" s="64">
        <v>110.6</v>
      </c>
      <c r="E48" s="64">
        <v>6.77</v>
      </c>
      <c r="F48" s="64">
        <v>2.13</v>
      </c>
      <c r="G48" s="64">
        <v>68.2</v>
      </c>
      <c r="H48" s="209" t="s">
        <v>36</v>
      </c>
      <c r="I48" s="210" t="s">
        <v>43</v>
      </c>
      <c r="J48" s="64">
        <v>1.19</v>
      </c>
      <c r="K48" s="64">
        <v>144.19</v>
      </c>
      <c r="L48" s="64">
        <v>24.75</v>
      </c>
      <c r="M48" s="64">
        <v>26.94</v>
      </c>
      <c r="N48" s="64">
        <v>561.9</v>
      </c>
      <c r="O48" s="64">
        <v>0</v>
      </c>
      <c r="P48" s="64">
        <v>1.18</v>
      </c>
      <c r="Q48" s="64">
        <v>10.46</v>
      </c>
      <c r="R48" s="198"/>
      <c r="S48" s="198"/>
      <c r="T48" s="198"/>
      <c r="U48" s="198"/>
    </row>
    <row r="49" spans="1:21" s="12" customFormat="1" x14ac:dyDescent="0.25">
      <c r="A49" s="213" t="s">
        <v>1148</v>
      </c>
      <c r="B49" s="64">
        <v>94.53</v>
      </c>
      <c r="C49" s="64">
        <v>58.18</v>
      </c>
      <c r="D49" s="64">
        <v>104.82</v>
      </c>
      <c r="E49" s="64">
        <v>5.85</v>
      </c>
      <c r="F49" s="64">
        <v>2.13</v>
      </c>
      <c r="G49" s="64">
        <v>54.37</v>
      </c>
      <c r="H49" s="209" t="s">
        <v>36</v>
      </c>
      <c r="I49" s="210" t="s">
        <v>43</v>
      </c>
      <c r="J49" s="64">
        <v>1.24</v>
      </c>
      <c r="K49" s="64">
        <v>156.63</v>
      </c>
      <c r="L49" s="64">
        <v>25.11</v>
      </c>
      <c r="M49" s="64">
        <v>24.22</v>
      </c>
      <c r="N49" s="64">
        <v>569.20000000000005</v>
      </c>
      <c r="O49" s="64">
        <v>0</v>
      </c>
      <c r="P49" s="64">
        <v>1.1299999999999999</v>
      </c>
      <c r="Q49" s="64">
        <v>10.4</v>
      </c>
      <c r="R49" s="198"/>
      <c r="S49" s="198"/>
      <c r="T49" s="198"/>
      <c r="U49" s="198"/>
    </row>
    <row r="50" spans="1:21" s="12" customFormat="1" x14ac:dyDescent="0.25">
      <c r="A50" s="213" t="s">
        <v>1149</v>
      </c>
      <c r="B50" s="64">
        <v>76.989999999999995</v>
      </c>
      <c r="C50" s="64">
        <v>62.7</v>
      </c>
      <c r="D50" s="64">
        <v>93.13</v>
      </c>
      <c r="E50" s="64">
        <v>6.01</v>
      </c>
      <c r="F50" s="64">
        <v>2.13</v>
      </c>
      <c r="G50" s="64">
        <v>54.37</v>
      </c>
      <c r="H50" s="209" t="s">
        <v>36</v>
      </c>
      <c r="I50" s="210" t="s">
        <v>43</v>
      </c>
      <c r="J50" s="64">
        <v>1.63</v>
      </c>
      <c r="K50" s="64">
        <v>152.41999999999999</v>
      </c>
      <c r="L50" s="64">
        <v>24.97</v>
      </c>
      <c r="M50" s="64">
        <v>22.58</v>
      </c>
      <c r="N50" s="64">
        <v>576.6</v>
      </c>
      <c r="O50" s="64">
        <v>0</v>
      </c>
      <c r="P50" s="64">
        <v>1.03</v>
      </c>
      <c r="Q50" s="64">
        <v>10.39</v>
      </c>
      <c r="R50" s="198"/>
      <c r="S50" s="198"/>
      <c r="T50" s="198"/>
      <c r="U50" s="198"/>
    </row>
    <row r="51" spans="1:21" s="12" customFormat="1" x14ac:dyDescent="0.25">
      <c r="A51" s="213" t="s">
        <v>1150</v>
      </c>
      <c r="B51" s="64">
        <v>22.78</v>
      </c>
      <c r="C51" s="64">
        <v>79.790000000000006</v>
      </c>
      <c r="D51" s="64">
        <v>58.58</v>
      </c>
      <c r="E51" s="64">
        <v>7.56</v>
      </c>
      <c r="F51" s="64">
        <v>5.01</v>
      </c>
      <c r="G51" s="64">
        <v>54.37</v>
      </c>
      <c r="H51" s="209" t="s">
        <v>36</v>
      </c>
      <c r="I51" s="210" t="s">
        <v>43</v>
      </c>
      <c r="J51" s="64">
        <v>0.73</v>
      </c>
      <c r="K51" s="64">
        <v>179.12</v>
      </c>
      <c r="L51" s="64">
        <v>26.2</v>
      </c>
      <c r="M51" s="64">
        <v>21.56</v>
      </c>
      <c r="N51" s="64">
        <v>730.5</v>
      </c>
      <c r="O51" s="64">
        <v>0</v>
      </c>
      <c r="P51" s="64">
        <v>0.64</v>
      </c>
      <c r="Q51" s="64">
        <v>10.67</v>
      </c>
      <c r="R51" s="198"/>
      <c r="S51" s="198"/>
      <c r="T51" s="198"/>
      <c r="U51" s="198"/>
    </row>
    <row r="52" spans="1:21" s="12" customFormat="1" x14ac:dyDescent="0.25">
      <c r="A52" s="213" t="s">
        <v>1151</v>
      </c>
      <c r="B52" s="64">
        <v>9.15</v>
      </c>
      <c r="C52" s="64">
        <v>83.99</v>
      </c>
      <c r="D52" s="64">
        <v>49.84</v>
      </c>
      <c r="E52" s="64">
        <v>6.18</v>
      </c>
      <c r="F52" s="64">
        <v>6.23</v>
      </c>
      <c r="G52" s="209" t="s">
        <v>36</v>
      </c>
      <c r="H52" s="209" t="s">
        <v>36</v>
      </c>
      <c r="I52" s="210" t="s">
        <v>43</v>
      </c>
      <c r="J52" s="64">
        <v>0.37</v>
      </c>
      <c r="K52" s="64">
        <v>227.54</v>
      </c>
      <c r="L52" s="64">
        <v>27.7</v>
      </c>
      <c r="M52" s="64">
        <v>21.04</v>
      </c>
      <c r="N52" s="64">
        <v>883.5</v>
      </c>
      <c r="O52" s="64">
        <v>0</v>
      </c>
      <c r="P52" s="64">
        <v>0.54</v>
      </c>
      <c r="Q52" s="64">
        <v>10.41</v>
      </c>
      <c r="R52" s="198"/>
      <c r="S52" s="198"/>
      <c r="T52" s="198"/>
      <c r="U52" s="198"/>
    </row>
    <row r="53" spans="1:21" s="12" customFormat="1" x14ac:dyDescent="0.25">
      <c r="A53" s="213" t="s">
        <v>1152</v>
      </c>
      <c r="B53" s="64">
        <v>4.58</v>
      </c>
      <c r="C53" s="64">
        <v>72.52</v>
      </c>
      <c r="D53" s="64">
        <v>40.19</v>
      </c>
      <c r="E53" s="64">
        <v>8.81</v>
      </c>
      <c r="F53" s="64">
        <v>19.760000000000002</v>
      </c>
      <c r="G53" s="209" t="s">
        <v>36</v>
      </c>
      <c r="H53" s="209" t="s">
        <v>36</v>
      </c>
      <c r="I53" s="210" t="s">
        <v>43</v>
      </c>
      <c r="J53" s="64">
        <v>0.67</v>
      </c>
      <c r="K53" s="64">
        <v>185.17</v>
      </c>
      <c r="L53" s="64">
        <v>27.07</v>
      </c>
      <c r="M53" s="64">
        <v>23.56</v>
      </c>
      <c r="N53" s="64">
        <v>933.4</v>
      </c>
      <c r="O53" s="64">
        <v>0</v>
      </c>
      <c r="P53" s="64">
        <v>0.42</v>
      </c>
      <c r="Q53" s="64">
        <v>10.15</v>
      </c>
      <c r="R53" s="198"/>
      <c r="S53" s="198"/>
      <c r="T53" s="198"/>
      <c r="U53" s="198"/>
    </row>
    <row r="54" spans="1:21" s="12" customFormat="1" x14ac:dyDescent="0.25">
      <c r="A54" s="213" t="s">
        <v>1153</v>
      </c>
      <c r="B54" s="64">
        <v>3</v>
      </c>
      <c r="C54" s="64">
        <v>62.92</v>
      </c>
      <c r="D54" s="64">
        <v>33.909999999999997</v>
      </c>
      <c r="E54" s="64">
        <v>7.76</v>
      </c>
      <c r="F54" s="64">
        <v>12.63</v>
      </c>
      <c r="G54" s="209" t="s">
        <v>36</v>
      </c>
      <c r="H54" s="209" t="s">
        <v>36</v>
      </c>
      <c r="I54" s="210" t="s">
        <v>43</v>
      </c>
      <c r="J54" s="64">
        <v>0.47</v>
      </c>
      <c r="K54" s="64">
        <v>264.89999999999998</v>
      </c>
      <c r="L54" s="64">
        <v>27.71</v>
      </c>
      <c r="M54" s="64">
        <v>24.33</v>
      </c>
      <c r="N54" s="64">
        <v>937.7</v>
      </c>
      <c r="O54" s="64">
        <v>0</v>
      </c>
      <c r="P54" s="64">
        <v>0.39</v>
      </c>
      <c r="Q54" s="64">
        <v>9.9700000000000006</v>
      </c>
      <c r="R54" s="198"/>
      <c r="S54" s="198"/>
      <c r="T54" s="198"/>
      <c r="U54" s="198"/>
    </row>
    <row r="55" spans="1:21" s="12" customFormat="1" x14ac:dyDescent="0.25">
      <c r="A55" s="213" t="s">
        <v>1154</v>
      </c>
      <c r="B55" s="64">
        <v>3.01</v>
      </c>
      <c r="C55" s="64">
        <v>60.73</v>
      </c>
      <c r="D55" s="64">
        <v>32.770000000000003</v>
      </c>
      <c r="E55" s="64">
        <v>7.46</v>
      </c>
      <c r="F55" s="64">
        <v>14.79</v>
      </c>
      <c r="G55" s="209" t="s">
        <v>36</v>
      </c>
      <c r="H55" s="209" t="s">
        <v>36</v>
      </c>
      <c r="I55" s="210" t="s">
        <v>43</v>
      </c>
      <c r="J55" s="64">
        <v>0.5</v>
      </c>
      <c r="K55" s="64">
        <v>274.2</v>
      </c>
      <c r="L55" s="64">
        <v>28.89</v>
      </c>
      <c r="M55" s="64">
        <v>23.73</v>
      </c>
      <c r="N55" s="64">
        <v>927.7</v>
      </c>
      <c r="O55" s="64">
        <v>0</v>
      </c>
      <c r="P55" s="64">
        <v>0.4</v>
      </c>
      <c r="Q55" s="64">
        <v>9.9</v>
      </c>
      <c r="R55" s="198"/>
      <c r="S55" s="198"/>
      <c r="T55" s="198"/>
      <c r="U55" s="198"/>
    </row>
    <row r="56" spans="1:21" s="12" customFormat="1" x14ac:dyDescent="0.25">
      <c r="A56" s="213" t="s">
        <v>1155</v>
      </c>
      <c r="B56" s="64">
        <v>3.03</v>
      </c>
      <c r="C56" s="64">
        <v>63.18</v>
      </c>
      <c r="D56" s="64">
        <v>34.06</v>
      </c>
      <c r="E56" s="64">
        <v>8.25</v>
      </c>
      <c r="F56" s="64">
        <v>17.43</v>
      </c>
      <c r="G56" s="64">
        <v>19.03</v>
      </c>
      <c r="H56" s="64">
        <v>6.15</v>
      </c>
      <c r="I56" s="210" t="s">
        <v>43</v>
      </c>
      <c r="J56" s="64">
        <v>0.83</v>
      </c>
      <c r="K56" s="64">
        <v>325.18</v>
      </c>
      <c r="L56" s="64">
        <v>31.14</v>
      </c>
      <c r="M56" s="64">
        <v>21.18</v>
      </c>
      <c r="N56" s="64">
        <v>904.3</v>
      </c>
      <c r="O56" s="64">
        <v>0</v>
      </c>
      <c r="P56" s="64">
        <v>0.4</v>
      </c>
      <c r="Q56" s="64">
        <v>9.8800000000000008</v>
      </c>
      <c r="R56" s="198"/>
      <c r="S56" s="198"/>
      <c r="T56" s="198"/>
      <c r="U56" s="198"/>
    </row>
    <row r="57" spans="1:21" s="12" customFormat="1" x14ac:dyDescent="0.25">
      <c r="A57" s="213" t="s">
        <v>1156</v>
      </c>
      <c r="B57" s="64">
        <v>2.98</v>
      </c>
      <c r="C57" s="64">
        <v>62.78</v>
      </c>
      <c r="D57" s="64">
        <v>33.81</v>
      </c>
      <c r="E57" s="64">
        <v>7.54</v>
      </c>
      <c r="F57" s="64">
        <v>9.23</v>
      </c>
      <c r="G57" s="64">
        <v>61.16</v>
      </c>
      <c r="H57" s="64">
        <v>19.760000000000002</v>
      </c>
      <c r="I57" s="210" t="s">
        <v>43</v>
      </c>
      <c r="J57" s="64">
        <v>0.69</v>
      </c>
      <c r="K57" s="64">
        <v>304.88</v>
      </c>
      <c r="L57" s="64">
        <v>31.95</v>
      </c>
      <c r="M57" s="64">
        <v>18.989999999999998</v>
      </c>
      <c r="N57" s="64">
        <v>867.6</v>
      </c>
      <c r="O57" s="64">
        <v>0</v>
      </c>
      <c r="P57" s="64">
        <v>0.39</v>
      </c>
      <c r="Q57" s="64">
        <v>9.8699999999999992</v>
      </c>
      <c r="R57" s="198"/>
      <c r="S57" s="198"/>
      <c r="T57" s="198"/>
      <c r="U57" s="198"/>
    </row>
    <row r="58" spans="1:21" s="12" customFormat="1" x14ac:dyDescent="0.25">
      <c r="A58" s="213" t="s">
        <v>1157</v>
      </c>
      <c r="B58" s="64">
        <v>3.18</v>
      </c>
      <c r="C58" s="64">
        <v>60.26</v>
      </c>
      <c r="D58" s="64">
        <v>32.65</v>
      </c>
      <c r="E58" s="64">
        <v>7.02</v>
      </c>
      <c r="F58" s="64">
        <v>5.5</v>
      </c>
      <c r="G58" s="64">
        <v>61.16</v>
      </c>
      <c r="H58" s="64">
        <v>19.760000000000002</v>
      </c>
      <c r="I58" s="210" t="s">
        <v>43</v>
      </c>
      <c r="J58" s="64">
        <v>0.57999999999999996</v>
      </c>
      <c r="K58" s="64">
        <v>198.2</v>
      </c>
      <c r="L58" s="64">
        <v>30.17</v>
      </c>
      <c r="M58" s="64">
        <v>19.2</v>
      </c>
      <c r="N58" s="64">
        <v>861</v>
      </c>
      <c r="O58" s="64">
        <v>0</v>
      </c>
      <c r="P58" s="64">
        <v>0.38</v>
      </c>
      <c r="Q58" s="64">
        <v>9.89</v>
      </c>
      <c r="R58" s="198"/>
      <c r="S58" s="198"/>
      <c r="T58" s="198"/>
      <c r="U58" s="198"/>
    </row>
    <row r="59" spans="1:21" s="12" customFormat="1" x14ac:dyDescent="0.25">
      <c r="A59" s="213" t="s">
        <v>1158</v>
      </c>
      <c r="B59" s="64">
        <v>3.47</v>
      </c>
      <c r="C59" s="64">
        <v>56.35</v>
      </c>
      <c r="D59" s="64">
        <v>30.85</v>
      </c>
      <c r="E59" s="64">
        <v>7.61</v>
      </c>
      <c r="F59" s="64">
        <v>13.25</v>
      </c>
      <c r="G59" s="64">
        <v>61.16</v>
      </c>
      <c r="H59" s="64">
        <v>19.760000000000002</v>
      </c>
      <c r="I59" s="210" t="s">
        <v>43</v>
      </c>
      <c r="J59" s="64">
        <v>0.45</v>
      </c>
      <c r="K59" s="64">
        <v>238.53</v>
      </c>
      <c r="L59" s="64">
        <v>29.61</v>
      </c>
      <c r="M59" s="64">
        <v>19.66</v>
      </c>
      <c r="N59" s="64">
        <v>853.3</v>
      </c>
      <c r="O59" s="64">
        <v>0</v>
      </c>
      <c r="P59" s="64">
        <v>0.34</v>
      </c>
      <c r="Q59" s="64">
        <v>9.92</v>
      </c>
      <c r="R59" s="198"/>
      <c r="S59" s="198"/>
      <c r="T59" s="198"/>
      <c r="U59" s="198"/>
    </row>
    <row r="60" spans="1:21" s="12" customFormat="1" x14ac:dyDescent="0.25">
      <c r="A60" s="213" t="s">
        <v>1159</v>
      </c>
      <c r="B60" s="64">
        <v>3.2</v>
      </c>
      <c r="C60" s="64">
        <v>55.58</v>
      </c>
      <c r="D60" s="64">
        <v>30.23</v>
      </c>
      <c r="E60" s="64">
        <v>24.97</v>
      </c>
      <c r="F60" s="64">
        <v>24.5</v>
      </c>
      <c r="G60" s="64">
        <v>63.03</v>
      </c>
      <c r="H60" s="64">
        <v>19.43</v>
      </c>
      <c r="I60" s="210" t="s">
        <v>43</v>
      </c>
      <c r="J60" s="64">
        <v>0.77</v>
      </c>
      <c r="K60" s="64">
        <v>330.17</v>
      </c>
      <c r="L60" s="64">
        <v>30.62</v>
      </c>
      <c r="M60" s="64">
        <v>19.32</v>
      </c>
      <c r="N60" s="64">
        <v>832.9</v>
      </c>
      <c r="O60" s="64">
        <v>0</v>
      </c>
      <c r="P60" s="64">
        <v>0.28999999999999998</v>
      </c>
      <c r="Q60" s="64">
        <v>9.9499999999999993</v>
      </c>
      <c r="R60" s="198"/>
      <c r="S60" s="198"/>
      <c r="T60" s="198"/>
      <c r="U60" s="198"/>
    </row>
    <row r="61" spans="1:21" s="12" customFormat="1" x14ac:dyDescent="0.25">
      <c r="A61" s="213" t="s">
        <v>1160</v>
      </c>
      <c r="B61" s="64">
        <v>2.97</v>
      </c>
      <c r="C61" s="64">
        <v>55.86</v>
      </c>
      <c r="D61" s="64">
        <v>30.19</v>
      </c>
      <c r="E61" s="64">
        <v>15.08</v>
      </c>
      <c r="F61" s="64">
        <v>10.89</v>
      </c>
      <c r="G61" s="64">
        <v>67.17</v>
      </c>
      <c r="H61" s="64">
        <v>18.7</v>
      </c>
      <c r="I61" s="210" t="s">
        <v>43</v>
      </c>
      <c r="J61" s="64">
        <v>0.81</v>
      </c>
      <c r="K61" s="64">
        <v>313.23</v>
      </c>
      <c r="L61" s="64">
        <v>31.25</v>
      </c>
      <c r="M61" s="64">
        <v>19.46</v>
      </c>
      <c r="N61" s="64">
        <v>819.9</v>
      </c>
      <c r="O61" s="64">
        <v>0</v>
      </c>
      <c r="P61" s="64">
        <v>0.48</v>
      </c>
      <c r="Q61" s="64">
        <v>9.9700000000000006</v>
      </c>
      <c r="R61" s="198"/>
      <c r="S61" s="198"/>
      <c r="T61" s="198"/>
      <c r="U61" s="198"/>
    </row>
    <row r="62" spans="1:21" s="12" customFormat="1" x14ac:dyDescent="0.25">
      <c r="A62" s="213" t="s">
        <v>1161</v>
      </c>
      <c r="B62" s="64">
        <v>3.14</v>
      </c>
      <c r="C62" s="64">
        <v>55.11</v>
      </c>
      <c r="D62" s="64">
        <v>29.93</v>
      </c>
      <c r="E62" s="64">
        <v>11.72</v>
      </c>
      <c r="F62" s="64">
        <v>5.62</v>
      </c>
      <c r="G62" s="64">
        <v>67.17</v>
      </c>
      <c r="H62" s="64">
        <v>18.7</v>
      </c>
      <c r="I62" s="210" t="s">
        <v>43</v>
      </c>
      <c r="J62" s="64">
        <v>1.02</v>
      </c>
      <c r="K62" s="64">
        <v>304.49</v>
      </c>
      <c r="L62" s="64">
        <v>32.36</v>
      </c>
      <c r="M62" s="64">
        <v>19.12</v>
      </c>
      <c r="N62" s="64">
        <v>797</v>
      </c>
      <c r="O62" s="64">
        <v>0</v>
      </c>
      <c r="P62" s="64">
        <v>0.49</v>
      </c>
      <c r="Q62" s="64">
        <v>9.94</v>
      </c>
      <c r="R62" s="198"/>
      <c r="S62" s="198"/>
      <c r="T62" s="198"/>
      <c r="U62" s="198"/>
    </row>
    <row r="63" spans="1:21" s="12" customFormat="1" x14ac:dyDescent="0.25">
      <c r="A63" s="213" t="s">
        <v>1162</v>
      </c>
      <c r="B63" s="64">
        <v>3.35</v>
      </c>
      <c r="C63" s="64">
        <v>54.18</v>
      </c>
      <c r="D63" s="64">
        <v>29.61</v>
      </c>
      <c r="E63" s="64">
        <v>8.5500000000000007</v>
      </c>
      <c r="F63" s="64">
        <v>5.01</v>
      </c>
      <c r="G63" s="64">
        <v>67.17</v>
      </c>
      <c r="H63" s="64">
        <v>18.7</v>
      </c>
      <c r="I63" s="210" t="s">
        <v>43</v>
      </c>
      <c r="J63" s="64">
        <v>0.68</v>
      </c>
      <c r="K63" s="64">
        <v>277.89</v>
      </c>
      <c r="L63" s="64">
        <v>31.26</v>
      </c>
      <c r="M63" s="64">
        <v>19.62</v>
      </c>
      <c r="N63" s="64">
        <v>743.4</v>
      </c>
      <c r="O63" s="64">
        <v>0</v>
      </c>
      <c r="P63" s="64">
        <v>0.51</v>
      </c>
      <c r="Q63" s="64">
        <v>9.9499999999999993</v>
      </c>
      <c r="R63" s="198"/>
      <c r="S63" s="198"/>
      <c r="T63" s="198"/>
      <c r="U63" s="198"/>
    </row>
    <row r="64" spans="1:21" s="12" customFormat="1" x14ac:dyDescent="0.25">
      <c r="A64" s="213" t="s">
        <v>1163</v>
      </c>
      <c r="B64" s="64">
        <v>3</v>
      </c>
      <c r="C64" s="64">
        <v>52.11</v>
      </c>
      <c r="D64" s="64">
        <v>28.25</v>
      </c>
      <c r="E64" s="64">
        <v>8.7799999999999994</v>
      </c>
      <c r="F64" s="64">
        <v>13.27</v>
      </c>
      <c r="G64" s="64">
        <v>64.86</v>
      </c>
      <c r="H64" s="64">
        <v>18.78</v>
      </c>
      <c r="I64" s="210" t="s">
        <v>43</v>
      </c>
      <c r="J64" s="64">
        <v>0.4</v>
      </c>
      <c r="K64" s="64">
        <v>257.06</v>
      </c>
      <c r="L64" s="64">
        <v>29.99</v>
      </c>
      <c r="M64" s="64">
        <v>20.69</v>
      </c>
      <c r="N64" s="64">
        <v>711.3</v>
      </c>
      <c r="O64" s="64">
        <v>0</v>
      </c>
      <c r="P64" s="64">
        <v>0.5</v>
      </c>
      <c r="Q64" s="64">
        <v>9.98</v>
      </c>
      <c r="R64" s="198"/>
      <c r="S64" s="198"/>
      <c r="T64" s="198"/>
      <c r="U64" s="198"/>
    </row>
    <row r="65" spans="1:21" s="12" customFormat="1" x14ac:dyDescent="0.25">
      <c r="A65" s="213" t="s">
        <v>1164</v>
      </c>
      <c r="B65" s="64">
        <v>2.91</v>
      </c>
      <c r="C65" s="64">
        <v>54.59</v>
      </c>
      <c r="D65" s="64">
        <v>29.48</v>
      </c>
      <c r="E65" s="64">
        <v>9.5299999999999994</v>
      </c>
      <c r="F65" s="64">
        <v>12.44</v>
      </c>
      <c r="G65" s="64">
        <v>59.76</v>
      </c>
      <c r="H65" s="64">
        <v>18.96</v>
      </c>
      <c r="I65" s="210" t="s">
        <v>43</v>
      </c>
      <c r="J65" s="64">
        <v>0.44</v>
      </c>
      <c r="K65" s="64">
        <v>284.02</v>
      </c>
      <c r="L65" s="64">
        <v>30.32</v>
      </c>
      <c r="M65" s="64">
        <v>20.43</v>
      </c>
      <c r="N65" s="64">
        <v>519.20000000000005</v>
      </c>
      <c r="O65" s="64">
        <v>0</v>
      </c>
      <c r="P65" s="64">
        <v>0.56000000000000005</v>
      </c>
      <c r="Q65" s="64">
        <v>10</v>
      </c>
      <c r="R65" s="198"/>
      <c r="S65" s="198"/>
      <c r="T65" s="198"/>
      <c r="U65" s="198"/>
    </row>
    <row r="66" spans="1:21" s="12" customFormat="1" x14ac:dyDescent="0.25">
      <c r="A66" s="213" t="s">
        <v>1165</v>
      </c>
      <c r="B66" s="64">
        <v>2.85</v>
      </c>
      <c r="C66" s="64">
        <v>59.86</v>
      </c>
      <c r="D66" s="64">
        <v>32.71</v>
      </c>
      <c r="E66" s="64">
        <v>10.27</v>
      </c>
      <c r="F66" s="64">
        <v>13.94</v>
      </c>
      <c r="G66" s="64">
        <v>59.76</v>
      </c>
      <c r="H66" s="64">
        <v>18.96</v>
      </c>
      <c r="I66" s="210" t="s">
        <v>43</v>
      </c>
      <c r="J66" s="64">
        <v>0.46</v>
      </c>
      <c r="K66" s="64">
        <v>268.52</v>
      </c>
      <c r="L66" s="64">
        <v>29.74</v>
      </c>
      <c r="M66" s="64">
        <v>21.17</v>
      </c>
      <c r="N66" s="64">
        <v>380.8</v>
      </c>
      <c r="O66" s="64">
        <v>0</v>
      </c>
      <c r="P66" s="64">
        <v>0.66</v>
      </c>
      <c r="Q66" s="64">
        <v>10.01</v>
      </c>
      <c r="R66" s="198"/>
      <c r="S66" s="198"/>
      <c r="T66" s="198"/>
      <c r="U66" s="198"/>
    </row>
    <row r="67" spans="1:21" s="12" customFormat="1" x14ac:dyDescent="0.25">
      <c r="A67" s="213" t="s">
        <v>1166</v>
      </c>
      <c r="B67" s="64">
        <v>2.69</v>
      </c>
      <c r="C67" s="64">
        <v>62.81</v>
      </c>
      <c r="D67" s="64">
        <v>33.6</v>
      </c>
      <c r="E67" s="64">
        <v>10.029999999999999</v>
      </c>
      <c r="F67" s="64">
        <v>13.72</v>
      </c>
      <c r="G67" s="64">
        <v>59.76</v>
      </c>
      <c r="H67" s="64">
        <v>18.96</v>
      </c>
      <c r="I67" s="210" t="s">
        <v>43</v>
      </c>
      <c r="J67" s="64">
        <v>0.85</v>
      </c>
      <c r="K67" s="64">
        <v>310.88</v>
      </c>
      <c r="L67" s="64">
        <v>30.77</v>
      </c>
      <c r="M67" s="64">
        <v>20.84</v>
      </c>
      <c r="N67" s="64">
        <v>433.8</v>
      </c>
      <c r="O67" s="64">
        <v>0</v>
      </c>
      <c r="P67" s="64">
        <v>0.74</v>
      </c>
      <c r="Q67" s="64">
        <v>10.039999999999999</v>
      </c>
      <c r="R67" s="198"/>
      <c r="S67" s="198"/>
      <c r="T67" s="198"/>
      <c r="U67" s="198"/>
    </row>
    <row r="68" spans="1:21" s="12" customFormat="1" x14ac:dyDescent="0.25">
      <c r="A68" s="213" t="s">
        <v>1167</v>
      </c>
      <c r="B68" s="64">
        <v>2.74</v>
      </c>
      <c r="C68" s="64">
        <v>64.319999999999993</v>
      </c>
      <c r="D68" s="64">
        <v>34.42</v>
      </c>
      <c r="E68" s="64">
        <v>9.26</v>
      </c>
      <c r="F68" s="64">
        <v>13.65</v>
      </c>
      <c r="G68" s="64">
        <v>60.59</v>
      </c>
      <c r="H68" s="64">
        <v>19.5</v>
      </c>
      <c r="I68" s="210" t="s">
        <v>43</v>
      </c>
      <c r="J68" s="64">
        <v>1.74</v>
      </c>
      <c r="K68" s="64">
        <v>321.45</v>
      </c>
      <c r="L68" s="64">
        <v>31.2</v>
      </c>
      <c r="M68" s="64">
        <v>22.6</v>
      </c>
      <c r="N68" s="64">
        <v>358.3</v>
      </c>
      <c r="O68" s="64">
        <v>0</v>
      </c>
      <c r="P68" s="64">
        <v>0.71</v>
      </c>
      <c r="Q68" s="64">
        <v>10.02</v>
      </c>
      <c r="R68" s="198"/>
      <c r="S68" s="198"/>
      <c r="T68" s="198"/>
      <c r="U68" s="198"/>
    </row>
    <row r="69" spans="1:21" s="12" customFormat="1" x14ac:dyDescent="0.25">
      <c r="A69" s="213" t="s">
        <v>1168</v>
      </c>
      <c r="B69" s="64">
        <v>2.67</v>
      </c>
      <c r="C69" s="64">
        <v>62.76</v>
      </c>
      <c r="D69" s="64">
        <v>33.56</v>
      </c>
      <c r="E69" s="64">
        <v>8.15</v>
      </c>
      <c r="F69" s="64">
        <v>10.65</v>
      </c>
      <c r="G69" s="64">
        <v>62.52</v>
      </c>
      <c r="H69" s="64">
        <v>20.69</v>
      </c>
      <c r="I69" s="210" t="s">
        <v>43</v>
      </c>
      <c r="J69" s="64">
        <v>1.85</v>
      </c>
      <c r="K69" s="64">
        <v>341.57</v>
      </c>
      <c r="L69" s="64">
        <v>30.8</v>
      </c>
      <c r="M69" s="64">
        <v>22.67</v>
      </c>
      <c r="N69" s="64">
        <v>397</v>
      </c>
      <c r="O69" s="64">
        <v>0</v>
      </c>
      <c r="P69" s="64">
        <v>0.66</v>
      </c>
      <c r="Q69" s="64">
        <v>10.02</v>
      </c>
      <c r="R69" s="198"/>
      <c r="S69" s="198"/>
      <c r="T69" s="198"/>
      <c r="U69" s="198"/>
    </row>
    <row r="70" spans="1:21" s="12" customFormat="1" x14ac:dyDescent="0.25">
      <c r="A70" s="213" t="s">
        <v>1169</v>
      </c>
      <c r="B70" s="64">
        <v>3.02</v>
      </c>
      <c r="C70" s="64">
        <v>62.05</v>
      </c>
      <c r="D70" s="64">
        <v>33.47</v>
      </c>
      <c r="E70" s="64">
        <v>7.64</v>
      </c>
      <c r="F70" s="64">
        <v>6.38</v>
      </c>
      <c r="G70" s="64">
        <v>62.52</v>
      </c>
      <c r="H70" s="64">
        <v>20.69</v>
      </c>
      <c r="I70" s="210" t="s">
        <v>43</v>
      </c>
      <c r="J70" s="64">
        <v>1.37</v>
      </c>
      <c r="K70" s="64">
        <v>319.20999999999998</v>
      </c>
      <c r="L70" s="64">
        <v>30.46</v>
      </c>
      <c r="M70" s="64">
        <v>23.24</v>
      </c>
      <c r="N70" s="64">
        <v>325.5</v>
      </c>
      <c r="O70" s="64">
        <v>0</v>
      </c>
      <c r="P70" s="64">
        <v>0.64</v>
      </c>
      <c r="Q70" s="64">
        <v>10.039999999999999</v>
      </c>
      <c r="R70" s="198"/>
      <c r="S70" s="198"/>
      <c r="T70" s="198"/>
      <c r="U70" s="198"/>
    </row>
    <row r="71" spans="1:21" s="12" customFormat="1" x14ac:dyDescent="0.25">
      <c r="A71" s="213" t="s">
        <v>1170</v>
      </c>
      <c r="B71" s="64">
        <v>3.39</v>
      </c>
      <c r="C71" s="64">
        <v>61.49</v>
      </c>
      <c r="D71" s="64">
        <v>33.47</v>
      </c>
      <c r="E71" s="64">
        <v>7.37</v>
      </c>
      <c r="F71" s="64">
        <v>4.3</v>
      </c>
      <c r="G71" s="64">
        <v>62.52</v>
      </c>
      <c r="H71" s="64">
        <v>20.69</v>
      </c>
      <c r="I71" s="210" t="s">
        <v>43</v>
      </c>
      <c r="J71" s="64">
        <v>1.1000000000000001</v>
      </c>
      <c r="K71" s="64">
        <v>320.54000000000002</v>
      </c>
      <c r="L71" s="64">
        <v>29.73</v>
      </c>
      <c r="M71" s="64">
        <v>23.71</v>
      </c>
      <c r="N71" s="64">
        <v>214.1</v>
      </c>
      <c r="O71" s="64">
        <v>0</v>
      </c>
      <c r="P71" s="64">
        <v>0.67</v>
      </c>
      <c r="Q71" s="64">
        <v>10.06</v>
      </c>
      <c r="R71" s="198"/>
      <c r="S71" s="198"/>
      <c r="T71" s="198"/>
      <c r="U71" s="198"/>
    </row>
    <row r="72" spans="1:21" s="12" customFormat="1" x14ac:dyDescent="0.25">
      <c r="A72" s="213" t="s">
        <v>1171</v>
      </c>
      <c r="B72" s="64">
        <v>3.59</v>
      </c>
      <c r="C72" s="64">
        <v>59.8</v>
      </c>
      <c r="D72" s="64">
        <v>32.74</v>
      </c>
      <c r="E72" s="64">
        <v>8.1</v>
      </c>
      <c r="F72" s="64">
        <v>4.0999999999999996</v>
      </c>
      <c r="G72" s="64">
        <v>59.18</v>
      </c>
      <c r="H72" s="64">
        <v>19.100000000000001</v>
      </c>
      <c r="I72" s="210" t="s">
        <v>43</v>
      </c>
      <c r="J72" s="64">
        <v>1.06</v>
      </c>
      <c r="K72" s="64">
        <v>309.64999999999998</v>
      </c>
      <c r="L72" s="64">
        <v>29.1</v>
      </c>
      <c r="M72" s="64">
        <v>24.57</v>
      </c>
      <c r="N72" s="64">
        <v>185.5</v>
      </c>
      <c r="O72" s="64">
        <v>0</v>
      </c>
      <c r="P72" s="64">
        <v>0.65</v>
      </c>
      <c r="Q72" s="64">
        <v>10.07</v>
      </c>
      <c r="R72" s="198"/>
      <c r="S72" s="198"/>
      <c r="T72" s="198"/>
      <c r="U72" s="198"/>
    </row>
    <row r="73" spans="1:21" s="12" customFormat="1" x14ac:dyDescent="0.25">
      <c r="A73" s="213" t="s">
        <v>1172</v>
      </c>
      <c r="B73" s="64">
        <v>3.31</v>
      </c>
      <c r="C73" s="64">
        <v>60.88</v>
      </c>
      <c r="D73" s="64">
        <v>33.090000000000003</v>
      </c>
      <c r="E73" s="64">
        <v>8.2799999999999994</v>
      </c>
      <c r="F73" s="64">
        <v>7.88</v>
      </c>
      <c r="G73" s="64">
        <v>51.78</v>
      </c>
      <c r="H73" s="64">
        <v>16.670000000000002</v>
      </c>
      <c r="I73" s="210" t="s">
        <v>43</v>
      </c>
      <c r="J73" s="64">
        <v>1.27</v>
      </c>
      <c r="K73" s="64">
        <v>322.08999999999997</v>
      </c>
      <c r="L73" s="64">
        <v>28.7</v>
      </c>
      <c r="M73" s="64">
        <v>25.29</v>
      </c>
      <c r="N73" s="64">
        <v>165.2</v>
      </c>
      <c r="O73" s="64">
        <v>0</v>
      </c>
      <c r="P73" s="64">
        <v>0.6</v>
      </c>
      <c r="Q73" s="64">
        <v>10.07</v>
      </c>
      <c r="R73" s="198"/>
      <c r="S73" s="198"/>
      <c r="T73" s="198"/>
      <c r="U73" s="198"/>
    </row>
    <row r="74" spans="1:21" s="12" customFormat="1" x14ac:dyDescent="0.25">
      <c r="A74" s="213" t="s">
        <v>1173</v>
      </c>
      <c r="B74" s="64">
        <v>3.32</v>
      </c>
      <c r="C74" s="64">
        <v>62.56</v>
      </c>
      <c r="D74" s="64">
        <v>33.97</v>
      </c>
      <c r="E74" s="64">
        <v>7.17</v>
      </c>
      <c r="F74" s="64">
        <v>5.77</v>
      </c>
      <c r="G74" s="64">
        <v>51.78</v>
      </c>
      <c r="H74" s="64">
        <v>16.670000000000002</v>
      </c>
      <c r="I74" s="210" t="s">
        <v>43</v>
      </c>
      <c r="J74" s="64">
        <v>0.9</v>
      </c>
      <c r="K74" s="64">
        <v>315.76</v>
      </c>
      <c r="L74" s="64">
        <v>28.26</v>
      </c>
      <c r="M74" s="64">
        <v>25.22</v>
      </c>
      <c r="N74" s="64">
        <v>151.5</v>
      </c>
      <c r="O74" s="64">
        <v>0</v>
      </c>
      <c r="P74" s="64">
        <v>0.68</v>
      </c>
      <c r="Q74" s="64">
        <v>10.07</v>
      </c>
      <c r="R74" s="198"/>
      <c r="S74" s="198"/>
      <c r="T74" s="198"/>
      <c r="U74" s="198"/>
    </row>
    <row r="75" spans="1:21" s="12" customFormat="1" x14ac:dyDescent="0.25">
      <c r="A75" s="213" t="s">
        <v>1174</v>
      </c>
      <c r="B75" s="64">
        <v>3.64</v>
      </c>
      <c r="C75" s="64">
        <v>63.12</v>
      </c>
      <c r="D75" s="64">
        <v>34.520000000000003</v>
      </c>
      <c r="E75" s="64">
        <v>7.14</v>
      </c>
      <c r="F75" s="64">
        <v>4.07</v>
      </c>
      <c r="G75" s="64">
        <v>51.78</v>
      </c>
      <c r="H75" s="64">
        <v>16.670000000000002</v>
      </c>
      <c r="I75" s="210" t="s">
        <v>43</v>
      </c>
      <c r="J75" s="64">
        <v>0.93</v>
      </c>
      <c r="K75" s="64">
        <v>315.77</v>
      </c>
      <c r="L75" s="64">
        <v>27.93</v>
      </c>
      <c r="M75" s="64">
        <v>26.64</v>
      </c>
      <c r="N75" s="64">
        <v>136</v>
      </c>
      <c r="O75" s="64">
        <v>0</v>
      </c>
      <c r="P75" s="64">
        <v>0.65</v>
      </c>
      <c r="Q75" s="64">
        <v>10.039999999999999</v>
      </c>
      <c r="R75" s="198"/>
      <c r="S75" s="198"/>
      <c r="T75" s="198"/>
      <c r="U75" s="198"/>
    </row>
    <row r="76" spans="1:21" s="12" customFormat="1" x14ac:dyDescent="0.25">
      <c r="A76" s="213" t="s">
        <v>1175</v>
      </c>
      <c r="B76" s="64">
        <v>3.99</v>
      </c>
      <c r="C76" s="64">
        <v>62.66</v>
      </c>
      <c r="D76" s="64">
        <v>34.57</v>
      </c>
      <c r="E76" s="64">
        <v>6.83</v>
      </c>
      <c r="F76" s="64">
        <v>3.48</v>
      </c>
      <c r="G76" s="64">
        <v>55.6</v>
      </c>
      <c r="H76" s="64">
        <v>18.05</v>
      </c>
      <c r="I76" s="210" t="s">
        <v>43</v>
      </c>
      <c r="J76" s="64">
        <v>1.34</v>
      </c>
      <c r="K76" s="64">
        <v>326</v>
      </c>
      <c r="L76" s="64">
        <v>27.49</v>
      </c>
      <c r="M76" s="64">
        <v>28.22</v>
      </c>
      <c r="N76" s="64">
        <v>122.4</v>
      </c>
      <c r="O76" s="64">
        <v>0</v>
      </c>
      <c r="P76" s="64">
        <v>0.71</v>
      </c>
      <c r="Q76" s="64">
        <v>10.06</v>
      </c>
      <c r="R76" s="198"/>
      <c r="S76" s="198"/>
      <c r="T76" s="198"/>
      <c r="U76" s="198"/>
    </row>
    <row r="77" spans="1:21" s="12" customFormat="1" x14ac:dyDescent="0.25">
      <c r="A77" s="213" t="s">
        <v>1176</v>
      </c>
      <c r="B77" s="64">
        <v>4.51</v>
      </c>
      <c r="C77" s="64">
        <v>63.47</v>
      </c>
      <c r="D77" s="64">
        <v>35.409999999999997</v>
      </c>
      <c r="E77" s="64">
        <v>6.68</v>
      </c>
      <c r="F77" s="64">
        <v>2.71</v>
      </c>
      <c r="G77" s="64">
        <v>64.069999999999993</v>
      </c>
      <c r="H77" s="64">
        <v>21.09</v>
      </c>
      <c r="I77" s="210" t="s">
        <v>43</v>
      </c>
      <c r="J77" s="64">
        <v>0.75</v>
      </c>
      <c r="K77" s="64">
        <v>312.35000000000002</v>
      </c>
      <c r="L77" s="64">
        <v>26.91</v>
      </c>
      <c r="M77" s="64">
        <v>28.7</v>
      </c>
      <c r="N77" s="64">
        <v>108</v>
      </c>
      <c r="O77" s="64">
        <v>0</v>
      </c>
      <c r="P77" s="64">
        <v>0.79</v>
      </c>
      <c r="Q77" s="64">
        <v>10.07</v>
      </c>
      <c r="R77" s="198"/>
      <c r="S77" s="198"/>
      <c r="T77" s="198"/>
      <c r="U77" s="198"/>
    </row>
    <row r="78" spans="1:21" s="12" customFormat="1" x14ac:dyDescent="0.25">
      <c r="A78" s="213" t="s">
        <v>1177</v>
      </c>
      <c r="B78" s="64">
        <v>9.1</v>
      </c>
      <c r="C78" s="64">
        <v>75.48</v>
      </c>
      <c r="D78" s="64">
        <v>45.36</v>
      </c>
      <c r="E78" s="64">
        <v>7.6</v>
      </c>
      <c r="F78" s="64">
        <v>2.13</v>
      </c>
      <c r="G78" s="64">
        <v>64.069999999999993</v>
      </c>
      <c r="H78" s="64">
        <v>21.09</v>
      </c>
      <c r="I78" s="210" t="s">
        <v>43</v>
      </c>
      <c r="J78" s="64">
        <v>0.62</v>
      </c>
      <c r="K78" s="64">
        <v>320.44</v>
      </c>
      <c r="L78" s="64">
        <v>26.17</v>
      </c>
      <c r="M78" s="64">
        <v>30.53</v>
      </c>
      <c r="N78" s="64">
        <v>94.6</v>
      </c>
      <c r="O78" s="64">
        <v>0</v>
      </c>
      <c r="P78" s="64">
        <v>0.91</v>
      </c>
      <c r="Q78" s="64">
        <v>10.02</v>
      </c>
      <c r="R78" s="198"/>
      <c r="S78" s="198"/>
      <c r="T78" s="198"/>
      <c r="U78" s="198"/>
    </row>
    <row r="79" spans="1:21" s="12" customFormat="1" x14ac:dyDescent="0.25">
      <c r="A79" s="213" t="s">
        <v>1178</v>
      </c>
      <c r="B79" s="64">
        <v>16.36</v>
      </c>
      <c r="C79" s="64">
        <v>104.42</v>
      </c>
      <c r="D79" s="64">
        <v>66.3</v>
      </c>
      <c r="E79" s="64">
        <v>9.6999999999999993</v>
      </c>
      <c r="F79" s="64">
        <v>2.13</v>
      </c>
      <c r="G79" s="64">
        <v>64.069999999999993</v>
      </c>
      <c r="H79" s="64">
        <v>21.09</v>
      </c>
      <c r="I79" s="210" t="s">
        <v>43</v>
      </c>
      <c r="J79" s="64">
        <v>0.5</v>
      </c>
      <c r="K79" s="64">
        <v>281.92</v>
      </c>
      <c r="L79" s="64">
        <v>25.06</v>
      </c>
      <c r="M79" s="64">
        <v>34.590000000000003</v>
      </c>
      <c r="N79" s="64">
        <v>82.8</v>
      </c>
      <c r="O79" s="64">
        <v>0</v>
      </c>
      <c r="P79" s="64">
        <v>0.92</v>
      </c>
      <c r="Q79" s="64">
        <v>10.01</v>
      </c>
      <c r="R79" s="198"/>
      <c r="S79" s="198"/>
      <c r="T79" s="198"/>
      <c r="U79" s="198"/>
    </row>
    <row r="80" spans="1:21" s="12" customFormat="1" x14ac:dyDescent="0.25">
      <c r="A80" s="213" t="s">
        <v>1179</v>
      </c>
      <c r="B80" s="64">
        <v>17.079999999999998</v>
      </c>
      <c r="C80" s="64">
        <v>105.29</v>
      </c>
      <c r="D80" s="64">
        <v>67.33</v>
      </c>
      <c r="E80" s="64">
        <v>8.4700000000000006</v>
      </c>
      <c r="F80" s="64">
        <v>2.13</v>
      </c>
      <c r="G80" s="64">
        <v>66.08</v>
      </c>
      <c r="H80" s="64">
        <v>21.48</v>
      </c>
      <c r="I80" s="210" t="s">
        <v>43</v>
      </c>
      <c r="J80" s="64">
        <v>0.16</v>
      </c>
      <c r="K80" s="64">
        <v>210.9</v>
      </c>
      <c r="L80" s="64">
        <v>23.84</v>
      </c>
      <c r="M80" s="64">
        <v>39.299999999999997</v>
      </c>
      <c r="N80" s="64">
        <v>74.7</v>
      </c>
      <c r="O80" s="64">
        <v>0</v>
      </c>
      <c r="P80" s="64">
        <v>0.97</v>
      </c>
      <c r="Q80" s="64">
        <v>10.130000000000001</v>
      </c>
      <c r="R80" s="198"/>
      <c r="S80" s="198"/>
      <c r="T80" s="198"/>
      <c r="U80" s="198"/>
    </row>
    <row r="81" spans="1:26" s="12" customFormat="1" x14ac:dyDescent="0.25">
      <c r="A81" s="213" t="s">
        <v>1180</v>
      </c>
      <c r="B81" s="64">
        <v>19.559999999999999</v>
      </c>
      <c r="C81" s="64">
        <v>102.12</v>
      </c>
      <c r="D81" s="64">
        <v>67.66</v>
      </c>
      <c r="E81" s="64">
        <v>7.98</v>
      </c>
      <c r="F81" s="64">
        <v>2.13</v>
      </c>
      <c r="G81" s="64">
        <v>70.53</v>
      </c>
      <c r="H81" s="64">
        <v>22.34</v>
      </c>
      <c r="I81" s="210" t="s">
        <v>43</v>
      </c>
      <c r="J81" s="64">
        <v>0.21</v>
      </c>
      <c r="K81" s="64">
        <v>1.56</v>
      </c>
      <c r="L81" s="64">
        <v>22.87</v>
      </c>
      <c r="M81" s="64">
        <v>43.62</v>
      </c>
      <c r="N81" s="64">
        <v>71.7</v>
      </c>
      <c r="O81" s="64">
        <v>0</v>
      </c>
      <c r="P81" s="64">
        <v>1.1000000000000001</v>
      </c>
      <c r="Q81" s="64">
        <v>10.130000000000001</v>
      </c>
      <c r="R81" s="198"/>
      <c r="S81" s="198"/>
      <c r="T81" s="198"/>
      <c r="U81" s="198"/>
    </row>
    <row r="82" spans="1:26" s="12" customFormat="1" x14ac:dyDescent="0.25">
      <c r="A82" s="213" t="s">
        <v>1181</v>
      </c>
      <c r="B82" s="64">
        <v>25.88</v>
      </c>
      <c r="C82" s="64">
        <v>99.02</v>
      </c>
      <c r="D82" s="64">
        <v>71.11</v>
      </c>
      <c r="E82" s="64">
        <v>7.5</v>
      </c>
      <c r="F82" s="64">
        <v>2.13</v>
      </c>
      <c r="G82" s="64">
        <v>70.53</v>
      </c>
      <c r="H82" s="64">
        <v>22.34</v>
      </c>
      <c r="I82" s="210" t="s">
        <v>43</v>
      </c>
      <c r="J82" s="64">
        <v>0.61</v>
      </c>
      <c r="K82" s="64">
        <v>302.94</v>
      </c>
      <c r="L82" s="64">
        <v>22.07</v>
      </c>
      <c r="M82" s="64">
        <v>50.2</v>
      </c>
      <c r="N82" s="64">
        <v>71.3</v>
      </c>
      <c r="O82" s="64">
        <v>0</v>
      </c>
      <c r="P82" s="64">
        <v>1.23</v>
      </c>
      <c r="Q82" s="64">
        <v>10.07</v>
      </c>
      <c r="R82" s="198"/>
      <c r="S82" s="198"/>
      <c r="T82" s="198"/>
      <c r="U82" s="198"/>
    </row>
    <row r="83" spans="1:26" s="12" customFormat="1" x14ac:dyDescent="0.25">
      <c r="A83" s="213" t="s">
        <v>1182</v>
      </c>
      <c r="B83" s="64">
        <v>33.25</v>
      </c>
      <c r="C83" s="64">
        <v>95.82</v>
      </c>
      <c r="D83" s="64">
        <v>75.349999999999994</v>
      </c>
      <c r="E83" s="64">
        <v>7.15</v>
      </c>
      <c r="F83" s="64">
        <v>2.13</v>
      </c>
      <c r="G83" s="64">
        <v>70.53</v>
      </c>
      <c r="H83" s="64">
        <v>22.34</v>
      </c>
      <c r="I83" s="210" t="s">
        <v>43</v>
      </c>
      <c r="J83" s="64">
        <v>0.17</v>
      </c>
      <c r="K83" s="64">
        <v>349.12</v>
      </c>
      <c r="L83" s="64">
        <v>21.49</v>
      </c>
      <c r="M83" s="64">
        <v>50.69</v>
      </c>
      <c r="N83" s="64">
        <v>71</v>
      </c>
      <c r="O83" s="64">
        <v>0</v>
      </c>
      <c r="P83" s="64">
        <v>1.41</v>
      </c>
      <c r="Q83" s="64">
        <v>10.130000000000001</v>
      </c>
      <c r="R83" s="198"/>
      <c r="S83" s="198"/>
      <c r="T83" s="198"/>
      <c r="U83" s="198"/>
    </row>
    <row r="84" spans="1:26" s="12" customFormat="1" x14ac:dyDescent="0.25">
      <c r="A84" s="213" t="s">
        <v>1183</v>
      </c>
      <c r="B84" s="64">
        <v>41.6</v>
      </c>
      <c r="C84" s="64">
        <v>93.42</v>
      </c>
      <c r="D84" s="64">
        <v>80.790000000000006</v>
      </c>
      <c r="E84" s="64">
        <v>7.3</v>
      </c>
      <c r="F84" s="64">
        <v>2.13</v>
      </c>
      <c r="G84" s="64">
        <v>102.65</v>
      </c>
      <c r="H84" s="64">
        <v>23.7</v>
      </c>
      <c r="I84" s="210" t="s">
        <v>43</v>
      </c>
      <c r="J84" s="64">
        <v>0.64</v>
      </c>
      <c r="K84" s="64">
        <v>325.62</v>
      </c>
      <c r="L84" s="64">
        <v>20.98</v>
      </c>
      <c r="M84" s="64">
        <v>51.32</v>
      </c>
      <c r="N84" s="64">
        <v>70.900000000000006</v>
      </c>
      <c r="O84" s="64">
        <v>0</v>
      </c>
      <c r="P84" s="64">
        <v>1.34</v>
      </c>
      <c r="Q84" s="64">
        <v>10.15</v>
      </c>
      <c r="R84" s="198"/>
      <c r="S84" s="198"/>
      <c r="T84" s="198"/>
      <c r="U84" s="198"/>
    </row>
    <row r="85" spans="1:26" s="12" customFormat="1" x14ac:dyDescent="0.25">
      <c r="A85" s="213" t="s">
        <v>1184</v>
      </c>
      <c r="B85" s="64">
        <v>49.28</v>
      </c>
      <c r="C85" s="64">
        <v>91.33</v>
      </c>
      <c r="D85" s="64">
        <v>85.86</v>
      </c>
      <c r="E85" s="64">
        <v>7.92</v>
      </c>
      <c r="F85" s="64">
        <v>2.13</v>
      </c>
      <c r="G85" s="64">
        <v>173.77</v>
      </c>
      <c r="H85" s="64">
        <v>26.71</v>
      </c>
      <c r="I85" s="210" t="s">
        <v>43</v>
      </c>
      <c r="J85" s="64">
        <v>0.81</v>
      </c>
      <c r="K85" s="64">
        <v>354.73</v>
      </c>
      <c r="L85" s="64">
        <v>20.83</v>
      </c>
      <c r="M85" s="64">
        <v>58.93</v>
      </c>
      <c r="N85" s="64">
        <v>70.7</v>
      </c>
      <c r="O85" s="64">
        <v>0</v>
      </c>
      <c r="P85" s="64">
        <v>1.8</v>
      </c>
      <c r="Q85" s="64">
        <v>10.23</v>
      </c>
      <c r="R85" s="198"/>
      <c r="S85" s="198"/>
      <c r="T85" s="198"/>
      <c r="U85" s="198"/>
    </row>
    <row r="86" spans="1:26" s="12" customFormat="1" x14ac:dyDescent="0.25">
      <c r="A86" s="213" t="s">
        <v>1185</v>
      </c>
      <c r="B86" s="64">
        <v>57.63</v>
      </c>
      <c r="C86" s="64">
        <v>89.13</v>
      </c>
      <c r="D86" s="64">
        <v>91.41</v>
      </c>
      <c r="E86" s="64">
        <v>8.1</v>
      </c>
      <c r="F86" s="64">
        <v>2.13</v>
      </c>
      <c r="G86" s="64">
        <v>173.77</v>
      </c>
      <c r="H86" s="64">
        <v>26.71</v>
      </c>
      <c r="I86" s="210" t="s">
        <v>43</v>
      </c>
      <c r="J86" s="64">
        <v>0.01</v>
      </c>
      <c r="K86" s="64">
        <v>297.04000000000002</v>
      </c>
      <c r="L86" s="64">
        <v>20.63</v>
      </c>
      <c r="M86" s="64">
        <v>55.21</v>
      </c>
      <c r="N86" s="64">
        <v>70.5</v>
      </c>
      <c r="O86" s="64">
        <v>0</v>
      </c>
      <c r="P86" s="64">
        <v>1.62</v>
      </c>
      <c r="Q86" s="64">
        <v>10.220000000000001</v>
      </c>
      <c r="R86" s="198"/>
      <c r="S86" s="198"/>
      <c r="T86" s="198"/>
      <c r="U86" s="198"/>
    </row>
    <row r="87" spans="1:26" s="12" customFormat="1" x14ac:dyDescent="0.25">
      <c r="A87" s="213" t="s">
        <v>1186</v>
      </c>
      <c r="B87" s="64">
        <v>64.150000000000006</v>
      </c>
      <c r="C87" s="64">
        <v>87.07</v>
      </c>
      <c r="D87" s="64">
        <v>95.55</v>
      </c>
      <c r="E87" s="64">
        <v>8.7100000000000009</v>
      </c>
      <c r="F87" s="64">
        <v>2.13</v>
      </c>
      <c r="G87" s="64">
        <v>173.77</v>
      </c>
      <c r="H87" s="64">
        <v>26.71</v>
      </c>
      <c r="I87" s="210" t="s">
        <v>43</v>
      </c>
      <c r="J87" s="64">
        <v>0.41</v>
      </c>
      <c r="K87" s="64">
        <v>326.72000000000003</v>
      </c>
      <c r="L87" s="64">
        <v>20.55</v>
      </c>
      <c r="M87" s="64">
        <v>56.01</v>
      </c>
      <c r="N87" s="64">
        <v>70.5</v>
      </c>
      <c r="O87" s="64">
        <v>0</v>
      </c>
      <c r="P87" s="64">
        <v>1.59</v>
      </c>
      <c r="Q87" s="64">
        <v>10.28</v>
      </c>
      <c r="R87" s="198"/>
      <c r="S87" s="198"/>
      <c r="T87" s="198"/>
      <c r="U87" s="198"/>
    </row>
    <row r="88" spans="1:26" s="12" customFormat="1" x14ac:dyDescent="0.25">
      <c r="A88" s="213" t="s">
        <v>1187</v>
      </c>
      <c r="B88" s="64">
        <v>69.83</v>
      </c>
      <c r="C88" s="64">
        <v>84.87</v>
      </c>
      <c r="D88" s="64">
        <v>98.96</v>
      </c>
      <c r="E88" s="64">
        <v>9.2100000000000009</v>
      </c>
      <c r="F88" s="64">
        <v>2.13</v>
      </c>
      <c r="G88" s="64">
        <v>170.2</v>
      </c>
      <c r="H88" s="64">
        <v>28.75</v>
      </c>
      <c r="I88" s="210" t="s">
        <v>43</v>
      </c>
      <c r="J88" s="64">
        <v>0.51</v>
      </c>
      <c r="K88" s="64">
        <v>349.34</v>
      </c>
      <c r="L88" s="64">
        <v>20.54</v>
      </c>
      <c r="M88" s="64">
        <v>55.2</v>
      </c>
      <c r="N88" s="64">
        <v>70.400000000000006</v>
      </c>
      <c r="O88" s="64">
        <v>0</v>
      </c>
      <c r="P88" s="64">
        <v>1.9</v>
      </c>
      <c r="Q88" s="64">
        <v>10.31</v>
      </c>
      <c r="R88" s="198"/>
      <c r="S88" s="198"/>
      <c r="T88" s="198"/>
      <c r="U88" s="198"/>
    </row>
    <row r="89" spans="1:26" s="12" customFormat="1" x14ac:dyDescent="0.25">
      <c r="A89" s="213" t="s">
        <v>1188</v>
      </c>
      <c r="B89" s="64">
        <v>75.099999999999994</v>
      </c>
      <c r="C89" s="64">
        <v>82.03</v>
      </c>
      <c r="D89" s="64">
        <v>101.71</v>
      </c>
      <c r="E89" s="64">
        <v>8.7100000000000009</v>
      </c>
      <c r="F89" s="64">
        <v>2.13</v>
      </c>
      <c r="G89" s="64">
        <v>162.31</v>
      </c>
      <c r="H89" s="64">
        <v>33.28</v>
      </c>
      <c r="I89" s="210" t="s">
        <v>43</v>
      </c>
      <c r="J89" s="64">
        <v>0.56000000000000005</v>
      </c>
      <c r="K89" s="64">
        <v>326.42</v>
      </c>
      <c r="L89" s="64">
        <v>20.46</v>
      </c>
      <c r="M89" s="64">
        <v>54.4</v>
      </c>
      <c r="N89" s="64">
        <v>70.400000000000006</v>
      </c>
      <c r="O89" s="64">
        <v>0</v>
      </c>
      <c r="P89" s="64">
        <v>2.2599999999999998</v>
      </c>
      <c r="Q89" s="64">
        <v>10.33</v>
      </c>
      <c r="R89" s="198"/>
      <c r="S89" s="198"/>
      <c r="T89" s="198"/>
      <c r="U89" s="198"/>
    </row>
    <row r="90" spans="1:26" s="12" customFormat="1" x14ac:dyDescent="0.25">
      <c r="A90" s="213" t="s">
        <v>1189</v>
      </c>
      <c r="B90" s="64">
        <v>78.94</v>
      </c>
      <c r="C90" s="64">
        <v>77.680000000000007</v>
      </c>
      <c r="D90" s="64">
        <v>102.51</v>
      </c>
      <c r="E90" s="64">
        <v>9.06</v>
      </c>
      <c r="F90" s="64">
        <v>2.13</v>
      </c>
      <c r="G90" s="64">
        <v>162.31</v>
      </c>
      <c r="H90" s="64">
        <v>33.28</v>
      </c>
      <c r="I90" s="210" t="s">
        <v>43</v>
      </c>
      <c r="J90" s="64">
        <v>0.61</v>
      </c>
      <c r="K90" s="64">
        <v>312.06</v>
      </c>
      <c r="L90" s="64">
        <v>20.49</v>
      </c>
      <c r="M90" s="64">
        <v>52.08</v>
      </c>
      <c r="N90" s="64">
        <v>70.3</v>
      </c>
      <c r="O90" s="64">
        <v>0</v>
      </c>
      <c r="P90" s="64">
        <v>2.27</v>
      </c>
      <c r="Q90" s="64">
        <v>10.33</v>
      </c>
      <c r="R90" s="198"/>
      <c r="S90" s="198"/>
      <c r="T90" s="198"/>
      <c r="U90" s="198"/>
    </row>
    <row r="91" spans="1:26" s="12" customFormat="1" x14ac:dyDescent="0.25">
      <c r="A91" s="213" t="s">
        <v>1190</v>
      </c>
      <c r="B91" s="64">
        <v>81.59</v>
      </c>
      <c r="C91" s="64">
        <v>76.44</v>
      </c>
      <c r="D91" s="64">
        <v>103.99</v>
      </c>
      <c r="E91" s="64">
        <v>8.6300000000000008</v>
      </c>
      <c r="F91" s="64">
        <v>2.13</v>
      </c>
      <c r="G91" s="64">
        <v>162.31</v>
      </c>
      <c r="H91" s="64">
        <v>33.28</v>
      </c>
      <c r="I91" s="210" t="s">
        <v>43</v>
      </c>
      <c r="J91" s="64">
        <v>0.65</v>
      </c>
      <c r="K91" s="64">
        <v>301.58</v>
      </c>
      <c r="L91" s="64">
        <v>20.239999999999998</v>
      </c>
      <c r="M91" s="64">
        <v>52.54</v>
      </c>
      <c r="N91" s="64">
        <v>70.599999999999994</v>
      </c>
      <c r="O91" s="64">
        <v>0</v>
      </c>
      <c r="P91" s="64">
        <v>2.29</v>
      </c>
      <c r="Q91" s="64">
        <v>10.34</v>
      </c>
      <c r="R91" s="198"/>
      <c r="S91" s="198"/>
      <c r="T91" s="198"/>
      <c r="U91" s="198"/>
    </row>
    <row r="92" spans="1:26" s="12" customFormat="1" x14ac:dyDescent="0.25">
      <c r="A92" s="213" t="s">
        <v>1191</v>
      </c>
      <c r="B92" s="64">
        <v>84.5</v>
      </c>
      <c r="C92" s="64">
        <v>75.680000000000007</v>
      </c>
      <c r="D92" s="64">
        <v>105.93</v>
      </c>
      <c r="E92" s="64">
        <v>8.7899999999999991</v>
      </c>
      <c r="F92" s="64">
        <v>2.13</v>
      </c>
      <c r="G92" s="64">
        <v>158.11000000000001</v>
      </c>
      <c r="H92" s="64">
        <v>34.729999999999997</v>
      </c>
      <c r="I92" s="210" t="s">
        <v>43</v>
      </c>
      <c r="J92" s="64">
        <v>0.32</v>
      </c>
      <c r="K92" s="64">
        <v>33.94</v>
      </c>
      <c r="L92" s="64">
        <v>20.07</v>
      </c>
      <c r="M92" s="64">
        <v>54.03</v>
      </c>
      <c r="N92" s="64">
        <v>70.7</v>
      </c>
      <c r="O92" s="64">
        <v>0</v>
      </c>
      <c r="P92" s="64">
        <v>2.4</v>
      </c>
      <c r="Q92" s="64">
        <v>10.33</v>
      </c>
      <c r="R92" s="198"/>
      <c r="S92" s="198"/>
      <c r="T92" s="198"/>
      <c r="U92" s="198"/>
    </row>
    <row r="93" spans="1:26" s="12" customFormat="1" x14ac:dyDescent="0.25">
      <c r="A93" s="213" t="s">
        <v>1192</v>
      </c>
      <c r="B93" s="64">
        <v>89.82</v>
      </c>
      <c r="C93" s="64">
        <v>74.92</v>
      </c>
      <c r="D93" s="64">
        <v>109.8</v>
      </c>
      <c r="E93" s="64">
        <v>8.41</v>
      </c>
      <c r="F93" s="64">
        <v>2.13</v>
      </c>
      <c r="G93" s="64">
        <v>148.82</v>
      </c>
      <c r="H93" s="64">
        <v>37.92</v>
      </c>
      <c r="I93" s="210" t="s">
        <v>43</v>
      </c>
      <c r="J93" s="64">
        <v>0.45</v>
      </c>
      <c r="K93" s="64">
        <v>96.64</v>
      </c>
      <c r="L93" s="64">
        <v>19.97</v>
      </c>
      <c r="M93" s="64">
        <v>57.89</v>
      </c>
      <c r="N93" s="64">
        <v>70.400000000000006</v>
      </c>
      <c r="O93" s="64">
        <v>0</v>
      </c>
      <c r="P93" s="64">
        <v>2.5</v>
      </c>
      <c r="Q93" s="64">
        <v>10.3</v>
      </c>
      <c r="R93" s="198"/>
      <c r="S93" s="198"/>
      <c r="T93" s="198"/>
      <c r="U93" s="198"/>
    </row>
    <row r="94" spans="1:26" s="12" customFormat="1" x14ac:dyDescent="0.25">
      <c r="A94" s="213" t="s">
        <v>1193</v>
      </c>
      <c r="B94" s="64">
        <v>104.99</v>
      </c>
      <c r="C94" s="64">
        <v>75.08</v>
      </c>
      <c r="D94" s="64">
        <v>122.05</v>
      </c>
      <c r="E94" s="64">
        <v>8.76</v>
      </c>
      <c r="F94" s="64">
        <v>2.13</v>
      </c>
      <c r="G94" s="64">
        <v>148.82</v>
      </c>
      <c r="H94" s="64">
        <v>37.92</v>
      </c>
      <c r="I94" s="210" t="s">
        <v>43</v>
      </c>
      <c r="J94" s="64">
        <v>0.3</v>
      </c>
      <c r="K94" s="64">
        <v>353.15</v>
      </c>
      <c r="L94" s="64">
        <v>19.600000000000001</v>
      </c>
      <c r="M94" s="64">
        <v>60.13</v>
      </c>
      <c r="N94" s="64">
        <v>70.7</v>
      </c>
      <c r="O94" s="64">
        <v>0</v>
      </c>
      <c r="P94" s="64">
        <v>2.46</v>
      </c>
      <c r="Q94" s="64">
        <v>10.27</v>
      </c>
      <c r="R94" s="198"/>
      <c r="S94" s="198"/>
      <c r="T94" s="198"/>
      <c r="U94" s="198"/>
    </row>
    <row r="95" spans="1:26" s="12" customFormat="1" x14ac:dyDescent="0.25">
      <c r="A95" s="213" t="s">
        <v>1194</v>
      </c>
      <c r="B95" s="64">
        <v>120.18</v>
      </c>
      <c r="C95" s="64">
        <v>75.59</v>
      </c>
      <c r="D95" s="64">
        <v>134.49</v>
      </c>
      <c r="E95" s="64">
        <v>9.0399999999999991</v>
      </c>
      <c r="F95" s="64">
        <v>2.13</v>
      </c>
      <c r="G95" s="64">
        <v>148.82</v>
      </c>
      <c r="H95" s="64">
        <v>37.92</v>
      </c>
      <c r="I95" s="210" t="s">
        <v>43</v>
      </c>
      <c r="J95" s="64">
        <v>0.43</v>
      </c>
      <c r="K95" s="64">
        <v>350.72</v>
      </c>
      <c r="L95" s="64">
        <v>19.239999999999998</v>
      </c>
      <c r="M95" s="64">
        <v>62.93</v>
      </c>
      <c r="N95" s="64">
        <v>70.7</v>
      </c>
      <c r="O95" s="64">
        <v>0</v>
      </c>
      <c r="P95" s="64">
        <v>2.42</v>
      </c>
      <c r="Q95" s="64">
        <v>10.28</v>
      </c>
      <c r="R95" s="198"/>
      <c r="S95" s="198"/>
      <c r="T95" s="198"/>
      <c r="U95" s="198"/>
    </row>
    <row r="96" spans="1:26" s="12" customFormat="1" x14ac:dyDescent="0.25">
      <c r="A96" s="213" t="s">
        <v>1195</v>
      </c>
      <c r="B96" s="64">
        <v>131.57</v>
      </c>
      <c r="C96" s="64">
        <v>74.58</v>
      </c>
      <c r="D96" s="64">
        <v>143.1</v>
      </c>
      <c r="E96" s="64">
        <v>9.44</v>
      </c>
      <c r="F96" s="64">
        <v>2.13</v>
      </c>
      <c r="G96" s="64">
        <v>157.37</v>
      </c>
      <c r="H96" s="64">
        <v>39.69</v>
      </c>
      <c r="I96" s="210" t="s">
        <v>43</v>
      </c>
      <c r="J96" s="64">
        <v>0.23</v>
      </c>
      <c r="K96" s="64">
        <v>286.39999999999998</v>
      </c>
      <c r="L96" s="64">
        <v>18.98</v>
      </c>
      <c r="M96" s="64">
        <v>64.91</v>
      </c>
      <c r="N96" s="64">
        <v>70.7</v>
      </c>
      <c r="O96" s="64">
        <v>0</v>
      </c>
      <c r="P96" s="64">
        <v>2.46</v>
      </c>
      <c r="Q96" s="64">
        <v>10.36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1196</v>
      </c>
      <c r="B97" s="64">
        <v>138.44999999999999</v>
      </c>
      <c r="C97" s="64">
        <v>75.41</v>
      </c>
      <c r="D97" s="64">
        <v>149.05000000000001</v>
      </c>
      <c r="E97" s="64">
        <v>9.26</v>
      </c>
      <c r="F97" s="64">
        <v>2.13</v>
      </c>
      <c r="G97" s="64">
        <v>176.31</v>
      </c>
      <c r="H97" s="64">
        <v>43.6</v>
      </c>
      <c r="I97" s="210" t="s">
        <v>43</v>
      </c>
      <c r="J97" s="64">
        <v>0.66</v>
      </c>
      <c r="K97" s="64">
        <v>239.38</v>
      </c>
      <c r="L97" s="64">
        <v>19.170000000000002</v>
      </c>
      <c r="M97" s="64">
        <v>61.49</v>
      </c>
      <c r="N97" s="64">
        <v>70.400000000000006</v>
      </c>
      <c r="O97" s="64">
        <v>0</v>
      </c>
      <c r="P97" s="64">
        <v>2.09</v>
      </c>
      <c r="Q97" s="64">
        <v>10.44</v>
      </c>
      <c r="R97" s="198"/>
      <c r="S97" s="198"/>
      <c r="T97" s="198"/>
      <c r="U97" s="198"/>
    </row>
    <row r="98" spans="1:33" s="12" customFormat="1" x14ac:dyDescent="0.25">
      <c r="A98" s="213" t="s">
        <v>1197</v>
      </c>
      <c r="B98" s="64">
        <v>145.08000000000001</v>
      </c>
      <c r="C98" s="64">
        <v>75.55</v>
      </c>
      <c r="D98" s="64">
        <v>154.44</v>
      </c>
      <c r="E98" s="64">
        <v>9.58</v>
      </c>
      <c r="F98" s="64">
        <v>2.13</v>
      </c>
      <c r="G98" s="64">
        <v>176.31</v>
      </c>
      <c r="H98" s="64">
        <v>43.6</v>
      </c>
      <c r="I98" s="210" t="s">
        <v>43</v>
      </c>
      <c r="J98" s="64">
        <v>0.49</v>
      </c>
      <c r="K98" s="64">
        <v>284.52999999999997</v>
      </c>
      <c r="L98" s="64">
        <v>18.88</v>
      </c>
      <c r="M98" s="64">
        <v>64.92</v>
      </c>
      <c r="N98" s="64">
        <v>70.7</v>
      </c>
      <c r="O98" s="64">
        <v>0</v>
      </c>
      <c r="P98" s="64">
        <v>2.12</v>
      </c>
      <c r="Q98" s="64">
        <v>10.46</v>
      </c>
      <c r="R98" s="198"/>
      <c r="S98" s="198"/>
      <c r="T98" s="198"/>
      <c r="U98" s="198"/>
    </row>
    <row r="99" spans="1:33" s="12" customFormat="1" x14ac:dyDescent="0.25">
      <c r="A99" s="213" t="s">
        <v>1198</v>
      </c>
      <c r="B99" s="64">
        <v>153.88</v>
      </c>
      <c r="C99" s="64">
        <v>74.959999999999994</v>
      </c>
      <c r="D99" s="64">
        <v>161.19</v>
      </c>
      <c r="E99" s="64">
        <v>9.6300000000000008</v>
      </c>
      <c r="F99" s="64">
        <v>2.13</v>
      </c>
      <c r="G99" s="64">
        <v>176.31</v>
      </c>
      <c r="H99" s="64">
        <v>43.6</v>
      </c>
      <c r="I99" s="210" t="s">
        <v>43</v>
      </c>
      <c r="J99" s="64">
        <v>0.34</v>
      </c>
      <c r="K99" s="64">
        <v>275.86</v>
      </c>
      <c r="L99" s="64">
        <v>18.670000000000002</v>
      </c>
      <c r="M99" s="64">
        <v>65.97</v>
      </c>
      <c r="N99" s="64">
        <v>70.599999999999994</v>
      </c>
      <c r="O99" s="64">
        <v>0</v>
      </c>
      <c r="P99" s="64">
        <v>2.11</v>
      </c>
      <c r="Q99" s="64">
        <v>10.54</v>
      </c>
      <c r="R99" s="198"/>
      <c r="S99" s="198"/>
      <c r="T99" s="198"/>
      <c r="U99" s="198"/>
    </row>
    <row r="100" spans="1:33" s="12" customFormat="1" x14ac:dyDescent="0.25">
      <c r="A100" s="213" t="s">
        <v>1199</v>
      </c>
      <c r="B100" s="64">
        <v>158.61000000000001</v>
      </c>
      <c r="C100" s="64">
        <v>74.52</v>
      </c>
      <c r="D100" s="64">
        <v>164.75</v>
      </c>
      <c r="E100" s="64">
        <v>9.77</v>
      </c>
      <c r="F100" s="64">
        <v>2.13</v>
      </c>
      <c r="G100" s="64">
        <v>170.94</v>
      </c>
      <c r="H100" s="64">
        <v>43.85</v>
      </c>
      <c r="I100" s="210" t="s">
        <v>43</v>
      </c>
      <c r="J100" s="64">
        <v>0.6</v>
      </c>
      <c r="K100" s="64">
        <v>323.70999999999998</v>
      </c>
      <c r="L100" s="64">
        <v>18.39</v>
      </c>
      <c r="M100" s="64">
        <v>67.64</v>
      </c>
      <c r="N100" s="64">
        <v>70.8</v>
      </c>
      <c r="O100" s="64">
        <v>0</v>
      </c>
      <c r="P100" s="64">
        <v>2.2000000000000002</v>
      </c>
      <c r="Q100" s="64">
        <v>10.62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1200</v>
      </c>
      <c r="B101" s="64">
        <v>164.51</v>
      </c>
      <c r="C101" s="64">
        <v>74.069999999999993</v>
      </c>
      <c r="D101" s="64">
        <v>169.25</v>
      </c>
      <c r="E101" s="64">
        <v>11.62</v>
      </c>
      <c r="F101" s="64">
        <v>2.13</v>
      </c>
      <c r="G101" s="64">
        <v>159.03</v>
      </c>
      <c r="H101" s="64">
        <v>44.38</v>
      </c>
      <c r="I101" s="210" t="s">
        <v>43</v>
      </c>
      <c r="J101" s="64">
        <v>0.64</v>
      </c>
      <c r="K101" s="64">
        <v>263.45999999999998</v>
      </c>
      <c r="L101" s="64">
        <v>18.260000000000002</v>
      </c>
      <c r="M101" s="64">
        <v>67.19</v>
      </c>
      <c r="N101" s="64">
        <v>70.7</v>
      </c>
      <c r="O101" s="64">
        <v>0</v>
      </c>
      <c r="P101" s="64">
        <v>2.19</v>
      </c>
      <c r="Q101" s="64">
        <v>10.64</v>
      </c>
      <c r="R101" s="198"/>
      <c r="S101" s="198"/>
      <c r="T101" s="198"/>
      <c r="U101" s="198"/>
    </row>
    <row r="102" spans="1:33" s="12" customFormat="1" x14ac:dyDescent="0.25">
      <c r="A102" s="213" t="s">
        <v>1201</v>
      </c>
      <c r="B102" s="64">
        <v>169.39</v>
      </c>
      <c r="C102" s="64">
        <v>73.959999999999994</v>
      </c>
      <c r="D102" s="64">
        <v>173.1</v>
      </c>
      <c r="E102" s="64">
        <v>11.91</v>
      </c>
      <c r="F102" s="64">
        <v>2.13</v>
      </c>
      <c r="G102" s="64">
        <v>159.03</v>
      </c>
      <c r="H102" s="64">
        <v>44.38</v>
      </c>
      <c r="I102" s="210" t="s">
        <v>43</v>
      </c>
      <c r="J102" s="64">
        <v>0.32</v>
      </c>
      <c r="K102" s="64">
        <v>292.86</v>
      </c>
      <c r="L102" s="64">
        <v>18.28</v>
      </c>
      <c r="M102" s="64">
        <v>69.97</v>
      </c>
      <c r="N102" s="64">
        <v>70.7</v>
      </c>
      <c r="O102" s="64">
        <v>0</v>
      </c>
      <c r="P102" s="64">
        <v>2.21</v>
      </c>
      <c r="Q102" s="64">
        <v>10.7</v>
      </c>
      <c r="R102" s="198"/>
      <c r="S102" s="198"/>
      <c r="T102" s="198"/>
      <c r="U102" s="198"/>
    </row>
    <row r="103" spans="1:33" s="12" customFormat="1" x14ac:dyDescent="0.25">
      <c r="A103" s="213" t="s">
        <v>1202</v>
      </c>
      <c r="B103" s="64">
        <v>170.45</v>
      </c>
      <c r="C103" s="64">
        <v>72.959999999999994</v>
      </c>
      <c r="D103" s="64">
        <v>173.43</v>
      </c>
      <c r="E103" s="64">
        <v>11.88</v>
      </c>
      <c r="F103" s="64">
        <v>2.13</v>
      </c>
      <c r="G103" s="64">
        <v>159.03</v>
      </c>
      <c r="H103" s="64">
        <v>44.38</v>
      </c>
      <c r="I103" s="210" t="s">
        <v>43</v>
      </c>
      <c r="J103" s="64">
        <v>0.74</v>
      </c>
      <c r="K103" s="64">
        <v>227.78</v>
      </c>
      <c r="L103" s="64">
        <v>18.489999999999998</v>
      </c>
      <c r="M103" s="64">
        <v>67.86</v>
      </c>
      <c r="N103" s="64">
        <v>69.8</v>
      </c>
      <c r="O103" s="64">
        <v>0</v>
      </c>
      <c r="P103" s="64">
        <v>2.21</v>
      </c>
      <c r="Q103" s="64">
        <v>10.77</v>
      </c>
      <c r="R103" s="198"/>
      <c r="S103" s="198"/>
      <c r="T103" s="198"/>
      <c r="U103" s="198"/>
    </row>
    <row r="104" spans="1:33" s="12" customFormat="1" x14ac:dyDescent="0.25">
      <c r="A104" s="213" t="s">
        <v>1203</v>
      </c>
      <c r="B104" s="64">
        <v>167.62</v>
      </c>
      <c r="C104" s="64">
        <v>71.459999999999994</v>
      </c>
      <c r="D104" s="64">
        <v>170.37</v>
      </c>
      <c r="E104" s="64">
        <v>11.59</v>
      </c>
      <c r="F104" s="64">
        <v>2.13</v>
      </c>
      <c r="G104" s="64">
        <v>170.68</v>
      </c>
      <c r="H104" s="64">
        <v>47.94</v>
      </c>
      <c r="I104" s="210" t="s">
        <v>43</v>
      </c>
      <c r="J104" s="64">
        <v>0.44</v>
      </c>
      <c r="K104" s="64">
        <v>255.4</v>
      </c>
      <c r="L104" s="64">
        <v>18.73</v>
      </c>
      <c r="M104" s="64">
        <v>63.02</v>
      </c>
      <c r="N104" s="64">
        <v>70.3</v>
      </c>
      <c r="O104" s="64">
        <v>0</v>
      </c>
      <c r="P104" s="64">
        <v>2.21</v>
      </c>
      <c r="Q104" s="64">
        <v>10.78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2.67</v>
      </c>
      <c r="C106" s="67">
        <f>MIN(C9:C104)</f>
        <v>47.87</v>
      </c>
      <c r="D106" s="67">
        <f t="shared" ref="D106:Q106" si="0">MIN(D9:D104)</f>
        <v>28.25</v>
      </c>
      <c r="E106" s="67">
        <f t="shared" si="0"/>
        <v>5.85</v>
      </c>
      <c r="F106" s="67">
        <f t="shared" si="0"/>
        <v>2.13</v>
      </c>
      <c r="G106" s="67">
        <f t="shared" si="0"/>
        <v>19.03</v>
      </c>
      <c r="H106" s="67">
        <f t="shared" si="0"/>
        <v>2.09</v>
      </c>
      <c r="I106" s="67">
        <f t="shared" si="0"/>
        <v>0</v>
      </c>
      <c r="J106" s="67">
        <f t="shared" si="0"/>
        <v>0.01</v>
      </c>
      <c r="K106" s="67">
        <f t="shared" si="0"/>
        <v>1.56</v>
      </c>
      <c r="L106" s="67">
        <f t="shared" si="0"/>
        <v>12.08</v>
      </c>
      <c r="M106" s="67">
        <f t="shared" si="0"/>
        <v>18.989999999999998</v>
      </c>
      <c r="N106" s="67">
        <f t="shared" si="0"/>
        <v>69.8</v>
      </c>
      <c r="O106" s="67">
        <f t="shared" si="0"/>
        <v>0</v>
      </c>
      <c r="P106" s="67">
        <f t="shared" si="0"/>
        <v>0.28999999999999998</v>
      </c>
      <c r="Q106" s="67">
        <f t="shared" si="0"/>
        <v>9.8699999999999992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188.23</v>
      </c>
      <c r="C107" s="66">
        <f t="shared" ref="C107:Q107" si="1">MAX(C9:C104)</f>
        <v>105.29</v>
      </c>
      <c r="D107" s="66">
        <f t="shared" si="1"/>
        <v>183.67</v>
      </c>
      <c r="E107" s="66">
        <f t="shared" si="1"/>
        <v>24.97</v>
      </c>
      <c r="F107" s="66">
        <f t="shared" si="1"/>
        <v>24.5</v>
      </c>
      <c r="G107" s="66">
        <f t="shared" si="1"/>
        <v>176.31</v>
      </c>
      <c r="H107" s="66">
        <f t="shared" si="1"/>
        <v>61.24</v>
      </c>
      <c r="I107" s="66">
        <f t="shared" si="1"/>
        <v>0</v>
      </c>
      <c r="J107" s="66">
        <f t="shared" si="1"/>
        <v>1.85</v>
      </c>
      <c r="K107" s="66">
        <f t="shared" si="1"/>
        <v>354.73</v>
      </c>
      <c r="L107" s="66">
        <f t="shared" si="1"/>
        <v>32.36</v>
      </c>
      <c r="M107" s="66">
        <f t="shared" si="1"/>
        <v>84.74</v>
      </c>
      <c r="N107" s="66">
        <f t="shared" si="1"/>
        <v>937.7</v>
      </c>
      <c r="O107" s="66">
        <f t="shared" si="1"/>
        <v>0</v>
      </c>
      <c r="P107" s="66">
        <f t="shared" si="1"/>
        <v>2.5</v>
      </c>
      <c r="Q107" s="66">
        <f t="shared" si="1"/>
        <v>10.78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93.844791666666694</v>
      </c>
      <c r="C108" s="67">
        <f t="shared" ref="C108:Q108" si="2">AVERAGE(C9:C104)</f>
        <v>64.519375000000011</v>
      </c>
      <c r="D108" s="67">
        <f t="shared" si="2"/>
        <v>107.59458333333335</v>
      </c>
      <c r="E108" s="67">
        <f t="shared" si="2"/>
        <v>8.6319791666666656</v>
      </c>
      <c r="F108" s="67">
        <f t="shared" si="2"/>
        <v>4.3039583333333322</v>
      </c>
      <c r="G108" s="67">
        <f t="shared" si="2"/>
        <v>104.63804347826088</v>
      </c>
      <c r="H108" s="67">
        <f t="shared" si="2"/>
        <v>32.972207792207797</v>
      </c>
      <c r="I108" s="67" t="e">
        <f t="shared" si="2"/>
        <v>#DIV/0!</v>
      </c>
      <c r="J108" s="67">
        <f t="shared" si="2"/>
        <v>0.6361458333333333</v>
      </c>
      <c r="K108" s="67">
        <f t="shared" si="2"/>
        <v>264.56843750000002</v>
      </c>
      <c r="L108" s="67">
        <f t="shared" si="2"/>
        <v>20.827812500000004</v>
      </c>
      <c r="M108" s="67">
        <f t="shared" si="2"/>
        <v>48.319999999999986</v>
      </c>
      <c r="N108" s="67">
        <f t="shared" si="2"/>
        <v>257.53437500000007</v>
      </c>
      <c r="O108" s="67">
        <f t="shared" si="2"/>
        <v>0</v>
      </c>
      <c r="P108" s="67">
        <f t="shared" si="2"/>
        <v>1.3520833333333337</v>
      </c>
      <c r="Q108" s="67">
        <f t="shared" si="2"/>
        <v>10.324687500000001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70.727979247092819</v>
      </c>
      <c r="C109" s="67">
        <f t="shared" ref="C109:Q109" si="3">STDEV(C9:C104)</f>
        <v>14.06544843242702</v>
      </c>
      <c r="D109" s="67">
        <f t="shared" si="3"/>
        <v>54.672088595585123</v>
      </c>
      <c r="E109" s="67">
        <f t="shared" si="3"/>
        <v>2.1864032563919689</v>
      </c>
      <c r="F109" s="67">
        <f t="shared" si="3"/>
        <v>4.5401944032495214</v>
      </c>
      <c r="G109" s="67">
        <f t="shared" si="3"/>
        <v>47.700834149389166</v>
      </c>
      <c r="H109" s="67">
        <f t="shared" si="3"/>
        <v>15.254279781112752</v>
      </c>
      <c r="I109" s="67" t="e">
        <f t="shared" si="3"/>
        <v>#DIV/0!</v>
      </c>
      <c r="J109" s="67">
        <f t="shared" si="3"/>
        <v>0.33471549518852356</v>
      </c>
      <c r="K109" s="67">
        <f t="shared" si="3"/>
        <v>74.004780959755138</v>
      </c>
      <c r="L109" s="67">
        <f t="shared" si="3"/>
        <v>6.6115611984056324</v>
      </c>
      <c r="M109" s="67">
        <f t="shared" si="3"/>
        <v>21.069477299738878</v>
      </c>
      <c r="N109" s="67">
        <f t="shared" si="3"/>
        <v>281.94625050591134</v>
      </c>
      <c r="O109" s="67">
        <f t="shared" si="3"/>
        <v>0</v>
      </c>
      <c r="P109" s="67">
        <f t="shared" si="3"/>
        <v>0.61014047850373776</v>
      </c>
      <c r="Q109" s="67">
        <f t="shared" si="3"/>
        <v>0.24664038652085726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COUNT(H9:H104)+19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0" sqref="P110: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1204</v>
      </c>
      <c r="B9" s="64">
        <v>163.19</v>
      </c>
      <c r="C9" s="64">
        <v>69.28</v>
      </c>
      <c r="D9" s="64">
        <v>165.68</v>
      </c>
      <c r="E9" s="64">
        <v>14.24</v>
      </c>
      <c r="F9" s="64">
        <v>2.13</v>
      </c>
      <c r="G9" s="64">
        <v>197.86</v>
      </c>
      <c r="H9" s="64">
        <v>55.83</v>
      </c>
      <c r="I9" s="210" t="s">
        <v>43</v>
      </c>
      <c r="J9" s="64">
        <v>0.52</v>
      </c>
      <c r="K9" s="64">
        <v>327.44</v>
      </c>
      <c r="L9" s="64">
        <v>18.02</v>
      </c>
      <c r="M9" s="64">
        <v>69.069999999999993</v>
      </c>
      <c r="N9" s="64">
        <v>70.8</v>
      </c>
      <c r="O9" s="64">
        <v>0</v>
      </c>
      <c r="P9" s="64">
        <v>2.21</v>
      </c>
      <c r="Q9" s="64">
        <v>10.79</v>
      </c>
      <c r="R9" s="198"/>
      <c r="S9" s="198"/>
      <c r="T9" s="198"/>
      <c r="U9" s="198"/>
    </row>
    <row r="10" spans="1:21" s="12" customFormat="1" x14ac:dyDescent="0.25">
      <c r="A10" s="213" t="s">
        <v>1205</v>
      </c>
      <c r="B10" s="64">
        <v>158.5</v>
      </c>
      <c r="C10" s="64">
        <v>67.459999999999994</v>
      </c>
      <c r="D10" s="64">
        <v>160.97999999999999</v>
      </c>
      <c r="E10" s="64">
        <v>14.78</v>
      </c>
      <c r="F10" s="64">
        <v>2.13</v>
      </c>
      <c r="G10" s="64">
        <v>197.86</v>
      </c>
      <c r="H10" s="64">
        <v>55.83</v>
      </c>
      <c r="I10" s="210" t="s">
        <v>43</v>
      </c>
      <c r="J10" s="64">
        <v>0.35</v>
      </c>
      <c r="K10" s="64">
        <v>18.059999999999999</v>
      </c>
      <c r="L10" s="64">
        <v>17.38</v>
      </c>
      <c r="M10" s="64">
        <v>71.319999999999993</v>
      </c>
      <c r="N10" s="64">
        <v>70.8</v>
      </c>
      <c r="O10" s="64">
        <v>0</v>
      </c>
      <c r="P10" s="64">
        <v>2.17</v>
      </c>
      <c r="Q10" s="64">
        <v>10.8</v>
      </c>
      <c r="R10" s="198"/>
      <c r="S10" s="198"/>
      <c r="T10" s="198"/>
      <c r="U10" s="198"/>
    </row>
    <row r="11" spans="1:21" s="12" customFormat="1" x14ac:dyDescent="0.25">
      <c r="A11" s="213" t="s">
        <v>1206</v>
      </c>
      <c r="B11" s="64">
        <v>153.11000000000001</v>
      </c>
      <c r="C11" s="64">
        <v>63.93</v>
      </c>
      <c r="D11" s="64">
        <v>154.81</v>
      </c>
      <c r="E11" s="64">
        <v>14.92</v>
      </c>
      <c r="F11" s="64">
        <v>2.13</v>
      </c>
      <c r="G11" s="64">
        <v>197.86</v>
      </c>
      <c r="H11" s="64">
        <v>55.83</v>
      </c>
      <c r="I11" s="210" t="s">
        <v>43</v>
      </c>
      <c r="J11" s="64">
        <v>0.53</v>
      </c>
      <c r="K11" s="64">
        <v>288.29000000000002</v>
      </c>
      <c r="L11" s="64">
        <v>17.13</v>
      </c>
      <c r="M11" s="64">
        <v>71.89</v>
      </c>
      <c r="N11" s="64">
        <v>70.7</v>
      </c>
      <c r="O11" s="64">
        <v>0</v>
      </c>
      <c r="P11" s="64">
        <v>1.95</v>
      </c>
      <c r="Q11" s="64">
        <v>10.77</v>
      </c>
      <c r="R11" s="198"/>
      <c r="S11" s="198"/>
      <c r="T11" s="198"/>
      <c r="U11" s="198"/>
    </row>
    <row r="12" spans="1:21" s="12" customFormat="1" x14ac:dyDescent="0.25">
      <c r="A12" s="213" t="s">
        <v>1207</v>
      </c>
      <c r="B12" s="64">
        <v>147.81</v>
      </c>
      <c r="C12" s="64">
        <v>60.36</v>
      </c>
      <c r="D12" s="64">
        <v>148.69</v>
      </c>
      <c r="E12" s="64">
        <v>14.94</v>
      </c>
      <c r="F12" s="64">
        <v>2.13</v>
      </c>
      <c r="G12" s="64">
        <v>192.48</v>
      </c>
      <c r="H12" s="64">
        <v>61.3</v>
      </c>
      <c r="I12" s="210" t="s">
        <v>43</v>
      </c>
      <c r="J12" s="64">
        <v>0.74</v>
      </c>
      <c r="K12" s="64">
        <v>326.39999999999998</v>
      </c>
      <c r="L12" s="64">
        <v>16.97</v>
      </c>
      <c r="M12" s="64">
        <v>73.5</v>
      </c>
      <c r="N12" s="64">
        <v>70.7</v>
      </c>
      <c r="O12" s="64">
        <v>0</v>
      </c>
      <c r="P12" s="64">
        <v>1.96</v>
      </c>
      <c r="Q12" s="64">
        <v>10.72</v>
      </c>
      <c r="R12" s="198"/>
      <c r="S12" s="198"/>
      <c r="T12" s="198"/>
      <c r="U12" s="198"/>
    </row>
    <row r="13" spans="1:21" s="12" customFormat="1" x14ac:dyDescent="0.25">
      <c r="A13" s="213" t="s">
        <v>1208</v>
      </c>
      <c r="B13" s="64">
        <v>143.4</v>
      </c>
      <c r="C13" s="64">
        <v>59.75</v>
      </c>
      <c r="D13" s="64">
        <v>144.84</v>
      </c>
      <c r="E13" s="64">
        <v>14.24</v>
      </c>
      <c r="F13" s="64">
        <v>2.13</v>
      </c>
      <c r="G13" s="64">
        <v>179.93</v>
      </c>
      <c r="H13" s="64">
        <v>73.42</v>
      </c>
      <c r="I13" s="210" t="s">
        <v>43</v>
      </c>
      <c r="J13" s="64">
        <v>0.57999999999999996</v>
      </c>
      <c r="K13" s="64">
        <v>310.16000000000003</v>
      </c>
      <c r="L13" s="64">
        <v>16.88</v>
      </c>
      <c r="M13" s="64">
        <v>73.31</v>
      </c>
      <c r="N13" s="64">
        <v>70.400000000000006</v>
      </c>
      <c r="O13" s="64">
        <v>0</v>
      </c>
      <c r="P13" s="64">
        <v>1.67</v>
      </c>
      <c r="Q13" s="64">
        <v>10.64</v>
      </c>
      <c r="R13" s="198"/>
      <c r="S13" s="198"/>
      <c r="T13" s="198"/>
      <c r="U13" s="198"/>
    </row>
    <row r="14" spans="1:21" s="12" customFormat="1" x14ac:dyDescent="0.25">
      <c r="A14" s="213" t="s">
        <v>1209</v>
      </c>
      <c r="B14" s="64">
        <v>138.79</v>
      </c>
      <c r="C14" s="64">
        <v>59.02</v>
      </c>
      <c r="D14" s="64">
        <v>140.76</v>
      </c>
      <c r="E14" s="64">
        <v>12.78</v>
      </c>
      <c r="F14" s="64">
        <v>2.13</v>
      </c>
      <c r="G14" s="64">
        <v>179.93</v>
      </c>
      <c r="H14" s="64">
        <v>73.42</v>
      </c>
      <c r="I14" s="210" t="s">
        <v>43</v>
      </c>
      <c r="J14" s="64">
        <v>0.67</v>
      </c>
      <c r="K14" s="64">
        <v>228.37</v>
      </c>
      <c r="L14" s="64">
        <v>17.57</v>
      </c>
      <c r="M14" s="64">
        <v>68.7</v>
      </c>
      <c r="N14" s="64">
        <v>69.900000000000006</v>
      </c>
      <c r="O14" s="64">
        <v>0</v>
      </c>
      <c r="P14" s="64">
        <v>1.61</v>
      </c>
      <c r="Q14" s="64">
        <v>10.61</v>
      </c>
      <c r="R14" s="198"/>
      <c r="S14" s="198"/>
      <c r="T14" s="198"/>
      <c r="U14" s="198"/>
    </row>
    <row r="15" spans="1:21" s="12" customFormat="1" x14ac:dyDescent="0.25">
      <c r="A15" s="213" t="s">
        <v>1210</v>
      </c>
      <c r="B15" s="64">
        <v>133.38999999999999</v>
      </c>
      <c r="C15" s="64">
        <v>58.11</v>
      </c>
      <c r="D15" s="64">
        <v>135.96</v>
      </c>
      <c r="E15" s="64">
        <v>11.51</v>
      </c>
      <c r="F15" s="64">
        <v>2.13</v>
      </c>
      <c r="G15" s="64">
        <v>179.93</v>
      </c>
      <c r="H15" s="64">
        <v>73.42</v>
      </c>
      <c r="I15" s="210" t="s">
        <v>43</v>
      </c>
      <c r="J15" s="64">
        <v>0.44</v>
      </c>
      <c r="K15" s="64">
        <v>230.57</v>
      </c>
      <c r="L15" s="64">
        <v>17.440000000000001</v>
      </c>
      <c r="M15" s="64">
        <v>71.989999999999995</v>
      </c>
      <c r="N15" s="64">
        <v>70.5</v>
      </c>
      <c r="O15" s="64">
        <v>0</v>
      </c>
      <c r="P15" s="64">
        <v>1.47</v>
      </c>
      <c r="Q15" s="64">
        <v>10.55</v>
      </c>
      <c r="R15" s="198"/>
      <c r="S15" s="198"/>
      <c r="T15" s="198"/>
      <c r="U15" s="198"/>
    </row>
    <row r="16" spans="1:21" s="12" customFormat="1" x14ac:dyDescent="0.25">
      <c r="A16" s="213" t="s">
        <v>1211</v>
      </c>
      <c r="B16" s="64">
        <v>128.04</v>
      </c>
      <c r="C16" s="64">
        <v>57.26</v>
      </c>
      <c r="D16" s="64">
        <v>131.21</v>
      </c>
      <c r="E16" s="64">
        <v>11.14</v>
      </c>
      <c r="F16" s="64">
        <v>2.13</v>
      </c>
      <c r="G16" s="64">
        <v>152.63999999999999</v>
      </c>
      <c r="H16" s="64">
        <v>68.3</v>
      </c>
      <c r="I16" s="210" t="s">
        <v>43</v>
      </c>
      <c r="J16" s="64">
        <v>0.52</v>
      </c>
      <c r="K16" s="64">
        <v>275.73</v>
      </c>
      <c r="L16" s="64">
        <v>17.09</v>
      </c>
      <c r="M16" s="64">
        <v>74.36</v>
      </c>
      <c r="N16" s="64">
        <v>70.599999999999994</v>
      </c>
      <c r="O16" s="64">
        <v>0</v>
      </c>
      <c r="P16" s="64">
        <v>1.47</v>
      </c>
      <c r="Q16" s="64">
        <v>10.54</v>
      </c>
      <c r="R16" s="198"/>
      <c r="S16" s="198"/>
      <c r="T16" s="198"/>
      <c r="U16" s="198"/>
    </row>
    <row r="17" spans="1:21" s="12" customFormat="1" x14ac:dyDescent="0.25">
      <c r="A17" s="213" t="s">
        <v>1212</v>
      </c>
      <c r="B17" s="64">
        <v>123.51</v>
      </c>
      <c r="C17" s="64">
        <v>55.49</v>
      </c>
      <c r="D17" s="64">
        <v>126.66</v>
      </c>
      <c r="E17" s="64">
        <v>9.66</v>
      </c>
      <c r="F17" s="64">
        <v>2.13</v>
      </c>
      <c r="G17" s="64">
        <v>92.23</v>
      </c>
      <c r="H17" s="64">
        <v>56.97</v>
      </c>
      <c r="I17" s="210" t="s">
        <v>43</v>
      </c>
      <c r="J17" s="64">
        <v>0.57999999999999996</v>
      </c>
      <c r="K17" s="64">
        <v>245.71</v>
      </c>
      <c r="L17" s="64">
        <v>17.18</v>
      </c>
      <c r="M17" s="64">
        <v>73.84</v>
      </c>
      <c r="N17" s="64">
        <v>70.400000000000006</v>
      </c>
      <c r="O17" s="64">
        <v>0</v>
      </c>
      <c r="P17" s="64">
        <v>1.5</v>
      </c>
      <c r="Q17" s="64">
        <v>10.5</v>
      </c>
      <c r="R17" s="198"/>
      <c r="S17" s="198"/>
      <c r="T17" s="198"/>
      <c r="U17" s="198"/>
    </row>
    <row r="18" spans="1:21" s="12" customFormat="1" x14ac:dyDescent="0.25">
      <c r="A18" s="213" t="s">
        <v>1213</v>
      </c>
      <c r="B18" s="64">
        <v>118.96</v>
      </c>
      <c r="C18" s="64">
        <v>55.13</v>
      </c>
      <c r="D18" s="64">
        <v>122.82</v>
      </c>
      <c r="E18" s="64">
        <v>9.25</v>
      </c>
      <c r="F18" s="64">
        <v>2.13</v>
      </c>
      <c r="G18" s="64">
        <v>92.23</v>
      </c>
      <c r="H18" s="64">
        <v>56.97</v>
      </c>
      <c r="I18" s="210" t="s">
        <v>43</v>
      </c>
      <c r="J18" s="64">
        <v>0.5</v>
      </c>
      <c r="K18" s="64">
        <v>288.10000000000002</v>
      </c>
      <c r="L18" s="64">
        <v>16.87</v>
      </c>
      <c r="M18" s="64">
        <v>75.95</v>
      </c>
      <c r="N18" s="64">
        <v>70.7</v>
      </c>
      <c r="O18" s="64">
        <v>0</v>
      </c>
      <c r="P18" s="64">
        <v>1.48</v>
      </c>
      <c r="Q18" s="64">
        <v>10.46</v>
      </c>
      <c r="R18" s="198"/>
      <c r="S18" s="198"/>
      <c r="T18" s="198"/>
      <c r="U18" s="198"/>
    </row>
    <row r="19" spans="1:21" s="12" customFormat="1" x14ac:dyDescent="0.25">
      <c r="A19" s="213" t="s">
        <v>1214</v>
      </c>
      <c r="B19" s="64">
        <v>114.47</v>
      </c>
      <c r="C19" s="64">
        <v>56.15</v>
      </c>
      <c r="D19" s="64">
        <v>119.75</v>
      </c>
      <c r="E19" s="64">
        <v>9.06</v>
      </c>
      <c r="F19" s="64">
        <v>2.13</v>
      </c>
      <c r="G19" s="64">
        <v>92.23</v>
      </c>
      <c r="H19" s="64">
        <v>56.97</v>
      </c>
      <c r="I19" s="210" t="s">
        <v>43</v>
      </c>
      <c r="J19" s="64">
        <v>0.34</v>
      </c>
      <c r="K19" s="64">
        <v>255.83</v>
      </c>
      <c r="L19" s="64">
        <v>16.61</v>
      </c>
      <c r="M19" s="64">
        <v>76.7</v>
      </c>
      <c r="N19" s="64">
        <v>70.7</v>
      </c>
      <c r="O19" s="64">
        <v>0</v>
      </c>
      <c r="P19" s="64">
        <v>1.63</v>
      </c>
      <c r="Q19" s="64">
        <v>10.43</v>
      </c>
      <c r="R19" s="198"/>
      <c r="S19" s="198"/>
      <c r="T19" s="198"/>
      <c r="U19" s="198"/>
    </row>
    <row r="20" spans="1:21" s="12" customFormat="1" x14ac:dyDescent="0.25">
      <c r="A20" s="213" t="s">
        <v>1215</v>
      </c>
      <c r="B20" s="64">
        <v>109.48</v>
      </c>
      <c r="C20" s="64">
        <v>55.5</v>
      </c>
      <c r="D20" s="64">
        <v>115.41</v>
      </c>
      <c r="E20" s="64">
        <v>8.43</v>
      </c>
      <c r="F20" s="64">
        <v>2.13</v>
      </c>
      <c r="G20" s="64">
        <v>86.35</v>
      </c>
      <c r="H20" s="64">
        <v>51.22</v>
      </c>
      <c r="I20" s="210" t="s">
        <v>43</v>
      </c>
      <c r="J20" s="64">
        <v>0.63</v>
      </c>
      <c r="K20" s="64">
        <v>311.22000000000003</v>
      </c>
      <c r="L20" s="64">
        <v>16.32</v>
      </c>
      <c r="M20" s="64">
        <v>79.489999999999995</v>
      </c>
      <c r="N20" s="64">
        <v>70.8</v>
      </c>
      <c r="O20" s="64">
        <v>0</v>
      </c>
      <c r="P20" s="64">
        <v>1.51</v>
      </c>
      <c r="Q20" s="64">
        <v>10.42</v>
      </c>
      <c r="R20" s="198"/>
      <c r="S20" s="198"/>
      <c r="T20" s="198"/>
      <c r="U20" s="198"/>
    </row>
    <row r="21" spans="1:21" s="12" customFormat="1" x14ac:dyDescent="0.25">
      <c r="A21" s="213" t="s">
        <v>1216</v>
      </c>
      <c r="B21" s="64">
        <v>104.53</v>
      </c>
      <c r="C21" s="64">
        <v>53.95</v>
      </c>
      <c r="D21" s="64">
        <v>110.64</v>
      </c>
      <c r="E21" s="64">
        <v>7.99</v>
      </c>
      <c r="F21" s="64">
        <v>2.13</v>
      </c>
      <c r="G21" s="64">
        <v>73.34</v>
      </c>
      <c r="H21" s="64">
        <v>38.51</v>
      </c>
      <c r="I21" s="210" t="s">
        <v>43</v>
      </c>
      <c r="J21" s="64">
        <v>0.13</v>
      </c>
      <c r="K21" s="64">
        <v>138.12</v>
      </c>
      <c r="L21" s="64">
        <v>16.38</v>
      </c>
      <c r="M21" s="64">
        <v>78.540000000000006</v>
      </c>
      <c r="N21" s="64">
        <v>69.900000000000006</v>
      </c>
      <c r="O21" s="64">
        <v>0</v>
      </c>
      <c r="P21" s="64">
        <v>1.48</v>
      </c>
      <c r="Q21" s="64">
        <v>10.41</v>
      </c>
      <c r="R21" s="198"/>
      <c r="S21" s="198"/>
      <c r="T21" s="198"/>
      <c r="U21" s="198"/>
    </row>
    <row r="22" spans="1:21" s="12" customFormat="1" x14ac:dyDescent="0.25">
      <c r="A22" s="213" t="s">
        <v>1217</v>
      </c>
      <c r="B22" s="64">
        <v>99.51</v>
      </c>
      <c r="C22" s="64">
        <v>53.44</v>
      </c>
      <c r="D22" s="64">
        <v>106.35</v>
      </c>
      <c r="E22" s="64">
        <v>7.77</v>
      </c>
      <c r="F22" s="64">
        <v>2.13</v>
      </c>
      <c r="G22" s="64">
        <v>73.34</v>
      </c>
      <c r="H22" s="64">
        <v>38.51</v>
      </c>
      <c r="I22" s="210" t="s">
        <v>43</v>
      </c>
      <c r="J22" s="64">
        <v>0.41</v>
      </c>
      <c r="K22" s="64">
        <v>258.68</v>
      </c>
      <c r="L22" s="64">
        <v>16.84</v>
      </c>
      <c r="M22" s="64">
        <v>74.040000000000006</v>
      </c>
      <c r="N22" s="64">
        <v>70.3</v>
      </c>
      <c r="O22" s="64">
        <v>0</v>
      </c>
      <c r="P22" s="64">
        <v>1.44</v>
      </c>
      <c r="Q22" s="64">
        <v>10.4</v>
      </c>
      <c r="R22" s="198"/>
      <c r="S22" s="198"/>
      <c r="T22" s="198"/>
      <c r="U22" s="198"/>
    </row>
    <row r="23" spans="1:21" s="12" customFormat="1" x14ac:dyDescent="0.25">
      <c r="A23" s="213" t="s">
        <v>1218</v>
      </c>
      <c r="B23" s="64">
        <v>94.49</v>
      </c>
      <c r="C23" s="64">
        <v>52.51</v>
      </c>
      <c r="D23" s="64">
        <v>101.83</v>
      </c>
      <c r="E23" s="64">
        <v>7.46</v>
      </c>
      <c r="F23" s="64">
        <v>2.13</v>
      </c>
      <c r="G23" s="64">
        <v>73.34</v>
      </c>
      <c r="H23" s="64">
        <v>38.51</v>
      </c>
      <c r="I23" s="210" t="s">
        <v>43</v>
      </c>
      <c r="J23" s="64">
        <v>0.41</v>
      </c>
      <c r="K23" s="64">
        <v>285.66000000000003</v>
      </c>
      <c r="L23" s="64">
        <v>16.510000000000002</v>
      </c>
      <c r="M23" s="64">
        <v>77.599999999999994</v>
      </c>
      <c r="N23" s="64">
        <v>70.8</v>
      </c>
      <c r="O23" s="64">
        <v>0</v>
      </c>
      <c r="P23" s="64">
        <v>1.41</v>
      </c>
      <c r="Q23" s="64">
        <v>10.39</v>
      </c>
      <c r="R23" s="198"/>
      <c r="S23" s="198"/>
      <c r="T23" s="198"/>
      <c r="U23" s="198"/>
    </row>
    <row r="24" spans="1:21" s="12" customFormat="1" x14ac:dyDescent="0.25">
      <c r="A24" s="213" t="s">
        <v>1219</v>
      </c>
      <c r="B24" s="64">
        <v>90.14</v>
      </c>
      <c r="C24" s="64">
        <v>51.87</v>
      </c>
      <c r="D24" s="64">
        <v>98.01</v>
      </c>
      <c r="E24" s="64">
        <v>6.97</v>
      </c>
      <c r="F24" s="64">
        <v>2.13</v>
      </c>
      <c r="G24" s="64">
        <v>77.010000000000005</v>
      </c>
      <c r="H24" s="64">
        <v>36.68</v>
      </c>
      <c r="I24" s="210" t="s">
        <v>43</v>
      </c>
      <c r="J24" s="64">
        <v>0.28000000000000003</v>
      </c>
      <c r="K24" s="64">
        <v>326.37</v>
      </c>
      <c r="L24" s="64">
        <v>16.100000000000001</v>
      </c>
      <c r="M24" s="64">
        <v>81.53</v>
      </c>
      <c r="N24" s="64">
        <v>70.8</v>
      </c>
      <c r="O24" s="64">
        <v>0</v>
      </c>
      <c r="P24" s="64">
        <v>1.35</v>
      </c>
      <c r="Q24" s="64">
        <v>10.37</v>
      </c>
      <c r="R24" s="198"/>
      <c r="S24" s="198"/>
      <c r="T24" s="198"/>
      <c r="U24" s="198"/>
    </row>
    <row r="25" spans="1:21" s="12" customFormat="1" x14ac:dyDescent="0.25">
      <c r="A25" s="213" t="s">
        <v>1220</v>
      </c>
      <c r="B25" s="64">
        <v>87.45</v>
      </c>
      <c r="C25" s="64">
        <v>52.23</v>
      </c>
      <c r="D25" s="64">
        <v>96.04</v>
      </c>
      <c r="E25" s="64">
        <v>7.25</v>
      </c>
      <c r="F25" s="64">
        <v>2.13</v>
      </c>
      <c r="G25" s="64">
        <v>85.15</v>
      </c>
      <c r="H25" s="64">
        <v>32.630000000000003</v>
      </c>
      <c r="I25" s="210" t="s">
        <v>43</v>
      </c>
      <c r="J25" s="64">
        <v>0.32</v>
      </c>
      <c r="K25" s="64">
        <v>223.35</v>
      </c>
      <c r="L25" s="64">
        <v>16.100000000000001</v>
      </c>
      <c r="M25" s="64">
        <v>81.63</v>
      </c>
      <c r="N25" s="64">
        <v>70.599999999999994</v>
      </c>
      <c r="O25" s="64">
        <v>0</v>
      </c>
      <c r="P25" s="64">
        <v>1.3</v>
      </c>
      <c r="Q25" s="64">
        <v>10.33</v>
      </c>
      <c r="R25" s="198"/>
      <c r="S25" s="198"/>
      <c r="T25" s="198"/>
      <c r="U25" s="198"/>
    </row>
    <row r="26" spans="1:21" s="12" customFormat="1" x14ac:dyDescent="0.25">
      <c r="A26" s="213" t="s">
        <v>1221</v>
      </c>
      <c r="B26" s="64">
        <v>85.03</v>
      </c>
      <c r="C26" s="64">
        <v>52.03</v>
      </c>
      <c r="D26" s="64">
        <v>93.99</v>
      </c>
      <c r="E26" s="64">
        <v>7.45</v>
      </c>
      <c r="F26" s="64">
        <v>2.13</v>
      </c>
      <c r="G26" s="64">
        <v>85.15</v>
      </c>
      <c r="H26" s="64">
        <v>32.630000000000003</v>
      </c>
      <c r="I26" s="210" t="s">
        <v>43</v>
      </c>
      <c r="J26" s="64">
        <v>0.26</v>
      </c>
      <c r="K26" s="64">
        <v>352.49</v>
      </c>
      <c r="L26" s="64">
        <v>16.64</v>
      </c>
      <c r="M26" s="64">
        <v>74.680000000000007</v>
      </c>
      <c r="N26" s="64">
        <v>69.900000000000006</v>
      </c>
      <c r="O26" s="64">
        <v>0</v>
      </c>
      <c r="P26" s="64">
        <v>1.25</v>
      </c>
      <c r="Q26" s="64">
        <v>10.31</v>
      </c>
      <c r="R26" s="198"/>
      <c r="S26" s="198"/>
      <c r="T26" s="198"/>
      <c r="U26" s="198"/>
    </row>
    <row r="27" spans="1:21" s="12" customFormat="1" x14ac:dyDescent="0.25">
      <c r="A27" s="213" t="s">
        <v>1222</v>
      </c>
      <c r="B27" s="64">
        <v>82.14</v>
      </c>
      <c r="C27" s="64">
        <v>51.68</v>
      </c>
      <c r="D27" s="64">
        <v>91.49</v>
      </c>
      <c r="E27" s="64">
        <v>7.38</v>
      </c>
      <c r="F27" s="64">
        <v>2.13</v>
      </c>
      <c r="G27" s="64">
        <v>85.15</v>
      </c>
      <c r="H27" s="64">
        <v>32.630000000000003</v>
      </c>
      <c r="I27" s="210" t="s">
        <v>43</v>
      </c>
      <c r="J27" s="64">
        <v>0.55000000000000004</v>
      </c>
      <c r="K27" s="64">
        <v>174.49</v>
      </c>
      <c r="L27" s="64">
        <v>16.21</v>
      </c>
      <c r="M27" s="64">
        <v>80.040000000000006</v>
      </c>
      <c r="N27" s="64">
        <v>70.400000000000006</v>
      </c>
      <c r="O27" s="64">
        <v>0</v>
      </c>
      <c r="P27" s="64">
        <v>1.22</v>
      </c>
      <c r="Q27" s="64">
        <v>10.29</v>
      </c>
      <c r="R27" s="198"/>
      <c r="S27" s="198"/>
      <c r="T27" s="198"/>
      <c r="U27" s="198"/>
    </row>
    <row r="28" spans="1:21" s="12" customFormat="1" x14ac:dyDescent="0.25">
      <c r="A28" s="213" t="s">
        <v>1223</v>
      </c>
      <c r="B28" s="64">
        <v>78.92</v>
      </c>
      <c r="C28" s="64">
        <v>51.74</v>
      </c>
      <c r="D28" s="64">
        <v>88.95</v>
      </c>
      <c r="E28" s="64">
        <v>7.27</v>
      </c>
      <c r="F28" s="64">
        <v>2.13</v>
      </c>
      <c r="G28" s="64">
        <v>85.22</v>
      </c>
      <c r="H28" s="64">
        <v>31.33</v>
      </c>
      <c r="I28" s="210" t="s">
        <v>43</v>
      </c>
      <c r="J28" s="64">
        <v>0.46</v>
      </c>
      <c r="K28" s="64">
        <v>298.2</v>
      </c>
      <c r="L28" s="64">
        <v>16.53</v>
      </c>
      <c r="M28" s="64">
        <v>78.33</v>
      </c>
      <c r="N28" s="64">
        <v>70.5</v>
      </c>
      <c r="O28" s="64">
        <v>0</v>
      </c>
      <c r="P28" s="64">
        <v>1.18</v>
      </c>
      <c r="Q28" s="64">
        <v>10.28</v>
      </c>
      <c r="R28" s="198"/>
      <c r="S28" s="198"/>
      <c r="T28" s="198"/>
      <c r="U28" s="198"/>
    </row>
    <row r="29" spans="1:21" s="12" customFormat="1" x14ac:dyDescent="0.25">
      <c r="A29" s="213" t="s">
        <v>1224</v>
      </c>
      <c r="B29" s="64">
        <v>76.760000000000005</v>
      </c>
      <c r="C29" s="64">
        <v>48.16</v>
      </c>
      <c r="D29" s="64">
        <v>85.34</v>
      </c>
      <c r="E29" s="64">
        <v>6.8</v>
      </c>
      <c r="F29" s="64">
        <v>2.13</v>
      </c>
      <c r="G29" s="64">
        <v>85.39</v>
      </c>
      <c r="H29" s="64">
        <v>28.47</v>
      </c>
      <c r="I29" s="210" t="s">
        <v>43</v>
      </c>
      <c r="J29" s="64">
        <v>0.13</v>
      </c>
      <c r="K29" s="64">
        <v>272.94</v>
      </c>
      <c r="L29" s="64">
        <v>16.059999999999999</v>
      </c>
      <c r="M29" s="64">
        <v>84.6</v>
      </c>
      <c r="N29" s="64">
        <v>70.599999999999994</v>
      </c>
      <c r="O29" s="64">
        <v>0</v>
      </c>
      <c r="P29" s="64">
        <v>1.07</v>
      </c>
      <c r="Q29" s="64">
        <v>10.23</v>
      </c>
      <c r="R29" s="198"/>
      <c r="S29" s="198"/>
      <c r="T29" s="198"/>
      <c r="U29" s="198"/>
    </row>
    <row r="30" spans="1:21" s="12" customFormat="1" x14ac:dyDescent="0.25">
      <c r="A30" s="213" t="s">
        <v>1225</v>
      </c>
      <c r="B30" s="64">
        <v>75.88</v>
      </c>
      <c r="C30" s="64">
        <v>48.08</v>
      </c>
      <c r="D30" s="64">
        <v>84.6</v>
      </c>
      <c r="E30" s="64">
        <v>6.53</v>
      </c>
      <c r="F30" s="64">
        <v>2.13</v>
      </c>
      <c r="G30" s="64">
        <v>85.39</v>
      </c>
      <c r="H30" s="64">
        <v>28.47</v>
      </c>
      <c r="I30" s="210" t="s">
        <v>43</v>
      </c>
      <c r="J30" s="64">
        <v>0.74</v>
      </c>
      <c r="K30" s="64">
        <v>322.97000000000003</v>
      </c>
      <c r="L30" s="64">
        <v>15.83</v>
      </c>
      <c r="M30" s="64">
        <v>85.28</v>
      </c>
      <c r="N30" s="64">
        <v>70.8</v>
      </c>
      <c r="O30" s="64">
        <v>0</v>
      </c>
      <c r="P30" s="64">
        <v>1.03</v>
      </c>
      <c r="Q30" s="64">
        <v>10.18</v>
      </c>
      <c r="R30" s="198"/>
      <c r="S30" s="198"/>
      <c r="T30" s="198"/>
      <c r="U30" s="198"/>
    </row>
    <row r="31" spans="1:21" s="12" customFormat="1" x14ac:dyDescent="0.25">
      <c r="A31" s="213" t="s">
        <v>1226</v>
      </c>
      <c r="B31" s="64">
        <v>75.5</v>
      </c>
      <c r="C31" s="64">
        <v>49.51</v>
      </c>
      <c r="D31" s="64">
        <v>85.04</v>
      </c>
      <c r="E31" s="64">
        <v>7.01</v>
      </c>
      <c r="F31" s="64">
        <v>2.13</v>
      </c>
      <c r="G31" s="64">
        <v>85.39</v>
      </c>
      <c r="H31" s="64">
        <v>28.47</v>
      </c>
      <c r="I31" s="210" t="s">
        <v>43</v>
      </c>
      <c r="J31" s="64">
        <v>0.23</v>
      </c>
      <c r="K31" s="64">
        <v>280.8</v>
      </c>
      <c r="L31" s="64">
        <v>15.76</v>
      </c>
      <c r="M31" s="64">
        <v>85.47</v>
      </c>
      <c r="N31" s="64">
        <v>70.5</v>
      </c>
      <c r="O31" s="64">
        <v>0</v>
      </c>
      <c r="P31" s="64">
        <v>0.99</v>
      </c>
      <c r="Q31" s="64">
        <v>10.14</v>
      </c>
      <c r="R31" s="198"/>
      <c r="S31" s="198"/>
      <c r="T31" s="198"/>
      <c r="U31" s="198"/>
    </row>
    <row r="32" spans="1:21" s="12" customFormat="1" x14ac:dyDescent="0.25">
      <c r="A32" s="213" t="s">
        <v>1227</v>
      </c>
      <c r="B32" s="64">
        <v>74.67</v>
      </c>
      <c r="C32" s="64">
        <v>49.52</v>
      </c>
      <c r="D32" s="64">
        <v>84.37</v>
      </c>
      <c r="E32" s="64">
        <v>7.05</v>
      </c>
      <c r="F32" s="64">
        <v>2.13</v>
      </c>
      <c r="G32" s="64">
        <v>90.61</v>
      </c>
      <c r="H32" s="64">
        <v>29.47</v>
      </c>
      <c r="I32" s="210" t="s">
        <v>43</v>
      </c>
      <c r="J32" s="64">
        <v>0.16</v>
      </c>
      <c r="K32" s="64">
        <v>240.82</v>
      </c>
      <c r="L32" s="64">
        <v>16</v>
      </c>
      <c r="M32" s="64">
        <v>80.459999999999994</v>
      </c>
      <c r="N32" s="64">
        <v>70.3</v>
      </c>
      <c r="O32" s="64">
        <v>0</v>
      </c>
      <c r="P32" s="64">
        <v>1</v>
      </c>
      <c r="Q32" s="64">
        <v>10.119999999999999</v>
      </c>
      <c r="R32" s="198"/>
      <c r="S32" s="198"/>
      <c r="T32" s="198"/>
      <c r="U32" s="198"/>
    </row>
    <row r="33" spans="1:21" s="12" customFormat="1" x14ac:dyDescent="0.25">
      <c r="A33" s="213" t="s">
        <v>1228</v>
      </c>
      <c r="B33" s="64">
        <v>73.37</v>
      </c>
      <c r="C33" s="64">
        <v>50.06</v>
      </c>
      <c r="D33" s="64">
        <v>83.62</v>
      </c>
      <c r="E33" s="64">
        <v>6.69</v>
      </c>
      <c r="F33" s="64">
        <v>2.13</v>
      </c>
      <c r="G33" s="64">
        <v>102.16</v>
      </c>
      <c r="H33" s="64">
        <v>31.68</v>
      </c>
      <c r="I33" s="210" t="s">
        <v>43</v>
      </c>
      <c r="J33" s="64">
        <v>0.38</v>
      </c>
      <c r="K33" s="64">
        <v>316.14</v>
      </c>
      <c r="L33" s="64">
        <v>15.88</v>
      </c>
      <c r="M33" s="64">
        <v>80.67</v>
      </c>
      <c r="N33" s="64">
        <v>70.7</v>
      </c>
      <c r="O33" s="64">
        <v>0</v>
      </c>
      <c r="P33" s="64">
        <v>1.04</v>
      </c>
      <c r="Q33" s="64">
        <v>10.11</v>
      </c>
      <c r="R33" s="198"/>
      <c r="S33" s="198"/>
      <c r="T33" s="198"/>
      <c r="U33" s="198"/>
    </row>
    <row r="34" spans="1:21" s="12" customFormat="1" x14ac:dyDescent="0.25">
      <c r="A34" s="213" t="s">
        <v>1229</v>
      </c>
      <c r="B34" s="64">
        <v>72.739999999999995</v>
      </c>
      <c r="C34" s="64">
        <v>49.96</v>
      </c>
      <c r="D34" s="64">
        <v>83.06</v>
      </c>
      <c r="E34" s="64">
        <v>6.89</v>
      </c>
      <c r="F34" s="64">
        <v>2.13</v>
      </c>
      <c r="G34" s="64">
        <v>102.16</v>
      </c>
      <c r="H34" s="64">
        <v>31.68</v>
      </c>
      <c r="I34" s="210" t="s">
        <v>43</v>
      </c>
      <c r="J34" s="64">
        <v>0.34</v>
      </c>
      <c r="K34" s="64">
        <v>291.22000000000003</v>
      </c>
      <c r="L34" s="64">
        <v>15.72</v>
      </c>
      <c r="M34" s="64">
        <v>81.66</v>
      </c>
      <c r="N34" s="64">
        <v>71.7</v>
      </c>
      <c r="O34" s="64">
        <v>0</v>
      </c>
      <c r="P34" s="64">
        <v>1.02</v>
      </c>
      <c r="Q34" s="64">
        <v>10.08</v>
      </c>
      <c r="R34" s="198"/>
      <c r="S34" s="198"/>
      <c r="T34" s="198"/>
      <c r="U34" s="198"/>
    </row>
    <row r="35" spans="1:21" s="12" customFormat="1" x14ac:dyDescent="0.25">
      <c r="A35" s="213" t="s">
        <v>1230</v>
      </c>
      <c r="B35" s="64">
        <v>72.63</v>
      </c>
      <c r="C35" s="64">
        <v>50.02</v>
      </c>
      <c r="D35" s="64">
        <v>83</v>
      </c>
      <c r="E35" s="64">
        <v>6.81</v>
      </c>
      <c r="F35" s="64">
        <v>2.13</v>
      </c>
      <c r="G35" s="64">
        <v>102.16</v>
      </c>
      <c r="H35" s="64">
        <v>31.68</v>
      </c>
      <c r="I35" s="210" t="s">
        <v>43</v>
      </c>
      <c r="J35" s="64">
        <v>0.42</v>
      </c>
      <c r="K35" s="64">
        <v>344.18</v>
      </c>
      <c r="L35" s="64">
        <v>15.4</v>
      </c>
      <c r="M35" s="64">
        <v>85.13</v>
      </c>
      <c r="N35" s="64">
        <v>77</v>
      </c>
      <c r="O35" s="64">
        <v>0</v>
      </c>
      <c r="P35" s="64">
        <v>1</v>
      </c>
      <c r="Q35" s="64">
        <v>10.06</v>
      </c>
      <c r="R35" s="198"/>
      <c r="S35" s="198"/>
      <c r="T35" s="198"/>
      <c r="U35" s="198"/>
    </row>
    <row r="36" spans="1:21" s="12" customFormat="1" x14ac:dyDescent="0.25">
      <c r="A36" s="213" t="s">
        <v>1231</v>
      </c>
      <c r="B36" s="64">
        <v>73.62</v>
      </c>
      <c r="C36" s="64">
        <v>49.33</v>
      </c>
      <c r="D36" s="64">
        <v>83.43</v>
      </c>
      <c r="E36" s="64">
        <v>7.21</v>
      </c>
      <c r="F36" s="64">
        <v>2.13</v>
      </c>
      <c r="G36" s="64">
        <v>97.42</v>
      </c>
      <c r="H36" s="64">
        <v>32.79</v>
      </c>
      <c r="I36" s="210" t="s">
        <v>43</v>
      </c>
      <c r="J36" s="64">
        <v>0.28999999999999998</v>
      </c>
      <c r="K36" s="64">
        <v>35.450000000000003</v>
      </c>
      <c r="L36" s="64">
        <v>15.42</v>
      </c>
      <c r="M36" s="64">
        <v>86.25</v>
      </c>
      <c r="N36" s="64">
        <v>90.3</v>
      </c>
      <c r="O36" s="64">
        <v>0</v>
      </c>
      <c r="P36" s="64">
        <v>1.01</v>
      </c>
      <c r="Q36" s="64">
        <v>10.02</v>
      </c>
      <c r="R36" s="198"/>
      <c r="S36" s="198"/>
      <c r="T36" s="198"/>
      <c r="U36" s="198"/>
    </row>
    <row r="37" spans="1:21" s="12" customFormat="1" x14ac:dyDescent="0.25">
      <c r="A37" s="213" t="s">
        <v>1232</v>
      </c>
      <c r="B37" s="64">
        <v>76.650000000000006</v>
      </c>
      <c r="C37" s="64">
        <v>48.2</v>
      </c>
      <c r="D37" s="64">
        <v>85.28</v>
      </c>
      <c r="E37" s="64">
        <v>8.14</v>
      </c>
      <c r="F37" s="64">
        <v>2.13</v>
      </c>
      <c r="G37" s="64">
        <v>86.37</v>
      </c>
      <c r="H37" s="64">
        <v>35.24</v>
      </c>
      <c r="I37" s="210" t="s">
        <v>43</v>
      </c>
      <c r="J37" s="64">
        <v>0.19</v>
      </c>
      <c r="K37" s="64">
        <v>65.13</v>
      </c>
      <c r="L37" s="64">
        <v>15.8</v>
      </c>
      <c r="M37" s="64">
        <v>84.43</v>
      </c>
      <c r="N37" s="64">
        <v>109.4</v>
      </c>
      <c r="O37" s="64">
        <v>0</v>
      </c>
      <c r="P37" s="64">
        <v>1.1200000000000001</v>
      </c>
      <c r="Q37" s="64">
        <v>10.039999999999999</v>
      </c>
      <c r="R37" s="198"/>
      <c r="S37" s="198"/>
      <c r="T37" s="198"/>
      <c r="U37" s="198"/>
    </row>
    <row r="38" spans="1:21" s="12" customFormat="1" x14ac:dyDescent="0.25">
      <c r="A38" s="213" t="s">
        <v>1233</v>
      </c>
      <c r="B38" s="64">
        <v>80.239999999999995</v>
      </c>
      <c r="C38" s="64">
        <v>49.93</v>
      </c>
      <c r="D38" s="64">
        <v>89.06</v>
      </c>
      <c r="E38" s="64">
        <v>8.31</v>
      </c>
      <c r="F38" s="64">
        <v>2.13</v>
      </c>
      <c r="G38" s="64">
        <v>86.37</v>
      </c>
      <c r="H38" s="64">
        <v>35.24</v>
      </c>
      <c r="I38" s="210" t="s">
        <v>43</v>
      </c>
      <c r="J38" s="64">
        <v>0.1</v>
      </c>
      <c r="K38" s="64">
        <v>115.01</v>
      </c>
      <c r="L38" s="64">
        <v>16.64</v>
      </c>
      <c r="M38" s="64">
        <v>81.45</v>
      </c>
      <c r="N38" s="64">
        <v>135.1</v>
      </c>
      <c r="O38" s="64">
        <v>0</v>
      </c>
      <c r="P38" s="64">
        <v>1.1599999999999999</v>
      </c>
      <c r="Q38" s="64">
        <v>10.06</v>
      </c>
      <c r="R38" s="198"/>
      <c r="S38" s="198"/>
      <c r="T38" s="198"/>
      <c r="U38" s="198"/>
    </row>
    <row r="39" spans="1:21" s="12" customFormat="1" x14ac:dyDescent="0.25">
      <c r="A39" s="213" t="s">
        <v>1234</v>
      </c>
      <c r="B39" s="64">
        <v>83.42</v>
      </c>
      <c r="C39" s="64">
        <v>50.98</v>
      </c>
      <c r="D39" s="64">
        <v>92.16</v>
      </c>
      <c r="E39" s="64">
        <v>8.6199999999999992</v>
      </c>
      <c r="F39" s="64">
        <v>2.13</v>
      </c>
      <c r="G39" s="64">
        <v>86.37</v>
      </c>
      <c r="H39" s="64">
        <v>35.24</v>
      </c>
      <c r="I39" s="210" t="s">
        <v>43</v>
      </c>
      <c r="J39" s="64">
        <v>0.6</v>
      </c>
      <c r="K39" s="64">
        <v>224.6</v>
      </c>
      <c r="L39" s="64">
        <v>17.84</v>
      </c>
      <c r="M39" s="64">
        <v>75.89</v>
      </c>
      <c r="N39" s="64">
        <v>178</v>
      </c>
      <c r="O39" s="64">
        <v>0</v>
      </c>
      <c r="P39" s="64">
        <v>1.1599999999999999</v>
      </c>
      <c r="Q39" s="64">
        <v>10.07</v>
      </c>
      <c r="R39" s="198"/>
      <c r="S39" s="198"/>
      <c r="T39" s="198"/>
      <c r="U39" s="198"/>
    </row>
    <row r="40" spans="1:21" s="12" customFormat="1" x14ac:dyDescent="0.25">
      <c r="A40" s="213" t="s">
        <v>1235</v>
      </c>
      <c r="B40" s="64">
        <v>83.07</v>
      </c>
      <c r="C40" s="64">
        <v>52.48</v>
      </c>
      <c r="D40" s="64">
        <v>92.66</v>
      </c>
      <c r="E40" s="64">
        <v>7.48</v>
      </c>
      <c r="F40" s="64">
        <v>2.13</v>
      </c>
      <c r="G40" s="64">
        <v>100.36</v>
      </c>
      <c r="H40" s="64">
        <v>36.33</v>
      </c>
      <c r="I40" s="210" t="s">
        <v>43</v>
      </c>
      <c r="J40" s="64">
        <v>0.55000000000000004</v>
      </c>
      <c r="K40" s="64">
        <v>207.6</v>
      </c>
      <c r="L40" s="64">
        <v>18.760000000000002</v>
      </c>
      <c r="M40" s="64">
        <v>69.989999999999995</v>
      </c>
      <c r="N40" s="64">
        <v>223</v>
      </c>
      <c r="O40" s="64">
        <v>0</v>
      </c>
      <c r="P40" s="64">
        <v>1.1499999999999999</v>
      </c>
      <c r="Q40" s="64">
        <v>10.1</v>
      </c>
      <c r="R40" s="198"/>
      <c r="S40" s="198"/>
      <c r="T40" s="198"/>
      <c r="U40" s="198"/>
    </row>
    <row r="41" spans="1:21" s="12" customFormat="1" x14ac:dyDescent="0.25">
      <c r="A41" s="213" t="s">
        <v>1236</v>
      </c>
      <c r="B41" s="64">
        <v>80.010000000000005</v>
      </c>
      <c r="C41" s="64">
        <v>52.94</v>
      </c>
      <c r="D41" s="64">
        <v>90.45</v>
      </c>
      <c r="E41" s="64">
        <v>7.75</v>
      </c>
      <c r="F41" s="64">
        <v>2.13</v>
      </c>
      <c r="G41" s="64">
        <v>131.33000000000001</v>
      </c>
      <c r="H41" s="64">
        <v>38.74</v>
      </c>
      <c r="I41" s="210" t="s">
        <v>43</v>
      </c>
      <c r="J41" s="64">
        <v>0.97</v>
      </c>
      <c r="K41" s="64">
        <v>205.97</v>
      </c>
      <c r="L41" s="64">
        <v>19.03</v>
      </c>
      <c r="M41" s="64">
        <v>67.14</v>
      </c>
      <c r="N41" s="64">
        <v>268.2</v>
      </c>
      <c r="O41" s="64">
        <v>0</v>
      </c>
      <c r="P41" s="64">
        <v>1.1399999999999999</v>
      </c>
      <c r="Q41" s="64">
        <v>10.14</v>
      </c>
      <c r="R41" s="198"/>
      <c r="S41" s="198"/>
      <c r="T41" s="198"/>
      <c r="U41" s="198"/>
    </row>
    <row r="42" spans="1:21" s="12" customFormat="1" x14ac:dyDescent="0.25">
      <c r="A42" s="213" t="s">
        <v>1237</v>
      </c>
      <c r="B42" s="64">
        <v>75.680000000000007</v>
      </c>
      <c r="C42" s="64">
        <v>52.47</v>
      </c>
      <c r="D42" s="64">
        <v>86.73</v>
      </c>
      <c r="E42" s="64">
        <v>7.94</v>
      </c>
      <c r="F42" s="64">
        <v>2.13</v>
      </c>
      <c r="G42" s="64">
        <v>131.33000000000001</v>
      </c>
      <c r="H42" s="64">
        <v>38.74</v>
      </c>
      <c r="I42" s="210" t="s">
        <v>43</v>
      </c>
      <c r="J42" s="64">
        <v>1.0900000000000001</v>
      </c>
      <c r="K42" s="64">
        <v>203.01</v>
      </c>
      <c r="L42" s="64">
        <v>19.260000000000002</v>
      </c>
      <c r="M42" s="64">
        <v>65.86</v>
      </c>
      <c r="N42" s="64">
        <v>319.7</v>
      </c>
      <c r="O42" s="64">
        <v>0</v>
      </c>
      <c r="P42" s="64">
        <v>1.1100000000000001</v>
      </c>
      <c r="Q42" s="64">
        <v>10.130000000000001</v>
      </c>
      <c r="R42" s="198"/>
      <c r="S42" s="198"/>
      <c r="T42" s="198"/>
      <c r="U42" s="198"/>
    </row>
    <row r="43" spans="1:21" s="12" customFormat="1" x14ac:dyDescent="0.25">
      <c r="A43" s="213" t="s">
        <v>1238</v>
      </c>
      <c r="B43" s="64">
        <v>70.86</v>
      </c>
      <c r="C43" s="64">
        <v>53.25</v>
      </c>
      <c r="D43" s="64">
        <v>83.27</v>
      </c>
      <c r="E43" s="64">
        <v>8.33</v>
      </c>
      <c r="F43" s="64">
        <v>2.13</v>
      </c>
      <c r="G43" s="64">
        <v>131.33000000000001</v>
      </c>
      <c r="H43" s="64">
        <v>38.74</v>
      </c>
      <c r="I43" s="210" t="s">
        <v>43</v>
      </c>
      <c r="J43" s="64">
        <v>0.56999999999999995</v>
      </c>
      <c r="K43" s="64">
        <v>198.39</v>
      </c>
      <c r="L43" s="64">
        <v>20.53</v>
      </c>
      <c r="M43" s="64">
        <v>61.9</v>
      </c>
      <c r="N43" s="64">
        <v>369.5</v>
      </c>
      <c r="O43" s="64">
        <v>0</v>
      </c>
      <c r="P43" s="64">
        <v>1.0900000000000001</v>
      </c>
      <c r="Q43" s="64">
        <v>10.130000000000001</v>
      </c>
      <c r="R43" s="198"/>
      <c r="S43" s="198"/>
      <c r="T43" s="198"/>
      <c r="U43" s="198"/>
    </row>
    <row r="44" spans="1:21" s="12" customFormat="1" x14ac:dyDescent="0.25">
      <c r="A44" s="213" t="s">
        <v>1239</v>
      </c>
      <c r="B44" s="64">
        <v>66.33</v>
      </c>
      <c r="C44" s="64">
        <v>53.91</v>
      </c>
      <c r="D44" s="64">
        <v>79.98</v>
      </c>
      <c r="E44" s="64">
        <v>7.94</v>
      </c>
      <c r="F44" s="64">
        <v>2.13</v>
      </c>
      <c r="G44" s="64">
        <v>119.45</v>
      </c>
      <c r="H44" s="64">
        <v>37.979999999999997</v>
      </c>
      <c r="I44" s="210" t="s">
        <v>43</v>
      </c>
      <c r="J44" s="64">
        <v>0.78</v>
      </c>
      <c r="K44" s="64">
        <v>208.37</v>
      </c>
      <c r="L44" s="64">
        <v>21.59</v>
      </c>
      <c r="M44" s="64">
        <v>56.41</v>
      </c>
      <c r="N44" s="64">
        <v>406.8</v>
      </c>
      <c r="O44" s="64">
        <v>0</v>
      </c>
      <c r="P44" s="64">
        <v>1.06</v>
      </c>
      <c r="Q44" s="64">
        <v>10.119999999999999</v>
      </c>
      <c r="R44" s="198"/>
      <c r="S44" s="198"/>
      <c r="T44" s="198"/>
      <c r="U44" s="198"/>
    </row>
    <row r="45" spans="1:21" s="12" customFormat="1" x14ac:dyDescent="0.25">
      <c r="A45" s="213" t="s">
        <v>1240</v>
      </c>
      <c r="B45" s="64">
        <v>61.57</v>
      </c>
      <c r="C45" s="64">
        <v>54.97</v>
      </c>
      <c r="D45" s="64">
        <v>76.72</v>
      </c>
      <c r="E45" s="64">
        <v>7.36</v>
      </c>
      <c r="F45" s="64">
        <v>2.13</v>
      </c>
      <c r="G45" s="64">
        <v>91.72</v>
      </c>
      <c r="H45" s="64">
        <v>36.299999999999997</v>
      </c>
      <c r="I45" s="210" t="s">
        <v>43</v>
      </c>
      <c r="J45" s="64">
        <v>0.72</v>
      </c>
      <c r="K45" s="64">
        <v>207.52</v>
      </c>
      <c r="L45" s="64">
        <v>21.98</v>
      </c>
      <c r="M45" s="64">
        <v>56.24</v>
      </c>
      <c r="N45" s="64">
        <v>463.7</v>
      </c>
      <c r="O45" s="64">
        <v>0</v>
      </c>
      <c r="P45" s="64">
        <v>1.03</v>
      </c>
      <c r="Q45" s="64">
        <v>10.09</v>
      </c>
      <c r="R45" s="198"/>
      <c r="S45" s="198"/>
      <c r="T45" s="198"/>
      <c r="U45" s="198"/>
    </row>
    <row r="46" spans="1:21" s="12" customFormat="1" x14ac:dyDescent="0.25">
      <c r="A46" s="213" t="s">
        <v>1241</v>
      </c>
      <c r="B46" s="64">
        <v>56.18</v>
      </c>
      <c r="C46" s="64">
        <v>55.96</v>
      </c>
      <c r="D46" s="64">
        <v>72.92</v>
      </c>
      <c r="E46" s="64">
        <v>6.83</v>
      </c>
      <c r="F46" s="64">
        <v>2.13</v>
      </c>
      <c r="G46" s="64">
        <v>91.72</v>
      </c>
      <c r="H46" s="64">
        <v>36.299999999999997</v>
      </c>
      <c r="I46" s="210" t="s">
        <v>43</v>
      </c>
      <c r="J46" s="64">
        <v>0.66</v>
      </c>
      <c r="K46" s="64">
        <v>191.91</v>
      </c>
      <c r="L46" s="64">
        <v>22.84</v>
      </c>
      <c r="M46" s="64">
        <v>54.98</v>
      </c>
      <c r="N46" s="64">
        <v>516.1</v>
      </c>
      <c r="O46" s="64">
        <v>0</v>
      </c>
      <c r="P46" s="64">
        <v>0.99</v>
      </c>
      <c r="Q46" s="64">
        <v>10.09</v>
      </c>
      <c r="R46" s="198"/>
      <c r="S46" s="198"/>
      <c r="T46" s="198"/>
      <c r="U46" s="198"/>
    </row>
    <row r="47" spans="1:21" s="12" customFormat="1" x14ac:dyDescent="0.25">
      <c r="A47" s="213" t="s">
        <v>1242</v>
      </c>
      <c r="B47" s="64">
        <v>51.35</v>
      </c>
      <c r="C47" s="64">
        <v>55.13</v>
      </c>
      <c r="D47" s="64">
        <v>68.599999999999994</v>
      </c>
      <c r="E47" s="64">
        <v>7.02</v>
      </c>
      <c r="F47" s="64">
        <v>2.13</v>
      </c>
      <c r="G47" s="64">
        <v>91.72</v>
      </c>
      <c r="H47" s="64">
        <v>36.299999999999997</v>
      </c>
      <c r="I47" s="210" t="s">
        <v>43</v>
      </c>
      <c r="J47" s="64">
        <v>0.72</v>
      </c>
      <c r="K47" s="64">
        <v>213.16</v>
      </c>
      <c r="L47" s="64">
        <v>23.53</v>
      </c>
      <c r="M47" s="64">
        <v>54.4</v>
      </c>
      <c r="N47" s="64">
        <v>564.1</v>
      </c>
      <c r="O47" s="64">
        <v>0</v>
      </c>
      <c r="P47" s="64">
        <v>0.97</v>
      </c>
      <c r="Q47" s="64">
        <v>10.039999999999999</v>
      </c>
      <c r="R47" s="198"/>
      <c r="S47" s="198"/>
      <c r="T47" s="198"/>
      <c r="U47" s="198"/>
    </row>
    <row r="48" spans="1:21" s="12" customFormat="1" x14ac:dyDescent="0.25">
      <c r="A48" s="213" t="s">
        <v>1243</v>
      </c>
      <c r="B48" s="64">
        <v>46.97</v>
      </c>
      <c r="C48" s="64">
        <v>56.96</v>
      </c>
      <c r="D48" s="64">
        <v>66.05</v>
      </c>
      <c r="E48" s="64">
        <v>6.51</v>
      </c>
      <c r="F48" s="64">
        <v>2.13</v>
      </c>
      <c r="G48" s="64">
        <v>85.68</v>
      </c>
      <c r="H48" s="64">
        <v>35.590000000000003</v>
      </c>
      <c r="I48" s="210" t="s">
        <v>43</v>
      </c>
      <c r="J48" s="64">
        <v>0.75</v>
      </c>
      <c r="K48" s="64">
        <v>203.41</v>
      </c>
      <c r="L48" s="64">
        <v>23.8</v>
      </c>
      <c r="M48" s="64">
        <v>54.73</v>
      </c>
      <c r="N48" s="64">
        <v>606.4</v>
      </c>
      <c r="O48" s="64">
        <v>0</v>
      </c>
      <c r="P48" s="64">
        <v>0.95</v>
      </c>
      <c r="Q48" s="64">
        <v>9.99</v>
      </c>
      <c r="R48" s="198"/>
      <c r="S48" s="198"/>
      <c r="T48" s="198"/>
      <c r="U48" s="198"/>
    </row>
    <row r="49" spans="1:21" s="12" customFormat="1" x14ac:dyDescent="0.25">
      <c r="A49" s="213" t="s">
        <v>1244</v>
      </c>
      <c r="B49" s="64">
        <v>42.84</v>
      </c>
      <c r="C49" s="64">
        <v>58.41</v>
      </c>
      <c r="D49" s="64">
        <v>63.5</v>
      </c>
      <c r="E49" s="64">
        <v>6.57</v>
      </c>
      <c r="F49" s="64">
        <v>2.13</v>
      </c>
      <c r="G49" s="64">
        <v>72.28</v>
      </c>
      <c r="H49" s="64">
        <v>34.01</v>
      </c>
      <c r="I49" s="210" t="s">
        <v>43</v>
      </c>
      <c r="J49" s="64">
        <v>0.51</v>
      </c>
      <c r="K49" s="64">
        <v>163.92</v>
      </c>
      <c r="L49" s="64">
        <v>25.03</v>
      </c>
      <c r="M49" s="64">
        <v>51.41</v>
      </c>
      <c r="N49" s="64">
        <v>657.4</v>
      </c>
      <c r="O49" s="64">
        <v>0</v>
      </c>
      <c r="P49" s="64">
        <v>0.91</v>
      </c>
      <c r="Q49" s="64">
        <v>9.93</v>
      </c>
      <c r="R49" s="198"/>
      <c r="S49" s="198"/>
      <c r="T49" s="198"/>
      <c r="U49" s="198"/>
    </row>
    <row r="50" spans="1:21" s="12" customFormat="1" x14ac:dyDescent="0.25">
      <c r="A50" s="213" t="s">
        <v>1245</v>
      </c>
      <c r="B50" s="64">
        <v>30.59</v>
      </c>
      <c r="C50" s="64">
        <v>63.06</v>
      </c>
      <c r="D50" s="64">
        <v>56.1</v>
      </c>
      <c r="E50" s="64">
        <v>7.24</v>
      </c>
      <c r="F50" s="64">
        <v>6.69</v>
      </c>
      <c r="G50" s="64">
        <v>72.28</v>
      </c>
      <c r="H50" s="64">
        <v>34.01</v>
      </c>
      <c r="I50" s="210" t="s">
        <v>43</v>
      </c>
      <c r="J50" s="64">
        <v>0.56999999999999995</v>
      </c>
      <c r="K50" s="64">
        <v>217.45</v>
      </c>
      <c r="L50" s="64">
        <v>25.8</v>
      </c>
      <c r="M50" s="64">
        <v>48.83</v>
      </c>
      <c r="N50" s="64">
        <v>695</v>
      </c>
      <c r="O50" s="64">
        <v>0</v>
      </c>
      <c r="P50" s="64">
        <v>0.87</v>
      </c>
      <c r="Q50" s="64">
        <v>9.9499999999999993</v>
      </c>
      <c r="R50" s="198"/>
      <c r="S50" s="198"/>
      <c r="T50" s="198"/>
      <c r="U50" s="198"/>
    </row>
    <row r="51" spans="1:21" s="12" customFormat="1" x14ac:dyDescent="0.25">
      <c r="A51" s="213" t="s">
        <v>1246</v>
      </c>
      <c r="B51" s="64">
        <v>6.03</v>
      </c>
      <c r="C51" s="64">
        <v>62.25</v>
      </c>
      <c r="D51" s="64">
        <v>35.979999999999997</v>
      </c>
      <c r="E51" s="64">
        <v>13.94</v>
      </c>
      <c r="F51" s="64">
        <v>33.08</v>
      </c>
      <c r="G51" s="64">
        <v>72.28</v>
      </c>
      <c r="H51" s="64">
        <v>34.01</v>
      </c>
      <c r="I51" s="210" t="s">
        <v>43</v>
      </c>
      <c r="J51" s="64">
        <v>0.59</v>
      </c>
      <c r="K51" s="64">
        <v>268.13</v>
      </c>
      <c r="L51" s="64">
        <v>27.27</v>
      </c>
      <c r="M51" s="64">
        <v>44.46</v>
      </c>
      <c r="N51" s="64">
        <v>709.2</v>
      </c>
      <c r="O51" s="64">
        <v>0</v>
      </c>
      <c r="P51" s="64">
        <v>0.7</v>
      </c>
      <c r="Q51" s="64">
        <v>10.01</v>
      </c>
      <c r="R51" s="198"/>
      <c r="S51" s="198"/>
      <c r="T51" s="198"/>
      <c r="U51" s="198"/>
    </row>
    <row r="52" spans="1:21" s="12" customFormat="1" x14ac:dyDescent="0.25">
      <c r="A52" s="213" t="s">
        <v>1247</v>
      </c>
      <c r="B52" s="64">
        <v>3.5</v>
      </c>
      <c r="C52" s="64">
        <v>65.45</v>
      </c>
      <c r="D52" s="64">
        <v>35.630000000000003</v>
      </c>
      <c r="E52" s="64">
        <v>11.83</v>
      </c>
      <c r="F52" s="64">
        <v>14.23</v>
      </c>
      <c r="G52" s="64">
        <v>70.47</v>
      </c>
      <c r="H52" s="64">
        <v>32.92</v>
      </c>
      <c r="I52" s="210" t="s">
        <v>43</v>
      </c>
      <c r="J52" s="64">
        <v>0.62</v>
      </c>
      <c r="K52" s="64">
        <v>274.13</v>
      </c>
      <c r="L52" s="64">
        <v>28.82</v>
      </c>
      <c r="M52" s="64">
        <v>39.83</v>
      </c>
      <c r="N52" s="64">
        <v>733.2</v>
      </c>
      <c r="O52" s="64">
        <v>0</v>
      </c>
      <c r="P52" s="64">
        <v>0.76</v>
      </c>
      <c r="Q52" s="64">
        <v>9.77</v>
      </c>
      <c r="R52" s="198"/>
      <c r="S52" s="198"/>
      <c r="T52" s="198"/>
      <c r="U52" s="198"/>
    </row>
    <row r="53" spans="1:21" s="12" customFormat="1" x14ac:dyDescent="0.25">
      <c r="A53" s="213" t="s">
        <v>1248</v>
      </c>
      <c r="B53" s="64">
        <v>3.21</v>
      </c>
      <c r="C53" s="64">
        <v>66.64</v>
      </c>
      <c r="D53" s="64">
        <v>36.020000000000003</v>
      </c>
      <c r="E53" s="64">
        <v>11.02</v>
      </c>
      <c r="F53" s="64">
        <v>12.29</v>
      </c>
      <c r="G53" s="64">
        <v>66.45</v>
      </c>
      <c r="H53" s="64">
        <v>30.5</v>
      </c>
      <c r="I53" s="210" t="s">
        <v>43</v>
      </c>
      <c r="J53" s="64">
        <v>0.64</v>
      </c>
      <c r="K53" s="64">
        <v>284.79000000000002</v>
      </c>
      <c r="L53" s="64">
        <v>27.92</v>
      </c>
      <c r="M53" s="64">
        <v>41.37</v>
      </c>
      <c r="N53" s="64">
        <v>761.3</v>
      </c>
      <c r="O53" s="64">
        <v>0</v>
      </c>
      <c r="P53" s="64">
        <v>0.77</v>
      </c>
      <c r="Q53" s="64">
        <v>9.67</v>
      </c>
      <c r="R53" s="198"/>
      <c r="S53" s="198"/>
      <c r="T53" s="198"/>
      <c r="U53" s="198"/>
    </row>
    <row r="54" spans="1:21" s="12" customFormat="1" x14ac:dyDescent="0.25">
      <c r="A54" s="213" t="s">
        <v>1249</v>
      </c>
      <c r="B54" s="64">
        <v>3.12</v>
      </c>
      <c r="C54" s="64">
        <v>66.150000000000006</v>
      </c>
      <c r="D54" s="64">
        <v>35.69</v>
      </c>
      <c r="E54" s="64">
        <v>9.6999999999999993</v>
      </c>
      <c r="F54" s="64">
        <v>6.87</v>
      </c>
      <c r="G54" s="64">
        <v>66.45</v>
      </c>
      <c r="H54" s="64">
        <v>30.5</v>
      </c>
      <c r="I54" s="210" t="s">
        <v>43</v>
      </c>
      <c r="J54" s="64">
        <v>0.63</v>
      </c>
      <c r="K54" s="64">
        <v>251.58</v>
      </c>
      <c r="L54" s="64">
        <v>28.81</v>
      </c>
      <c r="M54" s="64">
        <v>39.119999999999997</v>
      </c>
      <c r="N54" s="64">
        <v>768.3</v>
      </c>
      <c r="O54" s="64">
        <v>0</v>
      </c>
      <c r="P54" s="64">
        <v>0.78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3" t="s">
        <v>1250</v>
      </c>
      <c r="B55" s="64">
        <v>3.27</v>
      </c>
      <c r="C55" s="64">
        <v>61.54</v>
      </c>
      <c r="D55" s="64">
        <v>33.4</v>
      </c>
      <c r="E55" s="64">
        <v>9.35</v>
      </c>
      <c r="F55" s="64">
        <v>4.1500000000000004</v>
      </c>
      <c r="G55" s="64">
        <v>66.45</v>
      </c>
      <c r="H55" s="64">
        <v>30.5</v>
      </c>
      <c r="I55" s="210" t="s">
        <v>43</v>
      </c>
      <c r="J55" s="64">
        <v>0.53</v>
      </c>
      <c r="K55" s="64">
        <v>288.7</v>
      </c>
      <c r="L55" s="64">
        <v>28.61</v>
      </c>
      <c r="M55" s="64">
        <v>39.51</v>
      </c>
      <c r="N55" s="64">
        <v>758.1</v>
      </c>
      <c r="O55" s="64">
        <v>0</v>
      </c>
      <c r="P55" s="64">
        <v>0.78</v>
      </c>
      <c r="Q55" s="64">
        <v>9.65</v>
      </c>
      <c r="R55" s="198"/>
      <c r="S55" s="198"/>
      <c r="T55" s="198"/>
      <c r="U55" s="198"/>
    </row>
    <row r="56" spans="1:21" s="12" customFormat="1" x14ac:dyDescent="0.25">
      <c r="A56" s="213" t="s">
        <v>1251</v>
      </c>
      <c r="B56" s="64">
        <v>3.62</v>
      </c>
      <c r="C56" s="64">
        <v>58.89</v>
      </c>
      <c r="D56" s="64">
        <v>32.299999999999997</v>
      </c>
      <c r="E56" s="64">
        <v>9.18</v>
      </c>
      <c r="F56" s="64">
        <v>2.74</v>
      </c>
      <c r="G56" s="64">
        <v>71.53</v>
      </c>
      <c r="H56" s="64">
        <v>30.2</v>
      </c>
      <c r="I56" s="210" t="s">
        <v>43</v>
      </c>
      <c r="J56" s="64">
        <v>0.66</v>
      </c>
      <c r="K56" s="64">
        <v>258.91000000000003</v>
      </c>
      <c r="L56" s="64">
        <v>29.18</v>
      </c>
      <c r="M56" s="64">
        <v>38.32</v>
      </c>
      <c r="N56" s="64">
        <v>765.7</v>
      </c>
      <c r="O56" s="64">
        <v>0</v>
      </c>
      <c r="P56" s="64">
        <v>0.8</v>
      </c>
      <c r="Q56" s="64">
        <v>9.66</v>
      </c>
      <c r="R56" s="198"/>
      <c r="S56" s="198"/>
      <c r="T56" s="198"/>
      <c r="U56" s="198"/>
    </row>
    <row r="57" spans="1:21" s="12" customFormat="1" x14ac:dyDescent="0.25">
      <c r="A57" s="213" t="s">
        <v>1252</v>
      </c>
      <c r="B57" s="64">
        <v>3.77</v>
      </c>
      <c r="C57" s="64">
        <v>58.33</v>
      </c>
      <c r="D57" s="64">
        <v>32.119999999999997</v>
      </c>
      <c r="E57" s="64">
        <v>8.31</v>
      </c>
      <c r="F57" s="64">
        <v>2.75</v>
      </c>
      <c r="G57" s="64">
        <v>82.78</v>
      </c>
      <c r="H57" s="64">
        <v>29.54</v>
      </c>
      <c r="I57" s="210" t="s">
        <v>43</v>
      </c>
      <c r="J57" s="64">
        <v>0.56999999999999995</v>
      </c>
      <c r="K57" s="64">
        <v>245.74</v>
      </c>
      <c r="L57" s="64">
        <v>28.65</v>
      </c>
      <c r="M57" s="64">
        <v>38.880000000000003</v>
      </c>
      <c r="N57" s="64">
        <v>772.8</v>
      </c>
      <c r="O57" s="64">
        <v>0</v>
      </c>
      <c r="P57" s="64">
        <v>0.79</v>
      </c>
      <c r="Q57" s="64">
        <v>9.66</v>
      </c>
      <c r="R57" s="198"/>
      <c r="S57" s="198"/>
      <c r="T57" s="198"/>
      <c r="U57" s="198"/>
    </row>
    <row r="58" spans="1:21" s="12" customFormat="1" x14ac:dyDescent="0.25">
      <c r="A58" s="213" t="s">
        <v>1253</v>
      </c>
      <c r="B58" s="64">
        <v>3.67</v>
      </c>
      <c r="C58" s="64">
        <v>55.93</v>
      </c>
      <c r="D58" s="64">
        <v>30.79</v>
      </c>
      <c r="E58" s="64">
        <v>7.64</v>
      </c>
      <c r="F58" s="64">
        <v>2.7</v>
      </c>
      <c r="G58" s="64">
        <v>82.78</v>
      </c>
      <c r="H58" s="64">
        <v>29.54</v>
      </c>
      <c r="I58" s="210" t="s">
        <v>43</v>
      </c>
      <c r="J58" s="64">
        <v>0.56000000000000005</v>
      </c>
      <c r="K58" s="64">
        <v>286.98</v>
      </c>
      <c r="L58" s="64">
        <v>29.02</v>
      </c>
      <c r="M58" s="64">
        <v>37.729999999999997</v>
      </c>
      <c r="N58" s="64">
        <v>757.4</v>
      </c>
      <c r="O58" s="64">
        <v>0</v>
      </c>
      <c r="P58" s="64">
        <v>0.78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3" t="s">
        <v>1254</v>
      </c>
      <c r="B59" s="64">
        <v>3.66</v>
      </c>
      <c r="C59" s="64">
        <v>56.26</v>
      </c>
      <c r="D59" s="64">
        <v>30.95</v>
      </c>
      <c r="E59" s="64">
        <v>7.74</v>
      </c>
      <c r="F59" s="64">
        <v>2.73</v>
      </c>
      <c r="G59" s="64">
        <v>82.78</v>
      </c>
      <c r="H59" s="64">
        <v>29.54</v>
      </c>
      <c r="I59" s="210" t="s">
        <v>43</v>
      </c>
      <c r="J59" s="64">
        <v>0.56000000000000005</v>
      </c>
      <c r="K59" s="64">
        <v>281.66000000000003</v>
      </c>
      <c r="L59" s="64">
        <v>29.82</v>
      </c>
      <c r="M59" s="64">
        <v>36.340000000000003</v>
      </c>
      <c r="N59" s="64">
        <v>748.4</v>
      </c>
      <c r="O59" s="64">
        <v>0</v>
      </c>
      <c r="P59" s="64">
        <v>0.78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3" t="s">
        <v>1255</v>
      </c>
      <c r="B60" s="64">
        <v>3.7</v>
      </c>
      <c r="C60" s="64">
        <v>54</v>
      </c>
      <c r="D60" s="64">
        <v>29.8</v>
      </c>
      <c r="E60" s="64">
        <v>7.32</v>
      </c>
      <c r="F60" s="64">
        <v>2.72</v>
      </c>
      <c r="G60" s="64">
        <v>82.09</v>
      </c>
      <c r="H60" s="64">
        <v>28.93</v>
      </c>
      <c r="I60" s="210" t="s">
        <v>43</v>
      </c>
      <c r="J60" s="64">
        <v>1.1499999999999999</v>
      </c>
      <c r="K60" s="64">
        <v>302.31</v>
      </c>
      <c r="L60" s="64">
        <v>30.81</v>
      </c>
      <c r="M60" s="64">
        <v>34.67</v>
      </c>
      <c r="N60" s="64">
        <v>720.7</v>
      </c>
      <c r="O60" s="64">
        <v>0</v>
      </c>
      <c r="P60" s="64">
        <v>0.77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3" t="s">
        <v>1256</v>
      </c>
      <c r="B61" s="64">
        <v>4</v>
      </c>
      <c r="C61" s="64">
        <v>57.31</v>
      </c>
      <c r="D61" s="64">
        <v>31.78</v>
      </c>
      <c r="E61" s="64">
        <v>6.82</v>
      </c>
      <c r="F61" s="64">
        <v>2.44</v>
      </c>
      <c r="G61" s="64">
        <v>80.459999999999994</v>
      </c>
      <c r="H61" s="64">
        <v>27.59</v>
      </c>
      <c r="I61" s="210" t="s">
        <v>43</v>
      </c>
      <c r="J61" s="64">
        <v>0.9</v>
      </c>
      <c r="K61" s="64">
        <v>274.72000000000003</v>
      </c>
      <c r="L61" s="64">
        <v>31.09</v>
      </c>
      <c r="M61" s="64">
        <v>34.020000000000003</v>
      </c>
      <c r="N61" s="64">
        <v>607.9</v>
      </c>
      <c r="O61" s="64">
        <v>0</v>
      </c>
      <c r="P61" s="64">
        <v>0.79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3" t="s">
        <v>1257</v>
      </c>
      <c r="B62" s="64">
        <v>3.89</v>
      </c>
      <c r="C62" s="64">
        <v>54.43</v>
      </c>
      <c r="D62" s="64">
        <v>30.18</v>
      </c>
      <c r="E62" s="64">
        <v>7.07</v>
      </c>
      <c r="F62" s="64">
        <v>2.94</v>
      </c>
      <c r="G62" s="64">
        <v>80.459999999999994</v>
      </c>
      <c r="H62" s="64">
        <v>27.59</v>
      </c>
      <c r="I62" s="210" t="s">
        <v>43</v>
      </c>
      <c r="J62" s="64">
        <v>0.97</v>
      </c>
      <c r="K62" s="64">
        <v>287.36</v>
      </c>
      <c r="L62" s="64">
        <v>31.13</v>
      </c>
      <c r="M62" s="64">
        <v>33.590000000000003</v>
      </c>
      <c r="N62" s="64">
        <v>697.7</v>
      </c>
      <c r="O62" s="64">
        <v>0</v>
      </c>
      <c r="P62" s="64">
        <v>0.81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3" t="s">
        <v>1258</v>
      </c>
      <c r="B63" s="64">
        <v>3.74</v>
      </c>
      <c r="C63" s="64">
        <v>56.1</v>
      </c>
      <c r="D63" s="64">
        <v>30.94</v>
      </c>
      <c r="E63" s="64">
        <v>6.7</v>
      </c>
      <c r="F63" s="64">
        <v>2.88</v>
      </c>
      <c r="G63" s="64">
        <v>80.459999999999994</v>
      </c>
      <c r="H63" s="64">
        <v>27.59</v>
      </c>
      <c r="I63" s="210" t="s">
        <v>43</v>
      </c>
      <c r="J63" s="64">
        <v>1.1200000000000001</v>
      </c>
      <c r="K63" s="64">
        <v>305.20999999999998</v>
      </c>
      <c r="L63" s="64">
        <v>31.81</v>
      </c>
      <c r="M63" s="64">
        <v>32.9</v>
      </c>
      <c r="N63" s="64">
        <v>569.9</v>
      </c>
      <c r="O63" s="64">
        <v>0</v>
      </c>
      <c r="P63" s="64">
        <v>0.8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3" t="s">
        <v>1259</v>
      </c>
      <c r="B64" s="64">
        <v>3.86</v>
      </c>
      <c r="C64" s="64">
        <v>53.45</v>
      </c>
      <c r="D64" s="64">
        <v>29.65</v>
      </c>
      <c r="E64" s="64">
        <v>6.87</v>
      </c>
      <c r="F64" s="64">
        <v>2.8</v>
      </c>
      <c r="G64" s="64">
        <v>79.760000000000005</v>
      </c>
      <c r="H64" s="64">
        <v>28.39</v>
      </c>
      <c r="I64" s="210" t="s">
        <v>43</v>
      </c>
      <c r="J64" s="64">
        <v>0.81</v>
      </c>
      <c r="K64" s="64">
        <v>264.02999999999997</v>
      </c>
      <c r="L64" s="64">
        <v>30.73</v>
      </c>
      <c r="M64" s="64">
        <v>33.9</v>
      </c>
      <c r="N64" s="64">
        <v>503</v>
      </c>
      <c r="O64" s="64">
        <v>0</v>
      </c>
      <c r="P64" s="64">
        <v>0.79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3" t="s">
        <v>1260</v>
      </c>
      <c r="B65" s="64">
        <v>3.81</v>
      </c>
      <c r="C65" s="64">
        <v>53.03</v>
      </c>
      <c r="D65" s="64">
        <v>29.38</v>
      </c>
      <c r="E65" s="64">
        <v>6.97</v>
      </c>
      <c r="F65" s="64">
        <v>4.75</v>
      </c>
      <c r="G65" s="64">
        <v>78.13</v>
      </c>
      <c r="H65" s="64">
        <v>30.18</v>
      </c>
      <c r="I65" s="210" t="s">
        <v>43</v>
      </c>
      <c r="J65" s="64">
        <v>0.67</v>
      </c>
      <c r="K65" s="64">
        <v>259.19</v>
      </c>
      <c r="L65" s="64">
        <v>30</v>
      </c>
      <c r="M65" s="64">
        <v>34.93</v>
      </c>
      <c r="N65" s="64">
        <v>522.9</v>
      </c>
      <c r="O65" s="64">
        <v>0</v>
      </c>
      <c r="P65" s="64">
        <v>0.78</v>
      </c>
      <c r="Q65" s="64">
        <v>9.58</v>
      </c>
      <c r="R65" s="198"/>
      <c r="S65" s="198"/>
      <c r="T65" s="198"/>
      <c r="U65" s="198"/>
    </row>
    <row r="66" spans="1:21" s="12" customFormat="1" x14ac:dyDescent="0.25">
      <c r="A66" s="213" t="s">
        <v>1261</v>
      </c>
      <c r="B66" s="64">
        <v>3.85</v>
      </c>
      <c r="C66" s="64">
        <v>53.45</v>
      </c>
      <c r="D66" s="64">
        <v>29.64</v>
      </c>
      <c r="E66" s="64">
        <v>6.86</v>
      </c>
      <c r="F66" s="64">
        <v>2.89</v>
      </c>
      <c r="G66" s="64">
        <v>78.13</v>
      </c>
      <c r="H66" s="64">
        <v>30.18</v>
      </c>
      <c r="I66" s="210" t="s">
        <v>43</v>
      </c>
      <c r="J66" s="64">
        <v>0.54</v>
      </c>
      <c r="K66" s="64">
        <v>292.87</v>
      </c>
      <c r="L66" s="64">
        <v>30.24</v>
      </c>
      <c r="M66" s="64">
        <v>34.51</v>
      </c>
      <c r="N66" s="64">
        <v>480.9</v>
      </c>
      <c r="O66" s="64">
        <v>0</v>
      </c>
      <c r="P66" s="64">
        <v>0.73</v>
      </c>
      <c r="Q66" s="64">
        <v>9.52</v>
      </c>
      <c r="R66" s="198"/>
      <c r="S66" s="198"/>
      <c r="T66" s="198"/>
      <c r="U66" s="198"/>
    </row>
    <row r="67" spans="1:21" s="12" customFormat="1" x14ac:dyDescent="0.25">
      <c r="A67" s="213" t="s">
        <v>1262</v>
      </c>
      <c r="B67" s="64">
        <v>4.05</v>
      </c>
      <c r="C67" s="64">
        <v>53.78</v>
      </c>
      <c r="D67" s="64">
        <v>29.97</v>
      </c>
      <c r="E67" s="64">
        <v>6.96</v>
      </c>
      <c r="F67" s="64">
        <v>2.1800000000000002</v>
      </c>
      <c r="G67" s="64">
        <v>78.13</v>
      </c>
      <c r="H67" s="64">
        <v>30.18</v>
      </c>
      <c r="I67" s="210" t="s">
        <v>43</v>
      </c>
      <c r="J67" s="64">
        <v>1.22</v>
      </c>
      <c r="K67" s="64">
        <v>305.62</v>
      </c>
      <c r="L67" s="64">
        <v>30.56</v>
      </c>
      <c r="M67" s="64">
        <v>34.590000000000003</v>
      </c>
      <c r="N67" s="64">
        <v>333.2</v>
      </c>
      <c r="O67" s="64">
        <v>0</v>
      </c>
      <c r="P67" s="64">
        <v>0.77</v>
      </c>
      <c r="Q67" s="64">
        <v>9.5</v>
      </c>
      <c r="R67" s="198"/>
      <c r="S67" s="198"/>
      <c r="T67" s="198"/>
      <c r="U67" s="198"/>
    </row>
    <row r="68" spans="1:21" s="12" customFormat="1" x14ac:dyDescent="0.25">
      <c r="A68" s="213" t="s">
        <v>1263</v>
      </c>
      <c r="B68" s="64">
        <v>4.38</v>
      </c>
      <c r="C68" s="64">
        <v>54.09</v>
      </c>
      <c r="D68" s="64">
        <v>30.4</v>
      </c>
      <c r="E68" s="64">
        <v>7.25</v>
      </c>
      <c r="F68" s="64">
        <v>2.29</v>
      </c>
      <c r="G68" s="64">
        <v>76.73</v>
      </c>
      <c r="H68" s="64">
        <v>28.96</v>
      </c>
      <c r="I68" s="210" t="s">
        <v>43</v>
      </c>
      <c r="J68" s="64">
        <v>0.71</v>
      </c>
      <c r="K68" s="64">
        <v>280.36</v>
      </c>
      <c r="L68" s="64">
        <v>30.35</v>
      </c>
      <c r="M68" s="64">
        <v>33.58</v>
      </c>
      <c r="N68" s="64">
        <v>370.8</v>
      </c>
      <c r="O68" s="64">
        <v>0</v>
      </c>
      <c r="P68" s="64">
        <v>0.74</v>
      </c>
      <c r="Q68" s="64">
        <v>9.48</v>
      </c>
      <c r="R68" s="198"/>
      <c r="S68" s="198"/>
      <c r="T68" s="198"/>
      <c r="U68" s="198"/>
    </row>
    <row r="69" spans="1:21" s="12" customFormat="1" x14ac:dyDescent="0.25">
      <c r="A69" s="213" t="s">
        <v>1264</v>
      </c>
      <c r="B69" s="64">
        <v>4.33</v>
      </c>
      <c r="C69" s="64">
        <v>54.66</v>
      </c>
      <c r="D69" s="64">
        <v>30.66</v>
      </c>
      <c r="E69" s="64">
        <v>6.93</v>
      </c>
      <c r="F69" s="64">
        <v>2.46</v>
      </c>
      <c r="G69" s="64">
        <v>73.63</v>
      </c>
      <c r="H69" s="64">
        <v>26.25</v>
      </c>
      <c r="I69" s="210" t="s">
        <v>43</v>
      </c>
      <c r="J69" s="64">
        <v>0.92</v>
      </c>
      <c r="K69" s="64">
        <v>278.54000000000002</v>
      </c>
      <c r="L69" s="64">
        <v>29.73</v>
      </c>
      <c r="M69" s="64">
        <v>32.270000000000003</v>
      </c>
      <c r="N69" s="64">
        <v>407.1</v>
      </c>
      <c r="O69" s="64">
        <v>0</v>
      </c>
      <c r="P69" s="64">
        <v>0.72</v>
      </c>
      <c r="Q69" s="64">
        <v>9.4700000000000006</v>
      </c>
      <c r="R69" s="198"/>
      <c r="S69" s="198"/>
      <c r="T69" s="198"/>
      <c r="U69" s="198"/>
    </row>
    <row r="70" spans="1:21" s="12" customFormat="1" x14ac:dyDescent="0.25">
      <c r="A70" s="213" t="s">
        <v>1265</v>
      </c>
      <c r="B70" s="64">
        <v>4.12</v>
      </c>
      <c r="C70" s="64">
        <v>54.71</v>
      </c>
      <c r="D70" s="64">
        <v>30.52</v>
      </c>
      <c r="E70" s="64">
        <v>6.95</v>
      </c>
      <c r="F70" s="64">
        <v>3.35</v>
      </c>
      <c r="G70" s="64">
        <v>73.63</v>
      </c>
      <c r="H70" s="64">
        <v>26.25</v>
      </c>
      <c r="I70" s="210" t="s">
        <v>43</v>
      </c>
      <c r="J70" s="64">
        <v>0.88</v>
      </c>
      <c r="K70" s="64">
        <v>291.13</v>
      </c>
      <c r="L70" s="64">
        <v>29.48</v>
      </c>
      <c r="M70" s="64">
        <v>33.049999999999997</v>
      </c>
      <c r="N70" s="64">
        <v>334.8</v>
      </c>
      <c r="O70" s="64">
        <v>0</v>
      </c>
      <c r="P70" s="64">
        <v>0.71</v>
      </c>
      <c r="Q70" s="64">
        <v>9.44</v>
      </c>
      <c r="R70" s="198"/>
      <c r="S70" s="198"/>
      <c r="T70" s="198"/>
      <c r="U70" s="198"/>
    </row>
    <row r="71" spans="1:21" s="12" customFormat="1" x14ac:dyDescent="0.25">
      <c r="A71" s="213" t="s">
        <v>1266</v>
      </c>
      <c r="B71" s="64">
        <v>4.09</v>
      </c>
      <c r="C71" s="64">
        <v>55.29</v>
      </c>
      <c r="D71" s="64">
        <v>30.79</v>
      </c>
      <c r="E71" s="64">
        <v>6.64</v>
      </c>
      <c r="F71" s="64">
        <v>3.54</v>
      </c>
      <c r="G71" s="64">
        <v>73.63</v>
      </c>
      <c r="H71" s="64">
        <v>26.25</v>
      </c>
      <c r="I71" s="210" t="s">
        <v>43</v>
      </c>
      <c r="J71" s="64">
        <v>0.98</v>
      </c>
      <c r="K71" s="64">
        <v>273.97000000000003</v>
      </c>
      <c r="L71" s="64">
        <v>28.75</v>
      </c>
      <c r="M71" s="64">
        <v>33.58</v>
      </c>
      <c r="N71" s="64">
        <v>228.2</v>
      </c>
      <c r="O71" s="64">
        <v>0</v>
      </c>
      <c r="P71" s="64">
        <v>0.7</v>
      </c>
      <c r="Q71" s="64">
        <v>9.43</v>
      </c>
      <c r="R71" s="198"/>
      <c r="S71" s="198"/>
      <c r="T71" s="198"/>
      <c r="U71" s="198"/>
    </row>
    <row r="72" spans="1:21" s="12" customFormat="1" x14ac:dyDescent="0.25">
      <c r="A72" s="213" t="s">
        <v>1267</v>
      </c>
      <c r="B72" s="64">
        <v>3.93</v>
      </c>
      <c r="C72" s="64">
        <v>56.84</v>
      </c>
      <c r="D72" s="64">
        <v>31.47</v>
      </c>
      <c r="E72" s="64">
        <v>7.13</v>
      </c>
      <c r="F72" s="64">
        <v>3.21</v>
      </c>
      <c r="G72" s="64">
        <v>72.92</v>
      </c>
      <c r="H72" s="64">
        <v>25.86</v>
      </c>
      <c r="I72" s="210" t="s">
        <v>43</v>
      </c>
      <c r="J72" s="64">
        <v>1.42</v>
      </c>
      <c r="K72" s="64">
        <v>301.61</v>
      </c>
      <c r="L72" s="64">
        <v>28.44</v>
      </c>
      <c r="M72" s="64">
        <v>34.130000000000003</v>
      </c>
      <c r="N72" s="64">
        <v>182.2</v>
      </c>
      <c r="O72" s="64">
        <v>0</v>
      </c>
      <c r="P72" s="64">
        <v>0.68</v>
      </c>
      <c r="Q72" s="64">
        <v>9.43</v>
      </c>
      <c r="R72" s="198"/>
      <c r="S72" s="198"/>
      <c r="T72" s="198"/>
      <c r="U72" s="198"/>
    </row>
    <row r="73" spans="1:21" s="12" customFormat="1" x14ac:dyDescent="0.25">
      <c r="A73" s="213" t="s">
        <v>1268</v>
      </c>
      <c r="B73" s="64">
        <v>3.89</v>
      </c>
      <c r="C73" s="64">
        <v>55.77</v>
      </c>
      <c r="D73" s="64">
        <v>30.88</v>
      </c>
      <c r="E73" s="64">
        <v>6.84</v>
      </c>
      <c r="F73" s="64">
        <v>3.01</v>
      </c>
      <c r="G73" s="64">
        <v>71.349999999999994</v>
      </c>
      <c r="H73" s="64">
        <v>25</v>
      </c>
      <c r="I73" s="210" t="s">
        <v>43</v>
      </c>
      <c r="J73" s="64">
        <v>1.59</v>
      </c>
      <c r="K73" s="64">
        <v>314.17</v>
      </c>
      <c r="L73" s="64">
        <v>28.13</v>
      </c>
      <c r="M73" s="64">
        <v>36.42</v>
      </c>
      <c r="N73" s="64">
        <v>188.8</v>
      </c>
      <c r="O73" s="64">
        <v>0</v>
      </c>
      <c r="P73" s="64">
        <v>0.67</v>
      </c>
      <c r="Q73" s="64">
        <v>9.43</v>
      </c>
      <c r="R73" s="198"/>
      <c r="S73" s="198"/>
      <c r="T73" s="198"/>
      <c r="U73" s="198"/>
    </row>
    <row r="74" spans="1:21" s="12" customFormat="1" x14ac:dyDescent="0.25">
      <c r="A74" s="213" t="s">
        <v>1269</v>
      </c>
      <c r="B74" s="64">
        <v>3.93</v>
      </c>
      <c r="C74" s="64">
        <v>55.22</v>
      </c>
      <c r="D74" s="64">
        <v>30.63</v>
      </c>
      <c r="E74" s="64">
        <v>6.82</v>
      </c>
      <c r="F74" s="64">
        <v>2.87</v>
      </c>
      <c r="G74" s="64">
        <v>71.349999999999994</v>
      </c>
      <c r="H74" s="64">
        <v>25</v>
      </c>
      <c r="I74" s="210" t="s">
        <v>43</v>
      </c>
      <c r="J74" s="64">
        <v>1.44</v>
      </c>
      <c r="K74" s="64">
        <v>306.18</v>
      </c>
      <c r="L74" s="64">
        <v>27.89</v>
      </c>
      <c r="M74" s="64">
        <v>36.840000000000003</v>
      </c>
      <c r="N74" s="64">
        <v>166.6</v>
      </c>
      <c r="O74" s="64">
        <v>0</v>
      </c>
      <c r="P74" s="64">
        <v>0.66</v>
      </c>
      <c r="Q74" s="64">
        <v>9.43</v>
      </c>
      <c r="R74" s="198"/>
      <c r="S74" s="198"/>
      <c r="T74" s="198"/>
      <c r="U74" s="198"/>
    </row>
    <row r="75" spans="1:21" s="12" customFormat="1" x14ac:dyDescent="0.25">
      <c r="A75" s="213" t="s">
        <v>1270</v>
      </c>
      <c r="B75" s="64">
        <v>3.95</v>
      </c>
      <c r="C75" s="64">
        <v>54.26</v>
      </c>
      <c r="D75" s="64">
        <v>30.14</v>
      </c>
      <c r="E75" s="64">
        <v>6.66</v>
      </c>
      <c r="F75" s="64">
        <v>2.88</v>
      </c>
      <c r="G75" s="64">
        <v>71.349999999999994</v>
      </c>
      <c r="H75" s="64">
        <v>25</v>
      </c>
      <c r="I75" s="210" t="s">
        <v>43</v>
      </c>
      <c r="J75" s="64">
        <v>1.57</v>
      </c>
      <c r="K75" s="64">
        <v>308.29000000000002</v>
      </c>
      <c r="L75" s="64">
        <v>27.48</v>
      </c>
      <c r="M75" s="64">
        <v>37.4</v>
      </c>
      <c r="N75" s="64">
        <v>141.6</v>
      </c>
      <c r="O75" s="64">
        <v>0</v>
      </c>
      <c r="P75" s="64">
        <v>0.65</v>
      </c>
      <c r="Q75" s="64">
        <v>9.43</v>
      </c>
      <c r="R75" s="198"/>
      <c r="S75" s="198"/>
      <c r="T75" s="198"/>
      <c r="U75" s="198"/>
    </row>
    <row r="76" spans="1:21" s="12" customFormat="1" x14ac:dyDescent="0.25">
      <c r="A76" s="213" t="s">
        <v>1271</v>
      </c>
      <c r="B76" s="64">
        <v>4.01</v>
      </c>
      <c r="C76" s="64">
        <v>53.82</v>
      </c>
      <c r="D76" s="64">
        <v>29.96</v>
      </c>
      <c r="E76" s="64">
        <v>6.62</v>
      </c>
      <c r="F76" s="64">
        <v>2.4900000000000002</v>
      </c>
      <c r="G76" s="64">
        <v>68.55</v>
      </c>
      <c r="H76" s="64">
        <v>25.25</v>
      </c>
      <c r="I76" s="210" t="s">
        <v>43</v>
      </c>
      <c r="J76" s="64">
        <v>1.45</v>
      </c>
      <c r="K76" s="64">
        <v>305</v>
      </c>
      <c r="L76" s="64">
        <v>27.06</v>
      </c>
      <c r="M76" s="64">
        <v>36.799999999999997</v>
      </c>
      <c r="N76" s="64">
        <v>128</v>
      </c>
      <c r="O76" s="64">
        <v>0</v>
      </c>
      <c r="P76" s="64">
        <v>0.63</v>
      </c>
      <c r="Q76" s="64">
        <v>9.44</v>
      </c>
      <c r="R76" s="198"/>
      <c r="S76" s="198"/>
      <c r="T76" s="198"/>
      <c r="U76" s="198"/>
    </row>
    <row r="77" spans="1:21" s="12" customFormat="1" x14ac:dyDescent="0.25">
      <c r="A77" s="213" t="s">
        <v>1272</v>
      </c>
      <c r="B77" s="64">
        <v>4.18</v>
      </c>
      <c r="C77" s="64">
        <v>54.21</v>
      </c>
      <c r="D77" s="64">
        <v>30.3</v>
      </c>
      <c r="E77" s="64">
        <v>6.51</v>
      </c>
      <c r="F77" s="64">
        <v>2.15</v>
      </c>
      <c r="G77" s="64">
        <v>62.36</v>
      </c>
      <c r="H77" s="64">
        <v>25.81</v>
      </c>
      <c r="I77" s="210" t="s">
        <v>43</v>
      </c>
      <c r="J77" s="64">
        <v>1.3</v>
      </c>
      <c r="K77" s="64">
        <v>306.04000000000002</v>
      </c>
      <c r="L77" s="64">
        <v>26.8</v>
      </c>
      <c r="M77" s="64">
        <v>35.770000000000003</v>
      </c>
      <c r="N77" s="64">
        <v>122.7</v>
      </c>
      <c r="O77" s="64">
        <v>0</v>
      </c>
      <c r="P77" s="64">
        <v>0.63</v>
      </c>
      <c r="Q77" s="64">
        <v>9.44</v>
      </c>
      <c r="R77" s="198"/>
      <c r="S77" s="198"/>
      <c r="T77" s="198"/>
      <c r="U77" s="198"/>
    </row>
    <row r="78" spans="1:21" s="12" customFormat="1" x14ac:dyDescent="0.25">
      <c r="A78" s="213" t="s">
        <v>1273</v>
      </c>
      <c r="B78" s="64">
        <v>4.2699999999999996</v>
      </c>
      <c r="C78" s="64">
        <v>54.05</v>
      </c>
      <c r="D78" s="64">
        <v>30.29</v>
      </c>
      <c r="E78" s="64">
        <v>6.62</v>
      </c>
      <c r="F78" s="64">
        <v>2.14</v>
      </c>
      <c r="G78" s="64">
        <v>62.36</v>
      </c>
      <c r="H78" s="64">
        <v>25.81</v>
      </c>
      <c r="I78" s="210" t="s">
        <v>43</v>
      </c>
      <c r="J78" s="64">
        <v>1.5</v>
      </c>
      <c r="K78" s="64">
        <v>307.55</v>
      </c>
      <c r="L78" s="64">
        <v>26.48</v>
      </c>
      <c r="M78" s="64">
        <v>35.630000000000003</v>
      </c>
      <c r="N78" s="64">
        <v>104.8</v>
      </c>
      <c r="O78" s="64">
        <v>0</v>
      </c>
      <c r="P78" s="64">
        <v>0.62</v>
      </c>
      <c r="Q78" s="64">
        <v>9.44</v>
      </c>
      <c r="R78" s="198"/>
      <c r="S78" s="198"/>
      <c r="T78" s="198"/>
      <c r="U78" s="198"/>
    </row>
    <row r="79" spans="1:21" s="12" customFormat="1" x14ac:dyDescent="0.25">
      <c r="A79" s="213" t="s">
        <v>1274</v>
      </c>
      <c r="B79" s="64">
        <v>4.37</v>
      </c>
      <c r="C79" s="64">
        <v>53.95</v>
      </c>
      <c r="D79" s="64">
        <v>30.32</v>
      </c>
      <c r="E79" s="64">
        <v>6.11</v>
      </c>
      <c r="F79" s="64">
        <v>2.13</v>
      </c>
      <c r="G79" s="64">
        <v>62.36</v>
      </c>
      <c r="H79" s="64">
        <v>25.81</v>
      </c>
      <c r="I79" s="210" t="s">
        <v>43</v>
      </c>
      <c r="J79" s="64">
        <v>1.4</v>
      </c>
      <c r="K79" s="64">
        <v>308.86</v>
      </c>
      <c r="L79" s="64">
        <v>25.93</v>
      </c>
      <c r="M79" s="64">
        <v>36.729999999999997</v>
      </c>
      <c r="N79" s="64">
        <v>91.1</v>
      </c>
      <c r="O79" s="64">
        <v>0</v>
      </c>
      <c r="P79" s="64">
        <v>0.62</v>
      </c>
      <c r="Q79" s="64">
        <v>9.44</v>
      </c>
      <c r="R79" s="198"/>
      <c r="S79" s="198"/>
      <c r="T79" s="198"/>
      <c r="U79" s="198"/>
    </row>
    <row r="80" spans="1:21" s="12" customFormat="1" x14ac:dyDescent="0.25">
      <c r="A80" s="213" t="s">
        <v>1275</v>
      </c>
      <c r="B80" s="64">
        <v>4.5999999999999996</v>
      </c>
      <c r="C80" s="64">
        <v>54.36</v>
      </c>
      <c r="D80" s="64">
        <v>30.71</v>
      </c>
      <c r="E80" s="64">
        <v>5.98</v>
      </c>
      <c r="F80" s="64">
        <v>2.13</v>
      </c>
      <c r="G80" s="64">
        <v>60.74</v>
      </c>
      <c r="H80" s="64">
        <v>24.81</v>
      </c>
      <c r="I80" s="210" t="s">
        <v>43</v>
      </c>
      <c r="J80" s="64">
        <v>1.26</v>
      </c>
      <c r="K80" s="64">
        <v>317.7</v>
      </c>
      <c r="L80" s="64">
        <v>25.25</v>
      </c>
      <c r="M80" s="64">
        <v>39.01</v>
      </c>
      <c r="N80" s="64">
        <v>82.7</v>
      </c>
      <c r="O80" s="64">
        <v>0</v>
      </c>
      <c r="P80" s="64">
        <v>0.64</v>
      </c>
      <c r="Q80" s="64">
        <v>9.42</v>
      </c>
      <c r="R80" s="198"/>
      <c r="S80" s="198"/>
      <c r="T80" s="198"/>
      <c r="U80" s="198"/>
    </row>
    <row r="81" spans="1:26" s="12" customFormat="1" x14ac:dyDescent="0.25">
      <c r="A81" s="213" t="s">
        <v>1276</v>
      </c>
      <c r="B81" s="64">
        <v>5.24</v>
      </c>
      <c r="C81" s="64">
        <v>55.28</v>
      </c>
      <c r="D81" s="64">
        <v>31.7</v>
      </c>
      <c r="E81" s="64">
        <v>6.07</v>
      </c>
      <c r="F81" s="64">
        <v>2.13</v>
      </c>
      <c r="G81" s="64">
        <v>57.15</v>
      </c>
      <c r="H81" s="64">
        <v>22.58</v>
      </c>
      <c r="I81" s="210" t="s">
        <v>43</v>
      </c>
      <c r="J81" s="64">
        <v>0.47</v>
      </c>
      <c r="K81" s="64">
        <v>345.36</v>
      </c>
      <c r="L81" s="64">
        <v>24.34</v>
      </c>
      <c r="M81" s="64">
        <v>41.72</v>
      </c>
      <c r="N81" s="64">
        <v>80.099999999999994</v>
      </c>
      <c r="O81" s="64">
        <v>0</v>
      </c>
      <c r="P81" s="64">
        <v>0.88</v>
      </c>
      <c r="Q81" s="64">
        <v>9.4499999999999993</v>
      </c>
      <c r="R81" s="198"/>
      <c r="S81" s="198"/>
      <c r="T81" s="198"/>
      <c r="U81" s="198"/>
    </row>
    <row r="82" spans="1:26" s="12" customFormat="1" x14ac:dyDescent="0.25">
      <c r="A82" s="213" t="s">
        <v>1277</v>
      </c>
      <c r="B82" s="64">
        <v>6.54</v>
      </c>
      <c r="C82" s="64">
        <v>55.31</v>
      </c>
      <c r="D82" s="64">
        <v>32.770000000000003</v>
      </c>
      <c r="E82" s="64">
        <v>6.41</v>
      </c>
      <c r="F82" s="64">
        <v>2.13</v>
      </c>
      <c r="G82" s="64">
        <v>57.15</v>
      </c>
      <c r="H82" s="64">
        <v>22.58</v>
      </c>
      <c r="I82" s="210" t="s">
        <v>43</v>
      </c>
      <c r="J82" s="64">
        <v>0.32</v>
      </c>
      <c r="K82" s="64">
        <v>258.76</v>
      </c>
      <c r="L82" s="64">
        <v>23.49</v>
      </c>
      <c r="M82" s="64">
        <v>44.15</v>
      </c>
      <c r="N82" s="64">
        <v>79.599999999999994</v>
      </c>
      <c r="O82" s="64">
        <v>0</v>
      </c>
      <c r="P82" s="64">
        <v>0.82</v>
      </c>
      <c r="Q82" s="64">
        <v>9.5</v>
      </c>
      <c r="R82" s="198"/>
      <c r="S82" s="198"/>
      <c r="T82" s="198"/>
      <c r="U82" s="198"/>
    </row>
    <row r="83" spans="1:26" s="12" customFormat="1" x14ac:dyDescent="0.25">
      <c r="A83" s="213" t="s">
        <v>1278</v>
      </c>
      <c r="B83" s="64">
        <v>8.25</v>
      </c>
      <c r="C83" s="64">
        <v>55.32</v>
      </c>
      <c r="D83" s="64">
        <v>34.14</v>
      </c>
      <c r="E83" s="64">
        <v>5.85</v>
      </c>
      <c r="F83" s="64">
        <v>2.13</v>
      </c>
      <c r="G83" s="64">
        <v>57.15</v>
      </c>
      <c r="H83" s="64">
        <v>22.58</v>
      </c>
      <c r="I83" s="210" t="s">
        <v>43</v>
      </c>
      <c r="J83" s="64">
        <v>0.34</v>
      </c>
      <c r="K83" s="64">
        <v>279.94</v>
      </c>
      <c r="L83" s="64">
        <v>22.49</v>
      </c>
      <c r="M83" s="64">
        <v>50.37</v>
      </c>
      <c r="N83" s="64">
        <v>79.400000000000006</v>
      </c>
      <c r="O83" s="64">
        <v>0</v>
      </c>
      <c r="P83" s="64">
        <v>0.98</v>
      </c>
      <c r="Q83" s="64">
        <v>9.5299999999999994</v>
      </c>
      <c r="R83" s="198"/>
      <c r="S83" s="198"/>
      <c r="T83" s="198"/>
      <c r="U83" s="198"/>
    </row>
    <row r="84" spans="1:26" s="12" customFormat="1" x14ac:dyDescent="0.25">
      <c r="A84" s="213" t="s">
        <v>1279</v>
      </c>
      <c r="B84" s="64">
        <v>11.65</v>
      </c>
      <c r="C84" s="64">
        <v>57.37</v>
      </c>
      <c r="D84" s="64">
        <v>37.94</v>
      </c>
      <c r="E84" s="64">
        <v>6.1</v>
      </c>
      <c r="F84" s="64">
        <v>2.13</v>
      </c>
      <c r="G84" s="64">
        <v>70.13</v>
      </c>
      <c r="H84" s="64">
        <v>24.8</v>
      </c>
      <c r="I84" s="210" t="s">
        <v>43</v>
      </c>
      <c r="J84" s="64">
        <v>0.34</v>
      </c>
      <c r="K84" s="64">
        <v>124.87</v>
      </c>
      <c r="L84" s="64">
        <v>21.99</v>
      </c>
      <c r="M84" s="64">
        <v>51.34</v>
      </c>
      <c r="N84" s="64">
        <v>79</v>
      </c>
      <c r="O84" s="64">
        <v>0</v>
      </c>
      <c r="P84" s="64">
        <v>1.1599999999999999</v>
      </c>
      <c r="Q84" s="64">
        <v>9.58</v>
      </c>
      <c r="R84" s="198"/>
      <c r="S84" s="198"/>
      <c r="T84" s="198"/>
      <c r="U84" s="198"/>
    </row>
    <row r="85" spans="1:26" s="12" customFormat="1" x14ac:dyDescent="0.25">
      <c r="A85" s="213" t="s">
        <v>1280</v>
      </c>
      <c r="B85" s="64">
        <v>15.78</v>
      </c>
      <c r="C85" s="64">
        <v>58.57</v>
      </c>
      <c r="D85" s="64">
        <v>41.88</v>
      </c>
      <c r="E85" s="64">
        <v>6.33</v>
      </c>
      <c r="F85" s="64">
        <v>2.13</v>
      </c>
      <c r="G85" s="64">
        <v>98.89</v>
      </c>
      <c r="H85" s="64">
        <v>29.72</v>
      </c>
      <c r="I85" s="210" t="s">
        <v>43</v>
      </c>
      <c r="J85" s="64">
        <v>0.12</v>
      </c>
      <c r="K85" s="64">
        <v>339.47</v>
      </c>
      <c r="L85" s="64">
        <v>21.58</v>
      </c>
      <c r="M85" s="64">
        <v>55.48</v>
      </c>
      <c r="N85" s="64">
        <v>79</v>
      </c>
      <c r="O85" s="64">
        <v>0</v>
      </c>
      <c r="P85" s="64">
        <v>1.42</v>
      </c>
      <c r="Q85" s="64">
        <v>9.56</v>
      </c>
      <c r="R85" s="198"/>
      <c r="S85" s="198"/>
      <c r="T85" s="198"/>
      <c r="U85" s="198"/>
    </row>
    <row r="86" spans="1:26" s="12" customFormat="1" x14ac:dyDescent="0.25">
      <c r="A86" s="213" t="s">
        <v>1281</v>
      </c>
      <c r="B86" s="64">
        <v>22.32</v>
      </c>
      <c r="C86" s="64">
        <v>59.27</v>
      </c>
      <c r="D86" s="64">
        <v>47.49</v>
      </c>
      <c r="E86" s="64">
        <v>6.38</v>
      </c>
      <c r="F86" s="64">
        <v>2.13</v>
      </c>
      <c r="G86" s="64">
        <v>98.89</v>
      </c>
      <c r="H86" s="64">
        <v>29.72</v>
      </c>
      <c r="I86" s="210" t="s">
        <v>43</v>
      </c>
      <c r="J86" s="64">
        <v>0.55000000000000004</v>
      </c>
      <c r="K86" s="64">
        <v>298.36</v>
      </c>
      <c r="L86" s="64">
        <v>21.27</v>
      </c>
      <c r="M86" s="64">
        <v>57.34</v>
      </c>
      <c r="N86" s="64">
        <v>78.8</v>
      </c>
      <c r="O86" s="64">
        <v>0</v>
      </c>
      <c r="P86" s="64">
        <v>1.57</v>
      </c>
      <c r="Q86" s="64">
        <v>9.5399999999999991</v>
      </c>
      <c r="R86" s="198"/>
      <c r="S86" s="198"/>
      <c r="T86" s="198"/>
      <c r="U86" s="198"/>
    </row>
    <row r="87" spans="1:26" s="12" customFormat="1" x14ac:dyDescent="0.25">
      <c r="A87" s="213" t="s">
        <v>1282</v>
      </c>
      <c r="B87" s="64">
        <v>28.31</v>
      </c>
      <c r="C87" s="64">
        <v>59.71</v>
      </c>
      <c r="D87" s="64">
        <v>52.52</v>
      </c>
      <c r="E87" s="64">
        <v>6.58</v>
      </c>
      <c r="F87" s="64">
        <v>2.13</v>
      </c>
      <c r="G87" s="64">
        <v>98.89</v>
      </c>
      <c r="H87" s="64">
        <v>29.72</v>
      </c>
      <c r="I87" s="210" t="s">
        <v>43</v>
      </c>
      <c r="J87" s="64">
        <v>0.56000000000000005</v>
      </c>
      <c r="K87" s="64">
        <v>244.83</v>
      </c>
      <c r="L87" s="64">
        <v>21.09</v>
      </c>
      <c r="M87" s="64">
        <v>57.06</v>
      </c>
      <c r="N87" s="64">
        <v>78.7</v>
      </c>
      <c r="O87" s="64">
        <v>0</v>
      </c>
      <c r="P87" s="64">
        <v>1.6</v>
      </c>
      <c r="Q87" s="64">
        <v>9.5500000000000007</v>
      </c>
      <c r="R87" s="198"/>
      <c r="S87" s="198"/>
      <c r="T87" s="198"/>
      <c r="U87" s="198"/>
    </row>
    <row r="88" spans="1:26" s="12" customFormat="1" x14ac:dyDescent="0.25">
      <c r="A88" s="213" t="s">
        <v>1283</v>
      </c>
      <c r="B88" s="64">
        <v>32.44</v>
      </c>
      <c r="C88" s="64">
        <v>59.83</v>
      </c>
      <c r="D88" s="64">
        <v>55.9</v>
      </c>
      <c r="E88" s="64">
        <v>6.94</v>
      </c>
      <c r="F88" s="64">
        <v>2.13</v>
      </c>
      <c r="G88" s="64">
        <v>106.95</v>
      </c>
      <c r="H88" s="64">
        <v>30.4</v>
      </c>
      <c r="I88" s="210" t="s">
        <v>43</v>
      </c>
      <c r="J88" s="64">
        <v>0.78</v>
      </c>
      <c r="K88" s="64">
        <v>223.67</v>
      </c>
      <c r="L88" s="64">
        <v>21.78</v>
      </c>
      <c r="M88" s="64">
        <v>51.96</v>
      </c>
      <c r="N88" s="64">
        <v>77.8</v>
      </c>
      <c r="O88" s="64">
        <v>0</v>
      </c>
      <c r="P88" s="64">
        <v>1.1000000000000001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3" t="s">
        <v>1284</v>
      </c>
      <c r="B89" s="64">
        <v>33.65</v>
      </c>
      <c r="C89" s="64">
        <v>59.77</v>
      </c>
      <c r="D89" s="64">
        <v>56.83</v>
      </c>
      <c r="E89" s="64">
        <v>6.54</v>
      </c>
      <c r="F89" s="64">
        <v>2.13</v>
      </c>
      <c r="G89" s="64">
        <v>124.81</v>
      </c>
      <c r="H89" s="64">
        <v>31.88</v>
      </c>
      <c r="I89" s="210" t="s">
        <v>43</v>
      </c>
      <c r="J89" s="64">
        <v>0.69</v>
      </c>
      <c r="K89" s="64">
        <v>240.42</v>
      </c>
      <c r="L89" s="64">
        <v>21.66</v>
      </c>
      <c r="M89" s="64">
        <v>53.58</v>
      </c>
      <c r="N89" s="64">
        <v>78.5</v>
      </c>
      <c r="O89" s="64">
        <v>0</v>
      </c>
      <c r="P89" s="64">
        <v>1.05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3" t="s">
        <v>1285</v>
      </c>
      <c r="B90" s="64">
        <v>34.74</v>
      </c>
      <c r="C90" s="64">
        <v>59.62</v>
      </c>
      <c r="D90" s="64">
        <v>57.63</v>
      </c>
      <c r="E90" s="64">
        <v>6.32</v>
      </c>
      <c r="F90" s="64">
        <v>2.13</v>
      </c>
      <c r="G90" s="64">
        <v>124.81</v>
      </c>
      <c r="H90" s="64">
        <v>31.88</v>
      </c>
      <c r="I90" s="210" t="s">
        <v>43</v>
      </c>
      <c r="J90" s="64">
        <v>0.59</v>
      </c>
      <c r="K90" s="64">
        <v>329.39</v>
      </c>
      <c r="L90" s="64">
        <v>21.26</v>
      </c>
      <c r="M90" s="64">
        <v>58.83</v>
      </c>
      <c r="N90" s="64">
        <v>78.8</v>
      </c>
      <c r="O90" s="64">
        <v>0</v>
      </c>
      <c r="P90" s="64">
        <v>1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3" t="s">
        <v>1286</v>
      </c>
      <c r="B91" s="64">
        <v>39.65</v>
      </c>
      <c r="C91" s="64">
        <v>59.48</v>
      </c>
      <c r="D91" s="64">
        <v>61.5</v>
      </c>
      <c r="E91" s="64">
        <v>7.34</v>
      </c>
      <c r="F91" s="64">
        <v>2.13</v>
      </c>
      <c r="G91" s="64">
        <v>124.81</v>
      </c>
      <c r="H91" s="64">
        <v>31.88</v>
      </c>
      <c r="I91" s="210" t="s">
        <v>43</v>
      </c>
      <c r="J91" s="64">
        <v>0.72</v>
      </c>
      <c r="K91" s="64">
        <v>329.89</v>
      </c>
      <c r="L91" s="64">
        <v>20.57</v>
      </c>
      <c r="M91" s="64">
        <v>62.81</v>
      </c>
      <c r="N91" s="64">
        <v>78.900000000000006</v>
      </c>
      <c r="O91" s="64">
        <v>0</v>
      </c>
      <c r="P91" s="64">
        <v>1.74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3" t="s">
        <v>1287</v>
      </c>
      <c r="B92" s="64">
        <v>47.33</v>
      </c>
      <c r="C92" s="64">
        <v>59.52</v>
      </c>
      <c r="D92" s="64">
        <v>67.67</v>
      </c>
      <c r="E92" s="64">
        <v>7.57</v>
      </c>
      <c r="F92" s="64">
        <v>2.13</v>
      </c>
      <c r="G92" s="64">
        <v>129.97</v>
      </c>
      <c r="H92" s="64">
        <v>33.06</v>
      </c>
      <c r="I92" s="210" t="s">
        <v>43</v>
      </c>
      <c r="J92" s="64">
        <v>0.56000000000000005</v>
      </c>
      <c r="K92" s="64">
        <v>317.04000000000002</v>
      </c>
      <c r="L92" s="64">
        <v>20.22</v>
      </c>
      <c r="M92" s="64">
        <v>64.98</v>
      </c>
      <c r="N92" s="64">
        <v>79</v>
      </c>
      <c r="O92" s="64">
        <v>0</v>
      </c>
      <c r="P92" s="64">
        <v>1.65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3" t="s">
        <v>1288</v>
      </c>
      <c r="B93" s="64">
        <v>54.04</v>
      </c>
      <c r="C93" s="64">
        <v>60.29</v>
      </c>
      <c r="D93" s="64">
        <v>73.459999999999994</v>
      </c>
      <c r="E93" s="64">
        <v>7.59</v>
      </c>
      <c r="F93" s="64">
        <v>2.13</v>
      </c>
      <c r="G93" s="64">
        <v>141.38</v>
      </c>
      <c r="H93" s="64">
        <v>35.67</v>
      </c>
      <c r="I93" s="210" t="s">
        <v>43</v>
      </c>
      <c r="J93" s="64">
        <v>0.12</v>
      </c>
      <c r="K93" s="64">
        <v>309.14</v>
      </c>
      <c r="L93" s="64">
        <v>20.07</v>
      </c>
      <c r="M93" s="64">
        <v>64.44</v>
      </c>
      <c r="N93" s="64">
        <v>78.7</v>
      </c>
      <c r="O93" s="64">
        <v>0</v>
      </c>
      <c r="P93" s="64">
        <v>1.48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3" t="s">
        <v>1289</v>
      </c>
      <c r="B94" s="64">
        <v>62.18</v>
      </c>
      <c r="C94" s="64">
        <v>61.05</v>
      </c>
      <c r="D94" s="64">
        <v>80.38</v>
      </c>
      <c r="E94" s="64">
        <v>7.77</v>
      </c>
      <c r="F94" s="64">
        <v>2.13</v>
      </c>
      <c r="G94" s="64">
        <v>141.38</v>
      </c>
      <c r="H94" s="64">
        <v>35.67</v>
      </c>
      <c r="I94" s="210" t="s">
        <v>43</v>
      </c>
      <c r="J94" s="64">
        <v>0.76</v>
      </c>
      <c r="K94" s="64">
        <v>329.25</v>
      </c>
      <c r="L94" s="64">
        <v>19.93</v>
      </c>
      <c r="M94" s="64">
        <v>66.58</v>
      </c>
      <c r="N94" s="64">
        <v>78.7</v>
      </c>
      <c r="O94" s="64">
        <v>0</v>
      </c>
      <c r="P94" s="64">
        <v>1.54</v>
      </c>
      <c r="Q94" s="64">
        <v>9.68</v>
      </c>
      <c r="R94" s="198"/>
      <c r="S94" s="198"/>
      <c r="T94" s="198"/>
      <c r="U94" s="198"/>
    </row>
    <row r="95" spans="1:26" s="12" customFormat="1" x14ac:dyDescent="0.25">
      <c r="A95" s="213" t="s">
        <v>1290</v>
      </c>
      <c r="B95" s="64">
        <v>69.14</v>
      </c>
      <c r="C95" s="64">
        <v>60.98</v>
      </c>
      <c r="D95" s="64">
        <v>85.92</v>
      </c>
      <c r="E95" s="64">
        <v>8.23</v>
      </c>
      <c r="F95" s="64">
        <v>2.13</v>
      </c>
      <c r="G95" s="64">
        <v>141.38</v>
      </c>
      <c r="H95" s="64">
        <v>35.67</v>
      </c>
      <c r="I95" s="210" t="s">
        <v>43</v>
      </c>
      <c r="J95" s="64">
        <v>0.41</v>
      </c>
      <c r="K95" s="64">
        <v>273.14</v>
      </c>
      <c r="L95" s="64">
        <v>19.829999999999998</v>
      </c>
      <c r="M95" s="64">
        <v>64.540000000000006</v>
      </c>
      <c r="N95" s="64">
        <v>78.599999999999994</v>
      </c>
      <c r="O95" s="64">
        <v>0</v>
      </c>
      <c r="P95" s="64">
        <v>1.52</v>
      </c>
      <c r="Q95" s="64">
        <v>9.73</v>
      </c>
      <c r="R95" s="198"/>
      <c r="S95" s="198"/>
      <c r="T95" s="198"/>
      <c r="U95" s="198"/>
    </row>
    <row r="96" spans="1:26" s="12" customFormat="1" x14ac:dyDescent="0.25">
      <c r="A96" s="213" t="s">
        <v>1291</v>
      </c>
      <c r="B96" s="64">
        <v>70.53</v>
      </c>
      <c r="C96" s="64">
        <v>60.93</v>
      </c>
      <c r="D96" s="64">
        <v>87.02</v>
      </c>
      <c r="E96" s="64">
        <v>8.1199999999999992</v>
      </c>
      <c r="F96" s="64">
        <v>2.13</v>
      </c>
      <c r="G96" s="64">
        <v>140.03</v>
      </c>
      <c r="H96" s="64">
        <v>36.520000000000003</v>
      </c>
      <c r="I96" s="210" t="s">
        <v>43</v>
      </c>
      <c r="J96" s="64">
        <v>0.43</v>
      </c>
      <c r="K96" s="64">
        <v>207.69</v>
      </c>
      <c r="L96" s="64">
        <v>20.22</v>
      </c>
      <c r="M96" s="64">
        <v>60.35</v>
      </c>
      <c r="N96" s="64">
        <v>78</v>
      </c>
      <c r="O96" s="64">
        <v>0</v>
      </c>
      <c r="P96" s="64">
        <v>1.32</v>
      </c>
      <c r="Q96" s="64">
        <v>9.81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1292</v>
      </c>
      <c r="B97" s="64">
        <v>69.459999999999994</v>
      </c>
      <c r="C97" s="64">
        <v>60.34</v>
      </c>
      <c r="D97" s="64">
        <v>85.86</v>
      </c>
      <c r="E97" s="64">
        <v>8.19</v>
      </c>
      <c r="F97" s="64">
        <v>2.13</v>
      </c>
      <c r="G97" s="64">
        <v>137.03</v>
      </c>
      <c r="H97" s="64">
        <v>38.409999999999997</v>
      </c>
      <c r="I97" s="210" t="s">
        <v>43</v>
      </c>
      <c r="J97" s="64">
        <v>0.6</v>
      </c>
      <c r="K97" s="64">
        <v>314.3</v>
      </c>
      <c r="L97" s="64">
        <v>20.09</v>
      </c>
      <c r="M97" s="64">
        <v>64.44</v>
      </c>
      <c r="N97" s="64">
        <v>78.900000000000006</v>
      </c>
      <c r="O97" s="64">
        <v>0</v>
      </c>
      <c r="P97" s="64">
        <v>1.54</v>
      </c>
      <c r="Q97" s="64">
        <v>9.84</v>
      </c>
      <c r="R97" s="198"/>
      <c r="S97" s="198"/>
      <c r="T97" s="198"/>
      <c r="U97" s="198"/>
    </row>
    <row r="98" spans="1:33" s="12" customFormat="1" x14ac:dyDescent="0.25">
      <c r="A98" s="213" t="s">
        <v>1293</v>
      </c>
      <c r="B98" s="64">
        <v>70.38</v>
      </c>
      <c r="C98" s="64">
        <v>59.73</v>
      </c>
      <c r="D98" s="64">
        <v>86.27</v>
      </c>
      <c r="E98" s="64">
        <v>7.86</v>
      </c>
      <c r="F98" s="64">
        <v>2.13</v>
      </c>
      <c r="G98" s="64">
        <v>137.03</v>
      </c>
      <c r="H98" s="64">
        <v>38.409999999999997</v>
      </c>
      <c r="I98" s="210" t="s">
        <v>43</v>
      </c>
      <c r="J98" s="64">
        <v>0.53</v>
      </c>
      <c r="K98" s="64">
        <v>330.55</v>
      </c>
      <c r="L98" s="64">
        <v>19.68</v>
      </c>
      <c r="M98" s="64">
        <v>67.62</v>
      </c>
      <c r="N98" s="64">
        <v>78.900000000000006</v>
      </c>
      <c r="O98" s="64">
        <v>0</v>
      </c>
      <c r="P98" s="64">
        <v>1.47</v>
      </c>
      <c r="Q98" s="64">
        <v>9.84</v>
      </c>
      <c r="R98" s="198"/>
      <c r="S98" s="198"/>
      <c r="T98" s="198"/>
      <c r="U98" s="198"/>
    </row>
    <row r="99" spans="1:33" s="12" customFormat="1" x14ac:dyDescent="0.25">
      <c r="A99" s="213" t="s">
        <v>1294</v>
      </c>
      <c r="B99" s="64">
        <v>73.09</v>
      </c>
      <c r="C99" s="64">
        <v>60.23</v>
      </c>
      <c r="D99" s="64">
        <v>88.7</v>
      </c>
      <c r="E99" s="64">
        <v>7.62</v>
      </c>
      <c r="F99" s="64">
        <v>2.13</v>
      </c>
      <c r="G99" s="64">
        <v>137.03</v>
      </c>
      <c r="H99" s="64">
        <v>38.409999999999997</v>
      </c>
      <c r="I99" s="210" t="s">
        <v>43</v>
      </c>
      <c r="J99" s="64">
        <v>0.54</v>
      </c>
      <c r="K99" s="64">
        <v>322.87</v>
      </c>
      <c r="L99" s="64">
        <v>19.48</v>
      </c>
      <c r="M99" s="64">
        <v>70.28</v>
      </c>
      <c r="N99" s="64">
        <v>78.900000000000006</v>
      </c>
      <c r="O99" s="64">
        <v>0</v>
      </c>
      <c r="P99" s="64">
        <v>1.5</v>
      </c>
      <c r="Q99" s="64">
        <v>9.82</v>
      </c>
      <c r="R99" s="198"/>
      <c r="S99" s="198"/>
      <c r="T99" s="198"/>
      <c r="U99" s="198"/>
    </row>
    <row r="100" spans="1:33" s="12" customFormat="1" x14ac:dyDescent="0.25">
      <c r="A100" s="213" t="s">
        <v>1295</v>
      </c>
      <c r="B100" s="64">
        <v>76.290000000000006</v>
      </c>
      <c r="C100" s="64">
        <v>57.31</v>
      </c>
      <c r="D100" s="64">
        <v>89.74</v>
      </c>
      <c r="E100" s="64">
        <v>7.83</v>
      </c>
      <c r="F100" s="64">
        <v>2.13</v>
      </c>
      <c r="G100" s="64">
        <v>136.21</v>
      </c>
      <c r="H100" s="64">
        <v>38.57</v>
      </c>
      <c r="I100" s="210" t="s">
        <v>43</v>
      </c>
      <c r="J100" s="64">
        <v>0.54</v>
      </c>
      <c r="K100" s="64">
        <v>263.44</v>
      </c>
      <c r="L100" s="64">
        <v>19.510000000000002</v>
      </c>
      <c r="M100" s="64">
        <v>69.72</v>
      </c>
      <c r="N100" s="64">
        <v>78.7</v>
      </c>
      <c r="O100" s="64">
        <v>0</v>
      </c>
      <c r="P100" s="64">
        <v>1.39</v>
      </c>
      <c r="Q100" s="64">
        <v>9.86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1296</v>
      </c>
      <c r="B101" s="64">
        <v>77.27</v>
      </c>
      <c r="C101" s="64">
        <v>56.55</v>
      </c>
      <c r="D101" s="64">
        <v>90.13</v>
      </c>
      <c r="E101" s="64">
        <v>7.33</v>
      </c>
      <c r="F101" s="64">
        <v>2.13</v>
      </c>
      <c r="G101" s="64">
        <v>134.4</v>
      </c>
      <c r="H101" s="64">
        <v>38.92</v>
      </c>
      <c r="I101" s="210" t="s">
        <v>43</v>
      </c>
      <c r="J101" s="64">
        <v>0.39</v>
      </c>
      <c r="K101" s="64">
        <v>296.11</v>
      </c>
      <c r="L101" s="64">
        <v>19.34</v>
      </c>
      <c r="M101" s="64">
        <v>72.78</v>
      </c>
      <c r="N101" s="64">
        <v>78.900000000000006</v>
      </c>
      <c r="O101" s="64">
        <v>0</v>
      </c>
      <c r="P101" s="64">
        <v>1.49</v>
      </c>
      <c r="Q101" s="64">
        <v>9.86</v>
      </c>
      <c r="R101" s="198"/>
      <c r="S101" s="198"/>
      <c r="T101" s="198"/>
      <c r="U101" s="198"/>
    </row>
    <row r="102" spans="1:33" s="12" customFormat="1" x14ac:dyDescent="0.25">
      <c r="A102" s="213" t="s">
        <v>1297</v>
      </c>
      <c r="B102" s="64">
        <v>77.95</v>
      </c>
      <c r="C102" s="64">
        <v>56.59</v>
      </c>
      <c r="D102" s="64">
        <v>90.7</v>
      </c>
      <c r="E102" s="64">
        <v>7.04</v>
      </c>
      <c r="F102" s="64">
        <v>2.13</v>
      </c>
      <c r="G102" s="64">
        <v>134.4</v>
      </c>
      <c r="H102" s="64">
        <v>38.92</v>
      </c>
      <c r="I102" s="210" t="s">
        <v>43</v>
      </c>
      <c r="J102" s="64">
        <v>0.31</v>
      </c>
      <c r="K102" s="64">
        <v>324.16000000000003</v>
      </c>
      <c r="L102" s="64">
        <v>19.27</v>
      </c>
      <c r="M102" s="64">
        <v>74.19</v>
      </c>
      <c r="N102" s="64">
        <v>78.900000000000006</v>
      </c>
      <c r="O102" s="64">
        <v>0</v>
      </c>
      <c r="P102" s="64">
        <v>1.35</v>
      </c>
      <c r="Q102" s="64">
        <v>9.8699999999999992</v>
      </c>
      <c r="R102" s="198"/>
      <c r="S102" s="198"/>
      <c r="T102" s="198"/>
      <c r="U102" s="198"/>
    </row>
    <row r="103" spans="1:33" s="12" customFormat="1" x14ac:dyDescent="0.25">
      <c r="A103" s="213" t="s">
        <v>1298</v>
      </c>
      <c r="B103" s="64">
        <v>78.55</v>
      </c>
      <c r="C103" s="64">
        <v>56.25</v>
      </c>
      <c r="D103" s="64">
        <v>91</v>
      </c>
      <c r="E103" s="64">
        <v>7.26</v>
      </c>
      <c r="F103" s="64">
        <v>2.13</v>
      </c>
      <c r="G103" s="64">
        <v>134.4</v>
      </c>
      <c r="H103" s="64">
        <v>38.92</v>
      </c>
      <c r="I103" s="210" t="s">
        <v>43</v>
      </c>
      <c r="J103" s="64">
        <v>0.3</v>
      </c>
      <c r="K103" s="64">
        <v>328.47</v>
      </c>
      <c r="L103" s="64">
        <v>18.93</v>
      </c>
      <c r="M103" s="64">
        <v>75.239999999999995</v>
      </c>
      <c r="N103" s="64">
        <v>79</v>
      </c>
      <c r="O103" s="64">
        <v>0</v>
      </c>
      <c r="P103" s="64">
        <v>1.43</v>
      </c>
      <c r="Q103" s="64">
        <v>9.84</v>
      </c>
      <c r="R103" s="198"/>
      <c r="S103" s="198"/>
      <c r="T103" s="198"/>
      <c r="U103" s="198"/>
    </row>
    <row r="104" spans="1:33" s="12" customFormat="1" x14ac:dyDescent="0.25">
      <c r="A104" s="213" t="s">
        <v>1299</v>
      </c>
      <c r="B104" s="64">
        <v>80.09</v>
      </c>
      <c r="C104" s="64">
        <v>55.71</v>
      </c>
      <c r="D104" s="64">
        <v>91.96</v>
      </c>
      <c r="E104" s="64">
        <v>6.38</v>
      </c>
      <c r="F104" s="64">
        <v>2.13</v>
      </c>
      <c r="G104" s="64">
        <v>132.87</v>
      </c>
      <c r="H104" s="64">
        <v>38.76</v>
      </c>
      <c r="I104" s="210" t="s">
        <v>43</v>
      </c>
      <c r="J104" s="64">
        <v>0.27</v>
      </c>
      <c r="K104" s="64">
        <v>306.33</v>
      </c>
      <c r="L104" s="64">
        <v>18.64</v>
      </c>
      <c r="M104" s="64">
        <v>76.239999999999995</v>
      </c>
      <c r="N104" s="64">
        <v>79</v>
      </c>
      <c r="O104" s="64">
        <v>0</v>
      </c>
      <c r="P104" s="64">
        <v>1.46</v>
      </c>
      <c r="Q104" s="64">
        <v>9.83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3.12</v>
      </c>
      <c r="C106" s="67">
        <f>MIN(C9:C104)</f>
        <v>48.08</v>
      </c>
      <c r="D106" s="67">
        <f t="shared" ref="D106:Q106" si="0">MIN(D9:D104)</f>
        <v>29.38</v>
      </c>
      <c r="E106" s="67">
        <f t="shared" si="0"/>
        <v>5.85</v>
      </c>
      <c r="F106" s="67">
        <f t="shared" si="0"/>
        <v>2.13</v>
      </c>
      <c r="G106" s="67">
        <f t="shared" si="0"/>
        <v>57.15</v>
      </c>
      <c r="H106" s="67">
        <f t="shared" si="0"/>
        <v>22.58</v>
      </c>
      <c r="I106" s="67">
        <f t="shared" si="0"/>
        <v>0</v>
      </c>
      <c r="J106" s="67">
        <f t="shared" si="0"/>
        <v>0.1</v>
      </c>
      <c r="K106" s="67">
        <f t="shared" si="0"/>
        <v>18.059999999999999</v>
      </c>
      <c r="L106" s="67">
        <f t="shared" si="0"/>
        <v>15.4</v>
      </c>
      <c r="M106" s="67">
        <f t="shared" si="0"/>
        <v>32.270000000000003</v>
      </c>
      <c r="N106" s="67">
        <f t="shared" si="0"/>
        <v>69.900000000000006</v>
      </c>
      <c r="O106" s="67">
        <f t="shared" si="0"/>
        <v>0</v>
      </c>
      <c r="P106" s="67">
        <f t="shared" si="0"/>
        <v>0.62</v>
      </c>
      <c r="Q106" s="67">
        <f t="shared" si="0"/>
        <v>9.42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163.19</v>
      </c>
      <c r="C107" s="66">
        <f t="shared" ref="C107:Q107" si="1">MAX(C9:C104)</f>
        <v>69.28</v>
      </c>
      <c r="D107" s="66">
        <f t="shared" si="1"/>
        <v>165.68</v>
      </c>
      <c r="E107" s="66">
        <f t="shared" si="1"/>
        <v>14.94</v>
      </c>
      <c r="F107" s="66">
        <f t="shared" si="1"/>
        <v>33.08</v>
      </c>
      <c r="G107" s="66">
        <f t="shared" si="1"/>
        <v>197.86</v>
      </c>
      <c r="H107" s="66">
        <f t="shared" si="1"/>
        <v>73.42</v>
      </c>
      <c r="I107" s="66">
        <f t="shared" si="1"/>
        <v>0</v>
      </c>
      <c r="J107" s="66">
        <f t="shared" si="1"/>
        <v>1.59</v>
      </c>
      <c r="K107" s="66">
        <f t="shared" si="1"/>
        <v>352.49</v>
      </c>
      <c r="L107" s="66">
        <f t="shared" si="1"/>
        <v>31.81</v>
      </c>
      <c r="M107" s="66">
        <f t="shared" si="1"/>
        <v>86.25</v>
      </c>
      <c r="N107" s="66">
        <f t="shared" si="1"/>
        <v>772.8</v>
      </c>
      <c r="O107" s="66">
        <f t="shared" si="1"/>
        <v>0</v>
      </c>
      <c r="P107" s="66">
        <f t="shared" si="1"/>
        <v>2.21</v>
      </c>
      <c r="Q107" s="66">
        <f t="shared" si="1"/>
        <v>10.8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53.327708333333327</v>
      </c>
      <c r="C108" s="67">
        <f t="shared" ref="C108:Q108" si="2">AVERAGE(C9:C104)</f>
        <v>56.181354166666672</v>
      </c>
      <c r="D108" s="67">
        <f t="shared" si="2"/>
        <v>70.74177083333332</v>
      </c>
      <c r="E108" s="67">
        <f t="shared" si="2"/>
        <v>7.984479166666671</v>
      </c>
      <c r="F108" s="67">
        <f t="shared" si="2"/>
        <v>2.9680208333333318</v>
      </c>
      <c r="G108" s="67">
        <f t="shared" si="2"/>
        <v>100.06156250000002</v>
      </c>
      <c r="H108" s="67">
        <f t="shared" si="2"/>
        <v>35.520520833333329</v>
      </c>
      <c r="I108" s="67" t="e">
        <f t="shared" si="2"/>
        <v>#DIV/0!</v>
      </c>
      <c r="J108" s="67">
        <f t="shared" si="2"/>
        <v>0.63635416666666667</v>
      </c>
      <c r="K108" s="67">
        <f t="shared" si="2"/>
        <v>265.2290625</v>
      </c>
      <c r="L108" s="67">
        <f t="shared" si="2"/>
        <v>22.064999999999994</v>
      </c>
      <c r="M108" s="67">
        <f t="shared" si="2"/>
        <v>58.600104166666654</v>
      </c>
      <c r="N108" s="67">
        <f t="shared" si="2"/>
        <v>241.32604166666673</v>
      </c>
      <c r="O108" s="67">
        <f t="shared" si="2"/>
        <v>0</v>
      </c>
      <c r="P108" s="67">
        <f t="shared" si="2"/>
        <v>1.1295833333333332</v>
      </c>
      <c r="Q108" s="67">
        <f t="shared" si="2"/>
        <v>9.9065625000000015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45.47710018249596</v>
      </c>
      <c r="C109" s="67">
        <f t="shared" ref="C109:Q109" si="3">STDEV(C9:C104)</f>
        <v>4.3688501726587452</v>
      </c>
      <c r="D109" s="67">
        <f t="shared" si="3"/>
        <v>36.596616236874105</v>
      </c>
      <c r="E109" s="67">
        <f t="shared" si="3"/>
        <v>2.1141622054942451</v>
      </c>
      <c r="F109" s="67">
        <f t="shared" si="3"/>
        <v>3.5618601349033994</v>
      </c>
      <c r="G109" s="67">
        <f t="shared" si="3"/>
        <v>35.292624824551929</v>
      </c>
      <c r="H109" s="67">
        <f t="shared" si="3"/>
        <v>11.217437869560774</v>
      </c>
      <c r="I109" s="67" t="e">
        <f t="shared" si="3"/>
        <v>#DIV/0!</v>
      </c>
      <c r="J109" s="67">
        <f t="shared" si="3"/>
        <v>0.3490321046662031</v>
      </c>
      <c r="K109" s="67">
        <f t="shared" si="3"/>
        <v>64.543344474499975</v>
      </c>
      <c r="L109" s="67">
        <f t="shared" si="3"/>
        <v>5.2088434922078708</v>
      </c>
      <c r="M109" s="67">
        <f t="shared" si="3"/>
        <v>17.864495072617153</v>
      </c>
      <c r="N109" s="67">
        <f t="shared" si="3"/>
        <v>244.63749819931385</v>
      </c>
      <c r="O109" s="67">
        <f t="shared" si="3"/>
        <v>0</v>
      </c>
      <c r="P109" s="67">
        <f t="shared" si="3"/>
        <v>0.37526949380739238</v>
      </c>
      <c r="Q109" s="67">
        <f t="shared" si="3"/>
        <v>0.38591471139836614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0" sqref="P110: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1300</v>
      </c>
      <c r="B9" s="64">
        <v>81.66</v>
      </c>
      <c r="C9" s="64">
        <v>55.33</v>
      </c>
      <c r="D9" s="64">
        <v>93.01</v>
      </c>
      <c r="E9" s="64">
        <v>6.74</v>
      </c>
      <c r="F9" s="64">
        <v>2.13</v>
      </c>
      <c r="G9" s="64">
        <v>129.47999999999999</v>
      </c>
      <c r="H9" s="64">
        <v>38.39</v>
      </c>
      <c r="I9" s="210" t="s">
        <v>43</v>
      </c>
      <c r="J9" s="64">
        <v>0.26</v>
      </c>
      <c r="K9" s="64">
        <v>253.24</v>
      </c>
      <c r="L9" s="64">
        <v>18.5</v>
      </c>
      <c r="M9" s="64">
        <v>77.23</v>
      </c>
      <c r="N9" s="64">
        <v>79</v>
      </c>
      <c r="O9" s="64">
        <v>0</v>
      </c>
      <c r="P9" s="64">
        <v>1.41</v>
      </c>
      <c r="Q9" s="64">
        <v>9.82</v>
      </c>
      <c r="R9" s="198"/>
      <c r="S9" s="198"/>
      <c r="T9" s="198"/>
      <c r="U9" s="198"/>
    </row>
    <row r="10" spans="1:21" s="12" customFormat="1" x14ac:dyDescent="0.25">
      <c r="A10" s="213" t="s">
        <v>1301</v>
      </c>
      <c r="B10" s="64">
        <v>82.27</v>
      </c>
      <c r="C10" s="64">
        <v>54.97</v>
      </c>
      <c r="D10" s="64">
        <v>93.32</v>
      </c>
      <c r="E10" s="64">
        <v>6.51</v>
      </c>
      <c r="F10" s="64">
        <v>2.1800000000000002</v>
      </c>
      <c r="G10" s="64">
        <v>129.47999999999999</v>
      </c>
      <c r="H10" s="64">
        <v>38.39</v>
      </c>
      <c r="I10" s="210" t="s">
        <v>43</v>
      </c>
      <c r="J10" s="64">
        <v>0.31</v>
      </c>
      <c r="K10" s="64">
        <v>37.15</v>
      </c>
      <c r="L10" s="64">
        <v>18.3</v>
      </c>
      <c r="M10" s="64">
        <v>77.53</v>
      </c>
      <c r="N10" s="64">
        <v>78.8</v>
      </c>
      <c r="O10" s="64">
        <v>0</v>
      </c>
      <c r="P10" s="64">
        <v>1.3</v>
      </c>
      <c r="Q10" s="64">
        <v>9.8699999999999992</v>
      </c>
      <c r="R10" s="198"/>
      <c r="S10" s="198"/>
      <c r="T10" s="198"/>
      <c r="U10" s="198"/>
    </row>
    <row r="11" spans="1:21" s="12" customFormat="1" x14ac:dyDescent="0.25">
      <c r="A11" s="213" t="s">
        <v>1302</v>
      </c>
      <c r="B11" s="64">
        <v>82.01</v>
      </c>
      <c r="C11" s="64">
        <v>55.17</v>
      </c>
      <c r="D11" s="64">
        <v>93.21</v>
      </c>
      <c r="E11" s="64">
        <v>6.44</v>
      </c>
      <c r="F11" s="64">
        <v>2.13</v>
      </c>
      <c r="G11" s="64">
        <v>129.47999999999999</v>
      </c>
      <c r="H11" s="64">
        <v>38.39</v>
      </c>
      <c r="I11" s="210" t="s">
        <v>43</v>
      </c>
      <c r="J11" s="64">
        <v>0.21</v>
      </c>
      <c r="K11" s="64">
        <v>97.01</v>
      </c>
      <c r="L11" s="64">
        <v>18.22</v>
      </c>
      <c r="M11" s="64">
        <v>75.099999999999994</v>
      </c>
      <c r="N11" s="64">
        <v>78.7</v>
      </c>
      <c r="O11" s="64">
        <v>0</v>
      </c>
      <c r="P11" s="64">
        <v>1.41</v>
      </c>
      <c r="Q11" s="64">
        <v>9.84</v>
      </c>
      <c r="R11" s="198"/>
      <c r="S11" s="198"/>
      <c r="T11" s="198"/>
      <c r="U11" s="198"/>
    </row>
    <row r="12" spans="1:21" s="12" customFormat="1" x14ac:dyDescent="0.25">
      <c r="A12" s="213" t="s">
        <v>1303</v>
      </c>
      <c r="B12" s="64">
        <v>81.28</v>
      </c>
      <c r="C12" s="64">
        <v>56.94</v>
      </c>
      <c r="D12" s="64">
        <v>93.55</v>
      </c>
      <c r="E12" s="64">
        <v>6.35</v>
      </c>
      <c r="F12" s="64">
        <v>2.15</v>
      </c>
      <c r="G12" s="64">
        <v>125.22</v>
      </c>
      <c r="H12" s="64">
        <v>37.770000000000003</v>
      </c>
      <c r="I12" s="210" t="s">
        <v>43</v>
      </c>
      <c r="J12" s="64">
        <v>0.76</v>
      </c>
      <c r="K12" s="64">
        <v>336.73</v>
      </c>
      <c r="L12" s="64">
        <v>18.16</v>
      </c>
      <c r="M12" s="64">
        <v>80.849999999999994</v>
      </c>
      <c r="N12" s="64">
        <v>78.900000000000006</v>
      </c>
      <c r="O12" s="64">
        <v>0</v>
      </c>
      <c r="P12" s="64">
        <v>1.43</v>
      </c>
      <c r="Q12" s="64">
        <v>9.84</v>
      </c>
      <c r="R12" s="198"/>
      <c r="S12" s="198"/>
      <c r="T12" s="198"/>
      <c r="U12" s="198"/>
    </row>
    <row r="13" spans="1:21" s="12" customFormat="1" x14ac:dyDescent="0.25">
      <c r="A13" s="213" t="s">
        <v>1304</v>
      </c>
      <c r="B13" s="64">
        <v>78.89</v>
      </c>
      <c r="C13" s="64">
        <v>55.14</v>
      </c>
      <c r="D13" s="64">
        <v>90.69</v>
      </c>
      <c r="E13" s="64">
        <v>6.27</v>
      </c>
      <c r="F13" s="64">
        <v>2.13</v>
      </c>
      <c r="G13" s="64">
        <v>115.79</v>
      </c>
      <c r="H13" s="64">
        <v>36.4</v>
      </c>
      <c r="I13" s="210" t="s">
        <v>43</v>
      </c>
      <c r="J13" s="64">
        <v>0.65</v>
      </c>
      <c r="K13" s="64">
        <v>340.18</v>
      </c>
      <c r="L13" s="64">
        <v>18.18</v>
      </c>
      <c r="M13" s="64">
        <v>80.430000000000007</v>
      </c>
      <c r="N13" s="64">
        <v>78.599999999999994</v>
      </c>
      <c r="O13" s="64">
        <v>0</v>
      </c>
      <c r="P13" s="64">
        <v>1.1599999999999999</v>
      </c>
      <c r="Q13" s="64">
        <v>9.86</v>
      </c>
      <c r="R13" s="198"/>
      <c r="S13" s="198"/>
      <c r="T13" s="198"/>
      <c r="U13" s="198"/>
    </row>
    <row r="14" spans="1:21" s="12" customFormat="1" x14ac:dyDescent="0.25">
      <c r="A14" s="213" t="s">
        <v>1305</v>
      </c>
      <c r="B14" s="64">
        <v>75.28</v>
      </c>
      <c r="C14" s="64">
        <v>53.36</v>
      </c>
      <c r="D14" s="64">
        <v>86.87</v>
      </c>
      <c r="E14" s="64">
        <v>5.85</v>
      </c>
      <c r="F14" s="64">
        <v>2.13</v>
      </c>
      <c r="G14" s="64">
        <v>115.79</v>
      </c>
      <c r="H14" s="64">
        <v>36.4</v>
      </c>
      <c r="I14" s="210" t="s">
        <v>43</v>
      </c>
      <c r="J14" s="64">
        <v>0.86</v>
      </c>
      <c r="K14" s="64">
        <v>337.49</v>
      </c>
      <c r="L14" s="64">
        <v>18.670000000000002</v>
      </c>
      <c r="M14" s="64">
        <v>77.260000000000005</v>
      </c>
      <c r="N14" s="64">
        <v>78.099999999999994</v>
      </c>
      <c r="O14" s="64">
        <v>0</v>
      </c>
      <c r="P14" s="64">
        <v>1.18</v>
      </c>
      <c r="Q14" s="64">
        <v>9.8800000000000008</v>
      </c>
      <c r="R14" s="198"/>
      <c r="S14" s="198"/>
      <c r="T14" s="198"/>
      <c r="U14" s="198"/>
    </row>
    <row r="15" spans="1:21" s="12" customFormat="1" x14ac:dyDescent="0.25">
      <c r="A15" s="213" t="s">
        <v>1306</v>
      </c>
      <c r="B15" s="64">
        <v>71.37</v>
      </c>
      <c r="C15" s="64">
        <v>53.11</v>
      </c>
      <c r="D15" s="64">
        <v>83.6</v>
      </c>
      <c r="E15" s="64">
        <v>6.08</v>
      </c>
      <c r="F15" s="64">
        <v>2.13</v>
      </c>
      <c r="G15" s="64">
        <v>115.79</v>
      </c>
      <c r="H15" s="64">
        <v>36.4</v>
      </c>
      <c r="I15" s="210" t="s">
        <v>43</v>
      </c>
      <c r="J15" s="64">
        <v>0.64</v>
      </c>
      <c r="K15" s="64">
        <v>313.83</v>
      </c>
      <c r="L15" s="64">
        <v>18.77</v>
      </c>
      <c r="M15" s="64">
        <v>74.12</v>
      </c>
      <c r="N15" s="64">
        <v>78.8</v>
      </c>
      <c r="O15" s="64">
        <v>0</v>
      </c>
      <c r="P15" s="64">
        <v>1.1499999999999999</v>
      </c>
      <c r="Q15" s="64">
        <v>9.8800000000000008</v>
      </c>
      <c r="R15" s="198"/>
      <c r="S15" s="198"/>
      <c r="T15" s="198"/>
      <c r="U15" s="198"/>
    </row>
    <row r="16" spans="1:21" s="12" customFormat="1" x14ac:dyDescent="0.25">
      <c r="A16" s="213" t="s">
        <v>1307</v>
      </c>
      <c r="B16" s="64">
        <v>67.34</v>
      </c>
      <c r="C16" s="64">
        <v>53.21</v>
      </c>
      <c r="D16" s="64">
        <v>80.430000000000007</v>
      </c>
      <c r="E16" s="64">
        <v>5.84</v>
      </c>
      <c r="F16" s="64">
        <v>2.13</v>
      </c>
      <c r="G16" s="64">
        <v>108.37</v>
      </c>
      <c r="H16" s="64">
        <v>35.93</v>
      </c>
      <c r="I16" s="210" t="s">
        <v>43</v>
      </c>
      <c r="J16" s="64">
        <v>0.61</v>
      </c>
      <c r="K16" s="64">
        <v>316.48</v>
      </c>
      <c r="L16" s="64">
        <v>18.739999999999998</v>
      </c>
      <c r="M16" s="64">
        <v>72.44</v>
      </c>
      <c r="N16" s="64">
        <v>78.8</v>
      </c>
      <c r="O16" s="64">
        <v>0</v>
      </c>
      <c r="P16" s="64">
        <v>1.0900000000000001</v>
      </c>
      <c r="Q16" s="64">
        <v>9.8699999999999992</v>
      </c>
      <c r="R16" s="198"/>
      <c r="S16" s="198"/>
      <c r="T16" s="198"/>
      <c r="U16" s="198"/>
    </row>
    <row r="17" spans="1:21" s="12" customFormat="1" x14ac:dyDescent="0.25">
      <c r="A17" s="213" t="s">
        <v>1308</v>
      </c>
      <c r="B17" s="64">
        <v>63.9</v>
      </c>
      <c r="C17" s="64">
        <v>53.26</v>
      </c>
      <c r="D17" s="64">
        <v>77.69</v>
      </c>
      <c r="E17" s="64">
        <v>6.08</v>
      </c>
      <c r="F17" s="64">
        <v>2.13</v>
      </c>
      <c r="G17" s="64">
        <v>91.06</v>
      </c>
      <c r="H17" s="64">
        <v>34.869999999999997</v>
      </c>
      <c r="I17" s="210" t="s">
        <v>43</v>
      </c>
      <c r="J17" s="64">
        <v>1.01</v>
      </c>
      <c r="K17" s="64">
        <v>339.81</v>
      </c>
      <c r="L17" s="64">
        <v>18.79</v>
      </c>
      <c r="M17" s="64">
        <v>72.53</v>
      </c>
      <c r="N17" s="64">
        <v>78.3</v>
      </c>
      <c r="O17" s="64">
        <v>0</v>
      </c>
      <c r="P17" s="64">
        <v>1.08</v>
      </c>
      <c r="Q17" s="64">
        <v>9.86</v>
      </c>
      <c r="R17" s="198"/>
      <c r="S17" s="198"/>
      <c r="T17" s="198"/>
      <c r="U17" s="198"/>
    </row>
    <row r="18" spans="1:21" s="12" customFormat="1" x14ac:dyDescent="0.25">
      <c r="A18" s="213" t="s">
        <v>1309</v>
      </c>
      <c r="B18" s="64">
        <v>60.43</v>
      </c>
      <c r="C18" s="64">
        <v>53.12</v>
      </c>
      <c r="D18" s="64">
        <v>74.84</v>
      </c>
      <c r="E18" s="64">
        <v>5.77</v>
      </c>
      <c r="F18" s="64">
        <v>2.13</v>
      </c>
      <c r="G18" s="64">
        <v>91.06</v>
      </c>
      <c r="H18" s="64">
        <v>34.869999999999997</v>
      </c>
      <c r="I18" s="210" t="s">
        <v>43</v>
      </c>
      <c r="J18" s="64">
        <v>1.36</v>
      </c>
      <c r="K18" s="64">
        <v>334.75</v>
      </c>
      <c r="L18" s="64">
        <v>18.8</v>
      </c>
      <c r="M18" s="64">
        <v>70.66</v>
      </c>
      <c r="N18" s="64">
        <v>77.8</v>
      </c>
      <c r="O18" s="64">
        <v>0</v>
      </c>
      <c r="P18" s="64">
        <v>1.08</v>
      </c>
      <c r="Q18" s="64">
        <v>9.83</v>
      </c>
      <c r="R18" s="198"/>
      <c r="S18" s="198"/>
      <c r="T18" s="198"/>
      <c r="U18" s="198"/>
    </row>
    <row r="19" spans="1:21" s="12" customFormat="1" x14ac:dyDescent="0.25">
      <c r="A19" s="213" t="s">
        <v>1310</v>
      </c>
      <c r="B19" s="64">
        <v>56.95</v>
      </c>
      <c r="C19" s="64">
        <v>53.26</v>
      </c>
      <c r="D19" s="64">
        <v>72.12</v>
      </c>
      <c r="E19" s="64">
        <v>5.61</v>
      </c>
      <c r="F19" s="64">
        <v>2.13</v>
      </c>
      <c r="G19" s="64">
        <v>91.06</v>
      </c>
      <c r="H19" s="64">
        <v>34.869999999999997</v>
      </c>
      <c r="I19" s="210" t="s">
        <v>43</v>
      </c>
      <c r="J19" s="64">
        <v>1.1599999999999999</v>
      </c>
      <c r="K19" s="64">
        <v>343.52</v>
      </c>
      <c r="L19" s="64">
        <v>18.89</v>
      </c>
      <c r="M19" s="64">
        <v>69.14</v>
      </c>
      <c r="N19" s="64">
        <v>78.400000000000006</v>
      </c>
      <c r="O19" s="64">
        <v>0</v>
      </c>
      <c r="P19" s="64">
        <v>1.02</v>
      </c>
      <c r="Q19" s="64">
        <v>9.82</v>
      </c>
      <c r="R19" s="198"/>
      <c r="S19" s="198"/>
      <c r="T19" s="198"/>
      <c r="U19" s="198"/>
    </row>
    <row r="20" spans="1:21" s="12" customFormat="1" x14ac:dyDescent="0.25">
      <c r="A20" s="213" t="s">
        <v>1311</v>
      </c>
      <c r="B20" s="64">
        <v>53.63</v>
      </c>
      <c r="C20" s="64">
        <v>52.46</v>
      </c>
      <c r="D20" s="64">
        <v>69.040000000000006</v>
      </c>
      <c r="E20" s="64">
        <v>5.89</v>
      </c>
      <c r="F20" s="64">
        <v>2.13</v>
      </c>
      <c r="G20" s="64">
        <v>89.55</v>
      </c>
      <c r="H20" s="64">
        <v>34</v>
      </c>
      <c r="I20" s="210" t="s">
        <v>43</v>
      </c>
      <c r="J20" s="64">
        <v>1.02</v>
      </c>
      <c r="K20" s="64">
        <v>338.94</v>
      </c>
      <c r="L20" s="64">
        <v>19.010000000000002</v>
      </c>
      <c r="M20" s="64">
        <v>68.31</v>
      </c>
      <c r="N20" s="64">
        <v>78.7</v>
      </c>
      <c r="O20" s="64">
        <v>0</v>
      </c>
      <c r="P20" s="64">
        <v>0.99</v>
      </c>
      <c r="Q20" s="64">
        <v>9.83</v>
      </c>
      <c r="R20" s="198"/>
      <c r="S20" s="198"/>
      <c r="T20" s="198"/>
      <c r="U20" s="198"/>
    </row>
    <row r="21" spans="1:21" s="12" customFormat="1" x14ac:dyDescent="0.25">
      <c r="A21" s="213" t="s">
        <v>1312</v>
      </c>
      <c r="B21" s="64">
        <v>50.76</v>
      </c>
      <c r="C21" s="64">
        <v>52.06</v>
      </c>
      <c r="D21" s="64">
        <v>66.53</v>
      </c>
      <c r="E21" s="64">
        <v>5.93</v>
      </c>
      <c r="F21" s="64">
        <v>2.13</v>
      </c>
      <c r="G21" s="64">
        <v>86.04</v>
      </c>
      <c r="H21" s="64">
        <v>32.07</v>
      </c>
      <c r="I21" s="210" t="s">
        <v>43</v>
      </c>
      <c r="J21" s="64">
        <v>1.01</v>
      </c>
      <c r="K21" s="64">
        <v>339.41</v>
      </c>
      <c r="L21" s="64">
        <v>18.96</v>
      </c>
      <c r="M21" s="64">
        <v>69.83</v>
      </c>
      <c r="N21" s="64">
        <v>78.8</v>
      </c>
      <c r="O21" s="64">
        <v>0</v>
      </c>
      <c r="P21" s="64">
        <v>0.83</v>
      </c>
      <c r="Q21" s="64">
        <v>9.81</v>
      </c>
      <c r="R21" s="198"/>
      <c r="S21" s="198"/>
      <c r="T21" s="198"/>
      <c r="U21" s="198"/>
    </row>
    <row r="22" spans="1:21" s="12" customFormat="1" x14ac:dyDescent="0.25">
      <c r="A22" s="213" t="s">
        <v>1313</v>
      </c>
      <c r="B22" s="64">
        <v>48.33</v>
      </c>
      <c r="C22" s="64">
        <v>47.39</v>
      </c>
      <c r="D22" s="64">
        <v>62.14</v>
      </c>
      <c r="E22" s="64">
        <v>5.26</v>
      </c>
      <c r="F22" s="64">
        <v>2.13</v>
      </c>
      <c r="G22" s="64">
        <v>86.04</v>
      </c>
      <c r="H22" s="64">
        <v>32.07</v>
      </c>
      <c r="I22" s="210" t="s">
        <v>43</v>
      </c>
      <c r="J22" s="64">
        <v>1.06</v>
      </c>
      <c r="K22" s="64">
        <v>341.15</v>
      </c>
      <c r="L22" s="64">
        <v>18.73</v>
      </c>
      <c r="M22" s="64">
        <v>72.09</v>
      </c>
      <c r="N22" s="64">
        <v>78.599999999999994</v>
      </c>
      <c r="O22" s="64">
        <v>0</v>
      </c>
      <c r="P22" s="64">
        <v>0.8</v>
      </c>
      <c r="Q22" s="64">
        <v>9.7899999999999991</v>
      </c>
      <c r="R22" s="198"/>
      <c r="S22" s="198"/>
      <c r="T22" s="198"/>
      <c r="U22" s="198"/>
    </row>
    <row r="23" spans="1:21" s="12" customFormat="1" x14ac:dyDescent="0.25">
      <c r="A23" s="213" t="s">
        <v>1314</v>
      </c>
      <c r="B23" s="64">
        <v>46.19</v>
      </c>
      <c r="C23" s="64">
        <v>48.39</v>
      </c>
      <c r="D23" s="64">
        <v>60.94</v>
      </c>
      <c r="E23" s="64">
        <v>5.4</v>
      </c>
      <c r="F23" s="64">
        <v>2.13</v>
      </c>
      <c r="G23" s="64">
        <v>86.04</v>
      </c>
      <c r="H23" s="64">
        <v>32.07</v>
      </c>
      <c r="I23" s="210" t="s">
        <v>43</v>
      </c>
      <c r="J23" s="64">
        <v>0.41</v>
      </c>
      <c r="K23" s="64">
        <v>338.62</v>
      </c>
      <c r="L23" s="64">
        <v>18.690000000000001</v>
      </c>
      <c r="M23" s="64">
        <v>72.42</v>
      </c>
      <c r="N23" s="64">
        <v>78.8</v>
      </c>
      <c r="O23" s="64">
        <v>0</v>
      </c>
      <c r="P23" s="64">
        <v>0.81</v>
      </c>
      <c r="Q23" s="64">
        <v>9.77</v>
      </c>
      <c r="R23" s="198"/>
      <c r="S23" s="198"/>
      <c r="T23" s="198"/>
      <c r="U23" s="198"/>
    </row>
    <row r="24" spans="1:21" s="12" customFormat="1" x14ac:dyDescent="0.25">
      <c r="A24" s="213" t="s">
        <v>1315</v>
      </c>
      <c r="B24" s="64">
        <v>44.56</v>
      </c>
      <c r="C24" s="64">
        <v>48.7</v>
      </c>
      <c r="D24" s="64">
        <v>59.8</v>
      </c>
      <c r="E24" s="64">
        <v>5.45</v>
      </c>
      <c r="F24" s="64">
        <v>2.13</v>
      </c>
      <c r="G24" s="64">
        <v>84.82</v>
      </c>
      <c r="H24" s="64">
        <v>31.63</v>
      </c>
      <c r="I24" s="210" t="s">
        <v>43</v>
      </c>
      <c r="J24" s="64">
        <v>0.73</v>
      </c>
      <c r="K24" s="64">
        <v>356.57</v>
      </c>
      <c r="L24" s="64">
        <v>18.39</v>
      </c>
      <c r="M24" s="64">
        <v>74.48</v>
      </c>
      <c r="N24" s="64">
        <v>78.900000000000006</v>
      </c>
      <c r="O24" s="64">
        <v>0</v>
      </c>
      <c r="P24" s="64">
        <v>0.8</v>
      </c>
      <c r="Q24" s="64">
        <v>9.73</v>
      </c>
      <c r="R24" s="198"/>
      <c r="S24" s="198"/>
      <c r="T24" s="198"/>
      <c r="U24" s="198"/>
    </row>
    <row r="25" spans="1:21" s="12" customFormat="1" x14ac:dyDescent="0.25">
      <c r="A25" s="213" t="s">
        <v>1316</v>
      </c>
      <c r="B25" s="64">
        <v>43.17</v>
      </c>
      <c r="C25" s="64">
        <v>49.36</v>
      </c>
      <c r="D25" s="64">
        <v>59.03</v>
      </c>
      <c r="E25" s="64">
        <v>5.56</v>
      </c>
      <c r="F25" s="64">
        <v>2.13</v>
      </c>
      <c r="G25" s="64">
        <v>82.12</v>
      </c>
      <c r="H25" s="64">
        <v>30.67</v>
      </c>
      <c r="I25" s="210" t="s">
        <v>43</v>
      </c>
      <c r="J25" s="64">
        <v>0.66</v>
      </c>
      <c r="K25" s="64">
        <v>335.31</v>
      </c>
      <c r="L25" s="64">
        <v>18.21</v>
      </c>
      <c r="M25" s="64">
        <v>72.930000000000007</v>
      </c>
      <c r="N25" s="64">
        <v>78.7</v>
      </c>
      <c r="O25" s="64">
        <v>0</v>
      </c>
      <c r="P25" s="64">
        <v>0.76</v>
      </c>
      <c r="Q25" s="64">
        <v>9.6999999999999993</v>
      </c>
      <c r="R25" s="198"/>
      <c r="S25" s="198"/>
      <c r="T25" s="198"/>
      <c r="U25" s="198"/>
    </row>
    <row r="26" spans="1:21" s="12" customFormat="1" x14ac:dyDescent="0.25">
      <c r="A26" s="213" t="s">
        <v>1317</v>
      </c>
      <c r="B26" s="64">
        <v>41.91</v>
      </c>
      <c r="C26" s="64">
        <v>49.72</v>
      </c>
      <c r="D26" s="64">
        <v>58.21</v>
      </c>
      <c r="E26" s="64">
        <v>5.18</v>
      </c>
      <c r="F26" s="64">
        <v>2.13</v>
      </c>
      <c r="G26" s="64">
        <v>82.12</v>
      </c>
      <c r="H26" s="64">
        <v>30.67</v>
      </c>
      <c r="I26" s="210" t="s">
        <v>43</v>
      </c>
      <c r="J26" s="64">
        <v>0.6</v>
      </c>
      <c r="K26" s="64">
        <v>345.43</v>
      </c>
      <c r="L26" s="64">
        <v>18.09</v>
      </c>
      <c r="M26" s="64">
        <v>72.8</v>
      </c>
      <c r="N26" s="64">
        <v>78.900000000000006</v>
      </c>
      <c r="O26" s="64">
        <v>0</v>
      </c>
      <c r="P26" s="64">
        <v>0.79</v>
      </c>
      <c r="Q26" s="64">
        <v>9.69</v>
      </c>
      <c r="R26" s="198"/>
      <c r="S26" s="198"/>
      <c r="T26" s="198"/>
      <c r="U26" s="198"/>
    </row>
    <row r="27" spans="1:21" s="12" customFormat="1" x14ac:dyDescent="0.25">
      <c r="A27" s="213" t="s">
        <v>1318</v>
      </c>
      <c r="B27" s="64">
        <v>41.17</v>
      </c>
      <c r="C27" s="64">
        <v>49.46</v>
      </c>
      <c r="D27" s="64">
        <v>57.48</v>
      </c>
      <c r="E27" s="64">
        <v>5.31</v>
      </c>
      <c r="F27" s="64">
        <v>2.13</v>
      </c>
      <c r="G27" s="64">
        <v>82.12</v>
      </c>
      <c r="H27" s="64">
        <v>30.67</v>
      </c>
      <c r="I27" s="210" t="s">
        <v>43</v>
      </c>
      <c r="J27" s="64">
        <v>0.63</v>
      </c>
      <c r="K27" s="64">
        <v>347.04</v>
      </c>
      <c r="L27" s="64">
        <v>18.059999999999999</v>
      </c>
      <c r="M27" s="64">
        <v>72.59</v>
      </c>
      <c r="N27" s="64">
        <v>78.8</v>
      </c>
      <c r="O27" s="64">
        <v>0</v>
      </c>
      <c r="P27" s="64">
        <v>0.82</v>
      </c>
      <c r="Q27" s="64">
        <v>9.68</v>
      </c>
      <c r="R27" s="198"/>
      <c r="S27" s="198"/>
      <c r="T27" s="198"/>
      <c r="U27" s="198"/>
    </row>
    <row r="28" spans="1:21" s="12" customFormat="1" x14ac:dyDescent="0.25">
      <c r="A28" s="213" t="s">
        <v>1319</v>
      </c>
      <c r="B28" s="64">
        <v>40.42</v>
      </c>
      <c r="C28" s="64">
        <v>49.87</v>
      </c>
      <c r="D28" s="64">
        <v>57.09</v>
      </c>
      <c r="E28" s="64">
        <v>5.6</v>
      </c>
      <c r="F28" s="64">
        <v>2.13</v>
      </c>
      <c r="G28" s="64">
        <v>83.94</v>
      </c>
      <c r="H28" s="64">
        <v>32.35</v>
      </c>
      <c r="I28" s="210" t="s">
        <v>43</v>
      </c>
      <c r="J28" s="64">
        <v>0.59</v>
      </c>
      <c r="K28" s="64">
        <v>252.91</v>
      </c>
      <c r="L28" s="64">
        <v>18.12</v>
      </c>
      <c r="M28" s="64">
        <v>73.09</v>
      </c>
      <c r="N28" s="64">
        <v>78.599999999999994</v>
      </c>
      <c r="O28" s="64">
        <v>0</v>
      </c>
      <c r="P28" s="64">
        <v>0.82</v>
      </c>
      <c r="Q28" s="64">
        <v>9.66</v>
      </c>
      <c r="R28" s="198"/>
      <c r="S28" s="198"/>
      <c r="T28" s="198"/>
      <c r="U28" s="198"/>
    </row>
    <row r="29" spans="1:21" s="12" customFormat="1" x14ac:dyDescent="0.25">
      <c r="A29" s="213" t="s">
        <v>1320</v>
      </c>
      <c r="B29" s="64">
        <v>39.6</v>
      </c>
      <c r="C29" s="64">
        <v>51.58</v>
      </c>
      <c r="D29" s="64">
        <v>57.33</v>
      </c>
      <c r="E29" s="64">
        <v>5.49</v>
      </c>
      <c r="F29" s="64">
        <v>2.13</v>
      </c>
      <c r="G29" s="64">
        <v>88.19</v>
      </c>
      <c r="H29" s="64">
        <v>36.08</v>
      </c>
      <c r="I29" s="210" t="s">
        <v>43</v>
      </c>
      <c r="J29" s="64">
        <v>0.28999999999999998</v>
      </c>
      <c r="K29" s="64">
        <v>294.83999999999997</v>
      </c>
      <c r="L29" s="64">
        <v>18.05</v>
      </c>
      <c r="M29" s="64">
        <v>73.31</v>
      </c>
      <c r="N29" s="64">
        <v>78.599999999999994</v>
      </c>
      <c r="O29" s="64">
        <v>0</v>
      </c>
      <c r="P29" s="64">
        <v>0.86</v>
      </c>
      <c r="Q29" s="64">
        <v>9.66</v>
      </c>
      <c r="R29" s="198"/>
      <c r="S29" s="198"/>
      <c r="T29" s="198"/>
      <c r="U29" s="198"/>
    </row>
    <row r="30" spans="1:21" s="12" customFormat="1" x14ac:dyDescent="0.25">
      <c r="A30" s="213" t="s">
        <v>1321</v>
      </c>
      <c r="B30" s="64">
        <v>39.58</v>
      </c>
      <c r="C30" s="64">
        <v>54.67</v>
      </c>
      <c r="D30" s="64">
        <v>58.93</v>
      </c>
      <c r="E30" s="64">
        <v>5.64</v>
      </c>
      <c r="F30" s="64">
        <v>2.13</v>
      </c>
      <c r="G30" s="64">
        <v>88.19</v>
      </c>
      <c r="H30" s="64">
        <v>36.08</v>
      </c>
      <c r="I30" s="210" t="s">
        <v>43</v>
      </c>
      <c r="J30" s="64">
        <v>0.63</v>
      </c>
      <c r="K30" s="64">
        <v>240.58</v>
      </c>
      <c r="L30" s="64">
        <v>17.690000000000001</v>
      </c>
      <c r="M30" s="64">
        <v>77.13</v>
      </c>
      <c r="N30" s="64">
        <v>78.599999999999994</v>
      </c>
      <c r="O30" s="64">
        <v>0</v>
      </c>
      <c r="P30" s="64">
        <v>0.87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3" t="s">
        <v>1322</v>
      </c>
      <c r="B31" s="64">
        <v>38.85</v>
      </c>
      <c r="C31" s="64">
        <v>53.34</v>
      </c>
      <c r="D31" s="64">
        <v>57.64</v>
      </c>
      <c r="E31" s="64">
        <v>5.75</v>
      </c>
      <c r="F31" s="64">
        <v>2.13</v>
      </c>
      <c r="G31" s="64">
        <v>88.19</v>
      </c>
      <c r="H31" s="64">
        <v>36.08</v>
      </c>
      <c r="I31" s="210" t="s">
        <v>43</v>
      </c>
      <c r="J31" s="64">
        <v>0.63</v>
      </c>
      <c r="K31" s="64">
        <v>222.27</v>
      </c>
      <c r="L31" s="64">
        <v>17.739999999999998</v>
      </c>
      <c r="M31" s="64">
        <v>73.95</v>
      </c>
      <c r="N31" s="64">
        <v>78.2</v>
      </c>
      <c r="O31" s="64">
        <v>0</v>
      </c>
      <c r="P31" s="64">
        <v>0.86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3" t="s">
        <v>1323</v>
      </c>
      <c r="B32" s="64">
        <v>37.979999999999997</v>
      </c>
      <c r="C32" s="64">
        <v>53.03</v>
      </c>
      <c r="D32" s="64">
        <v>56.78</v>
      </c>
      <c r="E32" s="64">
        <v>6.07</v>
      </c>
      <c r="F32" s="64">
        <v>2.13</v>
      </c>
      <c r="G32" s="64">
        <v>94.51</v>
      </c>
      <c r="H32" s="64">
        <v>40.89</v>
      </c>
      <c r="I32" s="210" t="s">
        <v>43</v>
      </c>
      <c r="J32" s="64">
        <v>0.55000000000000004</v>
      </c>
      <c r="K32" s="64">
        <v>241.01</v>
      </c>
      <c r="L32" s="64">
        <v>17.75</v>
      </c>
      <c r="M32" s="64">
        <v>76.89</v>
      </c>
      <c r="N32" s="64">
        <v>78.3</v>
      </c>
      <c r="O32" s="64">
        <v>0</v>
      </c>
      <c r="P32" s="64">
        <v>0.84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13" t="s">
        <v>1324</v>
      </c>
      <c r="B33" s="64">
        <v>38.409999999999997</v>
      </c>
      <c r="C33" s="64">
        <v>52.78</v>
      </c>
      <c r="D33" s="64">
        <v>57</v>
      </c>
      <c r="E33" s="64">
        <v>5.9</v>
      </c>
      <c r="F33" s="64">
        <v>2.13</v>
      </c>
      <c r="G33" s="64">
        <v>109.25</v>
      </c>
      <c r="H33" s="64">
        <v>51.54</v>
      </c>
      <c r="I33" s="210" t="s">
        <v>43</v>
      </c>
      <c r="J33" s="64">
        <v>0.78</v>
      </c>
      <c r="K33" s="64">
        <v>208.81</v>
      </c>
      <c r="L33" s="64">
        <v>17.61</v>
      </c>
      <c r="M33" s="64">
        <v>80.14</v>
      </c>
      <c r="N33" s="64">
        <v>78</v>
      </c>
      <c r="O33" s="64">
        <v>0</v>
      </c>
      <c r="P33" s="64">
        <v>0.85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3" t="s">
        <v>1325</v>
      </c>
      <c r="B34" s="64">
        <v>38.19</v>
      </c>
      <c r="C34" s="64">
        <v>52.32</v>
      </c>
      <c r="D34" s="64">
        <v>56.58</v>
      </c>
      <c r="E34" s="64">
        <v>6.06</v>
      </c>
      <c r="F34" s="64">
        <v>2.13</v>
      </c>
      <c r="G34" s="64">
        <v>109.25</v>
      </c>
      <c r="H34" s="64">
        <v>51.54</v>
      </c>
      <c r="I34" s="210" t="s">
        <v>43</v>
      </c>
      <c r="J34" s="64">
        <v>0.74</v>
      </c>
      <c r="K34" s="64">
        <v>177.1</v>
      </c>
      <c r="L34" s="64">
        <v>17.34</v>
      </c>
      <c r="M34" s="64">
        <v>80.86</v>
      </c>
      <c r="N34" s="64">
        <v>79.400000000000006</v>
      </c>
      <c r="O34" s="64">
        <v>0</v>
      </c>
      <c r="P34" s="64">
        <v>0.84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3" t="s">
        <v>1326</v>
      </c>
      <c r="B35" s="64">
        <v>37.409999999999997</v>
      </c>
      <c r="C35" s="64">
        <v>51.75</v>
      </c>
      <c r="D35" s="64">
        <v>55.66</v>
      </c>
      <c r="E35" s="64">
        <v>5.86</v>
      </c>
      <c r="F35" s="64">
        <v>2.13</v>
      </c>
      <c r="G35" s="64">
        <v>109.25</v>
      </c>
      <c r="H35" s="64">
        <v>51.54</v>
      </c>
      <c r="I35" s="210" t="s">
        <v>43</v>
      </c>
      <c r="J35" s="64">
        <v>0.75</v>
      </c>
      <c r="K35" s="64">
        <v>225.63</v>
      </c>
      <c r="L35" s="64">
        <v>17.2</v>
      </c>
      <c r="M35" s="64">
        <v>81.06</v>
      </c>
      <c r="N35" s="64">
        <v>84.9</v>
      </c>
      <c r="O35" s="64">
        <v>0</v>
      </c>
      <c r="P35" s="64">
        <v>0.83</v>
      </c>
      <c r="Q35" s="64">
        <v>9.67</v>
      </c>
      <c r="R35" s="198"/>
      <c r="S35" s="198"/>
      <c r="T35" s="198"/>
      <c r="U35" s="198"/>
    </row>
    <row r="36" spans="1:21" s="12" customFormat="1" x14ac:dyDescent="0.25">
      <c r="A36" s="213" t="s">
        <v>1327</v>
      </c>
      <c r="B36" s="64">
        <v>36.65</v>
      </c>
      <c r="C36" s="64">
        <v>51.24</v>
      </c>
      <c r="D36" s="64">
        <v>54.78</v>
      </c>
      <c r="E36" s="64">
        <v>5.73</v>
      </c>
      <c r="F36" s="64">
        <v>2.13</v>
      </c>
      <c r="G36" s="64">
        <v>108.14</v>
      </c>
      <c r="H36" s="64">
        <v>48.65</v>
      </c>
      <c r="I36" s="210" t="s">
        <v>43</v>
      </c>
      <c r="J36" s="64">
        <v>0.81</v>
      </c>
      <c r="K36" s="64">
        <v>213.34</v>
      </c>
      <c r="L36" s="64">
        <v>17.18</v>
      </c>
      <c r="M36" s="64">
        <v>82.78</v>
      </c>
      <c r="N36" s="64">
        <v>98.7</v>
      </c>
      <c r="O36" s="64">
        <v>0</v>
      </c>
      <c r="P36" s="64">
        <v>0.82</v>
      </c>
      <c r="Q36" s="64">
        <v>9.67</v>
      </c>
      <c r="R36" s="198"/>
      <c r="S36" s="198"/>
      <c r="T36" s="198"/>
      <c r="U36" s="198"/>
    </row>
    <row r="37" spans="1:21" s="12" customFormat="1" x14ac:dyDescent="0.25">
      <c r="A37" s="213" t="s">
        <v>1328</v>
      </c>
      <c r="B37" s="64">
        <v>35.840000000000003</v>
      </c>
      <c r="C37" s="64">
        <v>50.77</v>
      </c>
      <c r="D37" s="64">
        <v>53.89</v>
      </c>
      <c r="E37" s="64">
        <v>6.4</v>
      </c>
      <c r="F37" s="64">
        <v>2.13</v>
      </c>
      <c r="G37" s="64">
        <v>105.67</v>
      </c>
      <c r="H37" s="64">
        <v>41.9</v>
      </c>
      <c r="I37" s="210" t="s">
        <v>43</v>
      </c>
      <c r="J37" s="64">
        <v>0.74</v>
      </c>
      <c r="K37" s="64">
        <v>202.34</v>
      </c>
      <c r="L37" s="64">
        <v>17.32</v>
      </c>
      <c r="M37" s="64">
        <v>85.65</v>
      </c>
      <c r="N37" s="64">
        <v>118.4</v>
      </c>
      <c r="O37" s="64">
        <v>0</v>
      </c>
      <c r="P37" s="64">
        <v>0.82</v>
      </c>
      <c r="Q37" s="64">
        <v>9.67</v>
      </c>
      <c r="R37" s="198"/>
      <c r="S37" s="198"/>
      <c r="T37" s="198"/>
      <c r="U37" s="198"/>
    </row>
    <row r="38" spans="1:21" s="12" customFormat="1" x14ac:dyDescent="0.25">
      <c r="A38" s="213" t="s">
        <v>1329</v>
      </c>
      <c r="B38" s="64">
        <v>34.869999999999997</v>
      </c>
      <c r="C38" s="64">
        <v>50.79</v>
      </c>
      <c r="D38" s="64">
        <v>53.13</v>
      </c>
      <c r="E38" s="64">
        <v>5.94</v>
      </c>
      <c r="F38" s="64">
        <v>2.13</v>
      </c>
      <c r="G38" s="64">
        <v>105.67</v>
      </c>
      <c r="H38" s="64">
        <v>41.9</v>
      </c>
      <c r="I38" s="210" t="s">
        <v>43</v>
      </c>
      <c r="J38" s="64">
        <v>0.74</v>
      </c>
      <c r="K38" s="64">
        <v>171.33</v>
      </c>
      <c r="L38" s="64">
        <v>17.63</v>
      </c>
      <c r="M38" s="64">
        <v>84.37</v>
      </c>
      <c r="N38" s="64">
        <v>145</v>
      </c>
      <c r="O38" s="64">
        <v>0</v>
      </c>
      <c r="P38" s="64">
        <v>0.85</v>
      </c>
      <c r="Q38" s="64">
        <v>9.67</v>
      </c>
      <c r="R38" s="198"/>
      <c r="S38" s="198"/>
      <c r="T38" s="198"/>
      <c r="U38" s="198"/>
    </row>
    <row r="39" spans="1:21" s="12" customFormat="1" x14ac:dyDescent="0.25">
      <c r="A39" s="213" t="s">
        <v>1330</v>
      </c>
      <c r="B39" s="64">
        <v>34.020000000000003</v>
      </c>
      <c r="C39" s="64">
        <v>46.66</v>
      </c>
      <c r="D39" s="64">
        <v>50.29</v>
      </c>
      <c r="E39" s="64">
        <v>6.31</v>
      </c>
      <c r="F39" s="64">
        <v>2.13</v>
      </c>
      <c r="G39" s="64">
        <v>105.67</v>
      </c>
      <c r="H39" s="64">
        <v>41.9</v>
      </c>
      <c r="I39" s="210" t="s">
        <v>43</v>
      </c>
      <c r="J39" s="64">
        <v>1.1399999999999999</v>
      </c>
      <c r="K39" s="64">
        <v>152</v>
      </c>
      <c r="L39" s="64">
        <v>18.14</v>
      </c>
      <c r="M39" s="64">
        <v>81.96</v>
      </c>
      <c r="N39" s="64">
        <v>185.6</v>
      </c>
      <c r="O39" s="64">
        <v>0</v>
      </c>
      <c r="P39" s="64">
        <v>0.86</v>
      </c>
      <c r="Q39" s="64">
        <v>9.68</v>
      </c>
      <c r="R39" s="198"/>
      <c r="S39" s="198"/>
      <c r="T39" s="198"/>
      <c r="U39" s="198"/>
    </row>
    <row r="40" spans="1:21" s="12" customFormat="1" x14ac:dyDescent="0.25">
      <c r="A40" s="213" t="s">
        <v>1331</v>
      </c>
      <c r="B40" s="64">
        <v>33.36</v>
      </c>
      <c r="C40" s="64">
        <v>44.61</v>
      </c>
      <c r="D40" s="64">
        <v>48.68</v>
      </c>
      <c r="E40" s="64">
        <v>8.15</v>
      </c>
      <c r="F40" s="64">
        <v>2.13</v>
      </c>
      <c r="G40" s="64">
        <v>103.71</v>
      </c>
      <c r="H40" s="64">
        <v>41.41</v>
      </c>
      <c r="I40" s="210" t="s">
        <v>43</v>
      </c>
      <c r="J40" s="64">
        <v>0.76</v>
      </c>
      <c r="K40" s="64">
        <v>193.98</v>
      </c>
      <c r="L40" s="64">
        <v>18.88</v>
      </c>
      <c r="M40" s="64">
        <v>78.150000000000006</v>
      </c>
      <c r="N40" s="64">
        <v>224.7</v>
      </c>
      <c r="O40" s="64">
        <v>0</v>
      </c>
      <c r="P40" s="64">
        <v>0.85</v>
      </c>
      <c r="Q40" s="64">
        <v>9.68</v>
      </c>
      <c r="R40" s="198"/>
      <c r="S40" s="198"/>
      <c r="T40" s="198"/>
      <c r="U40" s="198"/>
    </row>
    <row r="41" spans="1:21" s="12" customFormat="1" x14ac:dyDescent="0.25">
      <c r="A41" s="213" t="s">
        <v>1332</v>
      </c>
      <c r="B41" s="64">
        <v>32.57</v>
      </c>
      <c r="C41" s="64">
        <v>46.01</v>
      </c>
      <c r="D41" s="64">
        <v>48.78</v>
      </c>
      <c r="E41" s="64">
        <v>6.85</v>
      </c>
      <c r="F41" s="64">
        <v>2.13</v>
      </c>
      <c r="G41" s="64">
        <v>99.4</v>
      </c>
      <c r="H41" s="64">
        <v>40.32</v>
      </c>
      <c r="I41" s="210" t="s">
        <v>43</v>
      </c>
      <c r="J41" s="64">
        <v>0.78</v>
      </c>
      <c r="K41" s="64">
        <v>204.73</v>
      </c>
      <c r="L41" s="64">
        <v>19.53</v>
      </c>
      <c r="M41" s="64">
        <v>74.900000000000006</v>
      </c>
      <c r="N41" s="64">
        <v>268.60000000000002</v>
      </c>
      <c r="O41" s="64">
        <v>0</v>
      </c>
      <c r="P41" s="64">
        <v>0.85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3" t="s">
        <v>1333</v>
      </c>
      <c r="B42" s="64">
        <v>31.32</v>
      </c>
      <c r="C42" s="64">
        <v>47.08</v>
      </c>
      <c r="D42" s="64">
        <v>48.33</v>
      </c>
      <c r="E42" s="64">
        <v>7.26</v>
      </c>
      <c r="F42" s="64">
        <v>2.13</v>
      </c>
      <c r="G42" s="64">
        <v>99.4</v>
      </c>
      <c r="H42" s="64">
        <v>40.32</v>
      </c>
      <c r="I42" s="210" t="s">
        <v>43</v>
      </c>
      <c r="J42" s="64">
        <v>0.66</v>
      </c>
      <c r="K42" s="64">
        <v>207.33</v>
      </c>
      <c r="L42" s="64">
        <v>20.13</v>
      </c>
      <c r="M42" s="64">
        <v>73.2</v>
      </c>
      <c r="N42" s="64">
        <v>321.10000000000002</v>
      </c>
      <c r="O42" s="64">
        <v>0</v>
      </c>
      <c r="P42" s="64">
        <v>0.84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3" t="s">
        <v>1334</v>
      </c>
      <c r="B43" s="64">
        <v>29.79</v>
      </c>
      <c r="C43" s="64">
        <v>47.38</v>
      </c>
      <c r="D43" s="64">
        <v>47.26</v>
      </c>
      <c r="E43" s="64">
        <v>7.27</v>
      </c>
      <c r="F43" s="64">
        <v>2.13</v>
      </c>
      <c r="G43" s="64">
        <v>99.4</v>
      </c>
      <c r="H43" s="64">
        <v>40.32</v>
      </c>
      <c r="I43" s="210" t="s">
        <v>43</v>
      </c>
      <c r="J43" s="64">
        <v>0.96</v>
      </c>
      <c r="K43" s="64">
        <v>191.33</v>
      </c>
      <c r="L43" s="64">
        <v>20.74</v>
      </c>
      <c r="M43" s="64">
        <v>71.84</v>
      </c>
      <c r="N43" s="64">
        <v>377.2</v>
      </c>
      <c r="O43" s="64">
        <v>0</v>
      </c>
      <c r="P43" s="64">
        <v>0.84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3" t="s">
        <v>1335</v>
      </c>
      <c r="B44" s="64">
        <v>28.19</v>
      </c>
      <c r="C44" s="64">
        <v>47.85</v>
      </c>
      <c r="D44" s="64">
        <v>46.22</v>
      </c>
      <c r="E44" s="64">
        <v>6.84</v>
      </c>
      <c r="F44" s="64">
        <v>2.13</v>
      </c>
      <c r="G44" s="64">
        <v>97.98</v>
      </c>
      <c r="H44" s="64">
        <v>39.130000000000003</v>
      </c>
      <c r="I44" s="210" t="s">
        <v>43</v>
      </c>
      <c r="J44" s="64">
        <v>0.37</v>
      </c>
      <c r="K44" s="64">
        <v>212.74</v>
      </c>
      <c r="L44" s="64">
        <v>22.58</v>
      </c>
      <c r="M44" s="64">
        <v>64.48</v>
      </c>
      <c r="N44" s="64">
        <v>435.2</v>
      </c>
      <c r="O44" s="64">
        <v>0</v>
      </c>
      <c r="P44" s="64">
        <v>0.83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3" t="s">
        <v>1336</v>
      </c>
      <c r="B45" s="64">
        <v>26.82</v>
      </c>
      <c r="C45" s="64">
        <v>48.92</v>
      </c>
      <c r="D45" s="64">
        <v>45.69</v>
      </c>
      <c r="E45" s="64">
        <v>7.05</v>
      </c>
      <c r="F45" s="64">
        <v>2.13</v>
      </c>
      <c r="G45" s="64">
        <v>94.66</v>
      </c>
      <c r="H45" s="64">
        <v>36.5</v>
      </c>
      <c r="I45" s="210" t="s">
        <v>43</v>
      </c>
      <c r="J45" s="64">
        <v>0.35</v>
      </c>
      <c r="K45" s="64">
        <v>282.13</v>
      </c>
      <c r="L45" s="64">
        <v>24.17</v>
      </c>
      <c r="M45" s="64">
        <v>59.59</v>
      </c>
      <c r="N45" s="64">
        <v>505.1</v>
      </c>
      <c r="O45" s="64">
        <v>0</v>
      </c>
      <c r="P45" s="64">
        <v>0.82</v>
      </c>
      <c r="Q45" s="64">
        <v>9.59</v>
      </c>
      <c r="R45" s="198"/>
      <c r="S45" s="198"/>
      <c r="T45" s="198"/>
      <c r="U45" s="198"/>
    </row>
    <row r="46" spans="1:21" s="12" customFormat="1" x14ac:dyDescent="0.25">
      <c r="A46" s="213" t="s">
        <v>1337</v>
      </c>
      <c r="B46" s="64">
        <v>25.62</v>
      </c>
      <c r="C46" s="64">
        <v>49.85</v>
      </c>
      <c r="D46" s="64">
        <v>45.22</v>
      </c>
      <c r="E46" s="64">
        <v>7.02</v>
      </c>
      <c r="F46" s="64">
        <v>2.13</v>
      </c>
      <c r="G46" s="64">
        <v>94.66</v>
      </c>
      <c r="H46" s="64">
        <v>36.5</v>
      </c>
      <c r="I46" s="210" t="s">
        <v>43</v>
      </c>
      <c r="J46" s="64">
        <v>0.62</v>
      </c>
      <c r="K46" s="64">
        <v>279.8</v>
      </c>
      <c r="L46" s="64">
        <v>25.39</v>
      </c>
      <c r="M46" s="64">
        <v>55.46</v>
      </c>
      <c r="N46" s="64">
        <v>571.70000000000005</v>
      </c>
      <c r="O46" s="64">
        <v>0</v>
      </c>
      <c r="P46" s="64">
        <v>0.82</v>
      </c>
      <c r="Q46" s="64">
        <v>9.58</v>
      </c>
      <c r="R46" s="198"/>
      <c r="S46" s="198"/>
      <c r="T46" s="198"/>
      <c r="U46" s="198"/>
    </row>
    <row r="47" spans="1:21" s="12" customFormat="1" x14ac:dyDescent="0.25">
      <c r="A47" s="213" t="s">
        <v>1338</v>
      </c>
      <c r="B47" s="64">
        <v>23.6</v>
      </c>
      <c r="C47" s="64">
        <v>54.69</v>
      </c>
      <c r="D47" s="64">
        <v>46.12</v>
      </c>
      <c r="E47" s="64">
        <v>7.6</v>
      </c>
      <c r="F47" s="64">
        <v>2.13</v>
      </c>
      <c r="G47" s="64">
        <v>94.66</v>
      </c>
      <c r="H47" s="64">
        <v>36.5</v>
      </c>
      <c r="I47" s="210" t="s">
        <v>43</v>
      </c>
      <c r="J47" s="64">
        <v>0.84</v>
      </c>
      <c r="K47" s="64">
        <v>265.36</v>
      </c>
      <c r="L47" s="64">
        <v>26.3</v>
      </c>
      <c r="M47" s="64">
        <v>51.18</v>
      </c>
      <c r="N47" s="64">
        <v>614.9</v>
      </c>
      <c r="O47" s="64">
        <v>0</v>
      </c>
      <c r="P47" s="64">
        <v>0.81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13" t="s">
        <v>1339</v>
      </c>
      <c r="B48" s="64">
        <v>19.48</v>
      </c>
      <c r="C48" s="64">
        <v>56.82</v>
      </c>
      <c r="D48" s="64">
        <v>43.93</v>
      </c>
      <c r="E48" s="64">
        <v>7.46</v>
      </c>
      <c r="F48" s="64">
        <v>2.13</v>
      </c>
      <c r="G48" s="64">
        <v>93.17</v>
      </c>
      <c r="H48" s="64">
        <v>35.380000000000003</v>
      </c>
      <c r="I48" s="210" t="s">
        <v>43</v>
      </c>
      <c r="J48" s="64">
        <v>0.94</v>
      </c>
      <c r="K48" s="64">
        <v>264.43</v>
      </c>
      <c r="L48" s="64">
        <v>25.35</v>
      </c>
      <c r="M48" s="64">
        <v>52.13</v>
      </c>
      <c r="N48" s="64">
        <v>652.70000000000005</v>
      </c>
      <c r="O48" s="64">
        <v>0</v>
      </c>
      <c r="P48" s="64">
        <v>0.77</v>
      </c>
      <c r="Q48" s="64">
        <v>9.59</v>
      </c>
      <c r="R48" s="198"/>
      <c r="S48" s="198"/>
      <c r="T48" s="198"/>
      <c r="U48" s="198"/>
    </row>
    <row r="49" spans="1:21" s="12" customFormat="1" x14ac:dyDescent="0.25">
      <c r="A49" s="213" t="s">
        <v>1340</v>
      </c>
      <c r="B49" s="64">
        <v>14.5</v>
      </c>
      <c r="C49" s="64">
        <v>58.91</v>
      </c>
      <c r="D49" s="64">
        <v>41.03</v>
      </c>
      <c r="E49" s="64">
        <v>7.8</v>
      </c>
      <c r="F49" s="64">
        <v>2.13</v>
      </c>
      <c r="G49" s="64">
        <v>89.86</v>
      </c>
      <c r="H49" s="64">
        <v>32.909999999999997</v>
      </c>
      <c r="I49" s="210" t="s">
        <v>43</v>
      </c>
      <c r="J49" s="64">
        <v>0.77</v>
      </c>
      <c r="K49" s="64">
        <v>256.83999999999997</v>
      </c>
      <c r="L49" s="64">
        <v>26.16</v>
      </c>
      <c r="M49" s="64">
        <v>49.1</v>
      </c>
      <c r="N49" s="64">
        <v>693</v>
      </c>
      <c r="O49" s="64">
        <v>0</v>
      </c>
      <c r="P49" s="64">
        <v>0.73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3" t="s">
        <v>1341</v>
      </c>
      <c r="B50" s="64">
        <v>10.76</v>
      </c>
      <c r="C50" s="64">
        <v>59.77</v>
      </c>
      <c r="D50" s="64">
        <v>38.479999999999997</v>
      </c>
      <c r="E50" s="64">
        <v>7.49</v>
      </c>
      <c r="F50" s="64">
        <v>2.13</v>
      </c>
      <c r="G50" s="64">
        <v>89.86</v>
      </c>
      <c r="H50" s="64">
        <v>32.909999999999997</v>
      </c>
      <c r="I50" s="210" t="s">
        <v>43</v>
      </c>
      <c r="J50" s="64">
        <v>0.72</v>
      </c>
      <c r="K50" s="64">
        <v>273.39999999999998</v>
      </c>
      <c r="L50" s="64">
        <v>26.78</v>
      </c>
      <c r="M50" s="64">
        <v>47.54</v>
      </c>
      <c r="N50" s="64">
        <v>734.4</v>
      </c>
      <c r="O50" s="64">
        <v>0</v>
      </c>
      <c r="P50" s="64">
        <v>0.71</v>
      </c>
      <c r="Q50" s="64">
        <v>9.58</v>
      </c>
      <c r="R50" s="198"/>
      <c r="S50" s="198"/>
      <c r="T50" s="198"/>
      <c r="U50" s="198"/>
    </row>
    <row r="51" spans="1:21" s="12" customFormat="1" x14ac:dyDescent="0.25">
      <c r="A51" s="213" t="s">
        <v>1342</v>
      </c>
      <c r="B51" s="64">
        <v>8.27</v>
      </c>
      <c r="C51" s="64">
        <v>61.26</v>
      </c>
      <c r="D51" s="64">
        <v>37.26</v>
      </c>
      <c r="E51" s="64">
        <v>7.54</v>
      </c>
      <c r="F51" s="64">
        <v>2.13</v>
      </c>
      <c r="G51" s="64">
        <v>89.86</v>
      </c>
      <c r="H51" s="64">
        <v>32.909999999999997</v>
      </c>
      <c r="I51" s="210" t="s">
        <v>43</v>
      </c>
      <c r="J51" s="64">
        <v>0.93</v>
      </c>
      <c r="K51" s="64">
        <v>263.20999999999998</v>
      </c>
      <c r="L51" s="64">
        <v>27.69</v>
      </c>
      <c r="M51" s="64">
        <v>44.8</v>
      </c>
      <c r="N51" s="64">
        <v>776</v>
      </c>
      <c r="O51" s="64">
        <v>0</v>
      </c>
      <c r="P51" s="64">
        <v>0.68</v>
      </c>
      <c r="Q51" s="64">
        <v>9.5399999999999991</v>
      </c>
      <c r="R51" s="198"/>
      <c r="S51" s="198"/>
      <c r="T51" s="198"/>
      <c r="U51" s="198"/>
    </row>
    <row r="52" spans="1:21" s="12" customFormat="1" x14ac:dyDescent="0.25">
      <c r="A52" s="213" t="s">
        <v>1343</v>
      </c>
      <c r="B52" s="64">
        <v>6.3</v>
      </c>
      <c r="C52" s="64">
        <v>60.2</v>
      </c>
      <c r="D52" s="64">
        <v>35.130000000000003</v>
      </c>
      <c r="E52" s="64">
        <v>7.24</v>
      </c>
      <c r="F52" s="64">
        <v>2.34</v>
      </c>
      <c r="G52" s="64">
        <v>88.39</v>
      </c>
      <c r="H52" s="64">
        <v>32.64</v>
      </c>
      <c r="I52" s="210" t="s">
        <v>43</v>
      </c>
      <c r="J52" s="64">
        <v>0.78</v>
      </c>
      <c r="K52" s="64">
        <v>268.87</v>
      </c>
      <c r="L52" s="64">
        <v>28.39</v>
      </c>
      <c r="M52" s="64">
        <v>43.31</v>
      </c>
      <c r="N52" s="64">
        <v>809.2</v>
      </c>
      <c r="O52" s="64">
        <v>0</v>
      </c>
      <c r="P52" s="64">
        <v>0.67</v>
      </c>
      <c r="Q52" s="64">
        <v>9.48</v>
      </c>
      <c r="R52" s="198"/>
      <c r="S52" s="198"/>
      <c r="T52" s="198"/>
      <c r="U52" s="198"/>
    </row>
    <row r="53" spans="1:21" s="12" customFormat="1" x14ac:dyDescent="0.25">
      <c r="A53" s="213" t="s">
        <v>1344</v>
      </c>
      <c r="B53" s="64">
        <v>5.3</v>
      </c>
      <c r="C53" s="64">
        <v>60.4</v>
      </c>
      <c r="D53" s="64">
        <v>34.43</v>
      </c>
      <c r="E53" s="64">
        <v>8.07</v>
      </c>
      <c r="F53" s="64">
        <v>2.13</v>
      </c>
      <c r="G53" s="64">
        <v>85.16</v>
      </c>
      <c r="H53" s="64">
        <v>32.03</v>
      </c>
      <c r="I53" s="210" t="s">
        <v>43</v>
      </c>
      <c r="J53" s="64">
        <v>1.1200000000000001</v>
      </c>
      <c r="K53" s="64">
        <v>284.77999999999997</v>
      </c>
      <c r="L53" s="64">
        <v>28.85</v>
      </c>
      <c r="M53" s="64">
        <v>42</v>
      </c>
      <c r="N53" s="64">
        <v>857.3</v>
      </c>
      <c r="O53" s="64">
        <v>0</v>
      </c>
      <c r="P53" s="64">
        <v>0.65</v>
      </c>
      <c r="Q53" s="64">
        <v>9.42</v>
      </c>
      <c r="R53" s="198"/>
      <c r="S53" s="198"/>
      <c r="T53" s="198"/>
      <c r="U53" s="198"/>
    </row>
    <row r="54" spans="1:21" s="12" customFormat="1" x14ac:dyDescent="0.25">
      <c r="A54" s="213" t="s">
        <v>1345</v>
      </c>
      <c r="B54" s="64">
        <v>4.83</v>
      </c>
      <c r="C54" s="64">
        <v>59.98</v>
      </c>
      <c r="D54" s="64">
        <v>33.83</v>
      </c>
      <c r="E54" s="64">
        <v>7.91</v>
      </c>
      <c r="F54" s="64">
        <v>2.36</v>
      </c>
      <c r="G54" s="64">
        <v>85.16</v>
      </c>
      <c r="H54" s="64">
        <v>32.03</v>
      </c>
      <c r="I54" s="210" t="s">
        <v>43</v>
      </c>
      <c r="J54" s="64">
        <v>0.93</v>
      </c>
      <c r="K54" s="64">
        <v>278.99</v>
      </c>
      <c r="L54" s="64">
        <v>29.96</v>
      </c>
      <c r="M54" s="64">
        <v>39.01</v>
      </c>
      <c r="N54" s="64">
        <v>851.4</v>
      </c>
      <c r="O54" s="64">
        <v>0</v>
      </c>
      <c r="P54" s="64">
        <v>0.64</v>
      </c>
      <c r="Q54" s="64">
        <v>9.39</v>
      </c>
      <c r="R54" s="198"/>
      <c r="S54" s="198"/>
      <c r="T54" s="198"/>
      <c r="U54" s="198"/>
    </row>
    <row r="55" spans="1:21" s="12" customFormat="1" x14ac:dyDescent="0.25">
      <c r="A55" s="213" t="s">
        <v>1346</v>
      </c>
      <c r="B55" s="64">
        <v>4.54</v>
      </c>
      <c r="C55" s="64">
        <v>58.63</v>
      </c>
      <c r="D55" s="64">
        <v>32.9</v>
      </c>
      <c r="E55" s="64">
        <v>8.1199999999999992</v>
      </c>
      <c r="F55" s="64">
        <v>2.27</v>
      </c>
      <c r="G55" s="64">
        <v>85.16</v>
      </c>
      <c r="H55" s="64">
        <v>32.03</v>
      </c>
      <c r="I55" s="210" t="s">
        <v>43</v>
      </c>
      <c r="J55" s="64">
        <v>0.81</v>
      </c>
      <c r="K55" s="64">
        <v>274.05</v>
      </c>
      <c r="L55" s="64">
        <v>29.27</v>
      </c>
      <c r="M55" s="64">
        <v>39.92</v>
      </c>
      <c r="N55" s="64">
        <v>836.2</v>
      </c>
      <c r="O55" s="64">
        <v>0</v>
      </c>
      <c r="P55" s="64">
        <v>0.67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13" t="s">
        <v>1347</v>
      </c>
      <c r="B56" s="64">
        <v>4.3</v>
      </c>
      <c r="C56" s="64">
        <v>61.51</v>
      </c>
      <c r="D56" s="64">
        <v>34.21</v>
      </c>
      <c r="E56" s="64">
        <v>8.27</v>
      </c>
      <c r="F56" s="64">
        <v>2.42</v>
      </c>
      <c r="G56" s="64">
        <v>84.23</v>
      </c>
      <c r="H56" s="64">
        <v>32.39</v>
      </c>
      <c r="I56" s="210" t="s">
        <v>43</v>
      </c>
      <c r="J56" s="64">
        <v>1.17</v>
      </c>
      <c r="K56" s="64">
        <v>296.83</v>
      </c>
      <c r="L56" s="64">
        <v>30.96</v>
      </c>
      <c r="M56" s="64">
        <v>34.549999999999997</v>
      </c>
      <c r="N56" s="64">
        <v>835.6</v>
      </c>
      <c r="O56" s="64">
        <v>0</v>
      </c>
      <c r="P56" s="64">
        <v>0.68</v>
      </c>
      <c r="Q56" s="64">
        <v>9.3699999999999992</v>
      </c>
      <c r="R56" s="198"/>
      <c r="S56" s="198"/>
      <c r="T56" s="198"/>
      <c r="U56" s="198"/>
    </row>
    <row r="57" spans="1:21" s="12" customFormat="1" x14ac:dyDescent="0.25">
      <c r="A57" s="213" t="s">
        <v>1348</v>
      </c>
      <c r="B57" s="64">
        <v>4.45</v>
      </c>
      <c r="C57" s="64">
        <v>56.45</v>
      </c>
      <c r="D57" s="64">
        <v>31.68</v>
      </c>
      <c r="E57" s="64">
        <v>8.0399999999999991</v>
      </c>
      <c r="F57" s="64">
        <v>3.58</v>
      </c>
      <c r="G57" s="64">
        <v>82.05</v>
      </c>
      <c r="H57" s="64">
        <v>33.18</v>
      </c>
      <c r="I57" s="210" t="s">
        <v>43</v>
      </c>
      <c r="J57" s="64">
        <v>0.93</v>
      </c>
      <c r="K57" s="64">
        <v>281.61</v>
      </c>
      <c r="L57" s="64">
        <v>30.7</v>
      </c>
      <c r="M57" s="64">
        <v>34.409999999999997</v>
      </c>
      <c r="N57" s="64">
        <v>834.1</v>
      </c>
      <c r="O57" s="64">
        <v>0</v>
      </c>
      <c r="P57" s="64">
        <v>0.66</v>
      </c>
      <c r="Q57" s="64">
        <v>9.35</v>
      </c>
      <c r="R57" s="198"/>
      <c r="S57" s="198"/>
      <c r="T57" s="198"/>
      <c r="U57" s="198"/>
    </row>
    <row r="58" spans="1:21" s="12" customFormat="1" x14ac:dyDescent="0.25">
      <c r="A58" s="213" t="s">
        <v>1349</v>
      </c>
      <c r="B58" s="64">
        <v>4.42</v>
      </c>
      <c r="C58" s="64">
        <v>56.39</v>
      </c>
      <c r="D58" s="64">
        <v>31.63</v>
      </c>
      <c r="E58" s="64">
        <v>7.27</v>
      </c>
      <c r="F58" s="64">
        <v>3.84</v>
      </c>
      <c r="G58" s="64">
        <v>82.05</v>
      </c>
      <c r="H58" s="64">
        <v>33.18</v>
      </c>
      <c r="I58" s="210" t="s">
        <v>43</v>
      </c>
      <c r="J58" s="64">
        <v>0.92</v>
      </c>
      <c r="K58" s="64">
        <v>290.16000000000003</v>
      </c>
      <c r="L58" s="64">
        <v>30.27</v>
      </c>
      <c r="M58" s="64">
        <v>33.49</v>
      </c>
      <c r="N58" s="64">
        <v>776.9</v>
      </c>
      <c r="O58" s="64">
        <v>0</v>
      </c>
      <c r="P58" s="64">
        <v>0.64</v>
      </c>
      <c r="Q58" s="64">
        <v>9.34</v>
      </c>
      <c r="R58" s="198"/>
      <c r="S58" s="198"/>
      <c r="T58" s="198"/>
      <c r="U58" s="198"/>
    </row>
    <row r="59" spans="1:21" s="12" customFormat="1" x14ac:dyDescent="0.25">
      <c r="A59" s="213" t="s">
        <v>1350</v>
      </c>
      <c r="B59" s="64">
        <v>4.3499999999999996</v>
      </c>
      <c r="C59" s="64">
        <v>56.89</v>
      </c>
      <c r="D59" s="64">
        <v>31.83</v>
      </c>
      <c r="E59" s="64">
        <v>7.34</v>
      </c>
      <c r="F59" s="64">
        <v>3.37</v>
      </c>
      <c r="G59" s="64">
        <v>82.05</v>
      </c>
      <c r="H59" s="64">
        <v>33.18</v>
      </c>
      <c r="I59" s="210" t="s">
        <v>43</v>
      </c>
      <c r="J59" s="64">
        <v>1.55</v>
      </c>
      <c r="K59" s="64">
        <v>307.95</v>
      </c>
      <c r="L59" s="64">
        <v>31.67</v>
      </c>
      <c r="M59" s="64">
        <v>29.67</v>
      </c>
      <c r="N59" s="64">
        <v>785</v>
      </c>
      <c r="O59" s="64">
        <v>0</v>
      </c>
      <c r="P59" s="64">
        <v>0.63</v>
      </c>
      <c r="Q59" s="64">
        <v>9.32</v>
      </c>
      <c r="R59" s="198"/>
      <c r="S59" s="198"/>
      <c r="T59" s="198"/>
      <c r="U59" s="198"/>
    </row>
    <row r="60" spans="1:21" s="12" customFormat="1" x14ac:dyDescent="0.25">
      <c r="A60" s="213" t="s">
        <v>1351</v>
      </c>
      <c r="B60" s="64">
        <v>4.4800000000000004</v>
      </c>
      <c r="C60" s="64">
        <v>56.51</v>
      </c>
      <c r="D60" s="64">
        <v>31.75</v>
      </c>
      <c r="E60" s="64">
        <v>7.4</v>
      </c>
      <c r="F60" s="64">
        <v>2.7</v>
      </c>
      <c r="G60" s="64">
        <v>79.19</v>
      </c>
      <c r="H60" s="64">
        <v>32.39</v>
      </c>
      <c r="I60" s="210" t="s">
        <v>43</v>
      </c>
      <c r="J60" s="64">
        <v>1.37</v>
      </c>
      <c r="K60" s="64">
        <v>295.16000000000003</v>
      </c>
      <c r="L60" s="64">
        <v>32.619999999999997</v>
      </c>
      <c r="M60" s="64">
        <v>26.9</v>
      </c>
      <c r="N60" s="64">
        <v>777.4</v>
      </c>
      <c r="O60" s="64">
        <v>0</v>
      </c>
      <c r="P60" s="64">
        <v>0.62</v>
      </c>
      <c r="Q60" s="64">
        <v>9.32</v>
      </c>
      <c r="R60" s="198"/>
      <c r="S60" s="198"/>
      <c r="T60" s="198"/>
      <c r="U60" s="198"/>
    </row>
    <row r="61" spans="1:21" s="12" customFormat="1" x14ac:dyDescent="0.25">
      <c r="A61" s="213" t="s">
        <v>1352</v>
      </c>
      <c r="B61" s="64">
        <v>4.47</v>
      </c>
      <c r="C61" s="64">
        <v>56.4</v>
      </c>
      <c r="D61" s="64">
        <v>31.67</v>
      </c>
      <c r="E61" s="64">
        <v>7.44</v>
      </c>
      <c r="F61" s="64">
        <v>3.23</v>
      </c>
      <c r="G61" s="64">
        <v>72.849999999999994</v>
      </c>
      <c r="H61" s="64">
        <v>30.64</v>
      </c>
      <c r="I61" s="210" t="s">
        <v>43</v>
      </c>
      <c r="J61" s="64">
        <v>1.35</v>
      </c>
      <c r="K61" s="64">
        <v>286.83</v>
      </c>
      <c r="L61" s="64">
        <v>31.73</v>
      </c>
      <c r="M61" s="64">
        <v>26.22</v>
      </c>
      <c r="N61" s="64">
        <v>765.1</v>
      </c>
      <c r="O61" s="64">
        <v>0</v>
      </c>
      <c r="P61" s="64">
        <v>0.61</v>
      </c>
      <c r="Q61" s="64">
        <v>9.31</v>
      </c>
      <c r="R61" s="198"/>
      <c r="S61" s="198"/>
      <c r="T61" s="198"/>
      <c r="U61" s="198"/>
    </row>
    <row r="62" spans="1:21" s="12" customFormat="1" x14ac:dyDescent="0.25">
      <c r="A62" s="213" t="s">
        <v>1353</v>
      </c>
      <c r="B62" s="64">
        <v>4.3099999999999996</v>
      </c>
      <c r="C62" s="64">
        <v>55.67</v>
      </c>
      <c r="D62" s="64">
        <v>31.16</v>
      </c>
      <c r="E62" s="64">
        <v>7.65</v>
      </c>
      <c r="F62" s="64">
        <v>3.07</v>
      </c>
      <c r="G62" s="64">
        <v>72.849999999999994</v>
      </c>
      <c r="H62" s="64">
        <v>30.64</v>
      </c>
      <c r="I62" s="210" t="s">
        <v>43</v>
      </c>
      <c r="J62" s="64">
        <v>1.76</v>
      </c>
      <c r="K62" s="64">
        <v>303.31</v>
      </c>
      <c r="L62" s="64">
        <v>31.96</v>
      </c>
      <c r="M62" s="64">
        <v>23.62</v>
      </c>
      <c r="N62" s="64">
        <v>782.2</v>
      </c>
      <c r="O62" s="64">
        <v>0</v>
      </c>
      <c r="P62" s="64">
        <v>0.61</v>
      </c>
      <c r="Q62" s="64">
        <v>9.3000000000000007</v>
      </c>
      <c r="R62" s="198"/>
      <c r="S62" s="198"/>
      <c r="T62" s="198"/>
      <c r="U62" s="198"/>
    </row>
    <row r="63" spans="1:21" s="12" customFormat="1" x14ac:dyDescent="0.25">
      <c r="A63" s="213" t="s">
        <v>1354</v>
      </c>
      <c r="B63" s="64">
        <v>4.28</v>
      </c>
      <c r="C63" s="64">
        <v>54.83</v>
      </c>
      <c r="D63" s="64">
        <v>30.7</v>
      </c>
      <c r="E63" s="64">
        <v>6.68</v>
      </c>
      <c r="F63" s="64">
        <v>3.16</v>
      </c>
      <c r="G63" s="64">
        <v>72.849999999999994</v>
      </c>
      <c r="H63" s="64">
        <v>30.64</v>
      </c>
      <c r="I63" s="210" t="s">
        <v>43</v>
      </c>
      <c r="J63" s="64">
        <v>1.87</v>
      </c>
      <c r="K63" s="64">
        <v>315.38</v>
      </c>
      <c r="L63" s="64">
        <v>32.25</v>
      </c>
      <c r="M63" s="64">
        <v>23.3</v>
      </c>
      <c r="N63" s="64">
        <v>681.2</v>
      </c>
      <c r="O63" s="64">
        <v>0</v>
      </c>
      <c r="P63" s="64">
        <v>0.59</v>
      </c>
      <c r="Q63" s="64">
        <v>9.27</v>
      </c>
      <c r="R63" s="198"/>
      <c r="S63" s="198"/>
      <c r="T63" s="198"/>
      <c r="U63" s="198"/>
    </row>
    <row r="64" spans="1:21" s="12" customFormat="1" x14ac:dyDescent="0.25">
      <c r="A64" s="213" t="s">
        <v>1355</v>
      </c>
      <c r="B64" s="64">
        <v>4.4000000000000004</v>
      </c>
      <c r="C64" s="64">
        <v>55.12</v>
      </c>
      <c r="D64" s="64">
        <v>30.95</v>
      </c>
      <c r="E64" s="64">
        <v>6.92</v>
      </c>
      <c r="F64" s="64">
        <v>3.01</v>
      </c>
      <c r="G64" s="64">
        <v>71.900000000000006</v>
      </c>
      <c r="H64" s="64">
        <v>29.87</v>
      </c>
      <c r="I64" s="210" t="s">
        <v>43</v>
      </c>
      <c r="J64" s="64">
        <v>1.85</v>
      </c>
      <c r="K64" s="64">
        <v>307.75</v>
      </c>
      <c r="L64" s="64">
        <v>32.409999999999997</v>
      </c>
      <c r="M64" s="64">
        <v>22.84</v>
      </c>
      <c r="N64" s="64">
        <v>693.7</v>
      </c>
      <c r="O64" s="64">
        <v>0</v>
      </c>
      <c r="P64" s="64">
        <v>0.57999999999999996</v>
      </c>
      <c r="Q64" s="64">
        <v>9.26</v>
      </c>
      <c r="R64" s="198"/>
      <c r="S64" s="198"/>
      <c r="T64" s="198"/>
      <c r="U64" s="198"/>
    </row>
    <row r="65" spans="1:21" s="12" customFormat="1" x14ac:dyDescent="0.25">
      <c r="A65" s="213" t="s">
        <v>1356</v>
      </c>
      <c r="B65" s="64">
        <v>4.41</v>
      </c>
      <c r="C65" s="64">
        <v>56.86</v>
      </c>
      <c r="D65" s="64">
        <v>31.86</v>
      </c>
      <c r="E65" s="64">
        <v>7.18</v>
      </c>
      <c r="F65" s="64">
        <v>2.91</v>
      </c>
      <c r="G65" s="64">
        <v>69.8</v>
      </c>
      <c r="H65" s="64">
        <v>28.18</v>
      </c>
      <c r="I65" s="210" t="s">
        <v>43</v>
      </c>
      <c r="J65" s="64">
        <v>1.54</v>
      </c>
      <c r="K65" s="64">
        <v>308.06</v>
      </c>
      <c r="L65" s="64">
        <v>32.4</v>
      </c>
      <c r="M65" s="64">
        <v>23.47</v>
      </c>
      <c r="N65" s="64">
        <v>585.6</v>
      </c>
      <c r="O65" s="64">
        <v>0</v>
      </c>
      <c r="P65" s="64">
        <v>0.56000000000000005</v>
      </c>
      <c r="Q65" s="64">
        <v>9.25</v>
      </c>
      <c r="R65" s="198"/>
      <c r="S65" s="198"/>
      <c r="T65" s="198"/>
      <c r="U65" s="198"/>
    </row>
    <row r="66" spans="1:21" s="12" customFormat="1" x14ac:dyDescent="0.25">
      <c r="A66" s="213" t="s">
        <v>1357</v>
      </c>
      <c r="B66" s="64">
        <v>4.3</v>
      </c>
      <c r="C66" s="64">
        <v>55.51</v>
      </c>
      <c r="D66" s="64">
        <v>31.08</v>
      </c>
      <c r="E66" s="64">
        <v>6.95</v>
      </c>
      <c r="F66" s="64">
        <v>2.69</v>
      </c>
      <c r="G66" s="64">
        <v>69.8</v>
      </c>
      <c r="H66" s="64">
        <v>28.18</v>
      </c>
      <c r="I66" s="210" t="s">
        <v>43</v>
      </c>
      <c r="J66" s="64">
        <v>0.89</v>
      </c>
      <c r="K66" s="64">
        <v>296.17</v>
      </c>
      <c r="L66" s="64">
        <v>31.52</v>
      </c>
      <c r="M66" s="64">
        <v>23.9</v>
      </c>
      <c r="N66" s="64">
        <v>618</v>
      </c>
      <c r="O66" s="64">
        <v>0</v>
      </c>
      <c r="P66" s="64">
        <v>0.55000000000000004</v>
      </c>
      <c r="Q66" s="64">
        <v>9.25</v>
      </c>
      <c r="R66" s="198"/>
      <c r="S66" s="198"/>
      <c r="T66" s="198"/>
      <c r="U66" s="198"/>
    </row>
    <row r="67" spans="1:21" s="12" customFormat="1" x14ac:dyDescent="0.25">
      <c r="A67" s="213" t="s">
        <v>1358</v>
      </c>
      <c r="B67" s="64">
        <v>4.18</v>
      </c>
      <c r="C67" s="64">
        <v>55.37</v>
      </c>
      <c r="D67" s="64">
        <v>30.91</v>
      </c>
      <c r="E67" s="64">
        <v>6.83</v>
      </c>
      <c r="F67" s="64">
        <v>3.06</v>
      </c>
      <c r="G67" s="64">
        <v>69.8</v>
      </c>
      <c r="H67" s="64">
        <v>28.18</v>
      </c>
      <c r="I67" s="210" t="s">
        <v>43</v>
      </c>
      <c r="J67" s="64">
        <v>1.67</v>
      </c>
      <c r="K67" s="64">
        <v>299.29000000000002</v>
      </c>
      <c r="L67" s="64">
        <v>30.55</v>
      </c>
      <c r="M67" s="64">
        <v>26.01</v>
      </c>
      <c r="N67" s="64">
        <v>393</v>
      </c>
      <c r="O67" s="64">
        <v>0</v>
      </c>
      <c r="P67" s="64">
        <v>0.54</v>
      </c>
      <c r="Q67" s="64">
        <v>9.24</v>
      </c>
      <c r="R67" s="198"/>
      <c r="S67" s="198"/>
      <c r="T67" s="198"/>
      <c r="U67" s="198"/>
    </row>
    <row r="68" spans="1:21" s="12" customFormat="1" x14ac:dyDescent="0.25">
      <c r="A68" s="213" t="s">
        <v>1359</v>
      </c>
      <c r="B68" s="64">
        <v>3.91</v>
      </c>
      <c r="C68" s="64">
        <v>55.44</v>
      </c>
      <c r="D68" s="64">
        <v>30.72</v>
      </c>
      <c r="E68" s="64">
        <v>6.85</v>
      </c>
      <c r="F68" s="64">
        <v>3.08</v>
      </c>
      <c r="G68" s="64">
        <v>67.64</v>
      </c>
      <c r="H68" s="64">
        <v>25.89</v>
      </c>
      <c r="I68" s="210" t="s">
        <v>43</v>
      </c>
      <c r="J68" s="64">
        <v>0.89</v>
      </c>
      <c r="K68" s="64">
        <v>284.35000000000002</v>
      </c>
      <c r="L68" s="64">
        <v>30.18</v>
      </c>
      <c r="M68" s="64">
        <v>25.46</v>
      </c>
      <c r="N68" s="64">
        <v>375.1</v>
      </c>
      <c r="O68" s="64">
        <v>0</v>
      </c>
      <c r="P68" s="64">
        <v>0.52</v>
      </c>
      <c r="Q68" s="64">
        <v>9.25</v>
      </c>
      <c r="R68" s="198"/>
      <c r="S68" s="198"/>
      <c r="T68" s="198"/>
      <c r="U68" s="198"/>
    </row>
    <row r="69" spans="1:21" s="12" customFormat="1" x14ac:dyDescent="0.25">
      <c r="A69" s="213" t="s">
        <v>1360</v>
      </c>
      <c r="B69" s="64">
        <v>3.91</v>
      </c>
      <c r="C69" s="64">
        <v>54.37</v>
      </c>
      <c r="D69" s="64">
        <v>30.17</v>
      </c>
      <c r="E69" s="64">
        <v>6.85</v>
      </c>
      <c r="F69" s="64">
        <v>3.11</v>
      </c>
      <c r="G69" s="64">
        <v>62.86</v>
      </c>
      <c r="H69" s="64">
        <v>20.82</v>
      </c>
      <c r="I69" s="210" t="s">
        <v>43</v>
      </c>
      <c r="J69" s="64">
        <v>1.82</v>
      </c>
      <c r="K69" s="64">
        <v>309.67</v>
      </c>
      <c r="L69" s="64">
        <v>30.37</v>
      </c>
      <c r="M69" s="64">
        <v>24.52</v>
      </c>
      <c r="N69" s="64">
        <v>430.7</v>
      </c>
      <c r="O69" s="64">
        <v>0</v>
      </c>
      <c r="P69" s="64">
        <v>0.51</v>
      </c>
      <c r="Q69" s="64">
        <v>9.25</v>
      </c>
      <c r="R69" s="198"/>
      <c r="S69" s="198"/>
      <c r="T69" s="198"/>
      <c r="U69" s="198"/>
    </row>
    <row r="70" spans="1:21" s="12" customFormat="1" x14ac:dyDescent="0.25">
      <c r="A70" s="213" t="s">
        <v>1361</v>
      </c>
      <c r="B70" s="64">
        <v>4.0199999999999996</v>
      </c>
      <c r="C70" s="64">
        <v>54.51</v>
      </c>
      <c r="D70" s="64">
        <v>30.33</v>
      </c>
      <c r="E70" s="64">
        <v>6.74</v>
      </c>
      <c r="F70" s="64">
        <v>3.03</v>
      </c>
      <c r="G70" s="64">
        <v>62.86</v>
      </c>
      <c r="H70" s="64">
        <v>20.82</v>
      </c>
      <c r="I70" s="210" t="s">
        <v>43</v>
      </c>
      <c r="J70" s="64">
        <v>1.78</v>
      </c>
      <c r="K70" s="64">
        <v>300.14</v>
      </c>
      <c r="L70" s="64">
        <v>29.73</v>
      </c>
      <c r="M70" s="64">
        <v>24.27</v>
      </c>
      <c r="N70" s="64">
        <v>366.3</v>
      </c>
      <c r="O70" s="64">
        <v>0</v>
      </c>
      <c r="P70" s="64">
        <v>0.49</v>
      </c>
      <c r="Q70" s="64">
        <v>9.24</v>
      </c>
      <c r="R70" s="198"/>
      <c r="S70" s="198"/>
      <c r="T70" s="198"/>
      <c r="U70" s="198"/>
    </row>
    <row r="71" spans="1:21" s="12" customFormat="1" x14ac:dyDescent="0.25">
      <c r="A71" s="213" t="s">
        <v>1362</v>
      </c>
      <c r="B71" s="64">
        <v>3.98</v>
      </c>
      <c r="C71" s="64">
        <v>54.07</v>
      </c>
      <c r="D71" s="64">
        <v>30.07</v>
      </c>
      <c r="E71" s="64">
        <v>6.49</v>
      </c>
      <c r="F71" s="64">
        <v>3.49</v>
      </c>
      <c r="G71" s="64">
        <v>62.86</v>
      </c>
      <c r="H71" s="64">
        <v>20.82</v>
      </c>
      <c r="I71" s="210" t="s">
        <v>43</v>
      </c>
      <c r="J71" s="64">
        <v>1.66</v>
      </c>
      <c r="K71" s="64">
        <v>304.5</v>
      </c>
      <c r="L71" s="64">
        <v>28.99</v>
      </c>
      <c r="M71" s="64">
        <v>24.45</v>
      </c>
      <c r="N71" s="64">
        <v>267.60000000000002</v>
      </c>
      <c r="O71" s="64">
        <v>0</v>
      </c>
      <c r="P71" s="64">
        <v>0.48</v>
      </c>
      <c r="Q71" s="64">
        <v>9.24</v>
      </c>
      <c r="R71" s="198"/>
      <c r="S71" s="198"/>
      <c r="T71" s="198"/>
      <c r="U71" s="198"/>
    </row>
    <row r="72" spans="1:21" s="12" customFormat="1" x14ac:dyDescent="0.25">
      <c r="A72" s="213" t="s">
        <v>1363</v>
      </c>
      <c r="B72" s="64">
        <v>3.96</v>
      </c>
      <c r="C72" s="64">
        <v>53.69</v>
      </c>
      <c r="D72" s="64">
        <v>29.85</v>
      </c>
      <c r="E72" s="64">
        <v>7.54</v>
      </c>
      <c r="F72" s="64">
        <v>3.44</v>
      </c>
      <c r="G72" s="64">
        <v>60.38</v>
      </c>
      <c r="H72" s="64">
        <v>19.54</v>
      </c>
      <c r="I72" s="210" t="s">
        <v>43</v>
      </c>
      <c r="J72" s="64">
        <v>1.98</v>
      </c>
      <c r="K72" s="64">
        <v>309.86</v>
      </c>
      <c r="L72" s="64">
        <v>28.63</v>
      </c>
      <c r="M72" s="64">
        <v>24.9</v>
      </c>
      <c r="N72" s="64">
        <v>193.6</v>
      </c>
      <c r="O72" s="64">
        <v>0</v>
      </c>
      <c r="P72" s="64">
        <v>0.47</v>
      </c>
      <c r="Q72" s="64">
        <v>9.2100000000000009</v>
      </c>
      <c r="R72" s="198"/>
      <c r="S72" s="198"/>
      <c r="T72" s="198"/>
      <c r="U72" s="198"/>
    </row>
    <row r="73" spans="1:21" s="12" customFormat="1" x14ac:dyDescent="0.25">
      <c r="A73" s="213" t="s">
        <v>1364</v>
      </c>
      <c r="B73" s="64">
        <v>3.96</v>
      </c>
      <c r="C73" s="64">
        <v>53.41</v>
      </c>
      <c r="D73" s="64">
        <v>29.71</v>
      </c>
      <c r="E73" s="64">
        <v>7.29</v>
      </c>
      <c r="F73" s="64">
        <v>3.33</v>
      </c>
      <c r="G73" s="64">
        <v>54.91</v>
      </c>
      <c r="H73" s="64">
        <v>16.72</v>
      </c>
      <c r="I73" s="210" t="s">
        <v>43</v>
      </c>
      <c r="J73" s="64">
        <v>2.12</v>
      </c>
      <c r="K73" s="64">
        <v>305.32</v>
      </c>
      <c r="L73" s="64">
        <v>28.08</v>
      </c>
      <c r="M73" s="64">
        <v>24.8</v>
      </c>
      <c r="N73" s="64">
        <v>167.8</v>
      </c>
      <c r="O73" s="64">
        <v>0</v>
      </c>
      <c r="P73" s="64">
        <v>0.46</v>
      </c>
      <c r="Q73" s="64">
        <v>9.2100000000000009</v>
      </c>
      <c r="R73" s="198"/>
      <c r="S73" s="198"/>
      <c r="T73" s="198"/>
      <c r="U73" s="198"/>
    </row>
    <row r="74" spans="1:21" s="12" customFormat="1" x14ac:dyDescent="0.25">
      <c r="A74" s="213" t="s">
        <v>1365</v>
      </c>
      <c r="B74" s="64">
        <v>3.87</v>
      </c>
      <c r="C74" s="64">
        <v>52.49</v>
      </c>
      <c r="D74" s="64">
        <v>29.15</v>
      </c>
      <c r="E74" s="64">
        <v>7.6</v>
      </c>
      <c r="F74" s="64">
        <v>3.46</v>
      </c>
      <c r="G74" s="64">
        <v>54.91</v>
      </c>
      <c r="H74" s="64">
        <v>16.72</v>
      </c>
      <c r="I74" s="210" t="s">
        <v>43</v>
      </c>
      <c r="J74" s="64">
        <v>2.42</v>
      </c>
      <c r="K74" s="64">
        <v>311.73</v>
      </c>
      <c r="L74" s="64">
        <v>27.74</v>
      </c>
      <c r="M74" s="64">
        <v>25.14</v>
      </c>
      <c r="N74" s="64">
        <v>152.19999999999999</v>
      </c>
      <c r="O74" s="64">
        <v>0</v>
      </c>
      <c r="P74" s="64">
        <v>0.45</v>
      </c>
      <c r="Q74" s="64">
        <v>9.19</v>
      </c>
      <c r="R74" s="198"/>
      <c r="S74" s="198"/>
      <c r="T74" s="198"/>
      <c r="U74" s="198"/>
    </row>
    <row r="75" spans="1:21" s="12" customFormat="1" x14ac:dyDescent="0.25">
      <c r="A75" s="213" t="s">
        <v>1366</v>
      </c>
      <c r="B75" s="64">
        <v>3.96</v>
      </c>
      <c r="C75" s="64">
        <v>48.89</v>
      </c>
      <c r="D75" s="64">
        <v>27.34</v>
      </c>
      <c r="E75" s="64">
        <v>7.63</v>
      </c>
      <c r="F75" s="64">
        <v>3.01</v>
      </c>
      <c r="G75" s="64">
        <v>54.91</v>
      </c>
      <c r="H75" s="64">
        <v>16.72</v>
      </c>
      <c r="I75" s="210" t="s">
        <v>43</v>
      </c>
      <c r="J75" s="64">
        <v>2.14</v>
      </c>
      <c r="K75" s="64">
        <v>305.85000000000002</v>
      </c>
      <c r="L75" s="64">
        <v>27.36</v>
      </c>
      <c r="M75" s="64">
        <v>25.49</v>
      </c>
      <c r="N75" s="64">
        <v>137.19999999999999</v>
      </c>
      <c r="O75" s="64">
        <v>0</v>
      </c>
      <c r="P75" s="64">
        <v>0.45</v>
      </c>
      <c r="Q75" s="64">
        <v>9.17</v>
      </c>
      <c r="R75" s="198"/>
      <c r="S75" s="198"/>
      <c r="T75" s="198"/>
      <c r="U75" s="198"/>
    </row>
    <row r="76" spans="1:21" s="12" customFormat="1" x14ac:dyDescent="0.25">
      <c r="A76" s="213" t="s">
        <v>1367</v>
      </c>
      <c r="B76" s="64">
        <v>4.26</v>
      </c>
      <c r="C76" s="64">
        <v>48.42</v>
      </c>
      <c r="D76" s="64">
        <v>27.34</v>
      </c>
      <c r="E76" s="64">
        <v>7.53</v>
      </c>
      <c r="F76" s="64">
        <v>2.57</v>
      </c>
      <c r="G76" s="64">
        <v>53.18</v>
      </c>
      <c r="H76" s="64">
        <v>15.92</v>
      </c>
      <c r="I76" s="210" t="s">
        <v>43</v>
      </c>
      <c r="J76" s="64">
        <v>2.1800000000000002</v>
      </c>
      <c r="K76" s="64">
        <v>308.85000000000002</v>
      </c>
      <c r="L76" s="64">
        <v>27.03</v>
      </c>
      <c r="M76" s="64">
        <v>26.23</v>
      </c>
      <c r="N76" s="64">
        <v>126</v>
      </c>
      <c r="O76" s="64">
        <v>0</v>
      </c>
      <c r="P76" s="64">
        <v>0.44</v>
      </c>
      <c r="Q76" s="64">
        <v>9.14</v>
      </c>
      <c r="R76" s="198"/>
      <c r="S76" s="198"/>
      <c r="T76" s="198"/>
      <c r="U76" s="198"/>
    </row>
    <row r="77" spans="1:21" s="12" customFormat="1" x14ac:dyDescent="0.25">
      <c r="A77" s="213" t="s">
        <v>1368</v>
      </c>
      <c r="B77" s="64">
        <v>4.54</v>
      </c>
      <c r="C77" s="64">
        <v>48.73</v>
      </c>
      <c r="D77" s="64">
        <v>27.73</v>
      </c>
      <c r="E77" s="64">
        <v>7.18</v>
      </c>
      <c r="F77" s="64">
        <v>2.36</v>
      </c>
      <c r="G77" s="64">
        <v>49.37</v>
      </c>
      <c r="H77" s="64">
        <v>14.17</v>
      </c>
      <c r="I77" s="210" t="s">
        <v>43</v>
      </c>
      <c r="J77" s="64">
        <v>1.88</v>
      </c>
      <c r="K77" s="64">
        <v>307.70999999999998</v>
      </c>
      <c r="L77" s="64">
        <v>26.65</v>
      </c>
      <c r="M77" s="64">
        <v>26.81</v>
      </c>
      <c r="N77" s="64">
        <v>113.5</v>
      </c>
      <c r="O77" s="64">
        <v>0</v>
      </c>
      <c r="P77" s="64">
        <v>0.44</v>
      </c>
      <c r="Q77" s="64">
        <v>9.15</v>
      </c>
      <c r="R77" s="198"/>
      <c r="S77" s="198"/>
      <c r="T77" s="198"/>
      <c r="U77" s="198"/>
    </row>
    <row r="78" spans="1:21" s="12" customFormat="1" x14ac:dyDescent="0.25">
      <c r="A78" s="213" t="s">
        <v>1369</v>
      </c>
      <c r="B78" s="64">
        <v>4.83</v>
      </c>
      <c r="C78" s="64">
        <v>49.03</v>
      </c>
      <c r="D78" s="64">
        <v>28.11</v>
      </c>
      <c r="E78" s="64">
        <v>7.52</v>
      </c>
      <c r="F78" s="64">
        <v>2.14</v>
      </c>
      <c r="G78" s="64">
        <v>49.37</v>
      </c>
      <c r="H78" s="64">
        <v>14.17</v>
      </c>
      <c r="I78" s="210" t="s">
        <v>43</v>
      </c>
      <c r="J78" s="64">
        <v>1.75</v>
      </c>
      <c r="K78" s="64">
        <v>308.33999999999997</v>
      </c>
      <c r="L78" s="64">
        <v>26.19</v>
      </c>
      <c r="M78" s="64">
        <v>28.22</v>
      </c>
      <c r="N78" s="64">
        <v>100.5</v>
      </c>
      <c r="O78" s="64">
        <v>0</v>
      </c>
      <c r="P78" s="64">
        <v>0.44</v>
      </c>
      <c r="Q78" s="64">
        <v>9.15</v>
      </c>
      <c r="R78" s="198"/>
      <c r="S78" s="198"/>
      <c r="T78" s="198"/>
      <c r="U78" s="198"/>
    </row>
    <row r="79" spans="1:21" s="12" customFormat="1" x14ac:dyDescent="0.25">
      <c r="A79" s="213" t="s">
        <v>1370</v>
      </c>
      <c r="B79" s="64">
        <v>5.2</v>
      </c>
      <c r="C79" s="64">
        <v>49.18</v>
      </c>
      <c r="D79" s="64">
        <v>28.49</v>
      </c>
      <c r="E79" s="64">
        <v>7.32</v>
      </c>
      <c r="F79" s="64">
        <v>2.13</v>
      </c>
      <c r="G79" s="64">
        <v>49.37</v>
      </c>
      <c r="H79" s="64">
        <v>14.17</v>
      </c>
      <c r="I79" s="210" t="s">
        <v>43</v>
      </c>
      <c r="J79" s="64">
        <v>1.5</v>
      </c>
      <c r="K79" s="64">
        <v>307.70999999999998</v>
      </c>
      <c r="L79" s="64">
        <v>25.65</v>
      </c>
      <c r="M79" s="64">
        <v>29.16</v>
      </c>
      <c r="N79" s="64">
        <v>88.3</v>
      </c>
      <c r="O79" s="64">
        <v>0</v>
      </c>
      <c r="P79" s="64">
        <v>0.45</v>
      </c>
      <c r="Q79" s="64">
        <v>9.17</v>
      </c>
      <c r="R79" s="198"/>
      <c r="S79" s="198"/>
      <c r="T79" s="198"/>
      <c r="U79" s="198"/>
    </row>
    <row r="80" spans="1:21" s="12" customFormat="1" x14ac:dyDescent="0.25">
      <c r="A80" s="213" t="s">
        <v>1371</v>
      </c>
      <c r="B80" s="64">
        <v>5.63</v>
      </c>
      <c r="C80" s="64">
        <v>49.32</v>
      </c>
      <c r="D80" s="64">
        <v>28.91</v>
      </c>
      <c r="E80" s="64">
        <v>7.5</v>
      </c>
      <c r="F80" s="64">
        <v>2.13</v>
      </c>
      <c r="G80" s="64">
        <v>49.59</v>
      </c>
      <c r="H80" s="64">
        <v>14.73</v>
      </c>
      <c r="I80" s="210" t="s">
        <v>43</v>
      </c>
      <c r="J80" s="64">
        <v>1.44</v>
      </c>
      <c r="K80" s="64">
        <v>309.32</v>
      </c>
      <c r="L80" s="64">
        <v>25.03</v>
      </c>
      <c r="M80" s="64">
        <v>30.48</v>
      </c>
      <c r="N80" s="64">
        <v>78.599999999999994</v>
      </c>
      <c r="O80" s="64">
        <v>0</v>
      </c>
      <c r="P80" s="64">
        <v>0.47</v>
      </c>
      <c r="Q80" s="64">
        <v>9.18</v>
      </c>
      <c r="R80" s="198"/>
      <c r="S80" s="198"/>
      <c r="T80" s="198"/>
      <c r="U80" s="198"/>
    </row>
    <row r="81" spans="1:26" s="12" customFormat="1" x14ac:dyDescent="0.25">
      <c r="A81" s="213" t="s">
        <v>1372</v>
      </c>
      <c r="B81" s="64">
        <v>6.44</v>
      </c>
      <c r="C81" s="64">
        <v>49.96</v>
      </c>
      <c r="D81" s="64">
        <v>29.89</v>
      </c>
      <c r="E81" s="64">
        <v>7.4</v>
      </c>
      <c r="F81" s="64">
        <v>2.13</v>
      </c>
      <c r="G81" s="64">
        <v>50.1</v>
      </c>
      <c r="H81" s="64">
        <v>15.97</v>
      </c>
      <c r="I81" s="210" t="s">
        <v>43</v>
      </c>
      <c r="J81" s="64">
        <v>1.54</v>
      </c>
      <c r="K81" s="64">
        <v>307.68</v>
      </c>
      <c r="L81" s="64">
        <v>24.51</v>
      </c>
      <c r="M81" s="64">
        <v>30.8</v>
      </c>
      <c r="N81" s="64">
        <v>74.7</v>
      </c>
      <c r="O81" s="64">
        <v>0</v>
      </c>
      <c r="P81" s="64">
        <v>0.47</v>
      </c>
      <c r="Q81" s="64">
        <v>9.2200000000000006</v>
      </c>
      <c r="R81" s="198"/>
      <c r="S81" s="198"/>
      <c r="T81" s="198"/>
      <c r="U81" s="198"/>
    </row>
    <row r="82" spans="1:26" s="12" customFormat="1" x14ac:dyDescent="0.25">
      <c r="A82" s="213" t="s">
        <v>1373</v>
      </c>
      <c r="B82" s="64">
        <v>6.9</v>
      </c>
      <c r="C82" s="64">
        <v>50.35</v>
      </c>
      <c r="D82" s="64">
        <v>30.46</v>
      </c>
      <c r="E82" s="64">
        <v>7.16</v>
      </c>
      <c r="F82" s="64">
        <v>2.13</v>
      </c>
      <c r="G82" s="64">
        <v>50.1</v>
      </c>
      <c r="H82" s="64">
        <v>15.97</v>
      </c>
      <c r="I82" s="210" t="s">
        <v>43</v>
      </c>
      <c r="J82" s="64">
        <v>1.51</v>
      </c>
      <c r="K82" s="64">
        <v>309.14</v>
      </c>
      <c r="L82" s="64">
        <v>24.16</v>
      </c>
      <c r="M82" s="64">
        <v>30.99</v>
      </c>
      <c r="N82" s="64">
        <v>74.2</v>
      </c>
      <c r="O82" s="64">
        <v>0</v>
      </c>
      <c r="P82" s="64">
        <v>0.48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3" t="s">
        <v>1374</v>
      </c>
      <c r="B83" s="64">
        <v>6.93</v>
      </c>
      <c r="C83" s="64">
        <v>51.38</v>
      </c>
      <c r="D83" s="64">
        <v>31.03</v>
      </c>
      <c r="E83" s="64">
        <v>7.32</v>
      </c>
      <c r="F83" s="64">
        <v>2.13</v>
      </c>
      <c r="G83" s="64">
        <v>50.1</v>
      </c>
      <c r="H83" s="64">
        <v>15.97</v>
      </c>
      <c r="I83" s="210" t="s">
        <v>43</v>
      </c>
      <c r="J83" s="64">
        <v>1.31</v>
      </c>
      <c r="K83" s="64">
        <v>305.99</v>
      </c>
      <c r="L83" s="64">
        <v>23.72</v>
      </c>
      <c r="M83" s="64">
        <v>30.97</v>
      </c>
      <c r="N83" s="64">
        <v>74.2</v>
      </c>
      <c r="O83" s="64">
        <v>0</v>
      </c>
      <c r="P83" s="64">
        <v>0.49</v>
      </c>
      <c r="Q83" s="64">
        <v>9.25</v>
      </c>
      <c r="R83" s="198"/>
      <c r="S83" s="198"/>
      <c r="T83" s="198"/>
      <c r="U83" s="198"/>
    </row>
    <row r="84" spans="1:26" s="12" customFormat="1" x14ac:dyDescent="0.25">
      <c r="A84" s="213" t="s">
        <v>1375</v>
      </c>
      <c r="B84" s="64">
        <v>6.84</v>
      </c>
      <c r="C84" s="64">
        <v>52.54</v>
      </c>
      <c r="D84" s="64">
        <v>31.56</v>
      </c>
      <c r="E84" s="64">
        <v>7.5</v>
      </c>
      <c r="F84" s="64">
        <v>2.13</v>
      </c>
      <c r="G84" s="64">
        <v>49.11</v>
      </c>
      <c r="H84" s="64">
        <v>15.49</v>
      </c>
      <c r="I84" s="210" t="s">
        <v>43</v>
      </c>
      <c r="J84" s="64">
        <v>1.27</v>
      </c>
      <c r="K84" s="64">
        <v>301.86</v>
      </c>
      <c r="L84" s="64">
        <v>23.57</v>
      </c>
      <c r="M84" s="64">
        <v>30.62</v>
      </c>
      <c r="N84" s="64">
        <v>74.099999999999994</v>
      </c>
      <c r="O84" s="64">
        <v>0</v>
      </c>
      <c r="P84" s="64">
        <v>0.5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3" t="s">
        <v>1376</v>
      </c>
      <c r="B85" s="64">
        <v>6.5</v>
      </c>
      <c r="C85" s="64">
        <v>53.86</v>
      </c>
      <c r="D85" s="64">
        <v>31.98</v>
      </c>
      <c r="E85" s="64">
        <v>7.4</v>
      </c>
      <c r="F85" s="64">
        <v>2.13</v>
      </c>
      <c r="G85" s="64">
        <v>46.93</v>
      </c>
      <c r="H85" s="64">
        <v>14.41</v>
      </c>
      <c r="I85" s="210" t="s">
        <v>43</v>
      </c>
      <c r="J85" s="64">
        <v>1.03</v>
      </c>
      <c r="K85" s="64">
        <v>292.5</v>
      </c>
      <c r="L85" s="64">
        <v>23.31</v>
      </c>
      <c r="M85" s="64">
        <v>30.02</v>
      </c>
      <c r="N85" s="64">
        <v>74</v>
      </c>
      <c r="O85" s="64">
        <v>0</v>
      </c>
      <c r="P85" s="64">
        <v>0.51</v>
      </c>
      <c r="Q85" s="64">
        <v>9.27</v>
      </c>
      <c r="R85" s="198"/>
      <c r="S85" s="198"/>
      <c r="T85" s="198"/>
      <c r="U85" s="198"/>
    </row>
    <row r="86" spans="1:26" s="12" customFormat="1" x14ac:dyDescent="0.25">
      <c r="A86" s="213" t="s">
        <v>1377</v>
      </c>
      <c r="B86" s="64">
        <v>6.04</v>
      </c>
      <c r="C86" s="64">
        <v>54.38</v>
      </c>
      <c r="D86" s="64">
        <v>31.88</v>
      </c>
      <c r="E86" s="64">
        <v>7.38</v>
      </c>
      <c r="F86" s="64">
        <v>2.13</v>
      </c>
      <c r="G86" s="64">
        <v>46.93</v>
      </c>
      <c r="H86" s="64">
        <v>14.41</v>
      </c>
      <c r="I86" s="210" t="s">
        <v>43</v>
      </c>
      <c r="J86" s="64">
        <v>0.96</v>
      </c>
      <c r="K86" s="64">
        <v>300.43</v>
      </c>
      <c r="L86" s="64">
        <v>23.11</v>
      </c>
      <c r="M86" s="64">
        <v>30.24</v>
      </c>
      <c r="N86" s="64">
        <v>73.900000000000006</v>
      </c>
      <c r="O86" s="64">
        <v>0</v>
      </c>
      <c r="P86" s="64">
        <v>0.54</v>
      </c>
      <c r="Q86" s="64">
        <v>9.25</v>
      </c>
      <c r="R86" s="198"/>
      <c r="S86" s="198"/>
      <c r="T86" s="198"/>
      <c r="U86" s="198"/>
    </row>
    <row r="87" spans="1:26" s="12" customFormat="1" x14ac:dyDescent="0.25">
      <c r="A87" s="213" t="s">
        <v>1378</v>
      </c>
      <c r="B87" s="64">
        <v>5.92</v>
      </c>
      <c r="C87" s="64">
        <v>54.82</v>
      </c>
      <c r="D87" s="64">
        <v>32.020000000000003</v>
      </c>
      <c r="E87" s="64">
        <v>7.19</v>
      </c>
      <c r="F87" s="64">
        <v>2.13</v>
      </c>
      <c r="G87" s="64">
        <v>46.93</v>
      </c>
      <c r="H87" s="64">
        <v>14.41</v>
      </c>
      <c r="I87" s="210" t="s">
        <v>43</v>
      </c>
      <c r="J87" s="64">
        <v>1.1299999999999999</v>
      </c>
      <c r="K87" s="64">
        <v>305.45999999999998</v>
      </c>
      <c r="L87" s="64">
        <v>22.48</v>
      </c>
      <c r="M87" s="64">
        <v>32.200000000000003</v>
      </c>
      <c r="N87" s="64">
        <v>73.8</v>
      </c>
      <c r="O87" s="64">
        <v>0</v>
      </c>
      <c r="P87" s="64">
        <v>0.56000000000000005</v>
      </c>
      <c r="Q87" s="64">
        <v>9.26</v>
      </c>
      <c r="R87" s="198"/>
      <c r="S87" s="198"/>
      <c r="T87" s="198"/>
      <c r="U87" s="198"/>
    </row>
    <row r="88" spans="1:26" s="12" customFormat="1" x14ac:dyDescent="0.25">
      <c r="A88" s="213" t="s">
        <v>1379</v>
      </c>
      <c r="B88" s="64">
        <v>6.43</v>
      </c>
      <c r="C88" s="64">
        <v>55.25</v>
      </c>
      <c r="D88" s="64">
        <v>32.65</v>
      </c>
      <c r="E88" s="64">
        <v>7.15</v>
      </c>
      <c r="F88" s="64">
        <v>2.13</v>
      </c>
      <c r="G88" s="64">
        <v>45.44</v>
      </c>
      <c r="H88" s="64">
        <v>13.35</v>
      </c>
      <c r="I88" s="210" t="s">
        <v>43</v>
      </c>
      <c r="J88" s="64">
        <v>1.06</v>
      </c>
      <c r="K88" s="64">
        <v>319.83</v>
      </c>
      <c r="L88" s="64">
        <v>21.96</v>
      </c>
      <c r="M88" s="64">
        <v>33.6</v>
      </c>
      <c r="N88" s="64">
        <v>74</v>
      </c>
      <c r="O88" s="64">
        <v>0</v>
      </c>
      <c r="P88" s="64">
        <v>0.63</v>
      </c>
      <c r="Q88" s="64">
        <v>9.2799999999999994</v>
      </c>
      <c r="R88" s="198"/>
      <c r="S88" s="198"/>
      <c r="T88" s="198"/>
      <c r="U88" s="198"/>
    </row>
    <row r="89" spans="1:26" s="12" customFormat="1" x14ac:dyDescent="0.25">
      <c r="A89" s="213" t="s">
        <v>1380</v>
      </c>
      <c r="B89" s="64">
        <v>7.19</v>
      </c>
      <c r="C89" s="64">
        <v>55.79</v>
      </c>
      <c r="D89" s="64">
        <v>33.54</v>
      </c>
      <c r="E89" s="64">
        <v>7.08</v>
      </c>
      <c r="F89" s="64">
        <v>2.13</v>
      </c>
      <c r="G89" s="64">
        <v>42.13</v>
      </c>
      <c r="H89" s="64">
        <v>11.02</v>
      </c>
      <c r="I89" s="210" t="s">
        <v>43</v>
      </c>
      <c r="J89" s="64">
        <v>1.1599999999999999</v>
      </c>
      <c r="K89" s="64">
        <v>316.83999999999997</v>
      </c>
      <c r="L89" s="64">
        <v>21.59</v>
      </c>
      <c r="M89" s="64">
        <v>34.479999999999997</v>
      </c>
      <c r="N89" s="64">
        <v>73.5</v>
      </c>
      <c r="O89" s="64">
        <v>0</v>
      </c>
      <c r="P89" s="64">
        <v>0.62</v>
      </c>
      <c r="Q89" s="64">
        <v>9.32</v>
      </c>
      <c r="R89" s="198"/>
      <c r="S89" s="198"/>
      <c r="T89" s="198"/>
      <c r="U89" s="198"/>
    </row>
    <row r="90" spans="1:26" s="12" customFormat="1" x14ac:dyDescent="0.25">
      <c r="A90" s="213" t="s">
        <v>1381</v>
      </c>
      <c r="B90" s="64">
        <v>8.01</v>
      </c>
      <c r="C90" s="64">
        <v>56.17</v>
      </c>
      <c r="D90" s="64">
        <v>34.39</v>
      </c>
      <c r="E90" s="64">
        <v>7.14</v>
      </c>
      <c r="F90" s="64">
        <v>2.13</v>
      </c>
      <c r="G90" s="64">
        <v>42.13</v>
      </c>
      <c r="H90" s="64">
        <v>11.02</v>
      </c>
      <c r="I90" s="210" t="s">
        <v>43</v>
      </c>
      <c r="J90" s="64">
        <v>1.61</v>
      </c>
      <c r="K90" s="64">
        <v>321.11</v>
      </c>
      <c r="L90" s="64">
        <v>21.33</v>
      </c>
      <c r="M90" s="64">
        <v>35.130000000000003</v>
      </c>
      <c r="N90" s="64">
        <v>73</v>
      </c>
      <c r="O90" s="64">
        <v>0</v>
      </c>
      <c r="P90" s="64">
        <v>0.63</v>
      </c>
      <c r="Q90" s="64">
        <v>9.35</v>
      </c>
      <c r="R90" s="198"/>
      <c r="S90" s="198"/>
      <c r="T90" s="198"/>
      <c r="U90" s="198"/>
    </row>
    <row r="91" spans="1:26" s="12" customFormat="1" x14ac:dyDescent="0.25">
      <c r="A91" s="213" t="s">
        <v>1382</v>
      </c>
      <c r="B91" s="64">
        <v>8.3000000000000007</v>
      </c>
      <c r="C91" s="64">
        <v>56.11</v>
      </c>
      <c r="D91" s="64">
        <v>34.590000000000003</v>
      </c>
      <c r="E91" s="64">
        <v>7.48</v>
      </c>
      <c r="F91" s="64">
        <v>2.13</v>
      </c>
      <c r="G91" s="64">
        <v>42.13</v>
      </c>
      <c r="H91" s="64">
        <v>11.02</v>
      </c>
      <c r="I91" s="210" t="s">
        <v>43</v>
      </c>
      <c r="J91" s="64">
        <v>1.53</v>
      </c>
      <c r="K91" s="64">
        <v>317.16000000000003</v>
      </c>
      <c r="L91" s="64">
        <v>21.3</v>
      </c>
      <c r="M91" s="64">
        <v>35.22</v>
      </c>
      <c r="N91" s="64">
        <v>73.2</v>
      </c>
      <c r="O91" s="64">
        <v>0</v>
      </c>
      <c r="P91" s="64">
        <v>0.64</v>
      </c>
      <c r="Q91" s="64">
        <v>9.3699999999999992</v>
      </c>
      <c r="R91" s="198"/>
      <c r="S91" s="198"/>
      <c r="T91" s="198"/>
      <c r="U91" s="198"/>
    </row>
    <row r="92" spans="1:26" s="12" customFormat="1" x14ac:dyDescent="0.25">
      <c r="A92" s="213" t="s">
        <v>1383</v>
      </c>
      <c r="B92" s="64">
        <v>8.3800000000000008</v>
      </c>
      <c r="C92" s="64">
        <v>55.27</v>
      </c>
      <c r="D92" s="64">
        <v>34.22</v>
      </c>
      <c r="E92" s="64">
        <v>7.19</v>
      </c>
      <c r="F92" s="64">
        <v>2.13</v>
      </c>
      <c r="G92" s="64">
        <v>43.47</v>
      </c>
      <c r="H92" s="64">
        <v>11.03</v>
      </c>
      <c r="I92" s="210" t="s">
        <v>43</v>
      </c>
      <c r="J92" s="64">
        <v>1.03</v>
      </c>
      <c r="K92" s="64">
        <v>316.89</v>
      </c>
      <c r="L92" s="64">
        <v>21.11</v>
      </c>
      <c r="M92" s="64">
        <v>35.82</v>
      </c>
      <c r="N92" s="64">
        <v>74.099999999999994</v>
      </c>
      <c r="O92" s="64">
        <v>0</v>
      </c>
      <c r="P92" s="64">
        <v>0.72</v>
      </c>
      <c r="Q92" s="64">
        <v>9.3699999999999992</v>
      </c>
      <c r="R92" s="198"/>
      <c r="S92" s="198"/>
      <c r="T92" s="198"/>
      <c r="U92" s="198"/>
    </row>
    <row r="93" spans="1:26" s="12" customFormat="1" x14ac:dyDescent="0.25">
      <c r="A93" s="213" t="s">
        <v>1384</v>
      </c>
      <c r="B93" s="64">
        <v>9.31</v>
      </c>
      <c r="C93" s="64">
        <v>53.51</v>
      </c>
      <c r="D93" s="64">
        <v>34.049999999999997</v>
      </c>
      <c r="E93" s="64">
        <v>6.6</v>
      </c>
      <c r="F93" s="64">
        <v>2.13</v>
      </c>
      <c r="G93" s="64">
        <v>46.44</v>
      </c>
      <c r="H93" s="64">
        <v>11.04</v>
      </c>
      <c r="I93" s="210" t="s">
        <v>43</v>
      </c>
      <c r="J93" s="64">
        <v>1.01</v>
      </c>
      <c r="K93" s="64">
        <v>316.17</v>
      </c>
      <c r="L93" s="64">
        <v>20.83</v>
      </c>
      <c r="M93" s="64">
        <v>36.9</v>
      </c>
      <c r="N93" s="64">
        <v>74</v>
      </c>
      <c r="O93" s="64">
        <v>0</v>
      </c>
      <c r="P93" s="64">
        <v>0.77</v>
      </c>
      <c r="Q93" s="64">
        <v>9.3800000000000008</v>
      </c>
      <c r="R93" s="198"/>
      <c r="S93" s="198"/>
      <c r="T93" s="198"/>
      <c r="U93" s="198"/>
    </row>
    <row r="94" spans="1:26" s="12" customFormat="1" x14ac:dyDescent="0.25">
      <c r="A94" s="213" t="s">
        <v>1385</v>
      </c>
      <c r="B94" s="64">
        <v>10.84</v>
      </c>
      <c r="C94" s="64">
        <v>53.84</v>
      </c>
      <c r="D94" s="64">
        <v>35.44</v>
      </c>
      <c r="E94" s="64">
        <v>6.6</v>
      </c>
      <c r="F94" s="64">
        <v>2.13</v>
      </c>
      <c r="G94" s="64">
        <v>46.44</v>
      </c>
      <c r="H94" s="64">
        <v>11.04</v>
      </c>
      <c r="I94" s="210" t="s">
        <v>43</v>
      </c>
      <c r="J94" s="64">
        <v>0.98</v>
      </c>
      <c r="K94" s="64">
        <v>330.61</v>
      </c>
      <c r="L94" s="64">
        <v>20.38</v>
      </c>
      <c r="M94" s="64">
        <v>38.61</v>
      </c>
      <c r="N94" s="64">
        <v>74.2</v>
      </c>
      <c r="O94" s="64">
        <v>0</v>
      </c>
      <c r="P94" s="64">
        <v>0.83</v>
      </c>
      <c r="Q94" s="64">
        <v>9.42</v>
      </c>
      <c r="R94" s="198"/>
      <c r="S94" s="198"/>
      <c r="T94" s="198"/>
      <c r="U94" s="198"/>
    </row>
    <row r="95" spans="1:26" s="12" customFormat="1" x14ac:dyDescent="0.25">
      <c r="A95" s="213" t="s">
        <v>1386</v>
      </c>
      <c r="B95" s="64">
        <v>12.5</v>
      </c>
      <c r="C95" s="64">
        <v>54.11</v>
      </c>
      <c r="D95" s="64">
        <v>36.92</v>
      </c>
      <c r="E95" s="64">
        <v>6.9</v>
      </c>
      <c r="F95" s="64">
        <v>2.13</v>
      </c>
      <c r="G95" s="64">
        <v>46.44</v>
      </c>
      <c r="H95" s="64">
        <v>11.04</v>
      </c>
      <c r="I95" s="210" t="s">
        <v>43</v>
      </c>
      <c r="J95" s="64">
        <v>0.85</v>
      </c>
      <c r="K95" s="64">
        <v>344.25</v>
      </c>
      <c r="L95" s="64">
        <v>19.989999999999998</v>
      </c>
      <c r="M95" s="64">
        <v>39.58</v>
      </c>
      <c r="N95" s="64">
        <v>74.3</v>
      </c>
      <c r="O95" s="64">
        <v>0</v>
      </c>
      <c r="P95" s="64">
        <v>0.83</v>
      </c>
      <c r="Q95" s="64">
        <v>9.4700000000000006</v>
      </c>
      <c r="R95" s="198"/>
      <c r="S95" s="198"/>
      <c r="T95" s="198"/>
      <c r="U95" s="198"/>
    </row>
    <row r="96" spans="1:26" s="12" customFormat="1" x14ac:dyDescent="0.25">
      <c r="A96" s="213" t="s">
        <v>1387</v>
      </c>
      <c r="B96" s="64">
        <v>14.42</v>
      </c>
      <c r="C96" s="64">
        <v>54.2</v>
      </c>
      <c r="D96" s="64">
        <v>38.5</v>
      </c>
      <c r="E96" s="64">
        <v>6.77</v>
      </c>
      <c r="F96" s="64">
        <v>2.13</v>
      </c>
      <c r="G96" s="64">
        <v>47.48</v>
      </c>
      <c r="H96" s="64">
        <v>11.7</v>
      </c>
      <c r="I96" s="210" t="s">
        <v>43</v>
      </c>
      <c r="J96" s="64">
        <v>0.7</v>
      </c>
      <c r="K96" s="64">
        <v>356.04</v>
      </c>
      <c r="L96" s="64">
        <v>19.77</v>
      </c>
      <c r="M96" s="64">
        <v>39.47</v>
      </c>
      <c r="N96" s="64">
        <v>74.7</v>
      </c>
      <c r="O96" s="64">
        <v>0</v>
      </c>
      <c r="P96" s="64">
        <v>1.01</v>
      </c>
      <c r="Q96" s="64">
        <v>9.4600000000000009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1388</v>
      </c>
      <c r="B97" s="64">
        <v>16.239999999999998</v>
      </c>
      <c r="C97" s="64">
        <v>54.22</v>
      </c>
      <c r="D97" s="64">
        <v>39.97</v>
      </c>
      <c r="E97" s="64">
        <v>7.16</v>
      </c>
      <c r="F97" s="64">
        <v>2.13</v>
      </c>
      <c r="G97" s="64">
        <v>49.77</v>
      </c>
      <c r="H97" s="64">
        <v>13.17</v>
      </c>
      <c r="I97" s="210" t="s">
        <v>43</v>
      </c>
      <c r="J97" s="64">
        <v>1.02</v>
      </c>
      <c r="K97" s="64">
        <v>352.6</v>
      </c>
      <c r="L97" s="64">
        <v>19.68</v>
      </c>
      <c r="M97" s="64">
        <v>40.11</v>
      </c>
      <c r="N97" s="64">
        <v>74</v>
      </c>
      <c r="O97" s="64">
        <v>0</v>
      </c>
      <c r="P97" s="64">
        <v>0.85</v>
      </c>
      <c r="Q97" s="64">
        <v>9.49</v>
      </c>
      <c r="R97" s="198"/>
      <c r="S97" s="198"/>
      <c r="T97" s="198"/>
      <c r="U97" s="198"/>
    </row>
    <row r="98" spans="1:33" s="12" customFormat="1" x14ac:dyDescent="0.25">
      <c r="A98" s="213" t="s">
        <v>1389</v>
      </c>
      <c r="B98" s="64">
        <v>17.75</v>
      </c>
      <c r="C98" s="64">
        <v>54.35</v>
      </c>
      <c r="D98" s="64">
        <v>41.25</v>
      </c>
      <c r="E98" s="64">
        <v>7.13</v>
      </c>
      <c r="F98" s="64">
        <v>2.13</v>
      </c>
      <c r="G98" s="64">
        <v>49.77</v>
      </c>
      <c r="H98" s="64">
        <v>13.17</v>
      </c>
      <c r="I98" s="210" t="s">
        <v>43</v>
      </c>
      <c r="J98" s="64">
        <v>0.99</v>
      </c>
      <c r="K98" s="64">
        <v>356.37</v>
      </c>
      <c r="L98" s="64">
        <v>19.309999999999999</v>
      </c>
      <c r="M98" s="64">
        <v>41.55</v>
      </c>
      <c r="N98" s="64">
        <v>74.3</v>
      </c>
      <c r="O98" s="64">
        <v>0</v>
      </c>
      <c r="P98" s="64">
        <v>0.9</v>
      </c>
      <c r="Q98" s="64">
        <v>9.4600000000000009</v>
      </c>
      <c r="R98" s="198"/>
      <c r="S98" s="198"/>
      <c r="T98" s="198"/>
      <c r="U98" s="198"/>
    </row>
    <row r="99" spans="1:33" s="12" customFormat="1" x14ac:dyDescent="0.25">
      <c r="A99" s="213" t="s">
        <v>1390</v>
      </c>
      <c r="B99" s="64">
        <v>19.43</v>
      </c>
      <c r="C99" s="64">
        <v>54.76</v>
      </c>
      <c r="D99" s="64">
        <v>42.82</v>
      </c>
      <c r="E99" s="64">
        <v>6.63</v>
      </c>
      <c r="F99" s="64">
        <v>2.13</v>
      </c>
      <c r="G99" s="64">
        <v>49.77</v>
      </c>
      <c r="H99" s="64">
        <v>13.17</v>
      </c>
      <c r="I99" s="210" t="s">
        <v>43</v>
      </c>
      <c r="J99" s="64">
        <v>0.98</v>
      </c>
      <c r="K99" s="64">
        <v>339.61</v>
      </c>
      <c r="L99" s="64">
        <v>19.329999999999998</v>
      </c>
      <c r="M99" s="64">
        <v>41.29</v>
      </c>
      <c r="N99" s="64">
        <v>74.099999999999994</v>
      </c>
      <c r="O99" s="64">
        <v>0</v>
      </c>
      <c r="P99" s="64">
        <v>0.79</v>
      </c>
      <c r="Q99" s="64">
        <v>9.48</v>
      </c>
      <c r="R99" s="198"/>
      <c r="S99" s="198"/>
      <c r="T99" s="198"/>
      <c r="U99" s="198"/>
    </row>
    <row r="100" spans="1:33" s="12" customFormat="1" x14ac:dyDescent="0.25">
      <c r="A100" s="213" t="s">
        <v>1391</v>
      </c>
      <c r="B100" s="64">
        <v>20.32</v>
      </c>
      <c r="C100" s="64">
        <v>54.83</v>
      </c>
      <c r="D100" s="64">
        <v>43.57</v>
      </c>
      <c r="E100" s="64">
        <v>7.39</v>
      </c>
      <c r="F100" s="64">
        <v>2.13</v>
      </c>
      <c r="G100" s="64">
        <v>52.21</v>
      </c>
      <c r="H100" s="64">
        <v>14.97</v>
      </c>
      <c r="I100" s="210" t="s">
        <v>43</v>
      </c>
      <c r="J100" s="64">
        <v>1.4</v>
      </c>
      <c r="K100" s="64">
        <v>343.07</v>
      </c>
      <c r="L100" s="64">
        <v>19.440000000000001</v>
      </c>
      <c r="M100" s="64">
        <v>41.21</v>
      </c>
      <c r="N100" s="64">
        <v>73.5</v>
      </c>
      <c r="O100" s="64">
        <v>0</v>
      </c>
      <c r="P100" s="64">
        <v>0.78</v>
      </c>
      <c r="Q100" s="64">
        <v>9.49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1392</v>
      </c>
      <c r="B101" s="64">
        <v>20.14</v>
      </c>
      <c r="C101" s="64">
        <v>55.25</v>
      </c>
      <c r="D101" s="64">
        <v>43.64</v>
      </c>
      <c r="E101" s="64">
        <v>7.28</v>
      </c>
      <c r="F101" s="64">
        <v>2.13</v>
      </c>
      <c r="G101" s="64">
        <v>57.6</v>
      </c>
      <c r="H101" s="64">
        <v>18.95</v>
      </c>
      <c r="I101" s="210" t="s">
        <v>43</v>
      </c>
      <c r="J101" s="64">
        <v>1.67</v>
      </c>
      <c r="K101" s="64">
        <v>334.35</v>
      </c>
      <c r="L101" s="64">
        <v>19.32</v>
      </c>
      <c r="M101" s="64">
        <v>41.71</v>
      </c>
      <c r="N101" s="64">
        <v>73.900000000000006</v>
      </c>
      <c r="O101" s="64">
        <v>0</v>
      </c>
      <c r="P101" s="64">
        <v>0.78</v>
      </c>
      <c r="Q101" s="64">
        <v>9.5</v>
      </c>
      <c r="R101" s="198"/>
      <c r="S101" s="198"/>
      <c r="T101" s="198"/>
      <c r="U101" s="198"/>
    </row>
    <row r="102" spans="1:33" s="12" customFormat="1" x14ac:dyDescent="0.25">
      <c r="A102" s="213" t="s">
        <v>1393</v>
      </c>
      <c r="B102" s="64">
        <v>18.97</v>
      </c>
      <c r="C102" s="64">
        <v>55.25</v>
      </c>
      <c r="D102" s="64">
        <v>42.7</v>
      </c>
      <c r="E102" s="64">
        <v>7.41</v>
      </c>
      <c r="F102" s="64">
        <v>2.13</v>
      </c>
      <c r="G102" s="64">
        <v>57.6</v>
      </c>
      <c r="H102" s="64">
        <v>18.95</v>
      </c>
      <c r="I102" s="210" t="s">
        <v>43</v>
      </c>
      <c r="J102" s="64">
        <v>1.64</v>
      </c>
      <c r="K102" s="64">
        <v>333.81</v>
      </c>
      <c r="L102" s="64">
        <v>18.96</v>
      </c>
      <c r="M102" s="64">
        <v>42.75</v>
      </c>
      <c r="N102" s="64">
        <v>74.3</v>
      </c>
      <c r="O102" s="64">
        <v>0</v>
      </c>
      <c r="P102" s="64">
        <v>0.77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13" t="s">
        <v>1394</v>
      </c>
      <c r="B103" s="64">
        <v>17.690000000000001</v>
      </c>
      <c r="C103" s="64">
        <v>55.52</v>
      </c>
      <c r="D103" s="64">
        <v>41.82</v>
      </c>
      <c r="E103" s="64">
        <v>7.49</v>
      </c>
      <c r="F103" s="64">
        <v>2.13</v>
      </c>
      <c r="G103" s="64">
        <v>57.6</v>
      </c>
      <c r="H103" s="64">
        <v>18.95</v>
      </c>
      <c r="I103" s="210" t="s">
        <v>43</v>
      </c>
      <c r="J103" s="64">
        <v>1.3</v>
      </c>
      <c r="K103" s="64">
        <v>333.97</v>
      </c>
      <c r="L103" s="64">
        <v>18.57</v>
      </c>
      <c r="M103" s="64">
        <v>44.27</v>
      </c>
      <c r="N103" s="64">
        <v>74.599999999999994</v>
      </c>
      <c r="O103" s="64">
        <v>0</v>
      </c>
      <c r="P103" s="64">
        <v>0.77</v>
      </c>
      <c r="Q103" s="64">
        <v>9.5399999999999991</v>
      </c>
      <c r="R103" s="198"/>
      <c r="S103" s="198"/>
      <c r="T103" s="198"/>
      <c r="U103" s="198"/>
    </row>
    <row r="104" spans="1:33" s="12" customFormat="1" x14ac:dyDescent="0.25">
      <c r="A104" s="213" t="s">
        <v>1395</v>
      </c>
      <c r="B104" s="64">
        <v>17.13</v>
      </c>
      <c r="C104" s="64">
        <v>55.44</v>
      </c>
      <c r="D104" s="64">
        <v>41.32</v>
      </c>
      <c r="E104" s="64">
        <v>5.17</v>
      </c>
      <c r="F104" s="64">
        <v>2.13</v>
      </c>
      <c r="G104" s="64">
        <v>60.56</v>
      </c>
      <c r="H104" s="64">
        <v>19.02</v>
      </c>
      <c r="I104" s="210" t="s">
        <v>43</v>
      </c>
      <c r="J104" s="64">
        <v>0.99</v>
      </c>
      <c r="K104" s="64">
        <v>337.74</v>
      </c>
      <c r="L104" s="64">
        <v>18.420000000000002</v>
      </c>
      <c r="M104" s="64">
        <v>45.11</v>
      </c>
      <c r="N104" s="64">
        <v>74.8</v>
      </c>
      <c r="O104" s="64">
        <v>0</v>
      </c>
      <c r="P104" s="64">
        <v>0.78</v>
      </c>
      <c r="Q104" s="64">
        <v>9.5500000000000007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3.87</v>
      </c>
      <c r="C106" s="67">
        <f>MIN(C9:C104)</f>
        <v>44.61</v>
      </c>
      <c r="D106" s="67">
        <f t="shared" ref="D106:Q106" si="0">MIN(D9:D104)</f>
        <v>27.34</v>
      </c>
      <c r="E106" s="67">
        <f t="shared" si="0"/>
        <v>5.17</v>
      </c>
      <c r="F106" s="67">
        <f t="shared" si="0"/>
        <v>2.13</v>
      </c>
      <c r="G106" s="67">
        <f t="shared" si="0"/>
        <v>42.13</v>
      </c>
      <c r="H106" s="67">
        <f t="shared" si="0"/>
        <v>11.02</v>
      </c>
      <c r="I106" s="67">
        <f t="shared" si="0"/>
        <v>0</v>
      </c>
      <c r="J106" s="67">
        <f t="shared" si="0"/>
        <v>0.21</v>
      </c>
      <c r="K106" s="67">
        <f t="shared" si="0"/>
        <v>37.15</v>
      </c>
      <c r="L106" s="67">
        <f t="shared" si="0"/>
        <v>17.18</v>
      </c>
      <c r="M106" s="67">
        <f t="shared" si="0"/>
        <v>22.84</v>
      </c>
      <c r="N106" s="67">
        <f t="shared" si="0"/>
        <v>73</v>
      </c>
      <c r="O106" s="67">
        <f t="shared" si="0"/>
        <v>0</v>
      </c>
      <c r="P106" s="67">
        <f t="shared" si="0"/>
        <v>0.44</v>
      </c>
      <c r="Q106" s="67">
        <f t="shared" si="0"/>
        <v>9.14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82.27</v>
      </c>
      <c r="C107" s="66">
        <f t="shared" ref="C107:Q107" si="1">MAX(C9:C104)</f>
        <v>61.51</v>
      </c>
      <c r="D107" s="66">
        <f t="shared" si="1"/>
        <v>93.55</v>
      </c>
      <c r="E107" s="66">
        <f t="shared" si="1"/>
        <v>8.27</v>
      </c>
      <c r="F107" s="66">
        <f t="shared" si="1"/>
        <v>3.84</v>
      </c>
      <c r="G107" s="66">
        <f t="shared" si="1"/>
        <v>129.47999999999999</v>
      </c>
      <c r="H107" s="66">
        <f t="shared" si="1"/>
        <v>51.54</v>
      </c>
      <c r="I107" s="66">
        <f t="shared" si="1"/>
        <v>0</v>
      </c>
      <c r="J107" s="66">
        <f t="shared" si="1"/>
        <v>2.42</v>
      </c>
      <c r="K107" s="66">
        <f t="shared" si="1"/>
        <v>356.57</v>
      </c>
      <c r="L107" s="66">
        <f t="shared" si="1"/>
        <v>32.619999999999997</v>
      </c>
      <c r="M107" s="66">
        <f t="shared" si="1"/>
        <v>85.65</v>
      </c>
      <c r="N107" s="66">
        <f t="shared" si="1"/>
        <v>857.3</v>
      </c>
      <c r="O107" s="66">
        <f t="shared" si="1"/>
        <v>0</v>
      </c>
      <c r="P107" s="66">
        <f t="shared" si="1"/>
        <v>1.43</v>
      </c>
      <c r="Q107" s="66">
        <f t="shared" si="1"/>
        <v>9.8800000000000008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24.116354166666667</v>
      </c>
      <c r="C108" s="67">
        <f t="shared" ref="C108:Q108" si="2">AVERAGE(C9:C104)</f>
        <v>53.393645833333345</v>
      </c>
      <c r="D108" s="67">
        <f t="shared" si="2"/>
        <v>45.858854166666653</v>
      </c>
      <c r="E108" s="67">
        <f t="shared" si="2"/>
        <v>6.8111458333333346</v>
      </c>
      <c r="F108" s="67">
        <f t="shared" si="2"/>
        <v>2.3562499999999988</v>
      </c>
      <c r="G108" s="67">
        <f t="shared" si="2"/>
        <v>77.36093750000002</v>
      </c>
      <c r="H108" s="67">
        <f t="shared" si="2"/>
        <v>27.936666666666653</v>
      </c>
      <c r="I108" s="67" t="e">
        <f t="shared" si="2"/>
        <v>#DIV/0!</v>
      </c>
      <c r="J108" s="67">
        <f t="shared" si="2"/>
        <v>1.0810416666666667</v>
      </c>
      <c r="K108" s="67">
        <f t="shared" si="2"/>
        <v>289.08458333333334</v>
      </c>
      <c r="L108" s="67">
        <f t="shared" si="2"/>
        <v>23.030416666666667</v>
      </c>
      <c r="M108" s="67">
        <f t="shared" si="2"/>
        <v>49.911458333333321</v>
      </c>
      <c r="N108" s="67">
        <f t="shared" si="2"/>
        <v>261.54166666666657</v>
      </c>
      <c r="O108" s="67">
        <f t="shared" si="2"/>
        <v>0</v>
      </c>
      <c r="P108" s="67">
        <f t="shared" si="2"/>
        <v>0.75208333333333355</v>
      </c>
      <c r="Q108" s="67">
        <f t="shared" si="2"/>
        <v>9.4955208333333321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22.882398067178727</v>
      </c>
      <c r="C109" s="67">
        <f t="shared" ref="C109:Q109" si="3">STDEV(C9:C104)</f>
        <v>3.5217448186917877</v>
      </c>
      <c r="D109" s="67">
        <f t="shared" si="3"/>
        <v>17.999941044920508</v>
      </c>
      <c r="E109" s="67">
        <f t="shared" si="3"/>
        <v>0.78545711771676652</v>
      </c>
      <c r="F109" s="67">
        <f t="shared" si="3"/>
        <v>0.43965117752001875</v>
      </c>
      <c r="G109" s="67">
        <f t="shared" si="3"/>
        <v>24.043951338204394</v>
      </c>
      <c r="H109" s="67">
        <f t="shared" si="3"/>
        <v>11.062573571962739</v>
      </c>
      <c r="I109" s="67" t="e">
        <f t="shared" si="3"/>
        <v>#DIV/0!</v>
      </c>
      <c r="J109" s="67">
        <f t="shared" si="3"/>
        <v>0.48073732660672641</v>
      </c>
      <c r="K109" s="67">
        <f t="shared" si="3"/>
        <v>56.911175110483647</v>
      </c>
      <c r="L109" s="67">
        <f t="shared" si="3"/>
        <v>5.0127366024572133</v>
      </c>
      <c r="M109" s="67">
        <f t="shared" si="3"/>
        <v>21.320873783771393</v>
      </c>
      <c r="N109" s="67">
        <f t="shared" si="3"/>
        <v>273.8318245572471</v>
      </c>
      <c r="O109" s="67">
        <f t="shared" si="3"/>
        <v>0</v>
      </c>
      <c r="P109" s="67">
        <f t="shared" si="3"/>
        <v>0.22377581199738225</v>
      </c>
      <c r="Q109" s="67">
        <f t="shared" si="3"/>
        <v>0.22308303760408729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1396</v>
      </c>
      <c r="B9" s="64">
        <v>16.84</v>
      </c>
      <c r="C9" s="64">
        <v>54.95</v>
      </c>
      <c r="D9" s="64">
        <v>40.83</v>
      </c>
      <c r="E9" s="64">
        <v>5.29</v>
      </c>
      <c r="F9" s="64">
        <v>2.13</v>
      </c>
      <c r="G9" s="64">
        <v>67.11</v>
      </c>
      <c r="H9" s="64">
        <v>19.18</v>
      </c>
      <c r="I9" s="214" t="s">
        <v>43</v>
      </c>
      <c r="J9" s="64">
        <v>1.66</v>
      </c>
      <c r="K9" s="64">
        <v>348.97</v>
      </c>
      <c r="L9" s="64">
        <v>18.670000000000002</v>
      </c>
      <c r="M9" s="64">
        <v>41.42</v>
      </c>
      <c r="N9" s="64">
        <v>73.3</v>
      </c>
      <c r="O9" s="64">
        <v>0</v>
      </c>
      <c r="P9" s="64">
        <v>0.77</v>
      </c>
      <c r="Q9" s="64">
        <v>9.52</v>
      </c>
      <c r="R9" s="198"/>
      <c r="S9" s="198"/>
      <c r="T9" s="198"/>
      <c r="U9" s="198"/>
    </row>
    <row r="10" spans="1:21" s="12" customFormat="1" x14ac:dyDescent="0.25">
      <c r="A10" s="213" t="s">
        <v>1397</v>
      </c>
      <c r="B10" s="64">
        <v>16.100000000000001</v>
      </c>
      <c r="C10" s="64">
        <v>54.37</v>
      </c>
      <c r="D10" s="64">
        <v>39.94</v>
      </c>
      <c r="E10" s="64">
        <v>5.1100000000000003</v>
      </c>
      <c r="F10" s="64">
        <v>2.13</v>
      </c>
      <c r="G10" s="64">
        <v>67.11</v>
      </c>
      <c r="H10" s="64">
        <v>19.18</v>
      </c>
      <c r="I10" s="214" t="s">
        <v>43</v>
      </c>
      <c r="J10" s="64">
        <v>1.83</v>
      </c>
      <c r="K10" s="64">
        <v>350.94</v>
      </c>
      <c r="L10" s="64">
        <v>18.95</v>
      </c>
      <c r="M10" s="64">
        <v>38.26</v>
      </c>
      <c r="N10" s="64">
        <v>73.8</v>
      </c>
      <c r="O10" s="64">
        <v>0</v>
      </c>
      <c r="P10" s="64">
        <v>0.76</v>
      </c>
      <c r="Q10" s="64">
        <v>9.5399999999999991</v>
      </c>
      <c r="R10" s="198"/>
      <c r="S10" s="198"/>
      <c r="T10" s="198"/>
      <c r="U10" s="198"/>
    </row>
    <row r="11" spans="1:21" s="12" customFormat="1" x14ac:dyDescent="0.25">
      <c r="A11" s="213" t="s">
        <v>1398</v>
      </c>
      <c r="B11" s="64">
        <v>15.01</v>
      </c>
      <c r="C11" s="64">
        <v>53.67</v>
      </c>
      <c r="D11" s="64">
        <v>38.700000000000003</v>
      </c>
      <c r="E11" s="64">
        <v>5.4</v>
      </c>
      <c r="F11" s="64">
        <v>2.13</v>
      </c>
      <c r="G11" s="64">
        <v>67.11</v>
      </c>
      <c r="H11" s="64">
        <v>19.18</v>
      </c>
      <c r="I11" s="214" t="s">
        <v>43</v>
      </c>
      <c r="J11" s="64">
        <v>1.69</v>
      </c>
      <c r="K11" s="64">
        <v>346.65</v>
      </c>
      <c r="L11" s="64">
        <v>18.79</v>
      </c>
      <c r="M11" s="64">
        <v>38.47</v>
      </c>
      <c r="N11" s="64">
        <v>74.400000000000006</v>
      </c>
      <c r="O11" s="64">
        <v>0</v>
      </c>
      <c r="P11" s="64">
        <v>0.74</v>
      </c>
      <c r="Q11" s="64">
        <v>9.56</v>
      </c>
      <c r="R11" s="198"/>
      <c r="S11" s="198"/>
      <c r="T11" s="198"/>
      <c r="U11" s="198"/>
    </row>
    <row r="12" spans="1:21" s="12" customFormat="1" x14ac:dyDescent="0.25">
      <c r="A12" s="213" t="s">
        <v>1399</v>
      </c>
      <c r="B12" s="64">
        <v>13.84</v>
      </c>
      <c r="C12" s="64">
        <v>52.9</v>
      </c>
      <c r="D12" s="64">
        <v>37.36</v>
      </c>
      <c r="E12" s="64">
        <v>5.05</v>
      </c>
      <c r="F12" s="64">
        <v>2.13</v>
      </c>
      <c r="G12" s="64">
        <v>68.38</v>
      </c>
      <c r="H12" s="64">
        <v>21.01</v>
      </c>
      <c r="I12" s="214" t="s">
        <v>43</v>
      </c>
      <c r="J12" s="64">
        <v>1.45</v>
      </c>
      <c r="K12" s="64">
        <v>346.8</v>
      </c>
      <c r="L12" s="64">
        <v>18.559999999999999</v>
      </c>
      <c r="M12" s="64">
        <v>38.729999999999997</v>
      </c>
      <c r="N12" s="64">
        <v>74.599999999999994</v>
      </c>
      <c r="O12" s="64">
        <v>0</v>
      </c>
      <c r="P12" s="64">
        <v>0.73</v>
      </c>
      <c r="Q12" s="64">
        <v>9.5500000000000007</v>
      </c>
      <c r="R12" s="198"/>
      <c r="S12" s="198"/>
      <c r="T12" s="198"/>
      <c r="U12" s="198"/>
    </row>
    <row r="13" spans="1:21" s="12" customFormat="1" x14ac:dyDescent="0.25">
      <c r="A13" s="213" t="s">
        <v>1400</v>
      </c>
      <c r="B13" s="64">
        <v>13.11</v>
      </c>
      <c r="C13" s="64">
        <v>52.29</v>
      </c>
      <c r="D13" s="64">
        <v>36.450000000000003</v>
      </c>
      <c r="E13" s="64">
        <v>5.46</v>
      </c>
      <c r="F13" s="64">
        <v>2.13</v>
      </c>
      <c r="G13" s="64">
        <v>71.2</v>
      </c>
      <c r="H13" s="64">
        <v>25.05</v>
      </c>
      <c r="I13" s="214" t="s">
        <v>43</v>
      </c>
      <c r="J13" s="64">
        <v>1.52</v>
      </c>
      <c r="K13" s="64">
        <v>352.29</v>
      </c>
      <c r="L13" s="64">
        <v>18.36</v>
      </c>
      <c r="M13" s="64">
        <v>38.81</v>
      </c>
      <c r="N13" s="64">
        <v>74.400000000000006</v>
      </c>
      <c r="O13" s="64">
        <v>0</v>
      </c>
      <c r="P13" s="64">
        <v>0.65</v>
      </c>
      <c r="Q13" s="64">
        <v>9.52</v>
      </c>
      <c r="R13" s="198"/>
      <c r="S13" s="198"/>
      <c r="T13" s="198"/>
      <c r="U13" s="198"/>
    </row>
    <row r="14" spans="1:21" s="12" customFormat="1" x14ac:dyDescent="0.25">
      <c r="A14" s="213" t="s">
        <v>1401</v>
      </c>
      <c r="B14" s="64">
        <v>12.5</v>
      </c>
      <c r="C14" s="64">
        <v>49.79</v>
      </c>
      <c r="D14" s="64">
        <v>34.659999999999997</v>
      </c>
      <c r="E14" s="64">
        <v>5.19</v>
      </c>
      <c r="F14" s="64">
        <v>2.13</v>
      </c>
      <c r="G14" s="64">
        <v>71.2</v>
      </c>
      <c r="H14" s="64">
        <v>25.05</v>
      </c>
      <c r="I14" s="214" t="s">
        <v>43</v>
      </c>
      <c r="J14" s="64">
        <v>1.7</v>
      </c>
      <c r="K14" s="64">
        <v>351.96</v>
      </c>
      <c r="L14" s="64">
        <v>18.37</v>
      </c>
      <c r="M14" s="64">
        <v>37.770000000000003</v>
      </c>
      <c r="N14" s="64">
        <v>74.3</v>
      </c>
      <c r="O14" s="64">
        <v>0</v>
      </c>
      <c r="P14" s="64">
        <v>0.6</v>
      </c>
      <c r="Q14" s="64">
        <v>9.5399999999999991</v>
      </c>
      <c r="R14" s="198"/>
      <c r="S14" s="198"/>
      <c r="T14" s="198"/>
      <c r="U14" s="198"/>
    </row>
    <row r="15" spans="1:21" s="12" customFormat="1" x14ac:dyDescent="0.25">
      <c r="A15" s="213" t="s">
        <v>1402</v>
      </c>
      <c r="B15" s="64">
        <v>11.92</v>
      </c>
      <c r="C15" s="64">
        <v>49.03</v>
      </c>
      <c r="D15" s="64">
        <v>33.799999999999997</v>
      </c>
      <c r="E15" s="64">
        <v>4.91</v>
      </c>
      <c r="F15" s="64">
        <v>2.13</v>
      </c>
      <c r="G15" s="64">
        <v>71.2</v>
      </c>
      <c r="H15" s="64">
        <v>25.05</v>
      </c>
      <c r="I15" s="214" t="s">
        <v>43</v>
      </c>
      <c r="J15" s="64">
        <v>1.71</v>
      </c>
      <c r="K15" s="64">
        <v>351.28</v>
      </c>
      <c r="L15" s="64">
        <v>18.239999999999998</v>
      </c>
      <c r="M15" s="64">
        <v>38.369999999999997</v>
      </c>
      <c r="N15" s="64">
        <v>74.400000000000006</v>
      </c>
      <c r="O15" s="64">
        <v>0</v>
      </c>
      <c r="P15" s="64">
        <v>0.6</v>
      </c>
      <c r="Q15" s="64">
        <v>9.4700000000000006</v>
      </c>
      <c r="R15" s="198"/>
      <c r="S15" s="198"/>
      <c r="T15" s="198"/>
      <c r="U15" s="198"/>
    </row>
    <row r="16" spans="1:21" s="12" customFormat="1" x14ac:dyDescent="0.25">
      <c r="A16" s="213" t="s">
        <v>1403</v>
      </c>
      <c r="B16" s="64">
        <v>11.49</v>
      </c>
      <c r="C16" s="64">
        <v>48.96</v>
      </c>
      <c r="D16" s="64">
        <v>33.409999999999997</v>
      </c>
      <c r="E16" s="64">
        <v>5.01</v>
      </c>
      <c r="F16" s="64">
        <v>2.13</v>
      </c>
      <c r="G16" s="64">
        <v>69.64</v>
      </c>
      <c r="H16" s="64">
        <v>27.75</v>
      </c>
      <c r="I16" s="214" t="s">
        <v>43</v>
      </c>
      <c r="J16" s="64">
        <v>1.77</v>
      </c>
      <c r="K16" s="64">
        <v>345.01</v>
      </c>
      <c r="L16" s="64">
        <v>18.02</v>
      </c>
      <c r="M16" s="64">
        <v>39.24</v>
      </c>
      <c r="N16" s="64">
        <v>74.5</v>
      </c>
      <c r="O16" s="64">
        <v>0</v>
      </c>
      <c r="P16" s="64">
        <v>0.55000000000000004</v>
      </c>
      <c r="Q16" s="64">
        <v>9.44</v>
      </c>
      <c r="R16" s="198"/>
      <c r="S16" s="198"/>
      <c r="T16" s="198"/>
      <c r="U16" s="198"/>
    </row>
    <row r="17" spans="1:21" s="12" customFormat="1" x14ac:dyDescent="0.25">
      <c r="A17" s="213" t="s">
        <v>1404</v>
      </c>
      <c r="B17" s="64">
        <v>11.08</v>
      </c>
      <c r="C17" s="64">
        <v>48.6</v>
      </c>
      <c r="D17" s="64">
        <v>32.9</v>
      </c>
      <c r="E17" s="64">
        <v>4.9800000000000004</v>
      </c>
      <c r="F17" s="64">
        <v>2.13</v>
      </c>
      <c r="G17" s="64">
        <v>66.010000000000005</v>
      </c>
      <c r="H17" s="64">
        <v>33.72</v>
      </c>
      <c r="I17" s="214" t="s">
        <v>43</v>
      </c>
      <c r="J17" s="64">
        <v>1.74</v>
      </c>
      <c r="K17" s="64">
        <v>352.48</v>
      </c>
      <c r="L17" s="64">
        <v>17.78</v>
      </c>
      <c r="M17" s="64">
        <v>39.81</v>
      </c>
      <c r="N17" s="64">
        <v>74.7</v>
      </c>
      <c r="O17" s="64">
        <v>0</v>
      </c>
      <c r="P17" s="64">
        <v>0.54</v>
      </c>
      <c r="Q17" s="64">
        <v>9.4</v>
      </c>
      <c r="R17" s="198"/>
      <c r="S17" s="198"/>
      <c r="T17" s="198"/>
      <c r="U17" s="198"/>
    </row>
    <row r="18" spans="1:21" s="12" customFormat="1" x14ac:dyDescent="0.25">
      <c r="A18" s="213" t="s">
        <v>1405</v>
      </c>
      <c r="B18" s="64">
        <v>10.5</v>
      </c>
      <c r="C18" s="64">
        <v>47.87</v>
      </c>
      <c r="D18" s="64">
        <v>32.049999999999997</v>
      </c>
      <c r="E18" s="64">
        <v>5.05</v>
      </c>
      <c r="F18" s="64">
        <v>2.13</v>
      </c>
      <c r="G18" s="64">
        <v>66.010000000000005</v>
      </c>
      <c r="H18" s="64">
        <v>33.72</v>
      </c>
      <c r="I18" s="214" t="s">
        <v>43</v>
      </c>
      <c r="J18" s="64">
        <v>1.41</v>
      </c>
      <c r="K18" s="64">
        <v>343.4</v>
      </c>
      <c r="L18" s="64">
        <v>17.5</v>
      </c>
      <c r="M18" s="64">
        <v>41.39</v>
      </c>
      <c r="N18" s="64">
        <v>74.900000000000006</v>
      </c>
      <c r="O18" s="64">
        <v>0</v>
      </c>
      <c r="P18" s="64">
        <v>0.55000000000000004</v>
      </c>
      <c r="Q18" s="64">
        <v>9.3800000000000008</v>
      </c>
      <c r="R18" s="198"/>
      <c r="S18" s="198"/>
      <c r="T18" s="198"/>
      <c r="U18" s="198"/>
    </row>
    <row r="19" spans="1:21" s="12" customFormat="1" x14ac:dyDescent="0.25">
      <c r="A19" s="213" t="s">
        <v>1406</v>
      </c>
      <c r="B19" s="64">
        <v>10.06</v>
      </c>
      <c r="C19" s="64">
        <v>47.1</v>
      </c>
      <c r="D19" s="64">
        <v>31.3</v>
      </c>
      <c r="E19" s="64">
        <v>4.84</v>
      </c>
      <c r="F19" s="64">
        <v>2.13</v>
      </c>
      <c r="G19" s="64">
        <v>66.010000000000005</v>
      </c>
      <c r="H19" s="64">
        <v>33.72</v>
      </c>
      <c r="I19" s="214" t="s">
        <v>43</v>
      </c>
      <c r="J19" s="64">
        <v>1.1200000000000001</v>
      </c>
      <c r="K19" s="64">
        <v>341.38</v>
      </c>
      <c r="L19" s="64">
        <v>17.11</v>
      </c>
      <c r="M19" s="64">
        <v>43</v>
      </c>
      <c r="N19" s="64">
        <v>74.900000000000006</v>
      </c>
      <c r="O19" s="64">
        <v>0</v>
      </c>
      <c r="P19" s="64">
        <v>0.51</v>
      </c>
      <c r="Q19" s="64">
        <v>9.34</v>
      </c>
      <c r="R19" s="198"/>
      <c r="S19" s="198"/>
      <c r="T19" s="198"/>
      <c r="U19" s="198"/>
    </row>
    <row r="20" spans="1:21" s="12" customFormat="1" x14ac:dyDescent="0.25">
      <c r="A20" s="213" t="s">
        <v>1407</v>
      </c>
      <c r="B20" s="64">
        <v>9.86</v>
      </c>
      <c r="C20" s="64">
        <v>46.67</v>
      </c>
      <c r="D20" s="64">
        <v>30.91</v>
      </c>
      <c r="E20" s="64">
        <v>4.45</v>
      </c>
      <c r="F20" s="64">
        <v>2.13</v>
      </c>
      <c r="G20" s="64">
        <v>64.680000000000007</v>
      </c>
      <c r="H20" s="64">
        <v>30.44</v>
      </c>
      <c r="I20" s="214" t="s">
        <v>43</v>
      </c>
      <c r="J20" s="64">
        <v>0.96</v>
      </c>
      <c r="K20" s="64">
        <v>312.18</v>
      </c>
      <c r="L20" s="64">
        <v>16.64</v>
      </c>
      <c r="M20" s="64">
        <v>44.46</v>
      </c>
      <c r="N20" s="64">
        <v>74.8</v>
      </c>
      <c r="O20" s="64">
        <v>0</v>
      </c>
      <c r="P20" s="64">
        <v>0.55000000000000004</v>
      </c>
      <c r="Q20" s="64">
        <v>9.31</v>
      </c>
      <c r="R20" s="198"/>
      <c r="S20" s="198"/>
      <c r="T20" s="198"/>
      <c r="U20" s="198"/>
    </row>
    <row r="21" spans="1:21" s="12" customFormat="1" x14ac:dyDescent="0.25">
      <c r="A21" s="213" t="s">
        <v>1408</v>
      </c>
      <c r="B21" s="64">
        <v>9.7899999999999991</v>
      </c>
      <c r="C21" s="64">
        <v>46.26</v>
      </c>
      <c r="D21" s="64">
        <v>30.65</v>
      </c>
      <c r="E21" s="64">
        <v>4.5999999999999996</v>
      </c>
      <c r="F21" s="64">
        <v>2.13</v>
      </c>
      <c r="G21" s="64">
        <v>61.59</v>
      </c>
      <c r="H21" s="64">
        <v>23.17</v>
      </c>
      <c r="I21" s="214" t="s">
        <v>43</v>
      </c>
      <c r="J21" s="64">
        <v>0.35</v>
      </c>
      <c r="K21" s="64">
        <v>276.35000000000002</v>
      </c>
      <c r="L21" s="64">
        <v>16.18</v>
      </c>
      <c r="M21" s="64">
        <v>46.16</v>
      </c>
      <c r="N21" s="64">
        <v>75.2</v>
      </c>
      <c r="O21" s="64">
        <v>0</v>
      </c>
      <c r="P21" s="64">
        <v>0.56000000000000005</v>
      </c>
      <c r="Q21" s="64">
        <v>9.31</v>
      </c>
      <c r="R21" s="198"/>
      <c r="S21" s="198"/>
      <c r="T21" s="198"/>
      <c r="U21" s="198"/>
    </row>
    <row r="22" spans="1:21" s="12" customFormat="1" x14ac:dyDescent="0.25">
      <c r="A22" s="213" t="s">
        <v>1409</v>
      </c>
      <c r="B22" s="64">
        <v>9.83</v>
      </c>
      <c r="C22" s="64">
        <v>46.7</v>
      </c>
      <c r="D22" s="64">
        <v>30.9</v>
      </c>
      <c r="E22" s="64">
        <v>5.21</v>
      </c>
      <c r="F22" s="64">
        <v>2.13</v>
      </c>
      <c r="G22" s="64">
        <v>61.59</v>
      </c>
      <c r="H22" s="64">
        <v>23.17</v>
      </c>
      <c r="I22" s="214" t="s">
        <v>43</v>
      </c>
      <c r="J22" s="64">
        <v>0.17</v>
      </c>
      <c r="K22" s="64">
        <v>224.94</v>
      </c>
      <c r="L22" s="64">
        <v>15.88</v>
      </c>
      <c r="M22" s="64">
        <v>47.66</v>
      </c>
      <c r="N22" s="64">
        <v>75.2</v>
      </c>
      <c r="O22" s="64">
        <v>0</v>
      </c>
      <c r="P22" s="64">
        <v>0.56999999999999995</v>
      </c>
      <c r="Q22" s="64">
        <v>9.31</v>
      </c>
      <c r="R22" s="198"/>
      <c r="S22" s="198"/>
      <c r="T22" s="198"/>
      <c r="U22" s="198"/>
    </row>
    <row r="23" spans="1:21" s="12" customFormat="1" x14ac:dyDescent="0.25">
      <c r="A23" s="213" t="s">
        <v>1410</v>
      </c>
      <c r="B23" s="64">
        <v>9.8800000000000008</v>
      </c>
      <c r="C23" s="64">
        <v>46.67</v>
      </c>
      <c r="D23" s="64">
        <v>30.93</v>
      </c>
      <c r="E23" s="64">
        <v>5.51</v>
      </c>
      <c r="F23" s="64">
        <v>2.13</v>
      </c>
      <c r="G23" s="64">
        <v>61.59</v>
      </c>
      <c r="H23" s="64">
        <v>23.17</v>
      </c>
      <c r="I23" s="214" t="s">
        <v>43</v>
      </c>
      <c r="J23" s="64">
        <v>0.51</v>
      </c>
      <c r="K23" s="64">
        <v>296</v>
      </c>
      <c r="L23" s="64">
        <v>15.42</v>
      </c>
      <c r="M23" s="64">
        <v>51.61</v>
      </c>
      <c r="N23" s="64">
        <v>75</v>
      </c>
      <c r="O23" s="64">
        <v>0</v>
      </c>
      <c r="P23" s="64">
        <v>0.56999999999999995</v>
      </c>
      <c r="Q23" s="64">
        <v>9.3000000000000007</v>
      </c>
      <c r="R23" s="198"/>
      <c r="S23" s="198"/>
      <c r="T23" s="198"/>
      <c r="U23" s="198"/>
    </row>
    <row r="24" spans="1:21" s="12" customFormat="1" x14ac:dyDescent="0.25">
      <c r="A24" s="213" t="s">
        <v>1411</v>
      </c>
      <c r="B24" s="64">
        <v>10.02</v>
      </c>
      <c r="C24" s="64">
        <v>46.56</v>
      </c>
      <c r="D24" s="64">
        <v>30.98</v>
      </c>
      <c r="E24" s="64">
        <v>5.45</v>
      </c>
      <c r="F24" s="64">
        <v>2.13</v>
      </c>
      <c r="G24" s="64">
        <v>65.7</v>
      </c>
      <c r="H24" s="64">
        <v>24.9</v>
      </c>
      <c r="I24" s="214" t="s">
        <v>43</v>
      </c>
      <c r="J24" s="64">
        <v>0.76</v>
      </c>
      <c r="K24" s="64">
        <v>221.35</v>
      </c>
      <c r="L24" s="64">
        <v>15.4</v>
      </c>
      <c r="M24" s="64">
        <v>50.77</v>
      </c>
      <c r="N24" s="64">
        <v>74.400000000000006</v>
      </c>
      <c r="O24" s="64">
        <v>0</v>
      </c>
      <c r="P24" s="64">
        <v>0.57999999999999996</v>
      </c>
      <c r="Q24" s="64">
        <v>9.3000000000000007</v>
      </c>
      <c r="R24" s="198"/>
      <c r="S24" s="198"/>
      <c r="T24" s="198"/>
      <c r="U24" s="198"/>
    </row>
    <row r="25" spans="1:21" s="12" customFormat="1" x14ac:dyDescent="0.25">
      <c r="A25" s="213" t="s">
        <v>1412</v>
      </c>
      <c r="B25" s="64">
        <v>10.32</v>
      </c>
      <c r="C25" s="64">
        <v>46.92</v>
      </c>
      <c r="D25" s="64">
        <v>31.41</v>
      </c>
      <c r="E25" s="64">
        <v>5.66</v>
      </c>
      <c r="F25" s="64">
        <v>2.13</v>
      </c>
      <c r="G25" s="64">
        <v>75.319999999999993</v>
      </c>
      <c r="H25" s="64">
        <v>28.72</v>
      </c>
      <c r="I25" s="214" t="s">
        <v>43</v>
      </c>
      <c r="J25" s="64">
        <v>0.66</v>
      </c>
      <c r="K25" s="64">
        <v>256.70999999999998</v>
      </c>
      <c r="L25" s="64">
        <v>15.43</v>
      </c>
      <c r="M25" s="64">
        <v>48.7</v>
      </c>
      <c r="N25" s="64">
        <v>74.8</v>
      </c>
      <c r="O25" s="64">
        <v>0</v>
      </c>
      <c r="P25" s="64">
        <v>0.57999999999999996</v>
      </c>
      <c r="Q25" s="64">
        <v>9.3000000000000007</v>
      </c>
      <c r="R25" s="198"/>
      <c r="S25" s="198"/>
      <c r="T25" s="198"/>
      <c r="U25" s="198"/>
    </row>
    <row r="26" spans="1:21" s="12" customFormat="1" x14ac:dyDescent="0.25">
      <c r="A26" s="213" t="s">
        <v>1413</v>
      </c>
      <c r="B26" s="64">
        <v>10.67</v>
      </c>
      <c r="C26" s="64">
        <v>47.1</v>
      </c>
      <c r="D26" s="64">
        <v>31.79</v>
      </c>
      <c r="E26" s="64">
        <v>5.9</v>
      </c>
      <c r="F26" s="64">
        <v>2.13</v>
      </c>
      <c r="G26" s="64">
        <v>75.319999999999993</v>
      </c>
      <c r="H26" s="64">
        <v>28.72</v>
      </c>
      <c r="I26" s="214" t="s">
        <v>43</v>
      </c>
      <c r="J26" s="64">
        <v>0.49</v>
      </c>
      <c r="K26" s="64">
        <v>314.49</v>
      </c>
      <c r="L26" s="64">
        <v>15.01</v>
      </c>
      <c r="M26" s="64">
        <v>50.8</v>
      </c>
      <c r="N26" s="64">
        <v>74.7</v>
      </c>
      <c r="O26" s="64">
        <v>0</v>
      </c>
      <c r="P26" s="64">
        <v>0.57999999999999996</v>
      </c>
      <c r="Q26" s="64">
        <v>9.34</v>
      </c>
      <c r="R26" s="198"/>
      <c r="S26" s="198"/>
      <c r="T26" s="198"/>
      <c r="U26" s="198"/>
    </row>
    <row r="27" spans="1:21" s="12" customFormat="1" x14ac:dyDescent="0.25">
      <c r="A27" s="213" t="s">
        <v>1414</v>
      </c>
      <c r="B27" s="64">
        <v>11.33</v>
      </c>
      <c r="C27" s="64">
        <v>47.27</v>
      </c>
      <c r="D27" s="64">
        <v>32.4</v>
      </c>
      <c r="E27" s="64">
        <v>5.74</v>
      </c>
      <c r="F27" s="64">
        <v>2.13</v>
      </c>
      <c r="G27" s="64">
        <v>75.319999999999993</v>
      </c>
      <c r="H27" s="64">
        <v>28.72</v>
      </c>
      <c r="I27" s="214" t="s">
        <v>43</v>
      </c>
      <c r="J27" s="64">
        <v>0.78</v>
      </c>
      <c r="K27" s="64">
        <v>345.31</v>
      </c>
      <c r="L27" s="64">
        <v>14.89</v>
      </c>
      <c r="M27" s="64">
        <v>52.38</v>
      </c>
      <c r="N27" s="64">
        <v>74.3</v>
      </c>
      <c r="O27" s="64">
        <v>0</v>
      </c>
      <c r="P27" s="64">
        <v>0.61</v>
      </c>
      <c r="Q27" s="64">
        <v>9.36</v>
      </c>
      <c r="R27" s="198"/>
      <c r="S27" s="198"/>
      <c r="T27" s="198"/>
      <c r="U27" s="198"/>
    </row>
    <row r="28" spans="1:21" s="12" customFormat="1" x14ac:dyDescent="0.25">
      <c r="A28" s="213" t="s">
        <v>1415</v>
      </c>
      <c r="B28" s="64">
        <v>11.97</v>
      </c>
      <c r="C28" s="64">
        <v>47.56</v>
      </c>
      <c r="D28" s="64">
        <v>33.07</v>
      </c>
      <c r="E28" s="64">
        <v>5.88</v>
      </c>
      <c r="F28" s="64">
        <v>2.13</v>
      </c>
      <c r="G28" s="64">
        <v>77.17</v>
      </c>
      <c r="H28" s="64">
        <v>29.46</v>
      </c>
      <c r="I28" s="214" t="s">
        <v>43</v>
      </c>
      <c r="J28" s="64">
        <v>0.52</v>
      </c>
      <c r="K28" s="64">
        <v>308.39999999999998</v>
      </c>
      <c r="L28" s="64">
        <v>15.15</v>
      </c>
      <c r="M28" s="64">
        <v>52.06</v>
      </c>
      <c r="N28" s="64">
        <v>74.400000000000006</v>
      </c>
      <c r="O28" s="64">
        <v>0</v>
      </c>
      <c r="P28" s="64">
        <v>0.61</v>
      </c>
      <c r="Q28" s="64">
        <v>9.39</v>
      </c>
      <c r="R28" s="198"/>
      <c r="S28" s="198"/>
      <c r="T28" s="198"/>
      <c r="U28" s="198"/>
    </row>
    <row r="29" spans="1:21" s="12" customFormat="1" x14ac:dyDescent="0.25">
      <c r="A29" s="213" t="s">
        <v>1416</v>
      </c>
      <c r="B29" s="64">
        <v>12.59</v>
      </c>
      <c r="C29" s="64">
        <v>48.18</v>
      </c>
      <c r="D29" s="64">
        <v>33.89</v>
      </c>
      <c r="E29" s="64">
        <v>5.87</v>
      </c>
      <c r="F29" s="64">
        <v>2.13</v>
      </c>
      <c r="G29" s="64">
        <v>81.5</v>
      </c>
      <c r="H29" s="64">
        <v>31.09</v>
      </c>
      <c r="I29" s="214" t="s">
        <v>43</v>
      </c>
      <c r="J29" s="64">
        <v>0.87</v>
      </c>
      <c r="K29" s="64">
        <v>355.16</v>
      </c>
      <c r="L29" s="64">
        <v>15.17</v>
      </c>
      <c r="M29" s="64">
        <v>51.92</v>
      </c>
      <c r="N29" s="64">
        <v>73.900000000000006</v>
      </c>
      <c r="O29" s="64">
        <v>0</v>
      </c>
      <c r="P29" s="64">
        <v>0.62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3" t="s">
        <v>1417</v>
      </c>
      <c r="B30" s="64">
        <v>13.58</v>
      </c>
      <c r="C30" s="64">
        <v>49.1</v>
      </c>
      <c r="D30" s="64">
        <v>35.17</v>
      </c>
      <c r="E30" s="64">
        <v>5.94</v>
      </c>
      <c r="F30" s="64">
        <v>2.14</v>
      </c>
      <c r="G30" s="64">
        <v>81.5</v>
      </c>
      <c r="H30" s="64">
        <v>31.09</v>
      </c>
      <c r="I30" s="214" t="s">
        <v>43</v>
      </c>
      <c r="J30" s="64">
        <v>1.3</v>
      </c>
      <c r="K30" s="64">
        <v>0.04</v>
      </c>
      <c r="L30" s="64">
        <v>15.44</v>
      </c>
      <c r="M30" s="64">
        <v>50.05</v>
      </c>
      <c r="N30" s="64">
        <v>74.3</v>
      </c>
      <c r="O30" s="64">
        <v>0</v>
      </c>
      <c r="P30" s="64">
        <v>0.62</v>
      </c>
      <c r="Q30" s="64">
        <v>9.44</v>
      </c>
      <c r="R30" s="198"/>
      <c r="S30" s="198"/>
      <c r="T30" s="198"/>
      <c r="U30" s="198"/>
    </row>
    <row r="31" spans="1:21" s="12" customFormat="1" x14ac:dyDescent="0.25">
      <c r="A31" s="213" t="s">
        <v>1418</v>
      </c>
      <c r="B31" s="64">
        <v>14.05</v>
      </c>
      <c r="C31" s="64">
        <v>49.21</v>
      </c>
      <c r="D31" s="64">
        <v>35.6</v>
      </c>
      <c r="E31" s="64">
        <v>5.56</v>
      </c>
      <c r="F31" s="64">
        <v>2.13</v>
      </c>
      <c r="G31" s="64">
        <v>81.5</v>
      </c>
      <c r="H31" s="64">
        <v>31.09</v>
      </c>
      <c r="I31" s="214" t="s">
        <v>43</v>
      </c>
      <c r="J31" s="64">
        <v>1.33</v>
      </c>
      <c r="K31" s="64">
        <v>358.79</v>
      </c>
      <c r="L31" s="64">
        <v>15.47</v>
      </c>
      <c r="M31" s="64">
        <v>50.09</v>
      </c>
      <c r="N31" s="64">
        <v>74.599999999999994</v>
      </c>
      <c r="O31" s="64">
        <v>0</v>
      </c>
      <c r="P31" s="64">
        <v>0.59</v>
      </c>
      <c r="Q31" s="64">
        <v>9.48</v>
      </c>
      <c r="R31" s="198"/>
      <c r="S31" s="198"/>
      <c r="T31" s="198"/>
      <c r="U31" s="198"/>
    </row>
    <row r="32" spans="1:21" s="12" customFormat="1" x14ac:dyDescent="0.25">
      <c r="A32" s="213" t="s">
        <v>1419</v>
      </c>
      <c r="B32" s="64">
        <v>14.37</v>
      </c>
      <c r="C32" s="64">
        <v>47.38</v>
      </c>
      <c r="D32" s="64">
        <v>34.9</v>
      </c>
      <c r="E32" s="64">
        <v>5.28</v>
      </c>
      <c r="F32" s="64">
        <v>2.13</v>
      </c>
      <c r="G32" s="64">
        <v>79.930000000000007</v>
      </c>
      <c r="H32" s="64">
        <v>31.01</v>
      </c>
      <c r="I32" s="214" t="s">
        <v>43</v>
      </c>
      <c r="J32" s="64">
        <v>0.57999999999999996</v>
      </c>
      <c r="K32" s="64">
        <v>42.85</v>
      </c>
      <c r="L32" s="64">
        <v>15.32</v>
      </c>
      <c r="M32" s="64">
        <v>50.83</v>
      </c>
      <c r="N32" s="64">
        <v>75.3</v>
      </c>
      <c r="O32" s="64">
        <v>0</v>
      </c>
      <c r="P32" s="64">
        <v>0.57999999999999996</v>
      </c>
      <c r="Q32" s="64">
        <v>9.49</v>
      </c>
      <c r="R32" s="198"/>
      <c r="S32" s="198"/>
      <c r="T32" s="198"/>
      <c r="U32" s="198"/>
    </row>
    <row r="33" spans="1:21" s="12" customFormat="1" x14ac:dyDescent="0.25">
      <c r="A33" s="213" t="s">
        <v>1420</v>
      </c>
      <c r="B33" s="64">
        <v>14.99</v>
      </c>
      <c r="C33" s="64">
        <v>48.08</v>
      </c>
      <c r="D33" s="64">
        <v>35.770000000000003</v>
      </c>
      <c r="E33" s="64">
        <v>5.54</v>
      </c>
      <c r="F33" s="64">
        <v>2.13</v>
      </c>
      <c r="G33" s="64">
        <v>76.47</v>
      </c>
      <c r="H33" s="64">
        <v>30.85</v>
      </c>
      <c r="I33" s="214" t="s">
        <v>43</v>
      </c>
      <c r="J33" s="64">
        <v>1.0900000000000001</v>
      </c>
      <c r="K33" s="64">
        <v>357.6</v>
      </c>
      <c r="L33" s="64">
        <v>15.01</v>
      </c>
      <c r="M33" s="64">
        <v>52.53</v>
      </c>
      <c r="N33" s="64">
        <v>75.099999999999994</v>
      </c>
      <c r="O33" s="64">
        <v>0</v>
      </c>
      <c r="P33" s="64">
        <v>0.62</v>
      </c>
      <c r="Q33" s="64">
        <v>9.5</v>
      </c>
      <c r="R33" s="198"/>
      <c r="S33" s="198"/>
      <c r="T33" s="198"/>
      <c r="U33" s="198"/>
    </row>
    <row r="34" spans="1:21" s="12" customFormat="1" x14ac:dyDescent="0.25">
      <c r="A34" s="213" t="s">
        <v>1421</v>
      </c>
      <c r="B34" s="64">
        <v>16.52</v>
      </c>
      <c r="C34" s="64">
        <v>49.02</v>
      </c>
      <c r="D34" s="64">
        <v>37.479999999999997</v>
      </c>
      <c r="E34" s="64">
        <v>5.74</v>
      </c>
      <c r="F34" s="64">
        <v>2.13</v>
      </c>
      <c r="G34" s="64">
        <v>76.47</v>
      </c>
      <c r="H34" s="64">
        <v>30.85</v>
      </c>
      <c r="I34" s="214" t="s">
        <v>43</v>
      </c>
      <c r="J34" s="64">
        <v>0.8</v>
      </c>
      <c r="K34" s="64">
        <v>8.68</v>
      </c>
      <c r="L34" s="64">
        <v>14.76</v>
      </c>
      <c r="M34" s="64">
        <v>53.83</v>
      </c>
      <c r="N34" s="64">
        <v>76.599999999999994</v>
      </c>
      <c r="O34" s="64">
        <v>0</v>
      </c>
      <c r="P34" s="64">
        <v>0.63</v>
      </c>
      <c r="Q34" s="64">
        <v>9.52</v>
      </c>
      <c r="R34" s="198"/>
      <c r="S34" s="198"/>
      <c r="T34" s="198"/>
      <c r="U34" s="198"/>
    </row>
    <row r="35" spans="1:21" s="12" customFormat="1" x14ac:dyDescent="0.25">
      <c r="A35" s="213" t="s">
        <v>1422</v>
      </c>
      <c r="B35" s="64">
        <v>18.23</v>
      </c>
      <c r="C35" s="64">
        <v>49.64</v>
      </c>
      <c r="D35" s="64">
        <v>39.18</v>
      </c>
      <c r="E35" s="64">
        <v>5.8</v>
      </c>
      <c r="F35" s="64">
        <v>2.13</v>
      </c>
      <c r="G35" s="64">
        <v>76.47</v>
      </c>
      <c r="H35" s="64">
        <v>30.85</v>
      </c>
      <c r="I35" s="214" t="s">
        <v>43</v>
      </c>
      <c r="J35" s="64">
        <v>0.59</v>
      </c>
      <c r="K35" s="64">
        <v>9.0399999999999991</v>
      </c>
      <c r="L35" s="64">
        <v>14.91</v>
      </c>
      <c r="M35" s="64">
        <v>53.23</v>
      </c>
      <c r="N35" s="64">
        <v>83.5</v>
      </c>
      <c r="O35" s="64">
        <v>0</v>
      </c>
      <c r="P35" s="64">
        <v>0.66</v>
      </c>
      <c r="Q35" s="64">
        <v>9.5</v>
      </c>
      <c r="R35" s="198"/>
      <c r="S35" s="198"/>
      <c r="T35" s="198"/>
      <c r="U35" s="198"/>
    </row>
    <row r="36" spans="1:21" s="12" customFormat="1" x14ac:dyDescent="0.25">
      <c r="A36" s="213" t="s">
        <v>1423</v>
      </c>
      <c r="B36" s="64">
        <v>20.059999999999999</v>
      </c>
      <c r="C36" s="64">
        <v>49.81</v>
      </c>
      <c r="D36" s="64">
        <v>40.729999999999997</v>
      </c>
      <c r="E36" s="64">
        <v>5.66</v>
      </c>
      <c r="F36" s="64">
        <v>2.13</v>
      </c>
      <c r="G36" s="64">
        <v>79.099999999999994</v>
      </c>
      <c r="H36" s="64">
        <v>31.08</v>
      </c>
      <c r="I36" s="214" t="s">
        <v>43</v>
      </c>
      <c r="J36" s="64">
        <v>1.0900000000000001</v>
      </c>
      <c r="K36" s="64">
        <v>0.12</v>
      </c>
      <c r="L36" s="64">
        <v>15.14</v>
      </c>
      <c r="M36" s="64">
        <v>52.56</v>
      </c>
      <c r="N36" s="64">
        <v>97.6</v>
      </c>
      <c r="O36" s="64">
        <v>0</v>
      </c>
      <c r="P36" s="64">
        <v>0.67</v>
      </c>
      <c r="Q36" s="64">
        <v>9.51</v>
      </c>
      <c r="R36" s="198"/>
      <c r="S36" s="198"/>
      <c r="T36" s="198"/>
      <c r="U36" s="198"/>
    </row>
    <row r="37" spans="1:21" s="12" customFormat="1" x14ac:dyDescent="0.25">
      <c r="A37" s="213" t="s">
        <v>1424</v>
      </c>
      <c r="B37" s="64">
        <v>21.47</v>
      </c>
      <c r="C37" s="64">
        <v>50.59</v>
      </c>
      <c r="D37" s="64">
        <v>42.27</v>
      </c>
      <c r="E37" s="64">
        <v>5.78</v>
      </c>
      <c r="F37" s="64">
        <v>2.13</v>
      </c>
      <c r="G37" s="64">
        <v>85.22</v>
      </c>
      <c r="H37" s="64">
        <v>31.59</v>
      </c>
      <c r="I37" s="214" t="s">
        <v>43</v>
      </c>
      <c r="J37" s="64">
        <v>0.93</v>
      </c>
      <c r="K37" s="64">
        <v>359.29</v>
      </c>
      <c r="L37" s="64">
        <v>15.44</v>
      </c>
      <c r="M37" s="64">
        <v>51.53</v>
      </c>
      <c r="N37" s="64">
        <v>115.8</v>
      </c>
      <c r="O37" s="64">
        <v>0</v>
      </c>
      <c r="P37" s="64">
        <v>0.67</v>
      </c>
      <c r="Q37" s="64">
        <v>9.52</v>
      </c>
      <c r="R37" s="198"/>
      <c r="S37" s="198"/>
      <c r="T37" s="198"/>
      <c r="U37" s="198"/>
    </row>
    <row r="38" spans="1:21" s="12" customFormat="1" x14ac:dyDescent="0.25">
      <c r="A38" s="213" t="s">
        <v>1425</v>
      </c>
      <c r="B38" s="64">
        <v>23.13</v>
      </c>
      <c r="C38" s="64">
        <v>50.78</v>
      </c>
      <c r="D38" s="64">
        <v>43.7</v>
      </c>
      <c r="E38" s="64">
        <v>6.09</v>
      </c>
      <c r="F38" s="64">
        <v>2.13</v>
      </c>
      <c r="G38" s="64">
        <v>85.22</v>
      </c>
      <c r="H38" s="64">
        <v>31.59</v>
      </c>
      <c r="I38" s="214" t="s">
        <v>43</v>
      </c>
      <c r="J38" s="64">
        <v>1.49</v>
      </c>
      <c r="K38" s="64">
        <v>358.95</v>
      </c>
      <c r="L38" s="64">
        <v>15.92</v>
      </c>
      <c r="M38" s="64">
        <v>50.21</v>
      </c>
      <c r="N38" s="64">
        <v>150.69999999999999</v>
      </c>
      <c r="O38" s="64">
        <v>0</v>
      </c>
      <c r="P38" s="64">
        <v>0.72</v>
      </c>
      <c r="Q38" s="64">
        <v>9.52</v>
      </c>
      <c r="R38" s="198"/>
      <c r="S38" s="198"/>
      <c r="T38" s="198"/>
      <c r="U38" s="198"/>
    </row>
    <row r="39" spans="1:21" s="12" customFormat="1" x14ac:dyDescent="0.25">
      <c r="A39" s="213" t="s">
        <v>1426</v>
      </c>
      <c r="B39" s="64">
        <v>24.05</v>
      </c>
      <c r="C39" s="64">
        <v>52.69</v>
      </c>
      <c r="D39" s="64">
        <v>45.44</v>
      </c>
      <c r="E39" s="64">
        <v>6.53</v>
      </c>
      <c r="F39" s="64">
        <v>2.13</v>
      </c>
      <c r="G39" s="64">
        <v>85.22</v>
      </c>
      <c r="H39" s="64">
        <v>31.59</v>
      </c>
      <c r="I39" s="214" t="s">
        <v>43</v>
      </c>
      <c r="J39" s="64">
        <v>1.23</v>
      </c>
      <c r="K39" s="64">
        <v>357.97</v>
      </c>
      <c r="L39" s="64">
        <v>17.25</v>
      </c>
      <c r="M39" s="64">
        <v>46.89</v>
      </c>
      <c r="N39" s="64">
        <v>240.4</v>
      </c>
      <c r="O39" s="64">
        <v>0</v>
      </c>
      <c r="P39" s="64">
        <v>0.73</v>
      </c>
      <c r="Q39" s="64">
        <v>9.52</v>
      </c>
      <c r="R39" s="198"/>
      <c r="S39" s="198"/>
      <c r="T39" s="198"/>
      <c r="U39" s="198"/>
    </row>
    <row r="40" spans="1:21" s="12" customFormat="1" x14ac:dyDescent="0.25">
      <c r="A40" s="213" t="s">
        <v>1427</v>
      </c>
      <c r="B40" s="64">
        <v>24.84</v>
      </c>
      <c r="C40" s="64">
        <v>53.86</v>
      </c>
      <c r="D40" s="64">
        <v>46.68</v>
      </c>
      <c r="E40" s="64">
        <v>4.54</v>
      </c>
      <c r="F40" s="64">
        <v>2.13</v>
      </c>
      <c r="G40" s="64">
        <v>85.07</v>
      </c>
      <c r="H40" s="64">
        <v>31.68</v>
      </c>
      <c r="I40" s="214" t="s">
        <v>43</v>
      </c>
      <c r="J40" s="64">
        <v>1.03</v>
      </c>
      <c r="K40" s="64">
        <v>2.42</v>
      </c>
      <c r="L40" s="64">
        <v>19.43</v>
      </c>
      <c r="M40" s="64">
        <v>41.08</v>
      </c>
      <c r="N40" s="64">
        <v>303.7</v>
      </c>
      <c r="O40" s="64">
        <v>0</v>
      </c>
      <c r="P40" s="64">
        <v>0.76</v>
      </c>
      <c r="Q40" s="64">
        <v>9.51</v>
      </c>
      <c r="R40" s="198"/>
      <c r="S40" s="198"/>
      <c r="T40" s="198"/>
      <c r="U40" s="198"/>
    </row>
    <row r="41" spans="1:21" s="12" customFormat="1" x14ac:dyDescent="0.25">
      <c r="A41" s="213" t="s">
        <v>1428</v>
      </c>
      <c r="B41" s="64">
        <v>25.62</v>
      </c>
      <c r="C41" s="64">
        <v>54.27</v>
      </c>
      <c r="D41" s="64">
        <v>47.52</v>
      </c>
      <c r="E41" s="64">
        <v>5.61</v>
      </c>
      <c r="F41" s="64">
        <v>2.13</v>
      </c>
      <c r="G41" s="64">
        <v>84.74</v>
      </c>
      <c r="H41" s="64">
        <v>31.88</v>
      </c>
      <c r="I41" s="214" t="s">
        <v>43</v>
      </c>
      <c r="J41" s="64">
        <v>1.29</v>
      </c>
      <c r="K41" s="64">
        <v>354.45</v>
      </c>
      <c r="L41" s="64">
        <v>21.45</v>
      </c>
      <c r="M41" s="64">
        <v>36.909999999999997</v>
      </c>
      <c r="N41" s="64">
        <v>365</v>
      </c>
      <c r="O41" s="64">
        <v>0</v>
      </c>
      <c r="P41" s="64">
        <v>0.78</v>
      </c>
      <c r="Q41" s="64">
        <v>9.5399999999999991</v>
      </c>
      <c r="R41" s="198"/>
      <c r="S41" s="198"/>
      <c r="T41" s="198"/>
      <c r="U41" s="198"/>
    </row>
    <row r="42" spans="1:21" s="12" customFormat="1" x14ac:dyDescent="0.25">
      <c r="A42" s="213" t="s">
        <v>1429</v>
      </c>
      <c r="B42" s="64">
        <v>26.57</v>
      </c>
      <c r="C42" s="64">
        <v>54.99</v>
      </c>
      <c r="D42" s="64">
        <v>48.66</v>
      </c>
      <c r="E42" s="64">
        <v>6.06</v>
      </c>
      <c r="F42" s="64">
        <v>2.13</v>
      </c>
      <c r="G42" s="64">
        <v>84.74</v>
      </c>
      <c r="H42" s="64">
        <v>31.88</v>
      </c>
      <c r="I42" s="214" t="s">
        <v>43</v>
      </c>
      <c r="J42" s="64">
        <v>1.8</v>
      </c>
      <c r="K42" s="64">
        <v>354.79</v>
      </c>
      <c r="L42" s="64">
        <v>23.3</v>
      </c>
      <c r="M42" s="64">
        <v>32.72</v>
      </c>
      <c r="N42" s="64">
        <v>431.5</v>
      </c>
      <c r="O42" s="64">
        <v>0</v>
      </c>
      <c r="P42" s="64">
        <v>0.78</v>
      </c>
      <c r="Q42" s="64">
        <v>9.57</v>
      </c>
      <c r="R42" s="198"/>
      <c r="S42" s="198"/>
      <c r="T42" s="198"/>
      <c r="U42" s="198"/>
    </row>
    <row r="43" spans="1:21" s="12" customFormat="1" x14ac:dyDescent="0.25">
      <c r="A43" s="213" t="s">
        <v>1430</v>
      </c>
      <c r="B43" s="64">
        <v>26.95</v>
      </c>
      <c r="C43" s="64">
        <v>55.74</v>
      </c>
      <c r="D43" s="64">
        <v>49.35</v>
      </c>
      <c r="E43" s="64">
        <v>5.92</v>
      </c>
      <c r="F43" s="64">
        <v>2.13</v>
      </c>
      <c r="G43" s="64">
        <v>84.74</v>
      </c>
      <c r="H43" s="64">
        <v>31.88</v>
      </c>
      <c r="I43" s="214" t="s">
        <v>43</v>
      </c>
      <c r="J43" s="64">
        <v>1.42</v>
      </c>
      <c r="K43" s="64">
        <v>354.2</v>
      </c>
      <c r="L43" s="64">
        <v>24.7</v>
      </c>
      <c r="M43" s="64">
        <v>30.41</v>
      </c>
      <c r="N43" s="64">
        <v>490.2</v>
      </c>
      <c r="O43" s="64">
        <v>0</v>
      </c>
      <c r="P43" s="64">
        <v>0.77</v>
      </c>
      <c r="Q43" s="64">
        <v>9.57</v>
      </c>
      <c r="R43" s="198"/>
      <c r="S43" s="198"/>
      <c r="T43" s="198"/>
      <c r="U43" s="198"/>
    </row>
    <row r="44" spans="1:21" s="12" customFormat="1" x14ac:dyDescent="0.25">
      <c r="A44" s="213" t="s">
        <v>1431</v>
      </c>
      <c r="B44" s="64">
        <v>26.95</v>
      </c>
      <c r="C44" s="64">
        <v>56.4</v>
      </c>
      <c r="D44" s="64">
        <v>49.7</v>
      </c>
      <c r="E44" s="64">
        <v>5.62</v>
      </c>
      <c r="F44" s="64">
        <v>2.13</v>
      </c>
      <c r="G44" s="64">
        <v>86.71</v>
      </c>
      <c r="H44" s="64">
        <v>30.76</v>
      </c>
      <c r="I44" s="214" t="s">
        <v>43</v>
      </c>
      <c r="J44" s="64">
        <v>1.3</v>
      </c>
      <c r="K44" s="64">
        <v>355.44</v>
      </c>
      <c r="L44" s="64">
        <v>25.18</v>
      </c>
      <c r="M44" s="64">
        <v>29.91</v>
      </c>
      <c r="N44" s="64">
        <v>547</v>
      </c>
      <c r="O44" s="64">
        <v>0</v>
      </c>
      <c r="P44" s="64">
        <v>0.76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13" t="s">
        <v>1432</v>
      </c>
      <c r="B45" s="64">
        <v>26.87</v>
      </c>
      <c r="C45" s="64">
        <v>57.1</v>
      </c>
      <c r="D45" s="64">
        <v>50</v>
      </c>
      <c r="E45" s="64">
        <v>5.7</v>
      </c>
      <c r="F45" s="64">
        <v>2.13</v>
      </c>
      <c r="G45" s="64">
        <v>91.05</v>
      </c>
      <c r="H45" s="64">
        <v>28.28</v>
      </c>
      <c r="I45" s="214" t="s">
        <v>43</v>
      </c>
      <c r="J45" s="64">
        <v>1.26</v>
      </c>
      <c r="K45" s="64">
        <v>358.06</v>
      </c>
      <c r="L45" s="64">
        <v>24.78</v>
      </c>
      <c r="M45" s="64">
        <v>30.75</v>
      </c>
      <c r="N45" s="64">
        <v>598.5</v>
      </c>
      <c r="O45" s="64">
        <v>0</v>
      </c>
      <c r="P45" s="64">
        <v>0.76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3" t="s">
        <v>1433</v>
      </c>
      <c r="B46" s="64">
        <v>26.6</v>
      </c>
      <c r="C46" s="64">
        <v>58.1</v>
      </c>
      <c r="D46" s="64">
        <v>50.31</v>
      </c>
      <c r="E46" s="64">
        <v>5.74</v>
      </c>
      <c r="F46" s="64">
        <v>2.13</v>
      </c>
      <c r="G46" s="64">
        <v>91.05</v>
      </c>
      <c r="H46" s="64">
        <v>28.28</v>
      </c>
      <c r="I46" s="214" t="s">
        <v>43</v>
      </c>
      <c r="J46" s="64">
        <v>1.93</v>
      </c>
      <c r="K46" s="64">
        <v>348.06</v>
      </c>
      <c r="L46" s="64">
        <v>26.11</v>
      </c>
      <c r="M46" s="64">
        <v>28.78</v>
      </c>
      <c r="N46" s="64">
        <v>644.9</v>
      </c>
      <c r="O46" s="64">
        <v>0</v>
      </c>
      <c r="P46" s="64">
        <v>0.75</v>
      </c>
      <c r="Q46" s="64">
        <v>9.57</v>
      </c>
      <c r="R46" s="198"/>
      <c r="S46" s="198"/>
      <c r="T46" s="198"/>
      <c r="U46" s="198"/>
    </row>
    <row r="47" spans="1:21" s="12" customFormat="1" x14ac:dyDescent="0.25">
      <c r="A47" s="213" t="s">
        <v>1434</v>
      </c>
      <c r="B47" s="64">
        <v>25.6</v>
      </c>
      <c r="C47" s="64">
        <v>59.37</v>
      </c>
      <c r="D47" s="64">
        <v>50.17</v>
      </c>
      <c r="E47" s="64">
        <v>6.01</v>
      </c>
      <c r="F47" s="64">
        <v>2.13</v>
      </c>
      <c r="G47" s="64">
        <v>91.05</v>
      </c>
      <c r="H47" s="64">
        <v>28.28</v>
      </c>
      <c r="I47" s="214" t="s">
        <v>43</v>
      </c>
      <c r="J47" s="64">
        <v>1.89</v>
      </c>
      <c r="K47" s="64">
        <v>353.64</v>
      </c>
      <c r="L47" s="64">
        <v>26.48</v>
      </c>
      <c r="M47" s="64">
        <v>27.74</v>
      </c>
      <c r="N47" s="64">
        <v>680.1</v>
      </c>
      <c r="O47" s="64">
        <v>0</v>
      </c>
      <c r="P47" s="64">
        <v>0.75</v>
      </c>
      <c r="Q47" s="64">
        <v>9.59</v>
      </c>
      <c r="R47" s="198"/>
      <c r="S47" s="198"/>
      <c r="T47" s="198"/>
      <c r="U47" s="198"/>
    </row>
    <row r="48" spans="1:21" s="12" customFormat="1" x14ac:dyDescent="0.25">
      <c r="A48" s="213" t="s">
        <v>1435</v>
      </c>
      <c r="B48" s="64">
        <v>24.77</v>
      </c>
      <c r="C48" s="64">
        <v>60.64</v>
      </c>
      <c r="D48" s="64">
        <v>50.17</v>
      </c>
      <c r="E48" s="64">
        <v>5.61</v>
      </c>
      <c r="F48" s="64">
        <v>2.13</v>
      </c>
      <c r="G48" s="64">
        <v>89.85</v>
      </c>
      <c r="H48" s="64">
        <v>28.22</v>
      </c>
      <c r="I48" s="214" t="s">
        <v>43</v>
      </c>
      <c r="J48" s="64">
        <v>1.42</v>
      </c>
      <c r="K48" s="64">
        <v>356.02</v>
      </c>
      <c r="L48" s="64">
        <v>26.86</v>
      </c>
      <c r="M48" s="64">
        <v>27.1</v>
      </c>
      <c r="N48" s="64">
        <v>711.5</v>
      </c>
      <c r="O48" s="64">
        <v>0</v>
      </c>
      <c r="P48" s="64">
        <v>0.76</v>
      </c>
      <c r="Q48" s="64">
        <v>9.59</v>
      </c>
      <c r="R48" s="198"/>
      <c r="S48" s="198"/>
      <c r="T48" s="198"/>
      <c r="U48" s="198"/>
    </row>
    <row r="49" spans="1:21" s="12" customFormat="1" x14ac:dyDescent="0.25">
      <c r="A49" s="213" t="s">
        <v>1436</v>
      </c>
      <c r="B49" s="64">
        <v>24.3</v>
      </c>
      <c r="C49" s="64">
        <v>60.88</v>
      </c>
      <c r="D49" s="64">
        <v>49.92</v>
      </c>
      <c r="E49" s="64">
        <v>5.57</v>
      </c>
      <c r="F49" s="64">
        <v>2.13</v>
      </c>
      <c r="G49" s="64">
        <v>87.17</v>
      </c>
      <c r="H49" s="64">
        <v>28.1</v>
      </c>
      <c r="I49" s="214" t="s">
        <v>43</v>
      </c>
      <c r="J49" s="64">
        <v>1.44</v>
      </c>
      <c r="K49" s="64">
        <v>348.42</v>
      </c>
      <c r="L49" s="64">
        <v>28.11</v>
      </c>
      <c r="M49" s="64">
        <v>24.72</v>
      </c>
      <c r="N49" s="64">
        <v>752.9</v>
      </c>
      <c r="O49" s="64">
        <v>0</v>
      </c>
      <c r="P49" s="64">
        <v>0.77</v>
      </c>
      <c r="Q49" s="64">
        <v>9.59</v>
      </c>
      <c r="R49" s="198"/>
      <c r="S49" s="198"/>
      <c r="T49" s="198"/>
      <c r="U49" s="198"/>
    </row>
    <row r="50" spans="1:21" s="12" customFormat="1" x14ac:dyDescent="0.25">
      <c r="A50" s="213" t="s">
        <v>1437</v>
      </c>
      <c r="B50" s="64">
        <v>23.84</v>
      </c>
      <c r="C50" s="64">
        <v>60.77</v>
      </c>
      <c r="D50" s="64">
        <v>49.49</v>
      </c>
      <c r="E50" s="64">
        <v>6.36</v>
      </c>
      <c r="F50" s="64">
        <v>2.13</v>
      </c>
      <c r="G50" s="64">
        <v>87.17</v>
      </c>
      <c r="H50" s="64">
        <v>28.1</v>
      </c>
      <c r="I50" s="214" t="s">
        <v>43</v>
      </c>
      <c r="J50" s="64">
        <v>0.88</v>
      </c>
      <c r="K50" s="64">
        <v>18.09</v>
      </c>
      <c r="L50" s="64">
        <v>26.98</v>
      </c>
      <c r="M50" s="64">
        <v>26.52</v>
      </c>
      <c r="N50" s="64">
        <v>780</v>
      </c>
      <c r="O50" s="64">
        <v>0</v>
      </c>
      <c r="P50" s="64">
        <v>0.78</v>
      </c>
      <c r="Q50" s="64">
        <v>9.59</v>
      </c>
      <c r="R50" s="198"/>
      <c r="S50" s="198"/>
      <c r="T50" s="198"/>
      <c r="U50" s="198"/>
    </row>
    <row r="51" spans="1:21" s="12" customFormat="1" x14ac:dyDescent="0.25">
      <c r="A51" s="213" t="s">
        <v>1438</v>
      </c>
      <c r="B51" s="64">
        <v>21.21</v>
      </c>
      <c r="C51" s="64">
        <v>68.22</v>
      </c>
      <c r="D51" s="64">
        <v>51.27</v>
      </c>
      <c r="E51" s="64">
        <v>9.0399999999999991</v>
      </c>
      <c r="F51" s="64">
        <v>2.13</v>
      </c>
      <c r="G51" s="64">
        <v>87.17</v>
      </c>
      <c r="H51" s="64">
        <v>28.1</v>
      </c>
      <c r="I51" s="214" t="s">
        <v>43</v>
      </c>
      <c r="J51" s="64">
        <v>1.1100000000000001</v>
      </c>
      <c r="K51" s="64">
        <v>359.99</v>
      </c>
      <c r="L51" s="64">
        <v>26.63</v>
      </c>
      <c r="M51" s="64">
        <v>27.17</v>
      </c>
      <c r="N51" s="64">
        <v>812.2</v>
      </c>
      <c r="O51" s="64">
        <v>0</v>
      </c>
      <c r="P51" s="64">
        <v>0.78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3" t="s">
        <v>1439</v>
      </c>
      <c r="B52" s="64">
        <v>18.2</v>
      </c>
      <c r="C52" s="64">
        <v>74.8</v>
      </c>
      <c r="D52" s="64">
        <v>52.3</v>
      </c>
      <c r="E52" s="64">
        <v>8.74</v>
      </c>
      <c r="F52" s="64">
        <v>2.13</v>
      </c>
      <c r="G52" s="64">
        <v>88.91</v>
      </c>
      <c r="H52" s="64">
        <v>28.1</v>
      </c>
      <c r="I52" s="214" t="s">
        <v>43</v>
      </c>
      <c r="J52" s="64">
        <v>1.68</v>
      </c>
      <c r="K52" s="64">
        <v>344.93</v>
      </c>
      <c r="L52" s="64">
        <v>28.37</v>
      </c>
      <c r="M52" s="64">
        <v>25.11</v>
      </c>
      <c r="N52" s="64">
        <v>844</v>
      </c>
      <c r="O52" s="64">
        <v>0</v>
      </c>
      <c r="P52" s="64">
        <v>0.78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13" t="s">
        <v>1440</v>
      </c>
      <c r="B53" s="64">
        <v>16.260000000000002</v>
      </c>
      <c r="C53" s="64">
        <v>77.819999999999993</v>
      </c>
      <c r="D53" s="64">
        <v>52.32</v>
      </c>
      <c r="E53" s="64">
        <v>8</v>
      </c>
      <c r="F53" s="64">
        <v>2.13</v>
      </c>
      <c r="G53" s="64">
        <v>92.76</v>
      </c>
      <c r="H53" s="64">
        <v>28.11</v>
      </c>
      <c r="I53" s="214" t="s">
        <v>43</v>
      </c>
      <c r="J53" s="64">
        <v>1.79</v>
      </c>
      <c r="K53" s="64">
        <v>341.45</v>
      </c>
      <c r="L53" s="64">
        <v>28.58</v>
      </c>
      <c r="M53" s="64">
        <v>23.73</v>
      </c>
      <c r="N53" s="64">
        <v>889.4</v>
      </c>
      <c r="O53" s="64">
        <v>0</v>
      </c>
      <c r="P53" s="64">
        <v>0.76</v>
      </c>
      <c r="Q53" s="64">
        <v>9.5500000000000007</v>
      </c>
      <c r="R53" s="198"/>
      <c r="S53" s="198"/>
      <c r="T53" s="198"/>
      <c r="U53" s="198"/>
    </row>
    <row r="54" spans="1:21" s="12" customFormat="1" x14ac:dyDescent="0.25">
      <c r="A54" s="213" t="s">
        <v>1441</v>
      </c>
      <c r="B54" s="64">
        <v>13.11</v>
      </c>
      <c r="C54" s="64">
        <v>79.650000000000006</v>
      </c>
      <c r="D54" s="64">
        <v>50.75</v>
      </c>
      <c r="E54" s="64">
        <v>8.8800000000000008</v>
      </c>
      <c r="F54" s="64">
        <v>3.09</v>
      </c>
      <c r="G54" s="64">
        <v>92.76</v>
      </c>
      <c r="H54" s="64">
        <v>28.11</v>
      </c>
      <c r="I54" s="214" t="s">
        <v>43</v>
      </c>
      <c r="J54" s="64">
        <v>2.52</v>
      </c>
      <c r="K54" s="64">
        <v>336.51</v>
      </c>
      <c r="L54" s="64">
        <v>29.17</v>
      </c>
      <c r="M54" s="64">
        <v>22.37</v>
      </c>
      <c r="N54" s="64">
        <v>929.8</v>
      </c>
      <c r="O54" s="64">
        <v>0</v>
      </c>
      <c r="P54" s="64">
        <v>0.72</v>
      </c>
      <c r="Q54" s="64">
        <v>9.51</v>
      </c>
      <c r="R54" s="198"/>
      <c r="S54" s="198"/>
      <c r="T54" s="198"/>
      <c r="U54" s="198"/>
    </row>
    <row r="55" spans="1:21" s="12" customFormat="1" x14ac:dyDescent="0.25">
      <c r="A55" s="213" t="s">
        <v>1442</v>
      </c>
      <c r="B55" s="64">
        <v>9.01</v>
      </c>
      <c r="C55" s="64">
        <v>82.01</v>
      </c>
      <c r="D55" s="64">
        <v>48.7</v>
      </c>
      <c r="E55" s="64">
        <v>10.18</v>
      </c>
      <c r="F55" s="64">
        <v>3.89</v>
      </c>
      <c r="G55" s="64">
        <v>92.76</v>
      </c>
      <c r="H55" s="64">
        <v>28.11</v>
      </c>
      <c r="I55" s="214" t="s">
        <v>43</v>
      </c>
      <c r="J55" s="64">
        <v>2.1800000000000002</v>
      </c>
      <c r="K55" s="64">
        <v>350.51</v>
      </c>
      <c r="L55" s="64">
        <v>29.11</v>
      </c>
      <c r="M55" s="64">
        <v>21.65</v>
      </c>
      <c r="N55" s="64">
        <v>918.9</v>
      </c>
      <c r="O55" s="64">
        <v>0</v>
      </c>
      <c r="P55" s="64">
        <v>0.67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3" t="s">
        <v>1443</v>
      </c>
      <c r="B56" s="64">
        <v>7.54</v>
      </c>
      <c r="C56" s="64">
        <v>81.63</v>
      </c>
      <c r="D56" s="64">
        <v>47.32</v>
      </c>
      <c r="E56" s="64">
        <v>8.84</v>
      </c>
      <c r="F56" s="64">
        <v>3.31</v>
      </c>
      <c r="G56" s="64">
        <v>93.63</v>
      </c>
      <c r="H56" s="64">
        <v>27.9</v>
      </c>
      <c r="I56" s="214" t="s">
        <v>43</v>
      </c>
      <c r="J56" s="64">
        <v>2.5</v>
      </c>
      <c r="K56" s="64">
        <v>352.69</v>
      </c>
      <c r="L56" s="64">
        <v>29.01</v>
      </c>
      <c r="M56" s="64">
        <v>20.69</v>
      </c>
      <c r="N56" s="64">
        <v>916.6</v>
      </c>
      <c r="O56" s="64">
        <v>0</v>
      </c>
      <c r="P56" s="64">
        <v>0.62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3" t="s">
        <v>1444</v>
      </c>
      <c r="B57" s="64">
        <v>7.3</v>
      </c>
      <c r="C57" s="64">
        <v>82.57</v>
      </c>
      <c r="D57" s="64">
        <v>47.62</v>
      </c>
      <c r="E57" s="64">
        <v>9.16</v>
      </c>
      <c r="F57" s="64">
        <v>3.97</v>
      </c>
      <c r="G57" s="64">
        <v>95.55</v>
      </c>
      <c r="H57" s="64">
        <v>27.44</v>
      </c>
      <c r="I57" s="214" t="s">
        <v>43</v>
      </c>
      <c r="J57" s="64">
        <v>2.37</v>
      </c>
      <c r="K57" s="64">
        <v>347.39</v>
      </c>
      <c r="L57" s="64">
        <v>29.17</v>
      </c>
      <c r="M57" s="64">
        <v>19.57</v>
      </c>
      <c r="N57" s="64">
        <v>904.4</v>
      </c>
      <c r="O57" s="64">
        <v>0</v>
      </c>
      <c r="P57" s="64">
        <v>0.63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13" t="s">
        <v>1445</v>
      </c>
      <c r="B58" s="64">
        <v>7.22</v>
      </c>
      <c r="C58" s="64">
        <v>82.06</v>
      </c>
      <c r="D58" s="64">
        <v>47.29</v>
      </c>
      <c r="E58" s="64">
        <v>8.19</v>
      </c>
      <c r="F58" s="64">
        <v>3.34</v>
      </c>
      <c r="G58" s="64">
        <v>95.55</v>
      </c>
      <c r="H58" s="64">
        <v>27.44</v>
      </c>
      <c r="I58" s="214" t="s">
        <v>43</v>
      </c>
      <c r="J58" s="64">
        <v>1.89</v>
      </c>
      <c r="K58" s="64">
        <v>346.88</v>
      </c>
      <c r="L58" s="64">
        <v>29.55</v>
      </c>
      <c r="M58" s="64">
        <v>19.059999999999999</v>
      </c>
      <c r="N58" s="64">
        <v>894.6</v>
      </c>
      <c r="O58" s="64">
        <v>0</v>
      </c>
      <c r="P58" s="64">
        <v>0.63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3" t="s">
        <v>1446</v>
      </c>
      <c r="B59" s="64">
        <v>7.15</v>
      </c>
      <c r="C59" s="64">
        <v>81.489999999999995</v>
      </c>
      <c r="D59" s="64">
        <v>46.93</v>
      </c>
      <c r="E59" s="64">
        <v>7.6</v>
      </c>
      <c r="F59" s="64">
        <v>3.87</v>
      </c>
      <c r="G59" s="64">
        <v>95.55</v>
      </c>
      <c r="H59" s="64">
        <v>27.44</v>
      </c>
      <c r="I59" s="214" t="s">
        <v>43</v>
      </c>
      <c r="J59" s="64">
        <v>1.82</v>
      </c>
      <c r="K59" s="64">
        <v>342.7</v>
      </c>
      <c r="L59" s="64">
        <v>29.76</v>
      </c>
      <c r="M59" s="64">
        <v>19.57</v>
      </c>
      <c r="N59" s="64">
        <v>888.4</v>
      </c>
      <c r="O59" s="64">
        <v>0</v>
      </c>
      <c r="P59" s="64">
        <v>0.59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13" t="s">
        <v>1447</v>
      </c>
      <c r="B60" s="64">
        <v>5.8</v>
      </c>
      <c r="C60" s="64">
        <v>77.69</v>
      </c>
      <c r="D60" s="64">
        <v>43.87</v>
      </c>
      <c r="E60" s="64">
        <v>7.38</v>
      </c>
      <c r="F60" s="64">
        <v>5.56</v>
      </c>
      <c r="G60" s="64">
        <v>92.27</v>
      </c>
      <c r="H60" s="64">
        <v>26.07</v>
      </c>
      <c r="I60" s="214" t="s">
        <v>43</v>
      </c>
      <c r="J60" s="64">
        <v>1.4</v>
      </c>
      <c r="K60" s="64">
        <v>330.02</v>
      </c>
      <c r="L60" s="64">
        <v>29.16</v>
      </c>
      <c r="M60" s="64">
        <v>20.57</v>
      </c>
      <c r="N60" s="64">
        <v>870.1</v>
      </c>
      <c r="O60" s="64">
        <v>0</v>
      </c>
      <c r="P60" s="64">
        <v>0.55000000000000004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3" t="s">
        <v>1448</v>
      </c>
      <c r="B61" s="64">
        <v>5.36</v>
      </c>
      <c r="C61" s="64">
        <v>76.81</v>
      </c>
      <c r="D61" s="64">
        <v>43.05</v>
      </c>
      <c r="E61" s="64">
        <v>6.11</v>
      </c>
      <c r="F61" s="64">
        <v>3.53</v>
      </c>
      <c r="G61" s="64">
        <v>84.99</v>
      </c>
      <c r="H61" s="64">
        <v>23.04</v>
      </c>
      <c r="I61" s="214" t="s">
        <v>43</v>
      </c>
      <c r="J61" s="64">
        <v>1.33</v>
      </c>
      <c r="K61" s="64">
        <v>352.7</v>
      </c>
      <c r="L61" s="64">
        <v>29.18</v>
      </c>
      <c r="M61" s="64">
        <v>21.09</v>
      </c>
      <c r="N61" s="64">
        <v>857.1</v>
      </c>
      <c r="O61" s="64">
        <v>0</v>
      </c>
      <c r="P61" s="64">
        <v>0.54</v>
      </c>
      <c r="Q61" s="64">
        <v>9.4700000000000006</v>
      </c>
      <c r="R61" s="198"/>
      <c r="S61" s="198"/>
      <c r="T61" s="198"/>
      <c r="U61" s="198"/>
    </row>
    <row r="62" spans="1:21" s="12" customFormat="1" x14ac:dyDescent="0.25">
      <c r="A62" s="213" t="s">
        <v>1449</v>
      </c>
      <c r="B62" s="64">
        <v>5.33</v>
      </c>
      <c r="C62" s="64">
        <v>73.7</v>
      </c>
      <c r="D62" s="64">
        <v>41.41</v>
      </c>
      <c r="E62" s="64">
        <v>6</v>
      </c>
      <c r="F62" s="64">
        <v>2.1800000000000002</v>
      </c>
      <c r="G62" s="64">
        <v>84.99</v>
      </c>
      <c r="H62" s="64">
        <v>23.04</v>
      </c>
      <c r="I62" s="214" t="s">
        <v>43</v>
      </c>
      <c r="J62" s="64">
        <v>1.73</v>
      </c>
      <c r="K62" s="64">
        <v>345.89</v>
      </c>
      <c r="L62" s="64">
        <v>29.62</v>
      </c>
      <c r="M62" s="64">
        <v>19.809999999999999</v>
      </c>
      <c r="N62" s="64">
        <v>874.7</v>
      </c>
      <c r="O62" s="64">
        <v>0</v>
      </c>
      <c r="P62" s="64">
        <v>0.54</v>
      </c>
      <c r="Q62" s="64">
        <v>9.4499999999999993</v>
      </c>
      <c r="R62" s="198"/>
      <c r="S62" s="198"/>
      <c r="T62" s="198"/>
      <c r="U62" s="198"/>
    </row>
    <row r="63" spans="1:21" s="12" customFormat="1" x14ac:dyDescent="0.25">
      <c r="A63" s="213" t="s">
        <v>1450</v>
      </c>
      <c r="B63" s="64">
        <v>5.52</v>
      </c>
      <c r="C63" s="64">
        <v>70.16</v>
      </c>
      <c r="D63" s="64">
        <v>39.71</v>
      </c>
      <c r="E63" s="64">
        <v>6.22</v>
      </c>
      <c r="F63" s="64">
        <v>4.79</v>
      </c>
      <c r="G63" s="64">
        <v>84.99</v>
      </c>
      <c r="H63" s="64">
        <v>23.04</v>
      </c>
      <c r="I63" s="214" t="s">
        <v>43</v>
      </c>
      <c r="J63" s="64">
        <v>1.87</v>
      </c>
      <c r="K63" s="64">
        <v>333.71</v>
      </c>
      <c r="L63" s="64">
        <v>30.19</v>
      </c>
      <c r="M63" s="64">
        <v>19.600000000000001</v>
      </c>
      <c r="N63" s="64">
        <v>619.6</v>
      </c>
      <c r="O63" s="64">
        <v>0</v>
      </c>
      <c r="P63" s="64">
        <v>0.51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3" t="s">
        <v>1451</v>
      </c>
      <c r="B64" s="64">
        <v>4.71</v>
      </c>
      <c r="C64" s="64">
        <v>68.88</v>
      </c>
      <c r="D64" s="64">
        <v>38.380000000000003</v>
      </c>
      <c r="E64" s="64">
        <v>5.55</v>
      </c>
      <c r="F64" s="64">
        <v>5.8</v>
      </c>
      <c r="G64" s="64">
        <v>80.81</v>
      </c>
      <c r="H64" s="64">
        <v>22.3</v>
      </c>
      <c r="I64" s="214" t="s">
        <v>43</v>
      </c>
      <c r="J64" s="64">
        <v>1.59</v>
      </c>
      <c r="K64" s="64">
        <v>344.07</v>
      </c>
      <c r="L64" s="64">
        <v>29.82</v>
      </c>
      <c r="M64" s="64">
        <v>19.55</v>
      </c>
      <c r="N64" s="64">
        <v>719.7</v>
      </c>
      <c r="O64" s="64">
        <v>0</v>
      </c>
      <c r="P64" s="64">
        <v>0.49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13" t="s">
        <v>1452</v>
      </c>
      <c r="B65" s="64">
        <v>4.1500000000000004</v>
      </c>
      <c r="C65" s="64">
        <v>66.08</v>
      </c>
      <c r="D65" s="64">
        <v>36.47</v>
      </c>
      <c r="E65" s="64">
        <v>5.89</v>
      </c>
      <c r="F65" s="64">
        <v>6.36</v>
      </c>
      <c r="G65" s="64">
        <v>71.56</v>
      </c>
      <c r="H65" s="64">
        <v>20.66</v>
      </c>
      <c r="I65" s="214" t="s">
        <v>43</v>
      </c>
      <c r="J65" s="64">
        <v>1.97</v>
      </c>
      <c r="K65" s="64">
        <v>339.86</v>
      </c>
      <c r="L65" s="64">
        <v>29.66</v>
      </c>
      <c r="M65" s="64">
        <v>19.96</v>
      </c>
      <c r="N65" s="64">
        <v>657.6</v>
      </c>
      <c r="O65" s="64">
        <v>0</v>
      </c>
      <c r="P65" s="64">
        <v>0.48</v>
      </c>
      <c r="Q65" s="64">
        <v>9.4499999999999993</v>
      </c>
      <c r="R65" s="198"/>
      <c r="S65" s="198"/>
      <c r="T65" s="198"/>
      <c r="U65" s="198"/>
    </row>
    <row r="66" spans="1:21" s="12" customFormat="1" x14ac:dyDescent="0.25">
      <c r="A66" s="213" t="s">
        <v>1453</v>
      </c>
      <c r="B66" s="64">
        <v>3.82</v>
      </c>
      <c r="C66" s="64">
        <v>63.01</v>
      </c>
      <c r="D66" s="64">
        <v>34.61</v>
      </c>
      <c r="E66" s="64">
        <v>5.75</v>
      </c>
      <c r="F66" s="64">
        <v>5.57</v>
      </c>
      <c r="G66" s="64">
        <v>71.56</v>
      </c>
      <c r="H66" s="64">
        <v>20.66</v>
      </c>
      <c r="I66" s="214" t="s">
        <v>43</v>
      </c>
      <c r="J66" s="64">
        <v>1.66</v>
      </c>
      <c r="K66" s="64">
        <v>343.86</v>
      </c>
      <c r="L66" s="64">
        <v>29.11</v>
      </c>
      <c r="M66" s="64">
        <v>19.72</v>
      </c>
      <c r="N66" s="64">
        <v>729.3</v>
      </c>
      <c r="O66" s="64">
        <v>0</v>
      </c>
      <c r="P66" s="64">
        <v>0.46</v>
      </c>
      <c r="Q66" s="64">
        <v>9.3699999999999992</v>
      </c>
      <c r="R66" s="198"/>
      <c r="S66" s="198"/>
      <c r="T66" s="198"/>
      <c r="U66" s="198"/>
    </row>
    <row r="67" spans="1:21" s="12" customFormat="1" x14ac:dyDescent="0.25">
      <c r="A67" s="213" t="s">
        <v>1454</v>
      </c>
      <c r="B67" s="64">
        <v>4.03</v>
      </c>
      <c r="C67" s="64">
        <v>60.27</v>
      </c>
      <c r="D67" s="64">
        <v>33.340000000000003</v>
      </c>
      <c r="E67" s="64">
        <v>5.32</v>
      </c>
      <c r="F67" s="64">
        <v>4.74</v>
      </c>
      <c r="G67" s="64">
        <v>71.56</v>
      </c>
      <c r="H67" s="64">
        <v>20.66</v>
      </c>
      <c r="I67" s="214" t="s">
        <v>43</v>
      </c>
      <c r="J67" s="64">
        <v>0.63</v>
      </c>
      <c r="K67" s="64">
        <v>3.64</v>
      </c>
      <c r="L67" s="64">
        <v>28.04</v>
      </c>
      <c r="M67" s="64">
        <v>20.64</v>
      </c>
      <c r="N67" s="64">
        <v>451.2</v>
      </c>
      <c r="O67" s="64">
        <v>0</v>
      </c>
      <c r="P67" s="64">
        <v>0.41</v>
      </c>
      <c r="Q67" s="64">
        <v>9.32</v>
      </c>
      <c r="R67" s="198"/>
      <c r="S67" s="198"/>
      <c r="T67" s="198"/>
      <c r="U67" s="198"/>
    </row>
    <row r="68" spans="1:21" s="12" customFormat="1" x14ac:dyDescent="0.25">
      <c r="A68" s="213" t="s">
        <v>1455</v>
      </c>
      <c r="B68" s="64">
        <v>3.88</v>
      </c>
      <c r="C68" s="64">
        <v>58.21</v>
      </c>
      <c r="D68" s="64">
        <v>32.15</v>
      </c>
      <c r="E68" s="64">
        <v>5.5</v>
      </c>
      <c r="F68" s="64">
        <v>7</v>
      </c>
      <c r="G68" s="64">
        <v>62.36</v>
      </c>
      <c r="H68" s="64">
        <v>18.55</v>
      </c>
      <c r="I68" s="214" t="s">
        <v>43</v>
      </c>
      <c r="J68" s="64">
        <v>1.1200000000000001</v>
      </c>
      <c r="K68" s="64">
        <v>314.8</v>
      </c>
      <c r="L68" s="64">
        <v>27.81</v>
      </c>
      <c r="M68" s="64">
        <v>21.34</v>
      </c>
      <c r="N68" s="64">
        <v>439.8</v>
      </c>
      <c r="O68" s="64">
        <v>0</v>
      </c>
      <c r="P68" s="64">
        <v>0.43</v>
      </c>
      <c r="Q68" s="64">
        <v>9.2799999999999994</v>
      </c>
      <c r="R68" s="198"/>
      <c r="S68" s="198"/>
      <c r="T68" s="198"/>
      <c r="U68" s="198"/>
    </row>
    <row r="69" spans="1:21" s="12" customFormat="1" x14ac:dyDescent="0.25">
      <c r="A69" s="213" t="s">
        <v>1456</v>
      </c>
      <c r="B69" s="64">
        <v>4.21</v>
      </c>
      <c r="C69" s="64">
        <v>59.86</v>
      </c>
      <c r="D69" s="64">
        <v>33.270000000000003</v>
      </c>
      <c r="E69" s="64">
        <v>5.61</v>
      </c>
      <c r="F69" s="64">
        <v>7.41</v>
      </c>
      <c r="G69" s="64">
        <v>42</v>
      </c>
      <c r="H69" s="64">
        <v>13.87</v>
      </c>
      <c r="I69" s="214" t="s">
        <v>43</v>
      </c>
      <c r="J69" s="64">
        <v>0.84</v>
      </c>
      <c r="K69" s="64">
        <v>341.78</v>
      </c>
      <c r="L69" s="64">
        <v>27.28</v>
      </c>
      <c r="M69" s="64">
        <v>21.88</v>
      </c>
      <c r="N69" s="64">
        <v>425.4</v>
      </c>
      <c r="O69" s="64">
        <v>0</v>
      </c>
      <c r="P69" s="64">
        <v>0.43</v>
      </c>
      <c r="Q69" s="64">
        <v>9.26</v>
      </c>
      <c r="R69" s="198"/>
      <c r="S69" s="198"/>
      <c r="T69" s="198"/>
      <c r="U69" s="198"/>
    </row>
    <row r="70" spans="1:21" s="12" customFormat="1" x14ac:dyDescent="0.25">
      <c r="A70" s="213" t="s">
        <v>1457</v>
      </c>
      <c r="B70" s="64">
        <v>4.21</v>
      </c>
      <c r="C70" s="64">
        <v>60.82</v>
      </c>
      <c r="D70" s="64">
        <v>33.78</v>
      </c>
      <c r="E70" s="64">
        <v>5.4</v>
      </c>
      <c r="F70" s="64">
        <v>6.3</v>
      </c>
      <c r="G70" s="64">
        <v>42</v>
      </c>
      <c r="H70" s="64">
        <v>13.87</v>
      </c>
      <c r="I70" s="214" t="s">
        <v>43</v>
      </c>
      <c r="J70" s="64">
        <v>1.56</v>
      </c>
      <c r="K70" s="64">
        <v>324.64999999999998</v>
      </c>
      <c r="L70" s="64">
        <v>27.02</v>
      </c>
      <c r="M70" s="64">
        <v>22.43</v>
      </c>
      <c r="N70" s="64">
        <v>358.5</v>
      </c>
      <c r="O70" s="64">
        <v>0</v>
      </c>
      <c r="P70" s="64">
        <v>0.43</v>
      </c>
      <c r="Q70" s="64">
        <v>9.26</v>
      </c>
      <c r="R70" s="198"/>
      <c r="S70" s="198"/>
      <c r="T70" s="198"/>
      <c r="U70" s="198"/>
    </row>
    <row r="71" spans="1:21" s="12" customFormat="1" x14ac:dyDescent="0.25">
      <c r="A71" s="213" t="s">
        <v>1458</v>
      </c>
      <c r="B71" s="64">
        <v>4.0999999999999996</v>
      </c>
      <c r="C71" s="64">
        <v>60.15</v>
      </c>
      <c r="D71" s="64">
        <v>33.340000000000003</v>
      </c>
      <c r="E71" s="64">
        <v>5.9</v>
      </c>
      <c r="F71" s="64">
        <v>5.7</v>
      </c>
      <c r="G71" s="64">
        <v>42</v>
      </c>
      <c r="H71" s="64">
        <v>13.87</v>
      </c>
      <c r="I71" s="214" t="s">
        <v>43</v>
      </c>
      <c r="J71" s="64">
        <v>0.46</v>
      </c>
      <c r="K71" s="64">
        <v>271.04000000000002</v>
      </c>
      <c r="L71" s="64">
        <v>25.92</v>
      </c>
      <c r="M71" s="64">
        <v>23.19</v>
      </c>
      <c r="N71" s="64">
        <v>290.3</v>
      </c>
      <c r="O71" s="64">
        <v>0</v>
      </c>
      <c r="P71" s="64">
        <v>0.42</v>
      </c>
      <c r="Q71" s="64">
        <v>9.27</v>
      </c>
      <c r="R71" s="198"/>
      <c r="S71" s="198"/>
      <c r="T71" s="198"/>
      <c r="U71" s="198"/>
    </row>
    <row r="72" spans="1:21" s="12" customFormat="1" x14ac:dyDescent="0.25">
      <c r="A72" s="213" t="s">
        <v>1459</v>
      </c>
      <c r="B72" s="64">
        <v>4.16</v>
      </c>
      <c r="C72" s="64">
        <v>59.02</v>
      </c>
      <c r="D72" s="64">
        <v>32.799999999999997</v>
      </c>
      <c r="E72" s="64">
        <v>5.3</v>
      </c>
      <c r="F72" s="64">
        <v>2.99</v>
      </c>
      <c r="G72" s="64">
        <v>39.96</v>
      </c>
      <c r="H72" s="64">
        <v>12.9</v>
      </c>
      <c r="I72" s="214" t="s">
        <v>43</v>
      </c>
      <c r="J72" s="64">
        <v>0.62</v>
      </c>
      <c r="K72" s="64">
        <v>320.12</v>
      </c>
      <c r="L72" s="64">
        <v>25.1</v>
      </c>
      <c r="M72" s="64">
        <v>24.29</v>
      </c>
      <c r="N72" s="64">
        <v>213</v>
      </c>
      <c r="O72" s="64">
        <v>0</v>
      </c>
      <c r="P72" s="64">
        <v>0.41</v>
      </c>
      <c r="Q72" s="64">
        <v>9.2899999999999991</v>
      </c>
      <c r="R72" s="198"/>
      <c r="S72" s="198"/>
      <c r="T72" s="198"/>
      <c r="U72" s="198"/>
    </row>
    <row r="73" spans="1:21" s="12" customFormat="1" x14ac:dyDescent="0.25">
      <c r="A73" s="213" t="s">
        <v>1460</v>
      </c>
      <c r="B73" s="64">
        <v>4.4400000000000004</v>
      </c>
      <c r="C73" s="64">
        <v>57.43</v>
      </c>
      <c r="D73" s="64">
        <v>32.19</v>
      </c>
      <c r="E73" s="64">
        <v>5.88</v>
      </c>
      <c r="F73" s="64">
        <v>2.14</v>
      </c>
      <c r="G73" s="64">
        <v>35.43</v>
      </c>
      <c r="H73" s="64">
        <v>10.77</v>
      </c>
      <c r="I73" s="214" t="s">
        <v>43</v>
      </c>
      <c r="J73" s="64">
        <v>1.23</v>
      </c>
      <c r="K73" s="64">
        <v>327.29000000000002</v>
      </c>
      <c r="L73" s="64">
        <v>25.16</v>
      </c>
      <c r="M73" s="64">
        <v>24.7</v>
      </c>
      <c r="N73" s="64">
        <v>168.9</v>
      </c>
      <c r="O73" s="64">
        <v>0</v>
      </c>
      <c r="P73" s="64">
        <v>0.42</v>
      </c>
      <c r="Q73" s="64">
        <v>9.2899999999999991</v>
      </c>
      <c r="R73" s="198"/>
      <c r="S73" s="198"/>
      <c r="T73" s="198"/>
      <c r="U73" s="198"/>
    </row>
    <row r="74" spans="1:21" s="12" customFormat="1" x14ac:dyDescent="0.25">
      <c r="A74" s="213" t="s">
        <v>1461</v>
      </c>
      <c r="B74" s="64">
        <v>4.99</v>
      </c>
      <c r="C74" s="64">
        <v>57.09</v>
      </c>
      <c r="D74" s="64">
        <v>32.450000000000003</v>
      </c>
      <c r="E74" s="64">
        <v>6.03</v>
      </c>
      <c r="F74" s="64">
        <v>2.13</v>
      </c>
      <c r="G74" s="64">
        <v>35.43</v>
      </c>
      <c r="H74" s="64">
        <v>10.77</v>
      </c>
      <c r="I74" s="214" t="s">
        <v>43</v>
      </c>
      <c r="J74" s="64">
        <v>0.87</v>
      </c>
      <c r="K74" s="64">
        <v>310.57</v>
      </c>
      <c r="L74" s="64">
        <v>24.97</v>
      </c>
      <c r="M74" s="64">
        <v>25.02</v>
      </c>
      <c r="N74" s="64">
        <v>155.5</v>
      </c>
      <c r="O74" s="64">
        <v>0</v>
      </c>
      <c r="P74" s="64">
        <v>0.43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3" t="s">
        <v>1462</v>
      </c>
      <c r="B75" s="64">
        <v>5.23</v>
      </c>
      <c r="C75" s="64">
        <v>58.16</v>
      </c>
      <c r="D75" s="64">
        <v>33.200000000000003</v>
      </c>
      <c r="E75" s="64">
        <v>6.43</v>
      </c>
      <c r="F75" s="64">
        <v>2.13</v>
      </c>
      <c r="G75" s="64">
        <v>35.43</v>
      </c>
      <c r="H75" s="64">
        <v>10.77</v>
      </c>
      <c r="I75" s="214" t="s">
        <v>43</v>
      </c>
      <c r="J75" s="64">
        <v>1.47</v>
      </c>
      <c r="K75" s="64">
        <v>317.2</v>
      </c>
      <c r="L75" s="64">
        <v>24.82</v>
      </c>
      <c r="M75" s="64">
        <v>25.75</v>
      </c>
      <c r="N75" s="64">
        <v>141.19999999999999</v>
      </c>
      <c r="O75" s="64">
        <v>0</v>
      </c>
      <c r="P75" s="64">
        <v>0.43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3" t="s">
        <v>1463</v>
      </c>
      <c r="B76" s="64">
        <v>4.68</v>
      </c>
      <c r="C76" s="64">
        <v>58.58</v>
      </c>
      <c r="D76" s="64">
        <v>32.979999999999997</v>
      </c>
      <c r="E76" s="64">
        <v>6.87</v>
      </c>
      <c r="F76" s="64">
        <v>4.96</v>
      </c>
      <c r="G76" s="64">
        <v>36.96</v>
      </c>
      <c r="H76" s="64">
        <v>11.01</v>
      </c>
      <c r="I76" s="214" t="s">
        <v>43</v>
      </c>
      <c r="J76" s="64">
        <v>1.1399999999999999</v>
      </c>
      <c r="K76" s="64">
        <v>310.42</v>
      </c>
      <c r="L76" s="64">
        <v>24.5</v>
      </c>
      <c r="M76" s="64">
        <v>26.55</v>
      </c>
      <c r="N76" s="64">
        <v>131.9</v>
      </c>
      <c r="O76" s="64">
        <v>0</v>
      </c>
      <c r="P76" s="64">
        <v>0.44</v>
      </c>
      <c r="Q76" s="64">
        <v>9.2899999999999991</v>
      </c>
      <c r="R76" s="198"/>
      <c r="S76" s="198"/>
      <c r="T76" s="198"/>
      <c r="U76" s="198"/>
    </row>
    <row r="77" spans="1:21" s="12" customFormat="1" x14ac:dyDescent="0.25">
      <c r="A77" s="213" t="s">
        <v>1464</v>
      </c>
      <c r="B77" s="64">
        <v>4.16</v>
      </c>
      <c r="C77" s="64">
        <v>60.59</v>
      </c>
      <c r="D77" s="64">
        <v>33.619999999999997</v>
      </c>
      <c r="E77" s="64">
        <v>7.11</v>
      </c>
      <c r="F77" s="64">
        <v>5.53</v>
      </c>
      <c r="G77" s="64">
        <v>40.35</v>
      </c>
      <c r="H77" s="64">
        <v>11.54</v>
      </c>
      <c r="I77" s="214" t="s">
        <v>43</v>
      </c>
      <c r="J77" s="64">
        <v>0.46</v>
      </c>
      <c r="K77" s="64">
        <v>235.76</v>
      </c>
      <c r="L77" s="64">
        <v>24.14</v>
      </c>
      <c r="M77" s="64">
        <v>25.88</v>
      </c>
      <c r="N77" s="64">
        <v>120.5</v>
      </c>
      <c r="O77" s="64">
        <v>0</v>
      </c>
      <c r="P77" s="64">
        <v>0.45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13" t="s">
        <v>1465</v>
      </c>
      <c r="B78" s="64">
        <v>3.76</v>
      </c>
      <c r="C78" s="64">
        <v>62.35</v>
      </c>
      <c r="D78" s="64">
        <v>34.22</v>
      </c>
      <c r="E78" s="64">
        <v>6.8</v>
      </c>
      <c r="F78" s="64">
        <v>4.33</v>
      </c>
      <c r="G78" s="64">
        <v>40.35</v>
      </c>
      <c r="H78" s="64">
        <v>11.54</v>
      </c>
      <c r="I78" s="214" t="s">
        <v>43</v>
      </c>
      <c r="J78" s="64">
        <v>0.35</v>
      </c>
      <c r="K78" s="64">
        <v>237.24</v>
      </c>
      <c r="L78" s="64">
        <v>23.74</v>
      </c>
      <c r="M78" s="64">
        <v>26.75</v>
      </c>
      <c r="N78" s="64">
        <v>109.6</v>
      </c>
      <c r="O78" s="64">
        <v>0</v>
      </c>
      <c r="P78" s="64">
        <v>0.47</v>
      </c>
      <c r="Q78" s="64">
        <v>9.32</v>
      </c>
      <c r="R78" s="198"/>
      <c r="S78" s="198"/>
      <c r="T78" s="198"/>
      <c r="U78" s="198"/>
    </row>
    <row r="79" spans="1:21" s="12" customFormat="1" x14ac:dyDescent="0.25">
      <c r="A79" s="213" t="s">
        <v>1466</v>
      </c>
      <c r="B79" s="64">
        <v>3.8</v>
      </c>
      <c r="C79" s="64">
        <v>62.15</v>
      </c>
      <c r="D79" s="64">
        <v>34.14</v>
      </c>
      <c r="E79" s="64">
        <v>6.53</v>
      </c>
      <c r="F79" s="64">
        <v>2.27</v>
      </c>
      <c r="G79" s="64">
        <v>40.35</v>
      </c>
      <c r="H79" s="64">
        <v>11.54</v>
      </c>
      <c r="I79" s="214" t="s">
        <v>43</v>
      </c>
      <c r="J79" s="64">
        <v>0.37</v>
      </c>
      <c r="K79" s="64">
        <v>240.42</v>
      </c>
      <c r="L79" s="64">
        <v>23.15</v>
      </c>
      <c r="M79" s="64">
        <v>28.46</v>
      </c>
      <c r="N79" s="64">
        <v>99.1</v>
      </c>
      <c r="O79" s="64">
        <v>0</v>
      </c>
      <c r="P79" s="64">
        <v>0.47</v>
      </c>
      <c r="Q79" s="64">
        <v>9.31</v>
      </c>
      <c r="R79" s="198"/>
      <c r="S79" s="198"/>
      <c r="T79" s="198"/>
      <c r="U79" s="198"/>
    </row>
    <row r="80" spans="1:21" s="12" customFormat="1" x14ac:dyDescent="0.25">
      <c r="A80" s="213" t="s">
        <v>1467</v>
      </c>
      <c r="B80" s="64">
        <v>4.2</v>
      </c>
      <c r="C80" s="64">
        <v>62.23</v>
      </c>
      <c r="D80" s="64">
        <v>34.51</v>
      </c>
      <c r="E80" s="64">
        <v>6.44</v>
      </c>
      <c r="F80" s="64">
        <v>2.13</v>
      </c>
      <c r="G80" s="64">
        <v>44.38</v>
      </c>
      <c r="H80" s="64">
        <v>12.15</v>
      </c>
      <c r="I80" s="214" t="s">
        <v>43</v>
      </c>
      <c r="J80" s="64">
        <v>0.67</v>
      </c>
      <c r="K80" s="64">
        <v>231.74</v>
      </c>
      <c r="L80" s="64">
        <v>22.54</v>
      </c>
      <c r="M80" s="64">
        <v>29.26</v>
      </c>
      <c r="N80" s="64">
        <v>90.2</v>
      </c>
      <c r="O80" s="64">
        <v>0</v>
      </c>
      <c r="P80" s="64">
        <v>0.5</v>
      </c>
      <c r="Q80" s="64">
        <v>9.3000000000000007</v>
      </c>
      <c r="R80" s="198"/>
      <c r="S80" s="198"/>
      <c r="T80" s="198"/>
      <c r="U80" s="198"/>
    </row>
    <row r="81" spans="1:26" s="12" customFormat="1" x14ac:dyDescent="0.25">
      <c r="A81" s="213" t="s">
        <v>1468</v>
      </c>
      <c r="B81" s="64">
        <v>4.54</v>
      </c>
      <c r="C81" s="64">
        <v>61.85</v>
      </c>
      <c r="D81" s="64">
        <v>34.58</v>
      </c>
      <c r="E81" s="64">
        <v>6.02</v>
      </c>
      <c r="F81" s="64">
        <v>2.13</v>
      </c>
      <c r="G81" s="64">
        <v>53.3</v>
      </c>
      <c r="H81" s="64">
        <v>13.48</v>
      </c>
      <c r="I81" s="214" t="s">
        <v>43</v>
      </c>
      <c r="J81" s="64">
        <v>0.75</v>
      </c>
      <c r="K81" s="64">
        <v>236.66</v>
      </c>
      <c r="L81" s="64">
        <v>21.89</v>
      </c>
      <c r="M81" s="64">
        <v>32.340000000000003</v>
      </c>
      <c r="N81" s="64">
        <v>86.3</v>
      </c>
      <c r="O81" s="64">
        <v>0</v>
      </c>
      <c r="P81" s="64">
        <v>0.52</v>
      </c>
      <c r="Q81" s="64">
        <v>9.32</v>
      </c>
      <c r="R81" s="198"/>
      <c r="S81" s="198"/>
      <c r="T81" s="198"/>
      <c r="U81" s="198"/>
    </row>
    <row r="82" spans="1:26" s="12" customFormat="1" x14ac:dyDescent="0.25">
      <c r="A82" s="213" t="s">
        <v>1469</v>
      </c>
      <c r="B82" s="64">
        <v>5.35</v>
      </c>
      <c r="C82" s="64">
        <v>63.04</v>
      </c>
      <c r="D82" s="64">
        <v>35.85</v>
      </c>
      <c r="E82" s="64">
        <v>6.1</v>
      </c>
      <c r="F82" s="64">
        <v>2.13</v>
      </c>
      <c r="G82" s="64">
        <v>53.3</v>
      </c>
      <c r="H82" s="64">
        <v>13.48</v>
      </c>
      <c r="I82" s="214" t="s">
        <v>43</v>
      </c>
      <c r="J82" s="64">
        <v>0.56999999999999995</v>
      </c>
      <c r="K82" s="64">
        <v>257.77999999999997</v>
      </c>
      <c r="L82" s="64">
        <v>21.18</v>
      </c>
      <c r="M82" s="64">
        <v>35.299999999999997</v>
      </c>
      <c r="N82" s="64">
        <v>86.3</v>
      </c>
      <c r="O82" s="64">
        <v>0</v>
      </c>
      <c r="P82" s="64">
        <v>0.55000000000000004</v>
      </c>
      <c r="Q82" s="64">
        <v>9.33</v>
      </c>
      <c r="R82" s="198"/>
      <c r="S82" s="198"/>
      <c r="T82" s="198"/>
      <c r="U82" s="198"/>
    </row>
    <row r="83" spans="1:26" s="12" customFormat="1" x14ac:dyDescent="0.25">
      <c r="A83" s="213" t="s">
        <v>1470</v>
      </c>
      <c r="B83" s="64">
        <v>7.45</v>
      </c>
      <c r="C83" s="64">
        <v>64.84</v>
      </c>
      <c r="D83" s="64">
        <v>38.47</v>
      </c>
      <c r="E83" s="64">
        <v>5.98</v>
      </c>
      <c r="F83" s="64">
        <v>2.13</v>
      </c>
      <c r="G83" s="64">
        <v>53.3</v>
      </c>
      <c r="H83" s="64">
        <v>13.48</v>
      </c>
      <c r="I83" s="214" t="s">
        <v>43</v>
      </c>
      <c r="J83" s="64">
        <v>0.44</v>
      </c>
      <c r="K83" s="64">
        <v>84.13</v>
      </c>
      <c r="L83" s="64">
        <v>20.149999999999999</v>
      </c>
      <c r="M83" s="64">
        <v>39.770000000000003</v>
      </c>
      <c r="N83" s="64">
        <v>86.1</v>
      </c>
      <c r="O83" s="64">
        <v>0</v>
      </c>
      <c r="P83" s="64">
        <v>0.57999999999999996</v>
      </c>
      <c r="Q83" s="64">
        <v>9.41</v>
      </c>
      <c r="R83" s="198"/>
      <c r="S83" s="198"/>
      <c r="T83" s="198"/>
      <c r="U83" s="198"/>
    </row>
    <row r="84" spans="1:26" s="12" customFormat="1" x14ac:dyDescent="0.25">
      <c r="A84" s="213" t="s">
        <v>1471</v>
      </c>
      <c r="B84" s="64">
        <v>11.7</v>
      </c>
      <c r="C84" s="64">
        <v>67.099999999999994</v>
      </c>
      <c r="D84" s="64">
        <v>43.06</v>
      </c>
      <c r="E84" s="64">
        <v>6.49</v>
      </c>
      <c r="F84" s="64">
        <v>2.13</v>
      </c>
      <c r="G84" s="64">
        <v>85.38</v>
      </c>
      <c r="H84" s="64">
        <v>16.11</v>
      </c>
      <c r="I84" s="214" t="s">
        <v>43</v>
      </c>
      <c r="J84" s="64">
        <v>0.6</v>
      </c>
      <c r="K84" s="64">
        <v>322.43</v>
      </c>
      <c r="L84" s="64">
        <v>19.45</v>
      </c>
      <c r="M84" s="64">
        <v>44.8</v>
      </c>
      <c r="N84" s="64">
        <v>85.8</v>
      </c>
      <c r="O84" s="64">
        <v>0</v>
      </c>
      <c r="P84" s="64">
        <v>1.01</v>
      </c>
      <c r="Q84" s="64">
        <v>9.49</v>
      </c>
      <c r="R84" s="198"/>
      <c r="S84" s="198"/>
      <c r="T84" s="198"/>
      <c r="U84" s="198"/>
    </row>
    <row r="85" spans="1:26" s="12" customFormat="1" x14ac:dyDescent="0.25">
      <c r="A85" s="213" t="s">
        <v>1472</v>
      </c>
      <c r="B85" s="64">
        <v>18.100000000000001</v>
      </c>
      <c r="C85" s="64">
        <v>66.599999999999994</v>
      </c>
      <c r="D85" s="64">
        <v>47.94</v>
      </c>
      <c r="E85" s="64">
        <v>6.91</v>
      </c>
      <c r="F85" s="64">
        <v>2.13</v>
      </c>
      <c r="G85" s="64">
        <v>156.41</v>
      </c>
      <c r="H85" s="64">
        <v>21.94</v>
      </c>
      <c r="I85" s="214" t="s">
        <v>43</v>
      </c>
      <c r="J85" s="64">
        <v>0.62</v>
      </c>
      <c r="K85" s="64">
        <v>245.32</v>
      </c>
      <c r="L85" s="64">
        <v>19.100000000000001</v>
      </c>
      <c r="M85" s="64">
        <v>44.94</v>
      </c>
      <c r="N85" s="64">
        <v>85.5</v>
      </c>
      <c r="O85" s="64">
        <v>0</v>
      </c>
      <c r="P85" s="64">
        <v>0.95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3" t="s">
        <v>1473</v>
      </c>
      <c r="B86" s="64">
        <v>24.73</v>
      </c>
      <c r="C86" s="64">
        <v>67.52</v>
      </c>
      <c r="D86" s="64">
        <v>53.73</v>
      </c>
      <c r="E86" s="64">
        <v>6.9</v>
      </c>
      <c r="F86" s="64">
        <v>2.13</v>
      </c>
      <c r="G86" s="64">
        <v>156.41</v>
      </c>
      <c r="H86" s="64">
        <v>21.94</v>
      </c>
      <c r="I86" s="214" t="s">
        <v>43</v>
      </c>
      <c r="J86" s="64">
        <v>0.57999999999999996</v>
      </c>
      <c r="K86" s="64">
        <v>291.61</v>
      </c>
      <c r="L86" s="64">
        <v>18.91</v>
      </c>
      <c r="M86" s="64">
        <v>47.53</v>
      </c>
      <c r="N86" s="64">
        <v>85.3</v>
      </c>
      <c r="O86" s="64">
        <v>0</v>
      </c>
      <c r="P86" s="64">
        <v>1.07</v>
      </c>
      <c r="Q86" s="64">
        <v>9.5</v>
      </c>
      <c r="R86" s="198"/>
      <c r="S86" s="198"/>
      <c r="T86" s="198"/>
      <c r="U86" s="198"/>
    </row>
    <row r="87" spans="1:26" s="12" customFormat="1" x14ac:dyDescent="0.25">
      <c r="A87" s="213" t="s">
        <v>1474</v>
      </c>
      <c r="B87" s="64">
        <v>30.07</v>
      </c>
      <c r="C87" s="64">
        <v>68.47</v>
      </c>
      <c r="D87" s="64">
        <v>58.51</v>
      </c>
      <c r="E87" s="64">
        <v>6.53</v>
      </c>
      <c r="F87" s="64">
        <v>2.13</v>
      </c>
      <c r="G87" s="64">
        <v>156.41</v>
      </c>
      <c r="H87" s="64">
        <v>21.94</v>
      </c>
      <c r="I87" s="214" t="s">
        <v>43</v>
      </c>
      <c r="J87" s="64">
        <v>0.23</v>
      </c>
      <c r="K87" s="64">
        <v>10.66</v>
      </c>
      <c r="L87" s="64">
        <v>18.52</v>
      </c>
      <c r="M87" s="64">
        <v>55.8</v>
      </c>
      <c r="N87" s="64">
        <v>85.3</v>
      </c>
      <c r="O87" s="64">
        <v>0</v>
      </c>
      <c r="P87" s="64">
        <v>1.29</v>
      </c>
      <c r="Q87" s="64">
        <v>9.5299999999999994</v>
      </c>
      <c r="R87" s="198"/>
      <c r="S87" s="198"/>
      <c r="T87" s="198"/>
      <c r="U87" s="198"/>
    </row>
    <row r="88" spans="1:26" s="12" customFormat="1" x14ac:dyDescent="0.25">
      <c r="A88" s="213" t="s">
        <v>1475</v>
      </c>
      <c r="B88" s="64">
        <v>35.770000000000003</v>
      </c>
      <c r="C88" s="64">
        <v>68.53</v>
      </c>
      <c r="D88" s="64">
        <v>63.11</v>
      </c>
      <c r="E88" s="64">
        <v>7.07</v>
      </c>
      <c r="F88" s="64">
        <v>2.13</v>
      </c>
      <c r="G88" s="64">
        <v>161.04</v>
      </c>
      <c r="H88" s="64">
        <v>23.31</v>
      </c>
      <c r="I88" s="214" t="s">
        <v>43</v>
      </c>
      <c r="J88" s="64">
        <v>0.33</v>
      </c>
      <c r="K88" s="64">
        <v>270.13</v>
      </c>
      <c r="L88" s="64">
        <v>18.239999999999998</v>
      </c>
      <c r="M88" s="64">
        <v>52.38</v>
      </c>
      <c r="N88" s="64">
        <v>85.3</v>
      </c>
      <c r="O88" s="64">
        <v>0</v>
      </c>
      <c r="P88" s="64">
        <v>1.26</v>
      </c>
      <c r="Q88" s="64">
        <v>9.5299999999999994</v>
      </c>
      <c r="R88" s="198"/>
      <c r="S88" s="198"/>
      <c r="T88" s="198"/>
      <c r="U88" s="198"/>
    </row>
    <row r="89" spans="1:26" s="12" customFormat="1" x14ac:dyDescent="0.25">
      <c r="A89" s="213" t="s">
        <v>1476</v>
      </c>
      <c r="B89" s="64">
        <v>40.99</v>
      </c>
      <c r="C89" s="64">
        <v>68.31</v>
      </c>
      <c r="D89" s="64">
        <v>67.19</v>
      </c>
      <c r="E89" s="64">
        <v>6.8</v>
      </c>
      <c r="F89" s="64">
        <v>2.13</v>
      </c>
      <c r="G89" s="64">
        <v>171.29</v>
      </c>
      <c r="H89" s="64">
        <v>26.35</v>
      </c>
      <c r="I89" s="214" t="s">
        <v>43</v>
      </c>
      <c r="J89" s="64">
        <v>0.45</v>
      </c>
      <c r="K89" s="64">
        <v>314.13</v>
      </c>
      <c r="L89" s="64">
        <v>18.16</v>
      </c>
      <c r="M89" s="64">
        <v>50.73</v>
      </c>
      <c r="N89" s="64">
        <v>85.2</v>
      </c>
      <c r="O89" s="64">
        <v>0</v>
      </c>
      <c r="P89" s="64">
        <v>1.43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3" t="s">
        <v>1477</v>
      </c>
      <c r="B90" s="64">
        <v>46.92</v>
      </c>
      <c r="C90" s="64">
        <v>68.459999999999994</v>
      </c>
      <c r="D90" s="64">
        <v>72.02</v>
      </c>
      <c r="E90" s="64">
        <v>6.68</v>
      </c>
      <c r="F90" s="64">
        <v>2.13</v>
      </c>
      <c r="G90" s="64">
        <v>171.29</v>
      </c>
      <c r="H90" s="64">
        <v>26.35</v>
      </c>
      <c r="I90" s="214" t="s">
        <v>43</v>
      </c>
      <c r="J90" s="64">
        <v>1</v>
      </c>
      <c r="K90" s="64">
        <v>327.37</v>
      </c>
      <c r="L90" s="64">
        <v>18.190000000000001</v>
      </c>
      <c r="M90" s="64">
        <v>47.37</v>
      </c>
      <c r="N90" s="64">
        <v>84</v>
      </c>
      <c r="O90" s="64">
        <v>0</v>
      </c>
      <c r="P90" s="64">
        <v>1.3</v>
      </c>
      <c r="Q90" s="64">
        <v>9.5299999999999994</v>
      </c>
      <c r="R90" s="198"/>
      <c r="S90" s="198"/>
      <c r="T90" s="198"/>
      <c r="U90" s="198"/>
    </row>
    <row r="91" spans="1:26" s="12" customFormat="1" x14ac:dyDescent="0.25">
      <c r="A91" s="213" t="s">
        <v>1478</v>
      </c>
      <c r="B91" s="64">
        <v>49.23</v>
      </c>
      <c r="C91" s="64">
        <v>67.48</v>
      </c>
      <c r="D91" s="64">
        <v>73.36</v>
      </c>
      <c r="E91" s="64">
        <v>7.06</v>
      </c>
      <c r="F91" s="64">
        <v>2.13</v>
      </c>
      <c r="G91" s="64">
        <v>171.29</v>
      </c>
      <c r="H91" s="64">
        <v>26.35</v>
      </c>
      <c r="I91" s="214" t="s">
        <v>43</v>
      </c>
      <c r="J91" s="64">
        <v>1.51</v>
      </c>
      <c r="K91" s="64">
        <v>318.89999999999998</v>
      </c>
      <c r="L91" s="64">
        <v>18.7</v>
      </c>
      <c r="M91" s="64">
        <v>37.49</v>
      </c>
      <c r="N91" s="64">
        <v>83</v>
      </c>
      <c r="O91" s="64">
        <v>0</v>
      </c>
      <c r="P91" s="64">
        <v>0.99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3" t="s">
        <v>1479</v>
      </c>
      <c r="B92" s="64">
        <v>48.04</v>
      </c>
      <c r="C92" s="64">
        <v>66.62</v>
      </c>
      <c r="D92" s="64">
        <v>71.95</v>
      </c>
      <c r="E92" s="64">
        <v>7.04</v>
      </c>
      <c r="F92" s="64">
        <v>2.13</v>
      </c>
      <c r="G92" s="64">
        <v>142.65</v>
      </c>
      <c r="H92" s="64">
        <v>26.67</v>
      </c>
      <c r="I92" s="214" t="s">
        <v>43</v>
      </c>
      <c r="J92" s="64">
        <v>1.29</v>
      </c>
      <c r="K92" s="64">
        <v>311.26</v>
      </c>
      <c r="L92" s="64">
        <v>18.850000000000001</v>
      </c>
      <c r="M92" s="64">
        <v>35.47</v>
      </c>
      <c r="N92" s="64">
        <v>84.7</v>
      </c>
      <c r="O92" s="64">
        <v>0</v>
      </c>
      <c r="P92" s="64">
        <v>0.98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3" t="s">
        <v>1480</v>
      </c>
      <c r="B93" s="64">
        <v>45.86</v>
      </c>
      <c r="C93" s="64">
        <v>66.37</v>
      </c>
      <c r="D93" s="64">
        <v>70.069999999999993</v>
      </c>
      <c r="E93" s="64">
        <v>6.78</v>
      </c>
      <c r="F93" s="64">
        <v>2.13</v>
      </c>
      <c r="G93" s="64">
        <v>79.25</v>
      </c>
      <c r="H93" s="64">
        <v>27.37</v>
      </c>
      <c r="I93" s="214" t="s">
        <v>43</v>
      </c>
      <c r="J93" s="64">
        <v>1.19</v>
      </c>
      <c r="K93" s="64">
        <v>300.74</v>
      </c>
      <c r="L93" s="64">
        <v>18.71</v>
      </c>
      <c r="M93" s="64">
        <v>34.96</v>
      </c>
      <c r="N93" s="64">
        <v>84.9</v>
      </c>
      <c r="O93" s="64">
        <v>0</v>
      </c>
      <c r="P93" s="64">
        <v>0.96</v>
      </c>
      <c r="Q93" s="64">
        <v>9.68</v>
      </c>
      <c r="R93" s="198"/>
      <c r="S93" s="198"/>
      <c r="T93" s="198"/>
      <c r="U93" s="198"/>
    </row>
    <row r="94" spans="1:26" s="12" customFormat="1" x14ac:dyDescent="0.25">
      <c r="A94" s="213" t="s">
        <v>1481</v>
      </c>
      <c r="B94" s="64">
        <v>42.76</v>
      </c>
      <c r="C94" s="64">
        <v>65.540000000000006</v>
      </c>
      <c r="D94" s="64">
        <v>67.150000000000006</v>
      </c>
      <c r="E94" s="64">
        <v>6.69</v>
      </c>
      <c r="F94" s="64">
        <v>2.13</v>
      </c>
      <c r="G94" s="64">
        <v>79.25</v>
      </c>
      <c r="H94" s="64">
        <v>27.37</v>
      </c>
      <c r="I94" s="214" t="s">
        <v>43</v>
      </c>
      <c r="J94" s="64">
        <v>1.6</v>
      </c>
      <c r="K94" s="64">
        <v>310.87</v>
      </c>
      <c r="L94" s="64">
        <v>18.670000000000002</v>
      </c>
      <c r="M94" s="64">
        <v>35.06</v>
      </c>
      <c r="N94" s="64">
        <v>84.8</v>
      </c>
      <c r="O94" s="64">
        <v>0</v>
      </c>
      <c r="P94" s="64">
        <v>0.94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3" t="s">
        <v>1482</v>
      </c>
      <c r="B95" s="64">
        <v>38.869999999999997</v>
      </c>
      <c r="C95" s="64">
        <v>64.77</v>
      </c>
      <c r="D95" s="64">
        <v>63.64</v>
      </c>
      <c r="E95" s="64">
        <v>5.98</v>
      </c>
      <c r="F95" s="64">
        <v>2.13</v>
      </c>
      <c r="G95" s="64">
        <v>79.25</v>
      </c>
      <c r="H95" s="64">
        <v>27.37</v>
      </c>
      <c r="I95" s="214" t="s">
        <v>43</v>
      </c>
      <c r="J95" s="64">
        <v>1.72</v>
      </c>
      <c r="K95" s="64">
        <v>309.45</v>
      </c>
      <c r="L95" s="64">
        <v>18.29</v>
      </c>
      <c r="M95" s="64">
        <v>35.65</v>
      </c>
      <c r="N95" s="64">
        <v>84.9</v>
      </c>
      <c r="O95" s="64">
        <v>0</v>
      </c>
      <c r="P95" s="64">
        <v>0.9</v>
      </c>
      <c r="Q95" s="64">
        <v>9.73</v>
      </c>
      <c r="R95" s="198"/>
      <c r="S95" s="198"/>
      <c r="T95" s="198"/>
      <c r="U95" s="198"/>
    </row>
    <row r="96" spans="1:26" s="12" customFormat="1" x14ac:dyDescent="0.25">
      <c r="A96" s="213" t="s">
        <v>1483</v>
      </c>
      <c r="B96" s="64">
        <v>35.22</v>
      </c>
      <c r="C96" s="64">
        <v>63.99</v>
      </c>
      <c r="D96" s="64">
        <v>60.3</v>
      </c>
      <c r="E96" s="64">
        <v>6.12</v>
      </c>
      <c r="F96" s="64">
        <v>2.13</v>
      </c>
      <c r="G96" s="64">
        <v>67.48</v>
      </c>
      <c r="H96" s="64">
        <v>24.74</v>
      </c>
      <c r="I96" s="214" t="s">
        <v>43</v>
      </c>
      <c r="J96" s="64">
        <v>1.41</v>
      </c>
      <c r="K96" s="64">
        <v>311.62</v>
      </c>
      <c r="L96" s="64">
        <v>17.93</v>
      </c>
      <c r="M96" s="64">
        <v>36.700000000000003</v>
      </c>
      <c r="N96" s="64">
        <v>85.2</v>
      </c>
      <c r="O96" s="64">
        <v>0</v>
      </c>
      <c r="P96" s="64">
        <v>0.87</v>
      </c>
      <c r="Q96" s="64">
        <v>9.7200000000000006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1484</v>
      </c>
      <c r="B97" s="64">
        <v>32.86</v>
      </c>
      <c r="C97" s="64">
        <v>63.48</v>
      </c>
      <c r="D97" s="64">
        <v>58.14</v>
      </c>
      <c r="E97" s="64">
        <v>5.82</v>
      </c>
      <c r="F97" s="64">
        <v>2.13</v>
      </c>
      <c r="G97" s="64">
        <v>41.43</v>
      </c>
      <c r="H97" s="64">
        <v>18.899999999999999</v>
      </c>
      <c r="I97" s="214" t="s">
        <v>43</v>
      </c>
      <c r="J97" s="64">
        <v>2.09</v>
      </c>
      <c r="K97" s="64">
        <v>325.88</v>
      </c>
      <c r="L97" s="64">
        <v>17.55</v>
      </c>
      <c r="M97" s="64">
        <v>36.58</v>
      </c>
      <c r="N97" s="64">
        <v>84.8</v>
      </c>
      <c r="O97" s="64">
        <v>0</v>
      </c>
      <c r="P97" s="64">
        <v>0.84</v>
      </c>
      <c r="Q97" s="64">
        <v>9.7200000000000006</v>
      </c>
      <c r="R97" s="198"/>
      <c r="S97" s="198"/>
      <c r="T97" s="198"/>
      <c r="U97" s="198"/>
    </row>
    <row r="98" spans="1:33" s="12" customFormat="1" x14ac:dyDescent="0.25">
      <c r="A98" s="213" t="s">
        <v>1485</v>
      </c>
      <c r="B98" s="64">
        <v>29.89</v>
      </c>
      <c r="C98" s="64">
        <v>62.73</v>
      </c>
      <c r="D98" s="64">
        <v>55.37</v>
      </c>
      <c r="E98" s="64">
        <v>5.47</v>
      </c>
      <c r="F98" s="64">
        <v>2.13</v>
      </c>
      <c r="G98" s="64">
        <v>41.43</v>
      </c>
      <c r="H98" s="64">
        <v>18.899999999999999</v>
      </c>
      <c r="I98" s="214" t="s">
        <v>43</v>
      </c>
      <c r="J98" s="64">
        <v>2.42</v>
      </c>
      <c r="K98" s="64">
        <v>331.75</v>
      </c>
      <c r="L98" s="64">
        <v>17.57</v>
      </c>
      <c r="M98" s="64">
        <v>34.53</v>
      </c>
      <c r="N98" s="64">
        <v>85.2</v>
      </c>
      <c r="O98" s="64">
        <v>0</v>
      </c>
      <c r="P98" s="64">
        <v>0.8</v>
      </c>
      <c r="Q98" s="64">
        <v>9.7200000000000006</v>
      </c>
      <c r="R98" s="198"/>
      <c r="S98" s="198"/>
      <c r="T98" s="198"/>
      <c r="U98" s="198"/>
    </row>
    <row r="99" spans="1:33" s="12" customFormat="1" x14ac:dyDescent="0.25">
      <c r="A99" s="213" t="s">
        <v>1486</v>
      </c>
      <c r="B99" s="64">
        <v>26.72</v>
      </c>
      <c r="C99" s="64">
        <v>61.88</v>
      </c>
      <c r="D99" s="64">
        <v>52.38</v>
      </c>
      <c r="E99" s="64">
        <v>5.51</v>
      </c>
      <c r="F99" s="64">
        <v>2.13</v>
      </c>
      <c r="G99" s="64">
        <v>41.43</v>
      </c>
      <c r="H99" s="64">
        <v>18.899999999999999</v>
      </c>
      <c r="I99" s="214" t="s">
        <v>43</v>
      </c>
      <c r="J99" s="64">
        <v>2.34</v>
      </c>
      <c r="K99" s="64">
        <v>335.46</v>
      </c>
      <c r="L99" s="64">
        <v>17.41</v>
      </c>
      <c r="M99" s="64">
        <v>34.35</v>
      </c>
      <c r="N99" s="64">
        <v>85.6</v>
      </c>
      <c r="O99" s="64">
        <v>0</v>
      </c>
      <c r="P99" s="64">
        <v>0.77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13" t="s">
        <v>1487</v>
      </c>
      <c r="B100" s="64">
        <v>24.09</v>
      </c>
      <c r="C100" s="64">
        <v>60.89</v>
      </c>
      <c r="D100" s="64">
        <v>49.75</v>
      </c>
      <c r="E100" s="64">
        <v>5.72</v>
      </c>
      <c r="F100" s="64">
        <v>2.13</v>
      </c>
      <c r="G100" s="64">
        <v>41.38</v>
      </c>
      <c r="H100" s="64">
        <v>18.12</v>
      </c>
      <c r="I100" s="214" t="s">
        <v>43</v>
      </c>
      <c r="J100" s="64">
        <v>2.2799999999999998</v>
      </c>
      <c r="K100" s="64">
        <v>336.23</v>
      </c>
      <c r="L100" s="64">
        <v>17.07</v>
      </c>
      <c r="M100" s="64">
        <v>35.299999999999997</v>
      </c>
      <c r="N100" s="64">
        <v>85.5</v>
      </c>
      <c r="O100" s="64">
        <v>0</v>
      </c>
      <c r="P100" s="64">
        <v>0.74</v>
      </c>
      <c r="Q100" s="64">
        <v>9.7200000000000006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1488</v>
      </c>
      <c r="B101" s="64">
        <v>22.06</v>
      </c>
      <c r="C101" s="64">
        <v>60.01</v>
      </c>
      <c r="D101" s="64">
        <v>47.67</v>
      </c>
      <c r="E101" s="64">
        <v>5.51</v>
      </c>
      <c r="F101" s="64">
        <v>2.13</v>
      </c>
      <c r="G101" s="64">
        <v>41.26</v>
      </c>
      <c r="H101" s="64">
        <v>16.39</v>
      </c>
      <c r="I101" s="214" t="s">
        <v>43</v>
      </c>
      <c r="J101" s="64">
        <v>2.2000000000000002</v>
      </c>
      <c r="K101" s="64">
        <v>347.79</v>
      </c>
      <c r="L101" s="64">
        <v>16.829999999999998</v>
      </c>
      <c r="M101" s="64">
        <v>36.51</v>
      </c>
      <c r="N101" s="64">
        <v>85.5</v>
      </c>
      <c r="O101" s="64">
        <v>0</v>
      </c>
      <c r="P101" s="64">
        <v>0.72</v>
      </c>
      <c r="Q101" s="64">
        <v>9.67</v>
      </c>
      <c r="R101" s="198"/>
      <c r="S101" s="198"/>
      <c r="T101" s="198"/>
      <c r="U101" s="198"/>
    </row>
    <row r="102" spans="1:33" s="12" customFormat="1" x14ac:dyDescent="0.25">
      <c r="A102" s="213" t="s">
        <v>1489</v>
      </c>
      <c r="B102" s="64">
        <v>20.45</v>
      </c>
      <c r="C102" s="64">
        <v>58.68</v>
      </c>
      <c r="D102" s="64">
        <v>45.68</v>
      </c>
      <c r="E102" s="64">
        <v>5.63</v>
      </c>
      <c r="F102" s="64">
        <v>2.13</v>
      </c>
      <c r="G102" s="64">
        <v>41.26</v>
      </c>
      <c r="H102" s="64">
        <v>16.39</v>
      </c>
      <c r="I102" s="214" t="s">
        <v>43</v>
      </c>
      <c r="J102" s="64">
        <v>2.25</v>
      </c>
      <c r="K102" s="64">
        <v>346.71</v>
      </c>
      <c r="L102" s="64">
        <v>16.850000000000001</v>
      </c>
      <c r="M102" s="64">
        <v>35.33</v>
      </c>
      <c r="N102" s="64">
        <v>85</v>
      </c>
      <c r="O102" s="64">
        <v>0</v>
      </c>
      <c r="P102" s="64">
        <v>0.7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3" t="s">
        <v>1490</v>
      </c>
      <c r="B103" s="64">
        <v>18.95</v>
      </c>
      <c r="C103" s="64">
        <v>56.58</v>
      </c>
      <c r="D103" s="64">
        <v>43.39</v>
      </c>
      <c r="E103" s="64">
        <v>5.91</v>
      </c>
      <c r="F103" s="64">
        <v>2.13</v>
      </c>
      <c r="G103" s="64">
        <v>41.26</v>
      </c>
      <c r="H103" s="64">
        <v>16.39</v>
      </c>
      <c r="I103" s="214" t="s">
        <v>43</v>
      </c>
      <c r="J103" s="64">
        <v>2.5499999999999998</v>
      </c>
      <c r="K103" s="64">
        <v>345.42</v>
      </c>
      <c r="L103" s="64">
        <v>17.03</v>
      </c>
      <c r="M103" s="64">
        <v>34.06</v>
      </c>
      <c r="N103" s="64">
        <v>84.7</v>
      </c>
      <c r="O103" s="64">
        <v>0</v>
      </c>
      <c r="P103" s="64">
        <v>0.67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3" t="s">
        <v>1491</v>
      </c>
      <c r="B104" s="64">
        <v>17.13</v>
      </c>
      <c r="C104" s="64">
        <v>56.31</v>
      </c>
      <c r="D104" s="64">
        <v>41.78</v>
      </c>
      <c r="E104" s="64">
        <v>6.34</v>
      </c>
      <c r="F104" s="64">
        <v>2.13</v>
      </c>
      <c r="G104" s="64">
        <v>52.18</v>
      </c>
      <c r="H104" s="64">
        <v>16.559999999999999</v>
      </c>
      <c r="I104" s="214" t="s">
        <v>43</v>
      </c>
      <c r="J104" s="64">
        <v>2.38</v>
      </c>
      <c r="K104" s="64">
        <v>346.78</v>
      </c>
      <c r="L104" s="64">
        <v>17</v>
      </c>
      <c r="M104" s="64">
        <v>34.67</v>
      </c>
      <c r="N104" s="64">
        <v>85.5</v>
      </c>
      <c r="O104" s="64">
        <v>0</v>
      </c>
      <c r="P104" s="64">
        <v>0.66</v>
      </c>
      <c r="Q104" s="64">
        <v>9.69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3.76</v>
      </c>
      <c r="C106" s="67">
        <f>MIN(C9:C104)</f>
        <v>46.26</v>
      </c>
      <c r="D106" s="67">
        <f t="shared" ref="D106:Q106" si="0">MIN(D9:D104)</f>
        <v>30.65</v>
      </c>
      <c r="E106" s="67">
        <f t="shared" si="0"/>
        <v>4.45</v>
      </c>
      <c r="F106" s="67">
        <f t="shared" si="0"/>
        <v>2.13</v>
      </c>
      <c r="G106" s="67">
        <f t="shared" si="0"/>
        <v>35.43</v>
      </c>
      <c r="H106" s="67">
        <f t="shared" si="0"/>
        <v>10.77</v>
      </c>
      <c r="I106" s="67">
        <f t="shared" si="0"/>
        <v>0</v>
      </c>
      <c r="J106" s="67">
        <f t="shared" si="0"/>
        <v>0.17</v>
      </c>
      <c r="K106" s="67">
        <f t="shared" si="0"/>
        <v>0.04</v>
      </c>
      <c r="L106" s="67">
        <f t="shared" si="0"/>
        <v>14.76</v>
      </c>
      <c r="M106" s="67">
        <f t="shared" si="0"/>
        <v>19.059999999999999</v>
      </c>
      <c r="N106" s="67">
        <f t="shared" si="0"/>
        <v>73.3</v>
      </c>
      <c r="O106" s="67">
        <f t="shared" si="0"/>
        <v>0</v>
      </c>
      <c r="P106" s="67">
        <f t="shared" si="0"/>
        <v>0.41</v>
      </c>
      <c r="Q106" s="67">
        <f t="shared" si="0"/>
        <v>9.26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49.23</v>
      </c>
      <c r="C107" s="66">
        <f t="shared" ref="C107:Q107" si="1">MAX(C9:C104)</f>
        <v>82.57</v>
      </c>
      <c r="D107" s="66">
        <f t="shared" si="1"/>
        <v>73.36</v>
      </c>
      <c r="E107" s="66">
        <f t="shared" si="1"/>
        <v>10.18</v>
      </c>
      <c r="F107" s="66">
        <f t="shared" si="1"/>
        <v>7.41</v>
      </c>
      <c r="G107" s="66">
        <f t="shared" si="1"/>
        <v>171.29</v>
      </c>
      <c r="H107" s="66">
        <f t="shared" si="1"/>
        <v>33.72</v>
      </c>
      <c r="I107" s="66">
        <f t="shared" si="1"/>
        <v>0</v>
      </c>
      <c r="J107" s="66">
        <f t="shared" si="1"/>
        <v>2.5499999999999998</v>
      </c>
      <c r="K107" s="66">
        <f t="shared" si="1"/>
        <v>359.99</v>
      </c>
      <c r="L107" s="66">
        <f t="shared" si="1"/>
        <v>30.19</v>
      </c>
      <c r="M107" s="66">
        <f t="shared" si="1"/>
        <v>55.8</v>
      </c>
      <c r="N107" s="66">
        <f t="shared" si="1"/>
        <v>929.8</v>
      </c>
      <c r="O107" s="66">
        <f t="shared" si="1"/>
        <v>0</v>
      </c>
      <c r="P107" s="66">
        <f t="shared" si="1"/>
        <v>1.43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16.576666666666672</v>
      </c>
      <c r="C108" s="67">
        <f t="shared" ref="C108:Q108" si="2">AVERAGE(C9:C104)</f>
        <v>59.806041666666687</v>
      </c>
      <c r="D108" s="67">
        <f t="shared" si="2"/>
        <v>43.162708333333335</v>
      </c>
      <c r="E108" s="67">
        <f t="shared" si="2"/>
        <v>6.1346875000000018</v>
      </c>
      <c r="F108" s="67">
        <f t="shared" si="2"/>
        <v>2.7291666666666656</v>
      </c>
      <c r="G108" s="67">
        <f t="shared" si="2"/>
        <v>77.234375000000043</v>
      </c>
      <c r="H108" s="67">
        <f t="shared" si="2"/>
        <v>23.804895833333319</v>
      </c>
      <c r="I108" s="67" t="e">
        <f t="shared" si="2"/>
        <v>#DIV/0!</v>
      </c>
      <c r="J108" s="67">
        <f t="shared" si="2"/>
        <v>1.2891666666666668</v>
      </c>
      <c r="K108" s="67">
        <f t="shared" si="2"/>
        <v>292.06125000000003</v>
      </c>
      <c r="L108" s="67">
        <f t="shared" si="2"/>
        <v>21.313437500000003</v>
      </c>
      <c r="M108" s="67">
        <f t="shared" si="2"/>
        <v>35.553750000000008</v>
      </c>
      <c r="N108" s="67">
        <f t="shared" si="2"/>
        <v>286.45833333333326</v>
      </c>
      <c r="O108" s="67">
        <f t="shared" si="2"/>
        <v>0</v>
      </c>
      <c r="P108" s="67">
        <f t="shared" si="2"/>
        <v>0.67843749999999992</v>
      </c>
      <c r="Q108" s="67">
        <f t="shared" si="2"/>
        <v>9.4799999999999986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11.593991517085289</v>
      </c>
      <c r="C109" s="67">
        <f t="shared" ref="C109:Q109" si="3">STDEV(C9:C104)</f>
        <v>9.7928424430311178</v>
      </c>
      <c r="D109" s="67">
        <f t="shared" si="3"/>
        <v>10.917601286494984</v>
      </c>
      <c r="E109" s="67">
        <f t="shared" si="3"/>
        <v>1.0541806028480281</v>
      </c>
      <c r="F109" s="67">
        <f t="shared" si="3"/>
        <v>1.2836327288037386</v>
      </c>
      <c r="G109" s="67">
        <f t="shared" si="3"/>
        <v>31.079950105375417</v>
      </c>
      <c r="H109" s="67">
        <f t="shared" si="3"/>
        <v>6.6684384654867621</v>
      </c>
      <c r="I109" s="67" t="e">
        <f t="shared" si="3"/>
        <v>#DIV/0!</v>
      </c>
      <c r="J109" s="67">
        <f t="shared" si="3"/>
        <v>0.61846102147808757</v>
      </c>
      <c r="K109" s="67">
        <f t="shared" si="3"/>
        <v>100.7025692062363</v>
      </c>
      <c r="L109" s="67">
        <f t="shared" si="3"/>
        <v>5.1148989449553319</v>
      </c>
      <c r="M109" s="67">
        <f t="shared" si="3"/>
        <v>11.128877301866508</v>
      </c>
      <c r="N109" s="67">
        <f t="shared" si="3"/>
        <v>301.47674350966599</v>
      </c>
      <c r="O109" s="67">
        <f t="shared" si="3"/>
        <v>0</v>
      </c>
      <c r="P109" s="67">
        <f t="shared" si="3"/>
        <v>0.20315577702059609</v>
      </c>
      <c r="Q109" s="67">
        <f t="shared" si="3"/>
        <v>0.13194097563922882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1492</v>
      </c>
      <c r="B9" s="64">
        <v>15.53</v>
      </c>
      <c r="C9" s="64">
        <v>56.06</v>
      </c>
      <c r="D9" s="64">
        <v>40.36</v>
      </c>
      <c r="E9" s="64">
        <v>6.95</v>
      </c>
      <c r="F9" s="64">
        <v>2.13</v>
      </c>
      <c r="G9" s="64">
        <v>76.38</v>
      </c>
      <c r="H9" s="64">
        <v>16.95</v>
      </c>
      <c r="I9" s="214" t="s">
        <v>43</v>
      </c>
      <c r="J9" s="64">
        <v>2.31</v>
      </c>
      <c r="K9" s="64">
        <v>355.14</v>
      </c>
      <c r="L9" s="64">
        <v>16.739999999999998</v>
      </c>
      <c r="M9" s="64">
        <v>35.299999999999997</v>
      </c>
      <c r="N9" s="64">
        <v>85.6</v>
      </c>
      <c r="O9" s="64">
        <v>0</v>
      </c>
      <c r="P9" s="64">
        <v>0.59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13" t="s">
        <v>1493</v>
      </c>
      <c r="B10" s="64">
        <v>13.98</v>
      </c>
      <c r="C10" s="64">
        <v>55.8</v>
      </c>
      <c r="D10" s="64">
        <v>38.99</v>
      </c>
      <c r="E10" s="64">
        <v>7.29</v>
      </c>
      <c r="F10" s="64">
        <v>2.13</v>
      </c>
      <c r="G10" s="64">
        <v>76.38</v>
      </c>
      <c r="H10" s="64">
        <v>16.95</v>
      </c>
      <c r="I10" s="214" t="s">
        <v>43</v>
      </c>
      <c r="J10" s="64">
        <v>2.38</v>
      </c>
      <c r="K10" s="64">
        <v>353.18</v>
      </c>
      <c r="L10" s="64">
        <v>16.61</v>
      </c>
      <c r="M10" s="64">
        <v>34.82</v>
      </c>
      <c r="N10" s="64">
        <v>85</v>
      </c>
      <c r="O10" s="64">
        <v>0</v>
      </c>
      <c r="P10" s="64">
        <v>0.6</v>
      </c>
      <c r="Q10" s="64">
        <v>9.67</v>
      </c>
      <c r="R10" s="198"/>
      <c r="S10" s="198"/>
      <c r="T10" s="198"/>
      <c r="U10" s="198"/>
    </row>
    <row r="11" spans="1:21" s="12" customFormat="1" x14ac:dyDescent="0.25">
      <c r="A11" s="213" t="s">
        <v>1494</v>
      </c>
      <c r="B11" s="64">
        <v>12.93</v>
      </c>
      <c r="C11" s="64">
        <v>56.04</v>
      </c>
      <c r="D11" s="64">
        <v>38.270000000000003</v>
      </c>
      <c r="E11" s="64">
        <v>7.61</v>
      </c>
      <c r="F11" s="64">
        <v>2.13</v>
      </c>
      <c r="G11" s="64">
        <v>76.38</v>
      </c>
      <c r="H11" s="64">
        <v>16.95</v>
      </c>
      <c r="I11" s="214" t="s">
        <v>43</v>
      </c>
      <c r="J11" s="64">
        <v>2.27</v>
      </c>
      <c r="K11" s="64">
        <v>358.09</v>
      </c>
      <c r="L11" s="64">
        <v>16.66</v>
      </c>
      <c r="M11" s="64">
        <v>33.159999999999997</v>
      </c>
      <c r="N11" s="64">
        <v>85.1</v>
      </c>
      <c r="O11" s="64">
        <v>0</v>
      </c>
      <c r="P11" s="64">
        <v>0.57999999999999996</v>
      </c>
      <c r="Q11" s="64">
        <v>9.68</v>
      </c>
      <c r="R11" s="198"/>
      <c r="S11" s="198"/>
      <c r="T11" s="198"/>
      <c r="U11" s="198"/>
    </row>
    <row r="12" spans="1:21" s="12" customFormat="1" x14ac:dyDescent="0.25">
      <c r="A12" s="213" t="s">
        <v>1495</v>
      </c>
      <c r="B12" s="64">
        <v>11.92</v>
      </c>
      <c r="C12" s="64">
        <v>55.83</v>
      </c>
      <c r="D12" s="64">
        <v>37.35</v>
      </c>
      <c r="E12" s="64">
        <v>6.77</v>
      </c>
      <c r="F12" s="64">
        <v>2.13</v>
      </c>
      <c r="G12" s="64">
        <v>69.989999999999995</v>
      </c>
      <c r="H12" s="64">
        <v>17.47</v>
      </c>
      <c r="I12" s="214" t="s">
        <v>43</v>
      </c>
      <c r="J12" s="64">
        <v>2.2400000000000002</v>
      </c>
      <c r="K12" s="64">
        <v>0.37</v>
      </c>
      <c r="L12" s="64">
        <v>16.55</v>
      </c>
      <c r="M12" s="64">
        <v>33.29</v>
      </c>
      <c r="N12" s="64">
        <v>85.2</v>
      </c>
      <c r="O12" s="64">
        <v>0</v>
      </c>
      <c r="P12" s="64">
        <v>0.55000000000000004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3" t="s">
        <v>1496</v>
      </c>
      <c r="B13" s="64">
        <v>10.74</v>
      </c>
      <c r="C13" s="64">
        <v>54.55</v>
      </c>
      <c r="D13" s="64">
        <v>35.729999999999997</v>
      </c>
      <c r="E13" s="64">
        <v>6.33</v>
      </c>
      <c r="F13" s="64">
        <v>2.13</v>
      </c>
      <c r="G13" s="64">
        <v>55.84</v>
      </c>
      <c r="H13" s="64">
        <v>18.63</v>
      </c>
      <c r="I13" s="214" t="s">
        <v>43</v>
      </c>
      <c r="J13" s="64">
        <v>2.4700000000000002</v>
      </c>
      <c r="K13" s="64">
        <v>359.51</v>
      </c>
      <c r="L13" s="64">
        <v>16.47</v>
      </c>
      <c r="M13" s="64">
        <v>33.21</v>
      </c>
      <c r="N13" s="64">
        <v>85.2</v>
      </c>
      <c r="O13" s="64">
        <v>0</v>
      </c>
      <c r="P13" s="64">
        <v>0.53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13" t="s">
        <v>1497</v>
      </c>
      <c r="B14" s="64">
        <v>9.3800000000000008</v>
      </c>
      <c r="C14" s="64">
        <v>53.66</v>
      </c>
      <c r="D14" s="64">
        <v>34.18</v>
      </c>
      <c r="E14" s="64">
        <v>6.33</v>
      </c>
      <c r="F14" s="64">
        <v>2.13</v>
      </c>
      <c r="G14" s="64">
        <v>55.84</v>
      </c>
      <c r="H14" s="64">
        <v>18.63</v>
      </c>
      <c r="I14" s="214" t="s">
        <v>43</v>
      </c>
      <c r="J14" s="64">
        <v>2.4700000000000002</v>
      </c>
      <c r="K14" s="64">
        <v>359.03</v>
      </c>
      <c r="L14" s="64">
        <v>16.27</v>
      </c>
      <c r="M14" s="64">
        <v>33.72</v>
      </c>
      <c r="N14" s="64">
        <v>85.4</v>
      </c>
      <c r="O14" s="64">
        <v>0</v>
      </c>
      <c r="P14" s="64">
        <v>0.53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3" t="s">
        <v>1498</v>
      </c>
      <c r="B15" s="64">
        <v>8.16</v>
      </c>
      <c r="C15" s="64">
        <v>52.34</v>
      </c>
      <c r="D15" s="64">
        <v>32.520000000000003</v>
      </c>
      <c r="E15" s="64">
        <v>6.65</v>
      </c>
      <c r="F15" s="64">
        <v>2.13</v>
      </c>
      <c r="G15" s="64">
        <v>55.84</v>
      </c>
      <c r="H15" s="64">
        <v>18.63</v>
      </c>
      <c r="I15" s="214" t="s">
        <v>43</v>
      </c>
      <c r="J15" s="64">
        <v>2.44</v>
      </c>
      <c r="K15" s="64">
        <v>358.13</v>
      </c>
      <c r="L15" s="64">
        <v>16.03</v>
      </c>
      <c r="M15" s="64">
        <v>34.380000000000003</v>
      </c>
      <c r="N15" s="64">
        <v>85.4</v>
      </c>
      <c r="O15" s="64">
        <v>0</v>
      </c>
      <c r="P15" s="64">
        <v>0.51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3" t="s">
        <v>1499</v>
      </c>
      <c r="B16" s="64">
        <v>7.16</v>
      </c>
      <c r="C16" s="64">
        <v>50.71</v>
      </c>
      <c r="D16" s="64">
        <v>30.86</v>
      </c>
      <c r="E16" s="64">
        <v>6.86</v>
      </c>
      <c r="F16" s="64">
        <v>2.13</v>
      </c>
      <c r="G16" s="64">
        <v>51.51</v>
      </c>
      <c r="H16" s="64">
        <v>17.97</v>
      </c>
      <c r="I16" s="214" t="s">
        <v>43</v>
      </c>
      <c r="J16" s="64">
        <v>2.44</v>
      </c>
      <c r="K16" s="64">
        <v>356.91</v>
      </c>
      <c r="L16" s="64">
        <v>15.93</v>
      </c>
      <c r="M16" s="64">
        <v>34.520000000000003</v>
      </c>
      <c r="N16" s="64">
        <v>85.3</v>
      </c>
      <c r="O16" s="64">
        <v>0</v>
      </c>
      <c r="P16" s="64">
        <v>0.49</v>
      </c>
      <c r="Q16" s="64">
        <v>9.59</v>
      </c>
      <c r="R16" s="198"/>
      <c r="S16" s="198"/>
      <c r="T16" s="198"/>
      <c r="U16" s="198"/>
    </row>
    <row r="17" spans="1:21" s="12" customFormat="1" x14ac:dyDescent="0.25">
      <c r="A17" s="213" t="s">
        <v>1500</v>
      </c>
      <c r="B17" s="64">
        <v>6.49</v>
      </c>
      <c r="C17" s="64">
        <v>49.38</v>
      </c>
      <c r="D17" s="64">
        <v>29.62</v>
      </c>
      <c r="E17" s="64">
        <v>6.57</v>
      </c>
      <c r="F17" s="64">
        <v>2.13</v>
      </c>
      <c r="G17" s="64">
        <v>41.4</v>
      </c>
      <c r="H17" s="64">
        <v>16.510000000000002</v>
      </c>
      <c r="I17" s="214" t="s">
        <v>43</v>
      </c>
      <c r="J17" s="64">
        <v>2.2799999999999998</v>
      </c>
      <c r="K17" s="64">
        <v>358.91</v>
      </c>
      <c r="L17" s="64">
        <v>15.72</v>
      </c>
      <c r="M17" s="64">
        <v>35.35</v>
      </c>
      <c r="N17" s="64">
        <v>85.3</v>
      </c>
      <c r="O17" s="64">
        <v>0</v>
      </c>
      <c r="P17" s="64">
        <v>0.48</v>
      </c>
      <c r="Q17" s="64">
        <v>9.56</v>
      </c>
      <c r="R17" s="198"/>
      <c r="S17" s="198"/>
      <c r="T17" s="198"/>
      <c r="U17" s="198"/>
    </row>
    <row r="18" spans="1:21" s="12" customFormat="1" x14ac:dyDescent="0.25">
      <c r="A18" s="213" t="s">
        <v>1501</v>
      </c>
      <c r="B18" s="64">
        <v>6</v>
      </c>
      <c r="C18" s="64">
        <v>48.11</v>
      </c>
      <c r="D18" s="64">
        <v>28.57</v>
      </c>
      <c r="E18" s="64">
        <v>6.29</v>
      </c>
      <c r="F18" s="64">
        <v>2.13</v>
      </c>
      <c r="G18" s="64">
        <v>41.4</v>
      </c>
      <c r="H18" s="64">
        <v>16.510000000000002</v>
      </c>
      <c r="I18" s="214" t="s">
        <v>43</v>
      </c>
      <c r="J18" s="64">
        <v>2.29</v>
      </c>
      <c r="K18" s="64">
        <v>358.94</v>
      </c>
      <c r="L18" s="64">
        <v>15.66</v>
      </c>
      <c r="M18" s="64">
        <v>35.19</v>
      </c>
      <c r="N18" s="64">
        <v>85.3</v>
      </c>
      <c r="O18" s="64">
        <v>0</v>
      </c>
      <c r="P18" s="64">
        <v>0.46</v>
      </c>
      <c r="Q18" s="64">
        <v>9.5399999999999991</v>
      </c>
      <c r="R18" s="198"/>
      <c r="S18" s="198"/>
      <c r="T18" s="198"/>
      <c r="U18" s="198"/>
    </row>
    <row r="19" spans="1:21" s="12" customFormat="1" x14ac:dyDescent="0.25">
      <c r="A19" s="213" t="s">
        <v>1502</v>
      </c>
      <c r="B19" s="64">
        <v>5.7</v>
      </c>
      <c r="C19" s="64">
        <v>46.84</v>
      </c>
      <c r="D19" s="64">
        <v>27.66</v>
      </c>
      <c r="E19" s="64">
        <v>5.8</v>
      </c>
      <c r="F19" s="64">
        <v>2.13</v>
      </c>
      <c r="G19" s="64">
        <v>41.4</v>
      </c>
      <c r="H19" s="64">
        <v>16.510000000000002</v>
      </c>
      <c r="I19" s="214" t="s">
        <v>43</v>
      </c>
      <c r="J19" s="64">
        <v>2.04</v>
      </c>
      <c r="K19" s="64">
        <v>359.88</v>
      </c>
      <c r="L19" s="64">
        <v>15.51</v>
      </c>
      <c r="M19" s="64">
        <v>35.86</v>
      </c>
      <c r="N19" s="64">
        <v>85.4</v>
      </c>
      <c r="O19" s="64">
        <v>0</v>
      </c>
      <c r="P19" s="64">
        <v>0.45</v>
      </c>
      <c r="Q19" s="64">
        <v>9.5500000000000007</v>
      </c>
      <c r="R19" s="198"/>
      <c r="S19" s="198"/>
      <c r="T19" s="198"/>
      <c r="U19" s="198"/>
    </row>
    <row r="20" spans="1:21" s="12" customFormat="1" x14ac:dyDescent="0.25">
      <c r="A20" s="213" t="s">
        <v>1503</v>
      </c>
      <c r="B20" s="64">
        <v>5.54</v>
      </c>
      <c r="C20" s="64">
        <v>46.02</v>
      </c>
      <c r="D20" s="64">
        <v>27.11</v>
      </c>
      <c r="E20" s="64">
        <v>5.92</v>
      </c>
      <c r="F20" s="64">
        <v>2.13</v>
      </c>
      <c r="G20" s="64">
        <v>39.799999999999997</v>
      </c>
      <c r="H20" s="64">
        <v>15.59</v>
      </c>
      <c r="I20" s="214" t="s">
        <v>43</v>
      </c>
      <c r="J20" s="64">
        <v>1.9</v>
      </c>
      <c r="K20" s="64">
        <v>359.96</v>
      </c>
      <c r="L20" s="64">
        <v>15.35</v>
      </c>
      <c r="M20" s="64">
        <v>36.369999999999997</v>
      </c>
      <c r="N20" s="64">
        <v>85.2</v>
      </c>
      <c r="O20" s="64">
        <v>0</v>
      </c>
      <c r="P20" s="64">
        <v>0.44</v>
      </c>
      <c r="Q20" s="64">
        <v>9.5299999999999994</v>
      </c>
      <c r="R20" s="198"/>
      <c r="S20" s="198"/>
      <c r="T20" s="198"/>
      <c r="U20" s="198"/>
    </row>
    <row r="21" spans="1:21" s="12" customFormat="1" x14ac:dyDescent="0.25">
      <c r="A21" s="213" t="s">
        <v>1504</v>
      </c>
      <c r="B21" s="64">
        <v>5.47</v>
      </c>
      <c r="C21" s="64">
        <v>45.28</v>
      </c>
      <c r="D21" s="64">
        <v>26.66</v>
      </c>
      <c r="E21" s="64">
        <v>6.09</v>
      </c>
      <c r="F21" s="64">
        <v>2.13</v>
      </c>
      <c r="G21" s="64">
        <v>36.07</v>
      </c>
      <c r="H21" s="64">
        <v>13.55</v>
      </c>
      <c r="I21" s="214" t="s">
        <v>43</v>
      </c>
      <c r="J21" s="64">
        <v>1.58</v>
      </c>
      <c r="K21" s="64">
        <v>355</v>
      </c>
      <c r="L21" s="64">
        <v>14.97</v>
      </c>
      <c r="M21" s="64">
        <v>38.17</v>
      </c>
      <c r="N21" s="64">
        <v>85.4</v>
      </c>
      <c r="O21" s="64">
        <v>0</v>
      </c>
      <c r="P21" s="64">
        <v>0.43</v>
      </c>
      <c r="Q21" s="64">
        <v>9.5399999999999991</v>
      </c>
      <c r="R21" s="198"/>
      <c r="S21" s="198"/>
      <c r="T21" s="198"/>
      <c r="U21" s="198"/>
    </row>
    <row r="22" spans="1:21" s="12" customFormat="1" x14ac:dyDescent="0.25">
      <c r="A22" s="213" t="s">
        <v>1505</v>
      </c>
      <c r="B22" s="64">
        <v>5.6</v>
      </c>
      <c r="C22" s="64">
        <v>44.95</v>
      </c>
      <c r="D22" s="64">
        <v>26.6</v>
      </c>
      <c r="E22" s="64">
        <v>6.1</v>
      </c>
      <c r="F22" s="64">
        <v>2.13</v>
      </c>
      <c r="G22" s="64">
        <v>36.07</v>
      </c>
      <c r="H22" s="64">
        <v>13.55</v>
      </c>
      <c r="I22" s="214" t="s">
        <v>43</v>
      </c>
      <c r="J22" s="64">
        <v>1.81</v>
      </c>
      <c r="K22" s="64">
        <v>354.34</v>
      </c>
      <c r="L22" s="64">
        <v>14.67</v>
      </c>
      <c r="M22" s="64">
        <v>39.1</v>
      </c>
      <c r="N22" s="64">
        <v>85</v>
      </c>
      <c r="O22" s="64">
        <v>0</v>
      </c>
      <c r="P22" s="64">
        <v>0.42</v>
      </c>
      <c r="Q22" s="64">
        <v>9.57</v>
      </c>
      <c r="R22" s="198"/>
      <c r="S22" s="198"/>
      <c r="T22" s="198"/>
      <c r="U22" s="198"/>
    </row>
    <row r="23" spans="1:21" s="12" customFormat="1" x14ac:dyDescent="0.25">
      <c r="A23" s="213" t="s">
        <v>1506</v>
      </c>
      <c r="B23" s="64">
        <v>6.01</v>
      </c>
      <c r="C23" s="64">
        <v>45.89</v>
      </c>
      <c r="D23" s="64">
        <v>27.42</v>
      </c>
      <c r="E23" s="64">
        <v>6.35</v>
      </c>
      <c r="F23" s="64">
        <v>2.13</v>
      </c>
      <c r="G23" s="64">
        <v>36.07</v>
      </c>
      <c r="H23" s="64">
        <v>13.55</v>
      </c>
      <c r="I23" s="214" t="s">
        <v>43</v>
      </c>
      <c r="J23" s="64">
        <v>1.51</v>
      </c>
      <c r="K23" s="64">
        <v>355.33</v>
      </c>
      <c r="L23" s="64">
        <v>14.43</v>
      </c>
      <c r="M23" s="64">
        <v>39.76</v>
      </c>
      <c r="N23" s="64">
        <v>85.4</v>
      </c>
      <c r="O23" s="64">
        <v>0</v>
      </c>
      <c r="P23" s="64">
        <v>0.42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3" t="s">
        <v>1507</v>
      </c>
      <c r="B24" s="64">
        <v>6.44</v>
      </c>
      <c r="C24" s="64">
        <v>45.97</v>
      </c>
      <c r="D24" s="64">
        <v>27.81</v>
      </c>
      <c r="E24" s="64">
        <v>6.26</v>
      </c>
      <c r="F24" s="64">
        <v>2.13</v>
      </c>
      <c r="G24" s="64">
        <v>37.6</v>
      </c>
      <c r="H24" s="64">
        <v>12.67</v>
      </c>
      <c r="I24" s="214" t="s">
        <v>43</v>
      </c>
      <c r="J24" s="64">
        <v>1.53</v>
      </c>
      <c r="K24" s="64">
        <v>356.28</v>
      </c>
      <c r="L24" s="64">
        <v>14.16</v>
      </c>
      <c r="M24" s="64">
        <v>40.409999999999997</v>
      </c>
      <c r="N24" s="64">
        <v>85.2</v>
      </c>
      <c r="O24" s="64">
        <v>0</v>
      </c>
      <c r="P24" s="64">
        <v>0.4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3" t="s">
        <v>1508</v>
      </c>
      <c r="B25" s="64">
        <v>6.96</v>
      </c>
      <c r="C25" s="64">
        <v>46.06</v>
      </c>
      <c r="D25" s="64">
        <v>28.28</v>
      </c>
      <c r="E25" s="64">
        <v>6.36</v>
      </c>
      <c r="F25" s="64">
        <v>2.13</v>
      </c>
      <c r="G25" s="64">
        <v>41.16</v>
      </c>
      <c r="H25" s="64">
        <v>10.74</v>
      </c>
      <c r="I25" s="214" t="s">
        <v>43</v>
      </c>
      <c r="J25" s="64">
        <v>1.22</v>
      </c>
      <c r="K25" s="64">
        <v>351.9</v>
      </c>
      <c r="L25" s="64">
        <v>13.96</v>
      </c>
      <c r="M25" s="64">
        <v>41.53</v>
      </c>
      <c r="N25" s="64">
        <v>85.5</v>
      </c>
      <c r="O25" s="64">
        <v>0</v>
      </c>
      <c r="P25" s="64">
        <v>0.42</v>
      </c>
      <c r="Q25" s="64">
        <v>9.7100000000000009</v>
      </c>
      <c r="R25" s="198"/>
      <c r="S25" s="198"/>
      <c r="T25" s="198"/>
      <c r="U25" s="198"/>
    </row>
    <row r="26" spans="1:21" s="12" customFormat="1" x14ac:dyDescent="0.25">
      <c r="A26" s="213" t="s">
        <v>1509</v>
      </c>
      <c r="B26" s="64">
        <v>7.9</v>
      </c>
      <c r="C26" s="64">
        <v>47.77</v>
      </c>
      <c r="D26" s="64">
        <v>29.92</v>
      </c>
      <c r="E26" s="64">
        <v>6.73</v>
      </c>
      <c r="F26" s="64">
        <v>2.13</v>
      </c>
      <c r="G26" s="64">
        <v>41.16</v>
      </c>
      <c r="H26" s="64">
        <v>10.74</v>
      </c>
      <c r="I26" s="214" t="s">
        <v>43</v>
      </c>
      <c r="J26" s="64">
        <v>1.1399999999999999</v>
      </c>
      <c r="K26" s="64">
        <v>359.49</v>
      </c>
      <c r="L26" s="64">
        <v>13.53</v>
      </c>
      <c r="M26" s="64">
        <v>42.89</v>
      </c>
      <c r="N26" s="64">
        <v>85.5</v>
      </c>
      <c r="O26" s="64">
        <v>0</v>
      </c>
      <c r="P26" s="64">
        <v>0.44</v>
      </c>
      <c r="Q26" s="64">
        <v>9.77</v>
      </c>
      <c r="R26" s="198"/>
      <c r="S26" s="198"/>
      <c r="T26" s="198"/>
      <c r="U26" s="198"/>
    </row>
    <row r="27" spans="1:21" s="12" customFormat="1" x14ac:dyDescent="0.25">
      <c r="A27" s="213" t="s">
        <v>1510</v>
      </c>
      <c r="B27" s="64">
        <v>9.24</v>
      </c>
      <c r="C27" s="64">
        <v>48.84</v>
      </c>
      <c r="D27" s="64">
        <v>31.55</v>
      </c>
      <c r="E27" s="64">
        <v>7.17</v>
      </c>
      <c r="F27" s="64">
        <v>2.13</v>
      </c>
      <c r="G27" s="64">
        <v>41.16</v>
      </c>
      <c r="H27" s="64">
        <v>10.74</v>
      </c>
      <c r="I27" s="214" t="s">
        <v>43</v>
      </c>
      <c r="J27" s="64">
        <v>0.31</v>
      </c>
      <c r="K27" s="64">
        <v>68.69</v>
      </c>
      <c r="L27" s="64">
        <v>13.17</v>
      </c>
      <c r="M27" s="64">
        <v>44.72</v>
      </c>
      <c r="N27" s="64">
        <v>85.8</v>
      </c>
      <c r="O27" s="64">
        <v>0</v>
      </c>
      <c r="P27" s="64">
        <v>0.47</v>
      </c>
      <c r="Q27" s="64">
        <v>9.86</v>
      </c>
      <c r="R27" s="198"/>
      <c r="S27" s="198"/>
      <c r="T27" s="198"/>
      <c r="U27" s="198"/>
    </row>
    <row r="28" spans="1:21" s="12" customFormat="1" x14ac:dyDescent="0.25">
      <c r="A28" s="213" t="s">
        <v>1511</v>
      </c>
      <c r="B28" s="64">
        <v>10.57</v>
      </c>
      <c r="C28" s="64">
        <v>49.67</v>
      </c>
      <c r="D28" s="64">
        <v>33.049999999999997</v>
      </c>
      <c r="E28" s="64">
        <v>6.6</v>
      </c>
      <c r="F28" s="64">
        <v>2.13</v>
      </c>
      <c r="G28" s="64">
        <v>50.31</v>
      </c>
      <c r="H28" s="64">
        <v>11.84</v>
      </c>
      <c r="I28" s="214" t="s">
        <v>43</v>
      </c>
      <c r="J28" s="64">
        <v>0.94</v>
      </c>
      <c r="K28" s="64">
        <v>211.89</v>
      </c>
      <c r="L28" s="64">
        <v>13.05</v>
      </c>
      <c r="M28" s="64">
        <v>46.31</v>
      </c>
      <c r="N28" s="64">
        <v>85.1</v>
      </c>
      <c r="O28" s="64">
        <v>0</v>
      </c>
      <c r="P28" s="64">
        <v>0.47</v>
      </c>
      <c r="Q28" s="64">
        <v>9.92</v>
      </c>
      <c r="R28" s="198"/>
      <c r="S28" s="198"/>
      <c r="T28" s="198"/>
      <c r="U28" s="198"/>
    </row>
    <row r="29" spans="1:21" s="12" customFormat="1" x14ac:dyDescent="0.25">
      <c r="A29" s="213" t="s">
        <v>1512</v>
      </c>
      <c r="B29" s="64">
        <v>11.46</v>
      </c>
      <c r="C29" s="64">
        <v>49.87</v>
      </c>
      <c r="D29" s="64">
        <v>33.869999999999997</v>
      </c>
      <c r="E29" s="64">
        <v>6.94</v>
      </c>
      <c r="F29" s="64">
        <v>2.13</v>
      </c>
      <c r="G29" s="64">
        <v>70.55</v>
      </c>
      <c r="H29" s="64">
        <v>14.28</v>
      </c>
      <c r="I29" s="214" t="s">
        <v>43</v>
      </c>
      <c r="J29" s="64">
        <v>0.84</v>
      </c>
      <c r="K29" s="64">
        <v>221.2</v>
      </c>
      <c r="L29" s="64">
        <v>12.91</v>
      </c>
      <c r="M29" s="64">
        <v>47.11</v>
      </c>
      <c r="N29" s="64">
        <v>85.4</v>
      </c>
      <c r="O29" s="64">
        <v>0</v>
      </c>
      <c r="P29" s="64">
        <v>0.48</v>
      </c>
      <c r="Q29" s="64">
        <v>9.9499999999999993</v>
      </c>
      <c r="R29" s="198"/>
      <c r="S29" s="198"/>
      <c r="T29" s="198"/>
      <c r="U29" s="198"/>
    </row>
    <row r="30" spans="1:21" s="12" customFormat="1" x14ac:dyDescent="0.25">
      <c r="A30" s="213" t="s">
        <v>1513</v>
      </c>
      <c r="B30" s="64">
        <v>12.45</v>
      </c>
      <c r="C30" s="64">
        <v>49.99</v>
      </c>
      <c r="D30" s="64">
        <v>34.72</v>
      </c>
      <c r="E30" s="64">
        <v>6.66</v>
      </c>
      <c r="F30" s="64">
        <v>2.13</v>
      </c>
      <c r="G30" s="64">
        <v>70.55</v>
      </c>
      <c r="H30" s="64">
        <v>14.28</v>
      </c>
      <c r="I30" s="214" t="s">
        <v>43</v>
      </c>
      <c r="J30" s="64">
        <v>0.93</v>
      </c>
      <c r="K30" s="64">
        <v>204.87</v>
      </c>
      <c r="L30" s="64">
        <v>12.41</v>
      </c>
      <c r="M30" s="64">
        <v>52.13</v>
      </c>
      <c r="N30" s="64">
        <v>85.1</v>
      </c>
      <c r="O30" s="64">
        <v>0</v>
      </c>
      <c r="P30" s="64">
        <v>0.47</v>
      </c>
      <c r="Q30" s="64">
        <v>9.9700000000000006</v>
      </c>
      <c r="R30" s="198"/>
      <c r="S30" s="198"/>
      <c r="T30" s="198"/>
      <c r="U30" s="198"/>
    </row>
    <row r="31" spans="1:21" s="12" customFormat="1" x14ac:dyDescent="0.25">
      <c r="A31" s="213" t="s">
        <v>1514</v>
      </c>
      <c r="B31" s="64">
        <v>13.63</v>
      </c>
      <c r="C31" s="64">
        <v>49.8</v>
      </c>
      <c r="D31" s="64">
        <v>35.57</v>
      </c>
      <c r="E31" s="64">
        <v>6.44</v>
      </c>
      <c r="F31" s="64">
        <v>2.13</v>
      </c>
      <c r="G31" s="64">
        <v>70.55</v>
      </c>
      <c r="H31" s="64">
        <v>14.28</v>
      </c>
      <c r="I31" s="214" t="s">
        <v>43</v>
      </c>
      <c r="J31" s="64">
        <v>0.83</v>
      </c>
      <c r="K31" s="64">
        <v>219.57</v>
      </c>
      <c r="L31" s="64">
        <v>11.87</v>
      </c>
      <c r="M31" s="64">
        <v>56.67</v>
      </c>
      <c r="N31" s="64">
        <v>85.6</v>
      </c>
      <c r="O31" s="64">
        <v>0</v>
      </c>
      <c r="P31" s="64">
        <v>0.46</v>
      </c>
      <c r="Q31" s="64">
        <v>9.9700000000000006</v>
      </c>
      <c r="R31" s="198"/>
      <c r="S31" s="198"/>
      <c r="T31" s="198"/>
      <c r="U31" s="198"/>
    </row>
    <row r="32" spans="1:21" s="12" customFormat="1" x14ac:dyDescent="0.25">
      <c r="A32" s="213" t="s">
        <v>1515</v>
      </c>
      <c r="B32" s="64">
        <v>14.55</v>
      </c>
      <c r="C32" s="64">
        <v>49.73</v>
      </c>
      <c r="D32" s="64">
        <v>36.270000000000003</v>
      </c>
      <c r="E32" s="64">
        <v>6.91</v>
      </c>
      <c r="F32" s="64">
        <v>2.13</v>
      </c>
      <c r="G32" s="64">
        <v>77.349999999999994</v>
      </c>
      <c r="H32" s="64">
        <v>17.47</v>
      </c>
      <c r="I32" s="214" t="s">
        <v>43</v>
      </c>
      <c r="J32" s="64">
        <v>0.65</v>
      </c>
      <c r="K32" s="64">
        <v>231.49</v>
      </c>
      <c r="L32" s="64">
        <v>11.36</v>
      </c>
      <c r="M32" s="64">
        <v>59.52</v>
      </c>
      <c r="N32" s="64">
        <v>85.6</v>
      </c>
      <c r="O32" s="64">
        <v>0</v>
      </c>
      <c r="P32" s="64">
        <v>0.47</v>
      </c>
      <c r="Q32" s="64">
        <v>9.98</v>
      </c>
      <c r="R32" s="198"/>
      <c r="S32" s="198"/>
      <c r="T32" s="198"/>
      <c r="U32" s="198"/>
    </row>
    <row r="33" spans="1:21" s="12" customFormat="1" x14ac:dyDescent="0.25">
      <c r="A33" s="213" t="s">
        <v>1516</v>
      </c>
      <c r="B33" s="64">
        <v>15.19</v>
      </c>
      <c r="C33" s="64">
        <v>48.89</v>
      </c>
      <c r="D33" s="64">
        <v>36.35</v>
      </c>
      <c r="E33" s="64">
        <v>6.76</v>
      </c>
      <c r="F33" s="64">
        <v>2.13</v>
      </c>
      <c r="G33" s="64">
        <v>93.19</v>
      </c>
      <c r="H33" s="64">
        <v>24.56</v>
      </c>
      <c r="I33" s="214" t="s">
        <v>43</v>
      </c>
      <c r="J33" s="64">
        <v>0.75</v>
      </c>
      <c r="K33" s="64">
        <v>246.66</v>
      </c>
      <c r="L33" s="64">
        <v>10.82</v>
      </c>
      <c r="M33" s="64">
        <v>63.31</v>
      </c>
      <c r="N33" s="64">
        <v>85.7</v>
      </c>
      <c r="O33" s="64">
        <v>0</v>
      </c>
      <c r="P33" s="64">
        <v>0.47</v>
      </c>
      <c r="Q33" s="64">
        <v>9.99</v>
      </c>
      <c r="R33" s="198"/>
      <c r="S33" s="198"/>
      <c r="T33" s="198"/>
      <c r="U33" s="198"/>
    </row>
    <row r="34" spans="1:21" s="12" customFormat="1" x14ac:dyDescent="0.25">
      <c r="A34" s="213" t="s">
        <v>1517</v>
      </c>
      <c r="B34" s="64">
        <v>16.78</v>
      </c>
      <c r="C34" s="64">
        <v>48.55</v>
      </c>
      <c r="D34" s="64">
        <v>37.44</v>
      </c>
      <c r="E34" s="64">
        <v>6.85</v>
      </c>
      <c r="F34" s="64">
        <v>2.13</v>
      </c>
      <c r="G34" s="64">
        <v>93.19</v>
      </c>
      <c r="H34" s="64">
        <v>24.56</v>
      </c>
      <c r="I34" s="214" t="s">
        <v>43</v>
      </c>
      <c r="J34" s="64">
        <v>0.75</v>
      </c>
      <c r="K34" s="64">
        <v>249.29</v>
      </c>
      <c r="L34" s="64">
        <v>10.76</v>
      </c>
      <c r="M34" s="64">
        <v>63.38</v>
      </c>
      <c r="N34" s="64">
        <v>87.3</v>
      </c>
      <c r="O34" s="64">
        <v>0</v>
      </c>
      <c r="P34" s="64">
        <v>0.48</v>
      </c>
      <c r="Q34" s="64">
        <v>9.98</v>
      </c>
      <c r="R34" s="198"/>
      <c r="S34" s="198"/>
      <c r="T34" s="198"/>
      <c r="U34" s="198"/>
    </row>
    <row r="35" spans="1:21" s="12" customFormat="1" x14ac:dyDescent="0.25">
      <c r="A35" s="213" t="s">
        <v>1518</v>
      </c>
      <c r="B35" s="64">
        <v>19.23</v>
      </c>
      <c r="C35" s="64">
        <v>48.53</v>
      </c>
      <c r="D35" s="64">
        <v>39.4</v>
      </c>
      <c r="E35" s="64">
        <v>6.54</v>
      </c>
      <c r="F35" s="64">
        <v>2.13</v>
      </c>
      <c r="G35" s="64">
        <v>93.19</v>
      </c>
      <c r="H35" s="64">
        <v>24.56</v>
      </c>
      <c r="I35" s="214" t="s">
        <v>43</v>
      </c>
      <c r="J35" s="64">
        <v>0.49</v>
      </c>
      <c r="K35" s="64">
        <v>295.52999999999997</v>
      </c>
      <c r="L35" s="64">
        <v>10.87</v>
      </c>
      <c r="M35" s="64">
        <v>62.89</v>
      </c>
      <c r="N35" s="64">
        <v>95</v>
      </c>
      <c r="O35" s="64">
        <v>0</v>
      </c>
      <c r="P35" s="64">
        <v>0.5</v>
      </c>
      <c r="Q35" s="64">
        <v>10.039999999999999</v>
      </c>
      <c r="R35" s="198"/>
      <c r="S35" s="198"/>
      <c r="T35" s="198"/>
      <c r="U35" s="198"/>
    </row>
    <row r="36" spans="1:21" s="12" customFormat="1" x14ac:dyDescent="0.25">
      <c r="A36" s="213" t="s">
        <v>1519</v>
      </c>
      <c r="B36" s="64">
        <v>22.09</v>
      </c>
      <c r="C36" s="64">
        <v>48.76</v>
      </c>
      <c r="D36" s="64">
        <v>41.81</v>
      </c>
      <c r="E36" s="64">
        <v>6.65</v>
      </c>
      <c r="F36" s="64">
        <v>2.13</v>
      </c>
      <c r="G36" s="64">
        <v>91.32</v>
      </c>
      <c r="H36" s="64">
        <v>25.26</v>
      </c>
      <c r="I36" s="214" t="s">
        <v>43</v>
      </c>
      <c r="J36" s="64">
        <v>0.79</v>
      </c>
      <c r="K36" s="64">
        <v>199.79</v>
      </c>
      <c r="L36" s="64">
        <v>11.08</v>
      </c>
      <c r="M36" s="64">
        <v>61.02</v>
      </c>
      <c r="N36" s="64">
        <v>106.5</v>
      </c>
      <c r="O36" s="64">
        <v>0</v>
      </c>
      <c r="P36" s="64">
        <v>0.51</v>
      </c>
      <c r="Q36" s="64">
        <v>10.08</v>
      </c>
      <c r="R36" s="198"/>
      <c r="S36" s="198"/>
      <c r="T36" s="198"/>
      <c r="U36" s="198"/>
    </row>
    <row r="37" spans="1:21" s="12" customFormat="1" x14ac:dyDescent="0.25">
      <c r="A37" s="213" t="s">
        <v>1520</v>
      </c>
      <c r="B37" s="64">
        <v>24.14</v>
      </c>
      <c r="C37" s="64">
        <v>48.67</v>
      </c>
      <c r="D37" s="64">
        <v>43.41</v>
      </c>
      <c r="E37" s="64">
        <v>6.78</v>
      </c>
      <c r="F37" s="64">
        <v>2.13</v>
      </c>
      <c r="G37" s="64">
        <v>87.18</v>
      </c>
      <c r="H37" s="64">
        <v>26.83</v>
      </c>
      <c r="I37" s="214" t="s">
        <v>43</v>
      </c>
      <c r="J37" s="64">
        <v>0.9</v>
      </c>
      <c r="K37" s="64">
        <v>219.43</v>
      </c>
      <c r="L37" s="64">
        <v>11.6</v>
      </c>
      <c r="M37" s="64">
        <v>57.21</v>
      </c>
      <c r="N37" s="64">
        <v>121.9</v>
      </c>
      <c r="O37" s="64">
        <v>0</v>
      </c>
      <c r="P37" s="64">
        <v>0.5</v>
      </c>
      <c r="Q37" s="64">
        <v>10.11</v>
      </c>
      <c r="R37" s="198"/>
      <c r="S37" s="198"/>
      <c r="T37" s="198"/>
      <c r="U37" s="198"/>
    </row>
    <row r="38" spans="1:21" s="12" customFormat="1" x14ac:dyDescent="0.25">
      <c r="A38" s="213" t="s">
        <v>1521</v>
      </c>
      <c r="B38" s="64">
        <v>24.25</v>
      </c>
      <c r="C38" s="64">
        <v>48.33</v>
      </c>
      <c r="D38" s="64">
        <v>43.33</v>
      </c>
      <c r="E38" s="64">
        <v>6.78</v>
      </c>
      <c r="F38" s="64">
        <v>2.13</v>
      </c>
      <c r="G38" s="64">
        <v>87.18</v>
      </c>
      <c r="H38" s="64">
        <v>26.83</v>
      </c>
      <c r="I38" s="214" t="s">
        <v>43</v>
      </c>
      <c r="J38" s="64">
        <v>0.95</v>
      </c>
      <c r="K38" s="64">
        <v>209.71</v>
      </c>
      <c r="L38" s="64">
        <v>11.94</v>
      </c>
      <c r="M38" s="64">
        <v>61.45</v>
      </c>
      <c r="N38" s="64">
        <v>163</v>
      </c>
      <c r="O38" s="64">
        <v>0</v>
      </c>
      <c r="P38" s="64">
        <v>0.53</v>
      </c>
      <c r="Q38" s="64">
        <v>10.16</v>
      </c>
      <c r="R38" s="198"/>
      <c r="S38" s="198"/>
      <c r="T38" s="198"/>
      <c r="U38" s="198"/>
    </row>
    <row r="39" spans="1:21" s="12" customFormat="1" x14ac:dyDescent="0.25">
      <c r="A39" s="213" t="s">
        <v>1522</v>
      </c>
      <c r="B39" s="64">
        <v>23.69</v>
      </c>
      <c r="C39" s="64">
        <v>47.92</v>
      </c>
      <c r="D39" s="64">
        <v>42.66</v>
      </c>
      <c r="E39" s="64">
        <v>6.69</v>
      </c>
      <c r="F39" s="64">
        <v>2.13</v>
      </c>
      <c r="G39" s="64">
        <v>87.18</v>
      </c>
      <c r="H39" s="64">
        <v>26.83</v>
      </c>
      <c r="I39" s="214" t="s">
        <v>43</v>
      </c>
      <c r="J39" s="64">
        <v>1.03</v>
      </c>
      <c r="K39" s="64">
        <v>169.21</v>
      </c>
      <c r="L39" s="64">
        <v>13.19</v>
      </c>
      <c r="M39" s="64">
        <v>54.74</v>
      </c>
      <c r="N39" s="64">
        <v>299.39999999999998</v>
      </c>
      <c r="O39" s="64">
        <v>0</v>
      </c>
      <c r="P39" s="64">
        <v>0.53</v>
      </c>
      <c r="Q39" s="64">
        <v>10.17</v>
      </c>
      <c r="R39" s="198"/>
      <c r="S39" s="198"/>
      <c r="T39" s="198"/>
      <c r="U39" s="198"/>
    </row>
    <row r="40" spans="1:21" s="12" customFormat="1" x14ac:dyDescent="0.25">
      <c r="A40" s="213" t="s">
        <v>1523</v>
      </c>
      <c r="B40" s="64">
        <v>22.72</v>
      </c>
      <c r="C40" s="64">
        <v>47.71</v>
      </c>
      <c r="D40" s="64">
        <v>41.77</v>
      </c>
      <c r="E40" s="64">
        <v>5.41</v>
      </c>
      <c r="F40" s="64">
        <v>2.13</v>
      </c>
      <c r="G40" s="64">
        <v>82.79</v>
      </c>
      <c r="H40" s="64">
        <v>26.43</v>
      </c>
      <c r="I40" s="214" t="s">
        <v>43</v>
      </c>
      <c r="J40" s="64">
        <v>1.1200000000000001</v>
      </c>
      <c r="K40" s="64">
        <v>168.27</v>
      </c>
      <c r="L40" s="64">
        <v>15.05</v>
      </c>
      <c r="M40" s="64">
        <v>47.96</v>
      </c>
      <c r="N40" s="64">
        <v>367.6</v>
      </c>
      <c r="O40" s="64">
        <v>0</v>
      </c>
      <c r="P40" s="64">
        <v>0.52</v>
      </c>
      <c r="Q40" s="64">
        <v>10.199999999999999</v>
      </c>
      <c r="R40" s="198"/>
      <c r="S40" s="198"/>
      <c r="T40" s="198"/>
      <c r="U40" s="198"/>
    </row>
    <row r="41" spans="1:21" s="12" customFormat="1" x14ac:dyDescent="0.25">
      <c r="A41" s="213" t="s">
        <v>1524</v>
      </c>
      <c r="B41" s="64">
        <v>21.56</v>
      </c>
      <c r="C41" s="64">
        <v>47.79</v>
      </c>
      <c r="D41" s="64">
        <v>40.880000000000003</v>
      </c>
      <c r="E41" s="64">
        <v>5.57</v>
      </c>
      <c r="F41" s="64">
        <v>2.13</v>
      </c>
      <c r="G41" s="64">
        <v>73.08</v>
      </c>
      <c r="H41" s="64">
        <v>25.54</v>
      </c>
      <c r="I41" s="214" t="s">
        <v>43</v>
      </c>
      <c r="J41" s="64">
        <v>1.1200000000000001</v>
      </c>
      <c r="K41" s="64">
        <v>163.98</v>
      </c>
      <c r="L41" s="64">
        <v>16.3</v>
      </c>
      <c r="M41" s="64">
        <v>44.49</v>
      </c>
      <c r="N41" s="64">
        <v>431.8</v>
      </c>
      <c r="O41" s="64">
        <v>0</v>
      </c>
      <c r="P41" s="64">
        <v>0.52</v>
      </c>
      <c r="Q41" s="64">
        <v>10.199999999999999</v>
      </c>
      <c r="R41" s="198"/>
      <c r="S41" s="198"/>
      <c r="T41" s="198"/>
      <c r="U41" s="198"/>
    </row>
    <row r="42" spans="1:21" s="12" customFormat="1" x14ac:dyDescent="0.25">
      <c r="A42" s="213" t="s">
        <v>1525</v>
      </c>
      <c r="B42" s="64">
        <v>20.41</v>
      </c>
      <c r="C42" s="64">
        <v>46.76</v>
      </c>
      <c r="D42" s="64">
        <v>39.42</v>
      </c>
      <c r="E42" s="64">
        <v>5.03</v>
      </c>
      <c r="F42" s="64">
        <v>2.13</v>
      </c>
      <c r="G42" s="64">
        <v>73.08</v>
      </c>
      <c r="H42" s="64">
        <v>25.54</v>
      </c>
      <c r="I42" s="214" t="s">
        <v>43</v>
      </c>
      <c r="J42" s="64">
        <v>0.47</v>
      </c>
      <c r="K42" s="64">
        <v>215.65</v>
      </c>
      <c r="L42" s="64">
        <v>17.579999999999998</v>
      </c>
      <c r="M42" s="64">
        <v>37.65</v>
      </c>
      <c r="N42" s="64">
        <v>488.2</v>
      </c>
      <c r="O42" s="64">
        <v>0</v>
      </c>
      <c r="P42" s="64">
        <v>0.52</v>
      </c>
      <c r="Q42" s="64">
        <v>10.16</v>
      </c>
      <c r="R42" s="198"/>
      <c r="S42" s="198"/>
      <c r="T42" s="198"/>
      <c r="U42" s="198"/>
    </row>
    <row r="43" spans="1:21" s="12" customFormat="1" x14ac:dyDescent="0.25">
      <c r="A43" s="213" t="s">
        <v>1526</v>
      </c>
      <c r="B43" s="64">
        <v>19.899999999999999</v>
      </c>
      <c r="C43" s="64">
        <v>47.48</v>
      </c>
      <c r="D43" s="64">
        <v>39.39</v>
      </c>
      <c r="E43" s="64">
        <v>5.16</v>
      </c>
      <c r="F43" s="64">
        <v>2.13</v>
      </c>
      <c r="G43" s="64">
        <v>73.08</v>
      </c>
      <c r="H43" s="64">
        <v>25.54</v>
      </c>
      <c r="I43" s="214" t="s">
        <v>43</v>
      </c>
      <c r="J43" s="64">
        <v>0.32</v>
      </c>
      <c r="K43" s="64">
        <v>252.07</v>
      </c>
      <c r="L43" s="64">
        <v>20.420000000000002</v>
      </c>
      <c r="M43" s="64">
        <v>31.37</v>
      </c>
      <c r="N43" s="64">
        <v>546.9</v>
      </c>
      <c r="O43" s="64">
        <v>0</v>
      </c>
      <c r="P43" s="64">
        <v>0.52</v>
      </c>
      <c r="Q43" s="64">
        <v>10.14</v>
      </c>
      <c r="R43" s="198"/>
      <c r="S43" s="198"/>
      <c r="T43" s="198"/>
      <c r="U43" s="198"/>
    </row>
    <row r="44" spans="1:21" s="12" customFormat="1" x14ac:dyDescent="0.25">
      <c r="A44" s="213" t="s">
        <v>1527</v>
      </c>
      <c r="B44" s="64">
        <v>19.48</v>
      </c>
      <c r="C44" s="64">
        <v>48.6</v>
      </c>
      <c r="D44" s="64">
        <v>39.630000000000003</v>
      </c>
      <c r="E44" s="64">
        <v>4.91</v>
      </c>
      <c r="F44" s="64">
        <v>2.13</v>
      </c>
      <c r="G44" s="64">
        <v>73.819999999999993</v>
      </c>
      <c r="H44" s="64">
        <v>25.28</v>
      </c>
      <c r="I44" s="214" t="s">
        <v>43</v>
      </c>
      <c r="J44" s="64">
        <v>0.35</v>
      </c>
      <c r="K44" s="64">
        <v>166.8</v>
      </c>
      <c r="L44" s="64">
        <v>20.65</v>
      </c>
      <c r="M44" s="64">
        <v>31.02</v>
      </c>
      <c r="N44" s="64">
        <v>621.20000000000005</v>
      </c>
      <c r="O44" s="64">
        <v>0</v>
      </c>
      <c r="P44" s="64">
        <v>0.52</v>
      </c>
      <c r="Q44" s="64">
        <v>10.130000000000001</v>
      </c>
      <c r="R44" s="198"/>
      <c r="S44" s="198"/>
      <c r="T44" s="198"/>
      <c r="U44" s="198"/>
    </row>
    <row r="45" spans="1:21" s="12" customFormat="1" x14ac:dyDescent="0.25">
      <c r="A45" s="213" t="s">
        <v>1528</v>
      </c>
      <c r="B45" s="64">
        <v>19</v>
      </c>
      <c r="C45" s="64">
        <v>49.48</v>
      </c>
      <c r="D45" s="64">
        <v>39.71</v>
      </c>
      <c r="E45" s="64">
        <v>4.99</v>
      </c>
      <c r="F45" s="64">
        <v>2.13</v>
      </c>
      <c r="G45" s="64">
        <v>75.459999999999994</v>
      </c>
      <c r="H45" s="64">
        <v>24.71</v>
      </c>
      <c r="I45" s="214" t="s">
        <v>43</v>
      </c>
      <c r="J45" s="64">
        <v>0.51</v>
      </c>
      <c r="K45" s="64">
        <v>129.03</v>
      </c>
      <c r="L45" s="64">
        <v>20.9</v>
      </c>
      <c r="M45" s="64">
        <v>30.58</v>
      </c>
      <c r="N45" s="64">
        <v>683.7</v>
      </c>
      <c r="O45" s="64">
        <v>0</v>
      </c>
      <c r="P45" s="64">
        <v>0.52</v>
      </c>
      <c r="Q45" s="64">
        <v>10.11</v>
      </c>
      <c r="R45" s="198"/>
      <c r="S45" s="198"/>
      <c r="T45" s="198"/>
      <c r="U45" s="198"/>
    </row>
    <row r="46" spans="1:21" s="12" customFormat="1" x14ac:dyDescent="0.25">
      <c r="A46" s="213" t="s">
        <v>1529</v>
      </c>
      <c r="B46" s="64">
        <v>18.59</v>
      </c>
      <c r="C46" s="64">
        <v>50.37</v>
      </c>
      <c r="D46" s="64">
        <v>39.85</v>
      </c>
      <c r="E46" s="64">
        <v>5.76</v>
      </c>
      <c r="F46" s="64">
        <v>2.13</v>
      </c>
      <c r="G46" s="64">
        <v>75.459999999999994</v>
      </c>
      <c r="H46" s="64">
        <v>24.71</v>
      </c>
      <c r="I46" s="214" t="s">
        <v>43</v>
      </c>
      <c r="J46" s="64">
        <v>0.33</v>
      </c>
      <c r="K46" s="64">
        <v>68.760000000000005</v>
      </c>
      <c r="L46" s="64">
        <v>23.42</v>
      </c>
      <c r="M46" s="64">
        <v>26.25</v>
      </c>
      <c r="N46" s="64">
        <v>734.4</v>
      </c>
      <c r="O46" s="64">
        <v>0</v>
      </c>
      <c r="P46" s="64">
        <v>0.52</v>
      </c>
      <c r="Q46" s="64">
        <v>10.119999999999999</v>
      </c>
      <c r="R46" s="198"/>
      <c r="S46" s="198"/>
      <c r="T46" s="198"/>
      <c r="U46" s="198"/>
    </row>
    <row r="47" spans="1:21" s="12" customFormat="1" x14ac:dyDescent="0.25">
      <c r="A47" s="213" t="s">
        <v>1530</v>
      </c>
      <c r="B47" s="64">
        <v>18.43</v>
      </c>
      <c r="C47" s="64">
        <v>51.17</v>
      </c>
      <c r="D47" s="64">
        <v>40.14</v>
      </c>
      <c r="E47" s="64">
        <v>5.41</v>
      </c>
      <c r="F47" s="64">
        <v>2.13</v>
      </c>
      <c r="G47" s="64">
        <v>75.459999999999994</v>
      </c>
      <c r="H47" s="64">
        <v>24.71</v>
      </c>
      <c r="I47" s="214" t="s">
        <v>43</v>
      </c>
      <c r="J47" s="64">
        <v>0.78</v>
      </c>
      <c r="K47" s="64">
        <v>115.53</v>
      </c>
      <c r="L47" s="64">
        <v>22.48</v>
      </c>
      <c r="M47" s="64">
        <v>26.24</v>
      </c>
      <c r="N47" s="64">
        <v>784.8</v>
      </c>
      <c r="O47" s="64">
        <v>0</v>
      </c>
      <c r="P47" s="64">
        <v>0.53</v>
      </c>
      <c r="Q47" s="64">
        <v>10.1</v>
      </c>
      <c r="R47" s="198"/>
      <c r="S47" s="198"/>
      <c r="T47" s="198"/>
      <c r="U47" s="198"/>
    </row>
    <row r="48" spans="1:21" s="12" customFormat="1" x14ac:dyDescent="0.25">
      <c r="A48" s="213" t="s">
        <v>1531</v>
      </c>
      <c r="B48" s="64">
        <v>17.649999999999999</v>
      </c>
      <c r="C48" s="64">
        <v>51.67</v>
      </c>
      <c r="D48" s="64">
        <v>39.770000000000003</v>
      </c>
      <c r="E48" s="64">
        <v>5.22</v>
      </c>
      <c r="F48" s="64">
        <v>2.13</v>
      </c>
      <c r="G48" s="64">
        <v>80.53</v>
      </c>
      <c r="H48" s="64">
        <v>24.53</v>
      </c>
      <c r="I48" s="214" t="s">
        <v>43</v>
      </c>
      <c r="J48" s="64">
        <v>1.03</v>
      </c>
      <c r="K48" s="64">
        <v>128.24</v>
      </c>
      <c r="L48" s="64">
        <v>22.34</v>
      </c>
      <c r="M48" s="64">
        <v>24.7</v>
      </c>
      <c r="N48" s="64">
        <v>842.2</v>
      </c>
      <c r="O48" s="64">
        <v>0</v>
      </c>
      <c r="P48" s="64">
        <v>0.52</v>
      </c>
      <c r="Q48" s="64">
        <v>10.1</v>
      </c>
      <c r="R48" s="198"/>
      <c r="S48" s="198"/>
      <c r="T48" s="198"/>
      <c r="U48" s="198"/>
    </row>
    <row r="49" spans="1:21" s="12" customFormat="1" x14ac:dyDescent="0.25">
      <c r="A49" s="213" t="s">
        <v>1532</v>
      </c>
      <c r="B49" s="64">
        <v>16.52</v>
      </c>
      <c r="C49" s="64">
        <v>52.09</v>
      </c>
      <c r="D49" s="64">
        <v>39.090000000000003</v>
      </c>
      <c r="E49" s="64">
        <v>5.42</v>
      </c>
      <c r="F49" s="64">
        <v>2.13</v>
      </c>
      <c r="G49" s="64">
        <v>91.74</v>
      </c>
      <c r="H49" s="64">
        <v>24.14</v>
      </c>
      <c r="I49" s="214" t="s">
        <v>43</v>
      </c>
      <c r="J49" s="64">
        <v>0.6</v>
      </c>
      <c r="K49" s="64">
        <v>107.68</v>
      </c>
      <c r="L49" s="64">
        <v>22.47</v>
      </c>
      <c r="M49" s="64">
        <v>22.33</v>
      </c>
      <c r="N49" s="64">
        <v>877.8</v>
      </c>
      <c r="O49" s="64">
        <v>0</v>
      </c>
      <c r="P49" s="64">
        <v>0.53</v>
      </c>
      <c r="Q49" s="64">
        <v>10.1</v>
      </c>
      <c r="R49" s="198"/>
      <c r="S49" s="198"/>
      <c r="T49" s="198"/>
      <c r="U49" s="198"/>
    </row>
    <row r="50" spans="1:21" s="12" customFormat="1" x14ac:dyDescent="0.25">
      <c r="A50" s="213" t="s">
        <v>1533</v>
      </c>
      <c r="B50" s="64">
        <v>15.15</v>
      </c>
      <c r="C50" s="64">
        <v>52.76</v>
      </c>
      <c r="D50" s="64">
        <v>38.340000000000003</v>
      </c>
      <c r="E50" s="64">
        <v>5.4</v>
      </c>
      <c r="F50" s="64">
        <v>2.13</v>
      </c>
      <c r="G50" s="64">
        <v>91.74</v>
      </c>
      <c r="H50" s="64">
        <v>24.14</v>
      </c>
      <c r="I50" s="214" t="s">
        <v>43</v>
      </c>
      <c r="J50" s="64">
        <v>0.84</v>
      </c>
      <c r="K50" s="64">
        <v>105.33</v>
      </c>
      <c r="L50" s="64">
        <v>23.41</v>
      </c>
      <c r="M50" s="64">
        <v>20.05</v>
      </c>
      <c r="N50" s="64">
        <v>929.5</v>
      </c>
      <c r="O50" s="64">
        <v>0</v>
      </c>
      <c r="P50" s="64">
        <v>0.53</v>
      </c>
      <c r="Q50" s="64">
        <v>10.130000000000001</v>
      </c>
      <c r="R50" s="198"/>
      <c r="S50" s="198"/>
      <c r="T50" s="198"/>
      <c r="U50" s="198"/>
    </row>
    <row r="51" spans="1:21" s="12" customFormat="1" x14ac:dyDescent="0.25">
      <c r="A51" s="213" t="s">
        <v>1534</v>
      </c>
      <c r="B51" s="64">
        <v>13.4</v>
      </c>
      <c r="C51" s="64">
        <v>53.42</v>
      </c>
      <c r="D51" s="64">
        <v>37.28</v>
      </c>
      <c r="E51" s="64">
        <v>5.42</v>
      </c>
      <c r="F51" s="64">
        <v>2.13</v>
      </c>
      <c r="G51" s="64">
        <v>91.74</v>
      </c>
      <c r="H51" s="64">
        <v>24.14</v>
      </c>
      <c r="I51" s="214" t="s">
        <v>43</v>
      </c>
      <c r="J51" s="64">
        <v>1.08</v>
      </c>
      <c r="K51" s="64">
        <v>104.65</v>
      </c>
      <c r="L51" s="64">
        <v>22.85</v>
      </c>
      <c r="M51" s="64">
        <v>18.809999999999999</v>
      </c>
      <c r="N51" s="64">
        <v>963.8</v>
      </c>
      <c r="O51" s="64">
        <v>0</v>
      </c>
      <c r="P51" s="64">
        <v>0.51</v>
      </c>
      <c r="Q51" s="64">
        <v>10.14</v>
      </c>
      <c r="R51" s="198"/>
      <c r="S51" s="198"/>
      <c r="T51" s="198"/>
      <c r="U51" s="198"/>
    </row>
    <row r="52" spans="1:21" s="12" customFormat="1" x14ac:dyDescent="0.25">
      <c r="A52" s="213" t="s">
        <v>1535</v>
      </c>
      <c r="B52" s="64">
        <v>11.74</v>
      </c>
      <c r="C52" s="64">
        <v>53.44</v>
      </c>
      <c r="D52" s="64">
        <v>35.96</v>
      </c>
      <c r="E52" s="64">
        <v>5.24</v>
      </c>
      <c r="F52" s="64">
        <v>2.13</v>
      </c>
      <c r="G52" s="64">
        <v>84.53</v>
      </c>
      <c r="H52" s="64">
        <v>23.6</v>
      </c>
      <c r="I52" s="214" t="s">
        <v>43</v>
      </c>
      <c r="J52" s="64">
        <v>1.28</v>
      </c>
      <c r="K52" s="64">
        <v>119.6</v>
      </c>
      <c r="L52" s="64">
        <v>22.77</v>
      </c>
      <c r="M52" s="64">
        <v>18.350000000000001</v>
      </c>
      <c r="N52" s="64">
        <v>1010.3</v>
      </c>
      <c r="O52" s="64">
        <v>0</v>
      </c>
      <c r="P52" s="64">
        <v>0.51</v>
      </c>
      <c r="Q52" s="64">
        <v>10.17</v>
      </c>
      <c r="R52" s="198"/>
      <c r="S52" s="198"/>
      <c r="T52" s="198"/>
      <c r="U52" s="198"/>
    </row>
    <row r="53" spans="1:21" s="12" customFormat="1" x14ac:dyDescent="0.25">
      <c r="A53" s="213" t="s">
        <v>1536</v>
      </c>
      <c r="B53" s="64">
        <v>10.39</v>
      </c>
      <c r="C53" s="64">
        <v>53.41</v>
      </c>
      <c r="D53" s="64">
        <v>34.86</v>
      </c>
      <c r="E53" s="64">
        <v>4.9800000000000004</v>
      </c>
      <c r="F53" s="64">
        <v>2.13</v>
      </c>
      <c r="G53" s="64">
        <v>67.72</v>
      </c>
      <c r="H53" s="64">
        <v>22.42</v>
      </c>
      <c r="I53" s="214" t="s">
        <v>43</v>
      </c>
      <c r="J53" s="64">
        <v>0.3</v>
      </c>
      <c r="K53" s="64">
        <v>109.03</v>
      </c>
      <c r="L53" s="64">
        <v>24.6</v>
      </c>
      <c r="M53" s="64">
        <v>15.95</v>
      </c>
      <c r="N53" s="64">
        <v>1016.4</v>
      </c>
      <c r="O53" s="64">
        <v>0</v>
      </c>
      <c r="P53" s="64">
        <v>0.5</v>
      </c>
      <c r="Q53" s="64">
        <v>10.16</v>
      </c>
      <c r="R53" s="198"/>
      <c r="S53" s="198"/>
      <c r="T53" s="198"/>
      <c r="U53" s="198"/>
    </row>
    <row r="54" spans="1:21" s="12" customFormat="1" x14ac:dyDescent="0.25">
      <c r="A54" s="213" t="s">
        <v>1537</v>
      </c>
      <c r="B54" s="64">
        <v>9.5299999999999994</v>
      </c>
      <c r="C54" s="64">
        <v>53.94</v>
      </c>
      <c r="D54" s="64">
        <v>34.450000000000003</v>
      </c>
      <c r="E54" s="64">
        <v>5.1100000000000003</v>
      </c>
      <c r="F54" s="64">
        <v>2.13</v>
      </c>
      <c r="G54" s="64">
        <v>67.72</v>
      </c>
      <c r="H54" s="64">
        <v>22.42</v>
      </c>
      <c r="I54" s="214" t="s">
        <v>43</v>
      </c>
      <c r="J54" s="64">
        <v>0.14000000000000001</v>
      </c>
      <c r="K54" s="64">
        <v>70.38</v>
      </c>
      <c r="L54" s="64">
        <v>25.9</v>
      </c>
      <c r="M54" s="64">
        <v>14.79</v>
      </c>
      <c r="N54" s="64">
        <v>1016.2</v>
      </c>
      <c r="O54" s="64">
        <v>0</v>
      </c>
      <c r="P54" s="64">
        <v>0.48</v>
      </c>
      <c r="Q54" s="64">
        <v>10.15</v>
      </c>
      <c r="R54" s="198"/>
      <c r="S54" s="198"/>
      <c r="T54" s="198"/>
      <c r="U54" s="198"/>
    </row>
    <row r="55" spans="1:21" s="12" customFormat="1" x14ac:dyDescent="0.25">
      <c r="A55" s="213" t="s">
        <v>1538</v>
      </c>
      <c r="B55" s="64">
        <v>8.86</v>
      </c>
      <c r="C55" s="64">
        <v>54.26</v>
      </c>
      <c r="D55" s="64">
        <v>34.08</v>
      </c>
      <c r="E55" s="64">
        <v>5.43</v>
      </c>
      <c r="F55" s="64">
        <v>2.13</v>
      </c>
      <c r="G55" s="64">
        <v>67.72</v>
      </c>
      <c r="H55" s="64">
        <v>22.42</v>
      </c>
      <c r="I55" s="214" t="s">
        <v>43</v>
      </c>
      <c r="J55" s="64">
        <v>0.36</v>
      </c>
      <c r="K55" s="64">
        <v>81.42</v>
      </c>
      <c r="L55" s="64">
        <v>25.53</v>
      </c>
      <c r="M55" s="64">
        <v>14.18</v>
      </c>
      <c r="N55" s="64">
        <v>974.4</v>
      </c>
      <c r="O55" s="64">
        <v>0</v>
      </c>
      <c r="P55" s="64">
        <v>0.5</v>
      </c>
      <c r="Q55" s="64">
        <v>10.15</v>
      </c>
      <c r="R55" s="198"/>
      <c r="S55" s="198"/>
      <c r="T55" s="198"/>
      <c r="U55" s="198"/>
    </row>
    <row r="56" spans="1:21" s="12" customFormat="1" x14ac:dyDescent="0.25">
      <c r="A56" s="213" t="s">
        <v>1539</v>
      </c>
      <c r="B56" s="64">
        <v>8.57</v>
      </c>
      <c r="C56" s="64">
        <v>54.83</v>
      </c>
      <c r="D56" s="64">
        <v>34.14</v>
      </c>
      <c r="E56" s="64">
        <v>4.9000000000000004</v>
      </c>
      <c r="F56" s="64">
        <v>2.13</v>
      </c>
      <c r="G56" s="64">
        <v>68.75</v>
      </c>
      <c r="H56" s="64">
        <v>20.25</v>
      </c>
      <c r="I56" s="214" t="s">
        <v>43</v>
      </c>
      <c r="J56" s="64">
        <v>0.87</v>
      </c>
      <c r="K56" s="64">
        <v>310.58999999999997</v>
      </c>
      <c r="L56" s="64">
        <v>26.44</v>
      </c>
      <c r="M56" s="64">
        <v>14.35</v>
      </c>
      <c r="N56" s="64">
        <v>934.3</v>
      </c>
      <c r="O56" s="64">
        <v>0</v>
      </c>
      <c r="P56" s="64">
        <v>0.5</v>
      </c>
      <c r="Q56" s="64">
        <v>10.15</v>
      </c>
      <c r="R56" s="198"/>
      <c r="S56" s="198"/>
      <c r="T56" s="198"/>
      <c r="U56" s="198"/>
    </row>
    <row r="57" spans="1:21" s="12" customFormat="1" x14ac:dyDescent="0.25">
      <c r="A57" s="213" t="s">
        <v>1540</v>
      </c>
      <c r="B57" s="64">
        <v>8.81</v>
      </c>
      <c r="C57" s="64">
        <v>56.11</v>
      </c>
      <c r="D57" s="64">
        <v>35.01</v>
      </c>
      <c r="E57" s="64">
        <v>5.41</v>
      </c>
      <c r="F57" s="64">
        <v>2.13</v>
      </c>
      <c r="G57" s="64">
        <v>71.010000000000005</v>
      </c>
      <c r="H57" s="64">
        <v>15.45</v>
      </c>
      <c r="I57" s="214" t="s">
        <v>43</v>
      </c>
      <c r="J57" s="64">
        <v>1.33</v>
      </c>
      <c r="K57" s="64">
        <v>330.57</v>
      </c>
      <c r="L57" s="64">
        <v>29.37</v>
      </c>
      <c r="M57" s="64">
        <v>12.29</v>
      </c>
      <c r="N57" s="64">
        <v>917.9</v>
      </c>
      <c r="O57" s="64">
        <v>0</v>
      </c>
      <c r="P57" s="64">
        <v>0.51</v>
      </c>
      <c r="Q57" s="64">
        <v>10.15</v>
      </c>
      <c r="R57" s="198"/>
      <c r="S57" s="198"/>
      <c r="T57" s="198"/>
      <c r="U57" s="198"/>
    </row>
    <row r="58" spans="1:21" s="12" customFormat="1" x14ac:dyDescent="0.25">
      <c r="A58" s="213" t="s">
        <v>1541</v>
      </c>
      <c r="B58" s="64">
        <v>9.02</v>
      </c>
      <c r="C58" s="64">
        <v>57.49</v>
      </c>
      <c r="D58" s="64">
        <v>35.89</v>
      </c>
      <c r="E58" s="64">
        <v>5.64</v>
      </c>
      <c r="F58" s="64">
        <v>2.13</v>
      </c>
      <c r="G58" s="64">
        <v>71.010000000000005</v>
      </c>
      <c r="H58" s="64">
        <v>15.45</v>
      </c>
      <c r="I58" s="214" t="s">
        <v>43</v>
      </c>
      <c r="J58" s="64">
        <v>0.13</v>
      </c>
      <c r="K58" s="64">
        <v>122.31</v>
      </c>
      <c r="L58" s="64">
        <v>28.19</v>
      </c>
      <c r="M58" s="64">
        <v>12.27</v>
      </c>
      <c r="N58" s="64">
        <v>914.3</v>
      </c>
      <c r="O58" s="64">
        <v>0</v>
      </c>
      <c r="P58" s="64">
        <v>0.52</v>
      </c>
      <c r="Q58" s="64">
        <v>10.16</v>
      </c>
      <c r="R58" s="198"/>
      <c r="S58" s="198"/>
      <c r="T58" s="198"/>
      <c r="U58" s="198"/>
    </row>
    <row r="59" spans="1:21" s="12" customFormat="1" x14ac:dyDescent="0.25">
      <c r="A59" s="213" t="s">
        <v>1542</v>
      </c>
      <c r="B59" s="64">
        <v>8.7799999999999994</v>
      </c>
      <c r="C59" s="64">
        <v>57.7</v>
      </c>
      <c r="D59" s="64">
        <v>35.81</v>
      </c>
      <c r="E59" s="64">
        <v>5.23</v>
      </c>
      <c r="F59" s="64">
        <v>2.13</v>
      </c>
      <c r="G59" s="64">
        <v>71.010000000000005</v>
      </c>
      <c r="H59" s="64">
        <v>15.45</v>
      </c>
      <c r="I59" s="214" t="s">
        <v>43</v>
      </c>
      <c r="J59" s="64">
        <v>1.42</v>
      </c>
      <c r="K59" s="64">
        <v>341.56</v>
      </c>
      <c r="L59" s="64">
        <v>28.31</v>
      </c>
      <c r="M59" s="64">
        <v>11.91</v>
      </c>
      <c r="N59" s="64">
        <v>885.6</v>
      </c>
      <c r="O59" s="64">
        <v>0</v>
      </c>
      <c r="P59" s="64">
        <v>0.51</v>
      </c>
      <c r="Q59" s="64">
        <v>10.14</v>
      </c>
      <c r="R59" s="198"/>
      <c r="S59" s="198"/>
      <c r="T59" s="198"/>
      <c r="U59" s="198"/>
    </row>
    <row r="60" spans="1:21" s="12" customFormat="1" x14ac:dyDescent="0.25">
      <c r="A60" s="213" t="s">
        <v>1543</v>
      </c>
      <c r="B60" s="64">
        <v>8.85</v>
      </c>
      <c r="C60" s="64">
        <v>57.88</v>
      </c>
      <c r="D60" s="64">
        <v>35.97</v>
      </c>
      <c r="E60" s="64">
        <v>5.63</v>
      </c>
      <c r="F60" s="64">
        <v>2.15</v>
      </c>
      <c r="G60" s="64">
        <v>66.94</v>
      </c>
      <c r="H60" s="64">
        <v>16.02</v>
      </c>
      <c r="I60" s="214" t="s">
        <v>43</v>
      </c>
      <c r="J60" s="64">
        <v>0.88</v>
      </c>
      <c r="K60" s="64">
        <v>357.02</v>
      </c>
      <c r="L60" s="64">
        <v>28.71</v>
      </c>
      <c r="M60" s="64">
        <v>11.43</v>
      </c>
      <c r="N60" s="64">
        <v>823</v>
      </c>
      <c r="O60" s="64">
        <v>0</v>
      </c>
      <c r="P60" s="64">
        <v>0.52</v>
      </c>
      <c r="Q60" s="64">
        <v>10.1</v>
      </c>
      <c r="R60" s="198"/>
      <c r="S60" s="198"/>
      <c r="T60" s="198"/>
      <c r="U60" s="198"/>
    </row>
    <row r="61" spans="1:21" s="12" customFormat="1" x14ac:dyDescent="0.25">
      <c r="A61" s="213" t="s">
        <v>1544</v>
      </c>
      <c r="B61" s="64">
        <v>9.0399999999999991</v>
      </c>
      <c r="C61" s="64">
        <v>58.23</v>
      </c>
      <c r="D61" s="64">
        <v>36.29</v>
      </c>
      <c r="E61" s="64">
        <v>5.56</v>
      </c>
      <c r="F61" s="64">
        <v>2.13</v>
      </c>
      <c r="G61" s="64">
        <v>57.94</v>
      </c>
      <c r="H61" s="64">
        <v>17.3</v>
      </c>
      <c r="I61" s="214" t="s">
        <v>43</v>
      </c>
      <c r="J61" s="64">
        <v>0.63</v>
      </c>
      <c r="K61" s="64">
        <v>355.49</v>
      </c>
      <c r="L61" s="64">
        <v>28.2</v>
      </c>
      <c r="M61" s="64">
        <v>12.52</v>
      </c>
      <c r="N61" s="64">
        <v>796.9</v>
      </c>
      <c r="O61" s="64">
        <v>0</v>
      </c>
      <c r="P61" s="64">
        <v>0.51</v>
      </c>
      <c r="Q61" s="64">
        <v>10.06</v>
      </c>
      <c r="R61" s="198"/>
      <c r="S61" s="198"/>
      <c r="T61" s="198"/>
      <c r="U61" s="198"/>
    </row>
    <row r="62" spans="1:21" s="12" customFormat="1" x14ac:dyDescent="0.25">
      <c r="A62" s="213" t="s">
        <v>1545</v>
      </c>
      <c r="B62" s="64">
        <v>9.27</v>
      </c>
      <c r="C62" s="64">
        <v>58.7</v>
      </c>
      <c r="D62" s="64">
        <v>36.729999999999997</v>
      </c>
      <c r="E62" s="64">
        <v>5</v>
      </c>
      <c r="F62" s="64">
        <v>2.13</v>
      </c>
      <c r="G62" s="64">
        <v>57.94</v>
      </c>
      <c r="H62" s="64">
        <v>17.3</v>
      </c>
      <c r="I62" s="214" t="s">
        <v>43</v>
      </c>
      <c r="J62" s="64">
        <v>0.55000000000000004</v>
      </c>
      <c r="K62" s="64">
        <v>331.85</v>
      </c>
      <c r="L62" s="64">
        <v>28.51</v>
      </c>
      <c r="M62" s="64">
        <v>12.37</v>
      </c>
      <c r="N62" s="64">
        <v>774.5</v>
      </c>
      <c r="O62" s="64">
        <v>0</v>
      </c>
      <c r="P62" s="64">
        <v>0.54</v>
      </c>
      <c r="Q62" s="64">
        <v>10.039999999999999</v>
      </c>
      <c r="R62" s="198"/>
      <c r="S62" s="198"/>
      <c r="T62" s="198"/>
      <c r="U62" s="198"/>
    </row>
    <row r="63" spans="1:21" s="12" customFormat="1" x14ac:dyDescent="0.25">
      <c r="A63" s="213" t="s">
        <v>1546</v>
      </c>
      <c r="B63" s="64">
        <v>9.1300000000000008</v>
      </c>
      <c r="C63" s="64">
        <v>59.11</v>
      </c>
      <c r="D63" s="64">
        <v>36.83</v>
      </c>
      <c r="E63" s="64">
        <v>5.57</v>
      </c>
      <c r="F63" s="64">
        <v>2.13</v>
      </c>
      <c r="G63" s="64">
        <v>57.94</v>
      </c>
      <c r="H63" s="64">
        <v>17.3</v>
      </c>
      <c r="I63" s="214" t="s">
        <v>43</v>
      </c>
      <c r="J63" s="64">
        <v>0.71</v>
      </c>
      <c r="K63" s="64">
        <v>97.26</v>
      </c>
      <c r="L63" s="64">
        <v>27.2</v>
      </c>
      <c r="M63" s="64">
        <v>13.87</v>
      </c>
      <c r="N63" s="64">
        <v>569.29999999999995</v>
      </c>
      <c r="O63" s="64">
        <v>0</v>
      </c>
      <c r="P63" s="64">
        <v>0.54</v>
      </c>
      <c r="Q63" s="64">
        <v>10.01</v>
      </c>
      <c r="R63" s="198"/>
      <c r="S63" s="198"/>
      <c r="T63" s="198"/>
      <c r="U63" s="198"/>
    </row>
    <row r="64" spans="1:21" s="12" customFormat="1" x14ac:dyDescent="0.25">
      <c r="A64" s="213" t="s">
        <v>1547</v>
      </c>
      <c r="B64" s="64">
        <v>8.8800000000000008</v>
      </c>
      <c r="C64" s="64">
        <v>59.24</v>
      </c>
      <c r="D64" s="64">
        <v>36.700000000000003</v>
      </c>
      <c r="E64" s="64">
        <v>5.73</v>
      </c>
      <c r="F64" s="64">
        <v>2.13</v>
      </c>
      <c r="G64" s="64">
        <v>62.31</v>
      </c>
      <c r="H64" s="64">
        <v>18.09</v>
      </c>
      <c r="I64" s="214" t="s">
        <v>43</v>
      </c>
      <c r="J64" s="64">
        <v>1.05</v>
      </c>
      <c r="K64" s="64">
        <v>326.32</v>
      </c>
      <c r="L64" s="64">
        <v>27.34</v>
      </c>
      <c r="M64" s="64">
        <v>13.95</v>
      </c>
      <c r="N64" s="64">
        <v>557.79999999999995</v>
      </c>
      <c r="O64" s="64">
        <v>0</v>
      </c>
      <c r="P64" s="64">
        <v>0.54</v>
      </c>
      <c r="Q64" s="64">
        <v>10.01</v>
      </c>
      <c r="R64" s="198"/>
      <c r="S64" s="198"/>
      <c r="T64" s="198"/>
      <c r="U64" s="198"/>
    </row>
    <row r="65" spans="1:21" s="12" customFormat="1" x14ac:dyDescent="0.25">
      <c r="A65" s="213" t="s">
        <v>1548</v>
      </c>
      <c r="B65" s="64">
        <v>8.6199999999999992</v>
      </c>
      <c r="C65" s="64">
        <v>59.35</v>
      </c>
      <c r="D65" s="64">
        <v>36.549999999999997</v>
      </c>
      <c r="E65" s="64">
        <v>5.93</v>
      </c>
      <c r="F65" s="64">
        <v>2.13</v>
      </c>
      <c r="G65" s="64">
        <v>72</v>
      </c>
      <c r="H65" s="64">
        <v>19.829999999999998</v>
      </c>
      <c r="I65" s="214" t="s">
        <v>43</v>
      </c>
      <c r="J65" s="64">
        <v>1.93</v>
      </c>
      <c r="K65" s="64">
        <v>337.07</v>
      </c>
      <c r="L65" s="64">
        <v>28.9</v>
      </c>
      <c r="M65" s="64">
        <v>10.64</v>
      </c>
      <c r="N65" s="64">
        <v>632.79999999999995</v>
      </c>
      <c r="O65" s="64">
        <v>0</v>
      </c>
      <c r="P65" s="64">
        <v>0.55000000000000004</v>
      </c>
      <c r="Q65" s="64">
        <v>10.01</v>
      </c>
      <c r="R65" s="198"/>
      <c r="S65" s="198"/>
      <c r="T65" s="198"/>
      <c r="U65" s="198"/>
    </row>
    <row r="66" spans="1:21" s="12" customFormat="1" x14ac:dyDescent="0.25">
      <c r="A66" s="213" t="s">
        <v>1549</v>
      </c>
      <c r="B66" s="64">
        <v>8.58</v>
      </c>
      <c r="C66" s="64">
        <v>59.06</v>
      </c>
      <c r="D66" s="64">
        <v>36.36</v>
      </c>
      <c r="E66" s="64">
        <v>5.67</v>
      </c>
      <c r="F66" s="64">
        <v>2.13</v>
      </c>
      <c r="G66" s="64">
        <v>72</v>
      </c>
      <c r="H66" s="64">
        <v>19.829999999999998</v>
      </c>
      <c r="I66" s="214" t="s">
        <v>43</v>
      </c>
      <c r="J66" s="64">
        <v>2.0499999999999998</v>
      </c>
      <c r="K66" s="64">
        <v>343.4</v>
      </c>
      <c r="L66" s="64">
        <v>28.78</v>
      </c>
      <c r="M66" s="64">
        <v>10.76</v>
      </c>
      <c r="N66" s="64">
        <v>719.9</v>
      </c>
      <c r="O66" s="64">
        <v>0</v>
      </c>
      <c r="P66" s="64">
        <v>0.54</v>
      </c>
      <c r="Q66" s="64">
        <v>10.01</v>
      </c>
      <c r="R66" s="198"/>
      <c r="S66" s="198"/>
      <c r="T66" s="198"/>
      <c r="U66" s="198"/>
    </row>
    <row r="67" spans="1:21" s="12" customFormat="1" x14ac:dyDescent="0.25">
      <c r="A67" s="213" t="s">
        <v>1550</v>
      </c>
      <c r="B67" s="64">
        <v>8.42</v>
      </c>
      <c r="C67" s="64">
        <v>58.94</v>
      </c>
      <c r="D67" s="64">
        <v>36.17</v>
      </c>
      <c r="E67" s="64">
        <v>5.66</v>
      </c>
      <c r="F67" s="64">
        <v>2.13</v>
      </c>
      <c r="G67" s="64">
        <v>72</v>
      </c>
      <c r="H67" s="64">
        <v>19.829999999999998</v>
      </c>
      <c r="I67" s="214" t="s">
        <v>43</v>
      </c>
      <c r="J67" s="64">
        <v>1.27</v>
      </c>
      <c r="K67" s="64">
        <v>335.56</v>
      </c>
      <c r="L67" s="64">
        <v>28.93</v>
      </c>
      <c r="M67" s="64">
        <v>10.4</v>
      </c>
      <c r="N67" s="64">
        <v>468.3</v>
      </c>
      <c r="O67" s="64">
        <v>0</v>
      </c>
      <c r="P67" s="64">
        <v>0.54</v>
      </c>
      <c r="Q67" s="64">
        <v>10.01</v>
      </c>
      <c r="R67" s="198"/>
      <c r="S67" s="198"/>
      <c r="T67" s="198"/>
      <c r="U67" s="198"/>
    </row>
    <row r="68" spans="1:21" s="12" customFormat="1" x14ac:dyDescent="0.25">
      <c r="A68" s="213" t="s">
        <v>1551</v>
      </c>
      <c r="B68" s="64">
        <v>8.33</v>
      </c>
      <c r="C68" s="64">
        <v>58.51</v>
      </c>
      <c r="D68" s="64">
        <v>35.869999999999997</v>
      </c>
      <c r="E68" s="64">
        <v>5.71</v>
      </c>
      <c r="F68" s="64">
        <v>2.13</v>
      </c>
      <c r="G68" s="64">
        <v>66.260000000000005</v>
      </c>
      <c r="H68" s="64">
        <v>19.8</v>
      </c>
      <c r="I68" s="214" t="s">
        <v>43</v>
      </c>
      <c r="J68" s="64">
        <v>1.36</v>
      </c>
      <c r="K68" s="64">
        <v>323.27</v>
      </c>
      <c r="L68" s="64">
        <v>28.66</v>
      </c>
      <c r="M68" s="64">
        <v>11.39</v>
      </c>
      <c r="N68" s="64">
        <v>456.6</v>
      </c>
      <c r="O68" s="64">
        <v>0</v>
      </c>
      <c r="P68" s="64">
        <v>0.54</v>
      </c>
      <c r="Q68" s="64">
        <v>10.029999999999999</v>
      </c>
      <c r="R68" s="198"/>
      <c r="S68" s="198"/>
      <c r="T68" s="198"/>
      <c r="U68" s="198"/>
    </row>
    <row r="69" spans="1:21" s="12" customFormat="1" x14ac:dyDescent="0.25">
      <c r="A69" s="213" t="s">
        <v>1552</v>
      </c>
      <c r="B69" s="64">
        <v>8.02</v>
      </c>
      <c r="C69" s="64">
        <v>57.81</v>
      </c>
      <c r="D69" s="64">
        <v>35.26</v>
      </c>
      <c r="E69" s="64">
        <v>4.63</v>
      </c>
      <c r="F69" s="64">
        <v>2.13</v>
      </c>
      <c r="G69" s="64">
        <v>53.54</v>
      </c>
      <c r="H69" s="64">
        <v>19.739999999999998</v>
      </c>
      <c r="I69" s="214" t="s">
        <v>43</v>
      </c>
      <c r="J69" s="64">
        <v>1.81</v>
      </c>
      <c r="K69" s="64">
        <v>349.41</v>
      </c>
      <c r="L69" s="64">
        <v>28.23</v>
      </c>
      <c r="M69" s="64">
        <v>11.48</v>
      </c>
      <c r="N69" s="64">
        <v>394.7</v>
      </c>
      <c r="O69" s="64">
        <v>0</v>
      </c>
      <c r="P69" s="64">
        <v>0.53</v>
      </c>
      <c r="Q69" s="64">
        <v>10.06</v>
      </c>
      <c r="R69" s="198"/>
      <c r="S69" s="198"/>
      <c r="T69" s="198"/>
      <c r="U69" s="198"/>
    </row>
    <row r="70" spans="1:21" s="12" customFormat="1" x14ac:dyDescent="0.25">
      <c r="A70" s="213" t="s">
        <v>1553</v>
      </c>
      <c r="B70" s="64">
        <v>7.8</v>
      </c>
      <c r="C70" s="64">
        <v>56.98</v>
      </c>
      <c r="D70" s="64">
        <v>34.64</v>
      </c>
      <c r="E70" s="64">
        <v>4.74</v>
      </c>
      <c r="F70" s="64">
        <v>2.13</v>
      </c>
      <c r="G70" s="64">
        <v>53.54</v>
      </c>
      <c r="H70" s="64">
        <v>19.739999999999998</v>
      </c>
      <c r="I70" s="214" t="s">
        <v>43</v>
      </c>
      <c r="J70" s="64">
        <v>0.66</v>
      </c>
      <c r="K70" s="64">
        <v>348.72</v>
      </c>
      <c r="L70" s="64">
        <v>26.76</v>
      </c>
      <c r="M70" s="64">
        <v>12.27</v>
      </c>
      <c r="N70" s="64">
        <v>439.5</v>
      </c>
      <c r="O70" s="64">
        <v>0</v>
      </c>
      <c r="P70" s="64">
        <v>0.52</v>
      </c>
      <c r="Q70" s="64">
        <v>10.06</v>
      </c>
      <c r="R70" s="198"/>
      <c r="S70" s="198"/>
      <c r="T70" s="198"/>
      <c r="U70" s="198"/>
    </row>
    <row r="71" spans="1:21" s="12" customFormat="1" x14ac:dyDescent="0.25">
      <c r="A71" s="213" t="s">
        <v>1554</v>
      </c>
      <c r="B71" s="64">
        <v>7.93</v>
      </c>
      <c r="C71" s="64">
        <v>56.14</v>
      </c>
      <c r="D71" s="64">
        <v>34.31</v>
      </c>
      <c r="E71" s="64">
        <v>4.84</v>
      </c>
      <c r="F71" s="64">
        <v>2.13</v>
      </c>
      <c r="G71" s="64">
        <v>53.54</v>
      </c>
      <c r="H71" s="64">
        <v>19.739999999999998</v>
      </c>
      <c r="I71" s="214" t="s">
        <v>43</v>
      </c>
      <c r="J71" s="64">
        <v>1.08</v>
      </c>
      <c r="K71" s="64">
        <v>336.88</v>
      </c>
      <c r="L71" s="64">
        <v>26.57</v>
      </c>
      <c r="M71" s="64">
        <v>12.86</v>
      </c>
      <c r="N71" s="64">
        <v>283.8</v>
      </c>
      <c r="O71" s="64">
        <v>0</v>
      </c>
      <c r="P71" s="64">
        <v>0.51</v>
      </c>
      <c r="Q71" s="64">
        <v>10.06</v>
      </c>
      <c r="R71" s="198"/>
      <c r="S71" s="198"/>
      <c r="T71" s="198"/>
      <c r="U71" s="198"/>
    </row>
    <row r="72" spans="1:21" s="12" customFormat="1" x14ac:dyDescent="0.25">
      <c r="A72" s="213" t="s">
        <v>1555</v>
      </c>
      <c r="B72" s="64">
        <v>8.14</v>
      </c>
      <c r="C72" s="64">
        <v>55.83</v>
      </c>
      <c r="D72" s="64">
        <v>34.32</v>
      </c>
      <c r="E72" s="64">
        <v>5.62</v>
      </c>
      <c r="F72" s="64">
        <v>2.13</v>
      </c>
      <c r="G72" s="64">
        <v>53.12</v>
      </c>
      <c r="H72" s="64">
        <v>18.71</v>
      </c>
      <c r="I72" s="214" t="s">
        <v>43</v>
      </c>
      <c r="J72" s="64">
        <v>1.62</v>
      </c>
      <c r="K72" s="64">
        <v>339.91</v>
      </c>
      <c r="L72" s="64">
        <v>25.87</v>
      </c>
      <c r="M72" s="64">
        <v>13.58</v>
      </c>
      <c r="N72" s="64">
        <v>176.8</v>
      </c>
      <c r="O72" s="64">
        <v>0</v>
      </c>
      <c r="P72" s="64">
        <v>0.51</v>
      </c>
      <c r="Q72" s="64">
        <v>10.07</v>
      </c>
      <c r="R72" s="198"/>
      <c r="S72" s="198"/>
      <c r="T72" s="198"/>
      <c r="U72" s="198"/>
    </row>
    <row r="73" spans="1:21" s="12" customFormat="1" x14ac:dyDescent="0.25">
      <c r="A73" s="213" t="s">
        <v>1556</v>
      </c>
      <c r="B73" s="64">
        <v>8.17</v>
      </c>
      <c r="C73" s="64">
        <v>55.48</v>
      </c>
      <c r="D73" s="64">
        <v>34.17</v>
      </c>
      <c r="E73" s="64">
        <v>5.17</v>
      </c>
      <c r="F73" s="64">
        <v>2.13</v>
      </c>
      <c r="G73" s="64">
        <v>52.2</v>
      </c>
      <c r="H73" s="64">
        <v>16.43</v>
      </c>
      <c r="I73" s="214" t="s">
        <v>43</v>
      </c>
      <c r="J73" s="64">
        <v>2.12</v>
      </c>
      <c r="K73" s="64">
        <v>329.3</v>
      </c>
      <c r="L73" s="64">
        <v>25.21</v>
      </c>
      <c r="M73" s="64">
        <v>14.6</v>
      </c>
      <c r="N73" s="64">
        <v>162.5</v>
      </c>
      <c r="O73" s="64">
        <v>0</v>
      </c>
      <c r="P73" s="64">
        <v>0.52</v>
      </c>
      <c r="Q73" s="64">
        <v>10.07</v>
      </c>
      <c r="R73" s="198"/>
      <c r="S73" s="198"/>
      <c r="T73" s="198"/>
      <c r="U73" s="198"/>
    </row>
    <row r="74" spans="1:21" s="12" customFormat="1" x14ac:dyDescent="0.25">
      <c r="A74" s="213" t="s">
        <v>1557</v>
      </c>
      <c r="B74" s="64">
        <v>7.98</v>
      </c>
      <c r="C74" s="64">
        <v>54.92</v>
      </c>
      <c r="D74" s="64">
        <v>33.72</v>
      </c>
      <c r="E74" s="64">
        <v>4.55</v>
      </c>
      <c r="F74" s="64">
        <v>2.13</v>
      </c>
      <c r="G74" s="64">
        <v>52.2</v>
      </c>
      <c r="H74" s="64">
        <v>16.43</v>
      </c>
      <c r="I74" s="214" t="s">
        <v>43</v>
      </c>
      <c r="J74" s="64">
        <v>1.1499999999999999</v>
      </c>
      <c r="K74" s="64">
        <v>342.07</v>
      </c>
      <c r="L74" s="64">
        <v>24.58</v>
      </c>
      <c r="M74" s="64">
        <v>14.17</v>
      </c>
      <c r="N74" s="64">
        <v>142.6</v>
      </c>
      <c r="O74" s="64">
        <v>0</v>
      </c>
      <c r="P74" s="64">
        <v>0.5</v>
      </c>
      <c r="Q74" s="64">
        <v>10.07</v>
      </c>
      <c r="R74" s="198"/>
      <c r="S74" s="198"/>
      <c r="T74" s="198"/>
      <c r="U74" s="198"/>
    </row>
    <row r="75" spans="1:21" s="12" customFormat="1" x14ac:dyDescent="0.25">
      <c r="A75" s="213" t="s">
        <v>1558</v>
      </c>
      <c r="B75" s="64">
        <v>7.96</v>
      </c>
      <c r="C75" s="64">
        <v>54.9</v>
      </c>
      <c r="D75" s="64">
        <v>33.69</v>
      </c>
      <c r="E75" s="64">
        <v>4.63</v>
      </c>
      <c r="F75" s="64">
        <v>2.13</v>
      </c>
      <c r="G75" s="64">
        <v>52.2</v>
      </c>
      <c r="H75" s="64">
        <v>16.43</v>
      </c>
      <c r="I75" s="214" t="s">
        <v>43</v>
      </c>
      <c r="J75" s="64">
        <v>0.87</v>
      </c>
      <c r="K75" s="64">
        <v>354.11</v>
      </c>
      <c r="L75" s="64">
        <v>23.58</v>
      </c>
      <c r="M75" s="64">
        <v>21.4</v>
      </c>
      <c r="N75" s="64">
        <v>123.1</v>
      </c>
      <c r="O75" s="64">
        <v>0</v>
      </c>
      <c r="P75" s="64">
        <v>0.5</v>
      </c>
      <c r="Q75" s="64">
        <v>10.08</v>
      </c>
      <c r="R75" s="198"/>
      <c r="S75" s="198"/>
      <c r="T75" s="198"/>
      <c r="U75" s="198"/>
    </row>
    <row r="76" spans="1:21" s="12" customFormat="1" x14ac:dyDescent="0.25">
      <c r="A76" s="213" t="s">
        <v>1559</v>
      </c>
      <c r="B76" s="64">
        <v>8.33</v>
      </c>
      <c r="C76" s="64">
        <v>54.93</v>
      </c>
      <c r="D76" s="64">
        <v>34</v>
      </c>
      <c r="E76" s="64">
        <v>4.74</v>
      </c>
      <c r="F76" s="64">
        <v>2.13</v>
      </c>
      <c r="G76" s="64">
        <v>48.94</v>
      </c>
      <c r="H76" s="64">
        <v>15.04</v>
      </c>
      <c r="I76" s="214" t="s">
        <v>43</v>
      </c>
      <c r="J76" s="64">
        <v>1.1299999999999999</v>
      </c>
      <c r="K76" s="64">
        <v>350.6</v>
      </c>
      <c r="L76" s="64">
        <v>23.44</v>
      </c>
      <c r="M76" s="64">
        <v>16.600000000000001</v>
      </c>
      <c r="N76" s="64">
        <v>117</v>
      </c>
      <c r="O76" s="64">
        <v>0</v>
      </c>
      <c r="P76" s="64">
        <v>0.5</v>
      </c>
      <c r="Q76" s="64">
        <v>10.1</v>
      </c>
      <c r="R76" s="198"/>
      <c r="S76" s="198"/>
      <c r="T76" s="198"/>
      <c r="U76" s="198"/>
    </row>
    <row r="77" spans="1:21" s="12" customFormat="1" x14ac:dyDescent="0.25">
      <c r="A77" s="213" t="s">
        <v>1560</v>
      </c>
      <c r="B77" s="64">
        <v>9.11</v>
      </c>
      <c r="C77" s="64">
        <v>54.91</v>
      </c>
      <c r="D77" s="64">
        <v>34.619999999999997</v>
      </c>
      <c r="E77" s="64">
        <v>4.4800000000000004</v>
      </c>
      <c r="F77" s="64">
        <v>2.13</v>
      </c>
      <c r="G77" s="64">
        <v>41.74</v>
      </c>
      <c r="H77" s="64">
        <v>11.95</v>
      </c>
      <c r="I77" s="214" t="s">
        <v>43</v>
      </c>
      <c r="J77" s="64">
        <v>0.57999999999999996</v>
      </c>
      <c r="K77" s="64">
        <v>62.08</v>
      </c>
      <c r="L77" s="64">
        <v>23.12</v>
      </c>
      <c r="M77" s="64">
        <v>17.79</v>
      </c>
      <c r="N77" s="64">
        <v>110</v>
      </c>
      <c r="O77" s="64">
        <v>0</v>
      </c>
      <c r="P77" s="64">
        <v>0.48</v>
      </c>
      <c r="Q77" s="64">
        <v>10.08</v>
      </c>
      <c r="R77" s="198"/>
      <c r="S77" s="198"/>
      <c r="T77" s="198"/>
      <c r="U77" s="198"/>
    </row>
    <row r="78" spans="1:21" s="12" customFormat="1" x14ac:dyDescent="0.25">
      <c r="A78" s="213" t="s">
        <v>1561</v>
      </c>
      <c r="B78" s="64">
        <v>9.49</v>
      </c>
      <c r="C78" s="64">
        <v>54.6</v>
      </c>
      <c r="D78" s="64">
        <v>34.76</v>
      </c>
      <c r="E78" s="64">
        <v>4.62</v>
      </c>
      <c r="F78" s="64">
        <v>2.13</v>
      </c>
      <c r="G78" s="64">
        <v>41.74</v>
      </c>
      <c r="H78" s="64">
        <v>11.95</v>
      </c>
      <c r="I78" s="214" t="s">
        <v>43</v>
      </c>
      <c r="J78" s="64">
        <v>0.42</v>
      </c>
      <c r="K78" s="64">
        <v>341.84</v>
      </c>
      <c r="L78" s="64">
        <v>21.61</v>
      </c>
      <c r="M78" s="64">
        <v>31.82</v>
      </c>
      <c r="N78" s="64">
        <v>101.6</v>
      </c>
      <c r="O78" s="64">
        <v>0</v>
      </c>
      <c r="P78" s="64">
        <v>0.47</v>
      </c>
      <c r="Q78" s="64">
        <v>10.029999999999999</v>
      </c>
      <c r="R78" s="198"/>
      <c r="S78" s="198"/>
      <c r="T78" s="198"/>
      <c r="U78" s="198"/>
    </row>
    <row r="79" spans="1:21" s="12" customFormat="1" x14ac:dyDescent="0.25">
      <c r="A79" s="213" t="s">
        <v>1562</v>
      </c>
      <c r="B79" s="64">
        <v>10.38</v>
      </c>
      <c r="C79" s="64">
        <v>54.78</v>
      </c>
      <c r="D79" s="64">
        <v>35.56</v>
      </c>
      <c r="E79" s="64">
        <v>5</v>
      </c>
      <c r="F79" s="64">
        <v>2.13</v>
      </c>
      <c r="G79" s="64">
        <v>41.74</v>
      </c>
      <c r="H79" s="64">
        <v>11.95</v>
      </c>
      <c r="I79" s="214" t="s">
        <v>43</v>
      </c>
      <c r="J79" s="64">
        <v>0.56000000000000005</v>
      </c>
      <c r="K79" s="64">
        <v>38.15</v>
      </c>
      <c r="L79" s="64">
        <v>21.22</v>
      </c>
      <c r="M79" s="64">
        <v>27.58</v>
      </c>
      <c r="N79" s="64">
        <v>91.8</v>
      </c>
      <c r="O79" s="64">
        <v>0</v>
      </c>
      <c r="P79" s="64">
        <v>0.59</v>
      </c>
      <c r="Q79" s="64">
        <v>9.99</v>
      </c>
      <c r="R79" s="198"/>
      <c r="S79" s="198"/>
      <c r="T79" s="198"/>
      <c r="U79" s="198"/>
    </row>
    <row r="80" spans="1:21" s="12" customFormat="1" x14ac:dyDescent="0.25">
      <c r="A80" s="213" t="s">
        <v>1563</v>
      </c>
      <c r="B80" s="64">
        <v>11.4</v>
      </c>
      <c r="C80" s="64">
        <v>55.51</v>
      </c>
      <c r="D80" s="64">
        <v>36.76</v>
      </c>
      <c r="E80" s="64">
        <v>4.9000000000000004</v>
      </c>
      <c r="F80" s="64">
        <v>2.13</v>
      </c>
      <c r="G80" s="64">
        <v>38.659999999999997</v>
      </c>
      <c r="H80" s="64">
        <v>12.57</v>
      </c>
      <c r="I80" s="214" t="s">
        <v>43</v>
      </c>
      <c r="J80" s="64">
        <v>0.52</v>
      </c>
      <c r="K80" s="64">
        <v>30.01</v>
      </c>
      <c r="L80" s="64">
        <v>21.28</v>
      </c>
      <c r="M80" s="64">
        <v>20.16</v>
      </c>
      <c r="N80" s="64">
        <v>82.9</v>
      </c>
      <c r="O80" s="64">
        <v>0</v>
      </c>
      <c r="P80" s="64">
        <v>0.51</v>
      </c>
      <c r="Q80" s="64">
        <v>9.99</v>
      </c>
      <c r="R80" s="198"/>
      <c r="S80" s="198"/>
      <c r="T80" s="198"/>
      <c r="U80" s="198"/>
    </row>
    <row r="81" spans="1:26" s="12" customFormat="1" x14ac:dyDescent="0.25">
      <c r="A81" s="213" t="s">
        <v>1564</v>
      </c>
      <c r="B81" s="64">
        <v>11.53</v>
      </c>
      <c r="C81" s="64">
        <v>55.73</v>
      </c>
      <c r="D81" s="64">
        <v>36.979999999999997</v>
      </c>
      <c r="E81" s="64">
        <v>4.9000000000000004</v>
      </c>
      <c r="F81" s="64">
        <v>2.13</v>
      </c>
      <c r="G81" s="64">
        <v>31.85</v>
      </c>
      <c r="H81" s="64">
        <v>13.93</v>
      </c>
      <c r="I81" s="214" t="s">
        <v>43</v>
      </c>
      <c r="J81" s="64">
        <v>0.54</v>
      </c>
      <c r="K81" s="64">
        <v>262.76</v>
      </c>
      <c r="L81" s="64">
        <v>20.68</v>
      </c>
      <c r="M81" s="64">
        <v>23.5</v>
      </c>
      <c r="N81" s="64">
        <v>79.099999999999994</v>
      </c>
      <c r="O81" s="64">
        <v>0</v>
      </c>
      <c r="P81" s="64">
        <v>0.59</v>
      </c>
      <c r="Q81" s="64">
        <v>9.99</v>
      </c>
      <c r="R81" s="198"/>
      <c r="S81" s="198"/>
      <c r="T81" s="198"/>
      <c r="U81" s="198"/>
    </row>
    <row r="82" spans="1:26" s="12" customFormat="1" x14ac:dyDescent="0.25">
      <c r="A82" s="213" t="s">
        <v>1565</v>
      </c>
      <c r="B82" s="64">
        <v>13.11</v>
      </c>
      <c r="C82" s="64">
        <v>56.74</v>
      </c>
      <c r="D82" s="64">
        <v>38.78</v>
      </c>
      <c r="E82" s="64">
        <v>5.25</v>
      </c>
      <c r="F82" s="64">
        <v>2.13</v>
      </c>
      <c r="G82" s="64">
        <v>31.85</v>
      </c>
      <c r="H82" s="64">
        <v>13.93</v>
      </c>
      <c r="I82" s="214" t="s">
        <v>43</v>
      </c>
      <c r="J82" s="64">
        <v>0.41</v>
      </c>
      <c r="K82" s="64">
        <v>273.68</v>
      </c>
      <c r="L82" s="64">
        <v>19.78</v>
      </c>
      <c r="M82" s="64">
        <v>27.81</v>
      </c>
      <c r="N82" s="64">
        <v>78.599999999999994</v>
      </c>
      <c r="O82" s="64">
        <v>0</v>
      </c>
      <c r="P82" s="64">
        <v>0.76</v>
      </c>
      <c r="Q82" s="64">
        <v>9.9700000000000006</v>
      </c>
      <c r="R82" s="198"/>
      <c r="S82" s="198"/>
      <c r="T82" s="198"/>
      <c r="U82" s="198"/>
    </row>
    <row r="83" spans="1:26" s="12" customFormat="1" x14ac:dyDescent="0.25">
      <c r="A83" s="213" t="s">
        <v>1566</v>
      </c>
      <c r="B83" s="64">
        <v>16.87</v>
      </c>
      <c r="C83" s="64">
        <v>58.03</v>
      </c>
      <c r="D83" s="64">
        <v>42.47</v>
      </c>
      <c r="E83" s="64">
        <v>5.24</v>
      </c>
      <c r="F83" s="64">
        <v>2.13</v>
      </c>
      <c r="G83" s="64">
        <v>31.85</v>
      </c>
      <c r="H83" s="64">
        <v>13.93</v>
      </c>
      <c r="I83" s="214" t="s">
        <v>43</v>
      </c>
      <c r="J83" s="64">
        <v>0.48</v>
      </c>
      <c r="K83" s="64">
        <v>308.87</v>
      </c>
      <c r="L83" s="64">
        <v>19.05</v>
      </c>
      <c r="M83" s="64">
        <v>36.380000000000003</v>
      </c>
      <c r="N83" s="64">
        <v>78.2</v>
      </c>
      <c r="O83" s="64">
        <v>0</v>
      </c>
      <c r="P83" s="64">
        <v>1.19</v>
      </c>
      <c r="Q83" s="64">
        <v>9.9700000000000006</v>
      </c>
      <c r="R83" s="198"/>
      <c r="S83" s="198"/>
      <c r="T83" s="198"/>
      <c r="U83" s="198"/>
    </row>
    <row r="84" spans="1:26" s="12" customFormat="1" x14ac:dyDescent="0.25">
      <c r="A84" s="213" t="s">
        <v>1567</v>
      </c>
      <c r="B84" s="64">
        <v>23.62</v>
      </c>
      <c r="C84" s="64">
        <v>59.02</v>
      </c>
      <c r="D84" s="64">
        <v>48.4</v>
      </c>
      <c r="E84" s="64">
        <v>5.89</v>
      </c>
      <c r="F84" s="64">
        <v>2.13</v>
      </c>
      <c r="G84" s="64">
        <v>46.39</v>
      </c>
      <c r="H84" s="64">
        <v>15.06</v>
      </c>
      <c r="I84" s="214" t="s">
        <v>43</v>
      </c>
      <c r="J84" s="64">
        <v>0.23</v>
      </c>
      <c r="K84" s="64">
        <v>290.04000000000002</v>
      </c>
      <c r="L84" s="64">
        <v>18.78</v>
      </c>
      <c r="M84" s="64">
        <v>35.950000000000003</v>
      </c>
      <c r="N84" s="64">
        <v>77.900000000000006</v>
      </c>
      <c r="O84" s="64">
        <v>0</v>
      </c>
      <c r="P84" s="64">
        <v>1.1599999999999999</v>
      </c>
      <c r="Q84" s="64">
        <v>9.94</v>
      </c>
      <c r="R84" s="198"/>
      <c r="S84" s="198"/>
      <c r="T84" s="198"/>
      <c r="U84" s="198"/>
    </row>
    <row r="85" spans="1:26" s="12" customFormat="1" x14ac:dyDescent="0.25">
      <c r="A85" s="213" t="s">
        <v>1568</v>
      </c>
      <c r="B85" s="64">
        <v>32.18</v>
      </c>
      <c r="C85" s="64">
        <v>60.15</v>
      </c>
      <c r="D85" s="64">
        <v>55.86</v>
      </c>
      <c r="E85" s="64">
        <v>6.59</v>
      </c>
      <c r="F85" s="64">
        <v>2.13</v>
      </c>
      <c r="G85" s="64">
        <v>78.59</v>
      </c>
      <c r="H85" s="64">
        <v>17.579999999999998</v>
      </c>
      <c r="I85" s="214" t="s">
        <v>43</v>
      </c>
      <c r="J85" s="64">
        <v>0.77</v>
      </c>
      <c r="K85" s="64">
        <v>94.66</v>
      </c>
      <c r="L85" s="64">
        <v>18.579999999999998</v>
      </c>
      <c r="M85" s="64">
        <v>34.450000000000003</v>
      </c>
      <c r="N85" s="64">
        <v>77.8</v>
      </c>
      <c r="O85" s="64">
        <v>0</v>
      </c>
      <c r="P85" s="64">
        <v>0.68</v>
      </c>
      <c r="Q85" s="64">
        <v>9.9700000000000006</v>
      </c>
      <c r="R85" s="198"/>
      <c r="S85" s="198"/>
      <c r="T85" s="198"/>
      <c r="U85" s="198"/>
    </row>
    <row r="86" spans="1:26" s="12" customFormat="1" x14ac:dyDescent="0.25">
      <c r="A86" s="213" t="s">
        <v>1569</v>
      </c>
      <c r="B86" s="64">
        <v>45.33</v>
      </c>
      <c r="C86" s="64">
        <v>63.01</v>
      </c>
      <c r="D86" s="64">
        <v>67.900000000000006</v>
      </c>
      <c r="E86" s="64">
        <v>7.06</v>
      </c>
      <c r="F86" s="64">
        <v>2.13</v>
      </c>
      <c r="G86" s="64">
        <v>78.59</v>
      </c>
      <c r="H86" s="64">
        <v>17.579999999999998</v>
      </c>
      <c r="I86" s="214" t="s">
        <v>43</v>
      </c>
      <c r="J86" s="64">
        <v>0.56000000000000005</v>
      </c>
      <c r="K86" s="64">
        <v>157.83000000000001</v>
      </c>
      <c r="L86" s="64">
        <v>18.399999999999999</v>
      </c>
      <c r="M86" s="64">
        <v>32.200000000000003</v>
      </c>
      <c r="N86" s="64">
        <v>76.900000000000006</v>
      </c>
      <c r="O86" s="64">
        <v>0</v>
      </c>
      <c r="P86" s="64">
        <v>0.82</v>
      </c>
      <c r="Q86" s="64">
        <v>9.99</v>
      </c>
      <c r="R86" s="198"/>
      <c r="S86" s="198"/>
      <c r="T86" s="198"/>
      <c r="U86" s="198"/>
    </row>
    <row r="87" spans="1:26" s="12" customFormat="1" x14ac:dyDescent="0.25">
      <c r="A87" s="213" t="s">
        <v>1570</v>
      </c>
      <c r="B87" s="64">
        <v>53.53</v>
      </c>
      <c r="C87" s="64">
        <v>64.7</v>
      </c>
      <c r="D87" s="64">
        <v>75.349999999999994</v>
      </c>
      <c r="E87" s="64">
        <v>6.64</v>
      </c>
      <c r="F87" s="64">
        <v>2.13</v>
      </c>
      <c r="G87" s="64">
        <v>78.59</v>
      </c>
      <c r="H87" s="64">
        <v>17.579999999999998</v>
      </c>
      <c r="I87" s="214" t="s">
        <v>43</v>
      </c>
      <c r="J87" s="64">
        <v>0.85</v>
      </c>
      <c r="K87" s="64">
        <v>184.28</v>
      </c>
      <c r="L87" s="64">
        <v>19.46</v>
      </c>
      <c r="M87" s="64">
        <v>26.95</v>
      </c>
      <c r="N87" s="64">
        <v>76.2</v>
      </c>
      <c r="O87" s="64">
        <v>0</v>
      </c>
      <c r="P87" s="64">
        <v>0.8</v>
      </c>
      <c r="Q87" s="64">
        <v>10.1</v>
      </c>
      <c r="R87" s="198"/>
      <c r="S87" s="198"/>
      <c r="T87" s="198"/>
      <c r="U87" s="198"/>
    </row>
    <row r="88" spans="1:26" s="12" customFormat="1" x14ac:dyDescent="0.25">
      <c r="A88" s="213" t="s">
        <v>1571</v>
      </c>
      <c r="B88" s="64">
        <v>53.22</v>
      </c>
      <c r="C88" s="64">
        <v>65.180000000000007</v>
      </c>
      <c r="D88" s="64">
        <v>75.36</v>
      </c>
      <c r="E88" s="64">
        <v>6.42</v>
      </c>
      <c r="F88" s="64">
        <v>2.13</v>
      </c>
      <c r="G88" s="64">
        <v>85.25</v>
      </c>
      <c r="H88" s="64">
        <v>18.43</v>
      </c>
      <c r="I88" s="214" t="s">
        <v>43</v>
      </c>
      <c r="J88" s="64">
        <v>0.87</v>
      </c>
      <c r="K88" s="64">
        <v>186.7</v>
      </c>
      <c r="L88" s="64">
        <v>19.57</v>
      </c>
      <c r="M88" s="64">
        <v>26.49</v>
      </c>
      <c r="N88" s="64">
        <v>76.8</v>
      </c>
      <c r="O88" s="64">
        <v>0</v>
      </c>
      <c r="P88" s="64">
        <v>0.8</v>
      </c>
      <c r="Q88" s="64">
        <v>10.210000000000001</v>
      </c>
      <c r="R88" s="198"/>
      <c r="S88" s="198"/>
      <c r="T88" s="198"/>
      <c r="U88" s="198"/>
    </row>
    <row r="89" spans="1:26" s="12" customFormat="1" x14ac:dyDescent="0.25">
      <c r="A89" s="213" t="s">
        <v>1572</v>
      </c>
      <c r="B89" s="64">
        <v>50.75</v>
      </c>
      <c r="C89" s="64">
        <v>65.099999999999994</v>
      </c>
      <c r="D89" s="64">
        <v>73.33</v>
      </c>
      <c r="E89" s="64">
        <v>6.5</v>
      </c>
      <c r="F89" s="64">
        <v>2.13</v>
      </c>
      <c r="G89" s="64">
        <v>100.01</v>
      </c>
      <c r="H89" s="64">
        <v>20.3</v>
      </c>
      <c r="I89" s="214" t="s">
        <v>43</v>
      </c>
      <c r="J89" s="64">
        <v>1.04</v>
      </c>
      <c r="K89" s="64">
        <v>162.26</v>
      </c>
      <c r="L89" s="64">
        <v>19.39</v>
      </c>
      <c r="M89" s="64">
        <v>26.73</v>
      </c>
      <c r="N89" s="64">
        <v>77</v>
      </c>
      <c r="O89" s="64">
        <v>0</v>
      </c>
      <c r="P89" s="64">
        <v>0.8</v>
      </c>
      <c r="Q89" s="64">
        <v>10.26</v>
      </c>
      <c r="R89" s="198"/>
      <c r="S89" s="198"/>
      <c r="T89" s="198"/>
      <c r="U89" s="198"/>
    </row>
    <row r="90" spans="1:26" s="12" customFormat="1" x14ac:dyDescent="0.25">
      <c r="A90" s="213" t="s">
        <v>1573</v>
      </c>
      <c r="B90" s="64">
        <v>47.73</v>
      </c>
      <c r="C90" s="64">
        <v>64.91</v>
      </c>
      <c r="D90" s="64">
        <v>70.81</v>
      </c>
      <c r="E90" s="64">
        <v>6.66</v>
      </c>
      <c r="F90" s="64">
        <v>2.13</v>
      </c>
      <c r="G90" s="64">
        <v>100.01</v>
      </c>
      <c r="H90" s="64">
        <v>20.3</v>
      </c>
      <c r="I90" s="214" t="s">
        <v>43</v>
      </c>
      <c r="J90" s="64">
        <v>0.91</v>
      </c>
      <c r="K90" s="64">
        <v>163.4</v>
      </c>
      <c r="L90" s="64">
        <v>19.13</v>
      </c>
      <c r="M90" s="64">
        <v>27.41</v>
      </c>
      <c r="N90" s="64">
        <v>77.400000000000006</v>
      </c>
      <c r="O90" s="64">
        <v>0</v>
      </c>
      <c r="P90" s="64">
        <v>0.79</v>
      </c>
      <c r="Q90" s="64">
        <v>10.29</v>
      </c>
      <c r="R90" s="198"/>
      <c r="S90" s="198"/>
      <c r="T90" s="198"/>
      <c r="U90" s="198"/>
    </row>
    <row r="91" spans="1:26" s="12" customFormat="1" x14ac:dyDescent="0.25">
      <c r="A91" s="213" t="s">
        <v>1574</v>
      </c>
      <c r="B91" s="64">
        <v>45.16</v>
      </c>
      <c r="C91" s="64">
        <v>64.849999999999994</v>
      </c>
      <c r="D91" s="64">
        <v>68.72</v>
      </c>
      <c r="E91" s="64">
        <v>6.16</v>
      </c>
      <c r="F91" s="64">
        <v>2.13</v>
      </c>
      <c r="G91" s="64">
        <v>100.01</v>
      </c>
      <c r="H91" s="64">
        <v>20.3</v>
      </c>
      <c r="I91" s="214" t="s">
        <v>43</v>
      </c>
      <c r="J91" s="64">
        <v>0.39</v>
      </c>
      <c r="K91" s="64">
        <v>271.83999999999997</v>
      </c>
      <c r="L91" s="64">
        <v>18.559999999999999</v>
      </c>
      <c r="M91" s="64">
        <v>29.06</v>
      </c>
      <c r="N91" s="64">
        <v>78.2</v>
      </c>
      <c r="O91" s="64">
        <v>0</v>
      </c>
      <c r="P91" s="64">
        <v>0.79</v>
      </c>
      <c r="Q91" s="64">
        <v>10.25</v>
      </c>
      <c r="R91" s="198"/>
      <c r="S91" s="198"/>
      <c r="T91" s="198"/>
      <c r="U91" s="198"/>
    </row>
    <row r="92" spans="1:26" s="12" customFormat="1" x14ac:dyDescent="0.25">
      <c r="A92" s="213" t="s">
        <v>1575</v>
      </c>
      <c r="B92" s="64">
        <v>43.53</v>
      </c>
      <c r="C92" s="64">
        <v>65.02</v>
      </c>
      <c r="D92" s="64">
        <v>67.510000000000005</v>
      </c>
      <c r="E92" s="64">
        <v>7.18</v>
      </c>
      <c r="F92" s="64">
        <v>2.13</v>
      </c>
      <c r="G92" s="64">
        <v>100.28</v>
      </c>
      <c r="H92" s="64">
        <v>23.38</v>
      </c>
      <c r="I92" s="214" t="s">
        <v>43</v>
      </c>
      <c r="J92" s="64">
        <v>0.64</v>
      </c>
      <c r="K92" s="64">
        <v>259.64999999999998</v>
      </c>
      <c r="L92" s="64">
        <v>18.16</v>
      </c>
      <c r="M92" s="64">
        <v>30.13</v>
      </c>
      <c r="N92" s="64">
        <v>78.099999999999994</v>
      </c>
      <c r="O92" s="64">
        <v>0</v>
      </c>
      <c r="P92" s="64">
        <v>0.86</v>
      </c>
      <c r="Q92" s="64">
        <v>10.23</v>
      </c>
      <c r="R92" s="198"/>
      <c r="S92" s="198"/>
      <c r="T92" s="198"/>
      <c r="U92" s="198"/>
    </row>
    <row r="93" spans="1:26" s="12" customFormat="1" x14ac:dyDescent="0.25">
      <c r="A93" s="213" t="s">
        <v>1576</v>
      </c>
      <c r="B93" s="64">
        <v>43.84</v>
      </c>
      <c r="C93" s="64">
        <v>65.239999999999995</v>
      </c>
      <c r="D93" s="64">
        <v>67.86</v>
      </c>
      <c r="E93" s="64">
        <v>7.86</v>
      </c>
      <c r="F93" s="64">
        <v>2.13</v>
      </c>
      <c r="G93" s="64">
        <v>100.87</v>
      </c>
      <c r="H93" s="64">
        <v>30.19</v>
      </c>
      <c r="I93" s="214" t="s">
        <v>43</v>
      </c>
      <c r="J93" s="64">
        <v>0.43</v>
      </c>
      <c r="K93" s="64">
        <v>305.41000000000003</v>
      </c>
      <c r="L93" s="64">
        <v>17.649999999999999</v>
      </c>
      <c r="M93" s="64">
        <v>33.32</v>
      </c>
      <c r="N93" s="64">
        <v>77.900000000000006</v>
      </c>
      <c r="O93" s="64">
        <v>0</v>
      </c>
      <c r="P93" s="64">
        <v>0.91</v>
      </c>
      <c r="Q93" s="64">
        <v>10.19</v>
      </c>
      <c r="R93" s="198"/>
      <c r="S93" s="198"/>
      <c r="T93" s="198"/>
      <c r="U93" s="198"/>
    </row>
    <row r="94" spans="1:26" s="12" customFormat="1" x14ac:dyDescent="0.25">
      <c r="A94" s="213" t="s">
        <v>1577</v>
      </c>
      <c r="B94" s="64">
        <v>45.3</v>
      </c>
      <c r="C94" s="64">
        <v>65.61</v>
      </c>
      <c r="D94" s="64">
        <v>69.23</v>
      </c>
      <c r="E94" s="64">
        <v>7.79</v>
      </c>
      <c r="F94" s="64">
        <v>2.21</v>
      </c>
      <c r="G94" s="64">
        <v>100.87</v>
      </c>
      <c r="H94" s="64">
        <v>30.19</v>
      </c>
      <c r="I94" s="214" t="s">
        <v>43</v>
      </c>
      <c r="J94" s="64">
        <v>0.61</v>
      </c>
      <c r="K94" s="64">
        <v>305.16000000000003</v>
      </c>
      <c r="L94" s="64">
        <v>16.86</v>
      </c>
      <c r="M94" s="64">
        <v>38</v>
      </c>
      <c r="N94" s="64">
        <v>78.3</v>
      </c>
      <c r="O94" s="64">
        <v>0</v>
      </c>
      <c r="P94" s="64">
        <v>0.99</v>
      </c>
      <c r="Q94" s="64">
        <v>10.199999999999999</v>
      </c>
      <c r="R94" s="198"/>
      <c r="S94" s="198"/>
      <c r="T94" s="198"/>
      <c r="U94" s="198"/>
    </row>
    <row r="95" spans="1:26" s="12" customFormat="1" x14ac:dyDescent="0.25">
      <c r="A95" s="213" t="s">
        <v>1578</v>
      </c>
      <c r="B95" s="64">
        <v>46.59</v>
      </c>
      <c r="C95" s="64">
        <v>65.17</v>
      </c>
      <c r="D95" s="64">
        <v>70.03</v>
      </c>
      <c r="E95" s="64">
        <v>8.26</v>
      </c>
      <c r="F95" s="64">
        <v>2.13</v>
      </c>
      <c r="G95" s="64">
        <v>100.87</v>
      </c>
      <c r="H95" s="64">
        <v>30.19</v>
      </c>
      <c r="I95" s="214" t="s">
        <v>43</v>
      </c>
      <c r="J95" s="64">
        <v>0.73</v>
      </c>
      <c r="K95" s="64">
        <v>244.07</v>
      </c>
      <c r="L95" s="64">
        <v>16.66</v>
      </c>
      <c r="M95" s="64">
        <v>35.65</v>
      </c>
      <c r="N95" s="64">
        <v>77.8</v>
      </c>
      <c r="O95" s="64">
        <v>0</v>
      </c>
      <c r="P95" s="64">
        <v>1.2</v>
      </c>
      <c r="Q95" s="64">
        <v>10.16</v>
      </c>
      <c r="R95" s="198"/>
      <c r="S95" s="198"/>
      <c r="T95" s="198"/>
      <c r="U95" s="198"/>
    </row>
    <row r="96" spans="1:26" s="12" customFormat="1" x14ac:dyDescent="0.25">
      <c r="A96" s="213" t="s">
        <v>1579</v>
      </c>
      <c r="B96" s="64">
        <v>46.62</v>
      </c>
      <c r="C96" s="64">
        <v>64.58</v>
      </c>
      <c r="D96" s="64">
        <v>69.75</v>
      </c>
      <c r="E96" s="64">
        <v>8.4700000000000006</v>
      </c>
      <c r="F96" s="64">
        <v>2.13</v>
      </c>
      <c r="G96" s="64">
        <v>138.80000000000001</v>
      </c>
      <c r="H96" s="64">
        <v>37.47</v>
      </c>
      <c r="I96" s="214" t="s">
        <v>43</v>
      </c>
      <c r="J96" s="64">
        <v>0.33</v>
      </c>
      <c r="K96" s="64">
        <v>277.55</v>
      </c>
      <c r="L96" s="64">
        <v>16.73</v>
      </c>
      <c r="M96" s="64">
        <v>35.770000000000003</v>
      </c>
      <c r="N96" s="64">
        <v>77.5</v>
      </c>
      <c r="O96" s="64">
        <v>0</v>
      </c>
      <c r="P96" s="64">
        <v>1.07</v>
      </c>
      <c r="Q96" s="64">
        <v>10.15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1580</v>
      </c>
      <c r="B97" s="64">
        <v>47.77</v>
      </c>
      <c r="C97" s="64">
        <v>64.37</v>
      </c>
      <c r="D97" s="64">
        <v>70.569999999999993</v>
      </c>
      <c r="E97" s="64">
        <v>8.09</v>
      </c>
      <c r="F97" s="64">
        <v>2.13</v>
      </c>
      <c r="G97" s="64">
        <v>222.77</v>
      </c>
      <c r="H97" s="64">
        <v>53.58</v>
      </c>
      <c r="I97" s="214" t="s">
        <v>43</v>
      </c>
      <c r="J97" s="64">
        <v>0.77</v>
      </c>
      <c r="K97" s="64">
        <v>337.83</v>
      </c>
      <c r="L97" s="64">
        <v>16.16</v>
      </c>
      <c r="M97" s="64">
        <v>40.56</v>
      </c>
      <c r="N97" s="64">
        <v>77.7</v>
      </c>
      <c r="O97" s="64">
        <v>0</v>
      </c>
      <c r="P97" s="64">
        <v>1.03</v>
      </c>
      <c r="Q97" s="64">
        <v>10.09</v>
      </c>
      <c r="R97" s="198"/>
      <c r="S97" s="198"/>
      <c r="T97" s="198"/>
      <c r="U97" s="198"/>
    </row>
    <row r="98" spans="1:33" s="12" customFormat="1" x14ac:dyDescent="0.25">
      <c r="A98" s="213" t="s">
        <v>1581</v>
      </c>
      <c r="B98" s="64">
        <v>48.41</v>
      </c>
      <c r="C98" s="64">
        <v>63.91</v>
      </c>
      <c r="D98" s="64">
        <v>70.83</v>
      </c>
      <c r="E98" s="64">
        <v>8.49</v>
      </c>
      <c r="F98" s="64">
        <v>2.13</v>
      </c>
      <c r="G98" s="64">
        <v>222.77</v>
      </c>
      <c r="H98" s="64">
        <v>53.58</v>
      </c>
      <c r="I98" s="214" t="s">
        <v>43</v>
      </c>
      <c r="J98" s="64">
        <v>0.41</v>
      </c>
      <c r="K98" s="64">
        <v>343.33</v>
      </c>
      <c r="L98" s="64">
        <v>15.6</v>
      </c>
      <c r="M98" s="64">
        <v>39.85</v>
      </c>
      <c r="N98" s="64">
        <v>77.8</v>
      </c>
      <c r="O98" s="64">
        <v>0</v>
      </c>
      <c r="P98" s="64">
        <v>1.04</v>
      </c>
      <c r="Q98" s="64">
        <v>10.1</v>
      </c>
      <c r="R98" s="198"/>
      <c r="S98" s="198"/>
      <c r="T98" s="198"/>
      <c r="U98" s="198"/>
    </row>
    <row r="99" spans="1:33" s="12" customFormat="1" x14ac:dyDescent="0.25">
      <c r="A99" s="213" t="s">
        <v>1582</v>
      </c>
      <c r="B99" s="64">
        <v>48.21</v>
      </c>
      <c r="C99" s="64">
        <v>63.29</v>
      </c>
      <c r="D99" s="64">
        <v>70.349999999999994</v>
      </c>
      <c r="E99" s="64">
        <v>7.58</v>
      </c>
      <c r="F99" s="64">
        <v>2.13</v>
      </c>
      <c r="G99" s="64">
        <v>222.77</v>
      </c>
      <c r="H99" s="64">
        <v>53.58</v>
      </c>
      <c r="I99" s="214" t="s">
        <v>43</v>
      </c>
      <c r="J99" s="64">
        <v>0.45</v>
      </c>
      <c r="K99" s="64">
        <v>245.14</v>
      </c>
      <c r="L99" s="64">
        <v>15.41</v>
      </c>
      <c r="M99" s="64">
        <v>39.630000000000003</v>
      </c>
      <c r="N99" s="64">
        <v>77.400000000000006</v>
      </c>
      <c r="O99" s="64">
        <v>0</v>
      </c>
      <c r="P99" s="64">
        <v>0.94</v>
      </c>
      <c r="Q99" s="64">
        <v>10.1</v>
      </c>
      <c r="R99" s="198"/>
      <c r="S99" s="198"/>
      <c r="T99" s="198"/>
      <c r="U99" s="198"/>
    </row>
    <row r="100" spans="1:33" s="12" customFormat="1" x14ac:dyDescent="0.25">
      <c r="A100" s="213" t="s">
        <v>1583</v>
      </c>
      <c r="B100" s="64">
        <v>48.85</v>
      </c>
      <c r="C100" s="64">
        <v>62.75</v>
      </c>
      <c r="D100" s="64">
        <v>70.58</v>
      </c>
      <c r="E100" s="64">
        <v>7.63</v>
      </c>
      <c r="F100" s="64">
        <v>2.13</v>
      </c>
      <c r="G100" s="64">
        <v>178.23</v>
      </c>
      <c r="H100" s="64">
        <v>49.63</v>
      </c>
      <c r="I100" s="214" t="s">
        <v>43</v>
      </c>
      <c r="J100" s="64">
        <v>0.68</v>
      </c>
      <c r="K100" s="64">
        <v>335.77</v>
      </c>
      <c r="L100" s="64">
        <v>15.15</v>
      </c>
      <c r="M100" s="64">
        <v>44.63</v>
      </c>
      <c r="N100" s="64">
        <v>77.8</v>
      </c>
      <c r="O100" s="64">
        <v>0</v>
      </c>
      <c r="P100" s="64">
        <v>1.1100000000000001</v>
      </c>
      <c r="Q100" s="64">
        <v>10.08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1584</v>
      </c>
      <c r="B101" s="64">
        <v>51.57</v>
      </c>
      <c r="C101" s="64">
        <v>62.53</v>
      </c>
      <c r="D101" s="64">
        <v>72.650000000000006</v>
      </c>
      <c r="E101" s="64">
        <v>7.82</v>
      </c>
      <c r="F101" s="64">
        <v>2.13</v>
      </c>
      <c r="G101" s="64">
        <v>79.62</v>
      </c>
      <c r="H101" s="64">
        <v>40.89</v>
      </c>
      <c r="I101" s="214" t="s">
        <v>43</v>
      </c>
      <c r="J101" s="64">
        <v>0.25</v>
      </c>
      <c r="K101" s="64">
        <v>21.79</v>
      </c>
      <c r="L101" s="64">
        <v>14.67</v>
      </c>
      <c r="M101" s="64">
        <v>45.92</v>
      </c>
      <c r="N101" s="64">
        <v>77.8</v>
      </c>
      <c r="O101" s="64">
        <v>0</v>
      </c>
      <c r="P101" s="64">
        <v>1.05</v>
      </c>
      <c r="Q101" s="64">
        <v>10.050000000000001</v>
      </c>
      <c r="R101" s="198"/>
      <c r="S101" s="198"/>
      <c r="T101" s="198"/>
      <c r="U101" s="198"/>
    </row>
    <row r="102" spans="1:33" s="12" customFormat="1" x14ac:dyDescent="0.25">
      <c r="A102" s="213" t="s">
        <v>1585</v>
      </c>
      <c r="B102" s="64">
        <v>54.9</v>
      </c>
      <c r="C102" s="64">
        <v>62.34</v>
      </c>
      <c r="D102" s="64">
        <v>75.22</v>
      </c>
      <c r="E102" s="64">
        <v>7.22</v>
      </c>
      <c r="F102" s="64">
        <v>2.13</v>
      </c>
      <c r="G102" s="64">
        <v>79.62</v>
      </c>
      <c r="H102" s="64">
        <v>40.89</v>
      </c>
      <c r="I102" s="214" t="s">
        <v>43</v>
      </c>
      <c r="J102" s="64">
        <v>0.53</v>
      </c>
      <c r="K102" s="64">
        <v>305.47000000000003</v>
      </c>
      <c r="L102" s="64">
        <v>14.43</v>
      </c>
      <c r="M102" s="64">
        <v>50.5</v>
      </c>
      <c r="N102" s="64">
        <v>77.599999999999994</v>
      </c>
      <c r="O102" s="64">
        <v>0</v>
      </c>
      <c r="P102" s="64">
        <v>1.08</v>
      </c>
      <c r="Q102" s="64">
        <v>10.06</v>
      </c>
      <c r="R102" s="198"/>
      <c r="S102" s="198"/>
      <c r="T102" s="198"/>
      <c r="U102" s="198"/>
    </row>
    <row r="103" spans="1:33" s="12" customFormat="1" x14ac:dyDescent="0.25">
      <c r="A103" s="213" t="s">
        <v>1586</v>
      </c>
      <c r="B103" s="64">
        <v>57.62</v>
      </c>
      <c r="C103" s="64">
        <v>62.64</v>
      </c>
      <c r="D103" s="64">
        <v>77.55</v>
      </c>
      <c r="E103" s="64">
        <v>7.69</v>
      </c>
      <c r="F103" s="64">
        <v>2.13</v>
      </c>
      <c r="G103" s="64">
        <v>79.62</v>
      </c>
      <c r="H103" s="64">
        <v>40.89</v>
      </c>
      <c r="I103" s="214" t="s">
        <v>43</v>
      </c>
      <c r="J103" s="64">
        <v>0.66</v>
      </c>
      <c r="K103" s="64">
        <v>323.04000000000002</v>
      </c>
      <c r="L103" s="64">
        <v>14.13</v>
      </c>
      <c r="M103" s="64">
        <v>53.04</v>
      </c>
      <c r="N103" s="64">
        <v>78</v>
      </c>
      <c r="O103" s="64">
        <v>0</v>
      </c>
      <c r="P103" s="64">
        <v>1.05</v>
      </c>
      <c r="Q103" s="64">
        <v>10.1</v>
      </c>
      <c r="R103" s="198"/>
      <c r="S103" s="198"/>
      <c r="T103" s="198"/>
      <c r="U103" s="198"/>
    </row>
    <row r="104" spans="1:33" s="12" customFormat="1" x14ac:dyDescent="0.25">
      <c r="A104" s="213" t="s">
        <v>1587</v>
      </c>
      <c r="B104" s="64">
        <v>59.45</v>
      </c>
      <c r="C104" s="64">
        <v>62.5</v>
      </c>
      <c r="D104" s="64">
        <v>78.95</v>
      </c>
      <c r="E104" s="64">
        <v>5.88</v>
      </c>
      <c r="F104" s="64">
        <v>2.13</v>
      </c>
      <c r="G104" s="64">
        <v>88.15</v>
      </c>
      <c r="H104" s="64">
        <v>39.47</v>
      </c>
      <c r="I104" s="214" t="s">
        <v>43</v>
      </c>
      <c r="J104" s="64">
        <v>0.56000000000000005</v>
      </c>
      <c r="K104" s="64">
        <v>322.88</v>
      </c>
      <c r="L104" s="64">
        <v>14.05</v>
      </c>
      <c r="M104" s="64">
        <v>54.29</v>
      </c>
      <c r="N104" s="64">
        <v>77.7</v>
      </c>
      <c r="O104" s="64">
        <v>0</v>
      </c>
      <c r="P104" s="64">
        <v>1.07</v>
      </c>
      <c r="Q104" s="64">
        <v>10.15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5.47</v>
      </c>
      <c r="C106" s="67">
        <f>MIN(C9:C104)</f>
        <v>44.95</v>
      </c>
      <c r="D106" s="67">
        <f t="shared" ref="D106:Q106" si="0">MIN(D9:D104)</f>
        <v>26.6</v>
      </c>
      <c r="E106" s="67">
        <f t="shared" si="0"/>
        <v>4.4800000000000004</v>
      </c>
      <c r="F106" s="67">
        <f t="shared" si="0"/>
        <v>2.13</v>
      </c>
      <c r="G106" s="67">
        <f t="shared" si="0"/>
        <v>31.85</v>
      </c>
      <c r="H106" s="67">
        <f t="shared" si="0"/>
        <v>10.74</v>
      </c>
      <c r="I106" s="67">
        <f t="shared" si="0"/>
        <v>0</v>
      </c>
      <c r="J106" s="67">
        <f t="shared" si="0"/>
        <v>0.13</v>
      </c>
      <c r="K106" s="67">
        <f t="shared" si="0"/>
        <v>0.37</v>
      </c>
      <c r="L106" s="67">
        <f t="shared" si="0"/>
        <v>10.76</v>
      </c>
      <c r="M106" s="67">
        <f t="shared" si="0"/>
        <v>10.4</v>
      </c>
      <c r="N106" s="67">
        <f t="shared" si="0"/>
        <v>76.2</v>
      </c>
      <c r="O106" s="67">
        <f t="shared" si="0"/>
        <v>0</v>
      </c>
      <c r="P106" s="67">
        <f t="shared" si="0"/>
        <v>0.4</v>
      </c>
      <c r="Q106" s="67">
        <f t="shared" si="0"/>
        <v>9.5299999999999994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59.45</v>
      </c>
      <c r="C107" s="66">
        <f t="shared" ref="C107:Q107" si="1">MAX(C9:C104)</f>
        <v>65.61</v>
      </c>
      <c r="D107" s="66">
        <f t="shared" si="1"/>
        <v>78.95</v>
      </c>
      <c r="E107" s="66">
        <f t="shared" si="1"/>
        <v>8.49</v>
      </c>
      <c r="F107" s="66">
        <f t="shared" si="1"/>
        <v>2.21</v>
      </c>
      <c r="G107" s="66">
        <f t="shared" si="1"/>
        <v>222.77</v>
      </c>
      <c r="H107" s="66">
        <f t="shared" si="1"/>
        <v>53.58</v>
      </c>
      <c r="I107" s="66">
        <f t="shared" si="1"/>
        <v>0</v>
      </c>
      <c r="J107" s="66">
        <f t="shared" si="1"/>
        <v>2.4700000000000002</v>
      </c>
      <c r="K107" s="66">
        <f t="shared" si="1"/>
        <v>359.96</v>
      </c>
      <c r="L107" s="66">
        <f t="shared" si="1"/>
        <v>29.37</v>
      </c>
      <c r="M107" s="66">
        <f t="shared" si="1"/>
        <v>63.38</v>
      </c>
      <c r="N107" s="66">
        <f t="shared" si="1"/>
        <v>1016.4</v>
      </c>
      <c r="O107" s="66">
        <f t="shared" si="1"/>
        <v>0</v>
      </c>
      <c r="P107" s="66">
        <f t="shared" si="1"/>
        <v>1.2</v>
      </c>
      <c r="Q107" s="66">
        <f t="shared" si="1"/>
        <v>10.29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19.658437499999994</v>
      </c>
      <c r="C108" s="67">
        <f t="shared" ref="C108:Q108" si="2">AVERAGE(C9:C104)</f>
        <v>55.025729166666672</v>
      </c>
      <c r="D108" s="67">
        <f t="shared" si="2"/>
        <v>43.136770833333344</v>
      </c>
      <c r="E108" s="67">
        <f t="shared" si="2"/>
        <v>6.1075000000000044</v>
      </c>
      <c r="F108" s="67">
        <f t="shared" si="2"/>
        <v>2.1310416666666643</v>
      </c>
      <c r="G108" s="67">
        <f t="shared" si="2"/>
        <v>73.930833333333339</v>
      </c>
      <c r="H108" s="67">
        <f t="shared" si="2"/>
        <v>21.563749999999999</v>
      </c>
      <c r="I108" s="67" t="e">
        <f t="shared" si="2"/>
        <v>#DIV/0!</v>
      </c>
      <c r="J108" s="67">
        <f t="shared" si="2"/>
        <v>1.0198958333333337</v>
      </c>
      <c r="K108" s="67">
        <f t="shared" si="2"/>
        <v>250.44687500000001</v>
      </c>
      <c r="L108" s="67">
        <f t="shared" si="2"/>
        <v>19.343437500000004</v>
      </c>
      <c r="M108" s="67">
        <f t="shared" si="2"/>
        <v>31.800937499999989</v>
      </c>
      <c r="N108" s="67">
        <f t="shared" si="2"/>
        <v>300.40624999999989</v>
      </c>
      <c r="O108" s="67">
        <f t="shared" si="2"/>
        <v>0</v>
      </c>
      <c r="P108" s="67">
        <f t="shared" si="2"/>
        <v>0.61364583333333322</v>
      </c>
      <c r="Q108" s="67">
        <f t="shared" si="2"/>
        <v>9.9993750000000023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15.831036294711538</v>
      </c>
      <c r="C109" s="67">
        <f t="shared" ref="C109:Q109" si="3">STDEV(C9:C104)</f>
        <v>5.9787614885027027</v>
      </c>
      <c r="D109" s="67">
        <f t="shared" si="3"/>
        <v>14.984193671633932</v>
      </c>
      <c r="E109" s="67">
        <f t="shared" si="3"/>
        <v>0.99419790468708025</v>
      </c>
      <c r="F109" s="67">
        <f t="shared" si="3"/>
        <v>8.395383025231842E-3</v>
      </c>
      <c r="G109" s="67">
        <f t="shared" si="3"/>
        <v>35.648140415563297</v>
      </c>
      <c r="H109" s="67">
        <f t="shared" si="3"/>
        <v>9.2809502973053721</v>
      </c>
      <c r="I109" s="67" t="e">
        <f t="shared" si="3"/>
        <v>#DIV/0!</v>
      </c>
      <c r="J109" s="67">
        <f t="shared" si="3"/>
        <v>0.64188291241130102</v>
      </c>
      <c r="K109" s="67">
        <f t="shared" si="3"/>
        <v>105.68877802613616</v>
      </c>
      <c r="L109" s="67">
        <f t="shared" si="3"/>
        <v>5.4504819348722027</v>
      </c>
      <c r="M109" s="67">
        <f t="shared" si="3"/>
        <v>14.804842598791829</v>
      </c>
      <c r="N109" s="67">
        <f t="shared" si="3"/>
        <v>321.22585358771778</v>
      </c>
      <c r="O109" s="67">
        <f t="shared" si="3"/>
        <v>0</v>
      </c>
      <c r="P109" s="67">
        <f t="shared" si="3"/>
        <v>0.21007326938183318</v>
      </c>
      <c r="Q109" s="67">
        <f t="shared" si="3"/>
        <v>0.19623730263986114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9" sqref="I9:I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1588</v>
      </c>
      <c r="B9" s="64">
        <v>59.71</v>
      </c>
      <c r="C9" s="64">
        <v>62.04</v>
      </c>
      <c r="D9" s="64">
        <v>78.92</v>
      </c>
      <c r="E9" s="64">
        <v>6.48</v>
      </c>
      <c r="F9" s="64">
        <v>2.13</v>
      </c>
      <c r="G9" s="64">
        <v>107.04</v>
      </c>
      <c r="H9" s="64">
        <v>36.33</v>
      </c>
      <c r="I9" s="210" t="s">
        <v>43</v>
      </c>
      <c r="J9" s="64">
        <v>0.47</v>
      </c>
      <c r="K9" s="64">
        <v>10.39</v>
      </c>
      <c r="L9" s="64">
        <v>14</v>
      </c>
      <c r="M9" s="64">
        <v>50.61</v>
      </c>
      <c r="N9" s="64">
        <v>77.599999999999994</v>
      </c>
      <c r="O9" s="64">
        <v>0</v>
      </c>
      <c r="P9" s="64">
        <v>1.04</v>
      </c>
      <c r="Q9" s="64">
        <v>10.19</v>
      </c>
      <c r="R9" s="198"/>
      <c r="S9" s="198"/>
      <c r="T9" s="198"/>
      <c r="U9" s="198"/>
    </row>
    <row r="10" spans="1:21" s="12" customFormat="1" x14ac:dyDescent="0.25">
      <c r="A10" s="213" t="s">
        <v>1589</v>
      </c>
      <c r="B10" s="64">
        <v>57.51</v>
      </c>
      <c r="C10" s="64">
        <v>61.13</v>
      </c>
      <c r="D10" s="64">
        <v>76.680000000000007</v>
      </c>
      <c r="E10" s="64">
        <v>6.08</v>
      </c>
      <c r="F10" s="64">
        <v>2.13</v>
      </c>
      <c r="G10" s="64">
        <v>107.04</v>
      </c>
      <c r="H10" s="64">
        <v>36.33</v>
      </c>
      <c r="I10" s="210" t="s">
        <v>43</v>
      </c>
      <c r="J10" s="64">
        <v>0.52</v>
      </c>
      <c r="K10" s="64">
        <v>350.37</v>
      </c>
      <c r="L10" s="64">
        <v>14.32</v>
      </c>
      <c r="M10" s="64">
        <v>48.23</v>
      </c>
      <c r="N10" s="64">
        <v>77.5</v>
      </c>
      <c r="O10" s="64">
        <v>0</v>
      </c>
      <c r="P10" s="64">
        <v>1.02</v>
      </c>
      <c r="Q10" s="64">
        <v>10.210000000000001</v>
      </c>
      <c r="R10" s="198"/>
      <c r="S10" s="198"/>
      <c r="T10" s="198"/>
      <c r="U10" s="198"/>
    </row>
    <row r="11" spans="1:21" s="12" customFormat="1" x14ac:dyDescent="0.25">
      <c r="A11" s="213" t="s">
        <v>1590</v>
      </c>
      <c r="B11" s="64">
        <v>54.52</v>
      </c>
      <c r="C11" s="64">
        <v>60.17</v>
      </c>
      <c r="D11" s="64">
        <v>73.78</v>
      </c>
      <c r="E11" s="64">
        <v>6.01</v>
      </c>
      <c r="F11" s="64">
        <v>2.13</v>
      </c>
      <c r="G11" s="64">
        <v>107.04</v>
      </c>
      <c r="H11" s="64">
        <v>36.33</v>
      </c>
      <c r="I11" s="210" t="s">
        <v>43</v>
      </c>
      <c r="J11" s="64">
        <v>0.39</v>
      </c>
      <c r="K11" s="64">
        <v>296.41000000000003</v>
      </c>
      <c r="L11" s="64">
        <v>14.38</v>
      </c>
      <c r="M11" s="64">
        <v>46.18</v>
      </c>
      <c r="N11" s="64">
        <v>77.5</v>
      </c>
      <c r="O11" s="64">
        <v>0</v>
      </c>
      <c r="P11" s="64">
        <v>1</v>
      </c>
      <c r="Q11" s="64">
        <v>10.24</v>
      </c>
      <c r="R11" s="198"/>
      <c r="S11" s="198"/>
      <c r="T11" s="198"/>
      <c r="U11" s="198"/>
    </row>
    <row r="12" spans="1:21" s="12" customFormat="1" x14ac:dyDescent="0.25">
      <c r="A12" s="213" t="s">
        <v>1591</v>
      </c>
      <c r="B12" s="64">
        <v>51.59</v>
      </c>
      <c r="C12" s="64">
        <v>59.46</v>
      </c>
      <c r="D12" s="64">
        <v>71.06</v>
      </c>
      <c r="E12" s="64">
        <v>5.84</v>
      </c>
      <c r="F12" s="64">
        <v>2.13</v>
      </c>
      <c r="G12" s="64">
        <v>92.97</v>
      </c>
      <c r="H12" s="64">
        <v>34.72</v>
      </c>
      <c r="I12" s="210" t="s">
        <v>43</v>
      </c>
      <c r="J12" s="64">
        <v>0.32</v>
      </c>
      <c r="K12" s="64">
        <v>293.95999999999998</v>
      </c>
      <c r="L12" s="64">
        <v>14.32</v>
      </c>
      <c r="M12" s="64">
        <v>44.79</v>
      </c>
      <c r="N12" s="64">
        <v>78.099999999999994</v>
      </c>
      <c r="O12" s="64">
        <v>0</v>
      </c>
      <c r="P12" s="64">
        <v>0.98</v>
      </c>
      <c r="Q12" s="64">
        <v>10.27</v>
      </c>
      <c r="R12" s="198"/>
      <c r="S12" s="198"/>
      <c r="T12" s="198"/>
      <c r="U12" s="198"/>
    </row>
    <row r="13" spans="1:21" s="12" customFormat="1" x14ac:dyDescent="0.25">
      <c r="A13" s="213" t="s">
        <v>1592</v>
      </c>
      <c r="B13" s="64">
        <v>49.05</v>
      </c>
      <c r="C13" s="64">
        <v>58.74</v>
      </c>
      <c r="D13" s="64">
        <v>68.650000000000006</v>
      </c>
      <c r="E13" s="64">
        <v>5.81</v>
      </c>
      <c r="F13" s="64">
        <v>2.13</v>
      </c>
      <c r="G13" s="64">
        <v>61.82</v>
      </c>
      <c r="H13" s="64">
        <v>31.15</v>
      </c>
      <c r="I13" s="210" t="s">
        <v>43</v>
      </c>
      <c r="J13" s="64">
        <v>0.56999999999999995</v>
      </c>
      <c r="K13" s="64">
        <v>235.65</v>
      </c>
      <c r="L13" s="64">
        <v>14.39</v>
      </c>
      <c r="M13" s="64">
        <v>44.74</v>
      </c>
      <c r="N13" s="64">
        <v>77.599999999999994</v>
      </c>
      <c r="O13" s="64">
        <v>0</v>
      </c>
      <c r="P13" s="64">
        <v>0.95</v>
      </c>
      <c r="Q13" s="64">
        <v>10.25</v>
      </c>
      <c r="R13" s="198"/>
      <c r="S13" s="198"/>
      <c r="T13" s="198"/>
      <c r="U13" s="198"/>
    </row>
    <row r="14" spans="1:21" s="12" customFormat="1" x14ac:dyDescent="0.25">
      <c r="A14" s="213" t="s">
        <v>1593</v>
      </c>
      <c r="B14" s="64">
        <v>46.51</v>
      </c>
      <c r="C14" s="64">
        <v>58.12</v>
      </c>
      <c r="D14" s="64">
        <v>66.28</v>
      </c>
      <c r="E14" s="64">
        <v>5.68</v>
      </c>
      <c r="F14" s="64">
        <v>2.13</v>
      </c>
      <c r="G14" s="64">
        <v>61.82</v>
      </c>
      <c r="H14" s="64">
        <v>31.15</v>
      </c>
      <c r="I14" s="210" t="s">
        <v>43</v>
      </c>
      <c r="J14" s="64">
        <v>0.69</v>
      </c>
      <c r="K14" s="64">
        <v>214.87</v>
      </c>
      <c r="L14" s="64">
        <v>14.52</v>
      </c>
      <c r="M14" s="64">
        <v>45.55</v>
      </c>
      <c r="N14" s="64">
        <v>77.5</v>
      </c>
      <c r="O14" s="64">
        <v>0</v>
      </c>
      <c r="P14" s="64">
        <v>0.95</v>
      </c>
      <c r="Q14" s="64">
        <v>10.220000000000001</v>
      </c>
      <c r="R14" s="198"/>
      <c r="S14" s="198"/>
      <c r="T14" s="198"/>
      <c r="U14" s="198"/>
    </row>
    <row r="15" spans="1:21" s="12" customFormat="1" x14ac:dyDescent="0.25">
      <c r="A15" s="213" t="s">
        <v>1594</v>
      </c>
      <c r="B15" s="64">
        <v>44.27</v>
      </c>
      <c r="C15" s="64">
        <v>57.34</v>
      </c>
      <c r="D15" s="64">
        <v>64.08</v>
      </c>
      <c r="E15" s="64">
        <v>5.42</v>
      </c>
      <c r="F15" s="64">
        <v>2.13</v>
      </c>
      <c r="G15" s="64">
        <v>61.82</v>
      </c>
      <c r="H15" s="64">
        <v>31.15</v>
      </c>
      <c r="I15" s="210" t="s">
        <v>43</v>
      </c>
      <c r="J15" s="64">
        <v>0.57999999999999996</v>
      </c>
      <c r="K15" s="64">
        <v>240.84</v>
      </c>
      <c r="L15" s="64">
        <v>14.07</v>
      </c>
      <c r="M15" s="64">
        <v>47.66</v>
      </c>
      <c r="N15" s="64">
        <v>78.2</v>
      </c>
      <c r="O15" s="64">
        <v>0</v>
      </c>
      <c r="P15" s="64">
        <v>0.95</v>
      </c>
      <c r="Q15" s="64">
        <v>10.19</v>
      </c>
      <c r="R15" s="198"/>
      <c r="S15" s="198"/>
      <c r="T15" s="198"/>
      <c r="U15" s="198"/>
    </row>
    <row r="16" spans="1:21" s="12" customFormat="1" x14ac:dyDescent="0.25">
      <c r="A16" s="213" t="s">
        <v>1595</v>
      </c>
      <c r="B16" s="64">
        <v>42.83</v>
      </c>
      <c r="C16" s="64">
        <v>56.39</v>
      </c>
      <c r="D16" s="64">
        <v>62.43</v>
      </c>
      <c r="E16" s="64">
        <v>5.71</v>
      </c>
      <c r="F16" s="64">
        <v>2.13</v>
      </c>
      <c r="G16" s="64">
        <v>64.25</v>
      </c>
      <c r="H16" s="64">
        <v>30.58</v>
      </c>
      <c r="I16" s="210" t="s">
        <v>43</v>
      </c>
      <c r="J16" s="64">
        <v>0.56000000000000005</v>
      </c>
      <c r="K16" s="64">
        <v>342.82</v>
      </c>
      <c r="L16" s="64">
        <v>13.53</v>
      </c>
      <c r="M16" s="64">
        <v>51.38</v>
      </c>
      <c r="N16" s="64">
        <v>78</v>
      </c>
      <c r="O16" s="64">
        <v>0</v>
      </c>
      <c r="P16" s="64">
        <v>0.91</v>
      </c>
      <c r="Q16" s="64">
        <v>10.18</v>
      </c>
      <c r="R16" s="198"/>
      <c r="S16" s="198"/>
      <c r="T16" s="198"/>
      <c r="U16" s="198"/>
    </row>
    <row r="17" spans="1:21" s="12" customFormat="1" x14ac:dyDescent="0.25">
      <c r="A17" s="213" t="s">
        <v>1596</v>
      </c>
      <c r="B17" s="64">
        <v>42.11</v>
      </c>
      <c r="C17" s="64">
        <v>54.87</v>
      </c>
      <c r="D17" s="64">
        <v>61.06</v>
      </c>
      <c r="E17" s="64">
        <v>5.52</v>
      </c>
      <c r="F17" s="64">
        <v>2.13</v>
      </c>
      <c r="G17" s="64">
        <v>69.63</v>
      </c>
      <c r="H17" s="64">
        <v>29.31</v>
      </c>
      <c r="I17" s="210" t="s">
        <v>43</v>
      </c>
      <c r="J17" s="64">
        <v>0.65</v>
      </c>
      <c r="K17" s="64">
        <v>223.75</v>
      </c>
      <c r="L17" s="64">
        <v>13.54</v>
      </c>
      <c r="M17" s="64">
        <v>51.46</v>
      </c>
      <c r="N17" s="64">
        <v>77.5</v>
      </c>
      <c r="O17" s="64">
        <v>0</v>
      </c>
      <c r="P17" s="64">
        <v>0.82</v>
      </c>
      <c r="Q17" s="64">
        <v>10.15</v>
      </c>
      <c r="R17" s="198"/>
      <c r="S17" s="198"/>
      <c r="T17" s="198"/>
      <c r="U17" s="198"/>
    </row>
    <row r="18" spans="1:21" s="12" customFormat="1" x14ac:dyDescent="0.25">
      <c r="A18" s="213" t="s">
        <v>1597</v>
      </c>
      <c r="B18" s="64">
        <v>41.3</v>
      </c>
      <c r="C18" s="64">
        <v>54.63</v>
      </c>
      <c r="D18" s="64">
        <v>60.28</v>
      </c>
      <c r="E18" s="64">
        <v>5.32</v>
      </c>
      <c r="F18" s="64">
        <v>2.13</v>
      </c>
      <c r="G18" s="64">
        <v>69.63</v>
      </c>
      <c r="H18" s="64">
        <v>29.31</v>
      </c>
      <c r="I18" s="210" t="s">
        <v>43</v>
      </c>
      <c r="J18" s="64">
        <v>0.57999999999999996</v>
      </c>
      <c r="K18" s="64">
        <v>308.05</v>
      </c>
      <c r="L18" s="64">
        <v>13.68</v>
      </c>
      <c r="M18" s="64">
        <v>49.18</v>
      </c>
      <c r="N18" s="64">
        <v>77.8</v>
      </c>
      <c r="O18" s="64">
        <v>0</v>
      </c>
      <c r="P18" s="64">
        <v>0.84</v>
      </c>
      <c r="Q18" s="64">
        <v>10.1</v>
      </c>
      <c r="R18" s="198"/>
      <c r="S18" s="198"/>
      <c r="T18" s="198"/>
      <c r="U18" s="198"/>
    </row>
    <row r="19" spans="1:21" s="12" customFormat="1" x14ac:dyDescent="0.25">
      <c r="A19" s="213" t="s">
        <v>1598</v>
      </c>
      <c r="B19" s="64">
        <v>40.409999999999997</v>
      </c>
      <c r="C19" s="64">
        <v>54.2</v>
      </c>
      <c r="D19" s="64">
        <v>59.35</v>
      </c>
      <c r="E19" s="64">
        <v>5.51</v>
      </c>
      <c r="F19" s="64">
        <v>2.13</v>
      </c>
      <c r="G19" s="64">
        <v>69.63</v>
      </c>
      <c r="H19" s="64">
        <v>29.31</v>
      </c>
      <c r="I19" s="210" t="s">
        <v>43</v>
      </c>
      <c r="J19" s="64">
        <v>1.1299999999999999</v>
      </c>
      <c r="K19" s="64">
        <v>348.94</v>
      </c>
      <c r="L19" s="64">
        <v>13.7</v>
      </c>
      <c r="M19" s="64">
        <v>46.64</v>
      </c>
      <c r="N19" s="64">
        <v>76.599999999999994</v>
      </c>
      <c r="O19" s="64">
        <v>0</v>
      </c>
      <c r="P19" s="64">
        <v>0.78</v>
      </c>
      <c r="Q19" s="64">
        <v>10.07</v>
      </c>
      <c r="R19" s="198"/>
      <c r="S19" s="198"/>
      <c r="T19" s="198"/>
      <c r="U19" s="198"/>
    </row>
    <row r="20" spans="1:21" s="12" customFormat="1" x14ac:dyDescent="0.25">
      <c r="A20" s="213" t="s">
        <v>1599</v>
      </c>
      <c r="B20" s="64">
        <v>39.020000000000003</v>
      </c>
      <c r="C20" s="64">
        <v>53.88</v>
      </c>
      <c r="D20" s="64">
        <v>58.06</v>
      </c>
      <c r="E20" s="64">
        <v>5.17</v>
      </c>
      <c r="F20" s="64">
        <v>2.13</v>
      </c>
      <c r="G20" s="64">
        <v>69.44</v>
      </c>
      <c r="H20" s="64">
        <v>29.73</v>
      </c>
      <c r="I20" s="210" t="s">
        <v>43</v>
      </c>
      <c r="J20" s="64">
        <v>0.77</v>
      </c>
      <c r="K20" s="64">
        <v>350.76</v>
      </c>
      <c r="L20" s="64">
        <v>14.09</v>
      </c>
      <c r="M20" s="64">
        <v>40.81</v>
      </c>
      <c r="N20" s="64">
        <v>77.599999999999994</v>
      </c>
      <c r="O20" s="64">
        <v>0</v>
      </c>
      <c r="P20" s="64">
        <v>0.78</v>
      </c>
      <c r="Q20" s="64">
        <v>10.08</v>
      </c>
      <c r="R20" s="198"/>
      <c r="S20" s="198"/>
      <c r="T20" s="198"/>
      <c r="U20" s="198"/>
    </row>
    <row r="21" spans="1:21" s="12" customFormat="1" x14ac:dyDescent="0.25">
      <c r="A21" s="213" t="s">
        <v>1600</v>
      </c>
      <c r="B21" s="64">
        <v>37.46</v>
      </c>
      <c r="C21" s="64">
        <v>53.05</v>
      </c>
      <c r="D21" s="64">
        <v>56.38</v>
      </c>
      <c r="E21" s="64">
        <v>5.47</v>
      </c>
      <c r="F21" s="64">
        <v>2.13</v>
      </c>
      <c r="G21" s="64">
        <v>69.010000000000005</v>
      </c>
      <c r="H21" s="64">
        <v>30.67</v>
      </c>
      <c r="I21" s="210" t="s">
        <v>43</v>
      </c>
      <c r="J21" s="64">
        <v>0.12</v>
      </c>
      <c r="K21" s="64">
        <v>241.75</v>
      </c>
      <c r="L21" s="64">
        <v>14.3</v>
      </c>
      <c r="M21" s="64">
        <v>39.35</v>
      </c>
      <c r="N21" s="64">
        <v>77.8</v>
      </c>
      <c r="O21" s="64">
        <v>0</v>
      </c>
      <c r="P21" s="64">
        <v>0.72</v>
      </c>
      <c r="Q21" s="64">
        <v>10.08</v>
      </c>
      <c r="R21" s="198"/>
      <c r="S21" s="198"/>
      <c r="T21" s="198"/>
      <c r="U21" s="198"/>
    </row>
    <row r="22" spans="1:21" s="12" customFormat="1" x14ac:dyDescent="0.25">
      <c r="A22" s="213" t="s">
        <v>1601</v>
      </c>
      <c r="B22" s="64">
        <v>35.840000000000003</v>
      </c>
      <c r="C22" s="64">
        <v>52.22</v>
      </c>
      <c r="D22" s="64">
        <v>54.65</v>
      </c>
      <c r="E22" s="64">
        <v>5.15</v>
      </c>
      <c r="F22" s="64">
        <v>2.13</v>
      </c>
      <c r="G22" s="64">
        <v>69.010000000000005</v>
      </c>
      <c r="H22" s="64">
        <v>30.67</v>
      </c>
      <c r="I22" s="210" t="s">
        <v>43</v>
      </c>
      <c r="J22" s="64">
        <v>0.65</v>
      </c>
      <c r="K22" s="64">
        <v>331.07</v>
      </c>
      <c r="L22" s="64">
        <v>14.14</v>
      </c>
      <c r="M22" s="64">
        <v>41.81</v>
      </c>
      <c r="N22" s="64">
        <v>77.8</v>
      </c>
      <c r="O22" s="64">
        <v>0</v>
      </c>
      <c r="P22" s="64">
        <v>0.74</v>
      </c>
      <c r="Q22" s="64">
        <v>10.06</v>
      </c>
      <c r="R22" s="198"/>
      <c r="S22" s="198"/>
      <c r="T22" s="198"/>
      <c r="U22" s="198"/>
    </row>
    <row r="23" spans="1:21" s="12" customFormat="1" x14ac:dyDescent="0.25">
      <c r="A23" s="213" t="s">
        <v>1602</v>
      </c>
      <c r="B23" s="64">
        <v>34.74</v>
      </c>
      <c r="C23" s="64">
        <v>51.54</v>
      </c>
      <c r="D23" s="64">
        <v>53.41</v>
      </c>
      <c r="E23" s="64">
        <v>5.46</v>
      </c>
      <c r="F23" s="64">
        <v>2.13</v>
      </c>
      <c r="G23" s="64">
        <v>69.010000000000005</v>
      </c>
      <c r="H23" s="64">
        <v>30.67</v>
      </c>
      <c r="I23" s="210" t="s">
        <v>43</v>
      </c>
      <c r="J23" s="64">
        <v>0.9</v>
      </c>
      <c r="K23" s="64">
        <v>353.93</v>
      </c>
      <c r="L23" s="64">
        <v>13.7</v>
      </c>
      <c r="M23" s="64">
        <v>44.09</v>
      </c>
      <c r="N23" s="64">
        <v>77.7</v>
      </c>
      <c r="O23" s="64">
        <v>0</v>
      </c>
      <c r="P23" s="64">
        <v>0.71</v>
      </c>
      <c r="Q23" s="64">
        <v>10.050000000000001</v>
      </c>
      <c r="R23" s="198"/>
      <c r="S23" s="198"/>
      <c r="T23" s="198"/>
      <c r="U23" s="198"/>
    </row>
    <row r="24" spans="1:21" s="12" customFormat="1" x14ac:dyDescent="0.25">
      <c r="A24" s="213" t="s">
        <v>1603</v>
      </c>
      <c r="B24" s="64">
        <v>34.020000000000003</v>
      </c>
      <c r="C24" s="64">
        <v>51.24</v>
      </c>
      <c r="D24" s="64">
        <v>52.68</v>
      </c>
      <c r="E24" s="64">
        <v>5.68</v>
      </c>
      <c r="F24" s="64">
        <v>2.13</v>
      </c>
      <c r="G24" s="64">
        <v>71.8</v>
      </c>
      <c r="H24" s="64">
        <v>31.93</v>
      </c>
      <c r="I24" s="210" t="s">
        <v>43</v>
      </c>
      <c r="J24" s="64">
        <v>1.1599999999999999</v>
      </c>
      <c r="K24" s="64">
        <v>343</v>
      </c>
      <c r="L24" s="64">
        <v>13.36</v>
      </c>
      <c r="M24" s="64">
        <v>48.04</v>
      </c>
      <c r="N24" s="64">
        <v>77.7</v>
      </c>
      <c r="O24" s="64">
        <v>0</v>
      </c>
      <c r="P24" s="64">
        <v>0.79</v>
      </c>
      <c r="Q24" s="64">
        <v>10.039999999999999</v>
      </c>
      <c r="R24" s="198"/>
      <c r="S24" s="198"/>
      <c r="T24" s="198"/>
      <c r="U24" s="198"/>
    </row>
    <row r="25" spans="1:21" s="12" customFormat="1" x14ac:dyDescent="0.25">
      <c r="A25" s="213" t="s">
        <v>1604</v>
      </c>
      <c r="B25" s="64">
        <v>33.32</v>
      </c>
      <c r="C25" s="64">
        <v>51.16</v>
      </c>
      <c r="D25" s="64">
        <v>52.08</v>
      </c>
      <c r="E25" s="64">
        <v>6.19</v>
      </c>
      <c r="F25" s="64">
        <v>2.13</v>
      </c>
      <c r="G25" s="64">
        <v>77.97</v>
      </c>
      <c r="H25" s="64">
        <v>34.72</v>
      </c>
      <c r="I25" s="210" t="s">
        <v>43</v>
      </c>
      <c r="J25" s="64">
        <v>0.96</v>
      </c>
      <c r="K25" s="64">
        <v>329.58</v>
      </c>
      <c r="L25" s="64">
        <v>13.48</v>
      </c>
      <c r="M25" s="64">
        <v>45.95</v>
      </c>
      <c r="N25" s="64">
        <v>77.7</v>
      </c>
      <c r="O25" s="64">
        <v>0</v>
      </c>
      <c r="P25" s="64">
        <v>0.77</v>
      </c>
      <c r="Q25" s="64">
        <v>10.039999999999999</v>
      </c>
      <c r="R25" s="198"/>
      <c r="S25" s="198"/>
      <c r="T25" s="198"/>
      <c r="U25" s="198"/>
    </row>
    <row r="26" spans="1:21" s="12" customFormat="1" x14ac:dyDescent="0.25">
      <c r="A26" s="213" t="s">
        <v>1605</v>
      </c>
      <c r="B26" s="64">
        <v>31.73</v>
      </c>
      <c r="C26" s="64">
        <v>50.55</v>
      </c>
      <c r="D26" s="64">
        <v>50.48</v>
      </c>
      <c r="E26" s="64">
        <v>5.85</v>
      </c>
      <c r="F26" s="64">
        <v>2.13</v>
      </c>
      <c r="G26" s="64">
        <v>77.97</v>
      </c>
      <c r="H26" s="64">
        <v>34.72</v>
      </c>
      <c r="I26" s="210" t="s">
        <v>43</v>
      </c>
      <c r="J26" s="64">
        <v>0.69</v>
      </c>
      <c r="K26" s="64">
        <v>258.44</v>
      </c>
      <c r="L26" s="64">
        <v>13.82</v>
      </c>
      <c r="M26" s="64">
        <v>43.47</v>
      </c>
      <c r="N26" s="64">
        <v>79.099999999999994</v>
      </c>
      <c r="O26" s="64">
        <v>0</v>
      </c>
      <c r="P26" s="64">
        <v>0.75</v>
      </c>
      <c r="Q26" s="64">
        <v>10.07</v>
      </c>
      <c r="R26" s="198"/>
      <c r="S26" s="198"/>
      <c r="T26" s="198"/>
      <c r="U26" s="198"/>
    </row>
    <row r="27" spans="1:21" s="12" customFormat="1" x14ac:dyDescent="0.25">
      <c r="A27" s="213" t="s">
        <v>1606</v>
      </c>
      <c r="B27" s="64">
        <v>30.61</v>
      </c>
      <c r="C27" s="64">
        <v>50.18</v>
      </c>
      <c r="D27" s="64">
        <v>49.39</v>
      </c>
      <c r="E27" s="64">
        <v>5.83</v>
      </c>
      <c r="F27" s="64">
        <v>2.13</v>
      </c>
      <c r="G27" s="64">
        <v>77.97</v>
      </c>
      <c r="H27" s="64">
        <v>34.72</v>
      </c>
      <c r="I27" s="210" t="s">
        <v>43</v>
      </c>
      <c r="J27" s="64">
        <v>0.32</v>
      </c>
      <c r="K27" s="64">
        <v>282.02999999999997</v>
      </c>
      <c r="L27" s="64">
        <v>13.35</v>
      </c>
      <c r="M27" s="64">
        <v>48.12</v>
      </c>
      <c r="N27" s="64">
        <v>79.099999999999994</v>
      </c>
      <c r="O27" s="64">
        <v>0</v>
      </c>
      <c r="P27" s="64">
        <v>0.76</v>
      </c>
      <c r="Q27" s="64">
        <v>10.09</v>
      </c>
      <c r="R27" s="198"/>
      <c r="S27" s="198"/>
      <c r="T27" s="198"/>
      <c r="U27" s="198"/>
    </row>
    <row r="28" spans="1:21" s="12" customFormat="1" x14ac:dyDescent="0.25">
      <c r="A28" s="213" t="s">
        <v>1607</v>
      </c>
      <c r="B28" s="64">
        <v>32.409999999999997</v>
      </c>
      <c r="C28" s="64">
        <v>50.4</v>
      </c>
      <c r="D28" s="64">
        <v>50.94</v>
      </c>
      <c r="E28" s="64">
        <v>5.5</v>
      </c>
      <c r="F28" s="64">
        <v>2.13</v>
      </c>
      <c r="G28" s="64">
        <v>84.46</v>
      </c>
      <c r="H28" s="64">
        <v>35.729999999999997</v>
      </c>
      <c r="I28" s="210" t="s">
        <v>43</v>
      </c>
      <c r="J28" s="64">
        <v>0.76</v>
      </c>
      <c r="K28" s="64">
        <v>327.58</v>
      </c>
      <c r="L28" s="64">
        <v>12.85</v>
      </c>
      <c r="M28" s="64">
        <v>50.44</v>
      </c>
      <c r="N28" s="64">
        <v>78.599999999999994</v>
      </c>
      <c r="O28" s="64">
        <v>0</v>
      </c>
      <c r="P28" s="64">
        <v>0.76</v>
      </c>
      <c r="Q28" s="64">
        <v>10.029999999999999</v>
      </c>
      <c r="R28" s="198"/>
      <c r="S28" s="198"/>
      <c r="T28" s="198"/>
      <c r="U28" s="198"/>
    </row>
    <row r="29" spans="1:21" s="12" customFormat="1" x14ac:dyDescent="0.25">
      <c r="A29" s="213" t="s">
        <v>1608</v>
      </c>
      <c r="B29" s="64">
        <v>34.65</v>
      </c>
      <c r="C29" s="64">
        <v>50.69</v>
      </c>
      <c r="D29" s="64">
        <v>52.89</v>
      </c>
      <c r="E29" s="64">
        <v>5.69</v>
      </c>
      <c r="F29" s="64">
        <v>2.13</v>
      </c>
      <c r="G29" s="64">
        <v>99.61</v>
      </c>
      <c r="H29" s="64">
        <v>37.950000000000003</v>
      </c>
      <c r="I29" s="210" t="s">
        <v>43</v>
      </c>
      <c r="J29" s="64">
        <v>0.64</v>
      </c>
      <c r="K29" s="64">
        <v>263.64</v>
      </c>
      <c r="L29" s="64">
        <v>12.91</v>
      </c>
      <c r="M29" s="64">
        <v>47.32</v>
      </c>
      <c r="N29" s="64">
        <v>78.8</v>
      </c>
      <c r="O29" s="64">
        <v>0</v>
      </c>
      <c r="P29" s="64">
        <v>0.75</v>
      </c>
      <c r="Q29" s="64">
        <v>10.050000000000001</v>
      </c>
      <c r="R29" s="198"/>
      <c r="S29" s="198"/>
      <c r="T29" s="198"/>
      <c r="U29" s="198"/>
    </row>
    <row r="30" spans="1:21" s="12" customFormat="1" x14ac:dyDescent="0.25">
      <c r="A30" s="213" t="s">
        <v>1609</v>
      </c>
      <c r="B30" s="64">
        <v>34.880000000000003</v>
      </c>
      <c r="C30" s="64">
        <v>50.64</v>
      </c>
      <c r="D30" s="64">
        <v>53.05</v>
      </c>
      <c r="E30" s="64">
        <v>5.89</v>
      </c>
      <c r="F30" s="64">
        <v>2.13</v>
      </c>
      <c r="G30" s="64">
        <v>99.61</v>
      </c>
      <c r="H30" s="64">
        <v>37.950000000000003</v>
      </c>
      <c r="I30" s="210" t="s">
        <v>43</v>
      </c>
      <c r="J30" s="64">
        <v>0.72</v>
      </c>
      <c r="K30" s="64">
        <v>250.23</v>
      </c>
      <c r="L30" s="64">
        <v>13.08</v>
      </c>
      <c r="M30" s="64">
        <v>47.03</v>
      </c>
      <c r="N30" s="64">
        <v>78.3</v>
      </c>
      <c r="O30" s="64">
        <v>0</v>
      </c>
      <c r="P30" s="64">
        <v>0.75</v>
      </c>
      <c r="Q30" s="64">
        <v>10.09</v>
      </c>
      <c r="R30" s="198"/>
      <c r="S30" s="198"/>
      <c r="T30" s="198"/>
      <c r="U30" s="198"/>
    </row>
    <row r="31" spans="1:21" s="12" customFormat="1" x14ac:dyDescent="0.25">
      <c r="A31" s="213" t="s">
        <v>1610</v>
      </c>
      <c r="B31" s="64">
        <v>34.270000000000003</v>
      </c>
      <c r="C31" s="64">
        <v>50.77</v>
      </c>
      <c r="D31" s="64">
        <v>52.63</v>
      </c>
      <c r="E31" s="64">
        <v>5.17</v>
      </c>
      <c r="F31" s="64">
        <v>2.13</v>
      </c>
      <c r="G31" s="64">
        <v>99.61</v>
      </c>
      <c r="H31" s="64">
        <v>37.950000000000003</v>
      </c>
      <c r="I31" s="210" t="s">
        <v>43</v>
      </c>
      <c r="J31" s="64">
        <v>0.47</v>
      </c>
      <c r="K31" s="64">
        <v>244.99</v>
      </c>
      <c r="L31" s="64">
        <v>12.71</v>
      </c>
      <c r="M31" s="64">
        <v>48.59</v>
      </c>
      <c r="N31" s="64">
        <v>78.8</v>
      </c>
      <c r="O31" s="64">
        <v>0</v>
      </c>
      <c r="P31" s="64">
        <v>0.74</v>
      </c>
      <c r="Q31" s="64">
        <v>10.08</v>
      </c>
      <c r="R31" s="198"/>
      <c r="S31" s="198"/>
      <c r="T31" s="198"/>
      <c r="U31" s="198"/>
    </row>
    <row r="32" spans="1:21" s="12" customFormat="1" x14ac:dyDescent="0.25">
      <c r="A32" s="213" t="s">
        <v>1611</v>
      </c>
      <c r="B32" s="64">
        <v>34.06</v>
      </c>
      <c r="C32" s="64">
        <v>51.01</v>
      </c>
      <c r="D32" s="64">
        <v>52.59</v>
      </c>
      <c r="E32" s="64">
        <v>5.27</v>
      </c>
      <c r="F32" s="64">
        <v>2.13</v>
      </c>
      <c r="G32" s="64">
        <v>97.36</v>
      </c>
      <c r="H32" s="64">
        <v>38.71</v>
      </c>
      <c r="I32" s="210" t="s">
        <v>43</v>
      </c>
      <c r="J32" s="64">
        <v>0.28999999999999998</v>
      </c>
      <c r="K32" s="64">
        <v>163.88</v>
      </c>
      <c r="L32" s="64">
        <v>12.27</v>
      </c>
      <c r="M32" s="64">
        <v>51.07</v>
      </c>
      <c r="N32" s="64">
        <v>78.599999999999994</v>
      </c>
      <c r="O32" s="64">
        <v>0</v>
      </c>
      <c r="P32" s="64">
        <v>0.74</v>
      </c>
      <c r="Q32" s="64">
        <v>10.08</v>
      </c>
      <c r="R32" s="198"/>
      <c r="S32" s="198"/>
      <c r="T32" s="198"/>
      <c r="U32" s="198"/>
    </row>
    <row r="33" spans="1:21" s="12" customFormat="1" x14ac:dyDescent="0.25">
      <c r="A33" s="213" t="s">
        <v>1612</v>
      </c>
      <c r="B33" s="64">
        <v>34.950000000000003</v>
      </c>
      <c r="C33" s="64">
        <v>51.41</v>
      </c>
      <c r="D33" s="64">
        <v>53.51</v>
      </c>
      <c r="E33" s="64">
        <v>5.86</v>
      </c>
      <c r="F33" s="64">
        <v>2.13</v>
      </c>
      <c r="G33" s="64">
        <v>92.39</v>
      </c>
      <c r="H33" s="64">
        <v>40.39</v>
      </c>
      <c r="I33" s="210" t="s">
        <v>43</v>
      </c>
      <c r="J33" s="64">
        <v>0.69</v>
      </c>
      <c r="K33" s="64">
        <v>345.86</v>
      </c>
      <c r="L33" s="64">
        <v>12.17</v>
      </c>
      <c r="M33" s="64">
        <v>53.53</v>
      </c>
      <c r="N33" s="64">
        <v>78.599999999999994</v>
      </c>
      <c r="O33" s="64">
        <v>0</v>
      </c>
      <c r="P33" s="64">
        <v>0.75</v>
      </c>
      <c r="Q33" s="64">
        <v>10.039999999999999</v>
      </c>
      <c r="R33" s="198"/>
      <c r="S33" s="198"/>
      <c r="T33" s="198"/>
      <c r="U33" s="198"/>
    </row>
    <row r="34" spans="1:21" s="12" customFormat="1" x14ac:dyDescent="0.25">
      <c r="A34" s="213" t="s">
        <v>1613</v>
      </c>
      <c r="B34" s="64">
        <v>39.04</v>
      </c>
      <c r="C34" s="64">
        <v>51.26</v>
      </c>
      <c r="D34" s="64">
        <v>56.72</v>
      </c>
      <c r="E34" s="64">
        <v>6.04</v>
      </c>
      <c r="F34" s="64">
        <v>2.13</v>
      </c>
      <c r="G34" s="64">
        <v>92.39</v>
      </c>
      <c r="H34" s="64">
        <v>40.39</v>
      </c>
      <c r="I34" s="210" t="s">
        <v>43</v>
      </c>
      <c r="J34" s="64">
        <v>0.63</v>
      </c>
      <c r="K34" s="64">
        <v>358.14</v>
      </c>
      <c r="L34" s="64">
        <v>12.02</v>
      </c>
      <c r="M34" s="64">
        <v>54.54</v>
      </c>
      <c r="N34" s="64">
        <v>80.2</v>
      </c>
      <c r="O34" s="64">
        <v>0</v>
      </c>
      <c r="P34" s="64">
        <v>0.81</v>
      </c>
      <c r="Q34" s="64">
        <v>10.029999999999999</v>
      </c>
      <c r="R34" s="198"/>
      <c r="S34" s="198"/>
      <c r="T34" s="198"/>
      <c r="U34" s="198"/>
    </row>
    <row r="35" spans="1:21" s="12" customFormat="1" x14ac:dyDescent="0.25">
      <c r="A35" s="213" t="s">
        <v>1614</v>
      </c>
      <c r="B35" s="64">
        <v>43.44</v>
      </c>
      <c r="C35" s="64">
        <v>52.07</v>
      </c>
      <c r="D35" s="64">
        <v>60.66</v>
      </c>
      <c r="E35" s="64">
        <v>6.21</v>
      </c>
      <c r="F35" s="64">
        <v>2.13</v>
      </c>
      <c r="G35" s="64">
        <v>92.39</v>
      </c>
      <c r="H35" s="64">
        <v>40.39</v>
      </c>
      <c r="I35" s="210" t="s">
        <v>43</v>
      </c>
      <c r="J35" s="64">
        <v>0.45</v>
      </c>
      <c r="K35" s="64">
        <v>278.51</v>
      </c>
      <c r="L35" s="64">
        <v>12.28</v>
      </c>
      <c r="M35" s="64">
        <v>54.58</v>
      </c>
      <c r="N35" s="64">
        <v>87.8</v>
      </c>
      <c r="O35" s="64">
        <v>0</v>
      </c>
      <c r="P35" s="64">
        <v>0.8</v>
      </c>
      <c r="Q35" s="64">
        <v>10.01</v>
      </c>
      <c r="R35" s="198"/>
      <c r="S35" s="198"/>
      <c r="T35" s="198"/>
      <c r="U35" s="198"/>
    </row>
    <row r="36" spans="1:21" s="12" customFormat="1" x14ac:dyDescent="0.25">
      <c r="A36" s="213" t="s">
        <v>1615</v>
      </c>
      <c r="B36" s="64">
        <v>46.65</v>
      </c>
      <c r="C36" s="64">
        <v>52.92</v>
      </c>
      <c r="D36" s="64">
        <v>63.68</v>
      </c>
      <c r="E36" s="64">
        <v>6.02</v>
      </c>
      <c r="F36" s="64">
        <v>2.13</v>
      </c>
      <c r="G36" s="64">
        <v>101.22</v>
      </c>
      <c r="H36" s="64">
        <v>42.28</v>
      </c>
      <c r="I36" s="210" t="s">
        <v>43</v>
      </c>
      <c r="J36" s="64">
        <v>0.66</v>
      </c>
      <c r="K36" s="64">
        <v>242.53</v>
      </c>
      <c r="L36" s="64">
        <v>12.63</v>
      </c>
      <c r="M36" s="64">
        <v>55.14</v>
      </c>
      <c r="N36" s="64">
        <v>101.2</v>
      </c>
      <c r="O36" s="64">
        <v>0</v>
      </c>
      <c r="P36" s="64">
        <v>0.88</v>
      </c>
      <c r="Q36" s="64">
        <v>10.01</v>
      </c>
      <c r="R36" s="198"/>
      <c r="S36" s="198"/>
      <c r="T36" s="198"/>
      <c r="U36" s="198"/>
    </row>
    <row r="37" spans="1:21" s="12" customFormat="1" x14ac:dyDescent="0.25">
      <c r="A37" s="213" t="s">
        <v>1616</v>
      </c>
      <c r="B37" s="64">
        <v>52.04</v>
      </c>
      <c r="C37" s="64">
        <v>53.79</v>
      </c>
      <c r="D37" s="64">
        <v>68.459999999999994</v>
      </c>
      <c r="E37" s="64">
        <v>6.02</v>
      </c>
      <c r="F37" s="64">
        <v>2.13</v>
      </c>
      <c r="G37" s="64">
        <v>120.78</v>
      </c>
      <c r="H37" s="64">
        <v>46.47</v>
      </c>
      <c r="I37" s="210" t="s">
        <v>43</v>
      </c>
      <c r="J37" s="64">
        <v>0.56999999999999995</v>
      </c>
      <c r="K37" s="64">
        <v>306.77</v>
      </c>
      <c r="L37" s="64">
        <v>13.1</v>
      </c>
      <c r="M37" s="64">
        <v>53.93</v>
      </c>
      <c r="N37" s="64">
        <v>118</v>
      </c>
      <c r="O37" s="64">
        <v>0</v>
      </c>
      <c r="P37" s="64">
        <v>0.92</v>
      </c>
      <c r="Q37" s="64">
        <v>9.99</v>
      </c>
      <c r="R37" s="198"/>
      <c r="S37" s="198"/>
      <c r="T37" s="198"/>
      <c r="U37" s="198"/>
    </row>
    <row r="38" spans="1:21" s="12" customFormat="1" x14ac:dyDescent="0.25">
      <c r="A38" s="213" t="s">
        <v>1617</v>
      </c>
      <c r="B38" s="64">
        <v>58.55</v>
      </c>
      <c r="C38" s="64">
        <v>54.79</v>
      </c>
      <c r="D38" s="64">
        <v>74.2</v>
      </c>
      <c r="E38" s="64">
        <v>6.98</v>
      </c>
      <c r="F38" s="64">
        <v>2.13</v>
      </c>
      <c r="G38" s="64">
        <v>120.78</v>
      </c>
      <c r="H38" s="64">
        <v>46.47</v>
      </c>
      <c r="I38" s="210" t="s">
        <v>43</v>
      </c>
      <c r="J38" s="64">
        <v>0.42</v>
      </c>
      <c r="K38" s="64">
        <v>267.98</v>
      </c>
      <c r="L38" s="64">
        <v>13.93</v>
      </c>
      <c r="M38" s="64">
        <v>50.35</v>
      </c>
      <c r="N38" s="64">
        <v>158.4</v>
      </c>
      <c r="O38" s="64">
        <v>0</v>
      </c>
      <c r="P38" s="64">
        <v>0.92</v>
      </c>
      <c r="Q38" s="64">
        <v>9.9499999999999993</v>
      </c>
      <c r="R38" s="198"/>
      <c r="S38" s="198"/>
      <c r="T38" s="198"/>
      <c r="U38" s="198"/>
    </row>
    <row r="39" spans="1:21" s="12" customFormat="1" x14ac:dyDescent="0.25">
      <c r="A39" s="213" t="s">
        <v>1618</v>
      </c>
      <c r="B39" s="64">
        <v>61.89</v>
      </c>
      <c r="C39" s="64">
        <v>55.58</v>
      </c>
      <c r="D39" s="64">
        <v>77.3</v>
      </c>
      <c r="E39" s="64">
        <v>7.67</v>
      </c>
      <c r="F39" s="64">
        <v>2.13</v>
      </c>
      <c r="G39" s="64">
        <v>120.78</v>
      </c>
      <c r="H39" s="64">
        <v>46.47</v>
      </c>
      <c r="I39" s="210" t="s">
        <v>43</v>
      </c>
      <c r="J39" s="64">
        <v>0.99</v>
      </c>
      <c r="K39" s="64">
        <v>196.39</v>
      </c>
      <c r="L39" s="64">
        <v>15.58</v>
      </c>
      <c r="M39" s="64">
        <v>49.26</v>
      </c>
      <c r="N39" s="64">
        <v>251.8</v>
      </c>
      <c r="O39" s="64">
        <v>0</v>
      </c>
      <c r="P39" s="64">
        <v>0.92</v>
      </c>
      <c r="Q39" s="64">
        <v>10.01</v>
      </c>
      <c r="R39" s="198"/>
      <c r="S39" s="198"/>
      <c r="T39" s="198"/>
      <c r="U39" s="198"/>
    </row>
    <row r="40" spans="1:21" s="12" customFormat="1" x14ac:dyDescent="0.25">
      <c r="A40" s="213" t="s">
        <v>1619</v>
      </c>
      <c r="B40" s="64">
        <v>62.56</v>
      </c>
      <c r="C40" s="64">
        <v>55.54</v>
      </c>
      <c r="D40" s="64">
        <v>77.81</v>
      </c>
      <c r="E40" s="64">
        <v>8.0399999999999991</v>
      </c>
      <c r="F40" s="64">
        <v>2.13</v>
      </c>
      <c r="G40" s="64">
        <v>132.56</v>
      </c>
      <c r="H40" s="64">
        <v>46.08</v>
      </c>
      <c r="I40" s="210" t="s">
        <v>43</v>
      </c>
      <c r="J40" s="64">
        <v>1.7</v>
      </c>
      <c r="K40" s="64">
        <v>161.28</v>
      </c>
      <c r="L40" s="64">
        <v>15.42</v>
      </c>
      <c r="M40" s="64">
        <v>57.86</v>
      </c>
      <c r="N40" s="64">
        <v>311.10000000000002</v>
      </c>
      <c r="O40" s="64">
        <v>0</v>
      </c>
      <c r="P40" s="64">
        <v>0.86</v>
      </c>
      <c r="Q40" s="64">
        <v>10.039999999999999</v>
      </c>
      <c r="R40" s="198"/>
      <c r="S40" s="198"/>
      <c r="T40" s="198"/>
      <c r="U40" s="198"/>
    </row>
    <row r="41" spans="1:21" s="12" customFormat="1" x14ac:dyDescent="0.25">
      <c r="A41" s="213" t="s">
        <v>1620</v>
      </c>
      <c r="B41" s="64">
        <v>60.73</v>
      </c>
      <c r="C41" s="64">
        <v>54.99</v>
      </c>
      <c r="D41" s="64">
        <v>76.06</v>
      </c>
      <c r="E41" s="64">
        <v>7.4</v>
      </c>
      <c r="F41" s="64">
        <v>2.13</v>
      </c>
      <c r="G41" s="64">
        <v>160.06</v>
      </c>
      <c r="H41" s="64">
        <v>45.21</v>
      </c>
      <c r="I41" s="210" t="s">
        <v>43</v>
      </c>
      <c r="J41" s="64">
        <v>1.02</v>
      </c>
      <c r="K41" s="64">
        <v>188.95</v>
      </c>
      <c r="L41" s="64">
        <v>16.2</v>
      </c>
      <c r="M41" s="64">
        <v>58.5</v>
      </c>
      <c r="N41" s="64">
        <v>366.5</v>
      </c>
      <c r="O41" s="64">
        <v>0</v>
      </c>
      <c r="P41" s="64">
        <v>0.86</v>
      </c>
      <c r="Q41" s="64">
        <v>10.06</v>
      </c>
      <c r="R41" s="198"/>
      <c r="S41" s="198"/>
      <c r="T41" s="198"/>
      <c r="U41" s="198"/>
    </row>
    <row r="42" spans="1:21" s="12" customFormat="1" x14ac:dyDescent="0.25">
      <c r="A42" s="213" t="s">
        <v>1621</v>
      </c>
      <c r="B42" s="64">
        <v>58.37</v>
      </c>
      <c r="C42" s="64">
        <v>54.75</v>
      </c>
      <c r="D42" s="64">
        <v>74.040000000000006</v>
      </c>
      <c r="E42" s="64">
        <v>7.07</v>
      </c>
      <c r="F42" s="64">
        <v>2.13</v>
      </c>
      <c r="G42" s="64">
        <v>160.06</v>
      </c>
      <c r="H42" s="64">
        <v>45.21</v>
      </c>
      <c r="I42" s="210" t="s">
        <v>43</v>
      </c>
      <c r="J42" s="64">
        <v>0.93</v>
      </c>
      <c r="K42" s="64">
        <v>190.89</v>
      </c>
      <c r="L42" s="64">
        <v>16.8</v>
      </c>
      <c r="M42" s="64">
        <v>55.91</v>
      </c>
      <c r="N42" s="64">
        <v>421.2</v>
      </c>
      <c r="O42" s="64">
        <v>0</v>
      </c>
      <c r="P42" s="64">
        <v>0.86</v>
      </c>
      <c r="Q42" s="64">
        <v>10.09</v>
      </c>
      <c r="R42" s="198"/>
      <c r="S42" s="198"/>
      <c r="T42" s="198"/>
      <c r="U42" s="198"/>
    </row>
    <row r="43" spans="1:21" s="12" customFormat="1" x14ac:dyDescent="0.25">
      <c r="A43" s="213" t="s">
        <v>1622</v>
      </c>
      <c r="B43" s="64">
        <v>55.41</v>
      </c>
      <c r="C43" s="64">
        <v>54.51</v>
      </c>
      <c r="D43" s="64">
        <v>71.540000000000006</v>
      </c>
      <c r="E43" s="64">
        <v>7.47</v>
      </c>
      <c r="F43" s="64">
        <v>2.13</v>
      </c>
      <c r="G43" s="64">
        <v>160.06</v>
      </c>
      <c r="H43" s="64">
        <v>45.21</v>
      </c>
      <c r="I43" s="210" t="s">
        <v>43</v>
      </c>
      <c r="J43" s="64">
        <v>0.89</v>
      </c>
      <c r="K43" s="64">
        <v>190.68</v>
      </c>
      <c r="L43" s="64">
        <v>17.79</v>
      </c>
      <c r="M43" s="64">
        <v>51.88</v>
      </c>
      <c r="N43" s="64">
        <v>482.7</v>
      </c>
      <c r="O43" s="64">
        <v>0</v>
      </c>
      <c r="P43" s="64">
        <v>0.86</v>
      </c>
      <c r="Q43" s="64">
        <v>10.1</v>
      </c>
      <c r="R43" s="198"/>
      <c r="S43" s="198"/>
      <c r="T43" s="198"/>
      <c r="U43" s="198"/>
    </row>
    <row r="44" spans="1:21" s="12" customFormat="1" x14ac:dyDescent="0.25">
      <c r="A44" s="213" t="s">
        <v>1623</v>
      </c>
      <c r="B44" s="64">
        <v>52.26</v>
      </c>
      <c r="C44" s="64">
        <v>54.86</v>
      </c>
      <c r="D44" s="64">
        <v>69.2</v>
      </c>
      <c r="E44" s="64">
        <v>7.33</v>
      </c>
      <c r="F44" s="64">
        <v>2.13</v>
      </c>
      <c r="G44" s="64">
        <v>144.44</v>
      </c>
      <c r="H44" s="64">
        <v>43.76</v>
      </c>
      <c r="I44" s="210" t="s">
        <v>43</v>
      </c>
      <c r="J44" s="64">
        <v>0.43</v>
      </c>
      <c r="K44" s="64">
        <v>119.6</v>
      </c>
      <c r="L44" s="64">
        <v>19.64</v>
      </c>
      <c r="M44" s="64">
        <v>44.12</v>
      </c>
      <c r="N44" s="64">
        <v>538.29999999999995</v>
      </c>
      <c r="O44" s="64">
        <v>0</v>
      </c>
      <c r="P44" s="64">
        <v>0.87</v>
      </c>
      <c r="Q44" s="64">
        <v>10.11</v>
      </c>
      <c r="R44" s="198"/>
      <c r="S44" s="198"/>
      <c r="T44" s="198"/>
      <c r="U44" s="198"/>
    </row>
    <row r="45" spans="1:21" s="12" customFormat="1" x14ac:dyDescent="0.25">
      <c r="A45" s="213" t="s">
        <v>1624</v>
      </c>
      <c r="B45" s="64">
        <v>49.78</v>
      </c>
      <c r="C45" s="64">
        <v>56.49</v>
      </c>
      <c r="D45" s="64">
        <v>68.05</v>
      </c>
      <c r="E45" s="64">
        <v>7.24</v>
      </c>
      <c r="F45" s="64">
        <v>2.13</v>
      </c>
      <c r="G45" s="64">
        <v>109.84</v>
      </c>
      <c r="H45" s="64">
        <v>40.54</v>
      </c>
      <c r="I45" s="210" t="s">
        <v>43</v>
      </c>
      <c r="J45" s="64">
        <v>0.93</v>
      </c>
      <c r="K45" s="64">
        <v>324.47000000000003</v>
      </c>
      <c r="L45" s="64">
        <v>23.36</v>
      </c>
      <c r="M45" s="64">
        <v>36.090000000000003</v>
      </c>
      <c r="N45" s="64">
        <v>594.70000000000005</v>
      </c>
      <c r="O45" s="64">
        <v>0</v>
      </c>
      <c r="P45" s="64">
        <v>0.87</v>
      </c>
      <c r="Q45" s="64">
        <v>10.1</v>
      </c>
      <c r="R45" s="198"/>
      <c r="S45" s="198"/>
      <c r="T45" s="198"/>
      <c r="U45" s="198"/>
    </row>
    <row r="46" spans="1:21" s="12" customFormat="1" x14ac:dyDescent="0.25">
      <c r="A46" s="213" t="s">
        <v>1625</v>
      </c>
      <c r="B46" s="64">
        <v>47.73</v>
      </c>
      <c r="C46" s="64">
        <v>59.33</v>
      </c>
      <c r="D46" s="64">
        <v>67.900000000000006</v>
      </c>
      <c r="E46" s="64">
        <v>7.83</v>
      </c>
      <c r="F46" s="64">
        <v>2.13</v>
      </c>
      <c r="G46" s="64">
        <v>109.84</v>
      </c>
      <c r="H46" s="64">
        <v>40.54</v>
      </c>
      <c r="I46" s="210" t="s">
        <v>43</v>
      </c>
      <c r="J46" s="64">
        <v>1.19</v>
      </c>
      <c r="K46" s="64">
        <v>333.57</v>
      </c>
      <c r="L46" s="64">
        <v>25.68</v>
      </c>
      <c r="M46" s="64">
        <v>31.45</v>
      </c>
      <c r="N46" s="64">
        <v>644.79999999999995</v>
      </c>
      <c r="O46" s="64">
        <v>0</v>
      </c>
      <c r="P46" s="64">
        <v>0.9</v>
      </c>
      <c r="Q46" s="64">
        <v>10.09</v>
      </c>
      <c r="R46" s="198"/>
      <c r="S46" s="198"/>
      <c r="T46" s="198"/>
      <c r="U46" s="198"/>
    </row>
    <row r="47" spans="1:21" s="12" customFormat="1" x14ac:dyDescent="0.25">
      <c r="A47" s="213" t="s">
        <v>1626</v>
      </c>
      <c r="B47" s="64">
        <v>45.41</v>
      </c>
      <c r="C47" s="64">
        <v>63.41</v>
      </c>
      <c r="D47" s="64">
        <v>68.17</v>
      </c>
      <c r="E47" s="64">
        <v>7.71</v>
      </c>
      <c r="F47" s="64">
        <v>2.13</v>
      </c>
      <c r="G47" s="64">
        <v>109.84</v>
      </c>
      <c r="H47" s="64">
        <v>40.54</v>
      </c>
      <c r="I47" s="210" t="s">
        <v>43</v>
      </c>
      <c r="J47" s="64">
        <v>1.03</v>
      </c>
      <c r="K47" s="64">
        <v>325.39999999999998</v>
      </c>
      <c r="L47" s="64">
        <v>27.45</v>
      </c>
      <c r="M47" s="64">
        <v>27.04</v>
      </c>
      <c r="N47" s="64">
        <v>691.3</v>
      </c>
      <c r="O47" s="64">
        <v>0</v>
      </c>
      <c r="P47" s="64">
        <v>0.94</v>
      </c>
      <c r="Q47" s="64">
        <v>10.08</v>
      </c>
      <c r="R47" s="198"/>
      <c r="S47" s="198"/>
      <c r="T47" s="198"/>
      <c r="U47" s="198"/>
    </row>
    <row r="48" spans="1:21" s="12" customFormat="1" x14ac:dyDescent="0.25">
      <c r="A48" s="213" t="s">
        <v>1627</v>
      </c>
      <c r="B48" s="64">
        <v>42.7</v>
      </c>
      <c r="C48" s="64">
        <v>67.33</v>
      </c>
      <c r="D48" s="64">
        <v>68.040000000000006</v>
      </c>
      <c r="E48" s="64">
        <v>7.17</v>
      </c>
      <c r="F48" s="64">
        <v>2.13</v>
      </c>
      <c r="G48" s="64">
        <v>117.77</v>
      </c>
      <c r="H48" s="64">
        <v>41.91</v>
      </c>
      <c r="I48" s="210" t="s">
        <v>43</v>
      </c>
      <c r="J48" s="64">
        <v>0.3</v>
      </c>
      <c r="K48" s="64">
        <v>109.95</v>
      </c>
      <c r="L48" s="64">
        <v>26.68</v>
      </c>
      <c r="M48" s="64">
        <v>26.01</v>
      </c>
      <c r="N48" s="64">
        <v>738.1</v>
      </c>
      <c r="O48" s="64">
        <v>0</v>
      </c>
      <c r="P48" s="64">
        <v>0.96</v>
      </c>
      <c r="Q48" s="64">
        <v>10.08</v>
      </c>
      <c r="R48" s="198"/>
      <c r="S48" s="198"/>
      <c r="T48" s="198"/>
      <c r="U48" s="198"/>
    </row>
    <row r="49" spans="1:21" s="12" customFormat="1" x14ac:dyDescent="0.25">
      <c r="A49" s="213" t="s">
        <v>1628</v>
      </c>
      <c r="B49" s="64">
        <v>39.54</v>
      </c>
      <c r="C49" s="64">
        <v>70.39</v>
      </c>
      <c r="D49" s="64">
        <v>67.11</v>
      </c>
      <c r="E49" s="64">
        <v>7.55</v>
      </c>
      <c r="F49" s="64">
        <v>2.13</v>
      </c>
      <c r="G49" s="64">
        <v>136.28</v>
      </c>
      <c r="H49" s="64">
        <v>44.95</v>
      </c>
      <c r="I49" s="210" t="s">
        <v>43</v>
      </c>
      <c r="J49" s="64">
        <v>0.73</v>
      </c>
      <c r="K49" s="64">
        <v>100.25</v>
      </c>
      <c r="L49" s="64">
        <v>24.88</v>
      </c>
      <c r="M49" s="64">
        <v>25.9</v>
      </c>
      <c r="N49" s="64">
        <v>789</v>
      </c>
      <c r="O49" s="64">
        <v>0</v>
      </c>
      <c r="P49" s="64">
        <v>0.98</v>
      </c>
      <c r="Q49" s="64">
        <v>10.08</v>
      </c>
      <c r="R49" s="198"/>
      <c r="S49" s="198"/>
      <c r="T49" s="198"/>
      <c r="U49" s="198"/>
    </row>
    <row r="50" spans="1:21" s="12" customFormat="1" x14ac:dyDescent="0.25">
      <c r="A50" s="213" t="s">
        <v>1629</v>
      </c>
      <c r="B50" s="64">
        <v>36.01</v>
      </c>
      <c r="C50" s="64">
        <v>72.400000000000006</v>
      </c>
      <c r="D50" s="64">
        <v>65.33</v>
      </c>
      <c r="E50" s="64">
        <v>7.17</v>
      </c>
      <c r="F50" s="64">
        <v>2.13</v>
      </c>
      <c r="G50" s="64">
        <v>136.28</v>
      </c>
      <c r="H50" s="64">
        <v>44.95</v>
      </c>
      <c r="I50" s="210" t="s">
        <v>43</v>
      </c>
      <c r="J50" s="64">
        <v>0.91</v>
      </c>
      <c r="K50" s="64">
        <v>89.64</v>
      </c>
      <c r="L50" s="64">
        <v>24.7</v>
      </c>
      <c r="M50" s="64">
        <v>25.33</v>
      </c>
      <c r="N50" s="64">
        <v>851.4</v>
      </c>
      <c r="O50" s="64">
        <v>0</v>
      </c>
      <c r="P50" s="64">
        <v>0.97</v>
      </c>
      <c r="Q50" s="64">
        <v>10.06</v>
      </c>
      <c r="R50" s="198"/>
      <c r="S50" s="198"/>
      <c r="T50" s="198"/>
      <c r="U50" s="198"/>
    </row>
    <row r="51" spans="1:21" s="12" customFormat="1" x14ac:dyDescent="0.25">
      <c r="A51" s="213" t="s">
        <v>1630</v>
      </c>
      <c r="B51" s="64">
        <v>32.82</v>
      </c>
      <c r="C51" s="64">
        <v>73.44</v>
      </c>
      <c r="D51" s="64">
        <v>63.31</v>
      </c>
      <c r="E51" s="64">
        <v>7.27</v>
      </c>
      <c r="F51" s="64">
        <v>2.13</v>
      </c>
      <c r="G51" s="64">
        <v>136.28</v>
      </c>
      <c r="H51" s="64">
        <v>44.95</v>
      </c>
      <c r="I51" s="210" t="s">
        <v>43</v>
      </c>
      <c r="J51" s="64">
        <v>0.71</v>
      </c>
      <c r="K51" s="64">
        <v>98.16</v>
      </c>
      <c r="L51" s="64">
        <v>25.3</v>
      </c>
      <c r="M51" s="64">
        <v>23.84</v>
      </c>
      <c r="N51" s="64">
        <v>877.8</v>
      </c>
      <c r="O51" s="64">
        <v>0</v>
      </c>
      <c r="P51" s="64">
        <v>0.95</v>
      </c>
      <c r="Q51" s="64">
        <v>10.029999999999999</v>
      </c>
      <c r="R51" s="198"/>
      <c r="S51" s="198"/>
      <c r="T51" s="198"/>
      <c r="U51" s="198"/>
    </row>
    <row r="52" spans="1:21" s="12" customFormat="1" x14ac:dyDescent="0.25">
      <c r="A52" s="213" t="s">
        <v>1631</v>
      </c>
      <c r="B52" s="64">
        <v>30.09</v>
      </c>
      <c r="C52" s="64">
        <v>72.8</v>
      </c>
      <c r="D52" s="64">
        <v>60.79</v>
      </c>
      <c r="E52" s="64">
        <v>6.51</v>
      </c>
      <c r="F52" s="64">
        <v>2.13</v>
      </c>
      <c r="G52" s="64">
        <v>122.72</v>
      </c>
      <c r="H52" s="64">
        <v>42.84</v>
      </c>
      <c r="I52" s="210" t="s">
        <v>43</v>
      </c>
      <c r="J52" s="64">
        <v>0.82</v>
      </c>
      <c r="K52" s="64">
        <v>84.09</v>
      </c>
      <c r="L52" s="64">
        <v>25.08</v>
      </c>
      <c r="M52" s="64">
        <v>24.41</v>
      </c>
      <c r="N52" s="64">
        <v>923.7</v>
      </c>
      <c r="O52" s="64">
        <v>0</v>
      </c>
      <c r="P52" s="64">
        <v>0.94</v>
      </c>
      <c r="Q52" s="64">
        <v>9.98</v>
      </c>
      <c r="R52" s="198"/>
      <c r="S52" s="198"/>
      <c r="T52" s="198"/>
      <c r="U52" s="198"/>
    </row>
    <row r="53" spans="1:21" s="12" customFormat="1" x14ac:dyDescent="0.25">
      <c r="A53" s="213" t="s">
        <v>1632</v>
      </c>
      <c r="B53" s="64">
        <v>28.21</v>
      </c>
      <c r="C53" s="64">
        <v>72.66</v>
      </c>
      <c r="D53" s="64">
        <v>59.21</v>
      </c>
      <c r="E53" s="64">
        <v>6.46</v>
      </c>
      <c r="F53" s="64">
        <v>2.13</v>
      </c>
      <c r="G53" s="64">
        <v>92.69</v>
      </c>
      <c r="H53" s="64">
        <v>38.17</v>
      </c>
      <c r="I53" s="210" t="s">
        <v>43</v>
      </c>
      <c r="J53" s="64">
        <v>1.28</v>
      </c>
      <c r="K53" s="64">
        <v>104.37</v>
      </c>
      <c r="L53" s="64">
        <v>24.96</v>
      </c>
      <c r="M53" s="64">
        <v>24.23</v>
      </c>
      <c r="N53" s="64">
        <v>939.3</v>
      </c>
      <c r="O53" s="64">
        <v>0</v>
      </c>
      <c r="P53" s="64">
        <v>0.92</v>
      </c>
      <c r="Q53" s="64">
        <v>9.9499999999999993</v>
      </c>
      <c r="R53" s="198"/>
      <c r="S53" s="198"/>
      <c r="T53" s="198"/>
      <c r="U53" s="198"/>
    </row>
    <row r="54" spans="1:21" s="12" customFormat="1" x14ac:dyDescent="0.25">
      <c r="A54" s="213" t="s">
        <v>1633</v>
      </c>
      <c r="B54" s="64">
        <v>26.56</v>
      </c>
      <c r="C54" s="64">
        <v>72.709999999999994</v>
      </c>
      <c r="D54" s="64">
        <v>57.91</v>
      </c>
      <c r="E54" s="64">
        <v>7.1</v>
      </c>
      <c r="F54" s="64">
        <v>2.13</v>
      </c>
      <c r="G54" s="64">
        <v>92.69</v>
      </c>
      <c r="H54" s="64">
        <v>38.17</v>
      </c>
      <c r="I54" s="210" t="s">
        <v>43</v>
      </c>
      <c r="J54" s="64">
        <v>0.75</v>
      </c>
      <c r="K54" s="64">
        <v>71.03</v>
      </c>
      <c r="L54" s="64">
        <v>26.6</v>
      </c>
      <c r="M54" s="64">
        <v>20.36</v>
      </c>
      <c r="N54" s="64">
        <v>919.6</v>
      </c>
      <c r="O54" s="64">
        <v>0</v>
      </c>
      <c r="P54" s="64">
        <v>0.89</v>
      </c>
      <c r="Q54" s="64">
        <v>9.91</v>
      </c>
      <c r="R54" s="198"/>
      <c r="S54" s="198"/>
      <c r="T54" s="198"/>
      <c r="U54" s="198"/>
    </row>
    <row r="55" spans="1:21" s="12" customFormat="1" x14ac:dyDescent="0.25">
      <c r="A55" s="213" t="s">
        <v>1634</v>
      </c>
      <c r="B55" s="64">
        <v>25.19</v>
      </c>
      <c r="C55" s="64">
        <v>72.63</v>
      </c>
      <c r="D55" s="64">
        <v>56.78</v>
      </c>
      <c r="E55" s="64">
        <v>6.57</v>
      </c>
      <c r="F55" s="64">
        <v>2.13</v>
      </c>
      <c r="G55" s="64">
        <v>92.69</v>
      </c>
      <c r="H55" s="64">
        <v>38.17</v>
      </c>
      <c r="I55" s="210" t="s">
        <v>43</v>
      </c>
      <c r="J55" s="64">
        <v>0.72</v>
      </c>
      <c r="K55" s="64">
        <v>66.2</v>
      </c>
      <c r="L55" s="64">
        <v>26.77</v>
      </c>
      <c r="M55" s="64">
        <v>19.55</v>
      </c>
      <c r="N55" s="64">
        <v>903.4</v>
      </c>
      <c r="O55" s="64">
        <v>0</v>
      </c>
      <c r="P55" s="64">
        <v>0.84</v>
      </c>
      <c r="Q55" s="64">
        <v>9.9</v>
      </c>
      <c r="R55" s="198"/>
      <c r="S55" s="198"/>
      <c r="T55" s="198"/>
      <c r="U55" s="198"/>
    </row>
    <row r="56" spans="1:21" s="12" customFormat="1" x14ac:dyDescent="0.25">
      <c r="A56" s="213" t="s">
        <v>1635</v>
      </c>
      <c r="B56" s="64">
        <v>23.99</v>
      </c>
      <c r="C56" s="64">
        <v>72.819999999999993</v>
      </c>
      <c r="D56" s="64">
        <v>55.91</v>
      </c>
      <c r="E56" s="64">
        <v>6.85</v>
      </c>
      <c r="F56" s="64">
        <v>2.13</v>
      </c>
      <c r="G56" s="64">
        <v>87.65</v>
      </c>
      <c r="H56" s="64">
        <v>35.76</v>
      </c>
      <c r="I56" s="210" t="s">
        <v>43</v>
      </c>
      <c r="J56" s="64">
        <v>0.84</v>
      </c>
      <c r="K56" s="64">
        <v>20.39</v>
      </c>
      <c r="L56" s="64">
        <v>28.04</v>
      </c>
      <c r="M56" s="64">
        <v>17.350000000000001</v>
      </c>
      <c r="N56" s="64">
        <v>885</v>
      </c>
      <c r="O56" s="64">
        <v>0</v>
      </c>
      <c r="P56" s="64">
        <v>0.8</v>
      </c>
      <c r="Q56" s="64">
        <v>9.8699999999999992</v>
      </c>
      <c r="R56" s="198"/>
      <c r="S56" s="198"/>
      <c r="T56" s="198"/>
      <c r="U56" s="198"/>
    </row>
    <row r="57" spans="1:21" s="12" customFormat="1" x14ac:dyDescent="0.25">
      <c r="A57" s="213" t="s">
        <v>1636</v>
      </c>
      <c r="B57" s="64">
        <v>22.8</v>
      </c>
      <c r="C57" s="64">
        <v>72.900000000000006</v>
      </c>
      <c r="D57" s="64">
        <v>54.99</v>
      </c>
      <c r="E57" s="64">
        <v>6.58</v>
      </c>
      <c r="F57" s="64">
        <v>2.13</v>
      </c>
      <c r="G57" s="64">
        <v>75.900000000000006</v>
      </c>
      <c r="H57" s="64">
        <v>30.43</v>
      </c>
      <c r="I57" s="210" t="s">
        <v>43</v>
      </c>
      <c r="J57" s="64">
        <v>0.95</v>
      </c>
      <c r="K57" s="64">
        <v>74.260000000000005</v>
      </c>
      <c r="L57" s="64">
        <v>27.41</v>
      </c>
      <c r="M57" s="64">
        <v>18.829999999999998</v>
      </c>
      <c r="N57" s="64">
        <v>869.5</v>
      </c>
      <c r="O57" s="64">
        <v>0</v>
      </c>
      <c r="P57" s="64">
        <v>0.83</v>
      </c>
      <c r="Q57" s="64">
        <v>9.84</v>
      </c>
      <c r="R57" s="198"/>
      <c r="S57" s="198"/>
      <c r="T57" s="198"/>
      <c r="U57" s="198"/>
    </row>
    <row r="58" spans="1:21" s="12" customFormat="1" x14ac:dyDescent="0.25">
      <c r="A58" s="213" t="s">
        <v>1637</v>
      </c>
      <c r="B58" s="64">
        <v>21.35</v>
      </c>
      <c r="C58" s="64">
        <v>72.650000000000006</v>
      </c>
      <c r="D58" s="64">
        <v>53.7</v>
      </c>
      <c r="E58" s="64">
        <v>6.68</v>
      </c>
      <c r="F58" s="64">
        <v>2.13</v>
      </c>
      <c r="G58" s="64">
        <v>75.900000000000006</v>
      </c>
      <c r="H58" s="64">
        <v>30.43</v>
      </c>
      <c r="I58" s="210" t="s">
        <v>43</v>
      </c>
      <c r="J58" s="64">
        <v>0.52</v>
      </c>
      <c r="K58" s="64">
        <v>6.54</v>
      </c>
      <c r="L58" s="64">
        <v>27.69</v>
      </c>
      <c r="M58" s="64">
        <v>17.79</v>
      </c>
      <c r="N58" s="64">
        <v>834.1</v>
      </c>
      <c r="O58" s="64">
        <v>0</v>
      </c>
      <c r="P58" s="64">
        <v>0.77</v>
      </c>
      <c r="Q58" s="64">
        <v>9.85</v>
      </c>
      <c r="R58" s="198"/>
      <c r="S58" s="198"/>
      <c r="T58" s="198"/>
      <c r="U58" s="198"/>
    </row>
    <row r="59" spans="1:21" s="12" customFormat="1" x14ac:dyDescent="0.25">
      <c r="A59" s="213" t="s">
        <v>1638</v>
      </c>
      <c r="B59" s="64">
        <v>19.73</v>
      </c>
      <c r="C59" s="64">
        <v>72.25</v>
      </c>
      <c r="D59" s="64">
        <v>52.19</v>
      </c>
      <c r="E59" s="64">
        <v>6.62</v>
      </c>
      <c r="F59" s="64">
        <v>2.13</v>
      </c>
      <c r="G59" s="64">
        <v>75.900000000000006</v>
      </c>
      <c r="H59" s="64">
        <v>30.43</v>
      </c>
      <c r="I59" s="210" t="s">
        <v>43</v>
      </c>
      <c r="J59" s="64">
        <v>0.61</v>
      </c>
      <c r="K59" s="64">
        <v>69.8</v>
      </c>
      <c r="L59" s="64">
        <v>28.54</v>
      </c>
      <c r="M59" s="64">
        <v>17.38</v>
      </c>
      <c r="N59" s="64">
        <v>802.5</v>
      </c>
      <c r="O59" s="64">
        <v>0</v>
      </c>
      <c r="P59" s="64">
        <v>0.79</v>
      </c>
      <c r="Q59" s="64">
        <v>9.85</v>
      </c>
      <c r="R59" s="198"/>
      <c r="S59" s="198"/>
      <c r="T59" s="198"/>
      <c r="U59" s="198"/>
    </row>
    <row r="60" spans="1:21" s="12" customFormat="1" x14ac:dyDescent="0.25">
      <c r="A60" s="213" t="s">
        <v>1639</v>
      </c>
      <c r="B60" s="64">
        <v>17.64</v>
      </c>
      <c r="C60" s="64">
        <v>71.92</v>
      </c>
      <c r="D60" s="64">
        <v>50.35</v>
      </c>
      <c r="E60" s="64">
        <v>7</v>
      </c>
      <c r="F60" s="64">
        <v>2.13</v>
      </c>
      <c r="G60" s="64">
        <v>72.069999999999993</v>
      </c>
      <c r="H60" s="64">
        <v>29.61</v>
      </c>
      <c r="I60" s="210" t="s">
        <v>43</v>
      </c>
      <c r="J60" s="64">
        <v>1.1599999999999999</v>
      </c>
      <c r="K60" s="64">
        <v>91</v>
      </c>
      <c r="L60" s="64">
        <v>26.71</v>
      </c>
      <c r="M60" s="64">
        <v>18.43</v>
      </c>
      <c r="N60" s="64">
        <v>801.9</v>
      </c>
      <c r="O60" s="64">
        <v>0</v>
      </c>
      <c r="P60" s="64">
        <v>0.79</v>
      </c>
      <c r="Q60" s="64">
        <v>9.85</v>
      </c>
      <c r="R60" s="198"/>
      <c r="S60" s="198"/>
      <c r="T60" s="198"/>
      <c r="U60" s="198"/>
    </row>
    <row r="61" spans="1:21" s="12" customFormat="1" x14ac:dyDescent="0.25">
      <c r="A61" s="213" t="s">
        <v>1640</v>
      </c>
      <c r="B61" s="64">
        <v>15.49</v>
      </c>
      <c r="C61" s="64">
        <v>71.349999999999994</v>
      </c>
      <c r="D61" s="64">
        <v>48.32</v>
      </c>
      <c r="E61" s="64">
        <v>6.33</v>
      </c>
      <c r="F61" s="64">
        <v>2.13</v>
      </c>
      <c r="G61" s="64">
        <v>63.58</v>
      </c>
      <c r="H61" s="64">
        <v>27.79</v>
      </c>
      <c r="I61" s="210" t="s">
        <v>43</v>
      </c>
      <c r="J61" s="64">
        <v>1.35</v>
      </c>
      <c r="K61" s="64">
        <v>5.1100000000000003</v>
      </c>
      <c r="L61" s="64">
        <v>28.16</v>
      </c>
      <c r="M61" s="64">
        <v>17.11</v>
      </c>
      <c r="N61" s="64">
        <v>776.8</v>
      </c>
      <c r="O61" s="64">
        <v>0</v>
      </c>
      <c r="P61" s="64">
        <v>0.74</v>
      </c>
      <c r="Q61" s="64">
        <v>9.8699999999999992</v>
      </c>
      <c r="R61" s="198"/>
      <c r="S61" s="198"/>
      <c r="T61" s="198"/>
      <c r="U61" s="198"/>
    </row>
    <row r="62" spans="1:21" s="12" customFormat="1" x14ac:dyDescent="0.25">
      <c r="A62" s="213" t="s">
        <v>1641</v>
      </c>
      <c r="B62" s="64">
        <v>13.88</v>
      </c>
      <c r="C62" s="64">
        <v>71.19</v>
      </c>
      <c r="D62" s="64">
        <v>46.94</v>
      </c>
      <c r="E62" s="64">
        <v>6.72</v>
      </c>
      <c r="F62" s="64">
        <v>2.13</v>
      </c>
      <c r="G62" s="64">
        <v>63.58</v>
      </c>
      <c r="H62" s="64">
        <v>27.79</v>
      </c>
      <c r="I62" s="210" t="s">
        <v>43</v>
      </c>
      <c r="J62" s="64">
        <v>0.89</v>
      </c>
      <c r="K62" s="64">
        <v>358.79</v>
      </c>
      <c r="L62" s="64">
        <v>29.48</v>
      </c>
      <c r="M62" s="64">
        <v>17.100000000000001</v>
      </c>
      <c r="N62" s="64">
        <v>790</v>
      </c>
      <c r="O62" s="64">
        <v>0</v>
      </c>
      <c r="P62" s="64">
        <v>0.75</v>
      </c>
      <c r="Q62" s="64">
        <v>9.86</v>
      </c>
      <c r="R62" s="198"/>
      <c r="S62" s="198"/>
      <c r="T62" s="198"/>
      <c r="U62" s="198"/>
    </row>
    <row r="63" spans="1:21" s="12" customFormat="1" x14ac:dyDescent="0.25">
      <c r="A63" s="213" t="s">
        <v>1642</v>
      </c>
      <c r="B63" s="64">
        <v>12.15</v>
      </c>
      <c r="C63" s="64">
        <v>71</v>
      </c>
      <c r="D63" s="64">
        <v>45.46</v>
      </c>
      <c r="E63" s="64">
        <v>6.75</v>
      </c>
      <c r="F63" s="64">
        <v>2.13</v>
      </c>
      <c r="G63" s="64">
        <v>63.58</v>
      </c>
      <c r="H63" s="64">
        <v>27.79</v>
      </c>
      <c r="I63" s="210" t="s">
        <v>43</v>
      </c>
      <c r="J63" s="64">
        <v>0.86</v>
      </c>
      <c r="K63" s="64">
        <v>319.56</v>
      </c>
      <c r="L63" s="64">
        <v>28.66</v>
      </c>
      <c r="M63" s="64">
        <v>17.88</v>
      </c>
      <c r="N63" s="64">
        <v>715.7</v>
      </c>
      <c r="O63" s="64">
        <v>0</v>
      </c>
      <c r="P63" s="64">
        <v>0.73</v>
      </c>
      <c r="Q63" s="64">
        <v>9.86</v>
      </c>
      <c r="R63" s="198"/>
      <c r="S63" s="198"/>
      <c r="T63" s="198"/>
      <c r="U63" s="198"/>
    </row>
    <row r="64" spans="1:21" s="12" customFormat="1" x14ac:dyDescent="0.25">
      <c r="A64" s="213" t="s">
        <v>1643</v>
      </c>
      <c r="B64" s="64">
        <v>10.44</v>
      </c>
      <c r="C64" s="64">
        <v>70.8</v>
      </c>
      <c r="D64" s="64">
        <v>43.98</v>
      </c>
      <c r="E64" s="64">
        <v>6.47</v>
      </c>
      <c r="F64" s="64">
        <v>2.13</v>
      </c>
      <c r="G64" s="64">
        <v>63.51</v>
      </c>
      <c r="H64" s="64">
        <v>26.66</v>
      </c>
      <c r="I64" s="210" t="s">
        <v>43</v>
      </c>
      <c r="J64" s="64">
        <v>2.17</v>
      </c>
      <c r="K64" s="64">
        <v>342.16</v>
      </c>
      <c r="L64" s="64">
        <v>29.96</v>
      </c>
      <c r="M64" s="64">
        <v>14.84</v>
      </c>
      <c r="N64" s="64">
        <v>677.3</v>
      </c>
      <c r="O64" s="64">
        <v>0</v>
      </c>
      <c r="P64" s="64">
        <v>0.7</v>
      </c>
      <c r="Q64" s="64">
        <v>9.85</v>
      </c>
      <c r="R64" s="198"/>
      <c r="S64" s="198"/>
      <c r="T64" s="198"/>
      <c r="U64" s="198"/>
    </row>
    <row r="65" spans="1:21" s="12" customFormat="1" x14ac:dyDescent="0.25">
      <c r="A65" s="213" t="s">
        <v>1644</v>
      </c>
      <c r="B65" s="64">
        <v>9.6999999999999993</v>
      </c>
      <c r="C65" s="64">
        <v>69.83</v>
      </c>
      <c r="D65" s="64">
        <v>42.89</v>
      </c>
      <c r="E65" s="64">
        <v>5.93</v>
      </c>
      <c r="F65" s="64">
        <v>2.13</v>
      </c>
      <c r="G65" s="64">
        <v>63.35</v>
      </c>
      <c r="H65" s="64">
        <v>24.16</v>
      </c>
      <c r="I65" s="210" t="s">
        <v>43</v>
      </c>
      <c r="J65" s="64">
        <v>2.17</v>
      </c>
      <c r="K65" s="64">
        <v>352.59</v>
      </c>
      <c r="L65" s="64">
        <v>30.18</v>
      </c>
      <c r="M65" s="64">
        <v>14.43</v>
      </c>
      <c r="N65" s="64">
        <v>731.1</v>
      </c>
      <c r="O65" s="64">
        <v>0</v>
      </c>
      <c r="P65" s="64">
        <v>0.68</v>
      </c>
      <c r="Q65" s="64">
        <v>9.85</v>
      </c>
      <c r="R65" s="198"/>
      <c r="S65" s="198"/>
      <c r="T65" s="198"/>
      <c r="U65" s="198"/>
    </row>
    <row r="66" spans="1:21" s="12" customFormat="1" x14ac:dyDescent="0.25">
      <c r="A66" s="213" t="s">
        <v>1645</v>
      </c>
      <c r="B66" s="64">
        <v>9.65</v>
      </c>
      <c r="C66" s="64">
        <v>68.5</v>
      </c>
      <c r="D66" s="64">
        <v>42.15</v>
      </c>
      <c r="E66" s="64">
        <v>6</v>
      </c>
      <c r="F66" s="64">
        <v>2.13</v>
      </c>
      <c r="G66" s="64">
        <v>63.35</v>
      </c>
      <c r="H66" s="64">
        <v>24.16</v>
      </c>
      <c r="I66" s="210" t="s">
        <v>43</v>
      </c>
      <c r="J66" s="64">
        <v>1.71</v>
      </c>
      <c r="K66" s="64">
        <v>347.47</v>
      </c>
      <c r="L66" s="64">
        <v>30.44</v>
      </c>
      <c r="M66" s="64">
        <v>13.82</v>
      </c>
      <c r="N66" s="64">
        <v>729.2</v>
      </c>
      <c r="O66" s="64">
        <v>0</v>
      </c>
      <c r="P66" s="64">
        <v>0.65</v>
      </c>
      <c r="Q66" s="64">
        <v>9.82</v>
      </c>
      <c r="R66" s="198"/>
      <c r="S66" s="198"/>
      <c r="T66" s="198"/>
      <c r="U66" s="198"/>
    </row>
    <row r="67" spans="1:21" s="12" customFormat="1" x14ac:dyDescent="0.25">
      <c r="A67" s="213" t="s">
        <v>1646</v>
      </c>
      <c r="B67" s="64">
        <v>9.8000000000000007</v>
      </c>
      <c r="C67" s="64">
        <v>67.209999999999994</v>
      </c>
      <c r="D67" s="64">
        <v>41.6</v>
      </c>
      <c r="E67" s="64">
        <v>5.88</v>
      </c>
      <c r="F67" s="64">
        <v>2.13</v>
      </c>
      <c r="G67" s="64">
        <v>63.35</v>
      </c>
      <c r="H67" s="64">
        <v>24.16</v>
      </c>
      <c r="I67" s="210" t="s">
        <v>43</v>
      </c>
      <c r="J67" s="64">
        <v>1.53</v>
      </c>
      <c r="K67" s="64">
        <v>352.44</v>
      </c>
      <c r="L67" s="64">
        <v>30.07</v>
      </c>
      <c r="M67" s="64">
        <v>14.32</v>
      </c>
      <c r="N67" s="64">
        <v>482.2</v>
      </c>
      <c r="O67" s="64">
        <v>0</v>
      </c>
      <c r="P67" s="64">
        <v>0.65</v>
      </c>
      <c r="Q67" s="64">
        <v>9.81</v>
      </c>
      <c r="R67" s="198"/>
      <c r="S67" s="198"/>
      <c r="T67" s="198"/>
      <c r="U67" s="198"/>
    </row>
    <row r="68" spans="1:21" s="12" customFormat="1" x14ac:dyDescent="0.25">
      <c r="A68" s="213" t="s">
        <v>1647</v>
      </c>
      <c r="B68" s="64">
        <v>9.94</v>
      </c>
      <c r="C68" s="64">
        <v>65.95</v>
      </c>
      <c r="D68" s="64">
        <v>41.06</v>
      </c>
      <c r="E68" s="64">
        <v>5.44</v>
      </c>
      <c r="F68" s="64">
        <v>2.13</v>
      </c>
      <c r="G68" s="64">
        <v>59.31</v>
      </c>
      <c r="H68" s="64">
        <v>22.7</v>
      </c>
      <c r="I68" s="210" t="s">
        <v>43</v>
      </c>
      <c r="J68" s="64">
        <v>1.18</v>
      </c>
      <c r="K68" s="64">
        <v>353.68</v>
      </c>
      <c r="L68" s="64">
        <v>28.96</v>
      </c>
      <c r="M68" s="64">
        <v>15.43</v>
      </c>
      <c r="N68" s="64">
        <v>379.1</v>
      </c>
      <c r="O68" s="64">
        <v>0</v>
      </c>
      <c r="P68" s="64">
        <v>0.63</v>
      </c>
      <c r="Q68" s="64">
        <v>9.81</v>
      </c>
      <c r="R68" s="198"/>
      <c r="S68" s="198"/>
      <c r="T68" s="198"/>
      <c r="U68" s="198"/>
    </row>
    <row r="69" spans="1:21" s="12" customFormat="1" x14ac:dyDescent="0.25">
      <c r="A69" s="213" t="s">
        <v>1648</v>
      </c>
      <c r="B69" s="64">
        <v>10.32</v>
      </c>
      <c r="C69" s="64">
        <v>65.2</v>
      </c>
      <c r="D69" s="64">
        <v>40.96</v>
      </c>
      <c r="E69" s="64">
        <v>5.5</v>
      </c>
      <c r="F69" s="64">
        <v>2.14</v>
      </c>
      <c r="G69" s="64">
        <v>50.36</v>
      </c>
      <c r="H69" s="64">
        <v>19.45</v>
      </c>
      <c r="I69" s="210" t="s">
        <v>43</v>
      </c>
      <c r="J69" s="64">
        <v>1.64</v>
      </c>
      <c r="K69" s="64">
        <v>353.09</v>
      </c>
      <c r="L69" s="64">
        <v>29.07</v>
      </c>
      <c r="M69" s="64">
        <v>15.12</v>
      </c>
      <c r="N69" s="64">
        <v>417.7</v>
      </c>
      <c r="O69" s="64">
        <v>0</v>
      </c>
      <c r="P69" s="64">
        <v>0.55000000000000004</v>
      </c>
      <c r="Q69" s="64">
        <v>9.82</v>
      </c>
      <c r="R69" s="198"/>
      <c r="S69" s="198"/>
      <c r="T69" s="198"/>
      <c r="U69" s="198"/>
    </row>
    <row r="70" spans="1:21" s="12" customFormat="1" x14ac:dyDescent="0.25">
      <c r="A70" s="213" t="s">
        <v>1649</v>
      </c>
      <c r="B70" s="64">
        <v>10.6</v>
      </c>
      <c r="C70" s="64">
        <v>64.319999999999993</v>
      </c>
      <c r="D70" s="64">
        <v>40.729999999999997</v>
      </c>
      <c r="E70" s="64">
        <v>5.09</v>
      </c>
      <c r="F70" s="64">
        <v>2.13</v>
      </c>
      <c r="G70" s="64">
        <v>50.36</v>
      </c>
      <c r="H70" s="64">
        <v>19.45</v>
      </c>
      <c r="I70" s="210" t="s">
        <v>43</v>
      </c>
      <c r="J70" s="64">
        <v>0.81</v>
      </c>
      <c r="K70" s="64">
        <v>82.48</v>
      </c>
      <c r="L70" s="64">
        <v>27.44</v>
      </c>
      <c r="M70" s="64">
        <v>15.99</v>
      </c>
      <c r="N70" s="64">
        <v>422.8</v>
      </c>
      <c r="O70" s="64">
        <v>0</v>
      </c>
      <c r="P70" s="64">
        <v>0.55000000000000004</v>
      </c>
      <c r="Q70" s="64">
        <v>9.8000000000000007</v>
      </c>
      <c r="R70" s="198"/>
      <c r="S70" s="198"/>
      <c r="T70" s="198"/>
      <c r="U70" s="198"/>
    </row>
    <row r="71" spans="1:21" s="12" customFormat="1" x14ac:dyDescent="0.25">
      <c r="A71" s="213" t="s">
        <v>1650</v>
      </c>
      <c r="B71" s="64">
        <v>10.92</v>
      </c>
      <c r="C71" s="64">
        <v>63.46</v>
      </c>
      <c r="D71" s="64">
        <v>40.54</v>
      </c>
      <c r="E71" s="64">
        <v>4.7699999999999996</v>
      </c>
      <c r="F71" s="64">
        <v>2.13</v>
      </c>
      <c r="G71" s="64">
        <v>50.36</v>
      </c>
      <c r="H71" s="64">
        <v>19.45</v>
      </c>
      <c r="I71" s="210" t="s">
        <v>43</v>
      </c>
      <c r="J71" s="64">
        <v>0.48</v>
      </c>
      <c r="K71" s="64">
        <v>42.96</v>
      </c>
      <c r="L71" s="64">
        <v>26.85</v>
      </c>
      <c r="M71" s="64">
        <v>16.84</v>
      </c>
      <c r="N71" s="64">
        <v>293.10000000000002</v>
      </c>
      <c r="O71" s="64">
        <v>0</v>
      </c>
      <c r="P71" s="64">
        <v>0.51</v>
      </c>
      <c r="Q71" s="64">
        <v>9.7799999999999994</v>
      </c>
      <c r="R71" s="198"/>
      <c r="S71" s="198"/>
      <c r="T71" s="198"/>
      <c r="U71" s="198"/>
    </row>
    <row r="72" spans="1:21" s="12" customFormat="1" x14ac:dyDescent="0.25">
      <c r="A72" s="213" t="s">
        <v>1651</v>
      </c>
      <c r="B72" s="64">
        <v>10.83</v>
      </c>
      <c r="C72" s="64">
        <v>62.66</v>
      </c>
      <c r="D72" s="64">
        <v>40.04</v>
      </c>
      <c r="E72" s="64">
        <v>5.43</v>
      </c>
      <c r="F72" s="64">
        <v>2.13</v>
      </c>
      <c r="G72" s="64">
        <v>45.85</v>
      </c>
      <c r="H72" s="64">
        <v>18.55</v>
      </c>
      <c r="I72" s="210" t="s">
        <v>43</v>
      </c>
      <c r="J72" s="64">
        <v>0.67</v>
      </c>
      <c r="K72" s="64">
        <v>352.68</v>
      </c>
      <c r="L72" s="64">
        <v>26.66</v>
      </c>
      <c r="M72" s="64">
        <v>17.559999999999999</v>
      </c>
      <c r="N72" s="64">
        <v>160.1</v>
      </c>
      <c r="O72" s="64">
        <v>0</v>
      </c>
      <c r="P72" s="64">
        <v>0.52</v>
      </c>
      <c r="Q72" s="64">
        <v>9.7799999999999994</v>
      </c>
      <c r="R72" s="198"/>
      <c r="S72" s="198"/>
      <c r="T72" s="198"/>
      <c r="U72" s="198"/>
    </row>
    <row r="73" spans="1:21" s="12" customFormat="1" x14ac:dyDescent="0.25">
      <c r="A73" s="213" t="s">
        <v>1652</v>
      </c>
      <c r="B73" s="64">
        <v>11</v>
      </c>
      <c r="C73" s="64">
        <v>62.25</v>
      </c>
      <c r="D73" s="64">
        <v>39.97</v>
      </c>
      <c r="E73" s="64">
        <v>5.67</v>
      </c>
      <c r="F73" s="64">
        <v>2.13</v>
      </c>
      <c r="G73" s="64">
        <v>35.89</v>
      </c>
      <c r="H73" s="64">
        <v>16.559999999999999</v>
      </c>
      <c r="I73" s="210" t="s">
        <v>43</v>
      </c>
      <c r="J73" s="64">
        <v>1.46</v>
      </c>
      <c r="K73" s="64">
        <v>336.5</v>
      </c>
      <c r="L73" s="64">
        <v>26.9</v>
      </c>
      <c r="M73" s="64">
        <v>18.2</v>
      </c>
      <c r="N73" s="64">
        <v>138.30000000000001</v>
      </c>
      <c r="O73" s="64">
        <v>0</v>
      </c>
      <c r="P73" s="64">
        <v>0.54</v>
      </c>
      <c r="Q73" s="64">
        <v>9.76</v>
      </c>
      <c r="R73" s="198"/>
      <c r="S73" s="198"/>
      <c r="T73" s="198"/>
      <c r="U73" s="198"/>
    </row>
    <row r="74" spans="1:21" s="12" customFormat="1" x14ac:dyDescent="0.25">
      <c r="A74" s="213" t="s">
        <v>1653</v>
      </c>
      <c r="B74" s="64">
        <v>11.11</v>
      </c>
      <c r="C74" s="64">
        <v>61.93</v>
      </c>
      <c r="D74" s="64">
        <v>39.89</v>
      </c>
      <c r="E74" s="64">
        <v>5.81</v>
      </c>
      <c r="F74" s="64">
        <v>2.13</v>
      </c>
      <c r="G74" s="64">
        <v>35.89</v>
      </c>
      <c r="H74" s="64">
        <v>16.559999999999999</v>
      </c>
      <c r="I74" s="210" t="s">
        <v>43</v>
      </c>
      <c r="J74" s="64">
        <v>1.61</v>
      </c>
      <c r="K74" s="64">
        <v>355.77</v>
      </c>
      <c r="L74" s="64">
        <v>26.43</v>
      </c>
      <c r="M74" s="64">
        <v>18.95</v>
      </c>
      <c r="N74" s="64">
        <v>138.1</v>
      </c>
      <c r="O74" s="64">
        <v>0</v>
      </c>
      <c r="P74" s="64">
        <v>0.52</v>
      </c>
      <c r="Q74" s="64">
        <v>9.7799999999999994</v>
      </c>
      <c r="R74" s="198"/>
      <c r="S74" s="198"/>
      <c r="T74" s="198"/>
      <c r="U74" s="198"/>
    </row>
    <row r="75" spans="1:21" s="12" customFormat="1" x14ac:dyDescent="0.25">
      <c r="A75" s="213" t="s">
        <v>1654</v>
      </c>
      <c r="B75" s="64">
        <v>11.02</v>
      </c>
      <c r="C75" s="64">
        <v>61.91</v>
      </c>
      <c r="D75" s="64">
        <v>39.81</v>
      </c>
      <c r="E75" s="64">
        <v>5.85</v>
      </c>
      <c r="F75" s="64">
        <v>2.13</v>
      </c>
      <c r="G75" s="64">
        <v>35.89</v>
      </c>
      <c r="H75" s="64">
        <v>16.559999999999999</v>
      </c>
      <c r="I75" s="210" t="s">
        <v>43</v>
      </c>
      <c r="J75" s="64">
        <v>1.56</v>
      </c>
      <c r="K75" s="64">
        <v>336.11</v>
      </c>
      <c r="L75" s="64">
        <v>25.94</v>
      </c>
      <c r="M75" s="64">
        <v>20.63</v>
      </c>
      <c r="N75" s="64">
        <v>117.1</v>
      </c>
      <c r="O75" s="64">
        <v>0</v>
      </c>
      <c r="P75" s="64">
        <v>0.54</v>
      </c>
      <c r="Q75" s="64">
        <v>9.77</v>
      </c>
      <c r="R75" s="198"/>
      <c r="S75" s="198"/>
      <c r="T75" s="198"/>
      <c r="U75" s="198"/>
    </row>
    <row r="76" spans="1:21" s="12" customFormat="1" x14ac:dyDescent="0.25">
      <c r="A76" s="213" t="s">
        <v>1655</v>
      </c>
      <c r="B76" s="64">
        <v>11.06</v>
      </c>
      <c r="C76" s="64">
        <v>61.56</v>
      </c>
      <c r="D76" s="64">
        <v>39.659999999999997</v>
      </c>
      <c r="E76" s="64">
        <v>5.26</v>
      </c>
      <c r="F76" s="64">
        <v>2.13</v>
      </c>
      <c r="G76" s="64">
        <v>41.58</v>
      </c>
      <c r="H76" s="64">
        <v>16.3</v>
      </c>
      <c r="I76" s="210" t="s">
        <v>43</v>
      </c>
      <c r="J76" s="64">
        <v>1.48</v>
      </c>
      <c r="K76" s="64">
        <v>348</v>
      </c>
      <c r="L76" s="64">
        <v>25.63</v>
      </c>
      <c r="M76" s="64">
        <v>20.96</v>
      </c>
      <c r="N76" s="64">
        <v>108.8</v>
      </c>
      <c r="O76" s="64">
        <v>0</v>
      </c>
      <c r="P76" s="64">
        <v>0.53</v>
      </c>
      <c r="Q76" s="64">
        <v>9.76</v>
      </c>
      <c r="R76" s="198"/>
      <c r="S76" s="198"/>
      <c r="T76" s="198"/>
      <c r="U76" s="198"/>
    </row>
    <row r="77" spans="1:21" s="12" customFormat="1" x14ac:dyDescent="0.25">
      <c r="A77" s="213" t="s">
        <v>1656</v>
      </c>
      <c r="B77" s="64">
        <v>11.6</v>
      </c>
      <c r="C77" s="64">
        <v>61.79</v>
      </c>
      <c r="D77" s="64">
        <v>40.21</v>
      </c>
      <c r="E77" s="64">
        <v>5.6</v>
      </c>
      <c r="F77" s="64">
        <v>2.13</v>
      </c>
      <c r="G77" s="64">
        <v>54.86</v>
      </c>
      <c r="H77" s="64">
        <v>15.73</v>
      </c>
      <c r="I77" s="210" t="s">
        <v>43</v>
      </c>
      <c r="J77" s="64">
        <v>1.1000000000000001</v>
      </c>
      <c r="K77" s="64">
        <v>345.62</v>
      </c>
      <c r="L77" s="64">
        <v>25.11</v>
      </c>
      <c r="M77" s="64">
        <v>23.76</v>
      </c>
      <c r="N77" s="64">
        <v>100.4</v>
      </c>
      <c r="O77" s="64">
        <v>0</v>
      </c>
      <c r="P77" s="64">
        <v>0.6</v>
      </c>
      <c r="Q77" s="64">
        <v>9.75</v>
      </c>
      <c r="R77" s="198"/>
      <c r="S77" s="198"/>
      <c r="T77" s="198"/>
      <c r="U77" s="198"/>
    </row>
    <row r="78" spans="1:21" s="12" customFormat="1" x14ac:dyDescent="0.25">
      <c r="A78" s="213" t="s">
        <v>1657</v>
      </c>
      <c r="B78" s="64">
        <v>12.72</v>
      </c>
      <c r="C78" s="64">
        <v>62.61</v>
      </c>
      <c r="D78" s="64">
        <v>41.53</v>
      </c>
      <c r="E78" s="64">
        <v>5.74</v>
      </c>
      <c r="F78" s="64">
        <v>2.13</v>
      </c>
      <c r="G78" s="64">
        <v>54.86</v>
      </c>
      <c r="H78" s="64">
        <v>15.73</v>
      </c>
      <c r="I78" s="210" t="s">
        <v>43</v>
      </c>
      <c r="J78" s="64">
        <v>0.78</v>
      </c>
      <c r="K78" s="64">
        <v>320.97000000000003</v>
      </c>
      <c r="L78" s="64">
        <v>24.52</v>
      </c>
      <c r="M78" s="64">
        <v>22.61</v>
      </c>
      <c r="N78" s="64">
        <v>90.9</v>
      </c>
      <c r="O78" s="64">
        <v>0</v>
      </c>
      <c r="P78" s="64">
        <v>0.72</v>
      </c>
      <c r="Q78" s="64">
        <v>9.77</v>
      </c>
      <c r="R78" s="198"/>
      <c r="S78" s="198"/>
      <c r="T78" s="198"/>
      <c r="U78" s="198"/>
    </row>
    <row r="79" spans="1:21" s="12" customFormat="1" x14ac:dyDescent="0.25">
      <c r="A79" s="213" t="s">
        <v>1658</v>
      </c>
      <c r="B79" s="64">
        <v>13.55</v>
      </c>
      <c r="C79" s="64">
        <v>63.97</v>
      </c>
      <c r="D79" s="64">
        <v>42.91</v>
      </c>
      <c r="E79" s="64">
        <v>5.7</v>
      </c>
      <c r="F79" s="64">
        <v>2.13</v>
      </c>
      <c r="G79" s="64">
        <v>54.86</v>
      </c>
      <c r="H79" s="64">
        <v>15.73</v>
      </c>
      <c r="I79" s="210" t="s">
        <v>43</v>
      </c>
      <c r="J79" s="64">
        <v>0.25</v>
      </c>
      <c r="K79" s="64">
        <v>351.86</v>
      </c>
      <c r="L79" s="64">
        <v>23.73</v>
      </c>
      <c r="M79" s="64">
        <v>26.19</v>
      </c>
      <c r="N79" s="64">
        <v>80.599999999999994</v>
      </c>
      <c r="O79" s="64">
        <v>0</v>
      </c>
      <c r="P79" s="64">
        <v>0.69</v>
      </c>
      <c r="Q79" s="64">
        <v>9.81</v>
      </c>
      <c r="R79" s="198"/>
      <c r="S79" s="198"/>
      <c r="T79" s="198"/>
      <c r="U79" s="198"/>
    </row>
    <row r="80" spans="1:21" s="12" customFormat="1" x14ac:dyDescent="0.25">
      <c r="A80" s="213" t="s">
        <v>1659</v>
      </c>
      <c r="B80" s="64">
        <v>15.22</v>
      </c>
      <c r="C80" s="64">
        <v>65.27</v>
      </c>
      <c r="D80" s="64">
        <v>44.93</v>
      </c>
      <c r="E80" s="64">
        <v>5.57</v>
      </c>
      <c r="F80" s="64">
        <v>2.13</v>
      </c>
      <c r="G80" s="64">
        <v>54.21</v>
      </c>
      <c r="H80" s="64">
        <v>15.74</v>
      </c>
      <c r="I80" s="210" t="s">
        <v>43</v>
      </c>
      <c r="J80" s="64">
        <v>0.7</v>
      </c>
      <c r="K80" s="64">
        <v>224.46</v>
      </c>
      <c r="L80" s="64">
        <v>22.97</v>
      </c>
      <c r="M80" s="64">
        <v>27.75</v>
      </c>
      <c r="N80" s="64">
        <v>71</v>
      </c>
      <c r="O80" s="64">
        <v>0</v>
      </c>
      <c r="P80" s="64">
        <v>0.79</v>
      </c>
      <c r="Q80" s="64">
        <v>9.7899999999999991</v>
      </c>
      <c r="R80" s="198"/>
      <c r="S80" s="198"/>
      <c r="T80" s="198"/>
      <c r="U80" s="198"/>
    </row>
    <row r="81" spans="1:26" s="12" customFormat="1" x14ac:dyDescent="0.25">
      <c r="A81" s="213" t="s">
        <v>1660</v>
      </c>
      <c r="B81" s="64">
        <v>16.91</v>
      </c>
      <c r="C81" s="64">
        <v>66.66</v>
      </c>
      <c r="D81" s="64">
        <v>47.02</v>
      </c>
      <c r="E81" s="64">
        <v>6.07</v>
      </c>
      <c r="F81" s="64">
        <v>2.13</v>
      </c>
      <c r="G81" s="64">
        <v>52.78</v>
      </c>
      <c r="H81" s="64">
        <v>15.75</v>
      </c>
      <c r="I81" s="210" t="s">
        <v>43</v>
      </c>
      <c r="J81" s="64">
        <v>0.22</v>
      </c>
      <c r="K81" s="64">
        <v>278.04000000000002</v>
      </c>
      <c r="L81" s="64">
        <v>22.36</v>
      </c>
      <c r="M81" s="64">
        <v>30.31</v>
      </c>
      <c r="N81" s="64">
        <v>67.099999999999994</v>
      </c>
      <c r="O81" s="64">
        <v>0</v>
      </c>
      <c r="P81" s="64">
        <v>0.88</v>
      </c>
      <c r="Q81" s="64">
        <v>9.8000000000000007</v>
      </c>
      <c r="R81" s="198"/>
      <c r="S81" s="198"/>
      <c r="T81" s="198"/>
      <c r="U81" s="198"/>
    </row>
    <row r="82" spans="1:26" s="12" customFormat="1" x14ac:dyDescent="0.25">
      <c r="A82" s="213" t="s">
        <v>1661</v>
      </c>
      <c r="B82" s="64">
        <v>21.1</v>
      </c>
      <c r="C82" s="64">
        <v>68.19</v>
      </c>
      <c r="D82" s="64">
        <v>51.17</v>
      </c>
      <c r="E82" s="64">
        <v>7.01</v>
      </c>
      <c r="F82" s="64">
        <v>2.13</v>
      </c>
      <c r="G82" s="64">
        <v>52.78</v>
      </c>
      <c r="H82" s="64">
        <v>15.75</v>
      </c>
      <c r="I82" s="210" t="s">
        <v>43</v>
      </c>
      <c r="J82" s="64">
        <v>0.6</v>
      </c>
      <c r="K82" s="64">
        <v>315.11</v>
      </c>
      <c r="L82" s="64">
        <v>21.28</v>
      </c>
      <c r="M82" s="64">
        <v>36.11</v>
      </c>
      <c r="N82" s="64">
        <v>66.900000000000006</v>
      </c>
      <c r="O82" s="64">
        <v>0</v>
      </c>
      <c r="P82" s="64">
        <v>0.84</v>
      </c>
      <c r="Q82" s="64">
        <v>9.77</v>
      </c>
      <c r="R82" s="198"/>
      <c r="S82" s="198"/>
      <c r="T82" s="198"/>
      <c r="U82" s="198"/>
    </row>
    <row r="83" spans="1:26" s="12" customFormat="1" x14ac:dyDescent="0.25">
      <c r="A83" s="213" t="s">
        <v>1662</v>
      </c>
      <c r="B83" s="64">
        <v>28.89</v>
      </c>
      <c r="C83" s="64">
        <v>69.88</v>
      </c>
      <c r="D83" s="64">
        <v>58.3</v>
      </c>
      <c r="E83" s="64">
        <v>7.58</v>
      </c>
      <c r="F83" s="64">
        <v>2.13</v>
      </c>
      <c r="G83" s="64">
        <v>52.78</v>
      </c>
      <c r="H83" s="64">
        <v>15.75</v>
      </c>
      <c r="I83" s="210" t="s">
        <v>43</v>
      </c>
      <c r="J83" s="64">
        <v>0.46</v>
      </c>
      <c r="K83" s="64">
        <v>256.31</v>
      </c>
      <c r="L83" s="64">
        <v>20.77</v>
      </c>
      <c r="M83" s="64">
        <v>36.409999999999997</v>
      </c>
      <c r="N83" s="64">
        <v>66.2</v>
      </c>
      <c r="O83" s="64">
        <v>0</v>
      </c>
      <c r="P83" s="64">
        <v>0.83</v>
      </c>
      <c r="Q83" s="64">
        <v>9.74</v>
      </c>
      <c r="R83" s="198"/>
      <c r="S83" s="198"/>
      <c r="T83" s="198"/>
      <c r="U83" s="198"/>
    </row>
    <row r="84" spans="1:26" s="12" customFormat="1" x14ac:dyDescent="0.25">
      <c r="A84" s="213" t="s">
        <v>1663</v>
      </c>
      <c r="B84" s="64">
        <v>38.28</v>
      </c>
      <c r="C84" s="64">
        <v>71.59</v>
      </c>
      <c r="D84" s="64">
        <v>66.73</v>
      </c>
      <c r="E84" s="64">
        <v>7.95</v>
      </c>
      <c r="F84" s="64">
        <v>2.13</v>
      </c>
      <c r="G84" s="64">
        <v>78.819999999999993</v>
      </c>
      <c r="H84" s="64">
        <v>16.82</v>
      </c>
      <c r="I84" s="210" t="s">
        <v>43</v>
      </c>
      <c r="J84" s="64">
        <v>0.15</v>
      </c>
      <c r="K84" s="64">
        <v>171.76</v>
      </c>
      <c r="L84" s="64">
        <v>20.170000000000002</v>
      </c>
      <c r="M84" s="64">
        <v>39.79</v>
      </c>
      <c r="N84" s="64">
        <v>65.8</v>
      </c>
      <c r="O84" s="64">
        <v>0</v>
      </c>
      <c r="P84" s="64">
        <v>1.17</v>
      </c>
      <c r="Q84" s="64">
        <v>9.74</v>
      </c>
      <c r="R84" s="198"/>
      <c r="S84" s="198"/>
      <c r="T84" s="198"/>
      <c r="U84" s="198"/>
    </row>
    <row r="85" spans="1:26" s="12" customFormat="1" x14ac:dyDescent="0.25">
      <c r="A85" s="213" t="s">
        <v>1664</v>
      </c>
      <c r="B85" s="64">
        <v>47.83</v>
      </c>
      <c r="C85" s="64">
        <v>72.78</v>
      </c>
      <c r="D85" s="64">
        <v>75</v>
      </c>
      <c r="E85" s="64">
        <v>8.41</v>
      </c>
      <c r="F85" s="64">
        <v>2.13</v>
      </c>
      <c r="G85" s="64">
        <v>136.49</v>
      </c>
      <c r="H85" s="64">
        <v>19.170000000000002</v>
      </c>
      <c r="I85" s="210" t="s">
        <v>43</v>
      </c>
      <c r="J85" s="64">
        <v>0.46</v>
      </c>
      <c r="K85" s="64">
        <v>312.06</v>
      </c>
      <c r="L85" s="64">
        <v>20.25</v>
      </c>
      <c r="M85" s="64">
        <v>39.83</v>
      </c>
      <c r="N85" s="64">
        <v>66.400000000000006</v>
      </c>
      <c r="O85" s="64">
        <v>0</v>
      </c>
      <c r="P85" s="64">
        <v>1.1499999999999999</v>
      </c>
      <c r="Q85" s="64">
        <v>9.7899999999999991</v>
      </c>
      <c r="R85" s="198"/>
      <c r="S85" s="198"/>
      <c r="T85" s="198"/>
      <c r="U85" s="198"/>
    </row>
    <row r="86" spans="1:26" s="12" customFormat="1" x14ac:dyDescent="0.25">
      <c r="A86" s="213" t="s">
        <v>1665</v>
      </c>
      <c r="B86" s="64">
        <v>56.92</v>
      </c>
      <c r="C86" s="64">
        <v>73.47</v>
      </c>
      <c r="D86" s="64">
        <v>82.66</v>
      </c>
      <c r="E86" s="64">
        <v>8.69</v>
      </c>
      <c r="F86" s="64">
        <v>2.13</v>
      </c>
      <c r="G86" s="64">
        <v>136.49</v>
      </c>
      <c r="H86" s="64">
        <v>19.170000000000002</v>
      </c>
      <c r="I86" s="210" t="s">
        <v>43</v>
      </c>
      <c r="J86" s="64">
        <v>0.53</v>
      </c>
      <c r="K86" s="64">
        <v>246.26</v>
      </c>
      <c r="L86" s="64">
        <v>19.41</v>
      </c>
      <c r="M86" s="64">
        <v>41.02</v>
      </c>
      <c r="N86" s="64">
        <v>66.3</v>
      </c>
      <c r="O86" s="64">
        <v>0</v>
      </c>
      <c r="P86" s="64">
        <v>1.1399999999999999</v>
      </c>
      <c r="Q86" s="64">
        <v>9.82</v>
      </c>
      <c r="R86" s="198"/>
      <c r="S86" s="198"/>
      <c r="T86" s="198"/>
      <c r="U86" s="198"/>
    </row>
    <row r="87" spans="1:26" s="12" customFormat="1" x14ac:dyDescent="0.25">
      <c r="A87" s="213" t="s">
        <v>1666</v>
      </c>
      <c r="B87" s="64">
        <v>63.87</v>
      </c>
      <c r="C87" s="64">
        <v>73.31</v>
      </c>
      <c r="D87" s="64">
        <v>88.14</v>
      </c>
      <c r="E87" s="64">
        <v>8.43</v>
      </c>
      <c r="F87" s="64">
        <v>2.13</v>
      </c>
      <c r="G87" s="64">
        <v>136.49</v>
      </c>
      <c r="H87" s="64">
        <v>19.170000000000002</v>
      </c>
      <c r="I87" s="210" t="s">
        <v>43</v>
      </c>
      <c r="J87" s="64">
        <v>0.66</v>
      </c>
      <c r="K87" s="64">
        <v>179.41</v>
      </c>
      <c r="L87" s="64">
        <v>20.3</v>
      </c>
      <c r="M87" s="64">
        <v>32.950000000000003</v>
      </c>
      <c r="N87" s="64">
        <v>64.5</v>
      </c>
      <c r="O87" s="64">
        <v>0</v>
      </c>
      <c r="P87" s="64">
        <v>1.24</v>
      </c>
      <c r="Q87" s="64">
        <v>9.8699999999999992</v>
      </c>
      <c r="R87" s="198"/>
      <c r="S87" s="198"/>
      <c r="T87" s="198"/>
      <c r="U87" s="198"/>
    </row>
    <row r="88" spans="1:26" s="12" customFormat="1" x14ac:dyDescent="0.25">
      <c r="A88" s="213" t="s">
        <v>1667</v>
      </c>
      <c r="B88" s="64">
        <v>65.14</v>
      </c>
      <c r="C88" s="64">
        <v>72.59</v>
      </c>
      <c r="D88" s="64">
        <v>88.79</v>
      </c>
      <c r="E88" s="64">
        <v>7.92</v>
      </c>
      <c r="F88" s="64">
        <v>2.13</v>
      </c>
      <c r="G88" s="64">
        <v>136.99</v>
      </c>
      <c r="H88" s="64">
        <v>21.57</v>
      </c>
      <c r="I88" s="210" t="s">
        <v>43</v>
      </c>
      <c r="J88" s="64">
        <v>1.2</v>
      </c>
      <c r="K88" s="64">
        <v>177.3</v>
      </c>
      <c r="L88" s="64">
        <v>20.92</v>
      </c>
      <c r="M88" s="64">
        <v>31.06</v>
      </c>
      <c r="N88" s="64">
        <v>64.3</v>
      </c>
      <c r="O88" s="64">
        <v>0</v>
      </c>
      <c r="P88" s="64">
        <v>1.01</v>
      </c>
      <c r="Q88" s="64">
        <v>9.9499999999999993</v>
      </c>
      <c r="R88" s="198"/>
      <c r="S88" s="198"/>
      <c r="T88" s="198"/>
      <c r="U88" s="198"/>
    </row>
    <row r="89" spans="1:26" s="12" customFormat="1" x14ac:dyDescent="0.25">
      <c r="A89" s="213" t="s">
        <v>1668</v>
      </c>
      <c r="B89" s="64">
        <v>63.09</v>
      </c>
      <c r="C89" s="64">
        <v>72.19</v>
      </c>
      <c r="D89" s="64">
        <v>86.94</v>
      </c>
      <c r="E89" s="64">
        <v>7.4</v>
      </c>
      <c r="F89" s="64">
        <v>2.13</v>
      </c>
      <c r="G89" s="64">
        <v>138.09</v>
      </c>
      <c r="H89" s="64">
        <v>26.86</v>
      </c>
      <c r="I89" s="210" t="s">
        <v>43</v>
      </c>
      <c r="J89" s="64">
        <v>1.26</v>
      </c>
      <c r="K89" s="64">
        <v>165.43</v>
      </c>
      <c r="L89" s="64">
        <v>20.82</v>
      </c>
      <c r="M89" s="64">
        <v>31.53</v>
      </c>
      <c r="N89" s="64">
        <v>65.3</v>
      </c>
      <c r="O89" s="64">
        <v>0</v>
      </c>
      <c r="P89" s="64">
        <v>0.96</v>
      </c>
      <c r="Q89" s="64">
        <v>9.99</v>
      </c>
      <c r="R89" s="198"/>
      <c r="S89" s="198"/>
      <c r="T89" s="198"/>
      <c r="U89" s="198"/>
    </row>
    <row r="90" spans="1:26" s="12" customFormat="1" x14ac:dyDescent="0.25">
      <c r="A90" s="213" t="s">
        <v>1669</v>
      </c>
      <c r="B90" s="64">
        <v>60.09</v>
      </c>
      <c r="C90" s="64">
        <v>72.05</v>
      </c>
      <c r="D90" s="64">
        <v>84.45</v>
      </c>
      <c r="E90" s="64">
        <v>7.41</v>
      </c>
      <c r="F90" s="64">
        <v>2.13</v>
      </c>
      <c r="G90" s="64">
        <v>138.09</v>
      </c>
      <c r="H90" s="64">
        <v>26.86</v>
      </c>
      <c r="I90" s="210" t="s">
        <v>43</v>
      </c>
      <c r="J90" s="64">
        <v>0.94</v>
      </c>
      <c r="K90" s="64">
        <v>196.02</v>
      </c>
      <c r="L90" s="64">
        <v>20.58</v>
      </c>
      <c r="M90" s="64">
        <v>31.92</v>
      </c>
      <c r="N90" s="64">
        <v>65.8</v>
      </c>
      <c r="O90" s="64">
        <v>0</v>
      </c>
      <c r="P90" s="64">
        <v>0.89</v>
      </c>
      <c r="Q90" s="64">
        <v>9.9700000000000006</v>
      </c>
      <c r="R90" s="198"/>
      <c r="S90" s="198"/>
      <c r="T90" s="198"/>
      <c r="U90" s="198"/>
    </row>
    <row r="91" spans="1:26" s="12" customFormat="1" x14ac:dyDescent="0.25">
      <c r="A91" s="213" t="s">
        <v>1670</v>
      </c>
      <c r="B91" s="64">
        <v>56.97</v>
      </c>
      <c r="C91" s="64">
        <v>71.900000000000006</v>
      </c>
      <c r="D91" s="64">
        <v>81.88</v>
      </c>
      <c r="E91" s="64">
        <v>7.1</v>
      </c>
      <c r="F91" s="64">
        <v>2.13</v>
      </c>
      <c r="G91" s="64">
        <v>138.09</v>
      </c>
      <c r="H91" s="64">
        <v>26.86</v>
      </c>
      <c r="I91" s="210" t="s">
        <v>43</v>
      </c>
      <c r="J91" s="64">
        <v>0.65</v>
      </c>
      <c r="K91" s="64">
        <v>198.69</v>
      </c>
      <c r="L91" s="64">
        <v>20.23</v>
      </c>
      <c r="M91" s="64">
        <v>33.32</v>
      </c>
      <c r="N91" s="64">
        <v>66.2</v>
      </c>
      <c r="O91" s="64">
        <v>0</v>
      </c>
      <c r="P91" s="64">
        <v>0.91</v>
      </c>
      <c r="Q91" s="64">
        <v>9.9499999999999993</v>
      </c>
      <c r="R91" s="198"/>
      <c r="S91" s="198"/>
      <c r="T91" s="198"/>
      <c r="U91" s="198"/>
    </row>
    <row r="92" spans="1:26" s="12" customFormat="1" x14ac:dyDescent="0.25">
      <c r="A92" s="213" t="s">
        <v>1671</v>
      </c>
      <c r="B92" s="64">
        <v>54.43</v>
      </c>
      <c r="C92" s="64">
        <v>71.38</v>
      </c>
      <c r="D92" s="64">
        <v>79.56</v>
      </c>
      <c r="E92" s="64">
        <v>6.93</v>
      </c>
      <c r="F92" s="64">
        <v>2.13</v>
      </c>
      <c r="G92" s="64">
        <v>117.56</v>
      </c>
      <c r="H92" s="64">
        <v>26.78</v>
      </c>
      <c r="I92" s="210" t="s">
        <v>43</v>
      </c>
      <c r="J92" s="64">
        <v>0.79</v>
      </c>
      <c r="K92" s="64">
        <v>200.89</v>
      </c>
      <c r="L92" s="64">
        <v>19.88</v>
      </c>
      <c r="M92" s="64">
        <v>33.65</v>
      </c>
      <c r="N92" s="64">
        <v>65.7</v>
      </c>
      <c r="O92" s="64">
        <v>0</v>
      </c>
      <c r="P92" s="64">
        <v>0.92</v>
      </c>
      <c r="Q92" s="64">
        <v>9.9499999999999993</v>
      </c>
      <c r="R92" s="198"/>
      <c r="S92" s="198"/>
      <c r="T92" s="198"/>
      <c r="U92" s="198"/>
    </row>
    <row r="93" spans="1:26" s="12" customFormat="1" x14ac:dyDescent="0.25">
      <c r="A93" s="213" t="s">
        <v>1672</v>
      </c>
      <c r="B93" s="64">
        <v>51.61</v>
      </c>
      <c r="C93" s="64">
        <v>71.17</v>
      </c>
      <c r="D93" s="64">
        <v>77.19</v>
      </c>
      <c r="E93" s="64">
        <v>6.94</v>
      </c>
      <c r="F93" s="64">
        <v>2.13</v>
      </c>
      <c r="G93" s="64">
        <v>72.11</v>
      </c>
      <c r="H93" s="64">
        <v>26.59</v>
      </c>
      <c r="I93" s="210" t="s">
        <v>43</v>
      </c>
      <c r="J93" s="64">
        <v>1.01</v>
      </c>
      <c r="K93" s="64">
        <v>194.54</v>
      </c>
      <c r="L93" s="64">
        <v>20.079999999999998</v>
      </c>
      <c r="M93" s="64">
        <v>31.76</v>
      </c>
      <c r="N93" s="64">
        <v>65.400000000000006</v>
      </c>
      <c r="O93" s="64">
        <v>0</v>
      </c>
      <c r="P93" s="64">
        <v>0.87</v>
      </c>
      <c r="Q93" s="64">
        <v>9.9499999999999993</v>
      </c>
      <c r="R93" s="198"/>
      <c r="S93" s="198"/>
      <c r="T93" s="198"/>
      <c r="U93" s="198"/>
    </row>
    <row r="94" spans="1:26" s="12" customFormat="1" x14ac:dyDescent="0.25">
      <c r="A94" s="213" t="s">
        <v>1673</v>
      </c>
      <c r="B94" s="64">
        <v>48.36</v>
      </c>
      <c r="C94" s="64">
        <v>70.849999999999994</v>
      </c>
      <c r="D94" s="64">
        <v>74.42</v>
      </c>
      <c r="E94" s="64">
        <v>6.67</v>
      </c>
      <c r="F94" s="64">
        <v>2.13</v>
      </c>
      <c r="G94" s="64">
        <v>72.11</v>
      </c>
      <c r="H94" s="64">
        <v>26.59</v>
      </c>
      <c r="I94" s="210" t="s">
        <v>43</v>
      </c>
      <c r="J94" s="64">
        <v>0.84</v>
      </c>
      <c r="K94" s="64">
        <v>203.03</v>
      </c>
      <c r="L94" s="64">
        <v>20.09</v>
      </c>
      <c r="M94" s="64">
        <v>31.33</v>
      </c>
      <c r="N94" s="64">
        <v>65.599999999999994</v>
      </c>
      <c r="O94" s="64">
        <v>0</v>
      </c>
      <c r="P94" s="64">
        <v>0.9</v>
      </c>
      <c r="Q94" s="64">
        <v>9.91</v>
      </c>
      <c r="R94" s="198"/>
      <c r="S94" s="198"/>
      <c r="T94" s="198"/>
      <c r="U94" s="198"/>
    </row>
    <row r="95" spans="1:26" s="12" customFormat="1" x14ac:dyDescent="0.25">
      <c r="A95" s="213" t="s">
        <v>1674</v>
      </c>
      <c r="B95" s="64">
        <v>45.25</v>
      </c>
      <c r="C95" s="64">
        <v>71.06</v>
      </c>
      <c r="D95" s="64">
        <v>72.040000000000006</v>
      </c>
      <c r="E95" s="64">
        <v>6.55</v>
      </c>
      <c r="F95" s="64">
        <v>2.13</v>
      </c>
      <c r="G95" s="64">
        <v>72.11</v>
      </c>
      <c r="H95" s="64">
        <v>26.59</v>
      </c>
      <c r="I95" s="210" t="s">
        <v>43</v>
      </c>
      <c r="J95" s="64">
        <v>0.95</v>
      </c>
      <c r="K95" s="64">
        <v>191.13</v>
      </c>
      <c r="L95" s="64">
        <v>19.829999999999998</v>
      </c>
      <c r="M95" s="64">
        <v>32.14</v>
      </c>
      <c r="N95" s="64">
        <v>65.8</v>
      </c>
      <c r="O95" s="64">
        <v>0</v>
      </c>
      <c r="P95" s="64">
        <v>0.95</v>
      </c>
      <c r="Q95" s="64">
        <v>9.92</v>
      </c>
      <c r="R95" s="198"/>
      <c r="S95" s="198"/>
      <c r="T95" s="198"/>
      <c r="U95" s="198"/>
    </row>
    <row r="96" spans="1:26" s="12" customFormat="1" x14ac:dyDescent="0.25">
      <c r="A96" s="213" t="s">
        <v>1675</v>
      </c>
      <c r="B96" s="64">
        <v>41.85</v>
      </c>
      <c r="C96" s="64">
        <v>70.77</v>
      </c>
      <c r="D96" s="64">
        <v>69.16</v>
      </c>
      <c r="E96" s="64">
        <v>6.85</v>
      </c>
      <c r="F96" s="64">
        <v>2.13</v>
      </c>
      <c r="G96" s="64">
        <v>68.66</v>
      </c>
      <c r="H96" s="64">
        <v>26.45</v>
      </c>
      <c r="I96" s="210" t="s">
        <v>43</v>
      </c>
      <c r="J96" s="64">
        <v>0.93</v>
      </c>
      <c r="K96" s="64">
        <v>177.36</v>
      </c>
      <c r="L96" s="64">
        <v>19.54</v>
      </c>
      <c r="M96" s="64">
        <v>32.85</v>
      </c>
      <c r="N96" s="64">
        <v>65.8</v>
      </c>
      <c r="O96" s="64">
        <v>0</v>
      </c>
      <c r="P96" s="64">
        <v>0.91</v>
      </c>
      <c r="Q96" s="64">
        <v>9.91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1676</v>
      </c>
      <c r="B97" s="64">
        <v>38.630000000000003</v>
      </c>
      <c r="C97" s="64">
        <v>70.39</v>
      </c>
      <c r="D97" s="64">
        <v>66.38</v>
      </c>
      <c r="E97" s="64">
        <v>6.44</v>
      </c>
      <c r="F97" s="64">
        <v>2.13</v>
      </c>
      <c r="G97" s="64">
        <v>61.04</v>
      </c>
      <c r="H97" s="64">
        <v>26.13</v>
      </c>
      <c r="I97" s="210" t="s">
        <v>43</v>
      </c>
      <c r="J97" s="64">
        <v>0.44</v>
      </c>
      <c r="K97" s="64">
        <v>191.88</v>
      </c>
      <c r="L97" s="64">
        <v>19.18</v>
      </c>
      <c r="M97" s="64">
        <v>34.49</v>
      </c>
      <c r="N97" s="64">
        <v>66.3</v>
      </c>
      <c r="O97" s="64">
        <v>0</v>
      </c>
      <c r="P97" s="64">
        <v>0.91</v>
      </c>
      <c r="Q97" s="64">
        <v>9.93</v>
      </c>
      <c r="R97" s="198"/>
      <c r="S97" s="198"/>
      <c r="T97" s="198"/>
      <c r="U97" s="198"/>
    </row>
    <row r="98" spans="1:33" s="12" customFormat="1" x14ac:dyDescent="0.25">
      <c r="A98" s="213" t="s">
        <v>1677</v>
      </c>
      <c r="B98" s="64">
        <v>35.89</v>
      </c>
      <c r="C98" s="64">
        <v>70.19</v>
      </c>
      <c r="D98" s="64">
        <v>64.08</v>
      </c>
      <c r="E98" s="64">
        <v>6.23</v>
      </c>
      <c r="F98" s="64">
        <v>2.13</v>
      </c>
      <c r="G98" s="64">
        <v>61.04</v>
      </c>
      <c r="H98" s="64">
        <v>26.13</v>
      </c>
      <c r="I98" s="210" t="s">
        <v>43</v>
      </c>
      <c r="J98" s="64">
        <v>0.36</v>
      </c>
      <c r="K98" s="64">
        <v>271.93</v>
      </c>
      <c r="L98" s="64">
        <v>18.399999999999999</v>
      </c>
      <c r="M98" s="64">
        <v>36.56</v>
      </c>
      <c r="N98" s="64">
        <v>66.5</v>
      </c>
      <c r="O98" s="64">
        <v>0</v>
      </c>
      <c r="P98" s="64">
        <v>0.9</v>
      </c>
      <c r="Q98" s="64">
        <v>9.91</v>
      </c>
      <c r="R98" s="198"/>
      <c r="S98" s="198"/>
      <c r="T98" s="198"/>
      <c r="U98" s="198"/>
    </row>
    <row r="99" spans="1:33" s="12" customFormat="1" x14ac:dyDescent="0.25">
      <c r="A99" s="213" t="s">
        <v>1678</v>
      </c>
      <c r="B99" s="64">
        <v>35.14</v>
      </c>
      <c r="C99" s="64">
        <v>70.84</v>
      </c>
      <c r="D99" s="64">
        <v>63.81</v>
      </c>
      <c r="E99" s="64">
        <v>6.69</v>
      </c>
      <c r="F99" s="64">
        <v>2.13</v>
      </c>
      <c r="G99" s="64">
        <v>61.04</v>
      </c>
      <c r="H99" s="64">
        <v>26.13</v>
      </c>
      <c r="I99" s="210" t="s">
        <v>43</v>
      </c>
      <c r="J99" s="64">
        <v>0.41</v>
      </c>
      <c r="K99" s="64">
        <v>283.11</v>
      </c>
      <c r="L99" s="64">
        <v>18.05</v>
      </c>
      <c r="M99" s="64">
        <v>37.549999999999997</v>
      </c>
      <c r="N99" s="64">
        <v>66.2</v>
      </c>
      <c r="O99" s="64">
        <v>0</v>
      </c>
      <c r="P99" s="64">
        <v>0.93</v>
      </c>
      <c r="Q99" s="64">
        <v>9.9</v>
      </c>
      <c r="R99" s="198"/>
      <c r="S99" s="198"/>
      <c r="T99" s="198"/>
      <c r="U99" s="198"/>
    </row>
    <row r="100" spans="1:33" s="12" customFormat="1" x14ac:dyDescent="0.25">
      <c r="A100" s="213" t="s">
        <v>1679</v>
      </c>
      <c r="B100" s="64">
        <v>35.57</v>
      </c>
      <c r="C100" s="64">
        <v>71.33</v>
      </c>
      <c r="D100" s="64">
        <v>64.42</v>
      </c>
      <c r="E100" s="64">
        <v>6.6</v>
      </c>
      <c r="F100" s="64">
        <v>2.13</v>
      </c>
      <c r="G100" s="64">
        <v>64.349999999999994</v>
      </c>
      <c r="H100" s="64">
        <v>25.29</v>
      </c>
      <c r="I100" s="210" t="s">
        <v>43</v>
      </c>
      <c r="J100" s="64">
        <v>0.57999999999999996</v>
      </c>
      <c r="K100" s="64">
        <v>275.38</v>
      </c>
      <c r="L100" s="64">
        <v>17.68</v>
      </c>
      <c r="M100" s="64">
        <v>39.909999999999997</v>
      </c>
      <c r="N100" s="64">
        <v>66.7</v>
      </c>
      <c r="O100" s="64">
        <v>0</v>
      </c>
      <c r="P100" s="64">
        <v>0.88</v>
      </c>
      <c r="Q100" s="64">
        <v>9.89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1680</v>
      </c>
      <c r="B101" s="64">
        <v>35.619999999999997</v>
      </c>
      <c r="C101" s="64">
        <v>71.41</v>
      </c>
      <c r="D101" s="64">
        <v>64.5</v>
      </c>
      <c r="E101" s="64">
        <v>6.17</v>
      </c>
      <c r="F101" s="64">
        <v>2.13</v>
      </c>
      <c r="G101" s="64">
        <v>71.67</v>
      </c>
      <c r="H101" s="64">
        <v>23.44</v>
      </c>
      <c r="I101" s="210" t="s">
        <v>43</v>
      </c>
      <c r="J101" s="64">
        <v>0.67</v>
      </c>
      <c r="K101" s="64">
        <v>318.18</v>
      </c>
      <c r="L101" s="64">
        <v>16.89</v>
      </c>
      <c r="M101" s="64">
        <v>43.82</v>
      </c>
      <c r="N101" s="64">
        <v>66.7</v>
      </c>
      <c r="O101" s="64">
        <v>0</v>
      </c>
      <c r="P101" s="64">
        <v>0.94</v>
      </c>
      <c r="Q101" s="64">
        <v>9.9</v>
      </c>
      <c r="R101" s="198"/>
      <c r="S101" s="198"/>
      <c r="T101" s="198"/>
      <c r="U101" s="198"/>
    </row>
    <row r="102" spans="1:33" s="12" customFormat="1" x14ac:dyDescent="0.25">
      <c r="A102" s="213" t="s">
        <v>1681</v>
      </c>
      <c r="B102" s="64">
        <v>37.28</v>
      </c>
      <c r="C102" s="64">
        <v>71.739999999999995</v>
      </c>
      <c r="D102" s="64">
        <v>66</v>
      </c>
      <c r="E102" s="64">
        <v>6.88</v>
      </c>
      <c r="F102" s="64">
        <v>2.13</v>
      </c>
      <c r="G102" s="64">
        <v>71.67</v>
      </c>
      <c r="H102" s="64">
        <v>23.44</v>
      </c>
      <c r="I102" s="210" t="s">
        <v>43</v>
      </c>
      <c r="J102" s="64">
        <v>0.64</v>
      </c>
      <c r="K102" s="64">
        <v>288.99</v>
      </c>
      <c r="L102" s="64">
        <v>16.27</v>
      </c>
      <c r="M102" s="64">
        <v>44.89</v>
      </c>
      <c r="N102" s="64">
        <v>66.599999999999994</v>
      </c>
      <c r="O102" s="64">
        <v>0</v>
      </c>
      <c r="P102" s="64">
        <v>0.92</v>
      </c>
      <c r="Q102" s="64">
        <v>9.8800000000000008</v>
      </c>
      <c r="R102" s="198"/>
      <c r="S102" s="198"/>
      <c r="T102" s="198"/>
      <c r="U102" s="198"/>
    </row>
    <row r="103" spans="1:33" s="12" customFormat="1" x14ac:dyDescent="0.25">
      <c r="A103" s="213" t="s">
        <v>1682</v>
      </c>
      <c r="B103" s="64">
        <v>37.31</v>
      </c>
      <c r="C103" s="64">
        <v>71.84</v>
      </c>
      <c r="D103" s="64">
        <v>66.08</v>
      </c>
      <c r="E103" s="64">
        <v>7.16</v>
      </c>
      <c r="F103" s="64">
        <v>2.13</v>
      </c>
      <c r="G103" s="64">
        <v>71.67</v>
      </c>
      <c r="H103" s="64">
        <v>23.44</v>
      </c>
      <c r="I103" s="210" t="s">
        <v>43</v>
      </c>
      <c r="J103" s="64">
        <v>0.75</v>
      </c>
      <c r="K103" s="64">
        <v>332.35</v>
      </c>
      <c r="L103" s="64">
        <v>15.87</v>
      </c>
      <c r="M103" s="64">
        <v>48.87</v>
      </c>
      <c r="N103" s="64">
        <v>66.5</v>
      </c>
      <c r="O103" s="64">
        <v>0</v>
      </c>
      <c r="P103" s="64">
        <v>0.95</v>
      </c>
      <c r="Q103" s="64">
        <v>9.89</v>
      </c>
      <c r="R103" s="198"/>
      <c r="S103" s="198"/>
      <c r="T103" s="198"/>
      <c r="U103" s="198"/>
    </row>
    <row r="104" spans="1:33" s="12" customFormat="1" x14ac:dyDescent="0.25">
      <c r="A104" s="213" t="s">
        <v>1683</v>
      </c>
      <c r="B104" s="64">
        <v>39.28</v>
      </c>
      <c r="C104" s="64">
        <v>71.97</v>
      </c>
      <c r="D104" s="64">
        <v>67.73</v>
      </c>
      <c r="E104" s="64">
        <v>6.94</v>
      </c>
      <c r="F104" s="64">
        <v>2.13</v>
      </c>
      <c r="G104" s="64">
        <v>78.900000000000006</v>
      </c>
      <c r="H104" s="64">
        <v>24.48</v>
      </c>
      <c r="I104" s="210" t="s">
        <v>43</v>
      </c>
      <c r="J104" s="64">
        <v>0.69</v>
      </c>
      <c r="K104" s="64">
        <v>329.01</v>
      </c>
      <c r="L104" s="64">
        <v>15.52</v>
      </c>
      <c r="M104" s="64">
        <v>50.65</v>
      </c>
      <c r="N104" s="64">
        <v>66.5</v>
      </c>
      <c r="O104" s="64">
        <v>0</v>
      </c>
      <c r="P104" s="64">
        <v>0.94</v>
      </c>
      <c r="Q104" s="64">
        <v>9.86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9.65</v>
      </c>
      <c r="C106" s="67">
        <f>MIN(C9:C104)</f>
        <v>50.18</v>
      </c>
      <c r="D106" s="67">
        <f t="shared" ref="D106:Q106" si="0">MIN(D9:D104)</f>
        <v>39.659999999999997</v>
      </c>
      <c r="E106" s="67">
        <f t="shared" si="0"/>
        <v>4.7699999999999996</v>
      </c>
      <c r="F106" s="67">
        <f t="shared" si="0"/>
        <v>2.13</v>
      </c>
      <c r="G106" s="67">
        <f t="shared" si="0"/>
        <v>35.89</v>
      </c>
      <c r="H106" s="67">
        <f t="shared" si="0"/>
        <v>15.73</v>
      </c>
      <c r="I106" s="67">
        <f t="shared" si="0"/>
        <v>0</v>
      </c>
      <c r="J106" s="67">
        <f t="shared" si="0"/>
        <v>0.12</v>
      </c>
      <c r="K106" s="67">
        <f t="shared" si="0"/>
        <v>5.1100000000000003</v>
      </c>
      <c r="L106" s="67">
        <f t="shared" si="0"/>
        <v>12.02</v>
      </c>
      <c r="M106" s="67">
        <f t="shared" si="0"/>
        <v>13.82</v>
      </c>
      <c r="N106" s="67">
        <f t="shared" si="0"/>
        <v>64.3</v>
      </c>
      <c r="O106" s="67">
        <f t="shared" si="0"/>
        <v>0</v>
      </c>
      <c r="P106" s="67">
        <f t="shared" si="0"/>
        <v>0.51</v>
      </c>
      <c r="Q106" s="67">
        <f t="shared" si="0"/>
        <v>9.74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65.14</v>
      </c>
      <c r="C107" s="66">
        <f t="shared" ref="C107:Q107" si="1">MAX(C9:C104)</f>
        <v>73.47</v>
      </c>
      <c r="D107" s="66">
        <f t="shared" si="1"/>
        <v>88.79</v>
      </c>
      <c r="E107" s="66">
        <f t="shared" si="1"/>
        <v>8.69</v>
      </c>
      <c r="F107" s="66">
        <f t="shared" si="1"/>
        <v>2.14</v>
      </c>
      <c r="G107" s="66">
        <f t="shared" si="1"/>
        <v>160.06</v>
      </c>
      <c r="H107" s="66">
        <f t="shared" si="1"/>
        <v>46.47</v>
      </c>
      <c r="I107" s="66">
        <f t="shared" si="1"/>
        <v>0</v>
      </c>
      <c r="J107" s="66">
        <f t="shared" si="1"/>
        <v>2.17</v>
      </c>
      <c r="K107" s="66">
        <f t="shared" si="1"/>
        <v>358.79</v>
      </c>
      <c r="L107" s="66">
        <f t="shared" si="1"/>
        <v>30.44</v>
      </c>
      <c r="M107" s="66">
        <f t="shared" si="1"/>
        <v>58.5</v>
      </c>
      <c r="N107" s="66">
        <f t="shared" si="1"/>
        <v>939.3</v>
      </c>
      <c r="O107" s="66">
        <f t="shared" si="1"/>
        <v>0</v>
      </c>
      <c r="P107" s="66">
        <f t="shared" si="1"/>
        <v>1.24</v>
      </c>
      <c r="Q107" s="66">
        <f t="shared" si="1"/>
        <v>10.27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35.40177083333333</v>
      </c>
      <c r="C108" s="67">
        <f t="shared" ref="C108:Q108" si="2">AVERAGE(C9:C104)</f>
        <v>63.430520833333354</v>
      </c>
      <c r="D108" s="67">
        <f t="shared" si="2"/>
        <v>60.153645833333321</v>
      </c>
      <c r="E108" s="67">
        <f t="shared" si="2"/>
        <v>6.4234375000000012</v>
      </c>
      <c r="F108" s="67">
        <f t="shared" si="2"/>
        <v>2.1301041666666638</v>
      </c>
      <c r="G108" s="67">
        <f t="shared" si="2"/>
        <v>86.335104166666625</v>
      </c>
      <c r="H108" s="67">
        <f t="shared" si="2"/>
        <v>30.299375000000012</v>
      </c>
      <c r="I108" s="67" t="e">
        <f t="shared" si="2"/>
        <v>#DIV/0!</v>
      </c>
      <c r="J108" s="67">
        <f t="shared" si="2"/>
        <v>0.81593750000000043</v>
      </c>
      <c r="K108" s="67">
        <f t="shared" si="2"/>
        <v>240.20937500000005</v>
      </c>
      <c r="L108" s="67">
        <f t="shared" si="2"/>
        <v>20.181770833333335</v>
      </c>
      <c r="M108" s="67">
        <f t="shared" si="2"/>
        <v>35.294895833333335</v>
      </c>
      <c r="N108" s="67">
        <f t="shared" si="2"/>
        <v>280.6124999999999</v>
      </c>
      <c r="O108" s="67">
        <f t="shared" si="2"/>
        <v>0</v>
      </c>
      <c r="P108" s="67">
        <f t="shared" si="2"/>
        <v>0.83312500000000023</v>
      </c>
      <c r="Q108" s="67">
        <f t="shared" si="2"/>
        <v>9.9599999999999973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16.427528628224646</v>
      </c>
      <c r="C109" s="67">
        <f t="shared" ref="C109:Q109" si="3">STDEV(C9:C104)</f>
        <v>8.1865465207498058</v>
      </c>
      <c r="D109" s="67">
        <f t="shared" si="3"/>
        <v>13.099490317107138</v>
      </c>
      <c r="E109" s="67">
        <f t="shared" si="3"/>
        <v>0.86520679380863663</v>
      </c>
      <c r="F109" s="67">
        <f t="shared" si="3"/>
        <v>1.0206207261596802E-3</v>
      </c>
      <c r="G109" s="67">
        <f t="shared" si="3"/>
        <v>31.567401306604179</v>
      </c>
      <c r="H109" s="67">
        <f t="shared" si="3"/>
        <v>9.2878594001439012</v>
      </c>
      <c r="I109" s="67" t="e">
        <f t="shared" si="3"/>
        <v>#DIV/0!</v>
      </c>
      <c r="J109" s="67">
        <f t="shared" si="3"/>
        <v>0.40762877364737443</v>
      </c>
      <c r="K109" s="67">
        <f t="shared" si="3"/>
        <v>102.0999917089793</v>
      </c>
      <c r="L109" s="67">
        <f t="shared" si="3"/>
        <v>5.8686117778876143</v>
      </c>
      <c r="M109" s="67">
        <f t="shared" si="3"/>
        <v>13.359643864997361</v>
      </c>
      <c r="N109" s="67">
        <f t="shared" si="3"/>
        <v>304.082480240927</v>
      </c>
      <c r="O109" s="67">
        <f t="shared" si="3"/>
        <v>0</v>
      </c>
      <c r="P109" s="67">
        <f t="shared" si="3"/>
        <v>0.14683547900537106</v>
      </c>
      <c r="Q109" s="67">
        <f t="shared" si="3"/>
        <v>0.13689027492273168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9" sqref="I9:I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1684</v>
      </c>
      <c r="B9" s="64">
        <v>40.619999999999997</v>
      </c>
      <c r="C9" s="64">
        <v>70.47</v>
      </c>
      <c r="D9" s="64">
        <v>68.02</v>
      </c>
      <c r="E9" s="64">
        <v>7.58</v>
      </c>
      <c r="F9" s="64">
        <v>2.13</v>
      </c>
      <c r="G9" s="64">
        <v>94.92</v>
      </c>
      <c r="H9" s="64">
        <v>26.79</v>
      </c>
      <c r="I9" s="210" t="s">
        <v>43</v>
      </c>
      <c r="J9" s="64">
        <v>0.66</v>
      </c>
      <c r="K9" s="64">
        <v>297.52999999999997</v>
      </c>
      <c r="L9" s="64">
        <v>15.23</v>
      </c>
      <c r="M9" s="64">
        <v>51.44</v>
      </c>
      <c r="N9" s="64">
        <v>66.2</v>
      </c>
      <c r="O9" s="64">
        <v>0</v>
      </c>
      <c r="P9" s="64">
        <v>0.88</v>
      </c>
      <c r="Q9" s="64">
        <v>9.8800000000000008</v>
      </c>
      <c r="R9" s="198"/>
      <c r="S9" s="198"/>
      <c r="T9" s="198"/>
      <c r="U9" s="198"/>
    </row>
    <row r="10" spans="1:21" s="12" customFormat="1" x14ac:dyDescent="0.25">
      <c r="A10" s="213" t="s">
        <v>1685</v>
      </c>
      <c r="B10" s="64">
        <v>41.32</v>
      </c>
      <c r="C10" s="64">
        <v>69.95</v>
      </c>
      <c r="D10" s="64">
        <v>68.31</v>
      </c>
      <c r="E10" s="64">
        <v>7.74</v>
      </c>
      <c r="F10" s="64">
        <v>2.29</v>
      </c>
      <c r="G10" s="64">
        <v>94.92</v>
      </c>
      <c r="H10" s="64">
        <v>26.79</v>
      </c>
      <c r="I10" s="210" t="s">
        <v>43</v>
      </c>
      <c r="J10" s="64">
        <v>0.73</v>
      </c>
      <c r="K10" s="64">
        <v>329.14</v>
      </c>
      <c r="L10" s="64">
        <v>14.97</v>
      </c>
      <c r="M10" s="64">
        <v>56.83</v>
      </c>
      <c r="N10" s="64">
        <v>66.3</v>
      </c>
      <c r="O10" s="64">
        <v>0</v>
      </c>
      <c r="P10" s="64">
        <v>0.93</v>
      </c>
      <c r="Q10" s="64">
        <v>9.8800000000000008</v>
      </c>
      <c r="R10" s="198"/>
      <c r="S10" s="198"/>
      <c r="T10" s="198"/>
      <c r="U10" s="198"/>
    </row>
    <row r="11" spans="1:21" s="12" customFormat="1" x14ac:dyDescent="0.25">
      <c r="A11" s="213" t="s">
        <v>1686</v>
      </c>
      <c r="B11" s="64">
        <v>41.26</v>
      </c>
      <c r="C11" s="64">
        <v>69.53</v>
      </c>
      <c r="D11" s="64">
        <v>68.03</v>
      </c>
      <c r="E11" s="64">
        <v>6.9</v>
      </c>
      <c r="F11" s="64">
        <v>2.13</v>
      </c>
      <c r="G11" s="64">
        <v>94.92</v>
      </c>
      <c r="H11" s="64">
        <v>26.79</v>
      </c>
      <c r="I11" s="210" t="s">
        <v>43</v>
      </c>
      <c r="J11" s="64">
        <v>0.56999999999999995</v>
      </c>
      <c r="K11" s="64">
        <v>312.95999999999998</v>
      </c>
      <c r="L11" s="64">
        <v>15.08</v>
      </c>
      <c r="M11" s="64">
        <v>51.5</v>
      </c>
      <c r="N11" s="64">
        <v>65.599999999999994</v>
      </c>
      <c r="O11" s="64">
        <v>0</v>
      </c>
      <c r="P11" s="64">
        <v>0.86</v>
      </c>
      <c r="Q11" s="64">
        <v>9.84</v>
      </c>
      <c r="R11" s="198"/>
      <c r="S11" s="198"/>
      <c r="T11" s="198"/>
      <c r="U11" s="198"/>
    </row>
    <row r="12" spans="1:21" s="12" customFormat="1" x14ac:dyDescent="0.25">
      <c r="A12" s="213" t="s">
        <v>1687</v>
      </c>
      <c r="B12" s="64">
        <v>40.83</v>
      </c>
      <c r="C12" s="64">
        <v>68.77</v>
      </c>
      <c r="D12" s="64">
        <v>67.290000000000006</v>
      </c>
      <c r="E12" s="64">
        <v>6.71</v>
      </c>
      <c r="F12" s="64">
        <v>2.13</v>
      </c>
      <c r="G12" s="64">
        <v>92.43</v>
      </c>
      <c r="H12" s="64">
        <v>26.43</v>
      </c>
      <c r="I12" s="210" t="s">
        <v>43</v>
      </c>
      <c r="J12" s="64">
        <v>0.78</v>
      </c>
      <c r="K12" s="64">
        <v>319.58999999999997</v>
      </c>
      <c r="L12" s="64">
        <v>14.93</v>
      </c>
      <c r="M12" s="64">
        <v>54.65</v>
      </c>
      <c r="N12" s="64">
        <v>66.099999999999994</v>
      </c>
      <c r="O12" s="64">
        <v>0</v>
      </c>
      <c r="P12" s="64">
        <v>0.86</v>
      </c>
      <c r="Q12" s="64">
        <v>9.83</v>
      </c>
      <c r="R12" s="198"/>
      <c r="S12" s="198"/>
      <c r="T12" s="198"/>
      <c r="U12" s="198"/>
    </row>
    <row r="13" spans="1:21" s="12" customFormat="1" x14ac:dyDescent="0.25">
      <c r="A13" s="213" t="s">
        <v>1688</v>
      </c>
      <c r="B13" s="64">
        <v>40</v>
      </c>
      <c r="C13" s="64">
        <v>67.790000000000006</v>
      </c>
      <c r="D13" s="64">
        <v>66.12</v>
      </c>
      <c r="E13" s="64">
        <v>6.87</v>
      </c>
      <c r="F13" s="64">
        <v>2.13</v>
      </c>
      <c r="G13" s="64">
        <v>86.92</v>
      </c>
      <c r="H13" s="64">
        <v>25.63</v>
      </c>
      <c r="I13" s="210" t="s">
        <v>43</v>
      </c>
      <c r="J13" s="64">
        <v>0.66</v>
      </c>
      <c r="K13" s="64">
        <v>313.37</v>
      </c>
      <c r="L13" s="64">
        <v>14.76</v>
      </c>
      <c r="M13" s="64">
        <v>55.94</v>
      </c>
      <c r="N13" s="64">
        <v>66.099999999999994</v>
      </c>
      <c r="O13" s="64">
        <v>0</v>
      </c>
      <c r="P13" s="64">
        <v>0.82</v>
      </c>
      <c r="Q13" s="64">
        <v>9.84</v>
      </c>
      <c r="R13" s="198"/>
      <c r="S13" s="198"/>
      <c r="T13" s="198"/>
      <c r="U13" s="198"/>
    </row>
    <row r="14" spans="1:21" s="12" customFormat="1" x14ac:dyDescent="0.25">
      <c r="A14" s="213" t="s">
        <v>1689</v>
      </c>
      <c r="B14" s="64">
        <v>38.369999999999997</v>
      </c>
      <c r="C14" s="64">
        <v>66.62</v>
      </c>
      <c r="D14" s="64">
        <v>64.2</v>
      </c>
      <c r="E14" s="64">
        <v>6.57</v>
      </c>
      <c r="F14" s="64">
        <v>2.13</v>
      </c>
      <c r="G14" s="64">
        <v>86.92</v>
      </c>
      <c r="H14" s="64">
        <v>25.63</v>
      </c>
      <c r="I14" s="210" t="s">
        <v>43</v>
      </c>
      <c r="J14" s="64">
        <v>0.6</v>
      </c>
      <c r="K14" s="64">
        <v>273.60000000000002</v>
      </c>
      <c r="L14" s="64">
        <v>14.84</v>
      </c>
      <c r="M14" s="64">
        <v>55.24</v>
      </c>
      <c r="N14" s="64">
        <v>66.2</v>
      </c>
      <c r="O14" s="64">
        <v>0</v>
      </c>
      <c r="P14" s="64">
        <v>0.8</v>
      </c>
      <c r="Q14" s="64">
        <v>9.84</v>
      </c>
      <c r="R14" s="198"/>
      <c r="S14" s="198"/>
      <c r="T14" s="198"/>
      <c r="U14" s="198"/>
    </row>
    <row r="15" spans="1:21" s="12" customFormat="1" x14ac:dyDescent="0.25">
      <c r="A15" s="213" t="s">
        <v>1690</v>
      </c>
      <c r="B15" s="64">
        <v>36.43</v>
      </c>
      <c r="C15" s="64">
        <v>65.19</v>
      </c>
      <c r="D15" s="64">
        <v>61.89</v>
      </c>
      <c r="E15" s="64">
        <v>6.64</v>
      </c>
      <c r="F15" s="64">
        <v>2.13</v>
      </c>
      <c r="G15" s="64">
        <v>86.92</v>
      </c>
      <c r="H15" s="64">
        <v>25.63</v>
      </c>
      <c r="I15" s="210" t="s">
        <v>43</v>
      </c>
      <c r="J15" s="64">
        <v>0.66</v>
      </c>
      <c r="K15" s="64">
        <v>308.45</v>
      </c>
      <c r="L15" s="64">
        <v>14.53</v>
      </c>
      <c r="M15" s="64">
        <v>60.27</v>
      </c>
      <c r="N15" s="64">
        <v>66.5</v>
      </c>
      <c r="O15" s="64">
        <v>0</v>
      </c>
      <c r="P15" s="64">
        <v>0.81</v>
      </c>
      <c r="Q15" s="64">
        <v>9.82</v>
      </c>
      <c r="R15" s="198"/>
      <c r="S15" s="198"/>
      <c r="T15" s="198"/>
      <c r="U15" s="198"/>
    </row>
    <row r="16" spans="1:21" s="12" customFormat="1" x14ac:dyDescent="0.25">
      <c r="A16" s="213" t="s">
        <v>1691</v>
      </c>
      <c r="B16" s="64">
        <v>34.630000000000003</v>
      </c>
      <c r="C16" s="64">
        <v>63.78</v>
      </c>
      <c r="D16" s="64">
        <v>59.72</v>
      </c>
      <c r="E16" s="64">
        <v>7.03</v>
      </c>
      <c r="F16" s="64">
        <v>2.13</v>
      </c>
      <c r="G16" s="64">
        <v>80.36</v>
      </c>
      <c r="H16" s="64">
        <v>25.72</v>
      </c>
      <c r="I16" s="210" t="s">
        <v>43</v>
      </c>
      <c r="J16" s="64">
        <v>0.55000000000000004</v>
      </c>
      <c r="K16" s="64">
        <v>320.3</v>
      </c>
      <c r="L16" s="64">
        <v>14.13</v>
      </c>
      <c r="M16" s="64">
        <v>62.74</v>
      </c>
      <c r="N16" s="64">
        <v>66.5</v>
      </c>
      <c r="O16" s="64">
        <v>0</v>
      </c>
      <c r="P16" s="64">
        <v>0.85</v>
      </c>
      <c r="Q16" s="64">
        <v>9.81</v>
      </c>
      <c r="R16" s="198"/>
      <c r="S16" s="198"/>
      <c r="T16" s="198"/>
      <c r="U16" s="198"/>
    </row>
    <row r="17" spans="1:21" s="12" customFormat="1" x14ac:dyDescent="0.25">
      <c r="A17" s="213" t="s">
        <v>1692</v>
      </c>
      <c r="B17" s="64">
        <v>32.869999999999997</v>
      </c>
      <c r="C17" s="64">
        <v>62.97</v>
      </c>
      <c r="D17" s="64">
        <v>57.88</v>
      </c>
      <c r="E17" s="64">
        <v>6.63</v>
      </c>
      <c r="F17" s="64">
        <v>2.13</v>
      </c>
      <c r="G17" s="64">
        <v>65.83</v>
      </c>
      <c r="H17" s="64">
        <v>25.93</v>
      </c>
      <c r="I17" s="210" t="s">
        <v>43</v>
      </c>
      <c r="J17" s="64">
        <v>0.77</v>
      </c>
      <c r="K17" s="64">
        <v>318.52999999999997</v>
      </c>
      <c r="L17" s="64">
        <v>13.8</v>
      </c>
      <c r="M17" s="64">
        <v>66.14</v>
      </c>
      <c r="N17" s="64">
        <v>66.400000000000006</v>
      </c>
      <c r="O17" s="64">
        <v>0</v>
      </c>
      <c r="P17" s="64">
        <v>0.86</v>
      </c>
      <c r="Q17" s="64">
        <v>9.84</v>
      </c>
      <c r="R17" s="198"/>
      <c r="S17" s="198"/>
      <c r="T17" s="198"/>
      <c r="U17" s="198"/>
    </row>
    <row r="18" spans="1:21" s="12" customFormat="1" x14ac:dyDescent="0.25">
      <c r="A18" s="213" t="s">
        <v>1693</v>
      </c>
      <c r="B18" s="64">
        <v>31.08</v>
      </c>
      <c r="C18" s="64">
        <v>61.61</v>
      </c>
      <c r="D18" s="64">
        <v>55.74</v>
      </c>
      <c r="E18" s="64">
        <v>6.69</v>
      </c>
      <c r="F18" s="64">
        <v>2.13</v>
      </c>
      <c r="G18" s="64">
        <v>65.83</v>
      </c>
      <c r="H18" s="64">
        <v>25.93</v>
      </c>
      <c r="I18" s="210" t="s">
        <v>43</v>
      </c>
      <c r="J18" s="64">
        <v>0.66</v>
      </c>
      <c r="K18" s="64">
        <v>355.87</v>
      </c>
      <c r="L18" s="64">
        <v>13.44</v>
      </c>
      <c r="M18" s="64">
        <v>68.75</v>
      </c>
      <c r="N18" s="64">
        <v>66.5</v>
      </c>
      <c r="O18" s="64">
        <v>0</v>
      </c>
      <c r="P18" s="64">
        <v>0.83</v>
      </c>
      <c r="Q18" s="64">
        <v>9.8800000000000008</v>
      </c>
      <c r="R18" s="198"/>
      <c r="S18" s="198"/>
      <c r="T18" s="198"/>
      <c r="U18" s="198"/>
    </row>
    <row r="19" spans="1:21" s="12" customFormat="1" x14ac:dyDescent="0.25">
      <c r="A19" s="213" t="s">
        <v>1694</v>
      </c>
      <c r="B19" s="64">
        <v>29.51</v>
      </c>
      <c r="C19" s="64">
        <v>61.01</v>
      </c>
      <c r="D19" s="64">
        <v>54.17</v>
      </c>
      <c r="E19" s="64">
        <v>6.8</v>
      </c>
      <c r="F19" s="64">
        <v>2.13</v>
      </c>
      <c r="G19" s="64">
        <v>65.83</v>
      </c>
      <c r="H19" s="64">
        <v>25.93</v>
      </c>
      <c r="I19" s="210" t="s">
        <v>43</v>
      </c>
      <c r="J19" s="64">
        <v>0.55000000000000004</v>
      </c>
      <c r="K19" s="64">
        <v>300.39</v>
      </c>
      <c r="L19" s="64">
        <v>13.38</v>
      </c>
      <c r="M19" s="64">
        <v>67.17</v>
      </c>
      <c r="N19" s="64">
        <v>66.3</v>
      </c>
      <c r="O19" s="64">
        <v>0</v>
      </c>
      <c r="P19" s="64">
        <v>0.82</v>
      </c>
      <c r="Q19" s="64">
        <v>9.86</v>
      </c>
      <c r="R19" s="198"/>
      <c r="S19" s="198"/>
      <c r="T19" s="198"/>
      <c r="U19" s="198"/>
    </row>
    <row r="20" spans="1:21" s="12" customFormat="1" x14ac:dyDescent="0.25">
      <c r="A20" s="213" t="s">
        <v>1695</v>
      </c>
      <c r="B20" s="64">
        <v>28.3</v>
      </c>
      <c r="C20" s="64">
        <v>60.86</v>
      </c>
      <c r="D20" s="64">
        <v>53.12</v>
      </c>
      <c r="E20" s="64">
        <v>6.57</v>
      </c>
      <c r="F20" s="64">
        <v>2.13</v>
      </c>
      <c r="G20" s="64">
        <v>65.489999999999995</v>
      </c>
      <c r="H20" s="64">
        <v>25.47</v>
      </c>
      <c r="I20" s="210" t="s">
        <v>43</v>
      </c>
      <c r="J20" s="64">
        <v>0.53</v>
      </c>
      <c r="K20" s="64">
        <v>238.18</v>
      </c>
      <c r="L20" s="64">
        <v>13.47</v>
      </c>
      <c r="M20" s="64">
        <v>65.36</v>
      </c>
      <c r="N20" s="64">
        <v>66</v>
      </c>
      <c r="O20" s="64">
        <v>0</v>
      </c>
      <c r="P20" s="64">
        <v>0.79</v>
      </c>
      <c r="Q20" s="64">
        <v>9.85</v>
      </c>
      <c r="R20" s="198"/>
      <c r="S20" s="198"/>
      <c r="T20" s="198"/>
      <c r="U20" s="198"/>
    </row>
    <row r="21" spans="1:21" s="12" customFormat="1" x14ac:dyDescent="0.25">
      <c r="A21" s="213" t="s">
        <v>1696</v>
      </c>
      <c r="B21" s="64">
        <v>26.96</v>
      </c>
      <c r="C21" s="64">
        <v>60.36</v>
      </c>
      <c r="D21" s="64">
        <v>51.78</v>
      </c>
      <c r="E21" s="64">
        <v>6.62</v>
      </c>
      <c r="F21" s="64">
        <v>2.13</v>
      </c>
      <c r="G21" s="64">
        <v>64.680000000000007</v>
      </c>
      <c r="H21" s="64">
        <v>24.48</v>
      </c>
      <c r="I21" s="210" t="s">
        <v>43</v>
      </c>
      <c r="J21" s="64">
        <v>0.59</v>
      </c>
      <c r="K21" s="64">
        <v>297.76</v>
      </c>
      <c r="L21" s="64">
        <v>13.38</v>
      </c>
      <c r="M21" s="64">
        <v>66.56</v>
      </c>
      <c r="N21" s="64">
        <v>66.3</v>
      </c>
      <c r="O21" s="64">
        <v>0</v>
      </c>
      <c r="P21" s="64">
        <v>0.79</v>
      </c>
      <c r="Q21" s="64">
        <v>9.84</v>
      </c>
      <c r="R21" s="198"/>
      <c r="S21" s="198"/>
      <c r="T21" s="198"/>
      <c r="U21" s="198"/>
    </row>
    <row r="22" spans="1:21" s="12" customFormat="1" x14ac:dyDescent="0.25">
      <c r="A22" s="213" t="s">
        <v>1697</v>
      </c>
      <c r="B22" s="64">
        <v>25.68</v>
      </c>
      <c r="C22" s="64">
        <v>59.8</v>
      </c>
      <c r="D22" s="64">
        <v>50.46</v>
      </c>
      <c r="E22" s="64">
        <v>6.55</v>
      </c>
      <c r="F22" s="64">
        <v>2.13</v>
      </c>
      <c r="G22" s="64">
        <v>64.680000000000007</v>
      </c>
      <c r="H22" s="64">
        <v>24.48</v>
      </c>
      <c r="I22" s="210" t="s">
        <v>43</v>
      </c>
      <c r="J22" s="64">
        <v>0.66</v>
      </c>
      <c r="K22" s="64">
        <v>238.72</v>
      </c>
      <c r="L22" s="64">
        <v>13.28</v>
      </c>
      <c r="M22" s="64">
        <v>67.62</v>
      </c>
      <c r="N22" s="64">
        <v>66</v>
      </c>
      <c r="O22" s="64">
        <v>0</v>
      </c>
      <c r="P22" s="64">
        <v>0.79</v>
      </c>
      <c r="Q22" s="64">
        <v>9.84</v>
      </c>
      <c r="R22" s="198"/>
      <c r="S22" s="198"/>
      <c r="T22" s="198"/>
      <c r="U22" s="198"/>
    </row>
    <row r="23" spans="1:21" s="12" customFormat="1" x14ac:dyDescent="0.25">
      <c r="A23" s="213" t="s">
        <v>1698</v>
      </c>
      <c r="B23" s="64">
        <v>24.5</v>
      </c>
      <c r="C23" s="64">
        <v>59.41</v>
      </c>
      <c r="D23" s="64">
        <v>49.31</v>
      </c>
      <c r="E23" s="64">
        <v>6.73</v>
      </c>
      <c r="F23" s="64">
        <v>2.13</v>
      </c>
      <c r="G23" s="64">
        <v>64.680000000000007</v>
      </c>
      <c r="H23" s="64">
        <v>24.48</v>
      </c>
      <c r="I23" s="210" t="s">
        <v>43</v>
      </c>
      <c r="J23" s="64">
        <v>0.08</v>
      </c>
      <c r="K23" s="64">
        <v>348.23</v>
      </c>
      <c r="L23" s="64">
        <v>13.2</v>
      </c>
      <c r="M23" s="64">
        <v>67.959999999999994</v>
      </c>
      <c r="N23" s="64">
        <v>66.099999999999994</v>
      </c>
      <c r="O23" s="64">
        <v>0</v>
      </c>
      <c r="P23" s="64">
        <v>0.77</v>
      </c>
      <c r="Q23" s="64">
        <v>9.86</v>
      </c>
      <c r="R23" s="198"/>
      <c r="S23" s="198"/>
      <c r="T23" s="198"/>
      <c r="U23" s="198"/>
    </row>
    <row r="24" spans="1:21" s="12" customFormat="1" x14ac:dyDescent="0.25">
      <c r="A24" s="213" t="s">
        <v>1699</v>
      </c>
      <c r="B24" s="64">
        <v>23.8</v>
      </c>
      <c r="C24" s="64">
        <v>59.29</v>
      </c>
      <c r="D24" s="64">
        <v>48.68</v>
      </c>
      <c r="E24" s="64">
        <v>6.74</v>
      </c>
      <c r="F24" s="64">
        <v>2.13</v>
      </c>
      <c r="G24" s="64">
        <v>67.44</v>
      </c>
      <c r="H24" s="64">
        <v>24.16</v>
      </c>
      <c r="I24" s="210" t="s">
        <v>43</v>
      </c>
      <c r="J24" s="64">
        <v>0.38</v>
      </c>
      <c r="K24" s="64">
        <v>346.31</v>
      </c>
      <c r="L24" s="64">
        <v>13.02</v>
      </c>
      <c r="M24" s="64">
        <v>71.569999999999993</v>
      </c>
      <c r="N24" s="64">
        <v>66</v>
      </c>
      <c r="O24" s="64">
        <v>0</v>
      </c>
      <c r="P24" s="64">
        <v>0.76</v>
      </c>
      <c r="Q24" s="64">
        <v>9.83</v>
      </c>
      <c r="R24" s="198"/>
      <c r="S24" s="198"/>
      <c r="T24" s="198"/>
      <c r="U24" s="198"/>
    </row>
    <row r="25" spans="1:21" s="12" customFormat="1" x14ac:dyDescent="0.25">
      <c r="A25" s="213" t="s">
        <v>1700</v>
      </c>
      <c r="B25" s="64">
        <v>23.4</v>
      </c>
      <c r="C25" s="64">
        <v>59.14</v>
      </c>
      <c r="D25" s="64">
        <v>48.29</v>
      </c>
      <c r="E25" s="64">
        <v>7.33</v>
      </c>
      <c r="F25" s="64">
        <v>2.13</v>
      </c>
      <c r="G25" s="64">
        <v>73.56</v>
      </c>
      <c r="H25" s="64">
        <v>23.46</v>
      </c>
      <c r="I25" s="210" t="s">
        <v>43</v>
      </c>
      <c r="J25" s="64">
        <v>0.61</v>
      </c>
      <c r="K25" s="64">
        <v>94.94</v>
      </c>
      <c r="L25" s="64">
        <v>12.76</v>
      </c>
      <c r="M25" s="64">
        <v>73.599999999999994</v>
      </c>
      <c r="N25" s="64">
        <v>65.900000000000006</v>
      </c>
      <c r="O25" s="64">
        <v>0</v>
      </c>
      <c r="P25" s="64">
        <v>0.76</v>
      </c>
      <c r="Q25" s="64">
        <v>9.83</v>
      </c>
      <c r="R25" s="198"/>
      <c r="S25" s="198"/>
      <c r="T25" s="198"/>
      <c r="U25" s="198"/>
    </row>
    <row r="26" spans="1:21" s="12" customFormat="1" x14ac:dyDescent="0.25">
      <c r="A26" s="213" t="s">
        <v>1701</v>
      </c>
      <c r="B26" s="64">
        <v>23.42</v>
      </c>
      <c r="C26" s="64">
        <v>58.13</v>
      </c>
      <c r="D26" s="64">
        <v>47.77</v>
      </c>
      <c r="E26" s="64">
        <v>7.84</v>
      </c>
      <c r="F26" s="64">
        <v>2.13</v>
      </c>
      <c r="G26" s="64">
        <v>73.56</v>
      </c>
      <c r="H26" s="64">
        <v>23.46</v>
      </c>
      <c r="I26" s="210" t="s">
        <v>43</v>
      </c>
      <c r="J26" s="64">
        <v>0.31</v>
      </c>
      <c r="K26" s="64">
        <v>352.18</v>
      </c>
      <c r="L26" s="64">
        <v>12.56</v>
      </c>
      <c r="M26" s="64">
        <v>76.14</v>
      </c>
      <c r="N26" s="64">
        <v>66.2</v>
      </c>
      <c r="O26" s="64">
        <v>0</v>
      </c>
      <c r="P26" s="64">
        <v>0.75</v>
      </c>
      <c r="Q26" s="64">
        <v>9.82</v>
      </c>
      <c r="R26" s="198"/>
      <c r="S26" s="198"/>
      <c r="T26" s="198"/>
      <c r="U26" s="198"/>
    </row>
    <row r="27" spans="1:21" s="12" customFormat="1" x14ac:dyDescent="0.25">
      <c r="A27" s="213" t="s">
        <v>1702</v>
      </c>
      <c r="B27" s="64">
        <v>25.27</v>
      </c>
      <c r="C27" s="64">
        <v>57.08</v>
      </c>
      <c r="D27" s="64">
        <v>48.71</v>
      </c>
      <c r="E27" s="64">
        <v>7.54</v>
      </c>
      <c r="F27" s="64">
        <v>2.13</v>
      </c>
      <c r="G27" s="64">
        <v>73.56</v>
      </c>
      <c r="H27" s="64">
        <v>23.46</v>
      </c>
      <c r="I27" s="210" t="s">
        <v>43</v>
      </c>
      <c r="J27" s="64">
        <v>0.37</v>
      </c>
      <c r="K27" s="64">
        <v>330.52</v>
      </c>
      <c r="L27" s="64">
        <v>12.59</v>
      </c>
      <c r="M27" s="64">
        <v>79.06</v>
      </c>
      <c r="N27" s="64">
        <v>66</v>
      </c>
      <c r="O27" s="64">
        <v>0</v>
      </c>
      <c r="P27" s="64">
        <v>0.79</v>
      </c>
      <c r="Q27" s="64">
        <v>9.82</v>
      </c>
      <c r="R27" s="198"/>
      <c r="S27" s="198"/>
      <c r="T27" s="198"/>
      <c r="U27" s="198"/>
    </row>
    <row r="28" spans="1:21" s="12" customFormat="1" x14ac:dyDescent="0.25">
      <c r="A28" s="213" t="s">
        <v>1703</v>
      </c>
      <c r="B28" s="64">
        <v>27.66</v>
      </c>
      <c r="C28" s="64">
        <v>57.82</v>
      </c>
      <c r="D28" s="64">
        <v>51.02</v>
      </c>
      <c r="E28" s="64">
        <v>7.66</v>
      </c>
      <c r="F28" s="64">
        <v>2.13</v>
      </c>
      <c r="G28" s="64">
        <v>83.4</v>
      </c>
      <c r="H28" s="64">
        <v>24.7</v>
      </c>
      <c r="I28" s="210" t="s">
        <v>43</v>
      </c>
      <c r="J28" s="64">
        <v>0.43</v>
      </c>
      <c r="K28" s="64">
        <v>273.43</v>
      </c>
      <c r="L28" s="64">
        <v>12.28</v>
      </c>
      <c r="M28" s="64">
        <v>81.72</v>
      </c>
      <c r="N28" s="64">
        <v>65.900000000000006</v>
      </c>
      <c r="O28" s="64">
        <v>0</v>
      </c>
      <c r="P28" s="64">
        <v>0.75</v>
      </c>
      <c r="Q28" s="64">
        <v>9.8000000000000007</v>
      </c>
      <c r="R28" s="198"/>
      <c r="S28" s="198"/>
      <c r="T28" s="198"/>
      <c r="U28" s="198"/>
    </row>
    <row r="29" spans="1:21" s="12" customFormat="1" x14ac:dyDescent="0.25">
      <c r="A29" s="213" t="s">
        <v>1704</v>
      </c>
      <c r="B29" s="64">
        <v>30.13</v>
      </c>
      <c r="C29" s="64">
        <v>58.57</v>
      </c>
      <c r="D29" s="64">
        <v>53.38</v>
      </c>
      <c r="E29" s="64">
        <v>7.43</v>
      </c>
      <c r="F29" s="64">
        <v>2.13</v>
      </c>
      <c r="G29" s="64">
        <v>106.35</v>
      </c>
      <c r="H29" s="64">
        <v>27.44</v>
      </c>
      <c r="I29" s="210" t="s">
        <v>43</v>
      </c>
      <c r="J29" s="64">
        <v>0.67</v>
      </c>
      <c r="K29" s="64">
        <v>329.58</v>
      </c>
      <c r="L29" s="64">
        <v>12.22</v>
      </c>
      <c r="M29" s="64">
        <v>83.83</v>
      </c>
      <c r="N29" s="64">
        <v>66</v>
      </c>
      <c r="O29" s="64">
        <v>0</v>
      </c>
      <c r="P29" s="64">
        <v>0.79</v>
      </c>
      <c r="Q29" s="64">
        <v>9.7899999999999991</v>
      </c>
      <c r="R29" s="198"/>
      <c r="S29" s="198"/>
      <c r="T29" s="198"/>
      <c r="U29" s="198"/>
    </row>
    <row r="30" spans="1:21" s="12" customFormat="1" x14ac:dyDescent="0.25">
      <c r="A30" s="213" t="s">
        <v>1705</v>
      </c>
      <c r="B30" s="64">
        <v>33.549999999999997</v>
      </c>
      <c r="C30" s="64">
        <v>57.95</v>
      </c>
      <c r="D30" s="64">
        <v>55.8</v>
      </c>
      <c r="E30" s="64">
        <v>7.76</v>
      </c>
      <c r="F30" s="64">
        <v>2.13</v>
      </c>
      <c r="G30" s="64">
        <v>106.35</v>
      </c>
      <c r="H30" s="64">
        <v>27.44</v>
      </c>
      <c r="I30" s="210" t="s">
        <v>43</v>
      </c>
      <c r="J30" s="64">
        <v>0.62</v>
      </c>
      <c r="K30" s="64">
        <v>291.48</v>
      </c>
      <c r="L30" s="64">
        <v>12.36</v>
      </c>
      <c r="M30" s="64">
        <v>83.65</v>
      </c>
      <c r="N30" s="64">
        <v>65.900000000000006</v>
      </c>
      <c r="O30" s="64">
        <v>0</v>
      </c>
      <c r="P30" s="64">
        <v>0.78</v>
      </c>
      <c r="Q30" s="64">
        <v>9.77</v>
      </c>
      <c r="R30" s="198"/>
      <c r="S30" s="198"/>
      <c r="T30" s="198"/>
      <c r="U30" s="198"/>
    </row>
    <row r="31" spans="1:21" s="12" customFormat="1" x14ac:dyDescent="0.25">
      <c r="A31" s="213" t="s">
        <v>1706</v>
      </c>
      <c r="B31" s="64">
        <v>36.53</v>
      </c>
      <c r="C31" s="64">
        <v>57.86</v>
      </c>
      <c r="D31" s="64">
        <v>58.14</v>
      </c>
      <c r="E31" s="64">
        <v>7.9</v>
      </c>
      <c r="F31" s="64">
        <v>2.13</v>
      </c>
      <c r="G31" s="64">
        <v>106.35</v>
      </c>
      <c r="H31" s="64">
        <v>27.44</v>
      </c>
      <c r="I31" s="210" t="s">
        <v>43</v>
      </c>
      <c r="J31" s="64">
        <v>0.63</v>
      </c>
      <c r="K31" s="64">
        <v>308.16000000000003</v>
      </c>
      <c r="L31" s="64">
        <v>12.06</v>
      </c>
      <c r="M31" s="64">
        <v>86.04</v>
      </c>
      <c r="N31" s="64">
        <v>66.2</v>
      </c>
      <c r="O31" s="64">
        <v>0</v>
      </c>
      <c r="P31" s="64">
        <v>0.81</v>
      </c>
      <c r="Q31" s="64">
        <v>9.77</v>
      </c>
      <c r="R31" s="198"/>
      <c r="S31" s="198"/>
      <c r="T31" s="198"/>
      <c r="U31" s="198"/>
    </row>
    <row r="32" spans="1:21" s="12" customFormat="1" x14ac:dyDescent="0.25">
      <c r="A32" s="213" t="s">
        <v>1707</v>
      </c>
      <c r="B32" s="64">
        <v>39.380000000000003</v>
      </c>
      <c r="C32" s="64">
        <v>57.36</v>
      </c>
      <c r="D32" s="64">
        <v>60.17</v>
      </c>
      <c r="E32" s="64">
        <v>7.7</v>
      </c>
      <c r="F32" s="64">
        <v>2.13</v>
      </c>
      <c r="G32" s="64">
        <v>106.46</v>
      </c>
      <c r="H32" s="64">
        <v>28.03</v>
      </c>
      <c r="I32" s="210" t="s">
        <v>43</v>
      </c>
      <c r="J32" s="64">
        <v>0.56000000000000005</v>
      </c>
      <c r="K32" s="64">
        <v>243.17</v>
      </c>
      <c r="L32" s="64">
        <v>12.07</v>
      </c>
      <c r="M32" s="64">
        <v>86.65</v>
      </c>
      <c r="N32" s="64">
        <v>65.5</v>
      </c>
      <c r="O32" s="64">
        <v>0</v>
      </c>
      <c r="P32" s="64">
        <v>0.83</v>
      </c>
      <c r="Q32" s="64">
        <v>9.7899999999999991</v>
      </c>
      <c r="R32" s="198"/>
      <c r="S32" s="198"/>
      <c r="T32" s="198"/>
      <c r="U32" s="198"/>
    </row>
    <row r="33" spans="1:21" s="12" customFormat="1" x14ac:dyDescent="0.25">
      <c r="A33" s="213" t="s">
        <v>1708</v>
      </c>
      <c r="B33" s="64">
        <v>44.07</v>
      </c>
      <c r="C33" s="64">
        <v>58.04</v>
      </c>
      <c r="D33" s="64">
        <v>64.290000000000006</v>
      </c>
      <c r="E33" s="64">
        <v>8</v>
      </c>
      <c r="F33" s="64">
        <v>2.13</v>
      </c>
      <c r="G33" s="64">
        <v>106.71</v>
      </c>
      <c r="H33" s="64">
        <v>29.32</v>
      </c>
      <c r="I33" s="210" t="s">
        <v>43</v>
      </c>
      <c r="J33" s="64">
        <v>0.61</v>
      </c>
      <c r="K33" s="64">
        <v>246.72</v>
      </c>
      <c r="L33" s="64">
        <v>12.41</v>
      </c>
      <c r="M33" s="64">
        <v>83.8</v>
      </c>
      <c r="N33" s="64">
        <v>65.8</v>
      </c>
      <c r="O33" s="64">
        <v>0</v>
      </c>
      <c r="P33" s="64">
        <v>0.79</v>
      </c>
      <c r="Q33" s="64">
        <v>9.7799999999999994</v>
      </c>
      <c r="R33" s="198"/>
      <c r="S33" s="198"/>
      <c r="T33" s="198"/>
      <c r="U33" s="198"/>
    </row>
    <row r="34" spans="1:21" s="12" customFormat="1" x14ac:dyDescent="0.25">
      <c r="A34" s="213" t="s">
        <v>1709</v>
      </c>
      <c r="B34" s="64">
        <v>50.01</v>
      </c>
      <c r="C34" s="64">
        <v>59.29</v>
      </c>
      <c r="D34" s="64">
        <v>69.7</v>
      </c>
      <c r="E34" s="64">
        <v>8.0500000000000007</v>
      </c>
      <c r="F34" s="64">
        <v>2.13</v>
      </c>
      <c r="G34" s="64">
        <v>106.71</v>
      </c>
      <c r="H34" s="64">
        <v>29.32</v>
      </c>
      <c r="I34" s="210" t="s">
        <v>43</v>
      </c>
      <c r="J34" s="64">
        <v>0.54</v>
      </c>
      <c r="K34" s="64">
        <v>256.5</v>
      </c>
      <c r="L34" s="64">
        <v>12.13</v>
      </c>
      <c r="M34" s="64">
        <v>85.72</v>
      </c>
      <c r="N34" s="64">
        <v>67.900000000000006</v>
      </c>
      <c r="O34" s="64">
        <v>0</v>
      </c>
      <c r="P34" s="64">
        <v>0.79</v>
      </c>
      <c r="Q34" s="64">
        <v>9.77</v>
      </c>
      <c r="R34" s="198"/>
      <c r="S34" s="198"/>
      <c r="T34" s="198"/>
      <c r="U34" s="198"/>
    </row>
    <row r="35" spans="1:21" s="12" customFormat="1" x14ac:dyDescent="0.25">
      <c r="A35" s="213" t="s">
        <v>1710</v>
      </c>
      <c r="B35" s="64">
        <v>55.71</v>
      </c>
      <c r="C35" s="64">
        <v>59</v>
      </c>
      <c r="D35" s="64">
        <v>74.13</v>
      </c>
      <c r="E35" s="64">
        <v>8.17</v>
      </c>
      <c r="F35" s="64">
        <v>2.13</v>
      </c>
      <c r="G35" s="64">
        <v>106.71</v>
      </c>
      <c r="H35" s="64">
        <v>29.32</v>
      </c>
      <c r="I35" s="210" t="s">
        <v>43</v>
      </c>
      <c r="J35" s="64">
        <v>0.63</v>
      </c>
      <c r="K35" s="64">
        <v>259.32</v>
      </c>
      <c r="L35" s="64">
        <v>12.25</v>
      </c>
      <c r="M35" s="64">
        <v>82.32</v>
      </c>
      <c r="N35" s="64">
        <v>75.900000000000006</v>
      </c>
      <c r="O35" s="64">
        <v>0</v>
      </c>
      <c r="P35" s="64">
        <v>0.81</v>
      </c>
      <c r="Q35" s="64">
        <v>9.82</v>
      </c>
      <c r="R35" s="198"/>
      <c r="S35" s="198"/>
      <c r="T35" s="198"/>
      <c r="U35" s="198"/>
    </row>
    <row r="36" spans="1:21" s="12" customFormat="1" x14ac:dyDescent="0.25">
      <c r="A36" s="213" t="s">
        <v>1711</v>
      </c>
      <c r="B36" s="64">
        <v>59.5</v>
      </c>
      <c r="C36" s="64">
        <v>57.83</v>
      </c>
      <c r="D36" s="64">
        <v>76.55</v>
      </c>
      <c r="E36" s="64">
        <v>8.15</v>
      </c>
      <c r="F36" s="64">
        <v>2.13</v>
      </c>
      <c r="G36" s="64">
        <v>107.56</v>
      </c>
      <c r="H36" s="64">
        <v>29.53</v>
      </c>
      <c r="I36" s="210" t="s">
        <v>43</v>
      </c>
      <c r="J36" s="64">
        <v>0.55000000000000004</v>
      </c>
      <c r="K36" s="64">
        <v>287.89</v>
      </c>
      <c r="L36" s="64">
        <v>12.49</v>
      </c>
      <c r="M36" s="64">
        <v>82.77</v>
      </c>
      <c r="N36" s="64">
        <v>90.7</v>
      </c>
      <c r="O36" s="64">
        <v>0</v>
      </c>
      <c r="P36" s="64">
        <v>0.84</v>
      </c>
      <c r="Q36" s="64">
        <v>9.89</v>
      </c>
      <c r="R36" s="198"/>
      <c r="S36" s="198"/>
      <c r="T36" s="198"/>
      <c r="U36" s="198"/>
    </row>
    <row r="37" spans="1:21" s="12" customFormat="1" x14ac:dyDescent="0.25">
      <c r="A37" s="213" t="s">
        <v>1712</v>
      </c>
      <c r="B37" s="64">
        <v>66.400000000000006</v>
      </c>
      <c r="C37" s="64">
        <v>57.27</v>
      </c>
      <c r="D37" s="64">
        <v>81.8</v>
      </c>
      <c r="E37" s="64">
        <v>8.3800000000000008</v>
      </c>
      <c r="F37" s="64">
        <v>2.13</v>
      </c>
      <c r="G37" s="64">
        <v>109.55</v>
      </c>
      <c r="H37" s="64">
        <v>29.99</v>
      </c>
      <c r="I37" s="210" t="s">
        <v>43</v>
      </c>
      <c r="J37" s="64">
        <v>0.65</v>
      </c>
      <c r="K37" s="64">
        <v>243.64</v>
      </c>
      <c r="L37" s="64">
        <v>13.16</v>
      </c>
      <c r="M37" s="64">
        <v>79.739999999999995</v>
      </c>
      <c r="N37" s="64">
        <v>108.7</v>
      </c>
      <c r="O37" s="64">
        <v>0</v>
      </c>
      <c r="P37" s="64">
        <v>0.79</v>
      </c>
      <c r="Q37" s="64">
        <v>9.8699999999999992</v>
      </c>
      <c r="R37" s="198"/>
      <c r="S37" s="198"/>
      <c r="T37" s="198"/>
      <c r="U37" s="198"/>
    </row>
    <row r="38" spans="1:21" s="12" customFormat="1" x14ac:dyDescent="0.25">
      <c r="A38" s="213" t="s">
        <v>1713</v>
      </c>
      <c r="B38" s="64">
        <v>76.180000000000007</v>
      </c>
      <c r="C38" s="64">
        <v>57.67</v>
      </c>
      <c r="D38" s="64">
        <v>89.84</v>
      </c>
      <c r="E38" s="64">
        <v>8.77</v>
      </c>
      <c r="F38" s="64">
        <v>2.13</v>
      </c>
      <c r="G38" s="64">
        <v>109.55</v>
      </c>
      <c r="H38" s="64">
        <v>29.99</v>
      </c>
      <c r="I38" s="210" t="s">
        <v>43</v>
      </c>
      <c r="J38" s="64">
        <v>0.67</v>
      </c>
      <c r="K38" s="64">
        <v>220.48</v>
      </c>
      <c r="L38" s="64">
        <v>13.99</v>
      </c>
      <c r="M38" s="64">
        <v>73.66</v>
      </c>
      <c r="N38" s="64">
        <v>175.3</v>
      </c>
      <c r="O38" s="64">
        <v>0</v>
      </c>
      <c r="P38" s="64">
        <v>0.87</v>
      </c>
      <c r="Q38" s="64">
        <v>9.8800000000000008</v>
      </c>
      <c r="R38" s="198"/>
      <c r="S38" s="198"/>
      <c r="T38" s="198"/>
      <c r="U38" s="198"/>
    </row>
    <row r="39" spans="1:21" s="12" customFormat="1" x14ac:dyDescent="0.25">
      <c r="A39" s="213" t="s">
        <v>1714</v>
      </c>
      <c r="B39" s="64">
        <v>83.09</v>
      </c>
      <c r="C39" s="64">
        <v>58.25</v>
      </c>
      <c r="D39" s="64">
        <v>95.69</v>
      </c>
      <c r="E39" s="64">
        <v>8.91</v>
      </c>
      <c r="F39" s="64">
        <v>2.13</v>
      </c>
      <c r="G39" s="64">
        <v>109.55</v>
      </c>
      <c r="H39" s="64">
        <v>29.99</v>
      </c>
      <c r="I39" s="210" t="s">
        <v>43</v>
      </c>
      <c r="J39" s="64">
        <v>0.35</v>
      </c>
      <c r="K39" s="64">
        <v>241.88</v>
      </c>
      <c r="L39" s="64">
        <v>16.420000000000002</v>
      </c>
      <c r="M39" s="64">
        <v>59.93</v>
      </c>
      <c r="N39" s="64">
        <v>249.4</v>
      </c>
      <c r="O39" s="64">
        <v>0</v>
      </c>
      <c r="P39" s="64">
        <v>0.91</v>
      </c>
      <c r="Q39" s="64">
        <v>9.9499999999999993</v>
      </c>
      <c r="R39" s="198"/>
      <c r="S39" s="198"/>
      <c r="T39" s="198"/>
      <c r="U39" s="198"/>
    </row>
    <row r="40" spans="1:21" s="12" customFormat="1" x14ac:dyDescent="0.25">
      <c r="A40" s="213" t="s">
        <v>1715</v>
      </c>
      <c r="B40" s="64">
        <v>84.27</v>
      </c>
      <c r="C40" s="64">
        <v>58.79</v>
      </c>
      <c r="D40" s="64">
        <v>96.91</v>
      </c>
      <c r="E40" s="64">
        <v>6.69</v>
      </c>
      <c r="F40" s="64">
        <v>2.13</v>
      </c>
      <c r="G40" s="64">
        <v>115.7</v>
      </c>
      <c r="H40" s="64">
        <v>30.06</v>
      </c>
      <c r="I40" s="210" t="s">
        <v>43</v>
      </c>
      <c r="J40" s="64">
        <v>0.72</v>
      </c>
      <c r="K40" s="64">
        <v>176.6</v>
      </c>
      <c r="L40" s="64">
        <v>18.7</v>
      </c>
      <c r="M40" s="64">
        <v>51.22</v>
      </c>
      <c r="N40" s="64">
        <v>312.10000000000002</v>
      </c>
      <c r="O40" s="64">
        <v>0</v>
      </c>
      <c r="P40" s="64">
        <v>0.91</v>
      </c>
      <c r="Q40" s="64">
        <v>10.02</v>
      </c>
      <c r="R40" s="198"/>
      <c r="S40" s="198"/>
      <c r="T40" s="198"/>
      <c r="U40" s="198"/>
    </row>
    <row r="41" spans="1:21" s="12" customFormat="1" x14ac:dyDescent="0.25">
      <c r="A41" s="213" t="s">
        <v>1716</v>
      </c>
      <c r="B41" s="64">
        <v>80.92</v>
      </c>
      <c r="C41" s="64">
        <v>59.44</v>
      </c>
      <c r="D41" s="64">
        <v>94.57</v>
      </c>
      <c r="E41" s="64">
        <v>7.96</v>
      </c>
      <c r="F41" s="64">
        <v>2.13</v>
      </c>
      <c r="G41" s="64">
        <v>129.31</v>
      </c>
      <c r="H41" s="64">
        <v>30.21</v>
      </c>
      <c r="I41" s="210" t="s">
        <v>43</v>
      </c>
      <c r="J41" s="64">
        <v>1.02</v>
      </c>
      <c r="K41" s="64">
        <v>185.53</v>
      </c>
      <c r="L41" s="64">
        <v>19.28</v>
      </c>
      <c r="M41" s="64">
        <v>47.19</v>
      </c>
      <c r="N41" s="64">
        <v>370.1</v>
      </c>
      <c r="O41" s="64">
        <v>0</v>
      </c>
      <c r="P41" s="64">
        <v>0.91</v>
      </c>
      <c r="Q41" s="64">
        <v>10.08</v>
      </c>
      <c r="R41" s="198"/>
      <c r="S41" s="198"/>
      <c r="T41" s="198"/>
      <c r="U41" s="198"/>
    </row>
    <row r="42" spans="1:21" s="12" customFormat="1" x14ac:dyDescent="0.25">
      <c r="A42" s="213" t="s">
        <v>1717</v>
      </c>
      <c r="B42" s="64">
        <v>75.709999999999994</v>
      </c>
      <c r="C42" s="64">
        <v>60.4</v>
      </c>
      <c r="D42" s="64">
        <v>90.9</v>
      </c>
      <c r="E42" s="64">
        <v>7.82</v>
      </c>
      <c r="F42" s="64">
        <v>2.13</v>
      </c>
      <c r="G42" s="64">
        <v>129.31</v>
      </c>
      <c r="H42" s="64">
        <v>30.21</v>
      </c>
      <c r="I42" s="210" t="s">
        <v>43</v>
      </c>
      <c r="J42" s="64">
        <v>1.08</v>
      </c>
      <c r="K42" s="64">
        <v>191.8</v>
      </c>
      <c r="L42" s="64">
        <v>19.27</v>
      </c>
      <c r="M42" s="64">
        <v>45.58</v>
      </c>
      <c r="N42" s="64">
        <v>428.5</v>
      </c>
      <c r="O42" s="64">
        <v>0</v>
      </c>
      <c r="P42" s="64">
        <v>0.91</v>
      </c>
      <c r="Q42" s="64">
        <v>10.08</v>
      </c>
      <c r="R42" s="198"/>
      <c r="S42" s="198"/>
      <c r="T42" s="198"/>
      <c r="U42" s="198"/>
    </row>
    <row r="43" spans="1:21" s="12" customFormat="1" x14ac:dyDescent="0.25">
      <c r="A43" s="213" t="s">
        <v>1718</v>
      </c>
      <c r="B43" s="64">
        <v>69.78</v>
      </c>
      <c r="C43" s="64">
        <v>61.61</v>
      </c>
      <c r="D43" s="64">
        <v>86.77</v>
      </c>
      <c r="E43" s="64">
        <v>7.84</v>
      </c>
      <c r="F43" s="64">
        <v>2.13</v>
      </c>
      <c r="G43" s="64">
        <v>129.31</v>
      </c>
      <c r="H43" s="64">
        <v>30.21</v>
      </c>
      <c r="I43" s="210" t="s">
        <v>43</v>
      </c>
      <c r="J43" s="64">
        <v>1.18</v>
      </c>
      <c r="K43" s="64">
        <v>176.73</v>
      </c>
      <c r="L43" s="64">
        <v>20.6</v>
      </c>
      <c r="M43" s="64">
        <v>42.17</v>
      </c>
      <c r="N43" s="64">
        <v>491.1</v>
      </c>
      <c r="O43" s="64">
        <v>0</v>
      </c>
      <c r="P43" s="64">
        <v>0.9</v>
      </c>
      <c r="Q43" s="64">
        <v>10.09</v>
      </c>
      <c r="R43" s="198"/>
      <c r="S43" s="198"/>
      <c r="T43" s="198"/>
      <c r="U43" s="198"/>
    </row>
    <row r="44" spans="1:21" s="12" customFormat="1" x14ac:dyDescent="0.25">
      <c r="A44" s="213" t="s">
        <v>1719</v>
      </c>
      <c r="B44" s="64">
        <v>63.93</v>
      </c>
      <c r="C44" s="64">
        <v>60.56</v>
      </c>
      <c r="D44" s="64">
        <v>81.53</v>
      </c>
      <c r="E44" s="64">
        <v>7.43</v>
      </c>
      <c r="F44" s="64">
        <v>2.15</v>
      </c>
      <c r="G44" s="64">
        <v>119.77</v>
      </c>
      <c r="H44" s="64">
        <v>29.8</v>
      </c>
      <c r="I44" s="210" t="s">
        <v>43</v>
      </c>
      <c r="J44" s="64">
        <v>1.52</v>
      </c>
      <c r="K44" s="64">
        <v>153.53</v>
      </c>
      <c r="L44" s="64">
        <v>21.26</v>
      </c>
      <c r="M44" s="64">
        <v>39.32</v>
      </c>
      <c r="N44" s="64">
        <v>551.79999999999995</v>
      </c>
      <c r="O44" s="64">
        <v>0</v>
      </c>
      <c r="P44" s="64">
        <v>0.89</v>
      </c>
      <c r="Q44" s="64">
        <v>10.050000000000001</v>
      </c>
      <c r="R44" s="198"/>
      <c r="S44" s="198"/>
      <c r="T44" s="198"/>
      <c r="U44" s="198"/>
    </row>
    <row r="45" spans="1:21" s="12" customFormat="1" x14ac:dyDescent="0.25">
      <c r="A45" s="213" t="s">
        <v>1720</v>
      </c>
      <c r="B45" s="64">
        <v>58.99</v>
      </c>
      <c r="C45" s="64">
        <v>60.97</v>
      </c>
      <c r="D45" s="64">
        <v>77.78</v>
      </c>
      <c r="E45" s="64">
        <v>7.13</v>
      </c>
      <c r="F45" s="64">
        <v>2.13</v>
      </c>
      <c r="G45" s="64">
        <v>97.49</v>
      </c>
      <c r="H45" s="64">
        <v>28.85</v>
      </c>
      <c r="I45" s="210" t="s">
        <v>43</v>
      </c>
      <c r="J45" s="64">
        <v>1.66</v>
      </c>
      <c r="K45" s="64">
        <v>147.26</v>
      </c>
      <c r="L45" s="64">
        <v>22.64</v>
      </c>
      <c r="M45" s="64">
        <v>36.01</v>
      </c>
      <c r="N45" s="64">
        <v>606.9</v>
      </c>
      <c r="O45" s="64">
        <v>0</v>
      </c>
      <c r="P45" s="64">
        <v>0.87</v>
      </c>
      <c r="Q45" s="64">
        <v>10.01</v>
      </c>
      <c r="R45" s="198"/>
      <c r="S45" s="198"/>
      <c r="T45" s="198"/>
      <c r="U45" s="198"/>
    </row>
    <row r="46" spans="1:21" s="12" customFormat="1" x14ac:dyDescent="0.25">
      <c r="A46" s="213" t="s">
        <v>1721</v>
      </c>
      <c r="B46" s="64">
        <v>54.58</v>
      </c>
      <c r="C46" s="64">
        <v>62.26</v>
      </c>
      <c r="D46" s="64">
        <v>74.92</v>
      </c>
      <c r="E46" s="64">
        <v>6.97</v>
      </c>
      <c r="F46" s="64">
        <v>2.13</v>
      </c>
      <c r="G46" s="64">
        <v>97.49</v>
      </c>
      <c r="H46" s="64">
        <v>28.85</v>
      </c>
      <c r="I46" s="210" t="s">
        <v>43</v>
      </c>
      <c r="J46" s="64">
        <v>1</v>
      </c>
      <c r="K46" s="64">
        <v>154.68</v>
      </c>
      <c r="L46" s="64">
        <v>23.51</v>
      </c>
      <c r="M46" s="64">
        <v>34.68</v>
      </c>
      <c r="N46" s="64">
        <v>657.6</v>
      </c>
      <c r="O46" s="64">
        <v>0</v>
      </c>
      <c r="P46" s="64">
        <v>0.86</v>
      </c>
      <c r="Q46" s="64">
        <v>9.9600000000000009</v>
      </c>
      <c r="R46" s="198"/>
      <c r="S46" s="198"/>
      <c r="T46" s="198"/>
      <c r="U46" s="198"/>
    </row>
    <row r="47" spans="1:21" s="12" customFormat="1" x14ac:dyDescent="0.25">
      <c r="A47" s="213" t="s">
        <v>1722</v>
      </c>
      <c r="B47" s="64">
        <v>50.2</v>
      </c>
      <c r="C47" s="64">
        <v>64</v>
      </c>
      <c r="D47" s="64">
        <v>72.31</v>
      </c>
      <c r="E47" s="64">
        <v>6.84</v>
      </c>
      <c r="F47" s="64">
        <v>2.13</v>
      </c>
      <c r="G47" s="64">
        <v>97.49</v>
      </c>
      <c r="H47" s="64">
        <v>28.85</v>
      </c>
      <c r="I47" s="210" t="s">
        <v>43</v>
      </c>
      <c r="J47" s="64">
        <v>0.39</v>
      </c>
      <c r="K47" s="64">
        <v>229.13</v>
      </c>
      <c r="L47" s="64">
        <v>25.29</v>
      </c>
      <c r="M47" s="64">
        <v>29.36</v>
      </c>
      <c r="N47" s="64">
        <v>700.1</v>
      </c>
      <c r="O47" s="64">
        <v>0</v>
      </c>
      <c r="P47" s="64">
        <v>0.85</v>
      </c>
      <c r="Q47" s="64">
        <v>9.91</v>
      </c>
      <c r="R47" s="198"/>
      <c r="S47" s="198"/>
      <c r="T47" s="198"/>
      <c r="U47" s="198"/>
    </row>
    <row r="48" spans="1:21" s="12" customFormat="1" x14ac:dyDescent="0.25">
      <c r="A48" s="213" t="s">
        <v>1723</v>
      </c>
      <c r="B48" s="64">
        <v>45.75</v>
      </c>
      <c r="C48" s="64">
        <v>65.989999999999995</v>
      </c>
      <c r="D48" s="64">
        <v>69.790000000000006</v>
      </c>
      <c r="E48" s="64">
        <v>6.9</v>
      </c>
      <c r="F48" s="64">
        <v>2.13</v>
      </c>
      <c r="G48" s="64">
        <v>90.13</v>
      </c>
      <c r="H48" s="64">
        <v>29.7</v>
      </c>
      <c r="I48" s="210" t="s">
        <v>43</v>
      </c>
      <c r="J48" s="64">
        <v>0.4</v>
      </c>
      <c r="K48" s="64">
        <v>184.57</v>
      </c>
      <c r="L48" s="64">
        <v>25.88</v>
      </c>
      <c r="M48" s="64">
        <v>28.63</v>
      </c>
      <c r="N48" s="64">
        <v>748.4</v>
      </c>
      <c r="O48" s="64">
        <v>0</v>
      </c>
      <c r="P48" s="64">
        <v>0.85</v>
      </c>
      <c r="Q48" s="64">
        <v>9.8800000000000008</v>
      </c>
      <c r="R48" s="198"/>
      <c r="S48" s="198"/>
      <c r="T48" s="198"/>
      <c r="U48" s="198"/>
    </row>
    <row r="49" spans="1:21" s="12" customFormat="1" x14ac:dyDescent="0.25">
      <c r="A49" s="213" t="s">
        <v>1724</v>
      </c>
      <c r="B49" s="64">
        <v>41.59</v>
      </c>
      <c r="C49" s="64">
        <v>67.09</v>
      </c>
      <c r="D49" s="64">
        <v>67.03</v>
      </c>
      <c r="E49" s="64">
        <v>6.72</v>
      </c>
      <c r="F49" s="64">
        <v>2.13</v>
      </c>
      <c r="G49" s="64">
        <v>73.81</v>
      </c>
      <c r="H49" s="64">
        <v>31.56</v>
      </c>
      <c r="I49" s="210" t="s">
        <v>43</v>
      </c>
      <c r="J49" s="64">
        <v>0.55000000000000004</v>
      </c>
      <c r="K49" s="64">
        <v>199.04</v>
      </c>
      <c r="L49" s="64">
        <v>26.17</v>
      </c>
      <c r="M49" s="64">
        <v>27.11</v>
      </c>
      <c r="N49" s="64">
        <v>798.1</v>
      </c>
      <c r="O49" s="64">
        <v>0</v>
      </c>
      <c r="P49" s="64">
        <v>0.85</v>
      </c>
      <c r="Q49" s="64">
        <v>9.8699999999999992</v>
      </c>
      <c r="R49" s="198"/>
      <c r="S49" s="198"/>
      <c r="T49" s="198"/>
      <c r="U49" s="198"/>
    </row>
    <row r="50" spans="1:21" s="12" customFormat="1" x14ac:dyDescent="0.25">
      <c r="A50" s="213" t="s">
        <v>1725</v>
      </c>
      <c r="B50" s="64">
        <v>36.71</v>
      </c>
      <c r="C50" s="64">
        <v>68.319999999999993</v>
      </c>
      <c r="D50" s="64">
        <v>63.75</v>
      </c>
      <c r="E50" s="64">
        <v>6.82</v>
      </c>
      <c r="F50" s="64">
        <v>2.13</v>
      </c>
      <c r="G50" s="64">
        <v>73.81</v>
      </c>
      <c r="H50" s="64">
        <v>31.56</v>
      </c>
      <c r="I50" s="210" t="s">
        <v>43</v>
      </c>
      <c r="J50" s="64">
        <v>0.35</v>
      </c>
      <c r="K50" s="64">
        <v>193.72</v>
      </c>
      <c r="L50" s="64">
        <v>26.05</v>
      </c>
      <c r="M50" s="64">
        <v>26.36</v>
      </c>
      <c r="N50" s="64">
        <v>823.8</v>
      </c>
      <c r="O50" s="64">
        <v>0</v>
      </c>
      <c r="P50" s="64">
        <v>0.83</v>
      </c>
      <c r="Q50" s="64">
        <v>9.85</v>
      </c>
      <c r="R50" s="198"/>
      <c r="S50" s="198"/>
      <c r="T50" s="198"/>
      <c r="U50" s="198"/>
    </row>
    <row r="51" spans="1:21" s="12" customFormat="1" x14ac:dyDescent="0.25">
      <c r="A51" s="213" t="s">
        <v>1726</v>
      </c>
      <c r="B51" s="64">
        <v>31.89</v>
      </c>
      <c r="C51" s="64">
        <v>70.239999999999995</v>
      </c>
      <c r="D51" s="64">
        <v>60.89</v>
      </c>
      <c r="E51" s="64">
        <v>6.99</v>
      </c>
      <c r="F51" s="64">
        <v>2.13</v>
      </c>
      <c r="G51" s="64">
        <v>73.81</v>
      </c>
      <c r="H51" s="64">
        <v>31.56</v>
      </c>
      <c r="I51" s="210" t="s">
        <v>43</v>
      </c>
      <c r="J51" s="64">
        <v>0.39</v>
      </c>
      <c r="K51" s="64">
        <v>242.91</v>
      </c>
      <c r="L51" s="64">
        <v>27.49</v>
      </c>
      <c r="M51" s="64">
        <v>24.68</v>
      </c>
      <c r="N51" s="64">
        <v>849</v>
      </c>
      <c r="O51" s="64">
        <v>0</v>
      </c>
      <c r="P51" s="64">
        <v>0.84</v>
      </c>
      <c r="Q51" s="64">
        <v>9.81</v>
      </c>
      <c r="R51" s="198"/>
      <c r="S51" s="198"/>
      <c r="T51" s="198"/>
      <c r="U51" s="198"/>
    </row>
    <row r="52" spans="1:21" s="12" customFormat="1" x14ac:dyDescent="0.25">
      <c r="A52" s="213" t="s">
        <v>1727</v>
      </c>
      <c r="B52" s="64">
        <v>27.17</v>
      </c>
      <c r="C52" s="64">
        <v>73.12</v>
      </c>
      <c r="D52" s="64">
        <v>58.61</v>
      </c>
      <c r="E52" s="64">
        <v>7.16</v>
      </c>
      <c r="F52" s="64">
        <v>2.13</v>
      </c>
      <c r="G52" s="64">
        <v>76.010000000000005</v>
      </c>
      <c r="H52" s="64">
        <v>31.16</v>
      </c>
      <c r="I52" s="210" t="s">
        <v>43</v>
      </c>
      <c r="J52" s="64">
        <v>0.56000000000000005</v>
      </c>
      <c r="K52" s="64">
        <v>285.38</v>
      </c>
      <c r="L52" s="64">
        <v>29.38</v>
      </c>
      <c r="M52" s="64">
        <v>23.87</v>
      </c>
      <c r="N52" s="64">
        <v>869.2</v>
      </c>
      <c r="O52" s="64">
        <v>0</v>
      </c>
      <c r="P52" s="64">
        <v>0.86</v>
      </c>
      <c r="Q52" s="64">
        <v>9.7799999999999994</v>
      </c>
      <c r="R52" s="198"/>
      <c r="S52" s="198"/>
      <c r="T52" s="198"/>
      <c r="U52" s="198"/>
    </row>
    <row r="53" spans="1:21" s="12" customFormat="1" x14ac:dyDescent="0.25">
      <c r="A53" s="213" t="s">
        <v>1728</v>
      </c>
      <c r="B53" s="64">
        <v>22.13</v>
      </c>
      <c r="C53" s="64">
        <v>75.77</v>
      </c>
      <c r="D53" s="64">
        <v>55.96</v>
      </c>
      <c r="E53" s="64">
        <v>7.14</v>
      </c>
      <c r="F53" s="64">
        <v>2.13</v>
      </c>
      <c r="G53" s="64">
        <v>80.86</v>
      </c>
      <c r="H53" s="64">
        <v>30.29</v>
      </c>
      <c r="I53" s="210" t="s">
        <v>43</v>
      </c>
      <c r="J53" s="64">
        <v>0.53</v>
      </c>
      <c r="K53" s="64">
        <v>272.18</v>
      </c>
      <c r="L53" s="64">
        <v>28.61</v>
      </c>
      <c r="M53" s="64">
        <v>24.94</v>
      </c>
      <c r="N53" s="64">
        <v>897</v>
      </c>
      <c r="O53" s="64">
        <v>0</v>
      </c>
      <c r="P53" s="64">
        <v>0.87</v>
      </c>
      <c r="Q53" s="64">
        <v>9.7799999999999994</v>
      </c>
      <c r="R53" s="198"/>
      <c r="S53" s="198"/>
      <c r="T53" s="198"/>
      <c r="U53" s="198"/>
    </row>
    <row r="54" spans="1:21" s="12" customFormat="1" x14ac:dyDescent="0.25">
      <c r="A54" s="213" t="s">
        <v>1729</v>
      </c>
      <c r="B54" s="64">
        <v>17.149999999999999</v>
      </c>
      <c r="C54" s="64">
        <v>78.099999999999994</v>
      </c>
      <c r="D54" s="64">
        <v>53.18</v>
      </c>
      <c r="E54" s="64">
        <v>7</v>
      </c>
      <c r="F54" s="64">
        <v>2.13</v>
      </c>
      <c r="G54" s="64">
        <v>80.86</v>
      </c>
      <c r="H54" s="64">
        <v>30.29</v>
      </c>
      <c r="I54" s="210" t="s">
        <v>43</v>
      </c>
      <c r="J54" s="64">
        <v>0.34</v>
      </c>
      <c r="K54" s="64">
        <v>188.47</v>
      </c>
      <c r="L54" s="64">
        <v>28.48</v>
      </c>
      <c r="M54" s="64">
        <v>24.79</v>
      </c>
      <c r="N54" s="64">
        <v>907.3</v>
      </c>
      <c r="O54" s="64">
        <v>0</v>
      </c>
      <c r="P54" s="64">
        <v>0.88</v>
      </c>
      <c r="Q54" s="64">
        <v>9.81</v>
      </c>
      <c r="R54" s="198"/>
      <c r="S54" s="198"/>
      <c r="T54" s="198"/>
      <c r="U54" s="198"/>
    </row>
    <row r="55" spans="1:21" s="12" customFormat="1" x14ac:dyDescent="0.25">
      <c r="A55" s="213" t="s">
        <v>1730</v>
      </c>
      <c r="B55" s="64">
        <v>13.17</v>
      </c>
      <c r="C55" s="64">
        <v>79.14</v>
      </c>
      <c r="D55" s="64">
        <v>50.54</v>
      </c>
      <c r="E55" s="64">
        <v>6.91</v>
      </c>
      <c r="F55" s="64">
        <v>2.13</v>
      </c>
      <c r="G55" s="64">
        <v>80.86</v>
      </c>
      <c r="H55" s="64">
        <v>30.29</v>
      </c>
      <c r="I55" s="210" t="s">
        <v>43</v>
      </c>
      <c r="J55" s="64">
        <v>0.59</v>
      </c>
      <c r="K55" s="64">
        <v>296.39</v>
      </c>
      <c r="L55" s="64">
        <v>29.57</v>
      </c>
      <c r="M55" s="64">
        <v>22.27</v>
      </c>
      <c r="N55" s="64">
        <v>892.6</v>
      </c>
      <c r="O55" s="64">
        <v>0</v>
      </c>
      <c r="P55" s="64">
        <v>0.89</v>
      </c>
      <c r="Q55" s="64">
        <v>9.7899999999999991</v>
      </c>
      <c r="R55" s="198"/>
      <c r="S55" s="198"/>
      <c r="T55" s="198"/>
      <c r="U55" s="198"/>
    </row>
    <row r="56" spans="1:21" s="12" customFormat="1" x14ac:dyDescent="0.25">
      <c r="A56" s="213" t="s">
        <v>1731</v>
      </c>
      <c r="B56" s="64">
        <v>10.28</v>
      </c>
      <c r="C56" s="64">
        <v>79.37</v>
      </c>
      <c r="D56" s="64">
        <v>48.34</v>
      </c>
      <c r="E56" s="64">
        <v>7.11</v>
      </c>
      <c r="F56" s="64">
        <v>2.13</v>
      </c>
      <c r="G56" s="64">
        <v>81.16</v>
      </c>
      <c r="H56" s="64">
        <v>29.68</v>
      </c>
      <c r="I56" s="210" t="s">
        <v>43</v>
      </c>
      <c r="J56" s="64">
        <v>0.62</v>
      </c>
      <c r="K56" s="64">
        <v>287.92</v>
      </c>
      <c r="L56" s="64">
        <v>30.89</v>
      </c>
      <c r="M56" s="64">
        <v>19.71</v>
      </c>
      <c r="N56" s="64">
        <v>861.1</v>
      </c>
      <c r="O56" s="64">
        <v>0</v>
      </c>
      <c r="P56" s="64">
        <v>0.9</v>
      </c>
      <c r="Q56" s="64">
        <v>9.76</v>
      </c>
      <c r="R56" s="198"/>
      <c r="S56" s="198"/>
      <c r="T56" s="198"/>
      <c r="U56" s="198"/>
    </row>
    <row r="57" spans="1:21" s="12" customFormat="1" x14ac:dyDescent="0.25">
      <c r="A57" s="213" t="s">
        <v>1732</v>
      </c>
      <c r="B57" s="64">
        <v>8.5</v>
      </c>
      <c r="C57" s="64">
        <v>79.180000000000007</v>
      </c>
      <c r="D57" s="64">
        <v>46.81</v>
      </c>
      <c r="E57" s="64">
        <v>7.34</v>
      </c>
      <c r="F57" s="64">
        <v>2.13</v>
      </c>
      <c r="G57" s="64">
        <v>81.81</v>
      </c>
      <c r="H57" s="64">
        <v>28.31</v>
      </c>
      <c r="I57" s="210" t="s">
        <v>43</v>
      </c>
      <c r="J57" s="64">
        <v>1.05</v>
      </c>
      <c r="K57" s="64">
        <v>316.49</v>
      </c>
      <c r="L57" s="64">
        <v>32.85</v>
      </c>
      <c r="M57" s="64">
        <v>17.73</v>
      </c>
      <c r="N57" s="64">
        <v>862</v>
      </c>
      <c r="O57" s="64">
        <v>0</v>
      </c>
      <c r="P57" s="64">
        <v>0.92</v>
      </c>
      <c r="Q57" s="64">
        <v>9.7100000000000009</v>
      </c>
      <c r="R57" s="198"/>
      <c r="S57" s="198"/>
      <c r="T57" s="198"/>
      <c r="U57" s="198"/>
    </row>
    <row r="58" spans="1:21" s="12" customFormat="1" x14ac:dyDescent="0.25">
      <c r="A58" s="213" t="s">
        <v>1733</v>
      </c>
      <c r="B58" s="64">
        <v>7.76</v>
      </c>
      <c r="C58" s="64">
        <v>78.430000000000007</v>
      </c>
      <c r="D58" s="64">
        <v>45.82</v>
      </c>
      <c r="E58" s="64">
        <v>7.21</v>
      </c>
      <c r="F58" s="64">
        <v>2.13</v>
      </c>
      <c r="G58" s="64">
        <v>81.81</v>
      </c>
      <c r="H58" s="64">
        <v>28.31</v>
      </c>
      <c r="I58" s="210" t="s">
        <v>43</v>
      </c>
      <c r="J58" s="64">
        <v>1.01</v>
      </c>
      <c r="K58" s="64">
        <v>311.04000000000002</v>
      </c>
      <c r="L58" s="64">
        <v>32.799999999999997</v>
      </c>
      <c r="M58" s="64">
        <v>17.190000000000001</v>
      </c>
      <c r="N58" s="64">
        <v>841.8</v>
      </c>
      <c r="O58" s="64">
        <v>0</v>
      </c>
      <c r="P58" s="64">
        <v>0.92</v>
      </c>
      <c r="Q58" s="64">
        <v>9.69</v>
      </c>
      <c r="R58" s="198"/>
      <c r="S58" s="198"/>
      <c r="T58" s="198"/>
      <c r="U58" s="198"/>
    </row>
    <row r="59" spans="1:21" s="12" customFormat="1" x14ac:dyDescent="0.25">
      <c r="A59" s="213" t="s">
        <v>1734</v>
      </c>
      <c r="B59" s="64">
        <v>7.32</v>
      </c>
      <c r="C59" s="64">
        <v>77.37</v>
      </c>
      <c r="D59" s="64">
        <v>44.92</v>
      </c>
      <c r="E59" s="64">
        <v>7.25</v>
      </c>
      <c r="F59" s="64">
        <v>2.13</v>
      </c>
      <c r="G59" s="64">
        <v>81.81</v>
      </c>
      <c r="H59" s="64">
        <v>28.31</v>
      </c>
      <c r="I59" s="210" t="s">
        <v>43</v>
      </c>
      <c r="J59" s="64">
        <v>0.43</v>
      </c>
      <c r="K59" s="64">
        <v>160.07</v>
      </c>
      <c r="L59" s="64">
        <v>31.64</v>
      </c>
      <c r="M59" s="64">
        <v>17.55</v>
      </c>
      <c r="N59" s="64">
        <v>825</v>
      </c>
      <c r="O59" s="64">
        <v>0</v>
      </c>
      <c r="P59" s="64">
        <v>0.9</v>
      </c>
      <c r="Q59" s="64">
        <v>9.68</v>
      </c>
      <c r="R59" s="198"/>
      <c r="S59" s="198"/>
      <c r="T59" s="198"/>
      <c r="U59" s="198"/>
    </row>
    <row r="60" spans="1:21" s="12" customFormat="1" x14ac:dyDescent="0.25">
      <c r="A60" s="213" t="s">
        <v>1735</v>
      </c>
      <c r="B60" s="64">
        <v>6.41</v>
      </c>
      <c r="C60" s="64">
        <v>74.98</v>
      </c>
      <c r="D60" s="64">
        <v>42.94</v>
      </c>
      <c r="E60" s="64">
        <v>6.99</v>
      </c>
      <c r="F60" s="64">
        <v>2.13</v>
      </c>
      <c r="G60" s="64">
        <v>77.23</v>
      </c>
      <c r="H60" s="64">
        <v>27.51</v>
      </c>
      <c r="I60" s="210" t="s">
        <v>43</v>
      </c>
      <c r="J60" s="64">
        <v>0.46</v>
      </c>
      <c r="K60" s="64">
        <v>267.7</v>
      </c>
      <c r="L60" s="64">
        <v>30.69</v>
      </c>
      <c r="M60" s="64">
        <v>17.47</v>
      </c>
      <c r="N60" s="64">
        <v>827.5</v>
      </c>
      <c r="O60" s="64">
        <v>0</v>
      </c>
      <c r="P60" s="64">
        <v>0.87</v>
      </c>
      <c r="Q60" s="64">
        <v>9.68</v>
      </c>
      <c r="R60" s="198"/>
      <c r="S60" s="198"/>
      <c r="T60" s="198"/>
      <c r="U60" s="198"/>
    </row>
    <row r="61" spans="1:21" s="12" customFormat="1" x14ac:dyDescent="0.25">
      <c r="A61" s="213" t="s">
        <v>1736</v>
      </c>
      <c r="B61" s="64">
        <v>5.71</v>
      </c>
      <c r="C61" s="64">
        <v>72.19</v>
      </c>
      <c r="D61" s="64">
        <v>40.909999999999997</v>
      </c>
      <c r="E61" s="64">
        <v>6.91</v>
      </c>
      <c r="F61" s="64">
        <v>2.4900000000000002</v>
      </c>
      <c r="G61" s="64">
        <v>67.069999999999993</v>
      </c>
      <c r="H61" s="64">
        <v>25.75</v>
      </c>
      <c r="I61" s="210" t="s">
        <v>43</v>
      </c>
      <c r="J61" s="64">
        <v>0.93</v>
      </c>
      <c r="K61" s="64">
        <v>263.43</v>
      </c>
      <c r="L61" s="64">
        <v>30.73</v>
      </c>
      <c r="M61" s="64">
        <v>16.55</v>
      </c>
      <c r="N61" s="64">
        <v>834.9</v>
      </c>
      <c r="O61" s="64">
        <v>0</v>
      </c>
      <c r="P61" s="64">
        <v>0.8</v>
      </c>
      <c r="Q61" s="64">
        <v>9.68</v>
      </c>
      <c r="R61" s="198"/>
      <c r="S61" s="198"/>
      <c r="T61" s="198"/>
      <c r="U61" s="198"/>
    </row>
    <row r="62" spans="1:21" s="12" customFormat="1" x14ac:dyDescent="0.25">
      <c r="A62" s="213" t="s">
        <v>1737</v>
      </c>
      <c r="B62" s="64">
        <v>5.09</v>
      </c>
      <c r="C62" s="64">
        <v>68.790000000000006</v>
      </c>
      <c r="D62" s="64">
        <v>38.64</v>
      </c>
      <c r="E62" s="64">
        <v>6.54</v>
      </c>
      <c r="F62" s="64">
        <v>2.59</v>
      </c>
      <c r="G62" s="64">
        <v>67.069999999999993</v>
      </c>
      <c r="H62" s="64">
        <v>25.75</v>
      </c>
      <c r="I62" s="210" t="s">
        <v>43</v>
      </c>
      <c r="J62" s="64">
        <v>0.76</v>
      </c>
      <c r="K62" s="64">
        <v>269.49</v>
      </c>
      <c r="L62" s="64">
        <v>29.68</v>
      </c>
      <c r="M62" s="64">
        <v>17.600000000000001</v>
      </c>
      <c r="N62" s="64">
        <v>815.9</v>
      </c>
      <c r="O62" s="64">
        <v>0</v>
      </c>
      <c r="P62" s="64">
        <v>0.77</v>
      </c>
      <c r="Q62" s="64">
        <v>9.67</v>
      </c>
      <c r="R62" s="198"/>
      <c r="S62" s="198"/>
      <c r="T62" s="198"/>
      <c r="U62" s="198"/>
    </row>
    <row r="63" spans="1:21" s="12" customFormat="1" x14ac:dyDescent="0.25">
      <c r="A63" s="213" t="s">
        <v>1738</v>
      </c>
      <c r="B63" s="64">
        <v>4.83</v>
      </c>
      <c r="C63" s="64">
        <v>66.8</v>
      </c>
      <c r="D63" s="64">
        <v>37.4</v>
      </c>
      <c r="E63" s="64">
        <v>6.44</v>
      </c>
      <c r="F63" s="64">
        <v>2.62</v>
      </c>
      <c r="G63" s="64">
        <v>67.069999999999993</v>
      </c>
      <c r="H63" s="64">
        <v>25.75</v>
      </c>
      <c r="I63" s="210" t="s">
        <v>43</v>
      </c>
      <c r="J63" s="64">
        <v>0.84</v>
      </c>
      <c r="K63" s="64">
        <v>297.72000000000003</v>
      </c>
      <c r="L63" s="64">
        <v>31.23</v>
      </c>
      <c r="M63" s="64">
        <v>16.3</v>
      </c>
      <c r="N63" s="64">
        <v>779</v>
      </c>
      <c r="O63" s="64">
        <v>0</v>
      </c>
      <c r="P63" s="64">
        <v>0.72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3" t="s">
        <v>1739</v>
      </c>
      <c r="B64" s="64">
        <v>4.8899999999999997</v>
      </c>
      <c r="C64" s="64">
        <v>65.209999999999994</v>
      </c>
      <c r="D64" s="64">
        <v>36.61</v>
      </c>
      <c r="E64" s="64">
        <v>6.25</v>
      </c>
      <c r="F64" s="64">
        <v>2.61</v>
      </c>
      <c r="G64" s="64">
        <v>62.35</v>
      </c>
      <c r="H64" s="64">
        <v>24.53</v>
      </c>
      <c r="I64" s="210" t="s">
        <v>43</v>
      </c>
      <c r="J64" s="64">
        <v>0.65</v>
      </c>
      <c r="K64" s="64">
        <v>254.96</v>
      </c>
      <c r="L64" s="64">
        <v>30.65</v>
      </c>
      <c r="M64" s="64">
        <v>16.21</v>
      </c>
      <c r="N64" s="64">
        <v>579.5</v>
      </c>
      <c r="O64" s="64">
        <v>0</v>
      </c>
      <c r="P64" s="64">
        <v>0.72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3" t="s">
        <v>1740</v>
      </c>
      <c r="B65" s="64">
        <v>4.83</v>
      </c>
      <c r="C65" s="64">
        <v>63.26</v>
      </c>
      <c r="D65" s="64">
        <v>35.549999999999997</v>
      </c>
      <c r="E65" s="64">
        <v>6.45</v>
      </c>
      <c r="F65" s="64">
        <v>3.27</v>
      </c>
      <c r="G65" s="64">
        <v>51.91</v>
      </c>
      <c r="H65" s="64">
        <v>21.82</v>
      </c>
      <c r="I65" s="210" t="s">
        <v>43</v>
      </c>
      <c r="J65" s="64">
        <v>0.79</v>
      </c>
      <c r="K65" s="64">
        <v>258.64999999999998</v>
      </c>
      <c r="L65" s="64">
        <v>30.22</v>
      </c>
      <c r="M65" s="64">
        <v>16.329999999999998</v>
      </c>
      <c r="N65" s="64">
        <v>695.3</v>
      </c>
      <c r="O65" s="64">
        <v>0</v>
      </c>
      <c r="P65" s="64">
        <v>0.68</v>
      </c>
      <c r="Q65" s="64">
        <v>9.58</v>
      </c>
      <c r="R65" s="198"/>
      <c r="S65" s="198"/>
      <c r="T65" s="198"/>
      <c r="U65" s="198"/>
    </row>
    <row r="66" spans="1:21" s="12" customFormat="1" x14ac:dyDescent="0.25">
      <c r="A66" s="213" t="s">
        <v>1741</v>
      </c>
      <c r="B66" s="64">
        <v>4.7300000000000004</v>
      </c>
      <c r="C66" s="64">
        <v>61.09</v>
      </c>
      <c r="D66" s="64">
        <v>34.33</v>
      </c>
      <c r="E66" s="64">
        <v>6.06</v>
      </c>
      <c r="F66" s="64">
        <v>3.43</v>
      </c>
      <c r="G66" s="64">
        <v>51.91</v>
      </c>
      <c r="H66" s="64">
        <v>21.82</v>
      </c>
      <c r="I66" s="210" t="s">
        <v>43</v>
      </c>
      <c r="J66" s="64">
        <v>0.64</v>
      </c>
      <c r="K66" s="64">
        <v>280.68</v>
      </c>
      <c r="L66" s="64">
        <v>30.91</v>
      </c>
      <c r="M66" s="64">
        <v>16.03</v>
      </c>
      <c r="N66" s="64">
        <v>702</v>
      </c>
      <c r="O66" s="64">
        <v>0</v>
      </c>
      <c r="P66" s="64">
        <v>0.67</v>
      </c>
      <c r="Q66" s="64">
        <v>9.5399999999999991</v>
      </c>
      <c r="R66" s="198"/>
      <c r="S66" s="198"/>
      <c r="T66" s="198"/>
      <c r="U66" s="198"/>
    </row>
    <row r="67" spans="1:21" s="12" customFormat="1" x14ac:dyDescent="0.25">
      <c r="A67" s="213" t="s">
        <v>1742</v>
      </c>
      <c r="B67" s="64">
        <v>4.8099999999999996</v>
      </c>
      <c r="C67" s="64">
        <v>59.92</v>
      </c>
      <c r="D67" s="64">
        <v>33.78</v>
      </c>
      <c r="E67" s="64">
        <v>6.26</v>
      </c>
      <c r="F67" s="64">
        <v>3.7</v>
      </c>
      <c r="G67" s="64">
        <v>51.91</v>
      </c>
      <c r="H67" s="64">
        <v>21.82</v>
      </c>
      <c r="I67" s="210" t="s">
        <v>43</v>
      </c>
      <c r="J67" s="64">
        <v>0.57999999999999996</v>
      </c>
      <c r="K67" s="64">
        <v>256.41000000000003</v>
      </c>
      <c r="L67" s="64">
        <v>29.96</v>
      </c>
      <c r="M67" s="64">
        <v>16.11</v>
      </c>
      <c r="N67" s="64">
        <v>510</v>
      </c>
      <c r="O67" s="64">
        <v>0</v>
      </c>
      <c r="P67" s="64">
        <v>0.66</v>
      </c>
      <c r="Q67" s="64">
        <v>9.5</v>
      </c>
      <c r="R67" s="198"/>
      <c r="S67" s="198"/>
      <c r="T67" s="198"/>
      <c r="U67" s="198"/>
    </row>
    <row r="68" spans="1:21" s="12" customFormat="1" x14ac:dyDescent="0.25">
      <c r="A68" s="213" t="s">
        <v>1743</v>
      </c>
      <c r="B68" s="64">
        <v>4.84</v>
      </c>
      <c r="C68" s="64">
        <v>58.96</v>
      </c>
      <c r="D68" s="64">
        <v>33.299999999999997</v>
      </c>
      <c r="E68" s="64">
        <v>5.98</v>
      </c>
      <c r="F68" s="64">
        <v>4.09</v>
      </c>
      <c r="G68" s="64">
        <v>51.8</v>
      </c>
      <c r="H68" s="64">
        <v>21.22</v>
      </c>
      <c r="I68" s="210" t="s">
        <v>43</v>
      </c>
      <c r="J68" s="64">
        <v>0.75</v>
      </c>
      <c r="K68" s="64">
        <v>238.08</v>
      </c>
      <c r="L68" s="64">
        <v>29.24</v>
      </c>
      <c r="M68" s="64">
        <v>16.09</v>
      </c>
      <c r="N68" s="64">
        <v>393.1</v>
      </c>
      <c r="O68" s="64">
        <v>0</v>
      </c>
      <c r="P68" s="64">
        <v>0.59</v>
      </c>
      <c r="Q68" s="64">
        <v>9.4600000000000009</v>
      </c>
      <c r="R68" s="198"/>
      <c r="S68" s="198"/>
      <c r="T68" s="198"/>
      <c r="U68" s="198"/>
    </row>
    <row r="69" spans="1:21" s="12" customFormat="1" x14ac:dyDescent="0.25">
      <c r="A69" s="213" t="s">
        <v>1744</v>
      </c>
      <c r="B69" s="64">
        <v>4.6399999999999997</v>
      </c>
      <c r="C69" s="64">
        <v>57.04</v>
      </c>
      <c r="D69" s="64">
        <v>32.14</v>
      </c>
      <c r="E69" s="64">
        <v>6.21</v>
      </c>
      <c r="F69" s="64">
        <v>4.43</v>
      </c>
      <c r="G69" s="64">
        <v>51.54</v>
      </c>
      <c r="H69" s="64">
        <v>19.88</v>
      </c>
      <c r="I69" s="210" t="s">
        <v>43</v>
      </c>
      <c r="J69" s="64">
        <v>0.66</v>
      </c>
      <c r="K69" s="64">
        <v>284.47000000000003</v>
      </c>
      <c r="L69" s="64">
        <v>29.45</v>
      </c>
      <c r="M69" s="64">
        <v>16.489999999999998</v>
      </c>
      <c r="N69" s="64">
        <v>437.5</v>
      </c>
      <c r="O69" s="64">
        <v>0</v>
      </c>
      <c r="P69" s="64">
        <v>0.6</v>
      </c>
      <c r="Q69" s="64">
        <v>9.44</v>
      </c>
      <c r="R69" s="198"/>
      <c r="S69" s="198"/>
      <c r="T69" s="198"/>
      <c r="U69" s="198"/>
    </row>
    <row r="70" spans="1:21" s="12" customFormat="1" x14ac:dyDescent="0.25">
      <c r="A70" s="213" t="s">
        <v>1745</v>
      </c>
      <c r="B70" s="64">
        <v>4.55</v>
      </c>
      <c r="C70" s="64">
        <v>55.15</v>
      </c>
      <c r="D70" s="64">
        <v>31.09</v>
      </c>
      <c r="E70" s="64">
        <v>6.43</v>
      </c>
      <c r="F70" s="64">
        <v>3.84</v>
      </c>
      <c r="G70" s="64">
        <v>51.54</v>
      </c>
      <c r="H70" s="64">
        <v>19.88</v>
      </c>
      <c r="I70" s="210" t="s">
        <v>43</v>
      </c>
      <c r="J70" s="64">
        <v>0.56000000000000005</v>
      </c>
      <c r="K70" s="64">
        <v>257.24</v>
      </c>
      <c r="L70" s="64">
        <v>29.32</v>
      </c>
      <c r="M70" s="64">
        <v>15.66</v>
      </c>
      <c r="N70" s="64">
        <v>431.5</v>
      </c>
      <c r="O70" s="64">
        <v>0</v>
      </c>
      <c r="P70" s="64">
        <v>0.57999999999999996</v>
      </c>
      <c r="Q70" s="64">
        <v>9.43</v>
      </c>
      <c r="R70" s="198"/>
      <c r="S70" s="198"/>
      <c r="T70" s="198"/>
      <c r="U70" s="198"/>
    </row>
    <row r="71" spans="1:21" s="12" customFormat="1" x14ac:dyDescent="0.25">
      <c r="A71" s="213" t="s">
        <v>1746</v>
      </c>
      <c r="B71" s="64">
        <v>4.46</v>
      </c>
      <c r="C71" s="64">
        <v>53.24</v>
      </c>
      <c r="D71" s="64">
        <v>30.01</v>
      </c>
      <c r="E71" s="64">
        <v>6.77</v>
      </c>
      <c r="F71" s="64">
        <v>3.59</v>
      </c>
      <c r="G71" s="64">
        <v>51.54</v>
      </c>
      <c r="H71" s="64">
        <v>19.88</v>
      </c>
      <c r="I71" s="210" t="s">
        <v>43</v>
      </c>
      <c r="J71" s="64">
        <v>0.39</v>
      </c>
      <c r="K71" s="64">
        <v>278.41000000000003</v>
      </c>
      <c r="L71" s="64">
        <v>28.83</v>
      </c>
      <c r="M71" s="64">
        <v>16.350000000000001</v>
      </c>
      <c r="N71" s="64">
        <v>361</v>
      </c>
      <c r="O71" s="64">
        <v>0</v>
      </c>
      <c r="P71" s="64">
        <v>0.56000000000000005</v>
      </c>
      <c r="Q71" s="64">
        <v>9.39</v>
      </c>
      <c r="R71" s="198"/>
      <c r="S71" s="198"/>
      <c r="T71" s="198"/>
      <c r="U71" s="198"/>
    </row>
    <row r="72" spans="1:21" s="12" customFormat="1" x14ac:dyDescent="0.25">
      <c r="A72" s="213" t="s">
        <v>1747</v>
      </c>
      <c r="B72" s="64">
        <v>4.51</v>
      </c>
      <c r="C72" s="64">
        <v>52.05</v>
      </c>
      <c r="D72" s="64">
        <v>29.43</v>
      </c>
      <c r="E72" s="64">
        <v>7.96</v>
      </c>
      <c r="F72" s="64">
        <v>3.61</v>
      </c>
      <c r="G72" s="64">
        <v>51.04</v>
      </c>
      <c r="H72" s="64">
        <v>18.47</v>
      </c>
      <c r="I72" s="210" t="s">
        <v>43</v>
      </c>
      <c r="J72" s="64">
        <v>0.63</v>
      </c>
      <c r="K72" s="64">
        <v>256.05</v>
      </c>
      <c r="L72" s="64">
        <v>28.43</v>
      </c>
      <c r="M72" s="64">
        <v>16.75</v>
      </c>
      <c r="N72" s="64">
        <v>178.9</v>
      </c>
      <c r="O72" s="64">
        <v>0</v>
      </c>
      <c r="P72" s="64">
        <v>0.54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3" t="s">
        <v>1748</v>
      </c>
      <c r="B73" s="64">
        <v>4.4400000000000004</v>
      </c>
      <c r="C73" s="64">
        <v>50.86</v>
      </c>
      <c r="D73" s="64">
        <v>28.76</v>
      </c>
      <c r="E73" s="64">
        <v>7.25</v>
      </c>
      <c r="F73" s="64">
        <v>3.67</v>
      </c>
      <c r="G73" s="64">
        <v>49.93</v>
      </c>
      <c r="H73" s="64">
        <v>15.33</v>
      </c>
      <c r="I73" s="210" t="s">
        <v>43</v>
      </c>
      <c r="J73" s="64">
        <v>0.69</v>
      </c>
      <c r="K73" s="64">
        <v>267.33</v>
      </c>
      <c r="L73" s="64">
        <v>28.13</v>
      </c>
      <c r="M73" s="64">
        <v>17.52</v>
      </c>
      <c r="N73" s="64">
        <v>144.19999999999999</v>
      </c>
      <c r="O73" s="64">
        <v>0</v>
      </c>
      <c r="P73" s="64">
        <v>0.53</v>
      </c>
      <c r="Q73" s="64">
        <v>9.33</v>
      </c>
      <c r="R73" s="198"/>
      <c r="S73" s="198"/>
      <c r="T73" s="198"/>
      <c r="U73" s="198"/>
    </row>
    <row r="74" spans="1:21" s="12" customFormat="1" x14ac:dyDescent="0.25">
      <c r="A74" s="213" t="s">
        <v>1749</v>
      </c>
      <c r="B74" s="64">
        <v>4.49</v>
      </c>
      <c r="C74" s="64">
        <v>50.29</v>
      </c>
      <c r="D74" s="64">
        <v>28.5</v>
      </c>
      <c r="E74" s="64">
        <v>7.11</v>
      </c>
      <c r="F74" s="64">
        <v>3.16</v>
      </c>
      <c r="G74" s="64">
        <v>49.93</v>
      </c>
      <c r="H74" s="64">
        <v>15.33</v>
      </c>
      <c r="I74" s="210" t="s">
        <v>43</v>
      </c>
      <c r="J74" s="64">
        <v>0.46</v>
      </c>
      <c r="K74" s="64">
        <v>298.57</v>
      </c>
      <c r="L74" s="64">
        <v>28.04</v>
      </c>
      <c r="M74" s="64">
        <v>17.329999999999998</v>
      </c>
      <c r="N74" s="64">
        <v>132.1</v>
      </c>
      <c r="O74" s="64">
        <v>0</v>
      </c>
      <c r="P74" s="64">
        <v>0.5</v>
      </c>
      <c r="Q74" s="64">
        <v>9.32</v>
      </c>
      <c r="R74" s="198"/>
      <c r="S74" s="198"/>
      <c r="T74" s="198"/>
      <c r="U74" s="198"/>
    </row>
    <row r="75" spans="1:21" s="12" customFormat="1" x14ac:dyDescent="0.25">
      <c r="A75" s="213" t="s">
        <v>1750</v>
      </c>
      <c r="B75" s="64">
        <v>4.68</v>
      </c>
      <c r="C75" s="64">
        <v>50.65</v>
      </c>
      <c r="D75" s="64">
        <v>28.84</v>
      </c>
      <c r="E75" s="64">
        <v>7.22</v>
      </c>
      <c r="F75" s="64">
        <v>2.72</v>
      </c>
      <c r="G75" s="64">
        <v>49.93</v>
      </c>
      <c r="H75" s="64">
        <v>15.33</v>
      </c>
      <c r="I75" s="210" t="s">
        <v>43</v>
      </c>
      <c r="J75" s="64">
        <v>0.59</v>
      </c>
      <c r="K75" s="64">
        <v>298.45999999999998</v>
      </c>
      <c r="L75" s="64">
        <v>27.83</v>
      </c>
      <c r="M75" s="64">
        <v>17.920000000000002</v>
      </c>
      <c r="N75" s="64">
        <v>120.9</v>
      </c>
      <c r="O75" s="64">
        <v>0</v>
      </c>
      <c r="P75" s="64">
        <v>0.48</v>
      </c>
      <c r="Q75" s="64">
        <v>9.31</v>
      </c>
      <c r="R75" s="198"/>
      <c r="S75" s="198"/>
      <c r="T75" s="198"/>
      <c r="U75" s="198"/>
    </row>
    <row r="76" spans="1:21" s="12" customFormat="1" x14ac:dyDescent="0.25">
      <c r="A76" s="213" t="s">
        <v>1751</v>
      </c>
      <c r="B76" s="64">
        <v>4.6100000000000003</v>
      </c>
      <c r="C76" s="64">
        <v>50.61</v>
      </c>
      <c r="D76" s="64">
        <v>28.76</v>
      </c>
      <c r="E76" s="64">
        <v>7.37</v>
      </c>
      <c r="F76" s="64">
        <v>3.04</v>
      </c>
      <c r="G76" s="64">
        <v>46.68</v>
      </c>
      <c r="H76" s="64">
        <v>15.21</v>
      </c>
      <c r="I76" s="210" t="s">
        <v>43</v>
      </c>
      <c r="J76" s="64">
        <v>0.51</v>
      </c>
      <c r="K76" s="64">
        <v>284.7</v>
      </c>
      <c r="L76" s="64">
        <v>27.46</v>
      </c>
      <c r="M76" s="64">
        <v>18.739999999999998</v>
      </c>
      <c r="N76" s="64">
        <v>112.6</v>
      </c>
      <c r="O76" s="64">
        <v>0</v>
      </c>
      <c r="P76" s="64">
        <v>0.47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3" t="s">
        <v>1752</v>
      </c>
      <c r="B77" s="64">
        <v>4.62</v>
      </c>
      <c r="C77" s="64">
        <v>50.63</v>
      </c>
      <c r="D77" s="64">
        <v>28.78</v>
      </c>
      <c r="E77" s="64">
        <v>7.22</v>
      </c>
      <c r="F77" s="64">
        <v>2.41</v>
      </c>
      <c r="G77" s="64">
        <v>39.47</v>
      </c>
      <c r="H77" s="64">
        <v>14.95</v>
      </c>
      <c r="I77" s="210" t="s">
        <v>43</v>
      </c>
      <c r="J77" s="64">
        <v>0.49</v>
      </c>
      <c r="K77" s="64">
        <v>301.51</v>
      </c>
      <c r="L77" s="64">
        <v>27.15</v>
      </c>
      <c r="M77" s="64">
        <v>19.309999999999999</v>
      </c>
      <c r="N77" s="64">
        <v>103</v>
      </c>
      <c r="O77" s="64">
        <v>0</v>
      </c>
      <c r="P77" s="64">
        <v>0.47</v>
      </c>
      <c r="Q77" s="64">
        <v>9.3000000000000007</v>
      </c>
      <c r="R77" s="198"/>
      <c r="S77" s="198"/>
      <c r="T77" s="198"/>
      <c r="U77" s="198"/>
    </row>
    <row r="78" spans="1:21" s="12" customFormat="1" x14ac:dyDescent="0.25">
      <c r="A78" s="213" t="s">
        <v>1753</v>
      </c>
      <c r="B78" s="64">
        <v>4.9800000000000004</v>
      </c>
      <c r="C78" s="64">
        <v>51.65</v>
      </c>
      <c r="D78" s="64">
        <v>29.61</v>
      </c>
      <c r="E78" s="64">
        <v>7.01</v>
      </c>
      <c r="F78" s="64">
        <v>2.15</v>
      </c>
      <c r="G78" s="64">
        <v>39.47</v>
      </c>
      <c r="H78" s="64">
        <v>14.95</v>
      </c>
      <c r="I78" s="210" t="s">
        <v>43</v>
      </c>
      <c r="J78" s="64">
        <v>0.41</v>
      </c>
      <c r="K78" s="64">
        <v>301.63</v>
      </c>
      <c r="L78" s="64">
        <v>26.77</v>
      </c>
      <c r="M78" s="64">
        <v>19.91</v>
      </c>
      <c r="N78" s="64">
        <v>93.7</v>
      </c>
      <c r="O78" s="64">
        <v>0</v>
      </c>
      <c r="P78" s="64">
        <v>0.49</v>
      </c>
      <c r="Q78" s="64">
        <v>9.33</v>
      </c>
      <c r="R78" s="198"/>
      <c r="S78" s="198"/>
      <c r="T78" s="198"/>
      <c r="U78" s="198"/>
    </row>
    <row r="79" spans="1:21" s="12" customFormat="1" x14ac:dyDescent="0.25">
      <c r="A79" s="213" t="s">
        <v>1754</v>
      </c>
      <c r="B79" s="64">
        <v>5.22</v>
      </c>
      <c r="C79" s="64">
        <v>52.89</v>
      </c>
      <c r="D79" s="64">
        <v>30.44</v>
      </c>
      <c r="E79" s="64">
        <v>6.83</v>
      </c>
      <c r="F79" s="64">
        <v>2.2200000000000002</v>
      </c>
      <c r="G79" s="64">
        <v>39.47</v>
      </c>
      <c r="H79" s="64">
        <v>14.95</v>
      </c>
      <c r="I79" s="210" t="s">
        <v>43</v>
      </c>
      <c r="J79" s="64">
        <v>0.33</v>
      </c>
      <c r="K79" s="64">
        <v>287.79000000000002</v>
      </c>
      <c r="L79" s="64">
        <v>26.17</v>
      </c>
      <c r="M79" s="64">
        <v>20.7</v>
      </c>
      <c r="N79" s="64">
        <v>82.4</v>
      </c>
      <c r="O79" s="64">
        <v>0</v>
      </c>
      <c r="P79" s="64">
        <v>0.56999999999999995</v>
      </c>
      <c r="Q79" s="64">
        <v>9.3800000000000008</v>
      </c>
      <c r="R79" s="198"/>
      <c r="S79" s="198"/>
      <c r="T79" s="198"/>
      <c r="U79" s="198"/>
    </row>
    <row r="80" spans="1:21" s="12" customFormat="1" x14ac:dyDescent="0.25">
      <c r="A80" s="213" t="s">
        <v>1755</v>
      </c>
      <c r="B80" s="64">
        <v>5.52</v>
      </c>
      <c r="C80" s="64">
        <v>53.94</v>
      </c>
      <c r="D80" s="64">
        <v>31.23</v>
      </c>
      <c r="E80" s="64">
        <v>6.85</v>
      </c>
      <c r="F80" s="64">
        <v>2.13</v>
      </c>
      <c r="G80" s="64">
        <v>40.630000000000003</v>
      </c>
      <c r="H80" s="64">
        <v>14.17</v>
      </c>
      <c r="I80" s="210" t="s">
        <v>43</v>
      </c>
      <c r="J80" s="64">
        <v>0.25</v>
      </c>
      <c r="K80" s="64">
        <v>283.49</v>
      </c>
      <c r="L80" s="64">
        <v>25.64</v>
      </c>
      <c r="M80" s="64">
        <v>21.49</v>
      </c>
      <c r="N80" s="64">
        <v>72.599999999999994</v>
      </c>
      <c r="O80" s="64">
        <v>0</v>
      </c>
      <c r="P80" s="64">
        <v>0.73</v>
      </c>
      <c r="Q80" s="64">
        <v>9.3800000000000008</v>
      </c>
      <c r="R80" s="198"/>
      <c r="S80" s="198"/>
      <c r="T80" s="198"/>
      <c r="U80" s="198"/>
    </row>
    <row r="81" spans="1:26" s="12" customFormat="1" x14ac:dyDescent="0.25">
      <c r="A81" s="213" t="s">
        <v>1756</v>
      </c>
      <c r="B81" s="64">
        <v>5.75</v>
      </c>
      <c r="C81" s="64">
        <v>54.53</v>
      </c>
      <c r="D81" s="64">
        <v>31.72</v>
      </c>
      <c r="E81" s="64">
        <v>6.73</v>
      </c>
      <c r="F81" s="64">
        <v>2.13</v>
      </c>
      <c r="G81" s="64">
        <v>43.2</v>
      </c>
      <c r="H81" s="64">
        <v>12.46</v>
      </c>
      <c r="I81" s="210" t="s">
        <v>43</v>
      </c>
      <c r="J81" s="64">
        <v>0.47</v>
      </c>
      <c r="K81" s="64">
        <v>258.14999999999998</v>
      </c>
      <c r="L81" s="64">
        <v>25.13</v>
      </c>
      <c r="M81" s="64">
        <v>22.02</v>
      </c>
      <c r="N81" s="64">
        <v>68.400000000000006</v>
      </c>
      <c r="O81" s="64">
        <v>0</v>
      </c>
      <c r="P81" s="64">
        <v>0.53</v>
      </c>
      <c r="Q81" s="64">
        <v>9.36</v>
      </c>
      <c r="R81" s="198"/>
      <c r="S81" s="198"/>
      <c r="T81" s="198"/>
      <c r="U81" s="198"/>
    </row>
    <row r="82" spans="1:26" s="12" customFormat="1" x14ac:dyDescent="0.25">
      <c r="A82" s="213" t="s">
        <v>1757</v>
      </c>
      <c r="B82" s="64">
        <v>6.11</v>
      </c>
      <c r="C82" s="64">
        <v>55.58</v>
      </c>
      <c r="D82" s="64">
        <v>32.56</v>
      </c>
      <c r="E82" s="64">
        <v>6.7</v>
      </c>
      <c r="F82" s="64">
        <v>2.13</v>
      </c>
      <c r="G82" s="64">
        <v>43.2</v>
      </c>
      <c r="H82" s="64">
        <v>12.46</v>
      </c>
      <c r="I82" s="210" t="s">
        <v>43</v>
      </c>
      <c r="J82" s="64">
        <v>0.3</v>
      </c>
      <c r="K82" s="64">
        <v>285.39</v>
      </c>
      <c r="L82" s="64">
        <v>24.49</v>
      </c>
      <c r="M82" s="64">
        <v>23.33</v>
      </c>
      <c r="N82" s="64">
        <v>67.7</v>
      </c>
      <c r="O82" s="64">
        <v>0</v>
      </c>
      <c r="P82" s="64">
        <v>0.9</v>
      </c>
      <c r="Q82" s="64">
        <v>9.3800000000000008</v>
      </c>
      <c r="R82" s="198"/>
      <c r="S82" s="198"/>
      <c r="T82" s="198"/>
      <c r="U82" s="198"/>
    </row>
    <row r="83" spans="1:26" s="12" customFormat="1" x14ac:dyDescent="0.25">
      <c r="A83" s="213" t="s">
        <v>1758</v>
      </c>
      <c r="B83" s="64">
        <v>6.84</v>
      </c>
      <c r="C83" s="64">
        <v>57.14</v>
      </c>
      <c r="D83" s="64">
        <v>33.96</v>
      </c>
      <c r="E83" s="64">
        <v>7.08</v>
      </c>
      <c r="F83" s="64">
        <v>2.13</v>
      </c>
      <c r="G83" s="64">
        <v>43.2</v>
      </c>
      <c r="H83" s="64">
        <v>12.46</v>
      </c>
      <c r="I83" s="210" t="s">
        <v>43</v>
      </c>
      <c r="J83" s="64">
        <v>0.62</v>
      </c>
      <c r="K83" s="64">
        <v>249.04</v>
      </c>
      <c r="L83" s="64">
        <v>23.98</v>
      </c>
      <c r="M83" s="64">
        <v>24.27</v>
      </c>
      <c r="N83" s="64">
        <v>67.3</v>
      </c>
      <c r="O83" s="64">
        <v>0</v>
      </c>
      <c r="P83" s="64">
        <v>0.83</v>
      </c>
      <c r="Q83" s="64">
        <v>9.43</v>
      </c>
      <c r="R83" s="198"/>
      <c r="S83" s="198"/>
      <c r="T83" s="198"/>
      <c r="U83" s="198"/>
    </row>
    <row r="84" spans="1:26" s="12" customFormat="1" x14ac:dyDescent="0.25">
      <c r="A84" s="213" t="s">
        <v>1759</v>
      </c>
      <c r="B84" s="64">
        <v>7.35</v>
      </c>
      <c r="C84" s="64">
        <v>57.89</v>
      </c>
      <c r="D84" s="64">
        <v>34.770000000000003</v>
      </c>
      <c r="E84" s="64">
        <v>7.13</v>
      </c>
      <c r="F84" s="64">
        <v>2.13</v>
      </c>
      <c r="G84" s="64">
        <v>45.32</v>
      </c>
      <c r="H84" s="64">
        <v>13.71</v>
      </c>
      <c r="I84" s="210" t="s">
        <v>43</v>
      </c>
      <c r="J84" s="64">
        <v>0.56000000000000005</v>
      </c>
      <c r="K84" s="64">
        <v>289.99</v>
      </c>
      <c r="L84" s="64">
        <v>23.2</v>
      </c>
      <c r="M84" s="64">
        <v>26.41</v>
      </c>
      <c r="N84" s="64">
        <v>67.900000000000006</v>
      </c>
      <c r="O84" s="64">
        <v>0</v>
      </c>
      <c r="P84" s="64">
        <v>1.0900000000000001</v>
      </c>
      <c r="Q84" s="64">
        <v>9.4600000000000009</v>
      </c>
      <c r="R84" s="198"/>
      <c r="S84" s="198"/>
      <c r="T84" s="198"/>
      <c r="U84" s="198"/>
    </row>
    <row r="85" spans="1:26" s="12" customFormat="1" x14ac:dyDescent="0.25">
      <c r="A85" s="213" t="s">
        <v>1760</v>
      </c>
      <c r="B85" s="64">
        <v>8.8000000000000007</v>
      </c>
      <c r="C85" s="64">
        <v>58.91</v>
      </c>
      <c r="D85" s="64">
        <v>36.46</v>
      </c>
      <c r="E85" s="64">
        <v>7.62</v>
      </c>
      <c r="F85" s="64">
        <v>2.13</v>
      </c>
      <c r="G85" s="64">
        <v>50.01</v>
      </c>
      <c r="H85" s="64">
        <v>16.48</v>
      </c>
      <c r="I85" s="210" t="s">
        <v>43</v>
      </c>
      <c r="J85" s="64">
        <v>0.66</v>
      </c>
      <c r="K85" s="64">
        <v>316.29000000000002</v>
      </c>
      <c r="L85" s="64">
        <v>22.16</v>
      </c>
      <c r="M85" s="64">
        <v>29.8</v>
      </c>
      <c r="N85" s="64">
        <v>68.099999999999994</v>
      </c>
      <c r="O85" s="64">
        <v>0</v>
      </c>
      <c r="P85" s="64">
        <v>1.08</v>
      </c>
      <c r="Q85" s="64">
        <v>9.4700000000000006</v>
      </c>
      <c r="R85" s="198"/>
      <c r="S85" s="198"/>
      <c r="T85" s="198"/>
      <c r="U85" s="198"/>
    </row>
    <row r="86" spans="1:26" s="12" customFormat="1" x14ac:dyDescent="0.25">
      <c r="A86" s="213" t="s">
        <v>1761</v>
      </c>
      <c r="B86" s="64">
        <v>10.62</v>
      </c>
      <c r="C86" s="64">
        <v>59.94</v>
      </c>
      <c r="D86" s="64">
        <v>38.46</v>
      </c>
      <c r="E86" s="64">
        <v>7.37</v>
      </c>
      <c r="F86" s="64">
        <v>2.13</v>
      </c>
      <c r="G86" s="64">
        <v>50.01</v>
      </c>
      <c r="H86" s="64">
        <v>16.48</v>
      </c>
      <c r="I86" s="210" t="s">
        <v>43</v>
      </c>
      <c r="J86" s="64">
        <v>0.28000000000000003</v>
      </c>
      <c r="K86" s="64">
        <v>294.58</v>
      </c>
      <c r="L86" s="64">
        <v>21.61</v>
      </c>
      <c r="M86" s="64">
        <v>29.84</v>
      </c>
      <c r="N86" s="64">
        <v>67.8</v>
      </c>
      <c r="O86" s="64">
        <v>0</v>
      </c>
      <c r="P86" s="64">
        <v>1.01</v>
      </c>
      <c r="Q86" s="64">
        <v>9.5500000000000007</v>
      </c>
      <c r="R86" s="198"/>
      <c r="S86" s="198"/>
      <c r="T86" s="198"/>
      <c r="U86" s="198"/>
    </row>
    <row r="87" spans="1:26" s="12" customFormat="1" x14ac:dyDescent="0.25">
      <c r="A87" s="213" t="s">
        <v>1762</v>
      </c>
      <c r="B87" s="64">
        <v>13.45</v>
      </c>
      <c r="C87" s="64">
        <v>61.35</v>
      </c>
      <c r="D87" s="64">
        <v>41.46</v>
      </c>
      <c r="E87" s="64">
        <v>8.06</v>
      </c>
      <c r="F87" s="64">
        <v>2.13</v>
      </c>
      <c r="G87" s="64">
        <v>50.01</v>
      </c>
      <c r="H87" s="64">
        <v>16.48</v>
      </c>
      <c r="I87" s="210" t="s">
        <v>43</v>
      </c>
      <c r="J87" s="64">
        <v>0.75</v>
      </c>
      <c r="K87" s="64">
        <v>1.47</v>
      </c>
      <c r="L87" s="64">
        <v>21.42</v>
      </c>
      <c r="M87" s="64">
        <v>32.19</v>
      </c>
      <c r="N87" s="64">
        <v>67.599999999999994</v>
      </c>
      <c r="O87" s="64">
        <v>0</v>
      </c>
      <c r="P87" s="64">
        <v>0.98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3" t="s">
        <v>1763</v>
      </c>
      <c r="B88" s="64">
        <v>16.66</v>
      </c>
      <c r="C88" s="64">
        <v>62.32</v>
      </c>
      <c r="D88" s="64">
        <v>44.54</v>
      </c>
      <c r="E88" s="64">
        <v>8.1199999999999992</v>
      </c>
      <c r="F88" s="64">
        <v>2.13</v>
      </c>
      <c r="G88" s="64">
        <v>53.15</v>
      </c>
      <c r="H88" s="64">
        <v>17</v>
      </c>
      <c r="I88" s="210" t="s">
        <v>43</v>
      </c>
      <c r="J88" s="64">
        <v>0.44</v>
      </c>
      <c r="K88" s="64">
        <v>1.2</v>
      </c>
      <c r="L88" s="64">
        <v>20.94</v>
      </c>
      <c r="M88" s="64">
        <v>35.07</v>
      </c>
      <c r="N88" s="64">
        <v>67.7</v>
      </c>
      <c r="O88" s="64">
        <v>0</v>
      </c>
      <c r="P88" s="64">
        <v>0.99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3" t="s">
        <v>1764</v>
      </c>
      <c r="B89" s="64">
        <v>18.079999999999998</v>
      </c>
      <c r="C89" s="64">
        <v>62.79</v>
      </c>
      <c r="D89" s="64">
        <v>45.93</v>
      </c>
      <c r="E89" s="64">
        <v>8.33</v>
      </c>
      <c r="F89" s="64">
        <v>2.13</v>
      </c>
      <c r="G89" s="64">
        <v>60.1</v>
      </c>
      <c r="H89" s="64">
        <v>18.149999999999999</v>
      </c>
      <c r="I89" s="210" t="s">
        <v>43</v>
      </c>
      <c r="J89" s="64">
        <v>0.56000000000000005</v>
      </c>
      <c r="K89" s="64">
        <v>263.12</v>
      </c>
      <c r="L89" s="64">
        <v>20.64</v>
      </c>
      <c r="M89" s="64">
        <v>35.700000000000003</v>
      </c>
      <c r="N89" s="64">
        <v>67.900000000000006</v>
      </c>
      <c r="O89" s="64">
        <v>0</v>
      </c>
      <c r="P89" s="64">
        <v>1.1200000000000001</v>
      </c>
      <c r="Q89" s="64">
        <v>9.67</v>
      </c>
      <c r="R89" s="198"/>
      <c r="S89" s="198"/>
      <c r="T89" s="198"/>
      <c r="U89" s="198"/>
    </row>
    <row r="90" spans="1:26" s="12" customFormat="1" x14ac:dyDescent="0.25">
      <c r="A90" s="213" t="s">
        <v>1765</v>
      </c>
      <c r="B90" s="64">
        <v>19.75</v>
      </c>
      <c r="C90" s="64">
        <v>63.92</v>
      </c>
      <c r="D90" s="64">
        <v>47.86</v>
      </c>
      <c r="E90" s="64">
        <v>7.84</v>
      </c>
      <c r="F90" s="64">
        <v>2.13</v>
      </c>
      <c r="G90" s="64">
        <v>60.1</v>
      </c>
      <c r="H90" s="64">
        <v>18.149999999999999</v>
      </c>
      <c r="I90" s="210" t="s">
        <v>43</v>
      </c>
      <c r="J90" s="64">
        <v>0.61</v>
      </c>
      <c r="K90" s="64">
        <v>108.29</v>
      </c>
      <c r="L90" s="64">
        <v>20.04</v>
      </c>
      <c r="M90" s="64">
        <v>39.06</v>
      </c>
      <c r="N90" s="64">
        <v>67.8</v>
      </c>
      <c r="O90" s="64">
        <v>0</v>
      </c>
      <c r="P90" s="64">
        <v>1.1000000000000001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3" t="s">
        <v>1766</v>
      </c>
      <c r="B91" s="64">
        <v>23.74</v>
      </c>
      <c r="C91" s="64">
        <v>65.48</v>
      </c>
      <c r="D91" s="64">
        <v>51.88</v>
      </c>
      <c r="E91" s="64">
        <v>8.44</v>
      </c>
      <c r="F91" s="64">
        <v>2.13</v>
      </c>
      <c r="G91" s="64">
        <v>60.1</v>
      </c>
      <c r="H91" s="64">
        <v>18.149999999999999</v>
      </c>
      <c r="I91" s="210" t="s">
        <v>43</v>
      </c>
      <c r="J91" s="64">
        <v>0.45</v>
      </c>
      <c r="K91" s="64">
        <v>83.77</v>
      </c>
      <c r="L91" s="64">
        <v>19.54</v>
      </c>
      <c r="M91" s="64">
        <v>41.85</v>
      </c>
      <c r="N91" s="64">
        <v>67.900000000000006</v>
      </c>
      <c r="O91" s="64">
        <v>0</v>
      </c>
      <c r="P91" s="64">
        <v>1.06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3" t="s">
        <v>1767</v>
      </c>
      <c r="B92" s="64">
        <v>32.06</v>
      </c>
      <c r="C92" s="64">
        <v>67.5</v>
      </c>
      <c r="D92" s="64">
        <v>59.6</v>
      </c>
      <c r="E92" s="64">
        <v>8.67</v>
      </c>
      <c r="F92" s="64">
        <v>2.13</v>
      </c>
      <c r="G92" s="64">
        <v>71.400000000000006</v>
      </c>
      <c r="H92" s="64">
        <v>19.399999999999999</v>
      </c>
      <c r="I92" s="210" t="s">
        <v>43</v>
      </c>
      <c r="J92" s="64">
        <v>0.05</v>
      </c>
      <c r="K92" s="64">
        <v>289.37</v>
      </c>
      <c r="L92" s="64">
        <v>19.329999999999998</v>
      </c>
      <c r="M92" s="64">
        <v>45.11</v>
      </c>
      <c r="N92" s="64">
        <v>67.8</v>
      </c>
      <c r="O92" s="64">
        <v>0</v>
      </c>
      <c r="P92" s="64">
        <v>1.01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3" t="s">
        <v>1768</v>
      </c>
      <c r="B93" s="64">
        <v>43.32</v>
      </c>
      <c r="C93" s="64">
        <v>68.8</v>
      </c>
      <c r="D93" s="64">
        <v>69.3</v>
      </c>
      <c r="E93" s="64">
        <v>9.1999999999999993</v>
      </c>
      <c r="F93" s="64">
        <v>2.13</v>
      </c>
      <c r="G93" s="64">
        <v>96.41</v>
      </c>
      <c r="H93" s="64">
        <v>22.17</v>
      </c>
      <c r="I93" s="210" t="s">
        <v>43</v>
      </c>
      <c r="J93" s="64">
        <v>0.27</v>
      </c>
      <c r="K93" s="64">
        <v>76.44</v>
      </c>
      <c r="L93" s="64">
        <v>18.77</v>
      </c>
      <c r="M93" s="64">
        <v>44.39</v>
      </c>
      <c r="N93" s="64">
        <v>67.8</v>
      </c>
      <c r="O93" s="64">
        <v>0</v>
      </c>
      <c r="P93" s="64">
        <v>1.0900000000000001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3" t="s">
        <v>1769</v>
      </c>
      <c r="B94" s="64">
        <v>57.91</v>
      </c>
      <c r="C94" s="64">
        <v>70.37</v>
      </c>
      <c r="D94" s="64">
        <v>81.83</v>
      </c>
      <c r="E94" s="64">
        <v>8.85</v>
      </c>
      <c r="F94" s="64">
        <v>2.13</v>
      </c>
      <c r="G94" s="64">
        <v>96.41</v>
      </c>
      <c r="H94" s="64">
        <v>22.17</v>
      </c>
      <c r="I94" s="210" t="s">
        <v>43</v>
      </c>
      <c r="J94" s="64">
        <v>0.45</v>
      </c>
      <c r="K94" s="64">
        <v>47.9</v>
      </c>
      <c r="L94" s="64">
        <v>18.63</v>
      </c>
      <c r="M94" s="64">
        <v>45.67</v>
      </c>
      <c r="N94" s="64">
        <v>67.599999999999994</v>
      </c>
      <c r="O94" s="64">
        <v>0</v>
      </c>
      <c r="P94" s="64">
        <v>1.1200000000000001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3" t="s">
        <v>1770</v>
      </c>
      <c r="B95" s="64">
        <v>73.739999999999995</v>
      </c>
      <c r="C95" s="64">
        <v>72.099999999999994</v>
      </c>
      <c r="D95" s="64">
        <v>95.43</v>
      </c>
      <c r="E95" s="64">
        <v>9.33</v>
      </c>
      <c r="F95" s="64">
        <v>2.13</v>
      </c>
      <c r="G95" s="64">
        <v>96.41</v>
      </c>
      <c r="H95" s="64">
        <v>22.17</v>
      </c>
      <c r="I95" s="210" t="s">
        <v>43</v>
      </c>
      <c r="J95" s="64">
        <v>0.51</v>
      </c>
      <c r="K95" s="64">
        <v>325.70999999999998</v>
      </c>
      <c r="L95" s="64">
        <v>18.420000000000002</v>
      </c>
      <c r="M95" s="64">
        <v>46.01</v>
      </c>
      <c r="N95" s="64">
        <v>67.7</v>
      </c>
      <c r="O95" s="64">
        <v>0</v>
      </c>
      <c r="P95" s="64">
        <v>1.32</v>
      </c>
      <c r="Q95" s="64">
        <v>9.65</v>
      </c>
      <c r="R95" s="198"/>
      <c r="S95" s="198"/>
      <c r="T95" s="198"/>
      <c r="U95" s="198"/>
    </row>
    <row r="96" spans="1:26" s="12" customFormat="1" x14ac:dyDescent="0.25">
      <c r="A96" s="213" t="s">
        <v>1771</v>
      </c>
      <c r="B96" s="64">
        <v>85.16</v>
      </c>
      <c r="C96" s="64">
        <v>73.260000000000005</v>
      </c>
      <c r="D96" s="64">
        <v>105.2</v>
      </c>
      <c r="E96" s="64">
        <v>9.65</v>
      </c>
      <c r="F96" s="64">
        <v>2.13</v>
      </c>
      <c r="G96" s="64">
        <v>102.95</v>
      </c>
      <c r="H96" s="64">
        <v>24</v>
      </c>
      <c r="I96" s="210" t="s">
        <v>43</v>
      </c>
      <c r="J96" s="64">
        <v>0.69</v>
      </c>
      <c r="K96" s="64">
        <v>239.24</v>
      </c>
      <c r="L96" s="64">
        <v>18.52</v>
      </c>
      <c r="M96" s="64">
        <v>48.05</v>
      </c>
      <c r="N96" s="64">
        <v>67.599999999999994</v>
      </c>
      <c r="O96" s="64">
        <v>0</v>
      </c>
      <c r="P96" s="64">
        <v>1.29</v>
      </c>
      <c r="Q96" s="64">
        <v>9.74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1772</v>
      </c>
      <c r="B97" s="64">
        <v>91.67</v>
      </c>
      <c r="C97" s="64">
        <v>71.849999999999994</v>
      </c>
      <c r="D97" s="64">
        <v>109.67</v>
      </c>
      <c r="E97" s="64">
        <v>9.2100000000000009</v>
      </c>
      <c r="F97" s="64">
        <v>2.13</v>
      </c>
      <c r="G97" s="64">
        <v>117.42</v>
      </c>
      <c r="H97" s="64">
        <v>28.06</v>
      </c>
      <c r="I97" s="210" t="s">
        <v>43</v>
      </c>
      <c r="J97" s="64">
        <v>0.5</v>
      </c>
      <c r="K97" s="64">
        <v>296.08</v>
      </c>
      <c r="L97" s="64">
        <v>18.11</v>
      </c>
      <c r="M97" s="64">
        <v>51.64</v>
      </c>
      <c r="N97" s="64">
        <v>67.900000000000006</v>
      </c>
      <c r="O97" s="64">
        <v>0</v>
      </c>
      <c r="P97" s="64">
        <v>1.47</v>
      </c>
      <c r="Q97" s="64">
        <v>9.86</v>
      </c>
      <c r="R97" s="198"/>
      <c r="S97" s="198"/>
      <c r="T97" s="198"/>
      <c r="U97" s="198"/>
    </row>
    <row r="98" spans="1:33" s="12" customFormat="1" x14ac:dyDescent="0.25">
      <c r="A98" s="213" t="s">
        <v>1773</v>
      </c>
      <c r="B98" s="64">
        <v>97.36</v>
      </c>
      <c r="C98" s="64">
        <v>71.16</v>
      </c>
      <c r="D98" s="64">
        <v>113.88</v>
      </c>
      <c r="E98" s="64">
        <v>9.2899999999999991</v>
      </c>
      <c r="F98" s="64">
        <v>2.13</v>
      </c>
      <c r="G98" s="64">
        <v>117.42</v>
      </c>
      <c r="H98" s="64">
        <v>28.06</v>
      </c>
      <c r="I98" s="210" t="s">
        <v>43</v>
      </c>
      <c r="J98" s="64">
        <v>0.7</v>
      </c>
      <c r="K98" s="64">
        <v>339.27</v>
      </c>
      <c r="L98" s="64">
        <v>17.7</v>
      </c>
      <c r="M98" s="64">
        <v>56.68</v>
      </c>
      <c r="N98" s="64">
        <v>67.8</v>
      </c>
      <c r="O98" s="64">
        <v>0</v>
      </c>
      <c r="P98" s="64">
        <v>1.85</v>
      </c>
      <c r="Q98" s="64">
        <v>9.8800000000000008</v>
      </c>
      <c r="R98" s="198"/>
      <c r="S98" s="198"/>
      <c r="T98" s="198"/>
      <c r="U98" s="198"/>
    </row>
    <row r="99" spans="1:33" s="12" customFormat="1" x14ac:dyDescent="0.25">
      <c r="A99" s="213" t="s">
        <v>1774</v>
      </c>
      <c r="B99" s="64">
        <v>108.17</v>
      </c>
      <c r="C99" s="64">
        <v>71.22</v>
      </c>
      <c r="D99" s="64">
        <v>122.58</v>
      </c>
      <c r="E99" s="64">
        <v>9.52</v>
      </c>
      <c r="F99" s="64">
        <v>2.19</v>
      </c>
      <c r="G99" s="64">
        <v>117.42</v>
      </c>
      <c r="H99" s="64">
        <v>28.06</v>
      </c>
      <c r="I99" s="210" t="s">
        <v>43</v>
      </c>
      <c r="J99" s="64">
        <v>0.53</v>
      </c>
      <c r="K99" s="64">
        <v>267.55</v>
      </c>
      <c r="L99" s="64">
        <v>17.55</v>
      </c>
      <c r="M99" s="64">
        <v>56.1</v>
      </c>
      <c r="N99" s="64">
        <v>67.599999999999994</v>
      </c>
      <c r="O99" s="64">
        <v>0</v>
      </c>
      <c r="P99" s="64">
        <v>1.69</v>
      </c>
      <c r="Q99" s="64">
        <v>9.85</v>
      </c>
      <c r="R99" s="198"/>
      <c r="S99" s="198"/>
      <c r="T99" s="198"/>
      <c r="U99" s="198"/>
    </row>
    <row r="100" spans="1:33" s="12" customFormat="1" x14ac:dyDescent="0.25">
      <c r="A100" s="213" t="s">
        <v>1775</v>
      </c>
      <c r="B100" s="64">
        <v>117.8</v>
      </c>
      <c r="C100" s="64">
        <v>71.56</v>
      </c>
      <c r="D100" s="64">
        <v>130.47999999999999</v>
      </c>
      <c r="E100" s="64">
        <v>9.7899999999999991</v>
      </c>
      <c r="F100" s="64">
        <v>2.13</v>
      </c>
      <c r="G100" s="64">
        <v>125.34</v>
      </c>
      <c r="H100" s="64">
        <v>30.72</v>
      </c>
      <c r="I100" s="210" t="s">
        <v>43</v>
      </c>
      <c r="J100" s="64">
        <v>0.63</v>
      </c>
      <c r="K100" s="64">
        <v>314.83999999999997</v>
      </c>
      <c r="L100" s="64">
        <v>17.420000000000002</v>
      </c>
      <c r="M100" s="64">
        <v>57.38</v>
      </c>
      <c r="N100" s="64">
        <v>67.900000000000006</v>
      </c>
      <c r="O100" s="64">
        <v>0</v>
      </c>
      <c r="P100" s="64">
        <v>1.67</v>
      </c>
      <c r="Q100" s="64">
        <v>9.9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1776</v>
      </c>
      <c r="B101" s="64">
        <v>124.58</v>
      </c>
      <c r="C101" s="64">
        <v>70.87</v>
      </c>
      <c r="D101" s="64">
        <v>135.55000000000001</v>
      </c>
      <c r="E101" s="64">
        <v>9.64</v>
      </c>
      <c r="F101" s="64">
        <v>2.13</v>
      </c>
      <c r="G101" s="64">
        <v>142.86000000000001</v>
      </c>
      <c r="H101" s="64">
        <v>36.61</v>
      </c>
      <c r="I101" s="210" t="s">
        <v>43</v>
      </c>
      <c r="J101" s="64">
        <v>0.54</v>
      </c>
      <c r="K101" s="64">
        <v>303.75</v>
      </c>
      <c r="L101" s="64">
        <v>17.02</v>
      </c>
      <c r="M101" s="64">
        <v>59.76</v>
      </c>
      <c r="N101" s="64">
        <v>67.900000000000006</v>
      </c>
      <c r="O101" s="64">
        <v>0</v>
      </c>
      <c r="P101" s="64">
        <v>1.67</v>
      </c>
      <c r="Q101" s="64">
        <v>9.9700000000000006</v>
      </c>
      <c r="R101" s="198"/>
      <c r="S101" s="198"/>
      <c r="T101" s="198"/>
      <c r="U101" s="198"/>
    </row>
    <row r="102" spans="1:33" s="12" customFormat="1" x14ac:dyDescent="0.25">
      <c r="A102" s="213" t="s">
        <v>1777</v>
      </c>
      <c r="B102" s="64">
        <v>130.66</v>
      </c>
      <c r="C102" s="64">
        <v>70.36</v>
      </c>
      <c r="D102" s="64">
        <v>140.16</v>
      </c>
      <c r="E102" s="64">
        <v>10.09</v>
      </c>
      <c r="F102" s="64">
        <v>2.13</v>
      </c>
      <c r="G102" s="64">
        <v>142.86000000000001</v>
      </c>
      <c r="H102" s="64">
        <v>36.61</v>
      </c>
      <c r="I102" s="210" t="s">
        <v>43</v>
      </c>
      <c r="J102" s="64">
        <v>0.63</v>
      </c>
      <c r="K102" s="64">
        <v>255.07</v>
      </c>
      <c r="L102" s="64">
        <v>16.87</v>
      </c>
      <c r="M102" s="64">
        <v>60.09</v>
      </c>
      <c r="N102" s="64">
        <v>67.599999999999994</v>
      </c>
      <c r="O102" s="64">
        <v>0</v>
      </c>
      <c r="P102" s="64">
        <v>1.52</v>
      </c>
      <c r="Q102" s="64">
        <v>10.01</v>
      </c>
      <c r="R102" s="198"/>
      <c r="S102" s="198"/>
      <c r="T102" s="198"/>
      <c r="U102" s="198"/>
    </row>
    <row r="103" spans="1:33" s="12" customFormat="1" x14ac:dyDescent="0.25">
      <c r="A103" s="213" t="s">
        <v>1778</v>
      </c>
      <c r="B103" s="64">
        <v>133.61000000000001</v>
      </c>
      <c r="C103" s="64">
        <v>69.540000000000006</v>
      </c>
      <c r="D103" s="64">
        <v>142.1</v>
      </c>
      <c r="E103" s="64">
        <v>10.28</v>
      </c>
      <c r="F103" s="64">
        <v>2.13</v>
      </c>
      <c r="G103" s="64">
        <v>142.86000000000001</v>
      </c>
      <c r="H103" s="64">
        <v>36.61</v>
      </c>
      <c r="I103" s="210" t="s">
        <v>43</v>
      </c>
      <c r="J103" s="64">
        <v>0.53</v>
      </c>
      <c r="K103" s="64">
        <v>292.27</v>
      </c>
      <c r="L103" s="64">
        <v>16.86</v>
      </c>
      <c r="M103" s="64">
        <v>58.94</v>
      </c>
      <c r="N103" s="64">
        <v>67.900000000000006</v>
      </c>
      <c r="O103" s="64">
        <v>0</v>
      </c>
      <c r="P103" s="64">
        <v>1.55</v>
      </c>
      <c r="Q103" s="64">
        <v>10.06</v>
      </c>
      <c r="R103" s="198"/>
      <c r="S103" s="198"/>
      <c r="T103" s="198"/>
      <c r="U103" s="198"/>
    </row>
    <row r="104" spans="1:33" s="12" customFormat="1" x14ac:dyDescent="0.25">
      <c r="A104" s="213" t="s">
        <v>1779</v>
      </c>
      <c r="B104" s="64">
        <v>134.65</v>
      </c>
      <c r="C104" s="64">
        <v>68.989999999999995</v>
      </c>
      <c r="D104" s="64">
        <v>142.65</v>
      </c>
      <c r="E104" s="64">
        <v>9.07</v>
      </c>
      <c r="F104" s="64">
        <v>2.13</v>
      </c>
      <c r="G104" s="64">
        <v>140.49</v>
      </c>
      <c r="H104" s="64">
        <v>35.28</v>
      </c>
      <c r="I104" s="210" t="s">
        <v>43</v>
      </c>
      <c r="J104" s="64">
        <v>0.49</v>
      </c>
      <c r="K104" s="64">
        <v>307.81</v>
      </c>
      <c r="L104" s="64">
        <v>16.739999999999998</v>
      </c>
      <c r="M104" s="64">
        <v>57.45</v>
      </c>
      <c r="N104" s="64">
        <v>67.8</v>
      </c>
      <c r="O104" s="64">
        <v>0</v>
      </c>
      <c r="P104" s="64">
        <v>1.44</v>
      </c>
      <c r="Q104" s="64">
        <v>10.08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4.4400000000000004</v>
      </c>
      <c r="C106" s="67">
        <f>MIN(C9:C104)</f>
        <v>50.29</v>
      </c>
      <c r="D106" s="67">
        <f t="shared" ref="D106:Q106" si="0">MIN(D9:D104)</f>
        <v>28.5</v>
      </c>
      <c r="E106" s="67">
        <f t="shared" si="0"/>
        <v>5.98</v>
      </c>
      <c r="F106" s="67">
        <f t="shared" si="0"/>
        <v>2.13</v>
      </c>
      <c r="G106" s="67">
        <f t="shared" si="0"/>
        <v>39.47</v>
      </c>
      <c r="H106" s="67">
        <f t="shared" si="0"/>
        <v>12.46</v>
      </c>
      <c r="I106" s="67">
        <f t="shared" si="0"/>
        <v>0</v>
      </c>
      <c r="J106" s="67">
        <f t="shared" si="0"/>
        <v>0.05</v>
      </c>
      <c r="K106" s="67">
        <f t="shared" si="0"/>
        <v>1.2</v>
      </c>
      <c r="L106" s="67">
        <f t="shared" si="0"/>
        <v>12.06</v>
      </c>
      <c r="M106" s="67">
        <f t="shared" si="0"/>
        <v>15.66</v>
      </c>
      <c r="N106" s="67">
        <f t="shared" si="0"/>
        <v>65.5</v>
      </c>
      <c r="O106" s="67">
        <f t="shared" si="0"/>
        <v>0</v>
      </c>
      <c r="P106" s="67">
        <f t="shared" si="0"/>
        <v>0.47</v>
      </c>
      <c r="Q106" s="67">
        <f t="shared" si="0"/>
        <v>9.3000000000000007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134.65</v>
      </c>
      <c r="C107" s="66">
        <f t="shared" ref="C107:Q107" si="1">MAX(C9:C104)</f>
        <v>79.37</v>
      </c>
      <c r="D107" s="66">
        <f t="shared" si="1"/>
        <v>142.65</v>
      </c>
      <c r="E107" s="66">
        <f t="shared" si="1"/>
        <v>10.28</v>
      </c>
      <c r="F107" s="66">
        <f t="shared" si="1"/>
        <v>4.43</v>
      </c>
      <c r="G107" s="66">
        <f t="shared" si="1"/>
        <v>142.86000000000001</v>
      </c>
      <c r="H107" s="66">
        <f t="shared" si="1"/>
        <v>36.61</v>
      </c>
      <c r="I107" s="66">
        <f t="shared" si="1"/>
        <v>0</v>
      </c>
      <c r="J107" s="66">
        <f t="shared" si="1"/>
        <v>1.66</v>
      </c>
      <c r="K107" s="66">
        <f t="shared" si="1"/>
        <v>355.87</v>
      </c>
      <c r="L107" s="66">
        <f t="shared" si="1"/>
        <v>32.85</v>
      </c>
      <c r="M107" s="66">
        <f t="shared" si="1"/>
        <v>86.65</v>
      </c>
      <c r="N107" s="66">
        <f t="shared" si="1"/>
        <v>907.3</v>
      </c>
      <c r="O107" s="66">
        <f t="shared" si="1"/>
        <v>0</v>
      </c>
      <c r="P107" s="66">
        <f t="shared" si="1"/>
        <v>1.85</v>
      </c>
      <c r="Q107" s="66">
        <f t="shared" si="1"/>
        <v>10.09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36.343333333333334</v>
      </c>
      <c r="C108" s="67">
        <f t="shared" ref="C108:Q108" si="2">AVERAGE(C9:C104)</f>
        <v>63.296354166666653</v>
      </c>
      <c r="D108" s="67">
        <f t="shared" si="2"/>
        <v>60.837604166666694</v>
      </c>
      <c r="E108" s="67">
        <f t="shared" si="2"/>
        <v>7.5032291666666699</v>
      </c>
      <c r="F108" s="67">
        <f t="shared" si="2"/>
        <v>2.3321874999999985</v>
      </c>
      <c r="G108" s="67">
        <f t="shared" si="2"/>
        <v>81.035937499999989</v>
      </c>
      <c r="H108" s="67">
        <f t="shared" si="2"/>
        <v>24.764791666666678</v>
      </c>
      <c r="I108" s="67" t="e">
        <f t="shared" si="2"/>
        <v>#DIV/0!</v>
      </c>
      <c r="J108" s="67">
        <f t="shared" si="2"/>
        <v>0.60010416666666677</v>
      </c>
      <c r="K108" s="67">
        <f t="shared" si="2"/>
        <v>255.68354166666677</v>
      </c>
      <c r="L108" s="67">
        <f t="shared" si="2"/>
        <v>21.033020833333342</v>
      </c>
      <c r="M108" s="67">
        <f t="shared" si="2"/>
        <v>43.566666666666663</v>
      </c>
      <c r="N108" s="67">
        <f t="shared" si="2"/>
        <v>278.63020833333337</v>
      </c>
      <c r="O108" s="67">
        <f t="shared" si="2"/>
        <v>0</v>
      </c>
      <c r="P108" s="67">
        <f t="shared" si="2"/>
        <v>0.88822916666666651</v>
      </c>
      <c r="Q108" s="67">
        <f t="shared" si="2"/>
        <v>9.7285416666666631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33.482154136405782</v>
      </c>
      <c r="C109" s="67">
        <f t="shared" ref="C109:Q109" si="3">STDEV(C9:C104)</f>
        <v>7.4166935631781676</v>
      </c>
      <c r="D109" s="67">
        <f t="shared" si="3"/>
        <v>28.182712795530289</v>
      </c>
      <c r="E109" s="67">
        <f t="shared" si="3"/>
        <v>0.97965675491781312</v>
      </c>
      <c r="F109" s="67">
        <f t="shared" si="3"/>
        <v>0.49677529204810622</v>
      </c>
      <c r="G109" s="67">
        <f t="shared" si="3"/>
        <v>27.700445087745642</v>
      </c>
      <c r="H109" s="67">
        <f t="shared" si="3"/>
        <v>5.9116646474160079</v>
      </c>
      <c r="I109" s="67" t="e">
        <f t="shared" si="3"/>
        <v>#DIV/0!</v>
      </c>
      <c r="J109" s="67">
        <f t="shared" si="3"/>
        <v>0.24323908442720005</v>
      </c>
      <c r="K109" s="67">
        <f t="shared" si="3"/>
        <v>73.137924167527856</v>
      </c>
      <c r="L109" s="67">
        <f t="shared" si="3"/>
        <v>6.6914281568666949</v>
      </c>
      <c r="M109" s="67">
        <f t="shared" si="3"/>
        <v>23.028676661326639</v>
      </c>
      <c r="N109" s="67">
        <f t="shared" si="3"/>
        <v>304.57560503611251</v>
      </c>
      <c r="O109" s="67">
        <f t="shared" si="3"/>
        <v>0</v>
      </c>
      <c r="P109" s="67">
        <f t="shared" si="3"/>
        <v>0.27410714306123701</v>
      </c>
      <c r="Q109" s="67">
        <f t="shared" si="3"/>
        <v>0.20910827800406309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1780</v>
      </c>
      <c r="B9" s="64">
        <v>135.69999999999999</v>
      </c>
      <c r="C9" s="64">
        <v>69.040000000000006</v>
      </c>
      <c r="D9" s="64">
        <v>143.52000000000001</v>
      </c>
      <c r="E9" s="64">
        <v>9.6</v>
      </c>
      <c r="F9" s="64">
        <v>2.13</v>
      </c>
      <c r="G9" s="64">
        <v>135.24</v>
      </c>
      <c r="H9" s="64">
        <v>32.33</v>
      </c>
      <c r="I9" s="210" t="s">
        <v>43</v>
      </c>
      <c r="J9" s="64">
        <v>0.73</v>
      </c>
      <c r="K9" s="64">
        <v>307.11</v>
      </c>
      <c r="L9" s="64">
        <v>16.23</v>
      </c>
      <c r="M9" s="64">
        <v>59.97</v>
      </c>
      <c r="N9" s="64">
        <v>68</v>
      </c>
      <c r="O9" s="64">
        <v>0</v>
      </c>
      <c r="P9" s="64">
        <v>1.5</v>
      </c>
      <c r="Q9" s="64">
        <v>10.09</v>
      </c>
      <c r="R9" s="198"/>
      <c r="S9" s="198"/>
      <c r="T9" s="198"/>
      <c r="U9" s="198"/>
    </row>
    <row r="10" spans="1:21" s="12" customFormat="1" x14ac:dyDescent="0.25">
      <c r="A10" s="213" t="s">
        <v>1781</v>
      </c>
      <c r="B10" s="64">
        <v>135.75</v>
      </c>
      <c r="C10" s="64">
        <v>68.64</v>
      </c>
      <c r="D10" s="64">
        <v>143.35</v>
      </c>
      <c r="E10" s="64">
        <v>9.2200000000000006</v>
      </c>
      <c r="F10" s="64">
        <v>2.13</v>
      </c>
      <c r="G10" s="64">
        <v>135.24</v>
      </c>
      <c r="H10" s="64">
        <v>32.33</v>
      </c>
      <c r="I10" s="210" t="s">
        <v>43</v>
      </c>
      <c r="J10" s="64">
        <v>0.41</v>
      </c>
      <c r="K10" s="64">
        <v>311.05</v>
      </c>
      <c r="L10" s="64">
        <v>16.03</v>
      </c>
      <c r="M10" s="64">
        <v>60.4</v>
      </c>
      <c r="N10" s="64">
        <v>68.099999999999994</v>
      </c>
      <c r="O10" s="64">
        <v>0</v>
      </c>
      <c r="P10" s="64">
        <v>1.47</v>
      </c>
      <c r="Q10" s="64">
        <v>10.1</v>
      </c>
      <c r="R10" s="198"/>
      <c r="S10" s="198"/>
      <c r="T10" s="198"/>
      <c r="U10" s="198"/>
    </row>
    <row r="11" spans="1:21" s="12" customFormat="1" x14ac:dyDescent="0.25">
      <c r="A11" s="213" t="s">
        <v>1782</v>
      </c>
      <c r="B11" s="64">
        <v>133.36000000000001</v>
      </c>
      <c r="C11" s="64">
        <v>67.31</v>
      </c>
      <c r="D11" s="64">
        <v>140.72999999999999</v>
      </c>
      <c r="E11" s="64">
        <v>9.15</v>
      </c>
      <c r="F11" s="64">
        <v>2.13</v>
      </c>
      <c r="G11" s="64">
        <v>135.24</v>
      </c>
      <c r="H11" s="64">
        <v>32.33</v>
      </c>
      <c r="I11" s="210" t="s">
        <v>43</v>
      </c>
      <c r="J11" s="64">
        <v>0.81</v>
      </c>
      <c r="K11" s="64">
        <v>332.97</v>
      </c>
      <c r="L11" s="64">
        <v>16.010000000000002</v>
      </c>
      <c r="M11" s="64">
        <v>59.82</v>
      </c>
      <c r="N11" s="64">
        <v>67.900000000000006</v>
      </c>
      <c r="O11" s="64">
        <v>0</v>
      </c>
      <c r="P11" s="64">
        <v>1.46</v>
      </c>
      <c r="Q11" s="64">
        <v>10.17</v>
      </c>
      <c r="R11" s="198"/>
      <c r="S11" s="198"/>
      <c r="T11" s="198"/>
      <c r="U11" s="198"/>
    </row>
    <row r="12" spans="1:21" s="12" customFormat="1" x14ac:dyDescent="0.25">
      <c r="A12" s="213" t="s">
        <v>1783</v>
      </c>
      <c r="B12" s="64">
        <v>129.07</v>
      </c>
      <c r="C12" s="64">
        <v>66.28</v>
      </c>
      <c r="D12" s="64">
        <v>136.76</v>
      </c>
      <c r="E12" s="64">
        <v>9.19</v>
      </c>
      <c r="F12" s="64">
        <v>2.13</v>
      </c>
      <c r="G12" s="64">
        <v>129.38999999999999</v>
      </c>
      <c r="H12" s="64">
        <v>32.54</v>
      </c>
      <c r="I12" s="210" t="s">
        <v>43</v>
      </c>
      <c r="J12" s="64">
        <v>0.72</v>
      </c>
      <c r="K12" s="64">
        <v>326.54000000000002</v>
      </c>
      <c r="L12" s="64">
        <v>16.010000000000002</v>
      </c>
      <c r="M12" s="64">
        <v>56.46</v>
      </c>
      <c r="N12" s="64">
        <v>67.900000000000006</v>
      </c>
      <c r="O12" s="64">
        <v>0</v>
      </c>
      <c r="P12" s="64">
        <v>1.42</v>
      </c>
      <c r="Q12" s="64">
        <v>10.210000000000001</v>
      </c>
      <c r="R12" s="198"/>
      <c r="S12" s="198"/>
      <c r="T12" s="198"/>
      <c r="U12" s="198"/>
    </row>
    <row r="13" spans="1:21" s="12" customFormat="1" x14ac:dyDescent="0.25">
      <c r="A13" s="213" t="s">
        <v>1784</v>
      </c>
      <c r="B13" s="64">
        <v>123.78</v>
      </c>
      <c r="C13" s="64">
        <v>65.290000000000006</v>
      </c>
      <c r="D13" s="64">
        <v>132</v>
      </c>
      <c r="E13" s="64">
        <v>8.6300000000000008</v>
      </c>
      <c r="F13" s="64">
        <v>2.13</v>
      </c>
      <c r="G13" s="64">
        <v>116.44</v>
      </c>
      <c r="H13" s="64">
        <v>33.020000000000003</v>
      </c>
      <c r="I13" s="210" t="s">
        <v>43</v>
      </c>
      <c r="J13" s="64">
        <v>0.61</v>
      </c>
      <c r="K13" s="64">
        <v>284.55</v>
      </c>
      <c r="L13" s="64">
        <v>15.95</v>
      </c>
      <c r="M13" s="64">
        <v>55.84</v>
      </c>
      <c r="N13" s="64">
        <v>67.7</v>
      </c>
      <c r="O13" s="64">
        <v>0</v>
      </c>
      <c r="P13" s="64">
        <v>1.26</v>
      </c>
      <c r="Q13" s="64">
        <v>10.17</v>
      </c>
      <c r="R13" s="198"/>
      <c r="S13" s="198"/>
      <c r="T13" s="198"/>
      <c r="U13" s="198"/>
    </row>
    <row r="14" spans="1:21" s="12" customFormat="1" x14ac:dyDescent="0.25">
      <c r="A14" s="213" t="s">
        <v>1785</v>
      </c>
      <c r="B14" s="64">
        <v>117.66</v>
      </c>
      <c r="C14" s="64">
        <v>63.98</v>
      </c>
      <c r="D14" s="64">
        <v>126.41</v>
      </c>
      <c r="E14" s="64">
        <v>8.8800000000000008</v>
      </c>
      <c r="F14" s="64">
        <v>2.13</v>
      </c>
      <c r="G14" s="64">
        <v>116.44</v>
      </c>
      <c r="H14" s="64">
        <v>33.020000000000003</v>
      </c>
      <c r="I14" s="210" t="s">
        <v>43</v>
      </c>
      <c r="J14" s="64">
        <v>0.65</v>
      </c>
      <c r="K14" s="64">
        <v>337.44</v>
      </c>
      <c r="L14" s="64">
        <v>15.56</v>
      </c>
      <c r="M14" s="64">
        <v>58.42</v>
      </c>
      <c r="N14" s="64">
        <v>68.3</v>
      </c>
      <c r="O14" s="64">
        <v>0</v>
      </c>
      <c r="P14" s="64">
        <v>1.29</v>
      </c>
      <c r="Q14" s="64">
        <v>10.19</v>
      </c>
      <c r="R14" s="198"/>
      <c r="S14" s="198"/>
      <c r="T14" s="198"/>
      <c r="U14" s="198"/>
    </row>
    <row r="15" spans="1:21" s="12" customFormat="1" x14ac:dyDescent="0.25">
      <c r="A15" s="213" t="s">
        <v>1786</v>
      </c>
      <c r="B15" s="64">
        <v>111.47</v>
      </c>
      <c r="C15" s="64">
        <v>62.55</v>
      </c>
      <c r="D15" s="64">
        <v>120.7</v>
      </c>
      <c r="E15" s="64">
        <v>8.3699999999999992</v>
      </c>
      <c r="F15" s="64">
        <v>2.13</v>
      </c>
      <c r="G15" s="64">
        <v>116.44</v>
      </c>
      <c r="H15" s="64">
        <v>33.020000000000003</v>
      </c>
      <c r="I15" s="210" t="s">
        <v>43</v>
      </c>
      <c r="J15" s="64">
        <v>0.53</v>
      </c>
      <c r="K15" s="64">
        <v>283.81</v>
      </c>
      <c r="L15" s="64">
        <v>15.43</v>
      </c>
      <c r="M15" s="64">
        <v>59.47</v>
      </c>
      <c r="N15" s="64">
        <v>68.099999999999994</v>
      </c>
      <c r="O15" s="64">
        <v>0</v>
      </c>
      <c r="P15" s="64">
        <v>1.25</v>
      </c>
      <c r="Q15" s="64">
        <v>10.199999999999999</v>
      </c>
      <c r="R15" s="198"/>
      <c r="S15" s="198"/>
      <c r="T15" s="198"/>
      <c r="U15" s="198"/>
    </row>
    <row r="16" spans="1:21" s="12" customFormat="1" x14ac:dyDescent="0.25">
      <c r="A16" s="213" t="s">
        <v>1787</v>
      </c>
      <c r="B16" s="64">
        <v>105.78</v>
      </c>
      <c r="C16" s="64">
        <v>61.5</v>
      </c>
      <c r="D16" s="64">
        <v>115.58</v>
      </c>
      <c r="E16" s="64">
        <v>8.73</v>
      </c>
      <c r="F16" s="64">
        <v>2.13</v>
      </c>
      <c r="G16" s="64">
        <v>107.5</v>
      </c>
      <c r="H16" s="64">
        <v>31.21</v>
      </c>
      <c r="I16" s="210" t="s">
        <v>43</v>
      </c>
      <c r="J16" s="64">
        <v>0.42</v>
      </c>
      <c r="K16" s="64">
        <v>283.67</v>
      </c>
      <c r="L16" s="64">
        <v>15.18</v>
      </c>
      <c r="M16" s="64">
        <v>61.57</v>
      </c>
      <c r="N16" s="64">
        <v>67.900000000000006</v>
      </c>
      <c r="O16" s="64">
        <v>0</v>
      </c>
      <c r="P16" s="64">
        <v>1.22</v>
      </c>
      <c r="Q16" s="64">
        <v>10.18</v>
      </c>
      <c r="R16" s="198"/>
      <c r="S16" s="198"/>
      <c r="T16" s="198"/>
      <c r="U16" s="198"/>
    </row>
    <row r="17" spans="1:21" s="12" customFormat="1" x14ac:dyDescent="0.25">
      <c r="A17" s="213" t="s">
        <v>1788</v>
      </c>
      <c r="B17" s="64">
        <v>100.76</v>
      </c>
      <c r="C17" s="64">
        <v>60.57</v>
      </c>
      <c r="D17" s="64">
        <v>111.07</v>
      </c>
      <c r="E17" s="64">
        <v>8.8000000000000007</v>
      </c>
      <c r="F17" s="64">
        <v>2.13</v>
      </c>
      <c r="G17" s="64">
        <v>86.66</v>
      </c>
      <c r="H17" s="64">
        <v>27.2</v>
      </c>
      <c r="I17" s="210" t="s">
        <v>43</v>
      </c>
      <c r="J17" s="64">
        <v>0.56000000000000005</v>
      </c>
      <c r="K17" s="64">
        <v>288.29000000000002</v>
      </c>
      <c r="L17" s="64">
        <v>15.35</v>
      </c>
      <c r="M17" s="64">
        <v>59.99</v>
      </c>
      <c r="N17" s="64">
        <v>67.599999999999994</v>
      </c>
      <c r="O17" s="64">
        <v>0</v>
      </c>
      <c r="P17" s="64">
        <v>1.19</v>
      </c>
      <c r="Q17" s="64">
        <v>10.15</v>
      </c>
      <c r="R17" s="198"/>
      <c r="S17" s="198"/>
      <c r="T17" s="198"/>
      <c r="U17" s="198"/>
    </row>
    <row r="18" spans="1:21" s="12" customFormat="1" x14ac:dyDescent="0.25">
      <c r="A18" s="213" t="s">
        <v>1789</v>
      </c>
      <c r="B18" s="64">
        <v>95.75</v>
      </c>
      <c r="C18" s="64">
        <v>59.4</v>
      </c>
      <c r="D18" s="64">
        <v>106.44</v>
      </c>
      <c r="E18" s="64">
        <v>8.51</v>
      </c>
      <c r="F18" s="64">
        <v>2.13</v>
      </c>
      <c r="G18" s="64">
        <v>86.66</v>
      </c>
      <c r="H18" s="64">
        <v>27.2</v>
      </c>
      <c r="I18" s="210" t="s">
        <v>43</v>
      </c>
      <c r="J18" s="64">
        <v>0.62</v>
      </c>
      <c r="K18" s="64">
        <v>286.04000000000002</v>
      </c>
      <c r="L18" s="64">
        <v>14.88</v>
      </c>
      <c r="M18" s="64">
        <v>59.72</v>
      </c>
      <c r="N18" s="64">
        <v>68.099999999999994</v>
      </c>
      <c r="O18" s="64">
        <v>0</v>
      </c>
      <c r="P18" s="64">
        <v>1.05</v>
      </c>
      <c r="Q18" s="64">
        <v>10.11</v>
      </c>
      <c r="R18" s="198"/>
      <c r="S18" s="198"/>
      <c r="T18" s="198"/>
      <c r="U18" s="198"/>
    </row>
    <row r="19" spans="1:21" s="12" customFormat="1" x14ac:dyDescent="0.25">
      <c r="A19" s="213" t="s">
        <v>1790</v>
      </c>
      <c r="B19" s="64">
        <v>90.68</v>
      </c>
      <c r="C19" s="64">
        <v>56.71</v>
      </c>
      <c r="D19" s="64">
        <v>100.97</v>
      </c>
      <c r="E19" s="64">
        <v>8.34</v>
      </c>
      <c r="F19" s="64">
        <v>2.13</v>
      </c>
      <c r="G19" s="64">
        <v>86.66</v>
      </c>
      <c r="H19" s="64">
        <v>27.2</v>
      </c>
      <c r="I19" s="210" t="s">
        <v>43</v>
      </c>
      <c r="J19" s="64">
        <v>0.5</v>
      </c>
      <c r="K19" s="64">
        <v>277.64999999999998</v>
      </c>
      <c r="L19" s="64">
        <v>15.63</v>
      </c>
      <c r="M19" s="64">
        <v>55.77</v>
      </c>
      <c r="N19" s="64">
        <v>67.099999999999994</v>
      </c>
      <c r="O19" s="64">
        <v>0</v>
      </c>
      <c r="P19" s="64">
        <v>0.92</v>
      </c>
      <c r="Q19" s="64">
        <v>10.1</v>
      </c>
      <c r="R19" s="198"/>
      <c r="S19" s="198"/>
      <c r="T19" s="198"/>
      <c r="U19" s="198"/>
    </row>
    <row r="20" spans="1:21" s="12" customFormat="1" x14ac:dyDescent="0.25">
      <c r="A20" s="213" t="s">
        <v>1791</v>
      </c>
      <c r="B20" s="64">
        <v>86.39</v>
      </c>
      <c r="C20" s="64">
        <v>56.59</v>
      </c>
      <c r="D20" s="64">
        <v>97.47</v>
      </c>
      <c r="E20" s="64">
        <v>7.81</v>
      </c>
      <c r="F20" s="64">
        <v>2.13</v>
      </c>
      <c r="G20" s="64">
        <v>80.39</v>
      </c>
      <c r="H20" s="64">
        <v>26.51</v>
      </c>
      <c r="I20" s="210" t="s">
        <v>43</v>
      </c>
      <c r="J20" s="64">
        <v>0.22</v>
      </c>
      <c r="K20" s="64">
        <v>286.82</v>
      </c>
      <c r="L20" s="64">
        <v>16.27</v>
      </c>
      <c r="M20" s="64">
        <v>52.49</v>
      </c>
      <c r="N20" s="64">
        <v>67.599999999999994</v>
      </c>
      <c r="O20" s="64">
        <v>0</v>
      </c>
      <c r="P20" s="64">
        <v>0.93</v>
      </c>
      <c r="Q20" s="64">
        <v>10.07</v>
      </c>
      <c r="R20" s="198"/>
      <c r="S20" s="198"/>
      <c r="T20" s="198"/>
      <c r="U20" s="198"/>
    </row>
    <row r="21" spans="1:21" s="12" customFormat="1" x14ac:dyDescent="0.25">
      <c r="A21" s="213" t="s">
        <v>1792</v>
      </c>
      <c r="B21" s="64">
        <v>82.66</v>
      </c>
      <c r="C21" s="64">
        <v>55.86</v>
      </c>
      <c r="D21" s="64">
        <v>94.09</v>
      </c>
      <c r="E21" s="64">
        <v>8.0299999999999994</v>
      </c>
      <c r="F21" s="64">
        <v>2.13</v>
      </c>
      <c r="G21" s="64">
        <v>66.510000000000005</v>
      </c>
      <c r="H21" s="64">
        <v>24.99</v>
      </c>
      <c r="I21" s="210" t="s">
        <v>43</v>
      </c>
      <c r="J21" s="64">
        <v>0.22</v>
      </c>
      <c r="K21" s="64">
        <v>5.31</v>
      </c>
      <c r="L21" s="64">
        <v>15.5</v>
      </c>
      <c r="M21" s="64">
        <v>58.37</v>
      </c>
      <c r="N21" s="64">
        <v>68.2</v>
      </c>
      <c r="O21" s="64">
        <v>0</v>
      </c>
      <c r="P21" s="64">
        <v>0.95</v>
      </c>
      <c r="Q21" s="64">
        <v>10.01</v>
      </c>
      <c r="R21" s="198"/>
      <c r="S21" s="198"/>
      <c r="T21" s="198"/>
      <c r="U21" s="198"/>
    </row>
    <row r="22" spans="1:21" s="12" customFormat="1" x14ac:dyDescent="0.25">
      <c r="A22" s="213" t="s">
        <v>1793</v>
      </c>
      <c r="B22" s="64">
        <v>79.06</v>
      </c>
      <c r="C22" s="64">
        <v>55.18</v>
      </c>
      <c r="D22" s="64">
        <v>90.85</v>
      </c>
      <c r="E22" s="64">
        <v>7.83</v>
      </c>
      <c r="F22" s="64">
        <v>2.13</v>
      </c>
      <c r="G22" s="64">
        <v>66.510000000000005</v>
      </c>
      <c r="H22" s="64">
        <v>24.99</v>
      </c>
      <c r="I22" s="210" t="s">
        <v>43</v>
      </c>
      <c r="J22" s="64">
        <v>0.17</v>
      </c>
      <c r="K22" s="64">
        <v>222.3</v>
      </c>
      <c r="L22" s="64">
        <v>15.27</v>
      </c>
      <c r="M22" s="64">
        <v>60.2</v>
      </c>
      <c r="N22" s="64">
        <v>68.099999999999994</v>
      </c>
      <c r="O22" s="64">
        <v>0</v>
      </c>
      <c r="P22" s="64">
        <v>0.88</v>
      </c>
      <c r="Q22" s="64">
        <v>9.99</v>
      </c>
      <c r="R22" s="198"/>
      <c r="S22" s="198"/>
      <c r="T22" s="198"/>
      <c r="U22" s="198"/>
    </row>
    <row r="23" spans="1:21" s="12" customFormat="1" x14ac:dyDescent="0.25">
      <c r="A23" s="213" t="s">
        <v>1794</v>
      </c>
      <c r="B23" s="64">
        <v>75.709999999999994</v>
      </c>
      <c r="C23" s="64">
        <v>54.53</v>
      </c>
      <c r="D23" s="64">
        <v>87.83</v>
      </c>
      <c r="E23" s="64">
        <v>8.06</v>
      </c>
      <c r="F23" s="64">
        <v>2.13</v>
      </c>
      <c r="G23" s="64">
        <v>66.510000000000005</v>
      </c>
      <c r="H23" s="64">
        <v>24.99</v>
      </c>
      <c r="I23" s="210" t="s">
        <v>43</v>
      </c>
      <c r="J23" s="64">
        <v>0.66</v>
      </c>
      <c r="K23" s="64">
        <v>219.13</v>
      </c>
      <c r="L23" s="64">
        <v>14.68</v>
      </c>
      <c r="M23" s="64">
        <v>63.33</v>
      </c>
      <c r="N23" s="64">
        <v>68.400000000000006</v>
      </c>
      <c r="O23" s="64">
        <v>0</v>
      </c>
      <c r="P23" s="64">
        <v>0.91</v>
      </c>
      <c r="Q23" s="64">
        <v>9.9600000000000009</v>
      </c>
      <c r="R23" s="198"/>
      <c r="S23" s="198"/>
      <c r="T23" s="198"/>
      <c r="U23" s="198"/>
    </row>
    <row r="24" spans="1:21" s="12" customFormat="1" x14ac:dyDescent="0.25">
      <c r="A24" s="213" t="s">
        <v>1795</v>
      </c>
      <c r="B24" s="64">
        <v>72.5</v>
      </c>
      <c r="C24" s="64">
        <v>53.73</v>
      </c>
      <c r="D24" s="64">
        <v>84.83</v>
      </c>
      <c r="E24" s="64">
        <v>8.32</v>
      </c>
      <c r="F24" s="64">
        <v>2.13</v>
      </c>
      <c r="G24" s="64">
        <v>66.739999999999995</v>
      </c>
      <c r="H24" s="64">
        <v>24.73</v>
      </c>
      <c r="I24" s="210" t="s">
        <v>43</v>
      </c>
      <c r="J24" s="64">
        <v>0.25</v>
      </c>
      <c r="K24" s="64">
        <v>273.61</v>
      </c>
      <c r="L24" s="64">
        <v>14.72</v>
      </c>
      <c r="M24" s="64">
        <v>66.13</v>
      </c>
      <c r="N24" s="64">
        <v>68.2</v>
      </c>
      <c r="O24" s="64">
        <v>0</v>
      </c>
      <c r="P24" s="64">
        <v>0.86</v>
      </c>
      <c r="Q24" s="64">
        <v>9.9499999999999993</v>
      </c>
      <c r="R24" s="198"/>
      <c r="S24" s="198"/>
      <c r="T24" s="198"/>
      <c r="U24" s="198"/>
    </row>
    <row r="25" spans="1:21" s="12" customFormat="1" x14ac:dyDescent="0.25">
      <c r="A25" s="213" t="s">
        <v>1796</v>
      </c>
      <c r="B25" s="64">
        <v>70.77</v>
      </c>
      <c r="C25" s="64">
        <v>53.35</v>
      </c>
      <c r="D25" s="64">
        <v>83.25</v>
      </c>
      <c r="E25" s="64">
        <v>7.65</v>
      </c>
      <c r="F25" s="64">
        <v>2.13</v>
      </c>
      <c r="G25" s="64">
        <v>67.290000000000006</v>
      </c>
      <c r="H25" s="64">
        <v>24.15</v>
      </c>
      <c r="I25" s="210" t="s">
        <v>43</v>
      </c>
      <c r="J25" s="64">
        <v>0.75</v>
      </c>
      <c r="K25" s="64">
        <v>308.33999999999997</v>
      </c>
      <c r="L25" s="64">
        <v>14.28</v>
      </c>
      <c r="M25" s="64">
        <v>69.61</v>
      </c>
      <c r="N25" s="64">
        <v>68.3</v>
      </c>
      <c r="O25" s="64">
        <v>0</v>
      </c>
      <c r="P25" s="64">
        <v>0.88</v>
      </c>
      <c r="Q25" s="64">
        <v>9.93</v>
      </c>
      <c r="R25" s="198"/>
      <c r="S25" s="198"/>
      <c r="T25" s="198"/>
      <c r="U25" s="198"/>
    </row>
    <row r="26" spans="1:21" s="12" customFormat="1" x14ac:dyDescent="0.25">
      <c r="A26" s="213" t="s">
        <v>1797</v>
      </c>
      <c r="B26" s="64">
        <v>69.319999999999993</v>
      </c>
      <c r="C26" s="64">
        <v>52.76</v>
      </c>
      <c r="D26" s="64">
        <v>81.78</v>
      </c>
      <c r="E26" s="64">
        <v>8.15</v>
      </c>
      <c r="F26" s="64">
        <v>2.13</v>
      </c>
      <c r="G26" s="64">
        <v>67.290000000000006</v>
      </c>
      <c r="H26" s="64">
        <v>24.15</v>
      </c>
      <c r="I26" s="210" t="s">
        <v>43</v>
      </c>
      <c r="J26" s="64">
        <v>0.11</v>
      </c>
      <c r="K26" s="64">
        <v>135.47999999999999</v>
      </c>
      <c r="L26" s="64">
        <v>13.98</v>
      </c>
      <c r="M26" s="64">
        <v>70.42</v>
      </c>
      <c r="N26" s="64">
        <v>68.2</v>
      </c>
      <c r="O26" s="64">
        <v>0</v>
      </c>
      <c r="P26" s="64">
        <v>0.93</v>
      </c>
      <c r="Q26" s="64">
        <v>9.92</v>
      </c>
      <c r="R26" s="198"/>
      <c r="S26" s="198"/>
      <c r="T26" s="198"/>
      <c r="U26" s="198"/>
    </row>
    <row r="27" spans="1:21" s="12" customFormat="1" x14ac:dyDescent="0.25">
      <c r="A27" s="213" t="s">
        <v>1798</v>
      </c>
      <c r="B27" s="64">
        <v>68.58</v>
      </c>
      <c r="C27" s="64">
        <v>53.47</v>
      </c>
      <c r="D27" s="64">
        <v>81.55</v>
      </c>
      <c r="E27" s="64">
        <v>8.51</v>
      </c>
      <c r="F27" s="64">
        <v>2.13</v>
      </c>
      <c r="G27" s="64">
        <v>67.290000000000006</v>
      </c>
      <c r="H27" s="64">
        <v>24.15</v>
      </c>
      <c r="I27" s="210" t="s">
        <v>43</v>
      </c>
      <c r="J27" s="64">
        <v>0.16</v>
      </c>
      <c r="K27" s="64">
        <v>267.12</v>
      </c>
      <c r="L27" s="64">
        <v>14.23</v>
      </c>
      <c r="M27" s="64">
        <v>70</v>
      </c>
      <c r="N27" s="64">
        <v>67.900000000000006</v>
      </c>
      <c r="O27" s="64">
        <v>0</v>
      </c>
      <c r="P27" s="64">
        <v>0.92</v>
      </c>
      <c r="Q27" s="64">
        <v>9.89</v>
      </c>
      <c r="R27" s="198"/>
      <c r="S27" s="198"/>
      <c r="T27" s="198"/>
      <c r="U27" s="198"/>
    </row>
    <row r="28" spans="1:21" s="12" customFormat="1" x14ac:dyDescent="0.25">
      <c r="A28" s="213" t="s">
        <v>1799</v>
      </c>
      <c r="B28" s="64">
        <v>70.83</v>
      </c>
      <c r="C28" s="64">
        <v>53.56</v>
      </c>
      <c r="D28" s="64">
        <v>83.41</v>
      </c>
      <c r="E28" s="64">
        <v>8.6300000000000008</v>
      </c>
      <c r="F28" s="64">
        <v>2.13</v>
      </c>
      <c r="G28" s="64">
        <v>72.92</v>
      </c>
      <c r="H28" s="64">
        <v>23.73</v>
      </c>
      <c r="I28" s="210" t="s">
        <v>43</v>
      </c>
      <c r="J28" s="64">
        <v>0.69</v>
      </c>
      <c r="K28" s="64">
        <v>313.05</v>
      </c>
      <c r="L28" s="64">
        <v>14</v>
      </c>
      <c r="M28" s="64">
        <v>71.930000000000007</v>
      </c>
      <c r="N28" s="64">
        <v>68.2</v>
      </c>
      <c r="O28" s="64">
        <v>0</v>
      </c>
      <c r="P28" s="64">
        <v>0.9</v>
      </c>
      <c r="Q28" s="64">
        <v>9.8699999999999992</v>
      </c>
      <c r="R28" s="198"/>
      <c r="S28" s="198"/>
      <c r="T28" s="198"/>
      <c r="U28" s="198"/>
    </row>
    <row r="29" spans="1:21" s="12" customFormat="1" x14ac:dyDescent="0.25">
      <c r="A29" s="213" t="s">
        <v>1800</v>
      </c>
      <c r="B29" s="64">
        <v>74.180000000000007</v>
      </c>
      <c r="C29" s="64">
        <v>53.68</v>
      </c>
      <c r="D29" s="64">
        <v>86.15</v>
      </c>
      <c r="E29" s="64">
        <v>8.1999999999999993</v>
      </c>
      <c r="F29" s="64">
        <v>2.13</v>
      </c>
      <c r="G29" s="64">
        <v>85.38</v>
      </c>
      <c r="H29" s="64">
        <v>22.8</v>
      </c>
      <c r="I29" s="210" t="s">
        <v>43</v>
      </c>
      <c r="J29" s="64">
        <v>0.39</v>
      </c>
      <c r="K29" s="64">
        <v>272.77</v>
      </c>
      <c r="L29" s="64">
        <v>13.98</v>
      </c>
      <c r="M29" s="64">
        <v>71.709999999999994</v>
      </c>
      <c r="N29" s="64">
        <v>68</v>
      </c>
      <c r="O29" s="64">
        <v>0</v>
      </c>
      <c r="P29" s="64">
        <v>0.9</v>
      </c>
      <c r="Q29" s="64">
        <v>9.8699999999999992</v>
      </c>
      <c r="R29" s="198"/>
      <c r="S29" s="198"/>
      <c r="T29" s="198"/>
      <c r="U29" s="198"/>
    </row>
    <row r="30" spans="1:21" s="12" customFormat="1" x14ac:dyDescent="0.25">
      <c r="A30" s="213" t="s">
        <v>1801</v>
      </c>
      <c r="B30" s="64">
        <v>77.36</v>
      </c>
      <c r="C30" s="64">
        <v>54.17</v>
      </c>
      <c r="D30" s="64">
        <v>88.96</v>
      </c>
      <c r="E30" s="64">
        <v>8.0500000000000007</v>
      </c>
      <c r="F30" s="64">
        <v>2.13</v>
      </c>
      <c r="G30" s="64">
        <v>85.38</v>
      </c>
      <c r="H30" s="64">
        <v>22.8</v>
      </c>
      <c r="I30" s="210" t="s">
        <v>43</v>
      </c>
      <c r="J30" s="64">
        <v>0.55000000000000004</v>
      </c>
      <c r="K30" s="64">
        <v>276.16000000000003</v>
      </c>
      <c r="L30" s="64">
        <v>14.15</v>
      </c>
      <c r="M30" s="64">
        <v>64.55</v>
      </c>
      <c r="N30" s="64">
        <v>68.2</v>
      </c>
      <c r="O30" s="64">
        <v>0</v>
      </c>
      <c r="P30" s="64">
        <v>0.89</v>
      </c>
      <c r="Q30" s="64">
        <v>9.8800000000000008</v>
      </c>
      <c r="R30" s="198"/>
      <c r="S30" s="198"/>
      <c r="T30" s="198"/>
      <c r="U30" s="198"/>
    </row>
    <row r="31" spans="1:21" s="12" customFormat="1" x14ac:dyDescent="0.25">
      <c r="A31" s="213" t="s">
        <v>1802</v>
      </c>
      <c r="B31" s="64">
        <v>79.78</v>
      </c>
      <c r="C31" s="64">
        <v>54.55</v>
      </c>
      <c r="D31" s="64">
        <v>91.11</v>
      </c>
      <c r="E31" s="64">
        <v>8.17</v>
      </c>
      <c r="F31" s="64">
        <v>2.13</v>
      </c>
      <c r="G31" s="64">
        <v>85.38</v>
      </c>
      <c r="H31" s="64">
        <v>22.8</v>
      </c>
      <c r="I31" s="210" t="s">
        <v>43</v>
      </c>
      <c r="J31" s="64">
        <v>0.63</v>
      </c>
      <c r="K31" s="64">
        <v>261.02999999999997</v>
      </c>
      <c r="L31" s="64">
        <v>13.82</v>
      </c>
      <c r="M31" s="64">
        <v>67.69</v>
      </c>
      <c r="N31" s="64">
        <v>68.099999999999994</v>
      </c>
      <c r="O31" s="64">
        <v>0</v>
      </c>
      <c r="P31" s="64">
        <v>0.88</v>
      </c>
      <c r="Q31" s="64">
        <v>9.93</v>
      </c>
      <c r="R31" s="198"/>
      <c r="S31" s="198"/>
      <c r="T31" s="198"/>
      <c r="U31" s="198"/>
    </row>
    <row r="32" spans="1:21" s="12" customFormat="1" x14ac:dyDescent="0.25">
      <c r="A32" s="213" t="s">
        <v>1803</v>
      </c>
      <c r="B32" s="64">
        <v>82.58</v>
      </c>
      <c r="C32" s="64">
        <v>54.66</v>
      </c>
      <c r="D32" s="64">
        <v>93.4</v>
      </c>
      <c r="E32" s="64">
        <v>8.2799999999999994</v>
      </c>
      <c r="F32" s="64">
        <v>2.13</v>
      </c>
      <c r="G32" s="64">
        <v>86.4</v>
      </c>
      <c r="H32" s="64">
        <v>23.34</v>
      </c>
      <c r="I32" s="210" t="s">
        <v>43</v>
      </c>
      <c r="J32" s="64">
        <v>0.81</v>
      </c>
      <c r="K32" s="64">
        <v>229.72</v>
      </c>
      <c r="L32" s="64">
        <v>14.23</v>
      </c>
      <c r="M32" s="64">
        <v>67.19</v>
      </c>
      <c r="N32" s="64">
        <v>67.3</v>
      </c>
      <c r="O32" s="64">
        <v>0</v>
      </c>
      <c r="P32" s="64">
        <v>0.87</v>
      </c>
      <c r="Q32" s="64">
        <v>9.93</v>
      </c>
      <c r="R32" s="198"/>
      <c r="S32" s="198"/>
      <c r="T32" s="198"/>
      <c r="U32" s="198"/>
    </row>
    <row r="33" spans="1:21" s="12" customFormat="1" x14ac:dyDescent="0.25">
      <c r="A33" s="213" t="s">
        <v>1804</v>
      </c>
      <c r="B33" s="64">
        <v>84.2</v>
      </c>
      <c r="C33" s="64">
        <v>54.37</v>
      </c>
      <c r="D33" s="64">
        <v>94.55</v>
      </c>
      <c r="E33" s="64">
        <v>8.09</v>
      </c>
      <c r="F33" s="64">
        <v>2.13</v>
      </c>
      <c r="G33" s="64">
        <v>88.64</v>
      </c>
      <c r="H33" s="64">
        <v>24.54</v>
      </c>
      <c r="I33" s="210" t="s">
        <v>43</v>
      </c>
      <c r="J33" s="64">
        <v>0.47</v>
      </c>
      <c r="K33" s="64">
        <v>327.01</v>
      </c>
      <c r="L33" s="64">
        <v>14.06</v>
      </c>
      <c r="M33" s="64">
        <v>69.77</v>
      </c>
      <c r="N33" s="64">
        <v>68.5</v>
      </c>
      <c r="O33" s="64">
        <v>0</v>
      </c>
      <c r="P33" s="64">
        <v>0.86</v>
      </c>
      <c r="Q33" s="64">
        <v>9.94</v>
      </c>
      <c r="R33" s="198"/>
      <c r="S33" s="198"/>
      <c r="T33" s="198"/>
      <c r="U33" s="198"/>
    </row>
    <row r="34" spans="1:21" s="12" customFormat="1" x14ac:dyDescent="0.25">
      <c r="A34" s="213" t="s">
        <v>1805</v>
      </c>
      <c r="B34" s="64">
        <v>86.91</v>
      </c>
      <c r="C34" s="64">
        <v>54.8</v>
      </c>
      <c r="D34" s="64">
        <v>96.95</v>
      </c>
      <c r="E34" s="64">
        <v>8.11</v>
      </c>
      <c r="F34" s="64">
        <v>2.13</v>
      </c>
      <c r="G34" s="64">
        <v>88.64</v>
      </c>
      <c r="H34" s="64">
        <v>24.54</v>
      </c>
      <c r="I34" s="210" t="s">
        <v>43</v>
      </c>
      <c r="J34" s="64">
        <v>0.59</v>
      </c>
      <c r="K34" s="64">
        <v>317.08</v>
      </c>
      <c r="L34" s="64">
        <v>13.65</v>
      </c>
      <c r="M34" s="64">
        <v>71.819999999999993</v>
      </c>
      <c r="N34" s="64">
        <v>70.099999999999994</v>
      </c>
      <c r="O34" s="64">
        <v>0</v>
      </c>
      <c r="P34" s="64">
        <v>0.88</v>
      </c>
      <c r="Q34" s="64">
        <v>9.93</v>
      </c>
      <c r="R34" s="198"/>
      <c r="S34" s="198"/>
      <c r="T34" s="198"/>
      <c r="U34" s="198"/>
    </row>
    <row r="35" spans="1:21" s="12" customFormat="1" x14ac:dyDescent="0.25">
      <c r="A35" s="213" t="s">
        <v>1806</v>
      </c>
      <c r="B35" s="64">
        <v>89.51</v>
      </c>
      <c r="C35" s="64">
        <v>54.87</v>
      </c>
      <c r="D35" s="64">
        <v>99.07</v>
      </c>
      <c r="E35" s="64">
        <v>8.44</v>
      </c>
      <c r="F35" s="64">
        <v>2.13</v>
      </c>
      <c r="G35" s="64">
        <v>88.64</v>
      </c>
      <c r="H35" s="64">
        <v>24.54</v>
      </c>
      <c r="I35" s="210" t="s">
        <v>43</v>
      </c>
      <c r="J35" s="64">
        <v>0.34</v>
      </c>
      <c r="K35" s="64">
        <v>30.09</v>
      </c>
      <c r="L35" s="64">
        <v>13.36</v>
      </c>
      <c r="M35" s="64">
        <v>75</v>
      </c>
      <c r="N35" s="64">
        <v>78.7</v>
      </c>
      <c r="O35" s="64">
        <v>0</v>
      </c>
      <c r="P35" s="64">
        <v>0.88</v>
      </c>
      <c r="Q35" s="64">
        <v>9.93</v>
      </c>
      <c r="R35" s="198"/>
      <c r="S35" s="198"/>
      <c r="T35" s="198"/>
      <c r="U35" s="198"/>
    </row>
    <row r="36" spans="1:21" s="12" customFormat="1" x14ac:dyDescent="0.25">
      <c r="A36" s="213" t="s">
        <v>1807</v>
      </c>
      <c r="B36" s="64">
        <v>91.44</v>
      </c>
      <c r="C36" s="64">
        <v>53.55</v>
      </c>
      <c r="D36" s="64">
        <v>99.93</v>
      </c>
      <c r="E36" s="64">
        <v>8.3800000000000008</v>
      </c>
      <c r="F36" s="64">
        <v>2.13</v>
      </c>
      <c r="G36" s="64">
        <v>88.44</v>
      </c>
      <c r="H36" s="64">
        <v>24.47</v>
      </c>
      <c r="I36" s="210" t="s">
        <v>43</v>
      </c>
      <c r="J36" s="64">
        <v>0.59</v>
      </c>
      <c r="K36" s="64">
        <v>239.25</v>
      </c>
      <c r="L36" s="64">
        <v>13.78</v>
      </c>
      <c r="M36" s="64">
        <v>72.849999999999994</v>
      </c>
      <c r="N36" s="64">
        <v>93</v>
      </c>
      <c r="O36" s="64">
        <v>0</v>
      </c>
      <c r="P36" s="64">
        <v>0.92</v>
      </c>
      <c r="Q36" s="64">
        <v>9.9600000000000009</v>
      </c>
      <c r="R36" s="198"/>
      <c r="S36" s="198"/>
      <c r="T36" s="198"/>
      <c r="U36" s="198"/>
    </row>
    <row r="37" spans="1:21" s="12" customFormat="1" x14ac:dyDescent="0.25">
      <c r="A37" s="213" t="s">
        <v>1808</v>
      </c>
      <c r="B37" s="64">
        <v>92.96</v>
      </c>
      <c r="C37" s="64">
        <v>52.69</v>
      </c>
      <c r="D37" s="64">
        <v>100.7</v>
      </c>
      <c r="E37" s="64">
        <v>8.4499999999999993</v>
      </c>
      <c r="F37" s="64">
        <v>2.13</v>
      </c>
      <c r="G37" s="64">
        <v>87.99</v>
      </c>
      <c r="H37" s="64">
        <v>24.31</v>
      </c>
      <c r="I37" s="210" t="s">
        <v>43</v>
      </c>
      <c r="J37" s="64">
        <v>0.54</v>
      </c>
      <c r="K37" s="64">
        <v>329.23</v>
      </c>
      <c r="L37" s="64">
        <v>14.63</v>
      </c>
      <c r="M37" s="64">
        <v>70.45</v>
      </c>
      <c r="N37" s="64">
        <v>112.9</v>
      </c>
      <c r="O37" s="64">
        <v>0</v>
      </c>
      <c r="P37" s="64">
        <v>0.96</v>
      </c>
      <c r="Q37" s="64">
        <v>9.98</v>
      </c>
      <c r="R37" s="198"/>
      <c r="S37" s="198"/>
      <c r="T37" s="198"/>
      <c r="U37" s="198"/>
    </row>
    <row r="38" spans="1:21" s="12" customFormat="1" x14ac:dyDescent="0.25">
      <c r="A38" s="213" t="s">
        <v>1809</v>
      </c>
      <c r="B38" s="64">
        <v>97.44</v>
      </c>
      <c r="C38" s="64">
        <v>54.18</v>
      </c>
      <c r="D38" s="64">
        <v>105.07</v>
      </c>
      <c r="E38" s="64">
        <v>8.4</v>
      </c>
      <c r="F38" s="64">
        <v>2.13</v>
      </c>
      <c r="G38" s="64">
        <v>87.99</v>
      </c>
      <c r="H38" s="64">
        <v>24.31</v>
      </c>
      <c r="I38" s="210" t="s">
        <v>43</v>
      </c>
      <c r="J38" s="64">
        <v>0.34</v>
      </c>
      <c r="K38" s="64">
        <v>162.15</v>
      </c>
      <c r="L38" s="64">
        <v>15.63</v>
      </c>
      <c r="M38" s="64">
        <v>66.91</v>
      </c>
      <c r="N38" s="64">
        <v>178.4</v>
      </c>
      <c r="O38" s="64">
        <v>0</v>
      </c>
      <c r="P38" s="64">
        <v>1.03</v>
      </c>
      <c r="Q38" s="64">
        <v>9.9600000000000009</v>
      </c>
      <c r="R38" s="198"/>
      <c r="S38" s="198"/>
      <c r="T38" s="198"/>
      <c r="U38" s="198"/>
    </row>
    <row r="39" spans="1:21" s="12" customFormat="1" x14ac:dyDescent="0.25">
      <c r="A39" s="213" t="s">
        <v>1810</v>
      </c>
      <c r="B39" s="64">
        <v>102.76</v>
      </c>
      <c r="C39" s="64">
        <v>55.68</v>
      </c>
      <c r="D39" s="64">
        <v>110.12</v>
      </c>
      <c r="E39" s="64">
        <v>8.84</v>
      </c>
      <c r="F39" s="64">
        <v>2.13</v>
      </c>
      <c r="G39" s="64">
        <v>87.99</v>
      </c>
      <c r="H39" s="64">
        <v>24.31</v>
      </c>
      <c r="I39" s="210" t="s">
        <v>43</v>
      </c>
      <c r="J39" s="64">
        <v>0.97</v>
      </c>
      <c r="K39" s="64">
        <v>167.81</v>
      </c>
      <c r="L39" s="64">
        <v>17.399999999999999</v>
      </c>
      <c r="M39" s="64">
        <v>60.62</v>
      </c>
      <c r="N39" s="64">
        <v>221.6</v>
      </c>
      <c r="O39" s="64">
        <v>0</v>
      </c>
      <c r="P39" s="64">
        <v>0.91</v>
      </c>
      <c r="Q39" s="64">
        <v>9.9499999999999993</v>
      </c>
      <c r="R39" s="198"/>
      <c r="S39" s="198"/>
      <c r="T39" s="198"/>
      <c r="U39" s="198"/>
    </row>
    <row r="40" spans="1:21" s="12" customFormat="1" x14ac:dyDescent="0.25">
      <c r="A40" s="213" t="s">
        <v>1811</v>
      </c>
      <c r="B40" s="64">
        <v>103.27</v>
      </c>
      <c r="C40" s="64">
        <v>56.46</v>
      </c>
      <c r="D40" s="64">
        <v>110.94</v>
      </c>
      <c r="E40" s="64">
        <v>6.78</v>
      </c>
      <c r="F40" s="64">
        <v>2.13</v>
      </c>
      <c r="G40" s="64">
        <v>95.28</v>
      </c>
      <c r="H40" s="64">
        <v>24.64</v>
      </c>
      <c r="I40" s="210" t="s">
        <v>43</v>
      </c>
      <c r="J40" s="64">
        <v>1.41</v>
      </c>
      <c r="K40" s="64">
        <v>166.14</v>
      </c>
      <c r="L40" s="64">
        <v>18.02</v>
      </c>
      <c r="M40" s="64">
        <v>57.38</v>
      </c>
      <c r="N40" s="64">
        <v>285.7</v>
      </c>
      <c r="O40" s="64">
        <v>0</v>
      </c>
      <c r="P40" s="64">
        <v>0.92</v>
      </c>
      <c r="Q40" s="64">
        <v>10.01</v>
      </c>
      <c r="R40" s="198"/>
      <c r="S40" s="198"/>
      <c r="T40" s="198"/>
      <c r="U40" s="198"/>
    </row>
    <row r="41" spans="1:21" s="12" customFormat="1" x14ac:dyDescent="0.25">
      <c r="A41" s="213" t="s">
        <v>1812</v>
      </c>
      <c r="B41" s="64">
        <v>99.6</v>
      </c>
      <c r="C41" s="64">
        <v>56.51</v>
      </c>
      <c r="D41" s="64">
        <v>108.02</v>
      </c>
      <c r="E41" s="64">
        <v>6.18</v>
      </c>
      <c r="F41" s="64">
        <v>2.13</v>
      </c>
      <c r="G41" s="64">
        <v>111.42</v>
      </c>
      <c r="H41" s="64">
        <v>25.35</v>
      </c>
      <c r="I41" s="210" t="s">
        <v>43</v>
      </c>
      <c r="J41" s="64">
        <v>1.1599999999999999</v>
      </c>
      <c r="K41" s="64">
        <v>174.68</v>
      </c>
      <c r="L41" s="64">
        <v>18.04</v>
      </c>
      <c r="M41" s="64">
        <v>57.39</v>
      </c>
      <c r="N41" s="64">
        <v>335.3</v>
      </c>
      <c r="O41" s="64">
        <v>0</v>
      </c>
      <c r="P41" s="64">
        <v>0.9</v>
      </c>
      <c r="Q41" s="64">
        <v>10.02</v>
      </c>
      <c r="R41" s="198"/>
      <c r="S41" s="198"/>
      <c r="T41" s="198"/>
      <c r="U41" s="198"/>
    </row>
    <row r="42" spans="1:21" s="12" customFormat="1" x14ac:dyDescent="0.25">
      <c r="A42" s="213" t="s">
        <v>1813</v>
      </c>
      <c r="B42" s="64">
        <v>94.3</v>
      </c>
      <c r="C42" s="64">
        <v>56.59</v>
      </c>
      <c r="D42" s="64">
        <v>103.81</v>
      </c>
      <c r="E42" s="64">
        <v>6.83</v>
      </c>
      <c r="F42" s="64">
        <v>2.13</v>
      </c>
      <c r="G42" s="64">
        <v>111.42</v>
      </c>
      <c r="H42" s="64">
        <v>25.35</v>
      </c>
      <c r="I42" s="210" t="s">
        <v>43</v>
      </c>
      <c r="J42" s="64">
        <v>1.24</v>
      </c>
      <c r="K42" s="64">
        <v>171.19</v>
      </c>
      <c r="L42" s="64">
        <v>18.7</v>
      </c>
      <c r="M42" s="64">
        <v>53.25</v>
      </c>
      <c r="N42" s="64">
        <v>391</v>
      </c>
      <c r="O42" s="64">
        <v>0</v>
      </c>
      <c r="P42" s="64">
        <v>0.89</v>
      </c>
      <c r="Q42" s="64">
        <v>10.050000000000001</v>
      </c>
      <c r="R42" s="198"/>
      <c r="S42" s="198"/>
      <c r="T42" s="198"/>
      <c r="U42" s="198"/>
    </row>
    <row r="43" spans="1:21" s="12" customFormat="1" x14ac:dyDescent="0.25">
      <c r="A43" s="213" t="s">
        <v>1814</v>
      </c>
      <c r="B43" s="64">
        <v>88.7</v>
      </c>
      <c r="C43" s="64">
        <v>56.82</v>
      </c>
      <c r="D43" s="64">
        <v>99.44</v>
      </c>
      <c r="E43" s="64">
        <v>6.29</v>
      </c>
      <c r="F43" s="64">
        <v>2.13</v>
      </c>
      <c r="G43" s="64">
        <v>111.42</v>
      </c>
      <c r="H43" s="64">
        <v>25.35</v>
      </c>
      <c r="I43" s="210" t="s">
        <v>43</v>
      </c>
      <c r="J43" s="64">
        <v>0.38</v>
      </c>
      <c r="K43" s="64">
        <v>213.92</v>
      </c>
      <c r="L43" s="64">
        <v>20.41</v>
      </c>
      <c r="M43" s="64">
        <v>47.87</v>
      </c>
      <c r="N43" s="64">
        <v>448.2</v>
      </c>
      <c r="O43" s="64">
        <v>0</v>
      </c>
      <c r="P43" s="64">
        <v>0.87</v>
      </c>
      <c r="Q43" s="64">
        <v>10.07</v>
      </c>
      <c r="R43" s="198"/>
      <c r="S43" s="198"/>
      <c r="T43" s="198"/>
      <c r="U43" s="198"/>
    </row>
    <row r="44" spans="1:21" s="12" customFormat="1" x14ac:dyDescent="0.25">
      <c r="A44" s="213" t="s">
        <v>1815</v>
      </c>
      <c r="B44" s="64">
        <v>83.91</v>
      </c>
      <c r="C44" s="64">
        <v>58.64</v>
      </c>
      <c r="D44" s="64">
        <v>96.55</v>
      </c>
      <c r="E44" s="64">
        <v>5.96</v>
      </c>
      <c r="F44" s="64">
        <v>2.13</v>
      </c>
      <c r="G44" s="64">
        <v>111.39</v>
      </c>
      <c r="H44" s="64">
        <v>26.29</v>
      </c>
      <c r="I44" s="210" t="s">
        <v>43</v>
      </c>
      <c r="J44" s="64">
        <v>0.37</v>
      </c>
      <c r="K44" s="64">
        <v>193.36</v>
      </c>
      <c r="L44" s="64">
        <v>22.39</v>
      </c>
      <c r="M44" s="64">
        <v>42.59</v>
      </c>
      <c r="N44" s="64">
        <v>499.6</v>
      </c>
      <c r="O44" s="64">
        <v>0</v>
      </c>
      <c r="P44" s="64">
        <v>0.87</v>
      </c>
      <c r="Q44" s="64">
        <v>10.01</v>
      </c>
      <c r="R44" s="198"/>
      <c r="S44" s="198"/>
      <c r="T44" s="198"/>
      <c r="U44" s="198"/>
    </row>
    <row r="45" spans="1:21" s="12" customFormat="1" x14ac:dyDescent="0.25">
      <c r="A45" s="213" t="s">
        <v>1816</v>
      </c>
      <c r="B45" s="64">
        <v>79.260000000000005</v>
      </c>
      <c r="C45" s="64">
        <v>59.58</v>
      </c>
      <c r="D45" s="64">
        <v>93.31</v>
      </c>
      <c r="E45" s="64">
        <v>6.27</v>
      </c>
      <c r="F45" s="64">
        <v>2.13</v>
      </c>
      <c r="G45" s="64">
        <v>111.31</v>
      </c>
      <c r="H45" s="64">
        <v>28.37</v>
      </c>
      <c r="I45" s="210" t="s">
        <v>43</v>
      </c>
      <c r="J45" s="64">
        <v>0.24</v>
      </c>
      <c r="K45" s="64">
        <v>275.35000000000002</v>
      </c>
      <c r="L45" s="64">
        <v>23.71</v>
      </c>
      <c r="M45" s="64">
        <v>40.51</v>
      </c>
      <c r="N45" s="64">
        <v>553.1</v>
      </c>
      <c r="O45" s="64">
        <v>0</v>
      </c>
      <c r="P45" s="64">
        <v>0.87</v>
      </c>
      <c r="Q45" s="64">
        <v>9.98</v>
      </c>
      <c r="R45" s="198"/>
      <c r="S45" s="198"/>
      <c r="T45" s="198"/>
      <c r="U45" s="198"/>
    </row>
    <row r="46" spans="1:21" s="12" customFormat="1" x14ac:dyDescent="0.25">
      <c r="A46" s="213" t="s">
        <v>1817</v>
      </c>
      <c r="B46" s="64">
        <v>74.08</v>
      </c>
      <c r="C46" s="64">
        <v>60.94</v>
      </c>
      <c r="D46" s="64">
        <v>89.87</v>
      </c>
      <c r="E46" s="64">
        <v>6.14</v>
      </c>
      <c r="F46" s="64">
        <v>2.13</v>
      </c>
      <c r="G46" s="64">
        <v>111.31</v>
      </c>
      <c r="H46" s="64">
        <v>28.37</v>
      </c>
      <c r="I46" s="210" t="s">
        <v>43</v>
      </c>
      <c r="J46" s="64">
        <v>1.03</v>
      </c>
      <c r="K46" s="64">
        <v>142.34</v>
      </c>
      <c r="L46" s="64">
        <v>25.24</v>
      </c>
      <c r="M46" s="64">
        <v>36.9</v>
      </c>
      <c r="N46" s="64">
        <v>609.20000000000005</v>
      </c>
      <c r="O46" s="64">
        <v>0</v>
      </c>
      <c r="P46" s="64">
        <v>0.88</v>
      </c>
      <c r="Q46" s="64">
        <v>9.98</v>
      </c>
      <c r="R46" s="198"/>
      <c r="S46" s="198"/>
      <c r="T46" s="198"/>
      <c r="U46" s="198"/>
    </row>
    <row r="47" spans="1:21" s="12" customFormat="1" x14ac:dyDescent="0.25">
      <c r="A47" s="213" t="s">
        <v>1818</v>
      </c>
      <c r="B47" s="64">
        <v>68.14</v>
      </c>
      <c r="C47" s="64">
        <v>63.06</v>
      </c>
      <c r="D47" s="64">
        <v>86.21</v>
      </c>
      <c r="E47" s="64">
        <v>6.54</v>
      </c>
      <c r="F47" s="64">
        <v>2.13</v>
      </c>
      <c r="G47" s="64">
        <v>111.31</v>
      </c>
      <c r="H47" s="64">
        <v>28.37</v>
      </c>
      <c r="I47" s="210" t="s">
        <v>43</v>
      </c>
      <c r="J47" s="64">
        <v>0.56000000000000005</v>
      </c>
      <c r="K47" s="64">
        <v>151.83000000000001</v>
      </c>
      <c r="L47" s="64">
        <v>24.65</v>
      </c>
      <c r="M47" s="64">
        <v>37.67</v>
      </c>
      <c r="N47" s="64">
        <v>649</v>
      </c>
      <c r="O47" s="64">
        <v>0</v>
      </c>
      <c r="P47" s="64">
        <v>0.89</v>
      </c>
      <c r="Q47" s="64">
        <v>9.99</v>
      </c>
      <c r="R47" s="198"/>
      <c r="S47" s="198"/>
      <c r="T47" s="198"/>
      <c r="U47" s="198"/>
    </row>
    <row r="48" spans="1:21" s="12" customFormat="1" x14ac:dyDescent="0.25">
      <c r="A48" s="213" t="s">
        <v>1819</v>
      </c>
      <c r="B48" s="64">
        <v>62.31</v>
      </c>
      <c r="C48" s="64">
        <v>66.34</v>
      </c>
      <c r="D48" s="64">
        <v>83.25</v>
      </c>
      <c r="E48" s="64">
        <v>6.62</v>
      </c>
      <c r="F48" s="64">
        <v>2.13</v>
      </c>
      <c r="G48" s="64">
        <v>111.23</v>
      </c>
      <c r="H48" s="64">
        <v>29.22</v>
      </c>
      <c r="I48" s="210" t="s">
        <v>43</v>
      </c>
      <c r="J48" s="64">
        <v>0.96</v>
      </c>
      <c r="K48" s="64">
        <v>326.3</v>
      </c>
      <c r="L48" s="64">
        <v>28</v>
      </c>
      <c r="M48" s="64">
        <v>31.26</v>
      </c>
      <c r="N48" s="64">
        <v>687.7</v>
      </c>
      <c r="O48" s="64">
        <v>0</v>
      </c>
      <c r="P48" s="64">
        <v>0.91</v>
      </c>
      <c r="Q48" s="64">
        <v>9.9700000000000006</v>
      </c>
      <c r="R48" s="198"/>
      <c r="S48" s="198"/>
      <c r="T48" s="198"/>
      <c r="U48" s="198"/>
    </row>
    <row r="49" spans="1:21" s="12" customFormat="1" x14ac:dyDescent="0.25">
      <c r="A49" s="213" t="s">
        <v>1820</v>
      </c>
      <c r="B49" s="64">
        <v>57.44</v>
      </c>
      <c r="C49" s="64">
        <v>70.760000000000005</v>
      </c>
      <c r="D49" s="64">
        <v>81.650000000000006</v>
      </c>
      <c r="E49" s="64">
        <v>6.81</v>
      </c>
      <c r="F49" s="64">
        <v>2.13</v>
      </c>
      <c r="G49" s="64">
        <v>111.06</v>
      </c>
      <c r="H49" s="64">
        <v>31.1</v>
      </c>
      <c r="I49" s="210" t="s">
        <v>43</v>
      </c>
      <c r="J49" s="64">
        <v>1.1399999999999999</v>
      </c>
      <c r="K49" s="64">
        <v>319.5</v>
      </c>
      <c r="L49" s="64">
        <v>30.17</v>
      </c>
      <c r="M49" s="64">
        <v>27</v>
      </c>
      <c r="N49" s="64">
        <v>735.9</v>
      </c>
      <c r="O49" s="64">
        <v>0</v>
      </c>
      <c r="P49" s="64">
        <v>0.94</v>
      </c>
      <c r="Q49" s="64">
        <v>9.91</v>
      </c>
      <c r="R49" s="198"/>
      <c r="S49" s="198"/>
      <c r="T49" s="198"/>
      <c r="U49" s="198"/>
    </row>
    <row r="50" spans="1:21" s="12" customFormat="1" x14ac:dyDescent="0.25">
      <c r="A50" s="213" t="s">
        <v>1821</v>
      </c>
      <c r="B50" s="64">
        <v>51.8</v>
      </c>
      <c r="C50" s="64">
        <v>75.97</v>
      </c>
      <c r="D50" s="64">
        <v>79.849999999999994</v>
      </c>
      <c r="E50" s="64">
        <v>6.56</v>
      </c>
      <c r="F50" s="64">
        <v>2.13</v>
      </c>
      <c r="G50" s="64">
        <v>111.06</v>
      </c>
      <c r="H50" s="64">
        <v>31.1</v>
      </c>
      <c r="I50" s="210" t="s">
        <v>43</v>
      </c>
      <c r="J50" s="64">
        <v>1.17</v>
      </c>
      <c r="K50" s="64">
        <v>336</v>
      </c>
      <c r="L50" s="64">
        <v>30.61</v>
      </c>
      <c r="M50" s="64">
        <v>28.34</v>
      </c>
      <c r="N50" s="64">
        <v>769.5</v>
      </c>
      <c r="O50" s="64">
        <v>0</v>
      </c>
      <c r="P50" s="64">
        <v>0.97</v>
      </c>
      <c r="Q50" s="64">
        <v>9.91</v>
      </c>
      <c r="R50" s="198"/>
      <c r="S50" s="198"/>
      <c r="T50" s="198"/>
      <c r="U50" s="198"/>
    </row>
    <row r="51" spans="1:21" s="12" customFormat="1" x14ac:dyDescent="0.25">
      <c r="A51" s="213" t="s">
        <v>1822</v>
      </c>
      <c r="B51" s="64">
        <v>45.21</v>
      </c>
      <c r="C51" s="64">
        <v>81.099999999999994</v>
      </c>
      <c r="D51" s="64">
        <v>77.25</v>
      </c>
      <c r="E51" s="64">
        <v>6.85</v>
      </c>
      <c r="F51" s="64">
        <v>2.13</v>
      </c>
      <c r="G51" s="64">
        <v>111.06</v>
      </c>
      <c r="H51" s="64">
        <v>31.1</v>
      </c>
      <c r="I51" s="210" t="s">
        <v>43</v>
      </c>
      <c r="J51" s="64">
        <v>1.37</v>
      </c>
      <c r="K51" s="64">
        <v>323.74</v>
      </c>
      <c r="L51" s="64">
        <v>29.23</v>
      </c>
      <c r="M51" s="64">
        <v>31.86</v>
      </c>
      <c r="N51" s="64">
        <v>792.2</v>
      </c>
      <c r="O51" s="64">
        <v>0</v>
      </c>
      <c r="P51" s="64">
        <v>1</v>
      </c>
      <c r="Q51" s="64">
        <v>9.9</v>
      </c>
      <c r="R51" s="198"/>
      <c r="S51" s="198"/>
      <c r="T51" s="198"/>
      <c r="U51" s="198"/>
    </row>
    <row r="52" spans="1:21" s="12" customFormat="1" x14ac:dyDescent="0.25">
      <c r="A52" s="213" t="s">
        <v>1823</v>
      </c>
      <c r="B52" s="64">
        <v>38.159999999999997</v>
      </c>
      <c r="C52" s="64">
        <v>86.35</v>
      </c>
      <c r="D52" s="64">
        <v>74.34</v>
      </c>
      <c r="E52" s="64">
        <v>6.27</v>
      </c>
      <c r="F52" s="64">
        <v>2.13</v>
      </c>
      <c r="G52" s="64">
        <v>112.56</v>
      </c>
      <c r="H52" s="64">
        <v>32.53</v>
      </c>
      <c r="I52" s="210" t="s">
        <v>43</v>
      </c>
      <c r="J52" s="64">
        <v>1.52</v>
      </c>
      <c r="K52" s="64">
        <v>331.88</v>
      </c>
      <c r="L52" s="64">
        <v>29.64</v>
      </c>
      <c r="M52" s="64">
        <v>28.81</v>
      </c>
      <c r="N52" s="64">
        <v>805.5</v>
      </c>
      <c r="O52" s="64">
        <v>0</v>
      </c>
      <c r="P52" s="64">
        <v>1.01</v>
      </c>
      <c r="Q52" s="64">
        <v>9.84</v>
      </c>
      <c r="R52" s="198"/>
      <c r="S52" s="198"/>
      <c r="T52" s="198"/>
      <c r="U52" s="198"/>
    </row>
    <row r="53" spans="1:21" s="12" customFormat="1" x14ac:dyDescent="0.25">
      <c r="A53" s="213" t="s">
        <v>1824</v>
      </c>
      <c r="B53" s="64">
        <v>32.57</v>
      </c>
      <c r="C53" s="64">
        <v>89.31</v>
      </c>
      <c r="D53" s="64">
        <v>71.41</v>
      </c>
      <c r="E53" s="64">
        <v>7</v>
      </c>
      <c r="F53" s="64">
        <v>2.13</v>
      </c>
      <c r="G53" s="64">
        <v>115.89</v>
      </c>
      <c r="H53" s="64">
        <v>35.69</v>
      </c>
      <c r="I53" s="210" t="s">
        <v>43</v>
      </c>
      <c r="J53" s="64">
        <v>0.91</v>
      </c>
      <c r="K53" s="64">
        <v>90.55</v>
      </c>
      <c r="L53" s="64">
        <v>28.52</v>
      </c>
      <c r="M53" s="64">
        <v>27.91</v>
      </c>
      <c r="N53" s="64">
        <v>843.9</v>
      </c>
      <c r="O53" s="64">
        <v>0</v>
      </c>
      <c r="P53" s="64">
        <v>1</v>
      </c>
      <c r="Q53" s="64">
        <v>9.81</v>
      </c>
      <c r="R53" s="198"/>
      <c r="S53" s="198"/>
      <c r="T53" s="198"/>
      <c r="U53" s="198"/>
    </row>
    <row r="54" spans="1:21" s="12" customFormat="1" x14ac:dyDescent="0.25">
      <c r="A54" s="213" t="s">
        <v>1825</v>
      </c>
      <c r="B54" s="64">
        <v>27.99</v>
      </c>
      <c r="C54" s="64">
        <v>88.12</v>
      </c>
      <c r="D54" s="64">
        <v>67.11</v>
      </c>
      <c r="E54" s="64">
        <v>6.33</v>
      </c>
      <c r="F54" s="64">
        <v>2.13</v>
      </c>
      <c r="G54" s="64">
        <v>115.89</v>
      </c>
      <c r="H54" s="64">
        <v>35.69</v>
      </c>
      <c r="I54" s="210" t="s">
        <v>43</v>
      </c>
      <c r="J54" s="64">
        <v>0.88</v>
      </c>
      <c r="K54" s="64">
        <v>5.76</v>
      </c>
      <c r="L54" s="64">
        <v>28.23</v>
      </c>
      <c r="M54" s="64">
        <v>28.34</v>
      </c>
      <c r="N54" s="64">
        <v>822.6</v>
      </c>
      <c r="O54" s="64">
        <v>0</v>
      </c>
      <c r="P54" s="64">
        <v>0.92</v>
      </c>
      <c r="Q54" s="64">
        <v>9.77</v>
      </c>
      <c r="R54" s="198"/>
      <c r="S54" s="198"/>
      <c r="T54" s="198"/>
      <c r="U54" s="198"/>
    </row>
    <row r="55" spans="1:21" s="12" customFormat="1" x14ac:dyDescent="0.25">
      <c r="A55" s="213" t="s">
        <v>1826</v>
      </c>
      <c r="B55" s="64">
        <v>24.58</v>
      </c>
      <c r="C55" s="64">
        <v>87.08</v>
      </c>
      <c r="D55" s="64">
        <v>63.83</v>
      </c>
      <c r="E55" s="64">
        <v>6.27</v>
      </c>
      <c r="F55" s="64">
        <v>2.13</v>
      </c>
      <c r="G55" s="64">
        <v>115.89</v>
      </c>
      <c r="H55" s="64">
        <v>35.69</v>
      </c>
      <c r="I55" s="210" t="s">
        <v>43</v>
      </c>
      <c r="J55" s="64">
        <v>0.81</v>
      </c>
      <c r="K55" s="64">
        <v>11.13</v>
      </c>
      <c r="L55" s="64">
        <v>29.3</v>
      </c>
      <c r="M55" s="64">
        <v>25.89</v>
      </c>
      <c r="N55" s="64">
        <v>790.4</v>
      </c>
      <c r="O55" s="64">
        <v>0</v>
      </c>
      <c r="P55" s="64">
        <v>0.97</v>
      </c>
      <c r="Q55" s="64">
        <v>9.7100000000000009</v>
      </c>
      <c r="R55" s="198"/>
      <c r="S55" s="198"/>
      <c r="T55" s="198"/>
      <c r="U55" s="198"/>
    </row>
    <row r="56" spans="1:21" s="12" customFormat="1" x14ac:dyDescent="0.25">
      <c r="A56" s="213" t="s">
        <v>1827</v>
      </c>
      <c r="B56" s="64">
        <v>22.01</v>
      </c>
      <c r="C56" s="64">
        <v>86.74</v>
      </c>
      <c r="D56" s="64">
        <v>61.6</v>
      </c>
      <c r="E56" s="64">
        <v>6.05</v>
      </c>
      <c r="F56" s="64">
        <v>2.13</v>
      </c>
      <c r="G56" s="64">
        <v>111.46</v>
      </c>
      <c r="H56" s="64">
        <v>34.53</v>
      </c>
      <c r="I56" s="210" t="s">
        <v>43</v>
      </c>
      <c r="J56" s="64">
        <v>0.96</v>
      </c>
      <c r="K56" s="64">
        <v>15.26</v>
      </c>
      <c r="L56" s="64">
        <v>29.78</v>
      </c>
      <c r="M56" s="64">
        <v>22.94</v>
      </c>
      <c r="N56" s="64">
        <v>787.2</v>
      </c>
      <c r="O56" s="64">
        <v>0</v>
      </c>
      <c r="P56" s="64">
        <v>0.9</v>
      </c>
      <c r="Q56" s="64">
        <v>9.67</v>
      </c>
      <c r="R56" s="198"/>
      <c r="S56" s="198"/>
      <c r="T56" s="198"/>
      <c r="U56" s="198"/>
    </row>
    <row r="57" spans="1:21" s="12" customFormat="1" x14ac:dyDescent="0.25">
      <c r="A57" s="213" t="s">
        <v>1828</v>
      </c>
      <c r="B57" s="64">
        <v>20</v>
      </c>
      <c r="C57" s="64">
        <v>85.85</v>
      </c>
      <c r="D57" s="64">
        <v>59.52</v>
      </c>
      <c r="E57" s="64">
        <v>6.19</v>
      </c>
      <c r="F57" s="64">
        <v>2.13</v>
      </c>
      <c r="G57" s="64">
        <v>101.64</v>
      </c>
      <c r="H57" s="64">
        <v>31.95</v>
      </c>
      <c r="I57" s="210" t="s">
        <v>43</v>
      </c>
      <c r="J57" s="64">
        <v>1.08</v>
      </c>
      <c r="K57" s="64">
        <v>357.87</v>
      </c>
      <c r="L57" s="64">
        <v>30.88</v>
      </c>
      <c r="M57" s="64">
        <v>22.58</v>
      </c>
      <c r="N57" s="64">
        <v>751.8</v>
      </c>
      <c r="O57" s="64">
        <v>0</v>
      </c>
      <c r="P57" s="64">
        <v>0.86</v>
      </c>
      <c r="Q57" s="64">
        <v>9.66</v>
      </c>
      <c r="R57" s="198"/>
      <c r="S57" s="198"/>
      <c r="T57" s="198"/>
      <c r="U57" s="198"/>
    </row>
    <row r="58" spans="1:21" s="12" customFormat="1" x14ac:dyDescent="0.25">
      <c r="A58" s="213" t="s">
        <v>1829</v>
      </c>
      <c r="B58" s="64">
        <v>18.2</v>
      </c>
      <c r="C58" s="64">
        <v>84.47</v>
      </c>
      <c r="D58" s="64">
        <v>57.35</v>
      </c>
      <c r="E58" s="64">
        <v>6.42</v>
      </c>
      <c r="F58" s="64">
        <v>2.13</v>
      </c>
      <c r="G58" s="64">
        <v>101.64</v>
      </c>
      <c r="H58" s="64">
        <v>31.95</v>
      </c>
      <c r="I58" s="210" t="s">
        <v>43</v>
      </c>
      <c r="J58" s="64">
        <v>1.45</v>
      </c>
      <c r="K58" s="64">
        <v>334.6</v>
      </c>
      <c r="L58" s="64">
        <v>32.19</v>
      </c>
      <c r="M58" s="64">
        <v>19.32</v>
      </c>
      <c r="N58" s="64">
        <v>782.2</v>
      </c>
      <c r="O58" s="64">
        <v>0</v>
      </c>
      <c r="P58" s="64">
        <v>0.84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3" t="s">
        <v>1830</v>
      </c>
      <c r="B59" s="64">
        <v>16.57</v>
      </c>
      <c r="C59" s="64">
        <v>81.99</v>
      </c>
      <c r="D59" s="64">
        <v>54.75</v>
      </c>
      <c r="E59" s="64">
        <v>5.22</v>
      </c>
      <c r="F59" s="64">
        <v>2.13</v>
      </c>
      <c r="G59" s="64">
        <v>101.64</v>
      </c>
      <c r="H59" s="64">
        <v>31.95</v>
      </c>
      <c r="I59" s="210" t="s">
        <v>43</v>
      </c>
      <c r="J59" s="64">
        <v>2.0099999999999998</v>
      </c>
      <c r="K59" s="64">
        <v>333.52</v>
      </c>
      <c r="L59" s="64">
        <v>33.520000000000003</v>
      </c>
      <c r="M59" s="64">
        <v>17</v>
      </c>
      <c r="N59" s="64">
        <v>825.6</v>
      </c>
      <c r="O59" s="64">
        <v>0</v>
      </c>
      <c r="P59" s="64">
        <v>0.86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3" t="s">
        <v>1831</v>
      </c>
      <c r="B60" s="64">
        <v>15</v>
      </c>
      <c r="C60" s="64">
        <v>79.78</v>
      </c>
      <c r="D60" s="64">
        <v>52.33</v>
      </c>
      <c r="E60" s="64">
        <v>5.23</v>
      </c>
      <c r="F60" s="64">
        <v>2.13</v>
      </c>
      <c r="G60" s="64">
        <v>96.72</v>
      </c>
      <c r="H60" s="64">
        <v>31.1</v>
      </c>
      <c r="I60" s="210" t="s">
        <v>43</v>
      </c>
      <c r="J60" s="64">
        <v>1.63</v>
      </c>
      <c r="K60" s="64">
        <v>326.83999999999997</v>
      </c>
      <c r="L60" s="64">
        <v>34.01</v>
      </c>
      <c r="M60" s="64">
        <v>16.440000000000001</v>
      </c>
      <c r="N60" s="64">
        <v>819.2</v>
      </c>
      <c r="O60" s="64">
        <v>0</v>
      </c>
      <c r="P60" s="64">
        <v>0.82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3" t="s">
        <v>1832</v>
      </c>
      <c r="B61" s="64">
        <v>13.66</v>
      </c>
      <c r="C61" s="64">
        <v>77.930000000000007</v>
      </c>
      <c r="D61" s="64">
        <v>50.29</v>
      </c>
      <c r="E61" s="64">
        <v>5.25</v>
      </c>
      <c r="F61" s="64">
        <v>2.63</v>
      </c>
      <c r="G61" s="64">
        <v>85.82</v>
      </c>
      <c r="H61" s="64">
        <v>29.2</v>
      </c>
      <c r="I61" s="210" t="s">
        <v>43</v>
      </c>
      <c r="J61" s="64">
        <v>1.7</v>
      </c>
      <c r="K61" s="64">
        <v>332.63</v>
      </c>
      <c r="L61" s="64">
        <v>34.049999999999997</v>
      </c>
      <c r="M61" s="64">
        <v>16.89</v>
      </c>
      <c r="N61" s="64">
        <v>794.6</v>
      </c>
      <c r="O61" s="64">
        <v>0</v>
      </c>
      <c r="P61" s="64">
        <v>0.85</v>
      </c>
      <c r="Q61" s="64">
        <v>9.59</v>
      </c>
      <c r="R61" s="198"/>
      <c r="S61" s="198"/>
      <c r="T61" s="198"/>
      <c r="U61" s="198"/>
    </row>
    <row r="62" spans="1:21" s="12" customFormat="1" x14ac:dyDescent="0.25">
      <c r="A62" s="213" t="s">
        <v>1833</v>
      </c>
      <c r="B62" s="64">
        <v>12.49</v>
      </c>
      <c r="C62" s="64">
        <v>76.680000000000007</v>
      </c>
      <c r="D62" s="64">
        <v>48.7</v>
      </c>
      <c r="E62" s="64">
        <v>5.03</v>
      </c>
      <c r="F62" s="64">
        <v>2.13</v>
      </c>
      <c r="G62" s="64">
        <v>85.82</v>
      </c>
      <c r="H62" s="64">
        <v>29.2</v>
      </c>
      <c r="I62" s="210" t="s">
        <v>43</v>
      </c>
      <c r="J62" s="64">
        <v>2.34</v>
      </c>
      <c r="K62" s="64">
        <v>350.54</v>
      </c>
      <c r="L62" s="64">
        <v>33.31</v>
      </c>
      <c r="M62" s="64">
        <v>17.98</v>
      </c>
      <c r="N62" s="64">
        <v>802.6</v>
      </c>
      <c r="O62" s="64">
        <v>0</v>
      </c>
      <c r="P62" s="64">
        <v>0.84</v>
      </c>
      <c r="Q62" s="64">
        <v>9.59</v>
      </c>
      <c r="R62" s="198"/>
      <c r="S62" s="198"/>
      <c r="T62" s="198"/>
      <c r="U62" s="198"/>
    </row>
    <row r="63" spans="1:21" s="12" customFormat="1" x14ac:dyDescent="0.25">
      <c r="A63" s="213" t="s">
        <v>1834</v>
      </c>
      <c r="B63" s="64">
        <v>11.09</v>
      </c>
      <c r="C63" s="64">
        <v>74.709999999999994</v>
      </c>
      <c r="D63" s="64">
        <v>46.55</v>
      </c>
      <c r="E63" s="64">
        <v>5.19</v>
      </c>
      <c r="F63" s="64">
        <v>2.13</v>
      </c>
      <c r="G63" s="64">
        <v>85.82</v>
      </c>
      <c r="H63" s="64">
        <v>29.2</v>
      </c>
      <c r="I63" s="210" t="s">
        <v>43</v>
      </c>
      <c r="J63" s="64">
        <v>1.84</v>
      </c>
      <c r="K63" s="64">
        <v>344.79</v>
      </c>
      <c r="L63" s="64">
        <v>33.520000000000003</v>
      </c>
      <c r="M63" s="64">
        <v>17.72</v>
      </c>
      <c r="N63" s="64">
        <v>806.3</v>
      </c>
      <c r="O63" s="64">
        <v>0</v>
      </c>
      <c r="P63" s="64">
        <v>0.8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3" t="s">
        <v>1835</v>
      </c>
      <c r="B64" s="64">
        <v>9.8800000000000008</v>
      </c>
      <c r="C64" s="64">
        <v>73.209999999999994</v>
      </c>
      <c r="D64" s="64">
        <v>44.8</v>
      </c>
      <c r="E64" s="64">
        <v>5.39</v>
      </c>
      <c r="F64" s="64">
        <v>2.13</v>
      </c>
      <c r="G64" s="64">
        <v>82.45</v>
      </c>
      <c r="H64" s="64">
        <v>28.29</v>
      </c>
      <c r="I64" s="210" t="s">
        <v>43</v>
      </c>
      <c r="J64" s="64">
        <v>1.29</v>
      </c>
      <c r="K64" s="64">
        <v>313.27</v>
      </c>
      <c r="L64" s="64">
        <v>33.57</v>
      </c>
      <c r="M64" s="64">
        <v>17.809999999999999</v>
      </c>
      <c r="N64" s="64">
        <v>692.3</v>
      </c>
      <c r="O64" s="64">
        <v>0</v>
      </c>
      <c r="P64" s="64">
        <v>0.77</v>
      </c>
      <c r="Q64" s="64">
        <v>9.58</v>
      </c>
      <c r="R64" s="198"/>
      <c r="S64" s="198"/>
      <c r="T64" s="198"/>
      <c r="U64" s="198"/>
    </row>
    <row r="65" spans="1:21" s="12" customFormat="1" x14ac:dyDescent="0.25">
      <c r="A65" s="213" t="s">
        <v>1836</v>
      </c>
      <c r="B65" s="64">
        <v>9.0500000000000007</v>
      </c>
      <c r="C65" s="64">
        <v>71.91</v>
      </c>
      <c r="D65" s="64">
        <v>43.45</v>
      </c>
      <c r="E65" s="64">
        <v>5.1100000000000003</v>
      </c>
      <c r="F65" s="64">
        <v>2.13</v>
      </c>
      <c r="G65" s="64">
        <v>75.010000000000005</v>
      </c>
      <c r="H65" s="64">
        <v>26.28</v>
      </c>
      <c r="I65" s="210" t="s">
        <v>43</v>
      </c>
      <c r="J65" s="64">
        <v>1.78</v>
      </c>
      <c r="K65" s="64">
        <v>321.63</v>
      </c>
      <c r="L65" s="64">
        <v>33.68</v>
      </c>
      <c r="M65" s="64">
        <v>18.45</v>
      </c>
      <c r="N65" s="64">
        <v>710.4</v>
      </c>
      <c r="O65" s="64">
        <v>0</v>
      </c>
      <c r="P65" s="64">
        <v>0.76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3" t="s">
        <v>1837</v>
      </c>
      <c r="B66" s="64">
        <v>8.23</v>
      </c>
      <c r="C66" s="64">
        <v>70.73</v>
      </c>
      <c r="D66" s="64">
        <v>42.18</v>
      </c>
      <c r="E66" s="64">
        <v>5.33</v>
      </c>
      <c r="F66" s="64">
        <v>2.13</v>
      </c>
      <c r="G66" s="64">
        <v>75.010000000000005</v>
      </c>
      <c r="H66" s="64">
        <v>26.28</v>
      </c>
      <c r="I66" s="210" t="s">
        <v>43</v>
      </c>
      <c r="J66" s="64">
        <v>0.65</v>
      </c>
      <c r="K66" s="64">
        <v>292.55</v>
      </c>
      <c r="L66" s="64">
        <v>32.76</v>
      </c>
      <c r="M66" s="64">
        <v>18.66</v>
      </c>
      <c r="N66" s="64">
        <v>667.5</v>
      </c>
      <c r="O66" s="64">
        <v>0</v>
      </c>
      <c r="P66" s="64">
        <v>0.72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3" t="s">
        <v>1838</v>
      </c>
      <c r="B67" s="64">
        <v>7.26</v>
      </c>
      <c r="C67" s="64">
        <v>69.290000000000006</v>
      </c>
      <c r="D67" s="64">
        <v>40.65</v>
      </c>
      <c r="E67" s="64">
        <v>4.8</v>
      </c>
      <c r="F67" s="64">
        <v>2.13</v>
      </c>
      <c r="G67" s="64">
        <v>75.010000000000005</v>
      </c>
      <c r="H67" s="64">
        <v>26.28</v>
      </c>
      <c r="I67" s="210" t="s">
        <v>43</v>
      </c>
      <c r="J67" s="64">
        <v>0.75</v>
      </c>
      <c r="K67" s="64">
        <v>9.24</v>
      </c>
      <c r="L67" s="64">
        <v>30.91</v>
      </c>
      <c r="M67" s="64">
        <v>20.329999999999998</v>
      </c>
      <c r="N67" s="64">
        <v>567.1</v>
      </c>
      <c r="O67" s="64">
        <v>0</v>
      </c>
      <c r="P67" s="64">
        <v>0.61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3" t="s">
        <v>1839</v>
      </c>
      <c r="B68" s="64">
        <v>6.69</v>
      </c>
      <c r="C68" s="64">
        <v>67.27</v>
      </c>
      <c r="D68" s="64">
        <v>39.14</v>
      </c>
      <c r="E68" s="64">
        <v>4.8</v>
      </c>
      <c r="F68" s="64">
        <v>2.13</v>
      </c>
      <c r="G68" s="64">
        <v>67.8</v>
      </c>
      <c r="H68" s="64">
        <v>25.34</v>
      </c>
      <c r="I68" s="210" t="s">
        <v>43</v>
      </c>
      <c r="J68" s="64">
        <v>1.5</v>
      </c>
      <c r="K68" s="64">
        <v>326.32</v>
      </c>
      <c r="L68" s="64">
        <v>31.81</v>
      </c>
      <c r="M68" s="64">
        <v>19.95</v>
      </c>
      <c r="N68" s="64">
        <v>337.7</v>
      </c>
      <c r="O68" s="64">
        <v>0</v>
      </c>
      <c r="P68" s="64">
        <v>0.65</v>
      </c>
      <c r="Q68" s="64">
        <v>9.59</v>
      </c>
      <c r="R68" s="198"/>
      <c r="S68" s="198"/>
      <c r="T68" s="198"/>
      <c r="U68" s="198"/>
    </row>
    <row r="69" spans="1:21" s="12" customFormat="1" x14ac:dyDescent="0.25">
      <c r="A69" s="213" t="s">
        <v>1840</v>
      </c>
      <c r="B69" s="64">
        <v>6.42</v>
      </c>
      <c r="C69" s="64">
        <v>66.150000000000006</v>
      </c>
      <c r="D69" s="64">
        <v>38.33</v>
      </c>
      <c r="E69" s="64">
        <v>4.42</v>
      </c>
      <c r="F69" s="64">
        <v>2.13</v>
      </c>
      <c r="G69" s="64">
        <v>51.85</v>
      </c>
      <c r="H69" s="64">
        <v>23.26</v>
      </c>
      <c r="I69" s="210" t="s">
        <v>43</v>
      </c>
      <c r="J69" s="64">
        <v>0.25</v>
      </c>
      <c r="K69" s="64">
        <v>4.96</v>
      </c>
      <c r="L69" s="64">
        <v>31.48</v>
      </c>
      <c r="M69" s="64">
        <v>19.100000000000001</v>
      </c>
      <c r="N69" s="64">
        <v>396.6</v>
      </c>
      <c r="O69" s="64">
        <v>0</v>
      </c>
      <c r="P69" s="64">
        <v>0.6</v>
      </c>
      <c r="Q69" s="64">
        <v>9.58</v>
      </c>
      <c r="R69" s="198"/>
      <c r="S69" s="198"/>
      <c r="T69" s="198"/>
      <c r="U69" s="198"/>
    </row>
    <row r="70" spans="1:21" s="12" customFormat="1" x14ac:dyDescent="0.25">
      <c r="A70" s="213" t="s">
        <v>1841</v>
      </c>
      <c r="B70" s="64">
        <v>6.23</v>
      </c>
      <c r="C70" s="64">
        <v>64.64</v>
      </c>
      <c r="D70" s="64">
        <v>37.39</v>
      </c>
      <c r="E70" s="64">
        <v>5.19</v>
      </c>
      <c r="F70" s="64">
        <v>2.13</v>
      </c>
      <c r="G70" s="64">
        <v>51.85</v>
      </c>
      <c r="H70" s="64">
        <v>23.26</v>
      </c>
      <c r="I70" s="210" t="s">
        <v>43</v>
      </c>
      <c r="J70" s="64">
        <v>1.63</v>
      </c>
      <c r="K70" s="64">
        <v>357.35</v>
      </c>
      <c r="L70" s="64">
        <v>30.2</v>
      </c>
      <c r="M70" s="64">
        <v>21.6</v>
      </c>
      <c r="N70" s="64">
        <v>399.8</v>
      </c>
      <c r="O70" s="64">
        <v>0</v>
      </c>
      <c r="P70" s="64">
        <v>0.59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3" t="s">
        <v>1842</v>
      </c>
      <c r="B71" s="64">
        <v>6.31</v>
      </c>
      <c r="C71" s="64">
        <v>63.82</v>
      </c>
      <c r="D71" s="64">
        <v>37.03</v>
      </c>
      <c r="E71" s="64">
        <v>4.68</v>
      </c>
      <c r="F71" s="64">
        <v>2.13</v>
      </c>
      <c r="G71" s="64">
        <v>51.85</v>
      </c>
      <c r="H71" s="64">
        <v>23.26</v>
      </c>
      <c r="I71" s="210" t="s">
        <v>43</v>
      </c>
      <c r="J71" s="64">
        <v>0.76</v>
      </c>
      <c r="K71" s="64">
        <v>21.8</v>
      </c>
      <c r="L71" s="64">
        <v>29.37</v>
      </c>
      <c r="M71" s="64">
        <v>21.68</v>
      </c>
      <c r="N71" s="64">
        <v>355.8</v>
      </c>
      <c r="O71" s="64">
        <v>0</v>
      </c>
      <c r="P71" s="64">
        <v>0.55000000000000004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3" t="s">
        <v>1843</v>
      </c>
      <c r="B72" s="64">
        <v>6.42</v>
      </c>
      <c r="C72" s="64">
        <v>62.18</v>
      </c>
      <c r="D72" s="64">
        <v>36.26</v>
      </c>
      <c r="E72" s="64">
        <v>4.72</v>
      </c>
      <c r="F72" s="64">
        <v>2.13</v>
      </c>
      <c r="G72" s="64">
        <v>48.3</v>
      </c>
      <c r="H72" s="64">
        <v>22.45</v>
      </c>
      <c r="I72" s="210" t="s">
        <v>43</v>
      </c>
      <c r="J72" s="64">
        <v>1.62</v>
      </c>
      <c r="K72" s="64">
        <v>330.48</v>
      </c>
      <c r="L72" s="64">
        <v>29.28</v>
      </c>
      <c r="M72" s="64">
        <v>22.19</v>
      </c>
      <c r="N72" s="64">
        <v>187.7</v>
      </c>
      <c r="O72" s="64">
        <v>0</v>
      </c>
      <c r="P72" s="64">
        <v>0.54</v>
      </c>
      <c r="Q72" s="64">
        <v>9.58</v>
      </c>
      <c r="R72" s="198"/>
      <c r="S72" s="198"/>
      <c r="T72" s="198"/>
      <c r="U72" s="198"/>
    </row>
    <row r="73" spans="1:21" s="12" customFormat="1" x14ac:dyDescent="0.25">
      <c r="A73" s="213" t="s">
        <v>1844</v>
      </c>
      <c r="B73" s="64">
        <v>6.63</v>
      </c>
      <c r="C73" s="64">
        <v>61.5</v>
      </c>
      <c r="D73" s="64">
        <v>36.07</v>
      </c>
      <c r="E73" s="64">
        <v>5.15</v>
      </c>
      <c r="F73" s="64">
        <v>2.13</v>
      </c>
      <c r="G73" s="64">
        <v>40.44</v>
      </c>
      <c r="H73" s="64">
        <v>20.64</v>
      </c>
      <c r="I73" s="210" t="s">
        <v>43</v>
      </c>
      <c r="J73" s="64">
        <v>1.1499999999999999</v>
      </c>
      <c r="K73" s="64">
        <v>333.37</v>
      </c>
      <c r="L73" s="64">
        <v>28.92</v>
      </c>
      <c r="M73" s="64">
        <v>22.27</v>
      </c>
      <c r="N73" s="64">
        <v>140.1</v>
      </c>
      <c r="O73" s="64">
        <v>0</v>
      </c>
      <c r="P73" s="64">
        <v>0.51</v>
      </c>
      <c r="Q73" s="64">
        <v>9.57</v>
      </c>
      <c r="R73" s="198"/>
      <c r="S73" s="198"/>
      <c r="T73" s="198"/>
      <c r="U73" s="198"/>
    </row>
    <row r="74" spans="1:21" s="12" customFormat="1" x14ac:dyDescent="0.25">
      <c r="A74" s="213" t="s">
        <v>1845</v>
      </c>
      <c r="B74" s="64">
        <v>7.19</v>
      </c>
      <c r="C74" s="64">
        <v>61.12</v>
      </c>
      <c r="D74" s="64">
        <v>36.33</v>
      </c>
      <c r="E74" s="64">
        <v>5.0199999999999996</v>
      </c>
      <c r="F74" s="64">
        <v>2.13</v>
      </c>
      <c r="G74" s="64">
        <v>40.44</v>
      </c>
      <c r="H74" s="64">
        <v>20.64</v>
      </c>
      <c r="I74" s="210" t="s">
        <v>43</v>
      </c>
      <c r="J74" s="64">
        <v>1.65</v>
      </c>
      <c r="K74" s="64">
        <v>342.52</v>
      </c>
      <c r="L74" s="64">
        <v>28.35</v>
      </c>
      <c r="M74" s="64">
        <v>24.33</v>
      </c>
      <c r="N74" s="64">
        <v>131.6</v>
      </c>
      <c r="O74" s="64">
        <v>0</v>
      </c>
      <c r="P74" s="64">
        <v>0.54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3" t="s">
        <v>1846</v>
      </c>
      <c r="B75" s="64">
        <v>7.66</v>
      </c>
      <c r="C75" s="64">
        <v>60.66</v>
      </c>
      <c r="D75" s="64">
        <v>36.46</v>
      </c>
      <c r="E75" s="64">
        <v>4.78</v>
      </c>
      <c r="F75" s="64">
        <v>2.13</v>
      </c>
      <c r="G75" s="64">
        <v>40.44</v>
      </c>
      <c r="H75" s="64">
        <v>20.64</v>
      </c>
      <c r="I75" s="210" t="s">
        <v>43</v>
      </c>
      <c r="J75" s="64">
        <v>0.63</v>
      </c>
      <c r="K75" s="64">
        <v>23.65</v>
      </c>
      <c r="L75" s="64">
        <v>27.64</v>
      </c>
      <c r="M75" s="64">
        <v>24.46</v>
      </c>
      <c r="N75" s="64">
        <v>121.9</v>
      </c>
      <c r="O75" s="64">
        <v>0</v>
      </c>
      <c r="P75" s="64">
        <v>0.48</v>
      </c>
      <c r="Q75" s="64">
        <v>9.57</v>
      </c>
      <c r="R75" s="198"/>
      <c r="S75" s="198"/>
      <c r="T75" s="198"/>
      <c r="U75" s="198"/>
    </row>
    <row r="76" spans="1:21" s="12" customFormat="1" x14ac:dyDescent="0.25">
      <c r="A76" s="213" t="s">
        <v>1847</v>
      </c>
      <c r="B76" s="64">
        <v>8.4499999999999993</v>
      </c>
      <c r="C76" s="64">
        <v>60.74</v>
      </c>
      <c r="D76" s="64">
        <v>37.130000000000003</v>
      </c>
      <c r="E76" s="64">
        <v>5.33</v>
      </c>
      <c r="F76" s="64">
        <v>2.13</v>
      </c>
      <c r="G76" s="64">
        <v>39.25</v>
      </c>
      <c r="H76" s="64">
        <v>18.53</v>
      </c>
      <c r="I76" s="210" t="s">
        <v>43</v>
      </c>
      <c r="J76" s="64">
        <v>1.49</v>
      </c>
      <c r="K76" s="64">
        <v>341.68</v>
      </c>
      <c r="L76" s="64">
        <v>27.4</v>
      </c>
      <c r="M76" s="64">
        <v>25.81</v>
      </c>
      <c r="N76" s="64">
        <v>111.2</v>
      </c>
      <c r="O76" s="64">
        <v>0</v>
      </c>
      <c r="P76" s="64">
        <v>0.57999999999999996</v>
      </c>
      <c r="Q76" s="64">
        <v>9.5500000000000007</v>
      </c>
      <c r="R76" s="198"/>
      <c r="S76" s="198"/>
      <c r="T76" s="198"/>
      <c r="U76" s="198"/>
    </row>
    <row r="77" spans="1:21" s="12" customFormat="1" x14ac:dyDescent="0.25">
      <c r="A77" s="213" t="s">
        <v>1848</v>
      </c>
      <c r="B77" s="64">
        <v>9.15</v>
      </c>
      <c r="C77" s="64">
        <v>60.78</v>
      </c>
      <c r="D77" s="64">
        <v>37.71</v>
      </c>
      <c r="E77" s="64">
        <v>5.2</v>
      </c>
      <c r="F77" s="64">
        <v>2.13</v>
      </c>
      <c r="G77" s="64">
        <v>36.61</v>
      </c>
      <c r="H77" s="64">
        <v>13.84</v>
      </c>
      <c r="I77" s="210" t="s">
        <v>43</v>
      </c>
      <c r="J77" s="64">
        <v>1.3</v>
      </c>
      <c r="K77" s="64">
        <v>336.44</v>
      </c>
      <c r="L77" s="64">
        <v>27.01</v>
      </c>
      <c r="M77" s="64">
        <v>28.45</v>
      </c>
      <c r="N77" s="64">
        <v>101.2</v>
      </c>
      <c r="O77" s="64">
        <v>0</v>
      </c>
      <c r="P77" s="64">
        <v>0.6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13" t="s">
        <v>1849</v>
      </c>
      <c r="B78" s="64">
        <v>10.029999999999999</v>
      </c>
      <c r="C78" s="64">
        <v>61.13</v>
      </c>
      <c r="D78" s="64">
        <v>38.61</v>
      </c>
      <c r="E78" s="64">
        <v>5.51</v>
      </c>
      <c r="F78" s="64">
        <v>2.13</v>
      </c>
      <c r="G78" s="64">
        <v>36.61</v>
      </c>
      <c r="H78" s="64">
        <v>13.84</v>
      </c>
      <c r="I78" s="210" t="s">
        <v>43</v>
      </c>
      <c r="J78" s="64">
        <v>1.37</v>
      </c>
      <c r="K78" s="64">
        <v>345.97</v>
      </c>
      <c r="L78" s="64">
        <v>25.47</v>
      </c>
      <c r="M78" s="64">
        <v>38.19</v>
      </c>
      <c r="N78" s="64">
        <v>91.1</v>
      </c>
      <c r="O78" s="64">
        <v>0</v>
      </c>
      <c r="P78" s="64">
        <v>0.65</v>
      </c>
      <c r="Q78" s="64">
        <v>9.58</v>
      </c>
      <c r="R78" s="198"/>
      <c r="S78" s="198"/>
      <c r="T78" s="198"/>
      <c r="U78" s="198"/>
    </row>
    <row r="79" spans="1:21" s="12" customFormat="1" x14ac:dyDescent="0.25">
      <c r="A79" s="213" t="s">
        <v>1850</v>
      </c>
      <c r="B79" s="64">
        <v>11.25</v>
      </c>
      <c r="C79" s="64">
        <v>62.51</v>
      </c>
      <c r="D79" s="64">
        <v>40.299999999999997</v>
      </c>
      <c r="E79" s="64">
        <v>5.33</v>
      </c>
      <c r="F79" s="64">
        <v>2.13</v>
      </c>
      <c r="G79" s="64">
        <v>36.61</v>
      </c>
      <c r="H79" s="64">
        <v>13.84</v>
      </c>
      <c r="I79" s="210" t="s">
        <v>43</v>
      </c>
      <c r="J79" s="64">
        <v>1.1100000000000001</v>
      </c>
      <c r="K79" s="64">
        <v>347.35</v>
      </c>
      <c r="L79" s="64">
        <v>24.66</v>
      </c>
      <c r="M79" s="64">
        <v>41.2</v>
      </c>
      <c r="N79" s="64">
        <v>79.7</v>
      </c>
      <c r="O79" s="64">
        <v>0</v>
      </c>
      <c r="P79" s="64">
        <v>0.67</v>
      </c>
      <c r="Q79" s="64">
        <v>9.58</v>
      </c>
      <c r="R79" s="198"/>
      <c r="S79" s="198"/>
      <c r="T79" s="198"/>
      <c r="U79" s="198"/>
    </row>
    <row r="80" spans="1:21" s="12" customFormat="1" x14ac:dyDescent="0.25">
      <c r="A80" s="213" t="s">
        <v>1851</v>
      </c>
      <c r="B80" s="64">
        <v>12.52</v>
      </c>
      <c r="C80" s="64">
        <v>63.4</v>
      </c>
      <c r="D80" s="64">
        <v>41.79</v>
      </c>
      <c r="E80" s="64">
        <v>5.14</v>
      </c>
      <c r="F80" s="64">
        <v>2.13</v>
      </c>
      <c r="G80" s="64">
        <v>39.119999999999997</v>
      </c>
      <c r="H80" s="64">
        <v>14.64</v>
      </c>
      <c r="I80" s="210" t="s">
        <v>43</v>
      </c>
      <c r="J80" s="64">
        <v>0.93</v>
      </c>
      <c r="K80" s="64">
        <v>357.05</v>
      </c>
      <c r="L80" s="64">
        <v>24.03</v>
      </c>
      <c r="M80" s="64">
        <v>41.67</v>
      </c>
      <c r="N80" s="64">
        <v>70.400000000000006</v>
      </c>
      <c r="O80" s="64">
        <v>0</v>
      </c>
      <c r="P80" s="64">
        <v>0.95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3" t="s">
        <v>1852</v>
      </c>
      <c r="B81" s="64">
        <v>15.05</v>
      </c>
      <c r="C81" s="64">
        <v>64.73</v>
      </c>
      <c r="D81" s="64">
        <v>44.51</v>
      </c>
      <c r="E81" s="64">
        <v>5.53</v>
      </c>
      <c r="F81" s="64">
        <v>2.13</v>
      </c>
      <c r="G81" s="64">
        <v>44.68</v>
      </c>
      <c r="H81" s="64">
        <v>16.420000000000002</v>
      </c>
      <c r="I81" s="210" t="s">
        <v>43</v>
      </c>
      <c r="J81" s="64">
        <v>0.66</v>
      </c>
      <c r="K81" s="64">
        <v>21.52</v>
      </c>
      <c r="L81" s="64">
        <v>23.66</v>
      </c>
      <c r="M81" s="64">
        <v>40.44</v>
      </c>
      <c r="N81" s="64">
        <v>66.2</v>
      </c>
      <c r="O81" s="64">
        <v>0</v>
      </c>
      <c r="P81" s="64">
        <v>0.96</v>
      </c>
      <c r="Q81" s="64">
        <v>9.58</v>
      </c>
      <c r="R81" s="198"/>
      <c r="S81" s="198"/>
      <c r="T81" s="198"/>
      <c r="U81" s="198"/>
    </row>
    <row r="82" spans="1:26" s="12" customFormat="1" x14ac:dyDescent="0.25">
      <c r="A82" s="213" t="s">
        <v>1853</v>
      </c>
      <c r="B82" s="64">
        <v>19.28</v>
      </c>
      <c r="C82" s="64">
        <v>66.42</v>
      </c>
      <c r="D82" s="64">
        <v>48.78</v>
      </c>
      <c r="E82" s="64">
        <v>5.41</v>
      </c>
      <c r="F82" s="64">
        <v>2.13</v>
      </c>
      <c r="G82" s="64">
        <v>44.68</v>
      </c>
      <c r="H82" s="64">
        <v>16.420000000000002</v>
      </c>
      <c r="I82" s="210" t="s">
        <v>43</v>
      </c>
      <c r="J82" s="64">
        <v>0.77</v>
      </c>
      <c r="K82" s="64">
        <v>60.55</v>
      </c>
      <c r="L82" s="64">
        <v>23.1</v>
      </c>
      <c r="M82" s="64">
        <v>39.869999999999997</v>
      </c>
      <c r="N82" s="64">
        <v>65.400000000000006</v>
      </c>
      <c r="O82" s="64">
        <v>0</v>
      </c>
      <c r="P82" s="64">
        <v>1</v>
      </c>
      <c r="Q82" s="64">
        <v>9.58</v>
      </c>
      <c r="R82" s="198"/>
      <c r="S82" s="198"/>
      <c r="T82" s="198"/>
      <c r="U82" s="198"/>
    </row>
    <row r="83" spans="1:26" s="12" customFormat="1" x14ac:dyDescent="0.25">
      <c r="A83" s="213" t="s">
        <v>1854</v>
      </c>
      <c r="B83" s="64">
        <v>20.63</v>
      </c>
      <c r="C83" s="64">
        <v>67.38</v>
      </c>
      <c r="D83" s="64">
        <v>50.37</v>
      </c>
      <c r="E83" s="64">
        <v>5.77</v>
      </c>
      <c r="F83" s="64">
        <v>2.13</v>
      </c>
      <c r="G83" s="64">
        <v>44.68</v>
      </c>
      <c r="H83" s="64">
        <v>16.420000000000002</v>
      </c>
      <c r="I83" s="210" t="s">
        <v>43</v>
      </c>
      <c r="J83" s="64">
        <v>0.56999999999999995</v>
      </c>
      <c r="K83" s="64">
        <v>32.49</v>
      </c>
      <c r="L83" s="64">
        <v>23.28</v>
      </c>
      <c r="M83" s="64">
        <v>33.86</v>
      </c>
      <c r="N83" s="64">
        <v>65.400000000000006</v>
      </c>
      <c r="O83" s="64">
        <v>0</v>
      </c>
      <c r="P83" s="64">
        <v>1.02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3" t="s">
        <v>1855</v>
      </c>
      <c r="B84" s="64">
        <v>23.57</v>
      </c>
      <c r="C84" s="64">
        <v>67.959999999999994</v>
      </c>
      <c r="D84" s="64">
        <v>53.03</v>
      </c>
      <c r="E84" s="64">
        <v>5.78</v>
      </c>
      <c r="F84" s="64">
        <v>2.13</v>
      </c>
      <c r="G84" s="64">
        <v>50.44</v>
      </c>
      <c r="H84" s="64">
        <v>16.71</v>
      </c>
      <c r="I84" s="210" t="s">
        <v>43</v>
      </c>
      <c r="J84" s="64">
        <v>0.04</v>
      </c>
      <c r="K84" s="64">
        <v>178.18</v>
      </c>
      <c r="L84" s="64">
        <v>22.71</v>
      </c>
      <c r="M84" s="64">
        <v>36.979999999999997</v>
      </c>
      <c r="N84" s="64">
        <v>65.599999999999994</v>
      </c>
      <c r="O84" s="64">
        <v>0</v>
      </c>
      <c r="P84" s="64">
        <v>1.29</v>
      </c>
      <c r="Q84" s="64">
        <v>9.64</v>
      </c>
      <c r="R84" s="198"/>
      <c r="S84" s="198"/>
      <c r="T84" s="198"/>
      <c r="U84" s="198"/>
    </row>
    <row r="85" spans="1:26" s="12" customFormat="1" x14ac:dyDescent="0.25">
      <c r="A85" s="213" t="s">
        <v>1856</v>
      </c>
      <c r="B85" s="64">
        <v>27.95</v>
      </c>
      <c r="C85" s="64">
        <v>68.849999999999994</v>
      </c>
      <c r="D85" s="64">
        <v>57.01</v>
      </c>
      <c r="E85" s="64">
        <v>6.38</v>
      </c>
      <c r="F85" s="64">
        <v>2.13</v>
      </c>
      <c r="G85" s="64">
        <v>63.19</v>
      </c>
      <c r="H85" s="64">
        <v>17.34</v>
      </c>
      <c r="I85" s="210" t="s">
        <v>43</v>
      </c>
      <c r="J85" s="64">
        <v>0.44</v>
      </c>
      <c r="K85" s="64">
        <v>322.22000000000003</v>
      </c>
      <c r="L85" s="64">
        <v>22.26</v>
      </c>
      <c r="M85" s="64">
        <v>39.22</v>
      </c>
      <c r="N85" s="64">
        <v>65.5</v>
      </c>
      <c r="O85" s="64">
        <v>0</v>
      </c>
      <c r="P85" s="64">
        <v>1.1100000000000001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3" t="s">
        <v>1857</v>
      </c>
      <c r="B86" s="64">
        <v>32.950000000000003</v>
      </c>
      <c r="C86" s="64">
        <v>69.650000000000006</v>
      </c>
      <c r="D86" s="64">
        <v>61.44</v>
      </c>
      <c r="E86" s="64">
        <v>6.3</v>
      </c>
      <c r="F86" s="64">
        <v>2.13</v>
      </c>
      <c r="G86" s="64">
        <v>63.19</v>
      </c>
      <c r="H86" s="64">
        <v>17.34</v>
      </c>
      <c r="I86" s="210" t="s">
        <v>43</v>
      </c>
      <c r="J86" s="64">
        <v>0.65</v>
      </c>
      <c r="K86" s="64">
        <v>354.18</v>
      </c>
      <c r="L86" s="64">
        <v>21.73</v>
      </c>
      <c r="M86" s="64">
        <v>42.69</v>
      </c>
      <c r="N86" s="64">
        <v>65.400000000000006</v>
      </c>
      <c r="O86" s="64">
        <v>0</v>
      </c>
      <c r="P86" s="64">
        <v>1.67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3" t="s">
        <v>1858</v>
      </c>
      <c r="B87" s="64">
        <v>39.5</v>
      </c>
      <c r="C87" s="64">
        <v>70.27</v>
      </c>
      <c r="D87" s="64">
        <v>67.02</v>
      </c>
      <c r="E87" s="64">
        <v>6.58</v>
      </c>
      <c r="F87" s="64">
        <v>2.13</v>
      </c>
      <c r="G87" s="64">
        <v>63.19</v>
      </c>
      <c r="H87" s="64">
        <v>17.34</v>
      </c>
      <c r="I87" s="210" t="s">
        <v>43</v>
      </c>
      <c r="J87" s="64">
        <v>0.44</v>
      </c>
      <c r="K87" s="64">
        <v>274.19</v>
      </c>
      <c r="L87" s="64">
        <v>21.25</v>
      </c>
      <c r="M87" s="64">
        <v>44.52</v>
      </c>
      <c r="N87" s="64">
        <v>65.3</v>
      </c>
      <c r="O87" s="64">
        <v>0</v>
      </c>
      <c r="P87" s="64">
        <v>1.79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3" t="s">
        <v>1859</v>
      </c>
      <c r="B88" s="64">
        <v>47.06</v>
      </c>
      <c r="C88" s="64">
        <v>70.91</v>
      </c>
      <c r="D88" s="64">
        <v>73.41</v>
      </c>
      <c r="E88" s="64">
        <v>7.11</v>
      </c>
      <c r="F88" s="64">
        <v>2.13</v>
      </c>
      <c r="G88" s="64">
        <v>71.17</v>
      </c>
      <c r="H88" s="64">
        <v>19.22</v>
      </c>
      <c r="I88" s="210" t="s">
        <v>43</v>
      </c>
      <c r="J88" s="64">
        <v>0.6</v>
      </c>
      <c r="K88" s="64">
        <v>318.77999999999997</v>
      </c>
      <c r="L88" s="64">
        <v>21.24</v>
      </c>
      <c r="M88" s="64">
        <v>48.2</v>
      </c>
      <c r="N88" s="64">
        <v>65.2</v>
      </c>
      <c r="O88" s="64">
        <v>0</v>
      </c>
      <c r="P88" s="64">
        <v>1.65</v>
      </c>
      <c r="Q88" s="64">
        <v>9.66</v>
      </c>
      <c r="R88" s="198"/>
      <c r="S88" s="198"/>
      <c r="T88" s="198"/>
      <c r="U88" s="198"/>
    </row>
    <row r="89" spans="1:26" s="12" customFormat="1" x14ac:dyDescent="0.25">
      <c r="A89" s="213" t="s">
        <v>1860</v>
      </c>
      <c r="B89" s="64">
        <v>54.41</v>
      </c>
      <c r="C89" s="64">
        <v>70.92</v>
      </c>
      <c r="D89" s="64">
        <v>79.31</v>
      </c>
      <c r="E89" s="64">
        <v>7.09</v>
      </c>
      <c r="F89" s="64">
        <v>2.13</v>
      </c>
      <c r="G89" s="64">
        <v>88.83</v>
      </c>
      <c r="H89" s="64">
        <v>23.37</v>
      </c>
      <c r="I89" s="210" t="s">
        <v>43</v>
      </c>
      <c r="J89" s="64">
        <v>0.44</v>
      </c>
      <c r="K89" s="64">
        <v>297.36</v>
      </c>
      <c r="L89" s="64">
        <v>20.67</v>
      </c>
      <c r="M89" s="64">
        <v>49.6</v>
      </c>
      <c r="N89" s="64">
        <v>65.3</v>
      </c>
      <c r="O89" s="64">
        <v>0</v>
      </c>
      <c r="P89" s="64">
        <v>1.94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3" t="s">
        <v>1861</v>
      </c>
      <c r="B90" s="64">
        <v>59.69</v>
      </c>
      <c r="C90" s="64">
        <v>69.709999999999994</v>
      </c>
      <c r="D90" s="64">
        <v>82.91</v>
      </c>
      <c r="E90" s="64">
        <v>7.37</v>
      </c>
      <c r="F90" s="64">
        <v>2.13</v>
      </c>
      <c r="G90" s="64">
        <v>88.83</v>
      </c>
      <c r="H90" s="64">
        <v>23.37</v>
      </c>
      <c r="I90" s="210" t="s">
        <v>43</v>
      </c>
      <c r="J90" s="64">
        <v>0.67</v>
      </c>
      <c r="K90" s="64">
        <v>311.06</v>
      </c>
      <c r="L90" s="64">
        <v>20.88</v>
      </c>
      <c r="M90" s="64">
        <v>47.08</v>
      </c>
      <c r="N90" s="64">
        <v>65.2</v>
      </c>
      <c r="O90" s="64">
        <v>0</v>
      </c>
      <c r="P90" s="64">
        <v>2.5099999999999998</v>
      </c>
      <c r="Q90" s="64">
        <v>9.7200000000000006</v>
      </c>
      <c r="R90" s="198"/>
      <c r="S90" s="198"/>
      <c r="T90" s="198"/>
      <c r="U90" s="198"/>
    </row>
    <row r="91" spans="1:26" s="12" customFormat="1" x14ac:dyDescent="0.25">
      <c r="A91" s="213" t="s">
        <v>1862</v>
      </c>
      <c r="B91" s="64">
        <v>66.2</v>
      </c>
      <c r="C91" s="64">
        <v>70.58</v>
      </c>
      <c r="D91" s="64">
        <v>88.59</v>
      </c>
      <c r="E91" s="64">
        <v>7.45</v>
      </c>
      <c r="F91" s="64">
        <v>2.13</v>
      </c>
      <c r="G91" s="64">
        <v>88.83</v>
      </c>
      <c r="H91" s="64">
        <v>23.37</v>
      </c>
      <c r="I91" s="210" t="s">
        <v>43</v>
      </c>
      <c r="J91" s="64">
        <v>0.48</v>
      </c>
      <c r="K91" s="64">
        <v>317.44</v>
      </c>
      <c r="L91" s="64">
        <v>20.41</v>
      </c>
      <c r="M91" s="64">
        <v>50.15</v>
      </c>
      <c r="N91" s="64">
        <v>65.400000000000006</v>
      </c>
      <c r="O91" s="64">
        <v>0</v>
      </c>
      <c r="P91" s="64">
        <v>2.2000000000000002</v>
      </c>
      <c r="Q91" s="64">
        <v>9.7200000000000006</v>
      </c>
      <c r="R91" s="198"/>
      <c r="S91" s="198"/>
      <c r="T91" s="198"/>
      <c r="U91" s="198"/>
    </row>
    <row r="92" spans="1:26" s="12" customFormat="1" x14ac:dyDescent="0.25">
      <c r="A92" s="213" t="s">
        <v>1863</v>
      </c>
      <c r="B92" s="64">
        <v>72.400000000000006</v>
      </c>
      <c r="C92" s="64">
        <v>71.150000000000006</v>
      </c>
      <c r="D92" s="64">
        <v>93.86</v>
      </c>
      <c r="E92" s="64">
        <v>7.4</v>
      </c>
      <c r="F92" s="64">
        <v>2.13</v>
      </c>
      <c r="G92" s="64">
        <v>95.54</v>
      </c>
      <c r="H92" s="64">
        <v>23.94</v>
      </c>
      <c r="I92" s="210" t="s">
        <v>43</v>
      </c>
      <c r="J92" s="64">
        <v>0.81</v>
      </c>
      <c r="K92" s="64">
        <v>234.09</v>
      </c>
      <c r="L92" s="64">
        <v>20.47</v>
      </c>
      <c r="M92" s="64">
        <v>48.73</v>
      </c>
      <c r="N92" s="64">
        <v>64.400000000000006</v>
      </c>
      <c r="O92" s="64">
        <v>0</v>
      </c>
      <c r="P92" s="64">
        <v>1.91</v>
      </c>
      <c r="Q92" s="64">
        <v>9.76</v>
      </c>
      <c r="R92" s="198"/>
      <c r="S92" s="198"/>
      <c r="T92" s="198"/>
      <c r="U92" s="198"/>
    </row>
    <row r="93" spans="1:26" s="12" customFormat="1" x14ac:dyDescent="0.25">
      <c r="A93" s="213" t="s">
        <v>1864</v>
      </c>
      <c r="B93" s="64">
        <v>77.540000000000006</v>
      </c>
      <c r="C93" s="64">
        <v>71.2</v>
      </c>
      <c r="D93" s="64">
        <v>98</v>
      </c>
      <c r="E93" s="64">
        <v>7.69</v>
      </c>
      <c r="F93" s="64">
        <v>2.13</v>
      </c>
      <c r="G93" s="64">
        <v>111.21</v>
      </c>
      <c r="H93" s="64">
        <v>25.2</v>
      </c>
      <c r="I93" s="210" t="s">
        <v>43</v>
      </c>
      <c r="J93" s="64">
        <v>0.47</v>
      </c>
      <c r="K93" s="64">
        <v>271.58</v>
      </c>
      <c r="L93" s="64">
        <v>20.25</v>
      </c>
      <c r="M93" s="64">
        <v>51.48</v>
      </c>
      <c r="N93" s="64">
        <v>65.400000000000006</v>
      </c>
      <c r="O93" s="64">
        <v>0</v>
      </c>
      <c r="P93" s="64">
        <v>2.31</v>
      </c>
      <c r="Q93" s="64">
        <v>9.77</v>
      </c>
      <c r="R93" s="198"/>
      <c r="S93" s="198"/>
      <c r="T93" s="198"/>
      <c r="U93" s="198"/>
    </row>
    <row r="94" spans="1:26" s="12" customFormat="1" x14ac:dyDescent="0.25">
      <c r="A94" s="213" t="s">
        <v>1865</v>
      </c>
      <c r="B94" s="64">
        <v>84.9</v>
      </c>
      <c r="C94" s="64">
        <v>71.39</v>
      </c>
      <c r="D94" s="64">
        <v>104</v>
      </c>
      <c r="E94" s="64">
        <v>7.88</v>
      </c>
      <c r="F94" s="64">
        <v>2.13</v>
      </c>
      <c r="G94" s="64">
        <v>111.21</v>
      </c>
      <c r="H94" s="64">
        <v>25.2</v>
      </c>
      <c r="I94" s="210" t="s">
        <v>43</v>
      </c>
      <c r="J94" s="64">
        <v>0.62</v>
      </c>
      <c r="K94" s="64">
        <v>227.36</v>
      </c>
      <c r="L94" s="64">
        <v>19.89</v>
      </c>
      <c r="M94" s="64">
        <v>51.35</v>
      </c>
      <c r="N94" s="64">
        <v>64.599999999999994</v>
      </c>
      <c r="O94" s="64">
        <v>0</v>
      </c>
      <c r="P94" s="64">
        <v>2.2000000000000002</v>
      </c>
      <c r="Q94" s="64">
        <v>9.7899999999999991</v>
      </c>
      <c r="R94" s="198"/>
      <c r="S94" s="198"/>
      <c r="T94" s="198"/>
      <c r="U94" s="198"/>
    </row>
    <row r="95" spans="1:26" s="12" customFormat="1" x14ac:dyDescent="0.25">
      <c r="A95" s="213" t="s">
        <v>1866</v>
      </c>
      <c r="B95" s="64">
        <v>91.32</v>
      </c>
      <c r="C95" s="64">
        <v>71.27</v>
      </c>
      <c r="D95" s="64">
        <v>109.09</v>
      </c>
      <c r="E95" s="64">
        <v>8.1199999999999992</v>
      </c>
      <c r="F95" s="64">
        <v>2.13</v>
      </c>
      <c r="G95" s="64">
        <v>111.21</v>
      </c>
      <c r="H95" s="64">
        <v>25.2</v>
      </c>
      <c r="I95" s="210" t="s">
        <v>43</v>
      </c>
      <c r="J95" s="64">
        <v>0.68</v>
      </c>
      <c r="K95" s="64">
        <v>334.72</v>
      </c>
      <c r="L95" s="64">
        <v>19.73</v>
      </c>
      <c r="M95" s="64">
        <v>55.91</v>
      </c>
      <c r="N95" s="64">
        <v>65.5</v>
      </c>
      <c r="O95" s="64">
        <v>0</v>
      </c>
      <c r="P95" s="64">
        <v>2.44</v>
      </c>
      <c r="Q95" s="64">
        <v>9.83</v>
      </c>
      <c r="R95" s="198"/>
      <c r="S95" s="198"/>
      <c r="T95" s="198"/>
      <c r="U95" s="198"/>
    </row>
    <row r="96" spans="1:26" s="12" customFormat="1" x14ac:dyDescent="0.25">
      <c r="A96" s="213" t="s">
        <v>1867</v>
      </c>
      <c r="B96" s="64">
        <v>97.38</v>
      </c>
      <c r="C96" s="64">
        <v>70.91</v>
      </c>
      <c r="D96" s="64">
        <v>113.76</v>
      </c>
      <c r="E96" s="64">
        <v>8.4600000000000009</v>
      </c>
      <c r="F96" s="64">
        <v>2.13</v>
      </c>
      <c r="G96" s="64">
        <v>119.38</v>
      </c>
      <c r="H96" s="64">
        <v>27.72</v>
      </c>
      <c r="I96" s="210" t="s">
        <v>43</v>
      </c>
      <c r="J96" s="64">
        <v>0.45</v>
      </c>
      <c r="K96" s="64">
        <v>87.33</v>
      </c>
      <c r="L96" s="64">
        <v>19.16</v>
      </c>
      <c r="M96" s="64">
        <v>55.27</v>
      </c>
      <c r="N96" s="64">
        <v>65.2</v>
      </c>
      <c r="O96" s="64">
        <v>0</v>
      </c>
      <c r="P96" s="64">
        <v>2.29</v>
      </c>
      <c r="Q96" s="64">
        <v>9.86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1868</v>
      </c>
      <c r="B97" s="64">
        <v>103.87</v>
      </c>
      <c r="C97" s="64">
        <v>71.78</v>
      </c>
      <c r="D97" s="64">
        <v>119.42</v>
      </c>
      <c r="E97" s="64">
        <v>8.8800000000000008</v>
      </c>
      <c r="F97" s="64">
        <v>2.13</v>
      </c>
      <c r="G97" s="64">
        <v>137.47</v>
      </c>
      <c r="H97" s="64">
        <v>33.299999999999997</v>
      </c>
      <c r="I97" s="210" t="s">
        <v>43</v>
      </c>
      <c r="J97" s="64">
        <v>0.18</v>
      </c>
      <c r="K97" s="64">
        <v>314.73</v>
      </c>
      <c r="L97" s="64">
        <v>18.62</v>
      </c>
      <c r="M97" s="64">
        <v>63.66</v>
      </c>
      <c r="N97" s="64">
        <v>65.5</v>
      </c>
      <c r="O97" s="64">
        <v>0</v>
      </c>
      <c r="P97" s="64">
        <v>1.82</v>
      </c>
      <c r="Q97" s="64">
        <v>9.85</v>
      </c>
      <c r="R97" s="198"/>
      <c r="S97" s="198"/>
      <c r="T97" s="198"/>
      <c r="U97" s="198"/>
    </row>
    <row r="98" spans="1:33" s="12" customFormat="1" x14ac:dyDescent="0.25">
      <c r="A98" s="213" t="s">
        <v>1869</v>
      </c>
      <c r="B98" s="64">
        <v>112.14</v>
      </c>
      <c r="C98" s="64">
        <v>71.87</v>
      </c>
      <c r="D98" s="64">
        <v>126.1</v>
      </c>
      <c r="E98" s="64">
        <v>8.9</v>
      </c>
      <c r="F98" s="64">
        <v>2.13</v>
      </c>
      <c r="G98" s="64">
        <v>137.47</v>
      </c>
      <c r="H98" s="64">
        <v>33.299999999999997</v>
      </c>
      <c r="I98" s="210" t="s">
        <v>43</v>
      </c>
      <c r="J98" s="64">
        <v>0.64</v>
      </c>
      <c r="K98" s="64">
        <v>339.55</v>
      </c>
      <c r="L98" s="64">
        <v>18.29</v>
      </c>
      <c r="M98" s="64">
        <v>60.86</v>
      </c>
      <c r="N98" s="64">
        <v>65.3</v>
      </c>
      <c r="O98" s="64">
        <v>0</v>
      </c>
      <c r="P98" s="64">
        <v>2.17</v>
      </c>
      <c r="Q98" s="64">
        <v>9.85</v>
      </c>
      <c r="R98" s="198"/>
      <c r="S98" s="198"/>
      <c r="T98" s="198"/>
      <c r="U98" s="198"/>
    </row>
    <row r="99" spans="1:33" s="12" customFormat="1" x14ac:dyDescent="0.25">
      <c r="A99" s="213" t="s">
        <v>1870</v>
      </c>
      <c r="B99" s="64">
        <v>122.84</v>
      </c>
      <c r="C99" s="64">
        <v>71.62</v>
      </c>
      <c r="D99" s="64">
        <v>134.56</v>
      </c>
      <c r="E99" s="64">
        <v>9.2799999999999994</v>
      </c>
      <c r="F99" s="64">
        <v>2.13</v>
      </c>
      <c r="G99" s="64">
        <v>137.47</v>
      </c>
      <c r="H99" s="64">
        <v>33.299999999999997</v>
      </c>
      <c r="I99" s="210" t="s">
        <v>43</v>
      </c>
      <c r="J99" s="64">
        <v>0.6</v>
      </c>
      <c r="K99" s="64">
        <v>320.27999999999997</v>
      </c>
      <c r="L99" s="64">
        <v>18.16</v>
      </c>
      <c r="M99" s="64">
        <v>62.69</v>
      </c>
      <c r="N99" s="64">
        <v>65.400000000000006</v>
      </c>
      <c r="O99" s="64">
        <v>0</v>
      </c>
      <c r="P99" s="64">
        <v>2.17</v>
      </c>
      <c r="Q99" s="64">
        <v>9.86</v>
      </c>
      <c r="R99" s="198"/>
      <c r="S99" s="198"/>
      <c r="T99" s="198"/>
      <c r="U99" s="198"/>
    </row>
    <row r="100" spans="1:33" s="12" customFormat="1" x14ac:dyDescent="0.25">
      <c r="A100" s="213" t="s">
        <v>1871</v>
      </c>
      <c r="B100" s="64">
        <v>134.69</v>
      </c>
      <c r="C100" s="64">
        <v>71.42</v>
      </c>
      <c r="D100" s="64">
        <v>143.94999999999999</v>
      </c>
      <c r="E100" s="64">
        <v>9.31</v>
      </c>
      <c r="F100" s="64">
        <v>2.13</v>
      </c>
      <c r="G100" s="64">
        <v>148.02000000000001</v>
      </c>
      <c r="H100" s="64">
        <v>33.770000000000003</v>
      </c>
      <c r="I100" s="210" t="s">
        <v>43</v>
      </c>
      <c r="J100" s="64">
        <v>0.76</v>
      </c>
      <c r="K100" s="64">
        <v>228.1</v>
      </c>
      <c r="L100" s="64">
        <v>18.47</v>
      </c>
      <c r="M100" s="64">
        <v>61.7</v>
      </c>
      <c r="N100" s="64">
        <v>64.7</v>
      </c>
      <c r="O100" s="64">
        <v>0</v>
      </c>
      <c r="P100" s="64">
        <v>2.21</v>
      </c>
      <c r="Q100" s="64">
        <v>9.9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1872</v>
      </c>
      <c r="B101" s="64">
        <v>142.13999999999999</v>
      </c>
      <c r="C101" s="64">
        <v>70.25</v>
      </c>
      <c r="D101" s="64">
        <v>149.31</v>
      </c>
      <c r="E101" s="64">
        <v>9.3699999999999992</v>
      </c>
      <c r="F101" s="64">
        <v>2.13</v>
      </c>
      <c r="G101" s="64">
        <v>171.39</v>
      </c>
      <c r="H101" s="64">
        <v>34.81</v>
      </c>
      <c r="I101" s="210" t="s">
        <v>43</v>
      </c>
      <c r="J101" s="64">
        <v>1.07</v>
      </c>
      <c r="K101" s="64">
        <v>212.37</v>
      </c>
      <c r="L101" s="64">
        <v>18.760000000000002</v>
      </c>
      <c r="M101" s="64">
        <v>59.45</v>
      </c>
      <c r="N101" s="64">
        <v>63.9</v>
      </c>
      <c r="O101" s="64">
        <v>0</v>
      </c>
      <c r="P101" s="64">
        <v>2.09</v>
      </c>
      <c r="Q101" s="64">
        <v>10.039999999999999</v>
      </c>
      <c r="R101" s="198"/>
      <c r="S101" s="198"/>
      <c r="T101" s="198"/>
      <c r="U101" s="198"/>
    </row>
    <row r="102" spans="1:33" s="12" customFormat="1" x14ac:dyDescent="0.25">
      <c r="A102" s="213" t="s">
        <v>1873</v>
      </c>
      <c r="B102" s="64">
        <v>140.68</v>
      </c>
      <c r="C102" s="64">
        <v>68.55</v>
      </c>
      <c r="D102" s="64">
        <v>147.26</v>
      </c>
      <c r="E102" s="64">
        <v>9.26</v>
      </c>
      <c r="F102" s="64">
        <v>2.13</v>
      </c>
      <c r="G102" s="64">
        <v>171.39</v>
      </c>
      <c r="H102" s="64">
        <v>34.81</v>
      </c>
      <c r="I102" s="210" t="s">
        <v>43</v>
      </c>
      <c r="J102" s="64">
        <v>0.35</v>
      </c>
      <c r="K102" s="64">
        <v>221.94</v>
      </c>
      <c r="L102" s="64">
        <v>18.510000000000002</v>
      </c>
      <c r="M102" s="64">
        <v>58.36</v>
      </c>
      <c r="N102" s="64">
        <v>65.2</v>
      </c>
      <c r="O102" s="64">
        <v>0</v>
      </c>
      <c r="P102" s="64">
        <v>1.95</v>
      </c>
      <c r="Q102" s="64">
        <v>10.18</v>
      </c>
      <c r="R102" s="198"/>
      <c r="S102" s="198"/>
      <c r="T102" s="198"/>
      <c r="U102" s="198"/>
    </row>
    <row r="103" spans="1:33" s="12" customFormat="1" x14ac:dyDescent="0.25">
      <c r="A103" s="213" t="s">
        <v>1874</v>
      </c>
      <c r="B103" s="64">
        <v>134.93</v>
      </c>
      <c r="C103" s="64">
        <v>66.63</v>
      </c>
      <c r="D103" s="64">
        <v>141.63</v>
      </c>
      <c r="E103" s="64">
        <v>8.6199999999999992</v>
      </c>
      <c r="F103" s="64">
        <v>2.13</v>
      </c>
      <c r="G103" s="64">
        <v>171.39</v>
      </c>
      <c r="H103" s="64">
        <v>34.81</v>
      </c>
      <c r="I103" s="210" t="s">
        <v>43</v>
      </c>
      <c r="J103" s="64">
        <v>0.53</v>
      </c>
      <c r="K103" s="64">
        <v>301.69</v>
      </c>
      <c r="L103" s="64">
        <v>17.95</v>
      </c>
      <c r="M103" s="64">
        <v>60.51</v>
      </c>
      <c r="N103" s="64">
        <v>65.5</v>
      </c>
      <c r="O103" s="64">
        <v>0</v>
      </c>
      <c r="P103" s="64">
        <v>1.9</v>
      </c>
      <c r="Q103" s="64">
        <v>10.220000000000001</v>
      </c>
      <c r="R103" s="198"/>
      <c r="S103" s="198"/>
      <c r="T103" s="198"/>
      <c r="U103" s="198"/>
    </row>
    <row r="104" spans="1:33" s="12" customFormat="1" x14ac:dyDescent="0.25">
      <c r="A104" s="213" t="s">
        <v>1875</v>
      </c>
      <c r="B104" s="64">
        <v>129.18</v>
      </c>
      <c r="C104" s="64">
        <v>65.099999999999994</v>
      </c>
      <c r="D104" s="64">
        <v>136.22999999999999</v>
      </c>
      <c r="E104" s="64">
        <v>7.57</v>
      </c>
      <c r="F104" s="64">
        <v>2.13</v>
      </c>
      <c r="G104" s="64">
        <v>158.07</v>
      </c>
      <c r="H104" s="64">
        <v>34.020000000000003</v>
      </c>
      <c r="I104" s="210" t="s">
        <v>43</v>
      </c>
      <c r="J104" s="64">
        <v>0.61</v>
      </c>
      <c r="K104" s="64">
        <v>319.24</v>
      </c>
      <c r="L104" s="64">
        <v>17.38</v>
      </c>
      <c r="M104" s="64">
        <v>64.849999999999994</v>
      </c>
      <c r="N104" s="64">
        <v>65.5</v>
      </c>
      <c r="O104" s="64">
        <v>0</v>
      </c>
      <c r="P104" s="64">
        <v>1.82</v>
      </c>
      <c r="Q104" s="64">
        <v>10.19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6.23</v>
      </c>
      <c r="C106" s="67">
        <f>MIN(C9:C104)</f>
        <v>52.69</v>
      </c>
      <c r="D106" s="67">
        <f t="shared" ref="D106:Q106" si="0">MIN(D9:D104)</f>
        <v>36.07</v>
      </c>
      <c r="E106" s="67">
        <f t="shared" si="0"/>
        <v>4.42</v>
      </c>
      <c r="F106" s="67">
        <f t="shared" si="0"/>
        <v>2.13</v>
      </c>
      <c r="G106" s="67">
        <f t="shared" si="0"/>
        <v>36.61</v>
      </c>
      <c r="H106" s="67">
        <f t="shared" si="0"/>
        <v>13.84</v>
      </c>
      <c r="I106" s="67">
        <f t="shared" si="0"/>
        <v>0</v>
      </c>
      <c r="J106" s="67">
        <f t="shared" si="0"/>
        <v>0.04</v>
      </c>
      <c r="K106" s="67">
        <f t="shared" si="0"/>
        <v>4.96</v>
      </c>
      <c r="L106" s="67">
        <f t="shared" si="0"/>
        <v>13.36</v>
      </c>
      <c r="M106" s="67">
        <f t="shared" si="0"/>
        <v>16.440000000000001</v>
      </c>
      <c r="N106" s="67">
        <f t="shared" si="0"/>
        <v>63.9</v>
      </c>
      <c r="O106" s="67">
        <f t="shared" si="0"/>
        <v>0</v>
      </c>
      <c r="P106" s="67">
        <f t="shared" si="0"/>
        <v>0.48</v>
      </c>
      <c r="Q106" s="67">
        <f t="shared" si="0"/>
        <v>9.5500000000000007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142.13999999999999</v>
      </c>
      <c r="C107" s="66">
        <f t="shared" ref="C107:Q107" si="1">MAX(C9:C104)</f>
        <v>89.31</v>
      </c>
      <c r="D107" s="66">
        <f t="shared" si="1"/>
        <v>149.31</v>
      </c>
      <c r="E107" s="66">
        <f t="shared" si="1"/>
        <v>9.6</v>
      </c>
      <c r="F107" s="66">
        <f t="shared" si="1"/>
        <v>2.63</v>
      </c>
      <c r="G107" s="66">
        <f t="shared" si="1"/>
        <v>171.39</v>
      </c>
      <c r="H107" s="66">
        <f t="shared" si="1"/>
        <v>35.69</v>
      </c>
      <c r="I107" s="66">
        <f t="shared" si="1"/>
        <v>0</v>
      </c>
      <c r="J107" s="66">
        <f t="shared" si="1"/>
        <v>2.34</v>
      </c>
      <c r="K107" s="66">
        <f t="shared" si="1"/>
        <v>357.87</v>
      </c>
      <c r="L107" s="66">
        <f t="shared" si="1"/>
        <v>34.049999999999997</v>
      </c>
      <c r="M107" s="66">
        <f t="shared" si="1"/>
        <v>75</v>
      </c>
      <c r="N107" s="66">
        <f t="shared" si="1"/>
        <v>843.9</v>
      </c>
      <c r="O107" s="66">
        <f t="shared" si="1"/>
        <v>0</v>
      </c>
      <c r="P107" s="66">
        <f t="shared" si="1"/>
        <v>2.5099999999999998</v>
      </c>
      <c r="Q107" s="66">
        <f t="shared" si="1"/>
        <v>10.220000000000001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63.174062499999984</v>
      </c>
      <c r="C108" s="67">
        <f t="shared" ref="C108:Q108" si="2">AVERAGE(C9:C104)</f>
        <v>65.842083333333321</v>
      </c>
      <c r="D108" s="67">
        <f t="shared" si="2"/>
        <v>83.684479166666691</v>
      </c>
      <c r="E108" s="67">
        <f t="shared" si="2"/>
        <v>7.0573958333333335</v>
      </c>
      <c r="F108" s="67">
        <f t="shared" si="2"/>
        <v>2.1352083333333307</v>
      </c>
      <c r="G108" s="67">
        <f t="shared" si="2"/>
        <v>91.311145833333342</v>
      </c>
      <c r="H108" s="67">
        <f t="shared" si="2"/>
        <v>26.227604166666655</v>
      </c>
      <c r="I108" s="67" t="e">
        <f t="shared" si="2"/>
        <v>#DIV/0!</v>
      </c>
      <c r="J108" s="67">
        <f t="shared" si="2"/>
        <v>0.80791666666666673</v>
      </c>
      <c r="K108" s="67">
        <f t="shared" si="2"/>
        <v>248.94666666666663</v>
      </c>
      <c r="L108" s="67">
        <f t="shared" si="2"/>
        <v>22.014270833333342</v>
      </c>
      <c r="M108" s="67">
        <f t="shared" si="2"/>
        <v>45.790520833333325</v>
      </c>
      <c r="N108" s="67">
        <f t="shared" si="2"/>
        <v>266.36458333333343</v>
      </c>
      <c r="O108" s="67">
        <f t="shared" si="2"/>
        <v>0</v>
      </c>
      <c r="P108" s="67">
        <f t="shared" si="2"/>
        <v>1.1347916666666666</v>
      </c>
      <c r="Q108" s="67">
        <f t="shared" si="2"/>
        <v>9.8401041666666735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42.279471180732301</v>
      </c>
      <c r="C109" s="67">
        <f t="shared" ref="C109:Q109" si="3">STDEV(C9:C104)</f>
        <v>9.3831519692049365</v>
      </c>
      <c r="D109" s="67">
        <f t="shared" si="3"/>
        <v>32.632541294003147</v>
      </c>
      <c r="E109" s="67">
        <f t="shared" si="3"/>
        <v>1.4719455401765438</v>
      </c>
      <c r="F109" s="67">
        <f t="shared" si="3"/>
        <v>5.1031036307982842E-2</v>
      </c>
      <c r="G109" s="67">
        <f t="shared" si="3"/>
        <v>32.152569247255343</v>
      </c>
      <c r="H109" s="67">
        <f t="shared" si="3"/>
        <v>5.6352189038491511</v>
      </c>
      <c r="I109" s="67" t="e">
        <f t="shared" si="3"/>
        <v>#DIV/0!</v>
      </c>
      <c r="J109" s="67">
        <f t="shared" si="3"/>
        <v>0.47239572320062945</v>
      </c>
      <c r="K109" s="67">
        <f t="shared" si="3"/>
        <v>106.7479159778499</v>
      </c>
      <c r="L109" s="67">
        <f t="shared" si="3"/>
        <v>6.609062477472901</v>
      </c>
      <c r="M109" s="67">
        <f t="shared" si="3"/>
        <v>18.132036804320848</v>
      </c>
      <c r="N109" s="67">
        <f t="shared" si="3"/>
        <v>287.00783960654093</v>
      </c>
      <c r="O109" s="67">
        <f t="shared" si="3"/>
        <v>0</v>
      </c>
      <c r="P109" s="67">
        <f t="shared" si="3"/>
        <v>0.5110566539130198</v>
      </c>
      <c r="Q109" s="67">
        <f t="shared" si="3"/>
        <v>0.20489532522301621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1876</v>
      </c>
      <c r="B9" s="64">
        <v>125.24</v>
      </c>
      <c r="C9" s="64">
        <v>63.76</v>
      </c>
      <c r="D9" s="64">
        <v>132.37</v>
      </c>
      <c r="E9" s="64">
        <v>8.4499999999999993</v>
      </c>
      <c r="F9" s="64">
        <v>2.13</v>
      </c>
      <c r="G9" s="64">
        <v>128.58000000000001</v>
      </c>
      <c r="H9" s="64">
        <v>32.29</v>
      </c>
      <c r="I9" s="214" t="s">
        <v>43</v>
      </c>
      <c r="J9" s="64">
        <v>0.61</v>
      </c>
      <c r="K9" s="64">
        <v>346.27</v>
      </c>
      <c r="L9" s="64">
        <v>16.920000000000002</v>
      </c>
      <c r="M9" s="64">
        <v>73.83</v>
      </c>
      <c r="N9" s="64">
        <v>65.5</v>
      </c>
      <c r="O9" s="64">
        <v>0</v>
      </c>
      <c r="P9" s="64">
        <v>1.83</v>
      </c>
      <c r="Q9" s="64">
        <v>10.17</v>
      </c>
      <c r="R9" s="198"/>
      <c r="S9" s="198"/>
      <c r="T9" s="198"/>
      <c r="U9" s="198"/>
    </row>
    <row r="10" spans="1:21" s="12" customFormat="1" x14ac:dyDescent="0.25">
      <c r="A10" s="213" t="s">
        <v>1877</v>
      </c>
      <c r="B10" s="64">
        <v>122.81</v>
      </c>
      <c r="C10" s="64">
        <v>62.51</v>
      </c>
      <c r="D10" s="64">
        <v>129.77000000000001</v>
      </c>
      <c r="E10" s="64">
        <v>8.2799999999999994</v>
      </c>
      <c r="F10" s="64">
        <v>2.13</v>
      </c>
      <c r="G10" s="64">
        <v>128.58000000000001</v>
      </c>
      <c r="H10" s="64">
        <v>32.29</v>
      </c>
      <c r="I10" s="214" t="s">
        <v>43</v>
      </c>
      <c r="J10" s="64">
        <v>0.37</v>
      </c>
      <c r="K10" s="64">
        <v>118.96</v>
      </c>
      <c r="L10" s="64">
        <v>16.77</v>
      </c>
      <c r="M10" s="64">
        <v>71.489999999999995</v>
      </c>
      <c r="N10" s="64">
        <v>65.2</v>
      </c>
      <c r="O10" s="64">
        <v>0</v>
      </c>
      <c r="P10" s="64">
        <v>1.78</v>
      </c>
      <c r="Q10" s="64">
        <v>10.119999999999999</v>
      </c>
      <c r="R10" s="198"/>
      <c r="S10" s="198"/>
      <c r="T10" s="198"/>
      <c r="U10" s="198"/>
    </row>
    <row r="11" spans="1:21" s="12" customFormat="1" x14ac:dyDescent="0.25">
      <c r="A11" s="213" t="s">
        <v>1878</v>
      </c>
      <c r="B11" s="64">
        <v>120.87</v>
      </c>
      <c r="C11" s="64">
        <v>58.87</v>
      </c>
      <c r="D11" s="64">
        <v>126.31</v>
      </c>
      <c r="E11" s="64">
        <v>8.1999999999999993</v>
      </c>
      <c r="F11" s="64">
        <v>2.13</v>
      </c>
      <c r="G11" s="64">
        <v>128.58000000000001</v>
      </c>
      <c r="H11" s="64">
        <v>32.29</v>
      </c>
      <c r="I11" s="214" t="s">
        <v>43</v>
      </c>
      <c r="J11" s="64">
        <v>0.56999999999999995</v>
      </c>
      <c r="K11" s="64">
        <v>318.88</v>
      </c>
      <c r="L11" s="64">
        <v>16.66</v>
      </c>
      <c r="M11" s="64">
        <v>73.42</v>
      </c>
      <c r="N11" s="64">
        <v>65.400000000000006</v>
      </c>
      <c r="O11" s="64">
        <v>0</v>
      </c>
      <c r="P11" s="64">
        <v>1.49</v>
      </c>
      <c r="Q11" s="64">
        <v>10.11</v>
      </c>
      <c r="R11" s="198"/>
      <c r="S11" s="198"/>
      <c r="T11" s="198"/>
      <c r="U11" s="198"/>
    </row>
    <row r="12" spans="1:21" s="12" customFormat="1" x14ac:dyDescent="0.25">
      <c r="A12" s="213" t="s">
        <v>1879</v>
      </c>
      <c r="B12" s="64">
        <v>119.47</v>
      </c>
      <c r="C12" s="64">
        <v>57.77</v>
      </c>
      <c r="D12" s="64">
        <v>124.62</v>
      </c>
      <c r="E12" s="64">
        <v>7.74</v>
      </c>
      <c r="F12" s="64">
        <v>2.13</v>
      </c>
      <c r="G12" s="64">
        <v>120.87</v>
      </c>
      <c r="H12" s="64">
        <v>31.71</v>
      </c>
      <c r="I12" s="214" t="s">
        <v>43</v>
      </c>
      <c r="J12" s="64">
        <v>1.25</v>
      </c>
      <c r="K12" s="64">
        <v>351.84</v>
      </c>
      <c r="L12" s="64">
        <v>16.600000000000001</v>
      </c>
      <c r="M12" s="64">
        <v>74.39</v>
      </c>
      <c r="N12" s="64">
        <v>63.9</v>
      </c>
      <c r="O12" s="64">
        <v>0</v>
      </c>
      <c r="P12" s="64">
        <v>1.48</v>
      </c>
      <c r="Q12" s="64">
        <v>10.1</v>
      </c>
      <c r="R12" s="198"/>
      <c r="S12" s="198"/>
      <c r="T12" s="198"/>
      <c r="U12" s="198"/>
    </row>
    <row r="13" spans="1:21" s="12" customFormat="1" x14ac:dyDescent="0.25">
      <c r="A13" s="213" t="s">
        <v>1880</v>
      </c>
      <c r="B13" s="64">
        <v>115.15</v>
      </c>
      <c r="C13" s="64">
        <v>57.84</v>
      </c>
      <c r="D13" s="64">
        <v>121.19</v>
      </c>
      <c r="E13" s="64">
        <v>8.2200000000000006</v>
      </c>
      <c r="F13" s="64">
        <v>2.13</v>
      </c>
      <c r="G13" s="64">
        <v>103.79</v>
      </c>
      <c r="H13" s="64">
        <v>30.44</v>
      </c>
      <c r="I13" s="214" t="s">
        <v>43</v>
      </c>
      <c r="J13" s="64">
        <v>1.33</v>
      </c>
      <c r="K13" s="64">
        <v>352.23</v>
      </c>
      <c r="L13" s="64">
        <v>17.78</v>
      </c>
      <c r="M13" s="64">
        <v>56.7</v>
      </c>
      <c r="N13" s="64">
        <v>63.1</v>
      </c>
      <c r="O13" s="64">
        <v>0</v>
      </c>
      <c r="P13" s="64">
        <v>1.29</v>
      </c>
      <c r="Q13" s="64">
        <v>10.11</v>
      </c>
      <c r="R13" s="198"/>
      <c r="S13" s="198"/>
      <c r="T13" s="198"/>
      <c r="U13" s="198"/>
    </row>
    <row r="14" spans="1:21" s="12" customFormat="1" x14ac:dyDescent="0.25">
      <c r="A14" s="213" t="s">
        <v>1881</v>
      </c>
      <c r="B14" s="64">
        <v>110.01</v>
      </c>
      <c r="C14" s="64">
        <v>58.66</v>
      </c>
      <c r="D14" s="64">
        <v>117.49</v>
      </c>
      <c r="E14" s="64">
        <v>7.85</v>
      </c>
      <c r="F14" s="64">
        <v>2.14</v>
      </c>
      <c r="G14" s="64">
        <v>103.79</v>
      </c>
      <c r="H14" s="64">
        <v>30.44</v>
      </c>
      <c r="I14" s="214" t="s">
        <v>43</v>
      </c>
      <c r="J14" s="64">
        <v>0.4</v>
      </c>
      <c r="K14" s="64">
        <v>316.81</v>
      </c>
      <c r="L14" s="64">
        <v>18.14</v>
      </c>
      <c r="M14" s="64">
        <v>52.94</v>
      </c>
      <c r="N14" s="64">
        <v>65.2</v>
      </c>
      <c r="O14" s="64">
        <v>0</v>
      </c>
      <c r="P14" s="64">
        <v>1.21</v>
      </c>
      <c r="Q14" s="64">
        <v>10.09</v>
      </c>
      <c r="R14" s="198"/>
      <c r="S14" s="198"/>
      <c r="T14" s="198"/>
      <c r="U14" s="198"/>
    </row>
    <row r="15" spans="1:21" s="12" customFormat="1" x14ac:dyDescent="0.25">
      <c r="A15" s="213" t="s">
        <v>1882</v>
      </c>
      <c r="B15" s="64">
        <v>105.62</v>
      </c>
      <c r="C15" s="64">
        <v>58.93</v>
      </c>
      <c r="D15" s="64">
        <v>114.11</v>
      </c>
      <c r="E15" s="64">
        <v>8.06</v>
      </c>
      <c r="F15" s="64">
        <v>2.13</v>
      </c>
      <c r="G15" s="64">
        <v>103.79</v>
      </c>
      <c r="H15" s="64">
        <v>30.44</v>
      </c>
      <c r="I15" s="214" t="s">
        <v>43</v>
      </c>
      <c r="J15" s="64">
        <v>0.55000000000000004</v>
      </c>
      <c r="K15" s="64">
        <v>236.33</v>
      </c>
      <c r="L15" s="64">
        <v>17.899999999999999</v>
      </c>
      <c r="M15" s="64">
        <v>54.92</v>
      </c>
      <c r="N15" s="64">
        <v>65.599999999999994</v>
      </c>
      <c r="O15" s="64">
        <v>0</v>
      </c>
      <c r="P15" s="64">
        <v>1.25</v>
      </c>
      <c r="Q15" s="64">
        <v>10.09</v>
      </c>
      <c r="R15" s="198"/>
      <c r="S15" s="198"/>
      <c r="T15" s="198"/>
      <c r="U15" s="198"/>
    </row>
    <row r="16" spans="1:21" s="12" customFormat="1" x14ac:dyDescent="0.25">
      <c r="A16" s="213" t="s">
        <v>1883</v>
      </c>
      <c r="B16" s="64">
        <v>101.5</v>
      </c>
      <c r="C16" s="64">
        <v>58.2</v>
      </c>
      <c r="D16" s="64">
        <v>110.42</v>
      </c>
      <c r="E16" s="64">
        <v>8.02</v>
      </c>
      <c r="F16" s="64">
        <v>2.13</v>
      </c>
      <c r="G16" s="64">
        <v>107.69</v>
      </c>
      <c r="H16" s="64">
        <v>32.72</v>
      </c>
      <c r="I16" s="214" t="s">
        <v>43</v>
      </c>
      <c r="J16" s="64">
        <v>0.56999999999999995</v>
      </c>
      <c r="K16" s="64">
        <v>271.67</v>
      </c>
      <c r="L16" s="64">
        <v>17.39</v>
      </c>
      <c r="M16" s="64">
        <v>58.78</v>
      </c>
      <c r="N16" s="64">
        <v>65.5</v>
      </c>
      <c r="O16" s="64">
        <v>0</v>
      </c>
      <c r="P16" s="64">
        <v>1.26</v>
      </c>
      <c r="Q16" s="64">
        <v>10.06</v>
      </c>
      <c r="R16" s="198"/>
      <c r="S16" s="198"/>
      <c r="T16" s="198"/>
      <c r="U16" s="198"/>
    </row>
    <row r="17" spans="1:21" s="12" customFormat="1" x14ac:dyDescent="0.25">
      <c r="A17" s="213" t="s">
        <v>1884</v>
      </c>
      <c r="B17" s="64">
        <v>98.24</v>
      </c>
      <c r="C17" s="64">
        <v>57.77</v>
      </c>
      <c r="D17" s="64">
        <v>107.58</v>
      </c>
      <c r="E17" s="64">
        <v>7.78</v>
      </c>
      <c r="F17" s="64">
        <v>2.13</v>
      </c>
      <c r="G17" s="64">
        <v>116.33</v>
      </c>
      <c r="H17" s="64">
        <v>37.770000000000003</v>
      </c>
      <c r="I17" s="214" t="s">
        <v>43</v>
      </c>
      <c r="J17" s="64">
        <v>0.35</v>
      </c>
      <c r="K17" s="64">
        <v>329.58</v>
      </c>
      <c r="L17" s="64">
        <v>16.88</v>
      </c>
      <c r="M17" s="64">
        <v>62.57</v>
      </c>
      <c r="N17" s="64">
        <v>65.599999999999994</v>
      </c>
      <c r="O17" s="64">
        <v>0</v>
      </c>
      <c r="P17" s="64">
        <v>1.27</v>
      </c>
      <c r="Q17" s="64">
        <v>10.02</v>
      </c>
      <c r="R17" s="198"/>
      <c r="S17" s="198"/>
      <c r="T17" s="198"/>
      <c r="U17" s="198"/>
    </row>
    <row r="18" spans="1:21" s="12" customFormat="1" x14ac:dyDescent="0.25">
      <c r="A18" s="213" t="s">
        <v>1885</v>
      </c>
      <c r="B18" s="64">
        <v>95.24</v>
      </c>
      <c r="C18" s="64">
        <v>57.89</v>
      </c>
      <c r="D18" s="64">
        <v>105.24</v>
      </c>
      <c r="E18" s="64">
        <v>8.41</v>
      </c>
      <c r="F18" s="64">
        <v>2.13</v>
      </c>
      <c r="G18" s="64">
        <v>116.33</v>
      </c>
      <c r="H18" s="64">
        <v>37.770000000000003</v>
      </c>
      <c r="I18" s="214" t="s">
        <v>43</v>
      </c>
      <c r="J18" s="64">
        <v>0.65</v>
      </c>
      <c r="K18" s="64">
        <v>272.58999999999997</v>
      </c>
      <c r="L18" s="64">
        <v>16.59</v>
      </c>
      <c r="M18" s="64">
        <v>65.709999999999994</v>
      </c>
      <c r="N18" s="64">
        <v>65.5</v>
      </c>
      <c r="O18" s="64">
        <v>0</v>
      </c>
      <c r="P18" s="64">
        <v>1.3</v>
      </c>
      <c r="Q18" s="64">
        <v>10</v>
      </c>
      <c r="R18" s="198"/>
      <c r="S18" s="198"/>
      <c r="T18" s="198"/>
      <c r="U18" s="198"/>
    </row>
    <row r="19" spans="1:21" s="12" customFormat="1" x14ac:dyDescent="0.25">
      <c r="A19" s="213" t="s">
        <v>1886</v>
      </c>
      <c r="B19" s="64">
        <v>92.64</v>
      </c>
      <c r="C19" s="64">
        <v>58.75</v>
      </c>
      <c r="D19" s="64">
        <v>103.61</v>
      </c>
      <c r="E19" s="64">
        <v>8.19</v>
      </c>
      <c r="F19" s="64">
        <v>2.13</v>
      </c>
      <c r="G19" s="64">
        <v>116.33</v>
      </c>
      <c r="H19" s="64">
        <v>37.770000000000003</v>
      </c>
      <c r="I19" s="214" t="s">
        <v>43</v>
      </c>
      <c r="J19" s="64">
        <v>0.47</v>
      </c>
      <c r="K19" s="64">
        <v>251.22</v>
      </c>
      <c r="L19" s="64">
        <v>16.57</v>
      </c>
      <c r="M19" s="64">
        <v>66.58</v>
      </c>
      <c r="N19" s="64">
        <v>65.099999999999994</v>
      </c>
      <c r="O19" s="64">
        <v>0</v>
      </c>
      <c r="P19" s="64">
        <v>1.36</v>
      </c>
      <c r="Q19" s="64">
        <v>9.9700000000000006</v>
      </c>
      <c r="R19" s="198"/>
      <c r="S19" s="198"/>
      <c r="T19" s="198"/>
      <c r="U19" s="198"/>
    </row>
    <row r="20" spans="1:21" s="12" customFormat="1" x14ac:dyDescent="0.25">
      <c r="A20" s="213" t="s">
        <v>1887</v>
      </c>
      <c r="B20" s="64">
        <v>90.9</v>
      </c>
      <c r="C20" s="64">
        <v>59.3</v>
      </c>
      <c r="D20" s="64">
        <v>102.5</v>
      </c>
      <c r="E20" s="64">
        <v>8.3800000000000008</v>
      </c>
      <c r="F20" s="64">
        <v>2.13</v>
      </c>
      <c r="G20" s="64">
        <v>125.89</v>
      </c>
      <c r="H20" s="64">
        <v>40.950000000000003</v>
      </c>
      <c r="I20" s="214" t="s">
        <v>43</v>
      </c>
      <c r="J20" s="64">
        <v>0.78</v>
      </c>
      <c r="K20" s="64">
        <v>342.6</v>
      </c>
      <c r="L20" s="64">
        <v>16.23</v>
      </c>
      <c r="M20" s="64">
        <v>71.680000000000007</v>
      </c>
      <c r="N20" s="64">
        <v>65.5</v>
      </c>
      <c r="O20" s="64">
        <v>0</v>
      </c>
      <c r="P20" s="64">
        <v>1.3</v>
      </c>
      <c r="Q20" s="64">
        <v>9.9499999999999993</v>
      </c>
      <c r="R20" s="198"/>
      <c r="S20" s="198"/>
      <c r="T20" s="198"/>
      <c r="U20" s="198"/>
    </row>
    <row r="21" spans="1:21" s="12" customFormat="1" x14ac:dyDescent="0.25">
      <c r="A21" s="213" t="s">
        <v>1888</v>
      </c>
      <c r="B21" s="64">
        <v>89.02</v>
      </c>
      <c r="C21" s="64">
        <v>59.28</v>
      </c>
      <c r="D21" s="64">
        <v>100.98</v>
      </c>
      <c r="E21" s="64">
        <v>8.5399999999999991</v>
      </c>
      <c r="F21" s="64">
        <v>2.13</v>
      </c>
      <c r="G21" s="64">
        <v>147.05000000000001</v>
      </c>
      <c r="H21" s="64">
        <v>48</v>
      </c>
      <c r="I21" s="214" t="s">
        <v>43</v>
      </c>
      <c r="J21" s="64">
        <v>0.46</v>
      </c>
      <c r="K21" s="64">
        <v>273.8</v>
      </c>
      <c r="L21" s="64">
        <v>15.98</v>
      </c>
      <c r="M21" s="64">
        <v>73.11</v>
      </c>
      <c r="N21" s="64">
        <v>65.3</v>
      </c>
      <c r="O21" s="64">
        <v>0</v>
      </c>
      <c r="P21" s="64">
        <v>1.29</v>
      </c>
      <c r="Q21" s="64">
        <v>9.9499999999999993</v>
      </c>
      <c r="R21" s="198"/>
      <c r="S21" s="198"/>
      <c r="T21" s="198"/>
      <c r="U21" s="198"/>
    </row>
    <row r="22" spans="1:21" s="12" customFormat="1" x14ac:dyDescent="0.25">
      <c r="A22" s="213" t="s">
        <v>1889</v>
      </c>
      <c r="B22" s="64">
        <v>86.65</v>
      </c>
      <c r="C22" s="64">
        <v>58.86</v>
      </c>
      <c r="D22" s="64">
        <v>98.87</v>
      </c>
      <c r="E22" s="64">
        <v>8.33</v>
      </c>
      <c r="F22" s="64">
        <v>2.13</v>
      </c>
      <c r="G22" s="64">
        <v>147.05000000000001</v>
      </c>
      <c r="H22" s="64">
        <v>48</v>
      </c>
      <c r="I22" s="214" t="s">
        <v>43</v>
      </c>
      <c r="J22" s="64">
        <v>0.89</v>
      </c>
      <c r="K22" s="64">
        <v>222.92</v>
      </c>
      <c r="L22" s="64">
        <v>16.52</v>
      </c>
      <c r="M22" s="64">
        <v>69.34</v>
      </c>
      <c r="N22" s="64">
        <v>64.3</v>
      </c>
      <c r="O22" s="64">
        <v>0</v>
      </c>
      <c r="P22" s="64">
        <v>1.28</v>
      </c>
      <c r="Q22" s="64">
        <v>9.9499999999999993</v>
      </c>
      <c r="R22" s="198"/>
      <c r="S22" s="198"/>
      <c r="T22" s="198"/>
      <c r="U22" s="198"/>
    </row>
    <row r="23" spans="1:21" s="12" customFormat="1" x14ac:dyDescent="0.25">
      <c r="A23" s="213" t="s">
        <v>1890</v>
      </c>
      <c r="B23" s="64">
        <v>84.53</v>
      </c>
      <c r="C23" s="64">
        <v>58.37</v>
      </c>
      <c r="D23" s="64">
        <v>96.9</v>
      </c>
      <c r="E23" s="64">
        <v>8.4700000000000006</v>
      </c>
      <c r="F23" s="64">
        <v>2.13</v>
      </c>
      <c r="G23" s="64">
        <v>147.05000000000001</v>
      </c>
      <c r="H23" s="64">
        <v>48</v>
      </c>
      <c r="I23" s="214" t="s">
        <v>43</v>
      </c>
      <c r="J23" s="64">
        <v>0.68</v>
      </c>
      <c r="K23" s="64">
        <v>338.44</v>
      </c>
      <c r="L23" s="64">
        <v>16.27</v>
      </c>
      <c r="M23" s="64">
        <v>71.14</v>
      </c>
      <c r="N23" s="64">
        <v>65.599999999999994</v>
      </c>
      <c r="O23" s="64">
        <v>0</v>
      </c>
      <c r="P23" s="64">
        <v>1.25</v>
      </c>
      <c r="Q23" s="64">
        <v>9.9700000000000006</v>
      </c>
      <c r="R23" s="198"/>
      <c r="S23" s="198"/>
      <c r="T23" s="198"/>
      <c r="U23" s="198"/>
    </row>
    <row r="24" spans="1:21" s="12" customFormat="1" x14ac:dyDescent="0.25">
      <c r="A24" s="213" t="s">
        <v>1891</v>
      </c>
      <c r="B24" s="64">
        <v>82.69</v>
      </c>
      <c r="C24" s="64">
        <v>58.16</v>
      </c>
      <c r="D24" s="64">
        <v>95.33</v>
      </c>
      <c r="E24" s="64">
        <v>8.4700000000000006</v>
      </c>
      <c r="F24" s="64">
        <v>2.13</v>
      </c>
      <c r="G24" s="64">
        <v>144.72</v>
      </c>
      <c r="H24" s="64">
        <v>48.05</v>
      </c>
      <c r="I24" s="214" t="s">
        <v>43</v>
      </c>
      <c r="J24" s="64">
        <v>0.21</v>
      </c>
      <c r="K24" s="64">
        <v>291.82</v>
      </c>
      <c r="L24" s="64">
        <v>15.75</v>
      </c>
      <c r="M24" s="64">
        <v>72.86</v>
      </c>
      <c r="N24" s="64">
        <v>65.5</v>
      </c>
      <c r="O24" s="64">
        <v>0</v>
      </c>
      <c r="P24" s="64">
        <v>1.23</v>
      </c>
      <c r="Q24" s="64">
        <v>9.9600000000000009</v>
      </c>
      <c r="R24" s="198"/>
      <c r="S24" s="198"/>
      <c r="T24" s="198"/>
      <c r="U24" s="198"/>
    </row>
    <row r="25" spans="1:21" s="12" customFormat="1" x14ac:dyDescent="0.25">
      <c r="A25" s="213" t="s">
        <v>1892</v>
      </c>
      <c r="B25" s="64">
        <v>81.48</v>
      </c>
      <c r="C25" s="64">
        <v>57.95</v>
      </c>
      <c r="D25" s="64">
        <v>94.24</v>
      </c>
      <c r="E25" s="64">
        <v>8.5</v>
      </c>
      <c r="F25" s="64">
        <v>2.13</v>
      </c>
      <c r="G25" s="64">
        <v>139.55000000000001</v>
      </c>
      <c r="H25" s="64">
        <v>48.18</v>
      </c>
      <c r="I25" s="214" t="s">
        <v>43</v>
      </c>
      <c r="J25" s="64">
        <v>0.6</v>
      </c>
      <c r="K25" s="64">
        <v>249.38</v>
      </c>
      <c r="L25" s="64">
        <v>15.71</v>
      </c>
      <c r="M25" s="64">
        <v>71</v>
      </c>
      <c r="N25" s="64">
        <v>65.599999999999994</v>
      </c>
      <c r="O25" s="64">
        <v>0</v>
      </c>
      <c r="P25" s="64">
        <v>1.22</v>
      </c>
      <c r="Q25" s="64">
        <v>9.9600000000000009</v>
      </c>
      <c r="R25" s="198"/>
      <c r="S25" s="198"/>
      <c r="T25" s="198"/>
      <c r="U25" s="198"/>
    </row>
    <row r="26" spans="1:21" s="12" customFormat="1" x14ac:dyDescent="0.25">
      <c r="A26" s="213" t="s">
        <v>1893</v>
      </c>
      <c r="B26" s="64">
        <v>81.27</v>
      </c>
      <c r="C26" s="64">
        <v>57.61</v>
      </c>
      <c r="D26" s="64">
        <v>93.89</v>
      </c>
      <c r="E26" s="64">
        <v>8.7200000000000006</v>
      </c>
      <c r="F26" s="64">
        <v>2.13</v>
      </c>
      <c r="G26" s="64">
        <v>139.55000000000001</v>
      </c>
      <c r="H26" s="64">
        <v>48.18</v>
      </c>
      <c r="I26" s="214" t="s">
        <v>43</v>
      </c>
      <c r="J26" s="64">
        <v>0.09</v>
      </c>
      <c r="K26" s="64">
        <v>32.78</v>
      </c>
      <c r="L26" s="64">
        <v>15.49</v>
      </c>
      <c r="M26" s="64">
        <v>70.12</v>
      </c>
      <c r="N26" s="64">
        <v>65.5</v>
      </c>
      <c r="O26" s="64">
        <v>0</v>
      </c>
      <c r="P26" s="64">
        <v>1.21</v>
      </c>
      <c r="Q26" s="64">
        <v>9.92</v>
      </c>
      <c r="R26" s="198"/>
      <c r="S26" s="198"/>
      <c r="T26" s="198"/>
      <c r="U26" s="198"/>
    </row>
    <row r="27" spans="1:21" s="12" customFormat="1" x14ac:dyDescent="0.25">
      <c r="A27" s="213" t="s">
        <v>1894</v>
      </c>
      <c r="B27" s="64">
        <v>80.58</v>
      </c>
      <c r="C27" s="64">
        <v>57.53</v>
      </c>
      <c r="D27" s="64">
        <v>93.3</v>
      </c>
      <c r="E27" s="64">
        <v>9.09</v>
      </c>
      <c r="F27" s="64">
        <v>2.13</v>
      </c>
      <c r="G27" s="64">
        <v>139.55000000000001</v>
      </c>
      <c r="H27" s="64">
        <v>48.18</v>
      </c>
      <c r="I27" s="214" t="s">
        <v>43</v>
      </c>
      <c r="J27" s="64">
        <v>0.65</v>
      </c>
      <c r="K27" s="64">
        <v>269.7</v>
      </c>
      <c r="L27" s="64">
        <v>15.56</v>
      </c>
      <c r="M27" s="64">
        <v>73.17</v>
      </c>
      <c r="N27" s="64">
        <v>65.400000000000006</v>
      </c>
      <c r="O27" s="64">
        <v>0</v>
      </c>
      <c r="P27" s="64">
        <v>1.2</v>
      </c>
      <c r="Q27" s="64">
        <v>9.92</v>
      </c>
      <c r="R27" s="198"/>
      <c r="S27" s="198"/>
      <c r="T27" s="198"/>
      <c r="U27" s="198"/>
    </row>
    <row r="28" spans="1:21" s="12" customFormat="1" x14ac:dyDescent="0.25">
      <c r="A28" s="213" t="s">
        <v>1895</v>
      </c>
      <c r="B28" s="64">
        <v>80.44</v>
      </c>
      <c r="C28" s="64">
        <v>56.98</v>
      </c>
      <c r="D28" s="64">
        <v>92.9</v>
      </c>
      <c r="E28" s="64">
        <v>8.7799999999999994</v>
      </c>
      <c r="F28" s="64">
        <v>2.13</v>
      </c>
      <c r="G28" s="64">
        <v>136.58000000000001</v>
      </c>
      <c r="H28" s="64">
        <v>47.69</v>
      </c>
      <c r="I28" s="214" t="s">
        <v>43</v>
      </c>
      <c r="J28" s="64">
        <v>0.64</v>
      </c>
      <c r="K28" s="64">
        <v>308.54000000000002</v>
      </c>
      <c r="L28" s="64">
        <v>15.61</v>
      </c>
      <c r="M28" s="64">
        <v>70.08</v>
      </c>
      <c r="N28" s="64">
        <v>65.5</v>
      </c>
      <c r="O28" s="64">
        <v>0</v>
      </c>
      <c r="P28" s="64">
        <v>1.18</v>
      </c>
      <c r="Q28" s="64">
        <v>9.9</v>
      </c>
      <c r="R28" s="198"/>
      <c r="S28" s="198"/>
      <c r="T28" s="198"/>
      <c r="U28" s="198"/>
    </row>
    <row r="29" spans="1:21" s="12" customFormat="1" x14ac:dyDescent="0.25">
      <c r="A29" s="213" t="s">
        <v>1896</v>
      </c>
      <c r="B29" s="64">
        <v>80.39</v>
      </c>
      <c r="C29" s="64">
        <v>54.12</v>
      </c>
      <c r="D29" s="64">
        <v>91.36</v>
      </c>
      <c r="E29" s="64">
        <v>8.24</v>
      </c>
      <c r="F29" s="64">
        <v>2.13</v>
      </c>
      <c r="G29" s="64">
        <v>129.66</v>
      </c>
      <c r="H29" s="64">
        <v>46.6</v>
      </c>
      <c r="I29" s="214" t="s">
        <v>43</v>
      </c>
      <c r="J29" s="64">
        <v>0.56000000000000005</v>
      </c>
      <c r="K29" s="64">
        <v>276.49</v>
      </c>
      <c r="L29" s="64">
        <v>15.49</v>
      </c>
      <c r="M29" s="64">
        <v>68.27</v>
      </c>
      <c r="N29" s="64">
        <v>65.400000000000006</v>
      </c>
      <c r="O29" s="64">
        <v>0</v>
      </c>
      <c r="P29" s="64">
        <v>1.06</v>
      </c>
      <c r="Q29" s="64">
        <v>9.93</v>
      </c>
      <c r="R29" s="198"/>
      <c r="S29" s="198"/>
      <c r="T29" s="198"/>
      <c r="U29" s="198"/>
    </row>
    <row r="30" spans="1:21" s="12" customFormat="1" x14ac:dyDescent="0.25">
      <c r="A30" s="213" t="s">
        <v>1897</v>
      </c>
      <c r="B30" s="64">
        <v>79.900000000000006</v>
      </c>
      <c r="C30" s="64">
        <v>55.37</v>
      </c>
      <c r="D30" s="64">
        <v>91.63</v>
      </c>
      <c r="E30" s="64">
        <v>8.49</v>
      </c>
      <c r="F30" s="64">
        <v>2.13</v>
      </c>
      <c r="G30" s="64">
        <v>129.66</v>
      </c>
      <c r="H30" s="64">
        <v>46.6</v>
      </c>
      <c r="I30" s="214" t="s">
        <v>43</v>
      </c>
      <c r="J30" s="64">
        <v>0.59</v>
      </c>
      <c r="K30" s="64">
        <v>325.69</v>
      </c>
      <c r="L30" s="64">
        <v>15.58</v>
      </c>
      <c r="M30" s="64">
        <v>70.64</v>
      </c>
      <c r="N30" s="64">
        <v>65.400000000000006</v>
      </c>
      <c r="O30" s="64">
        <v>0</v>
      </c>
      <c r="P30" s="64">
        <v>1.1299999999999999</v>
      </c>
      <c r="Q30" s="64">
        <v>9.93</v>
      </c>
      <c r="R30" s="198"/>
      <c r="S30" s="198"/>
      <c r="T30" s="198"/>
      <c r="U30" s="198"/>
    </row>
    <row r="31" spans="1:21" s="12" customFormat="1" x14ac:dyDescent="0.25">
      <c r="A31" s="213" t="s">
        <v>1898</v>
      </c>
      <c r="B31" s="64">
        <v>80.430000000000007</v>
      </c>
      <c r="C31" s="64">
        <v>56.29</v>
      </c>
      <c r="D31" s="64">
        <v>92.53</v>
      </c>
      <c r="E31" s="64">
        <v>8.59</v>
      </c>
      <c r="F31" s="64">
        <v>2.13</v>
      </c>
      <c r="G31" s="64">
        <v>129.66</v>
      </c>
      <c r="H31" s="64">
        <v>46.6</v>
      </c>
      <c r="I31" s="214" t="s">
        <v>43</v>
      </c>
      <c r="J31" s="64">
        <v>0.41</v>
      </c>
      <c r="K31" s="64">
        <v>326.83</v>
      </c>
      <c r="L31" s="64">
        <v>15.49</v>
      </c>
      <c r="M31" s="64">
        <v>65.45</v>
      </c>
      <c r="N31" s="64">
        <v>65.400000000000006</v>
      </c>
      <c r="O31" s="64">
        <v>0</v>
      </c>
      <c r="P31" s="64">
        <v>1.07</v>
      </c>
      <c r="Q31" s="64">
        <v>9.91</v>
      </c>
      <c r="R31" s="198"/>
      <c r="S31" s="198"/>
      <c r="T31" s="198"/>
      <c r="U31" s="198"/>
    </row>
    <row r="32" spans="1:21" s="12" customFormat="1" x14ac:dyDescent="0.25">
      <c r="A32" s="213" t="s">
        <v>1899</v>
      </c>
      <c r="B32" s="64">
        <v>80.3</v>
      </c>
      <c r="C32" s="64">
        <v>56.68</v>
      </c>
      <c r="D32" s="64">
        <v>92.63</v>
      </c>
      <c r="E32" s="64">
        <v>8.52</v>
      </c>
      <c r="F32" s="64">
        <v>2.13</v>
      </c>
      <c r="G32" s="64">
        <v>123.59</v>
      </c>
      <c r="H32" s="64">
        <v>45.58</v>
      </c>
      <c r="I32" s="214" t="s">
        <v>43</v>
      </c>
      <c r="J32" s="64">
        <v>0.38</v>
      </c>
      <c r="K32" s="64">
        <v>294.42</v>
      </c>
      <c r="L32" s="64">
        <v>15.38</v>
      </c>
      <c r="M32" s="64">
        <v>65.17</v>
      </c>
      <c r="N32" s="64">
        <v>65.400000000000006</v>
      </c>
      <c r="O32" s="64">
        <v>0</v>
      </c>
      <c r="P32" s="64">
        <v>1.06</v>
      </c>
      <c r="Q32" s="64">
        <v>9.9</v>
      </c>
      <c r="R32" s="198"/>
      <c r="S32" s="198"/>
      <c r="T32" s="198"/>
      <c r="U32" s="198"/>
    </row>
    <row r="33" spans="1:21" s="12" customFormat="1" x14ac:dyDescent="0.25">
      <c r="A33" s="213" t="s">
        <v>1900</v>
      </c>
      <c r="B33" s="64">
        <v>79.540000000000006</v>
      </c>
      <c r="C33" s="64">
        <v>57</v>
      </c>
      <c r="D33" s="64">
        <v>92.19</v>
      </c>
      <c r="E33" s="64">
        <v>8.15</v>
      </c>
      <c r="F33" s="64">
        <v>2.13</v>
      </c>
      <c r="G33" s="64">
        <v>110.14</v>
      </c>
      <c r="H33" s="64">
        <v>43.31</v>
      </c>
      <c r="I33" s="214" t="s">
        <v>43</v>
      </c>
      <c r="J33" s="64">
        <v>0.69</v>
      </c>
      <c r="K33" s="64">
        <v>275.66000000000003</v>
      </c>
      <c r="L33" s="64">
        <v>15.55</v>
      </c>
      <c r="M33" s="64">
        <v>63.61</v>
      </c>
      <c r="N33" s="64">
        <v>65.400000000000006</v>
      </c>
      <c r="O33" s="64">
        <v>0</v>
      </c>
      <c r="P33" s="64">
        <v>0.98</v>
      </c>
      <c r="Q33" s="64">
        <v>9.91</v>
      </c>
      <c r="R33" s="198"/>
      <c r="S33" s="198"/>
      <c r="T33" s="198"/>
      <c r="U33" s="198"/>
    </row>
    <row r="34" spans="1:21" s="12" customFormat="1" x14ac:dyDescent="0.25">
      <c r="A34" s="213" t="s">
        <v>1901</v>
      </c>
      <c r="B34" s="64">
        <v>78.05</v>
      </c>
      <c r="C34" s="64">
        <v>57.16</v>
      </c>
      <c r="D34" s="64">
        <v>91.08</v>
      </c>
      <c r="E34" s="64">
        <v>8.0500000000000007</v>
      </c>
      <c r="F34" s="64">
        <v>2.13</v>
      </c>
      <c r="G34" s="64">
        <v>110.14</v>
      </c>
      <c r="H34" s="64">
        <v>43.31</v>
      </c>
      <c r="I34" s="214" t="s">
        <v>43</v>
      </c>
      <c r="J34" s="64">
        <v>0.6</v>
      </c>
      <c r="K34" s="64">
        <v>294.32</v>
      </c>
      <c r="L34" s="64">
        <v>15.47</v>
      </c>
      <c r="M34" s="64">
        <v>64.040000000000006</v>
      </c>
      <c r="N34" s="64">
        <v>67.400000000000006</v>
      </c>
      <c r="O34" s="64">
        <v>0</v>
      </c>
      <c r="P34" s="64">
        <v>1.04</v>
      </c>
      <c r="Q34" s="64">
        <v>9.91</v>
      </c>
      <c r="R34" s="198"/>
      <c r="S34" s="198"/>
      <c r="T34" s="198"/>
      <c r="U34" s="198"/>
    </row>
    <row r="35" spans="1:21" s="12" customFormat="1" x14ac:dyDescent="0.25">
      <c r="A35" s="213" t="s">
        <v>1902</v>
      </c>
      <c r="B35" s="64">
        <v>78.180000000000007</v>
      </c>
      <c r="C35" s="64">
        <v>56.84</v>
      </c>
      <c r="D35" s="64">
        <v>91.02</v>
      </c>
      <c r="E35" s="64">
        <v>8.1300000000000008</v>
      </c>
      <c r="F35" s="64">
        <v>2.13</v>
      </c>
      <c r="G35" s="64">
        <v>110.14</v>
      </c>
      <c r="H35" s="64">
        <v>43.31</v>
      </c>
      <c r="I35" s="214" t="s">
        <v>43</v>
      </c>
      <c r="J35" s="64">
        <v>0.62</v>
      </c>
      <c r="K35" s="64">
        <v>11.4</v>
      </c>
      <c r="L35" s="64">
        <v>15.13</v>
      </c>
      <c r="M35" s="64">
        <v>70.33</v>
      </c>
      <c r="N35" s="64">
        <v>75.8</v>
      </c>
      <c r="O35" s="64">
        <v>0</v>
      </c>
      <c r="P35" s="64">
        <v>1.17</v>
      </c>
      <c r="Q35" s="64">
        <v>9.8699999999999992</v>
      </c>
      <c r="R35" s="198"/>
      <c r="S35" s="198"/>
      <c r="T35" s="198"/>
      <c r="U35" s="198"/>
    </row>
    <row r="36" spans="1:21" s="12" customFormat="1" x14ac:dyDescent="0.25">
      <c r="A36" s="213" t="s">
        <v>1903</v>
      </c>
      <c r="B36" s="64">
        <v>80.260000000000005</v>
      </c>
      <c r="C36" s="64">
        <v>58.81</v>
      </c>
      <c r="D36" s="64">
        <v>93.71</v>
      </c>
      <c r="E36" s="64">
        <v>8.61</v>
      </c>
      <c r="F36" s="64">
        <v>2.13</v>
      </c>
      <c r="G36" s="64">
        <v>110.66</v>
      </c>
      <c r="H36" s="64">
        <v>43.29</v>
      </c>
      <c r="I36" s="214" t="s">
        <v>43</v>
      </c>
      <c r="J36" s="64">
        <v>0.62</v>
      </c>
      <c r="K36" s="64">
        <v>294.75</v>
      </c>
      <c r="L36" s="64">
        <v>15.27</v>
      </c>
      <c r="M36" s="64">
        <v>70.959999999999994</v>
      </c>
      <c r="N36" s="64">
        <v>90.7</v>
      </c>
      <c r="O36" s="64">
        <v>0</v>
      </c>
      <c r="P36" s="64">
        <v>1.1000000000000001</v>
      </c>
      <c r="Q36" s="64">
        <v>9.85</v>
      </c>
      <c r="R36" s="198"/>
      <c r="S36" s="198"/>
      <c r="T36" s="198"/>
      <c r="U36" s="198"/>
    </row>
    <row r="37" spans="1:21" s="12" customFormat="1" x14ac:dyDescent="0.25">
      <c r="A37" s="213" t="s">
        <v>1904</v>
      </c>
      <c r="B37" s="64">
        <v>81.069999999999993</v>
      </c>
      <c r="C37" s="64">
        <v>59.28</v>
      </c>
      <c r="D37" s="64">
        <v>94.6</v>
      </c>
      <c r="E37" s="64">
        <v>9.2100000000000009</v>
      </c>
      <c r="F37" s="64">
        <v>2.13</v>
      </c>
      <c r="G37" s="64">
        <v>111.81</v>
      </c>
      <c r="H37" s="64">
        <v>43.26</v>
      </c>
      <c r="I37" s="214" t="s">
        <v>43</v>
      </c>
      <c r="J37" s="64">
        <v>0.56999999999999995</v>
      </c>
      <c r="K37" s="64">
        <v>323.10000000000002</v>
      </c>
      <c r="L37" s="64">
        <v>15.69</v>
      </c>
      <c r="M37" s="64">
        <v>71.34</v>
      </c>
      <c r="N37" s="64">
        <v>115.7</v>
      </c>
      <c r="O37" s="64">
        <v>0</v>
      </c>
      <c r="P37" s="64">
        <v>1.1599999999999999</v>
      </c>
      <c r="Q37" s="64">
        <v>9.81</v>
      </c>
      <c r="R37" s="198"/>
      <c r="S37" s="198"/>
      <c r="T37" s="198"/>
      <c r="U37" s="198"/>
    </row>
    <row r="38" spans="1:21" s="12" customFormat="1" x14ac:dyDescent="0.25">
      <c r="A38" s="213" t="s">
        <v>1905</v>
      </c>
      <c r="B38" s="64">
        <v>82.43</v>
      </c>
      <c r="C38" s="64">
        <v>58.81</v>
      </c>
      <c r="D38" s="64">
        <v>95.45</v>
      </c>
      <c r="E38" s="64">
        <v>9.73</v>
      </c>
      <c r="F38" s="64">
        <v>2.13</v>
      </c>
      <c r="G38" s="64">
        <v>111.81</v>
      </c>
      <c r="H38" s="64">
        <v>43.26</v>
      </c>
      <c r="I38" s="214" t="s">
        <v>43</v>
      </c>
      <c r="J38" s="64">
        <v>0.86</v>
      </c>
      <c r="K38" s="64">
        <v>339.8</v>
      </c>
      <c r="L38" s="64">
        <v>16.98</v>
      </c>
      <c r="M38" s="64">
        <v>67.84</v>
      </c>
      <c r="N38" s="64">
        <v>166.4</v>
      </c>
      <c r="O38" s="64">
        <v>0</v>
      </c>
      <c r="P38" s="64">
        <v>1.29</v>
      </c>
      <c r="Q38" s="64">
        <v>9.81</v>
      </c>
      <c r="R38" s="198"/>
      <c r="S38" s="198"/>
      <c r="T38" s="198"/>
      <c r="U38" s="198"/>
    </row>
    <row r="39" spans="1:21" s="12" customFormat="1" x14ac:dyDescent="0.25">
      <c r="A39" s="213" t="s">
        <v>1906</v>
      </c>
      <c r="B39" s="64">
        <v>83.15</v>
      </c>
      <c r="C39" s="64">
        <v>58.88</v>
      </c>
      <c r="D39" s="64">
        <v>96.07</v>
      </c>
      <c r="E39" s="64">
        <v>10.28</v>
      </c>
      <c r="F39" s="64">
        <v>2.13</v>
      </c>
      <c r="G39" s="64">
        <v>111.81</v>
      </c>
      <c r="H39" s="64">
        <v>43.26</v>
      </c>
      <c r="I39" s="214" t="s">
        <v>43</v>
      </c>
      <c r="J39" s="64">
        <v>1.1399999999999999</v>
      </c>
      <c r="K39" s="64">
        <v>338.52</v>
      </c>
      <c r="L39" s="64">
        <v>19.52</v>
      </c>
      <c r="M39" s="64">
        <v>56.72</v>
      </c>
      <c r="N39" s="64">
        <v>214.1</v>
      </c>
      <c r="O39" s="64">
        <v>0</v>
      </c>
      <c r="P39" s="64">
        <v>1.28</v>
      </c>
      <c r="Q39" s="64">
        <v>9.86</v>
      </c>
      <c r="R39" s="198"/>
      <c r="S39" s="198"/>
      <c r="T39" s="198"/>
      <c r="U39" s="198"/>
    </row>
    <row r="40" spans="1:21" s="12" customFormat="1" x14ac:dyDescent="0.25">
      <c r="A40" s="213" t="s">
        <v>1907</v>
      </c>
      <c r="B40" s="64">
        <v>82.53</v>
      </c>
      <c r="C40" s="64">
        <v>59.17</v>
      </c>
      <c r="D40" s="64">
        <v>95.72</v>
      </c>
      <c r="E40" s="64">
        <v>8.26</v>
      </c>
      <c r="F40" s="64">
        <v>2.13</v>
      </c>
      <c r="G40" s="64">
        <v>145.81</v>
      </c>
      <c r="H40" s="64">
        <v>45.99</v>
      </c>
      <c r="I40" s="214" t="s">
        <v>43</v>
      </c>
      <c r="J40" s="64">
        <v>1.33</v>
      </c>
      <c r="K40" s="64">
        <v>340.32</v>
      </c>
      <c r="L40" s="64">
        <v>21.71</v>
      </c>
      <c r="M40" s="64">
        <v>47.86</v>
      </c>
      <c r="N40" s="64">
        <v>265.8</v>
      </c>
      <c r="O40" s="64">
        <v>0</v>
      </c>
      <c r="P40" s="64">
        <v>1.29</v>
      </c>
      <c r="Q40" s="64">
        <v>9.89</v>
      </c>
      <c r="R40" s="198"/>
      <c r="S40" s="198"/>
      <c r="T40" s="198"/>
      <c r="U40" s="198"/>
    </row>
    <row r="41" spans="1:21" s="12" customFormat="1" x14ac:dyDescent="0.25">
      <c r="A41" s="213" t="s">
        <v>1908</v>
      </c>
      <c r="B41" s="64">
        <v>81.88</v>
      </c>
      <c r="C41" s="64">
        <v>60.2</v>
      </c>
      <c r="D41" s="64">
        <v>95.74</v>
      </c>
      <c r="E41" s="64">
        <v>10.3</v>
      </c>
      <c r="F41" s="64">
        <v>2.13</v>
      </c>
      <c r="G41" s="64">
        <v>221.09</v>
      </c>
      <c r="H41" s="64">
        <v>52.05</v>
      </c>
      <c r="I41" s="214" t="s">
        <v>43</v>
      </c>
      <c r="J41" s="64">
        <v>1.31</v>
      </c>
      <c r="K41" s="64">
        <v>335.71</v>
      </c>
      <c r="L41" s="64">
        <v>23.47</v>
      </c>
      <c r="M41" s="64">
        <v>42.73</v>
      </c>
      <c r="N41" s="64">
        <v>311</v>
      </c>
      <c r="O41" s="64">
        <v>0</v>
      </c>
      <c r="P41" s="64">
        <v>1.3</v>
      </c>
      <c r="Q41" s="64">
        <v>9.8800000000000008</v>
      </c>
      <c r="R41" s="198"/>
      <c r="S41" s="198"/>
      <c r="T41" s="198"/>
      <c r="U41" s="198"/>
    </row>
    <row r="42" spans="1:21" s="12" customFormat="1" x14ac:dyDescent="0.25">
      <c r="A42" s="213" t="s">
        <v>1909</v>
      </c>
      <c r="B42" s="64">
        <v>80.900000000000006</v>
      </c>
      <c r="C42" s="64">
        <v>61.32</v>
      </c>
      <c r="D42" s="64">
        <v>95.54</v>
      </c>
      <c r="E42" s="64">
        <v>10.49</v>
      </c>
      <c r="F42" s="64">
        <v>2.13</v>
      </c>
      <c r="G42" s="64">
        <v>221.09</v>
      </c>
      <c r="H42" s="64">
        <v>52.05</v>
      </c>
      <c r="I42" s="214" t="s">
        <v>43</v>
      </c>
      <c r="J42" s="64">
        <v>1.45</v>
      </c>
      <c r="K42" s="64">
        <v>347.88</v>
      </c>
      <c r="L42" s="64">
        <v>24.7</v>
      </c>
      <c r="M42" s="64">
        <v>39.96</v>
      </c>
      <c r="N42" s="64">
        <v>356.1</v>
      </c>
      <c r="O42" s="64">
        <v>0</v>
      </c>
      <c r="P42" s="64">
        <v>1.31</v>
      </c>
      <c r="Q42" s="64">
        <v>9.8800000000000008</v>
      </c>
      <c r="R42" s="198"/>
      <c r="S42" s="198"/>
      <c r="T42" s="198"/>
      <c r="U42" s="198"/>
    </row>
    <row r="43" spans="1:21" s="12" customFormat="1" x14ac:dyDescent="0.25">
      <c r="A43" s="213" t="s">
        <v>1910</v>
      </c>
      <c r="B43" s="64">
        <v>79.55</v>
      </c>
      <c r="C43" s="64">
        <v>62.86</v>
      </c>
      <c r="D43" s="64">
        <v>95.26</v>
      </c>
      <c r="E43" s="64">
        <v>10.55</v>
      </c>
      <c r="F43" s="64">
        <v>2.13</v>
      </c>
      <c r="G43" s="64">
        <v>221.09</v>
      </c>
      <c r="H43" s="64">
        <v>52.05</v>
      </c>
      <c r="I43" s="214" t="s">
        <v>43</v>
      </c>
      <c r="J43" s="64">
        <v>1.32</v>
      </c>
      <c r="K43" s="64">
        <v>349.15</v>
      </c>
      <c r="L43" s="64">
        <v>25.81</v>
      </c>
      <c r="M43" s="64">
        <v>36.619999999999997</v>
      </c>
      <c r="N43" s="64">
        <v>406.2</v>
      </c>
      <c r="O43" s="64">
        <v>0</v>
      </c>
      <c r="P43" s="64">
        <v>1.32</v>
      </c>
      <c r="Q43" s="64">
        <v>9.86</v>
      </c>
      <c r="R43" s="198"/>
      <c r="S43" s="198"/>
      <c r="T43" s="198"/>
      <c r="U43" s="198"/>
    </row>
    <row r="44" spans="1:21" s="12" customFormat="1" x14ac:dyDescent="0.25">
      <c r="A44" s="213" t="s">
        <v>1911</v>
      </c>
      <c r="B44" s="64">
        <v>77.83</v>
      </c>
      <c r="C44" s="64">
        <v>64.510000000000005</v>
      </c>
      <c r="D44" s="64">
        <v>94.74</v>
      </c>
      <c r="E44" s="64">
        <v>10.23</v>
      </c>
      <c r="F44" s="64">
        <v>2.13</v>
      </c>
      <c r="G44" s="64">
        <v>221.27</v>
      </c>
      <c r="H44" s="64">
        <v>57.19</v>
      </c>
      <c r="I44" s="214" t="s">
        <v>43</v>
      </c>
      <c r="J44" s="64">
        <v>0.77</v>
      </c>
      <c r="K44" s="64">
        <v>67.87</v>
      </c>
      <c r="L44" s="64">
        <v>24.84</v>
      </c>
      <c r="M44" s="64">
        <v>35.18</v>
      </c>
      <c r="N44" s="64">
        <v>468</v>
      </c>
      <c r="O44" s="64">
        <v>0</v>
      </c>
      <c r="P44" s="64">
        <v>1.32</v>
      </c>
      <c r="Q44" s="64">
        <v>9.86</v>
      </c>
      <c r="R44" s="198"/>
      <c r="S44" s="198"/>
      <c r="T44" s="198"/>
      <c r="U44" s="198"/>
    </row>
    <row r="45" spans="1:21" s="12" customFormat="1" x14ac:dyDescent="0.25">
      <c r="A45" s="213" t="s">
        <v>1912</v>
      </c>
      <c r="B45" s="64">
        <v>75.260000000000005</v>
      </c>
      <c r="C45" s="64">
        <v>66</v>
      </c>
      <c r="D45" s="64">
        <v>93.46</v>
      </c>
      <c r="E45" s="64">
        <v>9.74</v>
      </c>
      <c r="F45" s="64">
        <v>2.13</v>
      </c>
      <c r="G45" s="64">
        <v>221.66</v>
      </c>
      <c r="H45" s="64">
        <v>68.56</v>
      </c>
      <c r="I45" s="214" t="s">
        <v>43</v>
      </c>
      <c r="J45" s="64">
        <v>0.95</v>
      </c>
      <c r="K45" s="64">
        <v>79.12</v>
      </c>
      <c r="L45" s="64">
        <v>24.16</v>
      </c>
      <c r="M45" s="64">
        <v>35.07</v>
      </c>
      <c r="N45" s="64">
        <v>531.70000000000005</v>
      </c>
      <c r="O45" s="64">
        <v>0</v>
      </c>
      <c r="P45" s="64">
        <v>1.31</v>
      </c>
      <c r="Q45" s="64">
        <v>9.8699999999999992</v>
      </c>
      <c r="R45" s="198"/>
      <c r="S45" s="198"/>
      <c r="T45" s="198"/>
      <c r="U45" s="198"/>
    </row>
    <row r="46" spans="1:21" s="12" customFormat="1" x14ac:dyDescent="0.25">
      <c r="A46" s="213" t="s">
        <v>1913</v>
      </c>
      <c r="B46" s="64">
        <v>71.58</v>
      </c>
      <c r="C46" s="64">
        <v>65.47</v>
      </c>
      <c r="D46" s="64">
        <v>90.23</v>
      </c>
      <c r="E46" s="64">
        <v>9.56</v>
      </c>
      <c r="F46" s="64">
        <v>2.13</v>
      </c>
      <c r="G46" s="64">
        <v>221.66</v>
      </c>
      <c r="H46" s="64">
        <v>68.56</v>
      </c>
      <c r="I46" s="214" t="s">
        <v>43</v>
      </c>
      <c r="J46" s="64">
        <v>1.1599999999999999</v>
      </c>
      <c r="K46" s="64">
        <v>89.31</v>
      </c>
      <c r="L46" s="64">
        <v>23.09</v>
      </c>
      <c r="M46" s="64">
        <v>36.39</v>
      </c>
      <c r="N46" s="64">
        <v>592.29999999999995</v>
      </c>
      <c r="O46" s="64">
        <v>0</v>
      </c>
      <c r="P46" s="64">
        <v>1.27</v>
      </c>
      <c r="Q46" s="64">
        <v>9.86</v>
      </c>
      <c r="R46" s="198"/>
      <c r="S46" s="198"/>
      <c r="T46" s="198"/>
      <c r="U46" s="198"/>
    </row>
    <row r="47" spans="1:21" s="12" customFormat="1" x14ac:dyDescent="0.25">
      <c r="A47" s="213" t="s">
        <v>1914</v>
      </c>
      <c r="B47" s="64">
        <v>67.66</v>
      </c>
      <c r="C47" s="64">
        <v>64.72</v>
      </c>
      <c r="D47" s="64">
        <v>86.69</v>
      </c>
      <c r="E47" s="64">
        <v>8.8000000000000007</v>
      </c>
      <c r="F47" s="64">
        <v>2.13</v>
      </c>
      <c r="G47" s="64">
        <v>221.66</v>
      </c>
      <c r="H47" s="64">
        <v>68.56</v>
      </c>
      <c r="I47" s="214" t="s">
        <v>43</v>
      </c>
      <c r="J47" s="64">
        <v>1.26</v>
      </c>
      <c r="K47" s="64">
        <v>88.75</v>
      </c>
      <c r="L47" s="64">
        <v>23.76</v>
      </c>
      <c r="M47" s="64">
        <v>36.32</v>
      </c>
      <c r="N47" s="64">
        <v>626.20000000000005</v>
      </c>
      <c r="O47" s="64">
        <v>0</v>
      </c>
      <c r="P47" s="64">
        <v>1.23</v>
      </c>
      <c r="Q47" s="64">
        <v>9.8699999999999992</v>
      </c>
      <c r="R47" s="198"/>
      <c r="S47" s="198"/>
      <c r="T47" s="198"/>
      <c r="U47" s="198"/>
    </row>
    <row r="48" spans="1:21" s="12" customFormat="1" x14ac:dyDescent="0.25">
      <c r="A48" s="213" t="s">
        <v>1915</v>
      </c>
      <c r="B48" s="64">
        <v>63.74</v>
      </c>
      <c r="C48" s="64">
        <v>66.63</v>
      </c>
      <c r="D48" s="64">
        <v>84.55</v>
      </c>
      <c r="E48" s="64">
        <v>8.6199999999999992</v>
      </c>
      <c r="F48" s="64">
        <v>2.13</v>
      </c>
      <c r="G48" s="64">
        <v>189.65</v>
      </c>
      <c r="H48" s="64">
        <v>61.08</v>
      </c>
      <c r="I48" s="214" t="s">
        <v>43</v>
      </c>
      <c r="J48" s="64">
        <v>0.47</v>
      </c>
      <c r="K48" s="64">
        <v>41.47</v>
      </c>
      <c r="L48" s="64">
        <v>25.26</v>
      </c>
      <c r="M48" s="64">
        <v>34.24</v>
      </c>
      <c r="N48" s="64">
        <v>656.1</v>
      </c>
      <c r="O48" s="64">
        <v>0</v>
      </c>
      <c r="P48" s="64">
        <v>1.24</v>
      </c>
      <c r="Q48" s="64">
        <v>9.85</v>
      </c>
      <c r="R48" s="198"/>
      <c r="S48" s="198"/>
      <c r="T48" s="198"/>
      <c r="U48" s="198"/>
    </row>
    <row r="49" spans="1:21" s="12" customFormat="1" x14ac:dyDescent="0.25">
      <c r="A49" s="213" t="s">
        <v>1916</v>
      </c>
      <c r="B49" s="211" t="s">
        <v>40</v>
      </c>
      <c r="C49" s="211" t="s">
        <v>40</v>
      </c>
      <c r="D49" s="211" t="s">
        <v>40</v>
      </c>
      <c r="E49" s="64">
        <v>8.32</v>
      </c>
      <c r="F49" s="64">
        <v>2.13</v>
      </c>
      <c r="G49" s="64">
        <v>118.75</v>
      </c>
      <c r="H49" s="64">
        <v>44.52</v>
      </c>
      <c r="I49" s="214" t="s">
        <v>43</v>
      </c>
      <c r="J49" s="64">
        <v>1.08</v>
      </c>
      <c r="K49" s="64">
        <v>2.59</v>
      </c>
      <c r="L49" s="64">
        <v>27.94</v>
      </c>
      <c r="M49" s="64">
        <v>29.46</v>
      </c>
      <c r="N49" s="64">
        <v>690.7</v>
      </c>
      <c r="O49" s="64">
        <v>0</v>
      </c>
      <c r="P49" s="64">
        <v>1.17</v>
      </c>
      <c r="Q49" s="64">
        <v>9.82</v>
      </c>
      <c r="R49" s="198"/>
      <c r="S49" s="198"/>
      <c r="T49" s="198"/>
      <c r="U49" s="198"/>
    </row>
    <row r="50" spans="1:21" s="12" customFormat="1" x14ac:dyDescent="0.25">
      <c r="A50" s="213" t="s">
        <v>1917</v>
      </c>
      <c r="B50" s="211" t="s">
        <v>40</v>
      </c>
      <c r="C50" s="211" t="s">
        <v>40</v>
      </c>
      <c r="D50" s="211" t="s">
        <v>40</v>
      </c>
      <c r="E50" s="64">
        <v>8.59</v>
      </c>
      <c r="F50" s="64">
        <v>2.2000000000000002</v>
      </c>
      <c r="G50" s="64">
        <v>118.75</v>
      </c>
      <c r="H50" s="64">
        <v>44.52</v>
      </c>
      <c r="I50" s="214" t="s">
        <v>43</v>
      </c>
      <c r="J50" s="64">
        <v>0.67</v>
      </c>
      <c r="K50" s="64">
        <v>134.91999999999999</v>
      </c>
      <c r="L50" s="64">
        <v>27.3</v>
      </c>
      <c r="M50" s="64">
        <v>31.25</v>
      </c>
      <c r="N50" s="64">
        <v>730.3</v>
      </c>
      <c r="O50" s="64">
        <v>0</v>
      </c>
      <c r="P50" s="64">
        <v>1.04</v>
      </c>
      <c r="Q50" s="64">
        <v>9.82</v>
      </c>
      <c r="R50" s="198"/>
      <c r="S50" s="198"/>
      <c r="T50" s="198"/>
      <c r="U50" s="198"/>
    </row>
    <row r="51" spans="1:21" s="12" customFormat="1" x14ac:dyDescent="0.25">
      <c r="A51" s="213" t="s">
        <v>1918</v>
      </c>
      <c r="B51" s="211" t="s">
        <v>40</v>
      </c>
      <c r="C51" s="211" t="s">
        <v>40</v>
      </c>
      <c r="D51" s="211" t="s">
        <v>40</v>
      </c>
      <c r="E51" s="64">
        <v>10.1</v>
      </c>
      <c r="F51" s="64">
        <v>3.97</v>
      </c>
      <c r="G51" s="64">
        <v>118.75</v>
      </c>
      <c r="H51" s="64">
        <v>44.52</v>
      </c>
      <c r="I51" s="214" t="s">
        <v>43</v>
      </c>
      <c r="J51" s="64">
        <v>0.51</v>
      </c>
      <c r="K51" s="64">
        <v>42.06</v>
      </c>
      <c r="L51" s="64">
        <v>27.2</v>
      </c>
      <c r="M51" s="64">
        <v>31.4</v>
      </c>
      <c r="N51" s="64">
        <v>759</v>
      </c>
      <c r="O51" s="64">
        <v>0</v>
      </c>
      <c r="P51" s="64">
        <v>0.91</v>
      </c>
      <c r="Q51" s="64">
        <v>9.9499999999999993</v>
      </c>
      <c r="R51" s="198"/>
      <c r="S51" s="198"/>
      <c r="T51" s="198"/>
      <c r="U51" s="198"/>
    </row>
    <row r="52" spans="1:21" s="12" customFormat="1" x14ac:dyDescent="0.25">
      <c r="A52" s="213" t="s">
        <v>1919</v>
      </c>
      <c r="B52" s="211" t="s">
        <v>40</v>
      </c>
      <c r="C52" s="211" t="s">
        <v>40</v>
      </c>
      <c r="D52" s="211" t="s">
        <v>40</v>
      </c>
      <c r="E52" s="64">
        <v>10.5</v>
      </c>
      <c r="F52" s="64">
        <v>4.12</v>
      </c>
      <c r="G52" s="64">
        <v>118.75</v>
      </c>
      <c r="H52" s="64">
        <v>44.52</v>
      </c>
      <c r="I52" s="214" t="s">
        <v>43</v>
      </c>
      <c r="J52" s="64">
        <v>1.1499999999999999</v>
      </c>
      <c r="K52" s="64">
        <v>333.63</v>
      </c>
      <c r="L52" s="64">
        <v>30.27</v>
      </c>
      <c r="M52" s="64">
        <v>26.9</v>
      </c>
      <c r="N52" s="64">
        <v>772</v>
      </c>
      <c r="O52" s="64">
        <v>0</v>
      </c>
      <c r="P52" s="64">
        <v>0.94</v>
      </c>
      <c r="Q52" s="64">
        <v>9.73</v>
      </c>
      <c r="R52" s="198"/>
      <c r="S52" s="198"/>
      <c r="T52" s="198"/>
      <c r="U52" s="198"/>
    </row>
    <row r="53" spans="1:21" s="12" customFormat="1" x14ac:dyDescent="0.25">
      <c r="A53" s="213" t="s">
        <v>1920</v>
      </c>
      <c r="B53" s="64">
        <v>6.18</v>
      </c>
      <c r="C53" s="64">
        <v>92.43</v>
      </c>
      <c r="D53" s="64">
        <v>96.51</v>
      </c>
      <c r="E53" s="64">
        <v>5.41</v>
      </c>
      <c r="F53" s="64">
        <v>5.36</v>
      </c>
      <c r="G53" s="211" t="s">
        <v>40</v>
      </c>
      <c r="H53" s="211" t="s">
        <v>40</v>
      </c>
      <c r="I53" s="214" t="s">
        <v>43</v>
      </c>
      <c r="J53" s="64">
        <v>0.31</v>
      </c>
      <c r="K53" s="64">
        <v>320.33999999999997</v>
      </c>
      <c r="L53" s="64">
        <v>30.5</v>
      </c>
      <c r="M53" s="64">
        <v>28.11</v>
      </c>
      <c r="N53" s="64">
        <v>793.3</v>
      </c>
      <c r="O53" s="64">
        <v>0</v>
      </c>
      <c r="P53" s="64">
        <v>0.92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3" t="s">
        <v>1921</v>
      </c>
      <c r="B54" s="64">
        <v>4.6500000000000004</v>
      </c>
      <c r="C54" s="64">
        <v>89.13</v>
      </c>
      <c r="D54" s="64">
        <v>91.69</v>
      </c>
      <c r="E54" s="64">
        <v>40.67</v>
      </c>
      <c r="F54" s="64">
        <v>8.0299999999999994</v>
      </c>
      <c r="G54" s="211" t="s">
        <v>40</v>
      </c>
      <c r="H54" s="211" t="s">
        <v>40</v>
      </c>
      <c r="I54" s="214" t="s">
        <v>43</v>
      </c>
      <c r="J54" s="64">
        <v>0.88</v>
      </c>
      <c r="K54" s="64">
        <v>326.5</v>
      </c>
      <c r="L54" s="64">
        <v>30.13</v>
      </c>
      <c r="M54" s="64">
        <v>26.68</v>
      </c>
      <c r="N54" s="64">
        <v>794.5</v>
      </c>
      <c r="O54" s="64">
        <v>0</v>
      </c>
      <c r="P54" s="64">
        <v>0.86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3" t="s">
        <v>1922</v>
      </c>
      <c r="B55" s="64">
        <v>6.36</v>
      </c>
      <c r="C55" s="64">
        <v>81.91</v>
      </c>
      <c r="D55" s="64">
        <v>86.17</v>
      </c>
      <c r="E55" s="211" t="s">
        <v>40</v>
      </c>
      <c r="F55" s="64">
        <v>19.850000000000001</v>
      </c>
      <c r="G55" s="211" t="s">
        <v>40</v>
      </c>
      <c r="H55" s="211" t="s">
        <v>40</v>
      </c>
      <c r="I55" s="214" t="s">
        <v>43</v>
      </c>
      <c r="J55" s="64">
        <v>0.96</v>
      </c>
      <c r="K55" s="64">
        <v>320.39999999999998</v>
      </c>
      <c r="L55" s="64">
        <v>31.29</v>
      </c>
      <c r="M55" s="64">
        <v>25.54</v>
      </c>
      <c r="N55" s="64">
        <v>782.2</v>
      </c>
      <c r="O55" s="64">
        <v>0</v>
      </c>
      <c r="P55" s="64">
        <v>0.81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13" t="s">
        <v>1923</v>
      </c>
      <c r="B56" s="64">
        <v>6.69</v>
      </c>
      <c r="C56" s="64">
        <v>76.400000000000006</v>
      </c>
      <c r="D56" s="64">
        <v>80.989999999999995</v>
      </c>
      <c r="E56" s="211" t="s">
        <v>40</v>
      </c>
      <c r="F56" s="64">
        <v>16.52</v>
      </c>
      <c r="G56" s="211" t="s">
        <v>40</v>
      </c>
      <c r="H56" s="211" t="s">
        <v>40</v>
      </c>
      <c r="I56" s="214" t="s">
        <v>43</v>
      </c>
      <c r="J56" s="64">
        <v>1.01</v>
      </c>
      <c r="K56" s="64">
        <v>312.10000000000002</v>
      </c>
      <c r="L56" s="64">
        <v>31.8</v>
      </c>
      <c r="M56" s="64">
        <v>25.42</v>
      </c>
      <c r="N56" s="64">
        <v>752.1</v>
      </c>
      <c r="O56" s="64">
        <v>0</v>
      </c>
      <c r="P56" s="64">
        <v>0.8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3" t="s">
        <v>1924</v>
      </c>
      <c r="B57" s="64">
        <v>5.46</v>
      </c>
      <c r="C57" s="64">
        <v>79.19</v>
      </c>
      <c r="D57" s="64">
        <v>82.55</v>
      </c>
      <c r="E57" s="211" t="s">
        <v>40</v>
      </c>
      <c r="F57" s="64">
        <v>10.93</v>
      </c>
      <c r="G57" s="64">
        <v>125.6</v>
      </c>
      <c r="H57" s="64">
        <v>34.700000000000003</v>
      </c>
      <c r="I57" s="214" t="s">
        <v>43</v>
      </c>
      <c r="J57" s="64">
        <v>0.69</v>
      </c>
      <c r="K57" s="64">
        <v>293.14999999999998</v>
      </c>
      <c r="L57" s="64">
        <v>30.84</v>
      </c>
      <c r="M57" s="64">
        <v>27.92</v>
      </c>
      <c r="N57" s="64">
        <v>743.1</v>
      </c>
      <c r="O57" s="64">
        <v>0</v>
      </c>
      <c r="P57" s="64">
        <v>0.85</v>
      </c>
      <c r="Q57" s="64">
        <v>9.44</v>
      </c>
      <c r="R57" s="198"/>
      <c r="S57" s="198"/>
      <c r="T57" s="198"/>
      <c r="U57" s="198"/>
    </row>
    <row r="58" spans="1:21" s="12" customFormat="1" x14ac:dyDescent="0.25">
      <c r="A58" s="213" t="s">
        <v>1925</v>
      </c>
      <c r="B58" s="64">
        <v>5.13</v>
      </c>
      <c r="C58" s="64">
        <v>80.75</v>
      </c>
      <c r="D58" s="64">
        <v>83.78</v>
      </c>
      <c r="E58" s="64">
        <v>15.99</v>
      </c>
      <c r="F58" s="64">
        <v>0.04</v>
      </c>
      <c r="G58" s="64">
        <v>125.6</v>
      </c>
      <c r="H58" s="64">
        <v>35.090000000000003</v>
      </c>
      <c r="I58" s="214" t="s">
        <v>43</v>
      </c>
      <c r="J58" s="64">
        <v>0.47</v>
      </c>
      <c r="K58" s="64">
        <v>273.45</v>
      </c>
      <c r="L58" s="64">
        <v>28.87</v>
      </c>
      <c r="M58" s="64">
        <v>30.27</v>
      </c>
      <c r="N58" s="64">
        <v>729.6</v>
      </c>
      <c r="O58" s="64">
        <v>0</v>
      </c>
      <c r="P58" s="211" t="s">
        <v>40</v>
      </c>
      <c r="Q58" s="64">
        <v>9.42</v>
      </c>
      <c r="R58" s="198"/>
      <c r="S58" s="198"/>
      <c r="T58" s="198"/>
      <c r="U58" s="198"/>
    </row>
    <row r="59" spans="1:21" s="12" customFormat="1" x14ac:dyDescent="0.25">
      <c r="A59" s="213" t="s">
        <v>1926</v>
      </c>
      <c r="B59" s="64">
        <v>5.27</v>
      </c>
      <c r="C59" s="64">
        <v>81.06</v>
      </c>
      <c r="D59" s="64">
        <v>84.23</v>
      </c>
      <c r="E59" s="64">
        <v>14.69</v>
      </c>
      <c r="F59" s="64">
        <v>14.25</v>
      </c>
      <c r="G59" s="64">
        <v>125.6</v>
      </c>
      <c r="H59" s="64">
        <v>35.090000000000003</v>
      </c>
      <c r="I59" s="214" t="s">
        <v>43</v>
      </c>
      <c r="J59" s="64">
        <v>0.52</v>
      </c>
      <c r="K59" s="64">
        <v>260.42</v>
      </c>
      <c r="L59" s="64">
        <v>28.91</v>
      </c>
      <c r="M59" s="64">
        <v>29.81</v>
      </c>
      <c r="N59" s="64">
        <v>726.4</v>
      </c>
      <c r="O59" s="64">
        <v>0</v>
      </c>
      <c r="P59" s="211" t="s">
        <v>40</v>
      </c>
      <c r="Q59" s="64">
        <v>9.44</v>
      </c>
      <c r="R59" s="198"/>
      <c r="S59" s="198"/>
      <c r="T59" s="198"/>
      <c r="U59" s="198"/>
    </row>
    <row r="60" spans="1:21" s="12" customFormat="1" x14ac:dyDescent="0.25">
      <c r="A60" s="213" t="s">
        <v>1927</v>
      </c>
      <c r="B60" s="64">
        <v>4.29</v>
      </c>
      <c r="C60" s="64">
        <v>85.02</v>
      </c>
      <c r="D60" s="64">
        <v>87.21</v>
      </c>
      <c r="E60" s="64">
        <v>14.24</v>
      </c>
      <c r="F60" s="64">
        <v>11.35</v>
      </c>
      <c r="G60" s="64">
        <v>125.6</v>
      </c>
      <c r="H60" s="64">
        <v>35.090000000000003</v>
      </c>
      <c r="I60" s="214" t="s">
        <v>43</v>
      </c>
      <c r="J60" s="64">
        <v>0.99</v>
      </c>
      <c r="K60" s="64">
        <v>298.18</v>
      </c>
      <c r="L60" s="64">
        <v>30.22</v>
      </c>
      <c r="M60" s="64">
        <v>28.8</v>
      </c>
      <c r="N60" s="64">
        <v>722.9</v>
      </c>
      <c r="O60" s="64">
        <v>0</v>
      </c>
      <c r="P60" s="211" t="s">
        <v>40</v>
      </c>
      <c r="Q60" s="64">
        <v>9.4700000000000006</v>
      </c>
      <c r="R60" s="198"/>
      <c r="S60" s="198"/>
      <c r="T60" s="198"/>
      <c r="U60" s="198"/>
    </row>
    <row r="61" spans="1:21" s="12" customFormat="1" x14ac:dyDescent="0.25">
      <c r="A61" s="213" t="s">
        <v>1928</v>
      </c>
      <c r="B61" s="64">
        <v>4.0999999999999996</v>
      </c>
      <c r="C61" s="64">
        <v>81.650000000000006</v>
      </c>
      <c r="D61" s="64">
        <v>83.66</v>
      </c>
      <c r="E61" s="64">
        <v>12.82</v>
      </c>
      <c r="F61" s="64">
        <v>10.62</v>
      </c>
      <c r="G61" s="64">
        <v>106.38</v>
      </c>
      <c r="H61" s="64">
        <v>32.01</v>
      </c>
      <c r="I61" s="214" t="s">
        <v>43</v>
      </c>
      <c r="J61" s="64">
        <v>0.53</v>
      </c>
      <c r="K61" s="64">
        <v>279.60000000000002</v>
      </c>
      <c r="L61" s="64">
        <v>29.86</v>
      </c>
      <c r="M61" s="64">
        <v>29.37</v>
      </c>
      <c r="N61" s="64">
        <v>704.4</v>
      </c>
      <c r="O61" s="64">
        <v>0</v>
      </c>
      <c r="P61" s="64">
        <v>0.91</v>
      </c>
      <c r="Q61" s="64">
        <v>9.49</v>
      </c>
      <c r="R61" s="198"/>
      <c r="S61" s="198"/>
      <c r="T61" s="198"/>
      <c r="U61" s="198"/>
    </row>
    <row r="62" spans="1:21" s="12" customFormat="1" x14ac:dyDescent="0.25">
      <c r="A62" s="213" t="s">
        <v>1929</v>
      </c>
      <c r="B62" s="64">
        <v>4.18</v>
      </c>
      <c r="C62" s="64">
        <v>78.48</v>
      </c>
      <c r="D62" s="64">
        <v>80.55</v>
      </c>
      <c r="E62" s="64">
        <v>12.34</v>
      </c>
      <c r="F62" s="64">
        <v>11.45</v>
      </c>
      <c r="G62" s="64">
        <v>106.16</v>
      </c>
      <c r="H62" s="64">
        <v>31.97</v>
      </c>
      <c r="I62" s="214" t="s">
        <v>43</v>
      </c>
      <c r="J62" s="64">
        <v>1.22</v>
      </c>
      <c r="K62" s="64">
        <v>304.76</v>
      </c>
      <c r="L62" s="64">
        <v>31.18</v>
      </c>
      <c r="M62" s="64">
        <v>28.75</v>
      </c>
      <c r="N62" s="64">
        <v>705.1</v>
      </c>
      <c r="O62" s="64">
        <v>0</v>
      </c>
      <c r="P62" s="64">
        <v>0.9</v>
      </c>
      <c r="Q62" s="64">
        <v>9.5</v>
      </c>
      <c r="R62" s="198"/>
      <c r="S62" s="198"/>
      <c r="T62" s="198"/>
      <c r="U62" s="198"/>
    </row>
    <row r="63" spans="1:21" s="12" customFormat="1" x14ac:dyDescent="0.25">
      <c r="A63" s="213" t="s">
        <v>1930</v>
      </c>
      <c r="B63" s="64">
        <v>3.71</v>
      </c>
      <c r="C63" s="64">
        <v>73.790000000000006</v>
      </c>
      <c r="D63" s="64">
        <v>75.400000000000006</v>
      </c>
      <c r="E63" s="64">
        <v>10.78</v>
      </c>
      <c r="F63" s="64">
        <v>21.28</v>
      </c>
      <c r="G63" s="64">
        <v>106.16</v>
      </c>
      <c r="H63" s="64">
        <v>31.97</v>
      </c>
      <c r="I63" s="214" t="s">
        <v>43</v>
      </c>
      <c r="J63" s="64">
        <v>1.1100000000000001</v>
      </c>
      <c r="K63" s="64">
        <v>294.99</v>
      </c>
      <c r="L63" s="64">
        <v>30.18</v>
      </c>
      <c r="M63" s="64">
        <v>29.7</v>
      </c>
      <c r="N63" s="64">
        <v>697.9</v>
      </c>
      <c r="O63" s="64">
        <v>0</v>
      </c>
      <c r="P63" s="64">
        <v>0.75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3" t="s">
        <v>1931</v>
      </c>
      <c r="B64" s="64">
        <v>3.56</v>
      </c>
      <c r="C64" s="64">
        <v>70</v>
      </c>
      <c r="D64" s="64">
        <v>71.459999999999994</v>
      </c>
      <c r="E64" s="64">
        <v>10.18</v>
      </c>
      <c r="F64" s="64">
        <v>9.6199999999999992</v>
      </c>
      <c r="G64" s="64">
        <v>106.16</v>
      </c>
      <c r="H64" s="64">
        <v>31.97</v>
      </c>
      <c r="I64" s="214" t="s">
        <v>43</v>
      </c>
      <c r="J64" s="64">
        <v>1.45</v>
      </c>
      <c r="K64" s="64">
        <v>302.87</v>
      </c>
      <c r="L64" s="64">
        <v>31.34</v>
      </c>
      <c r="M64" s="64">
        <v>27.91</v>
      </c>
      <c r="N64" s="64">
        <v>649.29999999999995</v>
      </c>
      <c r="O64" s="64">
        <v>0</v>
      </c>
      <c r="P64" s="64">
        <v>0.71</v>
      </c>
      <c r="Q64" s="64">
        <v>9.5299999999999994</v>
      </c>
      <c r="R64" s="198"/>
      <c r="S64" s="198"/>
      <c r="T64" s="198"/>
      <c r="U64" s="198"/>
    </row>
    <row r="65" spans="1:21" s="12" customFormat="1" x14ac:dyDescent="0.25">
      <c r="A65" s="213" t="s">
        <v>1932</v>
      </c>
      <c r="B65" s="64">
        <v>3.69</v>
      </c>
      <c r="C65" s="64">
        <v>64.64</v>
      </c>
      <c r="D65" s="64">
        <v>66.239999999999995</v>
      </c>
      <c r="E65" s="64">
        <v>16.260000000000002</v>
      </c>
      <c r="F65" s="64">
        <v>46.14</v>
      </c>
      <c r="G65" s="64">
        <v>101.02</v>
      </c>
      <c r="H65" s="64">
        <v>32.74</v>
      </c>
      <c r="I65" s="214" t="s">
        <v>43</v>
      </c>
      <c r="J65" s="64">
        <v>1.73</v>
      </c>
      <c r="K65" s="64">
        <v>309.11</v>
      </c>
      <c r="L65" s="64">
        <v>31.71</v>
      </c>
      <c r="M65" s="64">
        <v>27.1</v>
      </c>
      <c r="N65" s="64">
        <v>525.20000000000005</v>
      </c>
      <c r="O65" s="64">
        <v>0</v>
      </c>
      <c r="P65" s="64">
        <v>0.53</v>
      </c>
      <c r="Q65" s="64">
        <v>9.5399999999999991</v>
      </c>
      <c r="R65" s="198"/>
      <c r="S65" s="198"/>
      <c r="T65" s="198"/>
      <c r="U65" s="198"/>
    </row>
    <row r="66" spans="1:21" s="12" customFormat="1" x14ac:dyDescent="0.25">
      <c r="A66" s="213" t="s">
        <v>1933</v>
      </c>
      <c r="B66" s="64">
        <v>3.54</v>
      </c>
      <c r="C66" s="64">
        <v>61.26</v>
      </c>
      <c r="D66" s="64">
        <v>62.7</v>
      </c>
      <c r="E66" s="64">
        <v>11.94</v>
      </c>
      <c r="F66" s="64">
        <v>23.58</v>
      </c>
      <c r="G66" s="64">
        <v>101.02</v>
      </c>
      <c r="H66" s="64">
        <v>32.75</v>
      </c>
      <c r="I66" s="214" t="s">
        <v>43</v>
      </c>
      <c r="J66" s="64">
        <v>0.69</v>
      </c>
      <c r="K66" s="64">
        <v>278.58</v>
      </c>
      <c r="L66" s="64">
        <v>30.99</v>
      </c>
      <c r="M66" s="64">
        <v>27.8</v>
      </c>
      <c r="N66" s="64">
        <v>435.1</v>
      </c>
      <c r="O66" s="64">
        <v>0</v>
      </c>
      <c r="P66" s="64">
        <v>0.49</v>
      </c>
      <c r="Q66" s="64">
        <v>9.5399999999999991</v>
      </c>
      <c r="R66" s="198"/>
      <c r="S66" s="198"/>
      <c r="T66" s="198"/>
      <c r="U66" s="198"/>
    </row>
    <row r="67" spans="1:21" s="12" customFormat="1" x14ac:dyDescent="0.25">
      <c r="A67" s="213" t="s">
        <v>1934</v>
      </c>
      <c r="B67" s="64">
        <v>3.6</v>
      </c>
      <c r="C67" s="64">
        <v>60.33</v>
      </c>
      <c r="D67" s="64">
        <v>61.83</v>
      </c>
      <c r="E67" s="64">
        <v>10.43</v>
      </c>
      <c r="F67" s="64">
        <v>11.18</v>
      </c>
      <c r="G67" s="64">
        <v>101.02</v>
      </c>
      <c r="H67" s="64">
        <v>32.75</v>
      </c>
      <c r="I67" s="214" t="s">
        <v>43</v>
      </c>
      <c r="J67" s="64">
        <v>1.31</v>
      </c>
      <c r="K67" s="64">
        <v>302.85000000000002</v>
      </c>
      <c r="L67" s="64">
        <v>30.44</v>
      </c>
      <c r="M67" s="64">
        <v>29.37</v>
      </c>
      <c r="N67" s="64">
        <v>443.8</v>
      </c>
      <c r="O67" s="64">
        <v>0</v>
      </c>
      <c r="P67" s="64">
        <v>0.49</v>
      </c>
      <c r="Q67" s="64">
        <v>9.52</v>
      </c>
      <c r="R67" s="198"/>
      <c r="S67" s="198"/>
      <c r="T67" s="198"/>
      <c r="U67" s="198"/>
    </row>
    <row r="68" spans="1:21" s="12" customFormat="1" x14ac:dyDescent="0.25">
      <c r="A68" s="213" t="s">
        <v>1935</v>
      </c>
      <c r="B68" s="64">
        <v>3.8</v>
      </c>
      <c r="C68" s="64">
        <v>60.14</v>
      </c>
      <c r="D68" s="64">
        <v>61.84</v>
      </c>
      <c r="E68" s="64">
        <v>9.7200000000000006</v>
      </c>
      <c r="F68" s="64">
        <v>7.52</v>
      </c>
      <c r="G68" s="64">
        <v>101.02</v>
      </c>
      <c r="H68" s="64">
        <v>32.75</v>
      </c>
      <c r="I68" s="214" t="s">
        <v>43</v>
      </c>
      <c r="J68" s="64">
        <v>0.91</v>
      </c>
      <c r="K68" s="64">
        <v>289.14999999999998</v>
      </c>
      <c r="L68" s="64">
        <v>30.51</v>
      </c>
      <c r="M68" s="64">
        <v>28.64</v>
      </c>
      <c r="N68" s="64">
        <v>388</v>
      </c>
      <c r="O68" s="64">
        <v>0</v>
      </c>
      <c r="P68" s="64">
        <v>0.5</v>
      </c>
      <c r="Q68" s="64">
        <v>9.5</v>
      </c>
      <c r="R68" s="198"/>
      <c r="S68" s="198"/>
      <c r="T68" s="198"/>
      <c r="U68" s="198"/>
    </row>
    <row r="69" spans="1:21" s="12" customFormat="1" x14ac:dyDescent="0.25">
      <c r="A69" s="213" t="s">
        <v>1936</v>
      </c>
      <c r="B69" s="64">
        <v>3.95</v>
      </c>
      <c r="C69" s="64">
        <v>60.2</v>
      </c>
      <c r="D69" s="64">
        <v>62.06</v>
      </c>
      <c r="E69" s="64">
        <v>9.6999999999999993</v>
      </c>
      <c r="F69" s="64">
        <v>7.01</v>
      </c>
      <c r="G69" s="64">
        <v>89.77</v>
      </c>
      <c r="H69" s="64">
        <v>28.7</v>
      </c>
      <c r="I69" s="214" t="s">
        <v>43</v>
      </c>
      <c r="J69" s="64">
        <v>1.19</v>
      </c>
      <c r="K69" s="64">
        <v>312.35000000000002</v>
      </c>
      <c r="L69" s="64">
        <v>30.26</v>
      </c>
      <c r="M69" s="64">
        <v>29.64</v>
      </c>
      <c r="N69" s="64">
        <v>312.60000000000002</v>
      </c>
      <c r="O69" s="64">
        <v>0</v>
      </c>
      <c r="P69" s="64">
        <v>0.55000000000000004</v>
      </c>
      <c r="Q69" s="64">
        <v>9.51</v>
      </c>
      <c r="R69" s="198"/>
      <c r="S69" s="198"/>
      <c r="T69" s="198"/>
      <c r="U69" s="198"/>
    </row>
    <row r="70" spans="1:21" s="12" customFormat="1" x14ac:dyDescent="0.25">
      <c r="A70" s="213" t="s">
        <v>1937</v>
      </c>
      <c r="B70" s="64">
        <v>4.25</v>
      </c>
      <c r="C70" s="64">
        <v>61.52</v>
      </c>
      <c r="D70" s="64">
        <v>63.67</v>
      </c>
      <c r="E70" s="64">
        <v>9.3000000000000007</v>
      </c>
      <c r="F70" s="64">
        <v>4.51</v>
      </c>
      <c r="G70" s="64">
        <v>89.65</v>
      </c>
      <c r="H70" s="64">
        <v>28.65</v>
      </c>
      <c r="I70" s="214" t="s">
        <v>43</v>
      </c>
      <c r="J70" s="64">
        <v>1.75</v>
      </c>
      <c r="K70" s="64">
        <v>320.02</v>
      </c>
      <c r="L70" s="64">
        <v>30.4</v>
      </c>
      <c r="M70" s="64">
        <v>29.32</v>
      </c>
      <c r="N70" s="64">
        <v>318.3</v>
      </c>
      <c r="O70" s="64">
        <v>0</v>
      </c>
      <c r="P70" s="64">
        <v>0.54</v>
      </c>
      <c r="Q70" s="64">
        <v>9.5</v>
      </c>
      <c r="R70" s="198"/>
      <c r="S70" s="198"/>
      <c r="T70" s="198"/>
      <c r="U70" s="198"/>
    </row>
    <row r="71" spans="1:21" s="12" customFormat="1" x14ac:dyDescent="0.25">
      <c r="A71" s="213" t="s">
        <v>1938</v>
      </c>
      <c r="B71" s="64">
        <v>4.5599999999999996</v>
      </c>
      <c r="C71" s="64">
        <v>61.06</v>
      </c>
      <c r="D71" s="64">
        <v>63.52</v>
      </c>
      <c r="E71" s="64">
        <v>9.09</v>
      </c>
      <c r="F71" s="64">
        <v>3.29</v>
      </c>
      <c r="G71" s="64">
        <v>89.65</v>
      </c>
      <c r="H71" s="64">
        <v>28.65</v>
      </c>
      <c r="I71" s="214" t="s">
        <v>43</v>
      </c>
      <c r="J71" s="64">
        <v>0.98</v>
      </c>
      <c r="K71" s="64">
        <v>301.06</v>
      </c>
      <c r="L71" s="64">
        <v>29.6</v>
      </c>
      <c r="M71" s="64">
        <v>30.65</v>
      </c>
      <c r="N71" s="64">
        <v>296.60000000000002</v>
      </c>
      <c r="O71" s="64">
        <v>0</v>
      </c>
      <c r="P71" s="64">
        <v>0.53</v>
      </c>
      <c r="Q71" s="64">
        <v>9.52</v>
      </c>
      <c r="R71" s="198"/>
      <c r="S71" s="198"/>
      <c r="T71" s="198"/>
      <c r="U71" s="198"/>
    </row>
    <row r="72" spans="1:21" s="12" customFormat="1" x14ac:dyDescent="0.25">
      <c r="A72" s="213" t="s">
        <v>1939</v>
      </c>
      <c r="B72" s="64">
        <v>4.54</v>
      </c>
      <c r="C72" s="64">
        <v>59.27</v>
      </c>
      <c r="D72" s="64">
        <v>61.71</v>
      </c>
      <c r="E72" s="64">
        <v>7.79</v>
      </c>
      <c r="F72" s="64">
        <v>3.53</v>
      </c>
      <c r="G72" s="64">
        <v>89.65</v>
      </c>
      <c r="H72" s="64">
        <v>28.65</v>
      </c>
      <c r="I72" s="214" t="s">
        <v>43</v>
      </c>
      <c r="J72" s="64">
        <v>0.97</v>
      </c>
      <c r="K72" s="64">
        <v>310.79000000000002</v>
      </c>
      <c r="L72" s="64">
        <v>28.74</v>
      </c>
      <c r="M72" s="64">
        <v>31.86</v>
      </c>
      <c r="N72" s="64">
        <v>219.1</v>
      </c>
      <c r="O72" s="64">
        <v>0</v>
      </c>
      <c r="P72" s="64">
        <v>0.51</v>
      </c>
      <c r="Q72" s="64">
        <v>9.5500000000000007</v>
      </c>
      <c r="R72" s="198"/>
      <c r="S72" s="198"/>
      <c r="T72" s="198"/>
      <c r="U72" s="198"/>
    </row>
    <row r="73" spans="1:21" s="12" customFormat="1" x14ac:dyDescent="0.25">
      <c r="A73" s="213" t="s">
        <v>1940</v>
      </c>
      <c r="B73" s="64">
        <v>4.33</v>
      </c>
      <c r="C73" s="64">
        <v>59.41</v>
      </c>
      <c r="D73" s="64">
        <v>61.64</v>
      </c>
      <c r="E73" s="64">
        <v>9.41</v>
      </c>
      <c r="F73" s="64">
        <v>7.72</v>
      </c>
      <c r="G73" s="64">
        <v>71.260000000000005</v>
      </c>
      <c r="H73" s="64">
        <v>22.73</v>
      </c>
      <c r="I73" s="214" t="s">
        <v>43</v>
      </c>
      <c r="J73" s="64">
        <v>1.29</v>
      </c>
      <c r="K73" s="64">
        <v>315.64999999999998</v>
      </c>
      <c r="L73" s="64">
        <v>28.38</v>
      </c>
      <c r="M73" s="64">
        <v>32.18</v>
      </c>
      <c r="N73" s="64">
        <v>158.30000000000001</v>
      </c>
      <c r="O73" s="64">
        <v>0</v>
      </c>
      <c r="P73" s="64">
        <v>0.52</v>
      </c>
      <c r="Q73" s="64">
        <v>9.5500000000000007</v>
      </c>
      <c r="R73" s="198"/>
      <c r="S73" s="198"/>
      <c r="T73" s="198"/>
      <c r="U73" s="198"/>
    </row>
    <row r="74" spans="1:21" s="12" customFormat="1" x14ac:dyDescent="0.25">
      <c r="A74" s="213" t="s">
        <v>1941</v>
      </c>
      <c r="B74" s="64">
        <v>4.0199999999999996</v>
      </c>
      <c r="C74" s="64">
        <v>61.52</v>
      </c>
      <c r="D74" s="64">
        <v>63.44</v>
      </c>
      <c r="E74" s="64">
        <v>9.7100000000000009</v>
      </c>
      <c r="F74" s="64">
        <v>11.51</v>
      </c>
      <c r="G74" s="64">
        <v>71.06</v>
      </c>
      <c r="H74" s="64">
        <v>22.67</v>
      </c>
      <c r="I74" s="214" t="s">
        <v>43</v>
      </c>
      <c r="J74" s="64">
        <v>0.74</v>
      </c>
      <c r="K74" s="64">
        <v>320.70999999999998</v>
      </c>
      <c r="L74" s="64">
        <v>28.1</v>
      </c>
      <c r="M74" s="64">
        <v>31.67</v>
      </c>
      <c r="N74" s="64">
        <v>145.80000000000001</v>
      </c>
      <c r="O74" s="64">
        <v>0</v>
      </c>
      <c r="P74" s="64">
        <v>0.53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13" t="s">
        <v>1942</v>
      </c>
      <c r="B75" s="64">
        <v>3.86</v>
      </c>
      <c r="C75" s="64">
        <v>64.36</v>
      </c>
      <c r="D75" s="64">
        <v>66.12</v>
      </c>
      <c r="E75" s="64">
        <v>9.3000000000000007</v>
      </c>
      <c r="F75" s="64">
        <v>7.93</v>
      </c>
      <c r="G75" s="64">
        <v>71.06</v>
      </c>
      <c r="H75" s="64">
        <v>22.67</v>
      </c>
      <c r="I75" s="214" t="s">
        <v>43</v>
      </c>
      <c r="J75" s="64">
        <v>1.17</v>
      </c>
      <c r="K75" s="64">
        <v>303.58</v>
      </c>
      <c r="L75" s="64">
        <v>27.71</v>
      </c>
      <c r="M75" s="64">
        <v>32.69</v>
      </c>
      <c r="N75" s="64">
        <v>133.69999999999999</v>
      </c>
      <c r="O75" s="64">
        <v>0</v>
      </c>
      <c r="P75" s="64">
        <v>0.53</v>
      </c>
      <c r="Q75" s="64">
        <v>9.5299999999999994</v>
      </c>
      <c r="R75" s="198"/>
      <c r="S75" s="198"/>
      <c r="T75" s="198"/>
      <c r="U75" s="198"/>
    </row>
    <row r="76" spans="1:21" s="12" customFormat="1" x14ac:dyDescent="0.25">
      <c r="A76" s="213" t="s">
        <v>1943</v>
      </c>
      <c r="B76" s="64">
        <v>4.0599999999999996</v>
      </c>
      <c r="C76" s="64">
        <v>65.58</v>
      </c>
      <c r="D76" s="64">
        <v>67.540000000000006</v>
      </c>
      <c r="E76" s="64">
        <v>9.32</v>
      </c>
      <c r="F76" s="64">
        <v>4.3</v>
      </c>
      <c r="G76" s="64">
        <v>71.06</v>
      </c>
      <c r="H76" s="64">
        <v>22.67</v>
      </c>
      <c r="I76" s="214" t="s">
        <v>43</v>
      </c>
      <c r="J76" s="64">
        <v>1.1200000000000001</v>
      </c>
      <c r="K76" s="64">
        <v>342.3</v>
      </c>
      <c r="L76" s="64">
        <v>27.38</v>
      </c>
      <c r="M76" s="64">
        <v>33.409999999999997</v>
      </c>
      <c r="N76" s="64">
        <v>116.5</v>
      </c>
      <c r="O76" s="64">
        <v>0</v>
      </c>
      <c r="P76" s="64">
        <v>0.55000000000000004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3" t="s">
        <v>1944</v>
      </c>
      <c r="B77" s="64">
        <v>4.62</v>
      </c>
      <c r="C77" s="64">
        <v>67.14</v>
      </c>
      <c r="D77" s="64">
        <v>69.66</v>
      </c>
      <c r="E77" s="64">
        <v>8.8000000000000007</v>
      </c>
      <c r="F77" s="64">
        <v>2.61</v>
      </c>
      <c r="G77" s="64">
        <v>81.23</v>
      </c>
      <c r="H77" s="64">
        <v>25.36</v>
      </c>
      <c r="I77" s="214" t="s">
        <v>43</v>
      </c>
      <c r="J77" s="64">
        <v>1.25</v>
      </c>
      <c r="K77" s="64">
        <v>349.98</v>
      </c>
      <c r="L77" s="64">
        <v>26.94</v>
      </c>
      <c r="M77" s="64">
        <v>33.880000000000003</v>
      </c>
      <c r="N77" s="64">
        <v>102.8</v>
      </c>
      <c r="O77" s="64">
        <v>0</v>
      </c>
      <c r="P77" s="64">
        <v>0.56000000000000005</v>
      </c>
      <c r="Q77" s="64">
        <v>9.52</v>
      </c>
      <c r="R77" s="198"/>
      <c r="S77" s="198"/>
      <c r="T77" s="198"/>
      <c r="U77" s="198"/>
    </row>
    <row r="78" spans="1:21" s="12" customFormat="1" x14ac:dyDescent="0.25">
      <c r="A78" s="213" t="s">
        <v>1945</v>
      </c>
      <c r="B78" s="64">
        <v>5.09</v>
      </c>
      <c r="C78" s="64">
        <v>68.03</v>
      </c>
      <c r="D78" s="64">
        <v>71.02</v>
      </c>
      <c r="E78" s="64">
        <v>8.4499999999999993</v>
      </c>
      <c r="F78" s="64">
        <v>2.13</v>
      </c>
      <c r="G78" s="64">
        <v>81.34</v>
      </c>
      <c r="H78" s="64">
        <v>25.36</v>
      </c>
      <c r="I78" s="214" t="s">
        <v>43</v>
      </c>
      <c r="J78" s="64">
        <v>1.47</v>
      </c>
      <c r="K78" s="64">
        <v>348.77</v>
      </c>
      <c r="L78" s="64">
        <v>26.37</v>
      </c>
      <c r="M78" s="64">
        <v>35.21</v>
      </c>
      <c r="N78" s="64">
        <v>90.9</v>
      </c>
      <c r="O78" s="64">
        <v>0</v>
      </c>
      <c r="P78" s="64">
        <v>0.62</v>
      </c>
      <c r="Q78" s="64">
        <v>9.5399999999999991</v>
      </c>
      <c r="R78" s="198"/>
      <c r="S78" s="198"/>
      <c r="T78" s="198"/>
      <c r="U78" s="198"/>
    </row>
    <row r="79" spans="1:21" s="12" customFormat="1" x14ac:dyDescent="0.25">
      <c r="A79" s="213" t="s">
        <v>1946</v>
      </c>
      <c r="B79" s="64">
        <v>5.74</v>
      </c>
      <c r="C79" s="64">
        <v>68.489999999999995</v>
      </c>
      <c r="D79" s="64">
        <v>72.13</v>
      </c>
      <c r="E79" s="64">
        <v>7.78</v>
      </c>
      <c r="F79" s="64">
        <v>2.13</v>
      </c>
      <c r="G79" s="64">
        <v>81.34</v>
      </c>
      <c r="H79" s="64">
        <v>25.36</v>
      </c>
      <c r="I79" s="214" t="s">
        <v>43</v>
      </c>
      <c r="J79" s="64">
        <v>1.1499999999999999</v>
      </c>
      <c r="K79" s="64">
        <v>345.36</v>
      </c>
      <c r="L79" s="64">
        <v>25.82</v>
      </c>
      <c r="M79" s="64">
        <v>37.090000000000003</v>
      </c>
      <c r="N79" s="64">
        <v>79.8</v>
      </c>
      <c r="O79" s="64">
        <v>0</v>
      </c>
      <c r="P79" s="64">
        <v>0.75</v>
      </c>
      <c r="Q79" s="64">
        <v>9.52</v>
      </c>
      <c r="R79" s="198"/>
      <c r="S79" s="198"/>
      <c r="T79" s="198"/>
      <c r="U79" s="198"/>
    </row>
    <row r="80" spans="1:21" s="12" customFormat="1" x14ac:dyDescent="0.25">
      <c r="A80" s="213" t="s">
        <v>1947</v>
      </c>
      <c r="B80" s="64">
        <v>6.53</v>
      </c>
      <c r="C80" s="64">
        <v>70.34</v>
      </c>
      <c r="D80" s="64">
        <v>74.77</v>
      </c>
      <c r="E80" s="64">
        <v>7.87</v>
      </c>
      <c r="F80" s="64">
        <v>2.13</v>
      </c>
      <c r="G80" s="64">
        <v>81.34</v>
      </c>
      <c r="H80" s="64">
        <v>25.36</v>
      </c>
      <c r="I80" s="214" t="s">
        <v>43</v>
      </c>
      <c r="J80" s="64">
        <v>0.77</v>
      </c>
      <c r="K80" s="64">
        <v>4.67</v>
      </c>
      <c r="L80" s="64">
        <v>24.94</v>
      </c>
      <c r="M80" s="64">
        <v>37.94</v>
      </c>
      <c r="N80" s="64">
        <v>70.5</v>
      </c>
      <c r="O80" s="64">
        <v>0</v>
      </c>
      <c r="P80" s="64">
        <v>0.81</v>
      </c>
      <c r="Q80" s="64">
        <v>9.5299999999999994</v>
      </c>
      <c r="R80" s="198"/>
      <c r="S80" s="198"/>
      <c r="T80" s="198"/>
      <c r="U80" s="198"/>
    </row>
    <row r="81" spans="1:26" s="12" customFormat="1" x14ac:dyDescent="0.25">
      <c r="A81" s="213" t="s">
        <v>1948</v>
      </c>
      <c r="B81" s="64">
        <v>7.95</v>
      </c>
      <c r="C81" s="64">
        <v>72.900000000000006</v>
      </c>
      <c r="D81" s="64">
        <v>78.75</v>
      </c>
      <c r="E81" s="64">
        <v>8.1300000000000008</v>
      </c>
      <c r="F81" s="64">
        <v>2.13</v>
      </c>
      <c r="G81" s="64">
        <v>81.180000000000007</v>
      </c>
      <c r="H81" s="64">
        <v>25.28</v>
      </c>
      <c r="I81" s="214" t="s">
        <v>43</v>
      </c>
      <c r="J81" s="64">
        <v>0.42</v>
      </c>
      <c r="K81" s="64">
        <v>244.27</v>
      </c>
      <c r="L81" s="64">
        <v>24.23</v>
      </c>
      <c r="M81" s="64">
        <v>40.67</v>
      </c>
      <c r="N81" s="64">
        <v>66.400000000000006</v>
      </c>
      <c r="O81" s="64">
        <v>0</v>
      </c>
      <c r="P81" s="64">
        <v>1.01</v>
      </c>
      <c r="Q81" s="64">
        <v>9.5</v>
      </c>
      <c r="R81" s="198"/>
      <c r="S81" s="198"/>
      <c r="T81" s="198"/>
      <c r="U81" s="198"/>
    </row>
    <row r="82" spans="1:26" s="12" customFormat="1" x14ac:dyDescent="0.25">
      <c r="A82" s="213" t="s">
        <v>1949</v>
      </c>
      <c r="B82" s="64">
        <v>9.07</v>
      </c>
      <c r="C82" s="64">
        <v>73.599999999999994</v>
      </c>
      <c r="D82" s="64">
        <v>80.569999999999993</v>
      </c>
      <c r="E82" s="64">
        <v>7.57</v>
      </c>
      <c r="F82" s="64">
        <v>2.13</v>
      </c>
      <c r="G82" s="64">
        <v>81.180000000000007</v>
      </c>
      <c r="H82" s="64">
        <v>25.28</v>
      </c>
      <c r="I82" s="214" t="s">
        <v>43</v>
      </c>
      <c r="J82" s="64">
        <v>0.05</v>
      </c>
      <c r="K82" s="64">
        <v>171.27</v>
      </c>
      <c r="L82" s="64">
        <v>23.72</v>
      </c>
      <c r="M82" s="64">
        <v>42.97</v>
      </c>
      <c r="N82" s="64">
        <v>65.5</v>
      </c>
      <c r="O82" s="64">
        <v>0</v>
      </c>
      <c r="P82" s="64">
        <v>1.05</v>
      </c>
      <c r="Q82" s="64">
        <v>9.5399999999999991</v>
      </c>
      <c r="R82" s="198"/>
      <c r="S82" s="198"/>
      <c r="T82" s="198"/>
      <c r="U82" s="198"/>
    </row>
    <row r="83" spans="1:26" s="12" customFormat="1" x14ac:dyDescent="0.25">
      <c r="A83" s="213" t="s">
        <v>1950</v>
      </c>
      <c r="B83" s="64">
        <v>10.26</v>
      </c>
      <c r="C83" s="64">
        <v>76.27</v>
      </c>
      <c r="D83" s="64">
        <v>84.43</v>
      </c>
      <c r="E83" s="64">
        <v>7.85</v>
      </c>
      <c r="F83" s="64">
        <v>2.13</v>
      </c>
      <c r="G83" s="64">
        <v>81.180000000000007</v>
      </c>
      <c r="H83" s="64">
        <v>25.28</v>
      </c>
      <c r="I83" s="214" t="s">
        <v>43</v>
      </c>
      <c r="J83" s="64">
        <v>0.53</v>
      </c>
      <c r="K83" s="64">
        <v>48.03</v>
      </c>
      <c r="L83" s="64">
        <v>23.32</v>
      </c>
      <c r="M83" s="64">
        <v>42.95</v>
      </c>
      <c r="N83" s="64">
        <v>65.599999999999994</v>
      </c>
      <c r="O83" s="64">
        <v>0</v>
      </c>
      <c r="P83" s="64">
        <v>1.1599999999999999</v>
      </c>
      <c r="Q83" s="64">
        <v>9.52</v>
      </c>
      <c r="R83" s="198"/>
      <c r="S83" s="198"/>
      <c r="T83" s="198"/>
      <c r="U83" s="198"/>
    </row>
    <row r="84" spans="1:26" s="12" customFormat="1" x14ac:dyDescent="0.25">
      <c r="A84" s="213" t="s">
        <v>1951</v>
      </c>
      <c r="B84" s="64">
        <v>14.01</v>
      </c>
      <c r="C84" s="64">
        <v>79.03</v>
      </c>
      <c r="D84" s="64">
        <v>90.93</v>
      </c>
      <c r="E84" s="64">
        <v>7.99</v>
      </c>
      <c r="F84" s="64">
        <v>2.13</v>
      </c>
      <c r="G84" s="64">
        <v>81.180000000000007</v>
      </c>
      <c r="H84" s="64">
        <v>25.28</v>
      </c>
      <c r="I84" s="214" t="s">
        <v>43</v>
      </c>
      <c r="J84" s="64">
        <v>0.56999999999999995</v>
      </c>
      <c r="K84" s="64">
        <v>352.6</v>
      </c>
      <c r="L84" s="64">
        <v>22.75</v>
      </c>
      <c r="M84" s="64">
        <v>51.85</v>
      </c>
      <c r="N84" s="64">
        <v>65.7</v>
      </c>
      <c r="O84" s="64">
        <v>0</v>
      </c>
      <c r="P84" s="64">
        <v>2.17</v>
      </c>
      <c r="Q84" s="64">
        <v>9.4499999999999993</v>
      </c>
      <c r="R84" s="198"/>
      <c r="S84" s="198"/>
      <c r="T84" s="198"/>
      <c r="U84" s="198"/>
    </row>
    <row r="85" spans="1:26" s="12" customFormat="1" x14ac:dyDescent="0.25">
      <c r="A85" s="213" t="s">
        <v>1952</v>
      </c>
      <c r="B85" s="64">
        <v>18.23</v>
      </c>
      <c r="C85" s="64">
        <v>80.53</v>
      </c>
      <c r="D85" s="64">
        <v>96.66</v>
      </c>
      <c r="E85" s="64">
        <v>8.1300000000000008</v>
      </c>
      <c r="F85" s="64">
        <v>2.13</v>
      </c>
      <c r="G85" s="64">
        <v>102.64</v>
      </c>
      <c r="H85" s="64">
        <v>27.51</v>
      </c>
      <c r="I85" s="214" t="s">
        <v>43</v>
      </c>
      <c r="J85" s="64">
        <v>0.31</v>
      </c>
      <c r="K85" s="64">
        <v>32.61</v>
      </c>
      <c r="L85" s="64">
        <v>22.44</v>
      </c>
      <c r="M85" s="64">
        <v>52.18</v>
      </c>
      <c r="N85" s="64">
        <v>65.400000000000006</v>
      </c>
      <c r="O85" s="64">
        <v>0</v>
      </c>
      <c r="P85" s="64">
        <v>2.1</v>
      </c>
      <c r="Q85" s="64">
        <v>9.4499999999999993</v>
      </c>
      <c r="R85" s="198"/>
      <c r="S85" s="198"/>
      <c r="T85" s="198"/>
      <c r="U85" s="198"/>
    </row>
    <row r="86" spans="1:26" s="12" customFormat="1" x14ac:dyDescent="0.25">
      <c r="A86" s="213" t="s">
        <v>1953</v>
      </c>
      <c r="B86" s="64">
        <v>21.92</v>
      </c>
      <c r="C86" s="64">
        <v>81.56</v>
      </c>
      <c r="D86" s="64">
        <v>101.38</v>
      </c>
      <c r="E86" s="64">
        <v>8.66</v>
      </c>
      <c r="F86" s="64">
        <v>2.13</v>
      </c>
      <c r="G86" s="64">
        <v>102.88</v>
      </c>
      <c r="H86" s="64">
        <v>27.51</v>
      </c>
      <c r="I86" s="214" t="s">
        <v>43</v>
      </c>
      <c r="J86" s="64">
        <v>0.02</v>
      </c>
      <c r="K86" s="64">
        <v>83.57</v>
      </c>
      <c r="L86" s="64">
        <v>22.16</v>
      </c>
      <c r="M86" s="64">
        <v>51.18</v>
      </c>
      <c r="N86" s="64">
        <v>65.5</v>
      </c>
      <c r="O86" s="64">
        <v>0</v>
      </c>
      <c r="P86" s="64">
        <v>1.98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13" t="s">
        <v>1954</v>
      </c>
      <c r="B87" s="64">
        <v>24.59</v>
      </c>
      <c r="C87" s="64">
        <v>82.22</v>
      </c>
      <c r="D87" s="64">
        <v>104.71</v>
      </c>
      <c r="E87" s="64">
        <v>8.69</v>
      </c>
      <c r="F87" s="64">
        <v>2.13</v>
      </c>
      <c r="G87" s="64">
        <v>102.88</v>
      </c>
      <c r="H87" s="64">
        <v>27.51</v>
      </c>
      <c r="I87" s="214" t="s">
        <v>43</v>
      </c>
      <c r="J87" s="64">
        <v>0.11</v>
      </c>
      <c r="K87" s="64">
        <v>284.22000000000003</v>
      </c>
      <c r="L87" s="64">
        <v>21.85</v>
      </c>
      <c r="M87" s="64">
        <v>56.14</v>
      </c>
      <c r="N87" s="64">
        <v>65.2</v>
      </c>
      <c r="O87" s="64">
        <v>0</v>
      </c>
      <c r="P87" s="64">
        <v>1.82</v>
      </c>
      <c r="Q87" s="64">
        <v>9.4499999999999993</v>
      </c>
      <c r="R87" s="198"/>
      <c r="S87" s="198"/>
      <c r="T87" s="198"/>
      <c r="U87" s="198"/>
    </row>
    <row r="88" spans="1:26" s="12" customFormat="1" x14ac:dyDescent="0.25">
      <c r="A88" s="213" t="s">
        <v>1955</v>
      </c>
      <c r="B88" s="64">
        <v>26.67</v>
      </c>
      <c r="C88" s="64">
        <v>82.82</v>
      </c>
      <c r="D88" s="64">
        <v>107.39</v>
      </c>
      <c r="E88" s="64">
        <v>8.58</v>
      </c>
      <c r="F88" s="64">
        <v>2.13</v>
      </c>
      <c r="G88" s="64">
        <v>102.88</v>
      </c>
      <c r="H88" s="64">
        <v>27.51</v>
      </c>
      <c r="I88" s="214" t="s">
        <v>43</v>
      </c>
      <c r="J88" s="64">
        <v>0.59</v>
      </c>
      <c r="K88" s="64">
        <v>323.17</v>
      </c>
      <c r="L88" s="64">
        <v>21.75</v>
      </c>
      <c r="M88" s="64">
        <v>59.63</v>
      </c>
      <c r="N88" s="64">
        <v>65.3</v>
      </c>
      <c r="O88" s="64">
        <v>0</v>
      </c>
      <c r="P88" s="64">
        <v>1.76</v>
      </c>
      <c r="Q88" s="64">
        <v>9.4600000000000009</v>
      </c>
      <c r="R88" s="198"/>
      <c r="S88" s="198"/>
      <c r="T88" s="198"/>
      <c r="U88" s="198"/>
    </row>
    <row r="89" spans="1:26" s="12" customFormat="1" x14ac:dyDescent="0.25">
      <c r="A89" s="213" t="s">
        <v>1956</v>
      </c>
      <c r="B89" s="64">
        <v>28.01</v>
      </c>
      <c r="C89" s="64">
        <v>84.58</v>
      </c>
      <c r="D89" s="64">
        <v>110.49</v>
      </c>
      <c r="E89" s="64">
        <v>8.85</v>
      </c>
      <c r="F89" s="64">
        <v>2.13</v>
      </c>
      <c r="G89" s="64">
        <v>119.8</v>
      </c>
      <c r="H89" s="64">
        <v>31.08</v>
      </c>
      <c r="I89" s="214" t="s">
        <v>43</v>
      </c>
      <c r="J89" s="64">
        <v>0.76</v>
      </c>
      <c r="K89" s="64">
        <v>229.66</v>
      </c>
      <c r="L89" s="64">
        <v>21.59</v>
      </c>
      <c r="M89" s="64">
        <v>50.13</v>
      </c>
      <c r="N89" s="64">
        <v>65.3</v>
      </c>
      <c r="O89" s="64">
        <v>0</v>
      </c>
      <c r="P89" s="64">
        <v>1.35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13" t="s">
        <v>1957</v>
      </c>
      <c r="B90" s="64">
        <v>29.42</v>
      </c>
      <c r="C90" s="64">
        <v>85.08</v>
      </c>
      <c r="D90" s="64">
        <v>112.4</v>
      </c>
      <c r="E90" s="64">
        <v>9</v>
      </c>
      <c r="F90" s="64">
        <v>2.13</v>
      </c>
      <c r="G90" s="64">
        <v>119.99</v>
      </c>
      <c r="H90" s="64">
        <v>31.12</v>
      </c>
      <c r="I90" s="214" t="s">
        <v>43</v>
      </c>
      <c r="J90" s="64">
        <v>0.5</v>
      </c>
      <c r="K90" s="64">
        <v>288.39</v>
      </c>
      <c r="L90" s="64">
        <v>21.53</v>
      </c>
      <c r="M90" s="64">
        <v>53.4</v>
      </c>
      <c r="N90" s="64">
        <v>65.3</v>
      </c>
      <c r="O90" s="64">
        <v>0</v>
      </c>
      <c r="P90" s="64">
        <v>1.51</v>
      </c>
      <c r="Q90" s="64">
        <v>9.4499999999999993</v>
      </c>
      <c r="R90" s="198"/>
      <c r="S90" s="198"/>
      <c r="T90" s="198"/>
      <c r="U90" s="198"/>
    </row>
    <row r="91" spans="1:26" s="12" customFormat="1" x14ac:dyDescent="0.25">
      <c r="A91" s="213" t="s">
        <v>1958</v>
      </c>
      <c r="B91" s="64">
        <v>33.31</v>
      </c>
      <c r="C91" s="64">
        <v>84.83</v>
      </c>
      <c r="D91" s="64">
        <v>116.03</v>
      </c>
      <c r="E91" s="64">
        <v>9.69</v>
      </c>
      <c r="F91" s="64">
        <v>2.13</v>
      </c>
      <c r="G91" s="64">
        <v>119.99</v>
      </c>
      <c r="H91" s="64">
        <v>31.12</v>
      </c>
      <c r="I91" s="214" t="s">
        <v>43</v>
      </c>
      <c r="J91" s="64">
        <v>0.36</v>
      </c>
      <c r="K91" s="64">
        <v>231.4</v>
      </c>
      <c r="L91" s="64">
        <v>20.88</v>
      </c>
      <c r="M91" s="64">
        <v>55.46</v>
      </c>
      <c r="N91" s="64">
        <v>65.599999999999994</v>
      </c>
      <c r="O91" s="64">
        <v>0</v>
      </c>
      <c r="P91" s="64">
        <v>1.87</v>
      </c>
      <c r="Q91" s="64">
        <v>9.4600000000000009</v>
      </c>
      <c r="R91" s="198"/>
      <c r="S91" s="198"/>
      <c r="T91" s="198"/>
      <c r="U91" s="198"/>
    </row>
    <row r="92" spans="1:26" s="12" customFormat="1" x14ac:dyDescent="0.25">
      <c r="A92" s="213" t="s">
        <v>1959</v>
      </c>
      <c r="B92" s="64">
        <v>39.229999999999997</v>
      </c>
      <c r="C92" s="64">
        <v>85.27</v>
      </c>
      <c r="D92" s="64">
        <v>122.4</v>
      </c>
      <c r="E92" s="64">
        <v>9.93</v>
      </c>
      <c r="F92" s="64">
        <v>2.13</v>
      </c>
      <c r="G92" s="64">
        <v>119.99</v>
      </c>
      <c r="H92" s="64">
        <v>31.12</v>
      </c>
      <c r="I92" s="214" t="s">
        <v>43</v>
      </c>
      <c r="J92" s="64">
        <v>0.45</v>
      </c>
      <c r="K92" s="64">
        <v>309.73</v>
      </c>
      <c r="L92" s="64">
        <v>20.48</v>
      </c>
      <c r="M92" s="64">
        <v>58.6</v>
      </c>
      <c r="N92" s="64">
        <v>65.599999999999994</v>
      </c>
      <c r="O92" s="64">
        <v>0</v>
      </c>
      <c r="P92" s="64">
        <v>2.12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3" t="s">
        <v>1960</v>
      </c>
      <c r="B93" s="64">
        <v>49.42</v>
      </c>
      <c r="C93" s="64">
        <v>86.28</v>
      </c>
      <c r="D93" s="64">
        <v>133.6</v>
      </c>
      <c r="E93" s="64">
        <v>10.59</v>
      </c>
      <c r="F93" s="64">
        <v>2.13</v>
      </c>
      <c r="G93" s="64">
        <v>132.56</v>
      </c>
      <c r="H93" s="64">
        <v>33.25</v>
      </c>
      <c r="I93" s="214" t="s">
        <v>43</v>
      </c>
      <c r="J93" s="64">
        <v>0.31</v>
      </c>
      <c r="K93" s="64">
        <v>294.37</v>
      </c>
      <c r="L93" s="64">
        <v>20.149999999999999</v>
      </c>
      <c r="M93" s="64">
        <v>60.45</v>
      </c>
      <c r="N93" s="64">
        <v>65.5</v>
      </c>
      <c r="O93" s="64">
        <v>0</v>
      </c>
      <c r="P93" s="64">
        <v>2.08</v>
      </c>
      <c r="Q93" s="64">
        <v>9.44</v>
      </c>
      <c r="R93" s="198"/>
      <c r="S93" s="198"/>
      <c r="T93" s="198"/>
      <c r="U93" s="198"/>
    </row>
    <row r="94" spans="1:26" s="12" customFormat="1" x14ac:dyDescent="0.25">
      <c r="A94" s="213" t="s">
        <v>1961</v>
      </c>
      <c r="B94" s="64">
        <v>60.19</v>
      </c>
      <c r="C94" s="64">
        <v>87.8</v>
      </c>
      <c r="D94" s="64">
        <v>145.88999999999999</v>
      </c>
      <c r="E94" s="64">
        <v>11.13</v>
      </c>
      <c r="F94" s="64">
        <v>2.13</v>
      </c>
      <c r="G94" s="64">
        <v>132.69999999999999</v>
      </c>
      <c r="H94" s="64">
        <v>33.270000000000003</v>
      </c>
      <c r="I94" s="214" t="s">
        <v>43</v>
      </c>
      <c r="J94" s="64">
        <v>0.23</v>
      </c>
      <c r="K94" s="64">
        <v>316.06</v>
      </c>
      <c r="L94" s="64">
        <v>19.86</v>
      </c>
      <c r="M94" s="64">
        <v>61.14</v>
      </c>
      <c r="N94" s="64">
        <v>65.400000000000006</v>
      </c>
      <c r="O94" s="64">
        <v>0</v>
      </c>
      <c r="P94" s="64">
        <v>2.1</v>
      </c>
      <c r="Q94" s="64">
        <v>9.4700000000000006</v>
      </c>
      <c r="R94" s="198"/>
      <c r="S94" s="198"/>
      <c r="T94" s="198"/>
      <c r="U94" s="198"/>
    </row>
    <row r="95" spans="1:26" s="12" customFormat="1" x14ac:dyDescent="0.25">
      <c r="A95" s="213" t="s">
        <v>1962</v>
      </c>
      <c r="B95" s="64">
        <v>70.8</v>
      </c>
      <c r="C95" s="64">
        <v>88.85</v>
      </c>
      <c r="D95" s="64">
        <v>157.54</v>
      </c>
      <c r="E95" s="64">
        <v>11.03</v>
      </c>
      <c r="F95" s="64">
        <v>2.13</v>
      </c>
      <c r="G95" s="64">
        <v>132.69999999999999</v>
      </c>
      <c r="H95" s="64">
        <v>33.270000000000003</v>
      </c>
      <c r="I95" s="214" t="s">
        <v>43</v>
      </c>
      <c r="J95" s="64">
        <v>0.19</v>
      </c>
      <c r="K95" s="64">
        <v>47.65</v>
      </c>
      <c r="L95" s="64">
        <v>19.809999999999999</v>
      </c>
      <c r="M95" s="64">
        <v>63.46</v>
      </c>
      <c r="N95" s="64">
        <v>65</v>
      </c>
      <c r="O95" s="64">
        <v>0</v>
      </c>
      <c r="P95" s="64">
        <v>2.14</v>
      </c>
      <c r="Q95" s="64">
        <v>9.51</v>
      </c>
      <c r="R95" s="198"/>
      <c r="S95" s="198"/>
      <c r="T95" s="198"/>
      <c r="U95" s="198"/>
    </row>
    <row r="96" spans="1:26" s="12" customFormat="1" x14ac:dyDescent="0.25">
      <c r="A96" s="213" t="s">
        <v>1963</v>
      </c>
      <c r="B96" s="64">
        <v>77.84</v>
      </c>
      <c r="C96" s="64">
        <v>89.43</v>
      </c>
      <c r="D96" s="64">
        <v>165.16</v>
      </c>
      <c r="E96" s="64">
        <v>10.92</v>
      </c>
      <c r="F96" s="64">
        <v>2.13</v>
      </c>
      <c r="G96" s="64">
        <v>132.69999999999999</v>
      </c>
      <c r="H96" s="64">
        <v>33.270000000000003</v>
      </c>
      <c r="I96" s="214" t="s">
        <v>43</v>
      </c>
      <c r="J96" s="64">
        <v>0.45</v>
      </c>
      <c r="K96" s="64">
        <v>237.65</v>
      </c>
      <c r="L96" s="64">
        <v>20.059999999999999</v>
      </c>
      <c r="M96" s="64">
        <v>59.07</v>
      </c>
      <c r="N96" s="64">
        <v>65.400000000000006</v>
      </c>
      <c r="O96" s="64">
        <v>0</v>
      </c>
      <c r="P96" s="64">
        <v>2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1964</v>
      </c>
      <c r="B97" s="64">
        <v>85.4</v>
      </c>
      <c r="C97" s="64">
        <v>89.82</v>
      </c>
      <c r="D97" s="64">
        <v>173.12</v>
      </c>
      <c r="E97" s="64">
        <v>11.1</v>
      </c>
      <c r="F97" s="64">
        <v>2.13</v>
      </c>
      <c r="G97" s="64">
        <v>156.31</v>
      </c>
      <c r="H97" s="64">
        <v>40.43</v>
      </c>
      <c r="I97" s="214" t="s">
        <v>43</v>
      </c>
      <c r="J97" s="64">
        <v>0.34</v>
      </c>
      <c r="K97" s="64">
        <v>27.07</v>
      </c>
      <c r="L97" s="64">
        <v>19.57</v>
      </c>
      <c r="M97" s="64">
        <v>66.47</v>
      </c>
      <c r="N97" s="64">
        <v>65.5</v>
      </c>
      <c r="O97" s="64">
        <v>0</v>
      </c>
      <c r="P97" s="64">
        <v>2.13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3" t="s">
        <v>1965</v>
      </c>
      <c r="B98" s="64">
        <v>92.89</v>
      </c>
      <c r="C98" s="64">
        <v>89.8</v>
      </c>
      <c r="D98" s="64">
        <v>180.59</v>
      </c>
      <c r="E98" s="64">
        <v>10.58</v>
      </c>
      <c r="F98" s="64">
        <v>2.13</v>
      </c>
      <c r="G98" s="64">
        <v>156.31</v>
      </c>
      <c r="H98" s="64">
        <v>40.43</v>
      </c>
      <c r="I98" s="214" t="s">
        <v>43</v>
      </c>
      <c r="J98" s="64">
        <v>0.55000000000000004</v>
      </c>
      <c r="K98" s="64">
        <v>71.78</v>
      </c>
      <c r="L98" s="64">
        <v>19.95</v>
      </c>
      <c r="M98" s="64">
        <v>55.72</v>
      </c>
      <c r="N98" s="64">
        <v>64.599999999999994</v>
      </c>
      <c r="O98" s="64">
        <v>0</v>
      </c>
      <c r="P98" s="64">
        <v>1.99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3" t="s">
        <v>1966</v>
      </c>
      <c r="B99" s="64">
        <v>96.29</v>
      </c>
      <c r="C99" s="64">
        <v>88.02</v>
      </c>
      <c r="D99" s="64">
        <v>182.21</v>
      </c>
      <c r="E99" s="64">
        <v>10.32</v>
      </c>
      <c r="F99" s="64">
        <v>2.13</v>
      </c>
      <c r="G99" s="64">
        <v>156.31</v>
      </c>
      <c r="H99" s="64">
        <v>40.43</v>
      </c>
      <c r="I99" s="214" t="s">
        <v>43</v>
      </c>
      <c r="J99" s="64">
        <v>0.34</v>
      </c>
      <c r="K99" s="64">
        <v>347.84</v>
      </c>
      <c r="L99" s="64">
        <v>20.100000000000001</v>
      </c>
      <c r="M99" s="64">
        <v>54.41</v>
      </c>
      <c r="N99" s="64">
        <v>65.400000000000006</v>
      </c>
      <c r="O99" s="64">
        <v>0</v>
      </c>
      <c r="P99" s="64">
        <v>1.77</v>
      </c>
      <c r="Q99" s="64">
        <v>9.7799999999999994</v>
      </c>
      <c r="R99" s="198"/>
      <c r="S99" s="198"/>
      <c r="T99" s="198"/>
      <c r="U99" s="198"/>
    </row>
    <row r="100" spans="1:33" s="12" customFormat="1" x14ac:dyDescent="0.25">
      <c r="A100" s="213" t="s">
        <v>1967</v>
      </c>
      <c r="B100" s="64">
        <v>96.73</v>
      </c>
      <c r="C100" s="64">
        <v>85.99</v>
      </c>
      <c r="D100" s="64">
        <v>180.61</v>
      </c>
      <c r="E100" s="64">
        <v>9.41</v>
      </c>
      <c r="F100" s="64">
        <v>2.13</v>
      </c>
      <c r="G100" s="64">
        <v>156.31</v>
      </c>
      <c r="H100" s="64">
        <v>40.43</v>
      </c>
      <c r="I100" s="214" t="s">
        <v>43</v>
      </c>
      <c r="J100" s="64">
        <v>0.56000000000000005</v>
      </c>
      <c r="K100" s="64">
        <v>303.23</v>
      </c>
      <c r="L100" s="64">
        <v>19.79</v>
      </c>
      <c r="M100" s="64">
        <v>54.49</v>
      </c>
      <c r="N100" s="64">
        <v>65.3</v>
      </c>
      <c r="O100" s="64">
        <v>0</v>
      </c>
      <c r="P100" s="64">
        <v>1.67</v>
      </c>
      <c r="Q100" s="64">
        <v>9.81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1968</v>
      </c>
      <c r="B101" s="64">
        <v>96.16</v>
      </c>
      <c r="C101" s="64">
        <v>86.44</v>
      </c>
      <c r="D101" s="64">
        <v>180.51</v>
      </c>
      <c r="E101" s="64">
        <v>9.86</v>
      </c>
      <c r="F101" s="64">
        <v>2.13</v>
      </c>
      <c r="G101" s="64">
        <v>131.57</v>
      </c>
      <c r="H101" s="64">
        <v>37.19</v>
      </c>
      <c r="I101" s="214" t="s">
        <v>43</v>
      </c>
      <c r="J101" s="64">
        <v>0.71</v>
      </c>
      <c r="K101" s="64">
        <v>325.70999999999998</v>
      </c>
      <c r="L101" s="64">
        <v>19.53</v>
      </c>
      <c r="M101" s="64">
        <v>58.99</v>
      </c>
      <c r="N101" s="64">
        <v>65.5</v>
      </c>
      <c r="O101" s="64">
        <v>0</v>
      </c>
      <c r="P101" s="64">
        <v>1.84</v>
      </c>
      <c r="Q101" s="64">
        <v>9.82</v>
      </c>
      <c r="R101" s="198"/>
      <c r="S101" s="198"/>
      <c r="T101" s="198"/>
      <c r="U101" s="198"/>
    </row>
    <row r="102" spans="1:33" s="12" customFormat="1" x14ac:dyDescent="0.25">
      <c r="A102" s="213" t="s">
        <v>1969</v>
      </c>
      <c r="B102" s="64">
        <v>94.99</v>
      </c>
      <c r="C102" s="64">
        <v>86.04</v>
      </c>
      <c r="D102" s="64">
        <v>178.93</v>
      </c>
      <c r="E102" s="64">
        <v>9.0500000000000007</v>
      </c>
      <c r="F102" s="64">
        <v>2.13</v>
      </c>
      <c r="G102" s="64">
        <v>131.57</v>
      </c>
      <c r="H102" s="64">
        <v>37.19</v>
      </c>
      <c r="I102" s="214" t="s">
        <v>43</v>
      </c>
      <c r="J102" s="64">
        <v>0.37</v>
      </c>
      <c r="K102" s="64">
        <v>194.45</v>
      </c>
      <c r="L102" s="64">
        <v>19.55</v>
      </c>
      <c r="M102" s="64">
        <v>52.39</v>
      </c>
      <c r="N102" s="64">
        <v>65.099999999999994</v>
      </c>
      <c r="O102" s="64">
        <v>0</v>
      </c>
      <c r="P102" s="64">
        <v>1.31</v>
      </c>
      <c r="Q102" s="64">
        <v>9.8000000000000007</v>
      </c>
      <c r="R102" s="198"/>
      <c r="S102" s="198"/>
      <c r="T102" s="198"/>
      <c r="U102" s="198"/>
    </row>
    <row r="103" spans="1:33" s="12" customFormat="1" x14ac:dyDescent="0.25">
      <c r="A103" s="213" t="s">
        <v>1970</v>
      </c>
      <c r="B103" s="64">
        <v>92.17</v>
      </c>
      <c r="C103" s="64">
        <v>85.49</v>
      </c>
      <c r="D103" s="64">
        <v>175.56</v>
      </c>
      <c r="E103" s="64">
        <v>9.36</v>
      </c>
      <c r="F103" s="64">
        <v>2.13</v>
      </c>
      <c r="G103" s="64">
        <v>131.57</v>
      </c>
      <c r="H103" s="64">
        <v>37.19</v>
      </c>
      <c r="I103" s="214" t="s">
        <v>43</v>
      </c>
      <c r="J103" s="64">
        <v>0.64</v>
      </c>
      <c r="K103" s="64">
        <v>288.13</v>
      </c>
      <c r="L103" s="64">
        <v>19.850000000000001</v>
      </c>
      <c r="M103" s="64">
        <v>49.38</v>
      </c>
      <c r="N103" s="64">
        <v>65.599999999999994</v>
      </c>
      <c r="O103" s="64">
        <v>0</v>
      </c>
      <c r="P103" s="64">
        <v>1.31</v>
      </c>
      <c r="Q103" s="64">
        <v>9.8000000000000007</v>
      </c>
      <c r="R103" s="198"/>
      <c r="S103" s="198"/>
      <c r="T103" s="198"/>
      <c r="U103" s="198"/>
    </row>
    <row r="104" spans="1:33" s="12" customFormat="1" x14ac:dyDescent="0.25">
      <c r="A104" s="213" t="s">
        <v>1971</v>
      </c>
      <c r="B104" s="64">
        <v>88.48</v>
      </c>
      <c r="C104" s="64">
        <v>84.91</v>
      </c>
      <c r="D104" s="64">
        <v>171.29</v>
      </c>
      <c r="E104" s="64">
        <v>7.43</v>
      </c>
      <c r="F104" s="64">
        <v>2.13</v>
      </c>
      <c r="G104" s="64">
        <v>131.57</v>
      </c>
      <c r="H104" s="64">
        <v>37.19</v>
      </c>
      <c r="I104" s="214" t="s">
        <v>43</v>
      </c>
      <c r="J104" s="64">
        <v>0.64</v>
      </c>
      <c r="K104" s="64">
        <v>271.58999999999997</v>
      </c>
      <c r="L104" s="64">
        <v>19.68</v>
      </c>
      <c r="M104" s="64">
        <v>50.39</v>
      </c>
      <c r="N104" s="64">
        <v>65.400000000000006</v>
      </c>
      <c r="O104" s="64">
        <v>0</v>
      </c>
      <c r="P104" s="64">
        <v>1.36</v>
      </c>
      <c r="Q104" s="64">
        <v>9.7899999999999991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3.54</v>
      </c>
      <c r="C106" s="67">
        <f>MIN(C9:C104)</f>
        <v>54.12</v>
      </c>
      <c r="D106" s="67">
        <f t="shared" ref="D106:Q106" si="0">MIN(D9:D104)</f>
        <v>61.64</v>
      </c>
      <c r="E106" s="67">
        <f t="shared" si="0"/>
        <v>5.41</v>
      </c>
      <c r="F106" s="67">
        <f t="shared" si="0"/>
        <v>0.04</v>
      </c>
      <c r="G106" s="67">
        <f t="shared" si="0"/>
        <v>71.06</v>
      </c>
      <c r="H106" s="67">
        <f t="shared" si="0"/>
        <v>22.67</v>
      </c>
      <c r="I106" s="67">
        <f t="shared" si="0"/>
        <v>0</v>
      </c>
      <c r="J106" s="67">
        <f t="shared" si="0"/>
        <v>0.02</v>
      </c>
      <c r="K106" s="67">
        <f t="shared" si="0"/>
        <v>2.59</v>
      </c>
      <c r="L106" s="67">
        <f t="shared" si="0"/>
        <v>15.13</v>
      </c>
      <c r="M106" s="67">
        <f t="shared" si="0"/>
        <v>25.42</v>
      </c>
      <c r="N106" s="67">
        <f t="shared" si="0"/>
        <v>63.1</v>
      </c>
      <c r="O106" s="67">
        <f t="shared" si="0"/>
        <v>0</v>
      </c>
      <c r="P106" s="67">
        <f t="shared" si="0"/>
        <v>0.49</v>
      </c>
      <c r="Q106" s="67">
        <f t="shared" si="0"/>
        <v>9.42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125.24</v>
      </c>
      <c r="C107" s="66">
        <f t="shared" ref="C107:Q107" si="1">MAX(C9:C104)</f>
        <v>92.43</v>
      </c>
      <c r="D107" s="66">
        <f t="shared" si="1"/>
        <v>182.21</v>
      </c>
      <c r="E107" s="66">
        <f t="shared" si="1"/>
        <v>40.67</v>
      </c>
      <c r="F107" s="66">
        <f t="shared" si="1"/>
        <v>46.14</v>
      </c>
      <c r="G107" s="66">
        <f t="shared" si="1"/>
        <v>221.66</v>
      </c>
      <c r="H107" s="66">
        <f t="shared" si="1"/>
        <v>68.56</v>
      </c>
      <c r="I107" s="66">
        <f t="shared" si="1"/>
        <v>0</v>
      </c>
      <c r="J107" s="66">
        <f t="shared" si="1"/>
        <v>1.75</v>
      </c>
      <c r="K107" s="66">
        <f t="shared" si="1"/>
        <v>352.6</v>
      </c>
      <c r="L107" s="66">
        <f t="shared" si="1"/>
        <v>31.8</v>
      </c>
      <c r="M107" s="66">
        <f t="shared" si="1"/>
        <v>74.39</v>
      </c>
      <c r="N107" s="66">
        <f t="shared" si="1"/>
        <v>794.5</v>
      </c>
      <c r="O107" s="66">
        <f t="shared" si="1"/>
        <v>0</v>
      </c>
      <c r="P107" s="66">
        <f t="shared" si="1"/>
        <v>2.17</v>
      </c>
      <c r="Q107" s="66">
        <f t="shared" si="1"/>
        <v>10.17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53.508369565217393</v>
      </c>
      <c r="C108" s="67">
        <f t="shared" ref="C108:Q108" si="2">AVERAGE(C9:C104)</f>
        <v>69.301847826086941</v>
      </c>
      <c r="D108" s="67">
        <f t="shared" si="2"/>
        <v>101.09847826086958</v>
      </c>
      <c r="E108" s="67">
        <f t="shared" si="2"/>
        <v>9.7030107526881739</v>
      </c>
      <c r="F108" s="67">
        <f t="shared" si="2"/>
        <v>4.5340624999999983</v>
      </c>
      <c r="G108" s="67">
        <f t="shared" si="2"/>
        <v>123.78706521739129</v>
      </c>
      <c r="H108" s="67">
        <f t="shared" si="2"/>
        <v>37.701739130434788</v>
      </c>
      <c r="I108" s="67" t="e">
        <f t="shared" si="2"/>
        <v>#DIV/0!</v>
      </c>
      <c r="J108" s="67">
        <f t="shared" si="2"/>
        <v>0.74187500000000028</v>
      </c>
      <c r="K108" s="67">
        <f t="shared" si="2"/>
        <v>255.37770833333335</v>
      </c>
      <c r="L108" s="67">
        <f t="shared" si="2"/>
        <v>22.545729166666671</v>
      </c>
      <c r="M108" s="67">
        <f t="shared" si="2"/>
        <v>48.956562499999997</v>
      </c>
      <c r="N108" s="67">
        <f t="shared" si="2"/>
        <v>247.2312499999999</v>
      </c>
      <c r="O108" s="67">
        <f t="shared" si="2"/>
        <v>0</v>
      </c>
      <c r="P108" s="67">
        <f t="shared" si="2"/>
        <v>1.2127956989247313</v>
      </c>
      <c r="Q108" s="67">
        <f t="shared" si="2"/>
        <v>9.720937499999998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40.724563159906531</v>
      </c>
      <c r="C109" s="67">
        <f t="shared" ref="C109:Q109" si="3">STDEV(C9:C104)</f>
        <v>11.862025004498967</v>
      </c>
      <c r="D109" s="67">
        <f t="shared" si="3"/>
        <v>31.49225465338046</v>
      </c>
      <c r="E109" s="67">
        <f t="shared" si="3"/>
        <v>3.6776897240529745</v>
      </c>
      <c r="F109" s="67">
        <f t="shared" si="3"/>
        <v>6.1668382375966564</v>
      </c>
      <c r="G109" s="67">
        <f t="shared" si="3"/>
        <v>35.959338072176919</v>
      </c>
      <c r="H109" s="67">
        <f t="shared" si="3"/>
        <v>10.355064016622059</v>
      </c>
      <c r="I109" s="67" t="e">
        <f t="shared" si="3"/>
        <v>#DIV/0!</v>
      </c>
      <c r="J109" s="67">
        <f t="shared" si="3"/>
        <v>0.38591330496287335</v>
      </c>
      <c r="K109" s="67">
        <f t="shared" si="3"/>
        <v>103.08427519552978</v>
      </c>
      <c r="L109" s="67">
        <f t="shared" si="3"/>
        <v>5.5271027424752326</v>
      </c>
      <c r="M109" s="67">
        <f t="shared" si="3"/>
        <v>16.524915786273208</v>
      </c>
      <c r="N109" s="67">
        <f t="shared" si="3"/>
        <v>261.45109125498226</v>
      </c>
      <c r="O109" s="67">
        <f t="shared" si="3"/>
        <v>0</v>
      </c>
      <c r="P109" s="67">
        <f t="shared" si="3"/>
        <v>0.45891262214490108</v>
      </c>
      <c r="Q109" s="67">
        <f t="shared" si="3"/>
        <v>0.22326325327549512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 t="shared" ref="C110:D110" si="4">COUNT(C9:C104)+4</f>
        <v>96</v>
      </c>
      <c r="D110" s="66">
        <f t="shared" si="4"/>
        <v>96</v>
      </c>
      <c r="E110" s="66">
        <f>COUNT(E9:E104)+3</f>
        <v>96</v>
      </c>
      <c r="F110" s="66">
        <f t="shared" ref="F110:Q110" si="5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0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>COUNT(P9:P104)+3</f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&lt;90%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LESS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1972</v>
      </c>
      <c r="B9" s="64">
        <v>84.65</v>
      </c>
      <c r="C9" s="64">
        <v>83.72</v>
      </c>
      <c r="D9" s="64">
        <v>166.27</v>
      </c>
      <c r="E9" s="64">
        <v>7.28</v>
      </c>
      <c r="F9" s="64">
        <v>2.13</v>
      </c>
      <c r="G9" s="64">
        <v>112.69</v>
      </c>
      <c r="H9" s="64">
        <v>34.81</v>
      </c>
      <c r="I9" s="214" t="s">
        <v>43</v>
      </c>
      <c r="J9" s="64">
        <v>0.5</v>
      </c>
      <c r="K9" s="64">
        <v>346.58</v>
      </c>
      <c r="L9" s="64">
        <v>18.87</v>
      </c>
      <c r="M9" s="64">
        <v>59.5</v>
      </c>
      <c r="N9" s="64">
        <v>66.2</v>
      </c>
      <c r="O9" s="64">
        <v>0</v>
      </c>
      <c r="P9" s="64">
        <v>1.51</v>
      </c>
      <c r="Q9" s="64">
        <v>9.81</v>
      </c>
      <c r="R9" s="198"/>
      <c r="S9" s="198"/>
      <c r="T9" s="198"/>
      <c r="U9" s="198"/>
    </row>
    <row r="10" spans="1:21" s="12" customFormat="1" x14ac:dyDescent="0.25">
      <c r="A10" s="213" t="s">
        <v>1973</v>
      </c>
      <c r="B10" s="64">
        <v>81.22</v>
      </c>
      <c r="C10" s="64">
        <v>82.1</v>
      </c>
      <c r="D10" s="64">
        <v>161.21</v>
      </c>
      <c r="E10" s="64">
        <v>7.05</v>
      </c>
      <c r="F10" s="64">
        <v>2.13</v>
      </c>
      <c r="G10" s="64">
        <v>112.69</v>
      </c>
      <c r="H10" s="64">
        <v>34.78</v>
      </c>
      <c r="I10" s="214" t="s">
        <v>43</v>
      </c>
      <c r="J10" s="64">
        <v>0.02</v>
      </c>
      <c r="K10" s="64">
        <v>249.44</v>
      </c>
      <c r="L10" s="64">
        <v>18.38</v>
      </c>
      <c r="M10" s="64">
        <v>57.13</v>
      </c>
      <c r="N10" s="64">
        <v>65.7</v>
      </c>
      <c r="O10" s="64">
        <v>0</v>
      </c>
      <c r="P10" s="64">
        <v>1.46</v>
      </c>
      <c r="Q10" s="64">
        <v>9.8000000000000007</v>
      </c>
      <c r="R10" s="198"/>
      <c r="S10" s="198"/>
      <c r="T10" s="198"/>
      <c r="U10" s="198"/>
    </row>
    <row r="11" spans="1:21" s="12" customFormat="1" x14ac:dyDescent="0.25">
      <c r="A11" s="213" t="s">
        <v>1974</v>
      </c>
      <c r="B11" s="64">
        <v>77.849999999999994</v>
      </c>
      <c r="C11" s="64">
        <v>77.94</v>
      </c>
      <c r="D11" s="64">
        <v>153.69</v>
      </c>
      <c r="E11" s="64">
        <v>7.48</v>
      </c>
      <c r="F11" s="64">
        <v>2.13</v>
      </c>
      <c r="G11" s="64">
        <v>112.69</v>
      </c>
      <c r="H11" s="64">
        <v>34.78</v>
      </c>
      <c r="I11" s="214" t="s">
        <v>43</v>
      </c>
      <c r="J11" s="64">
        <v>0.28000000000000003</v>
      </c>
      <c r="K11" s="64">
        <v>286.38</v>
      </c>
      <c r="L11" s="64">
        <v>18.28</v>
      </c>
      <c r="M11" s="64">
        <v>61.46</v>
      </c>
      <c r="N11" s="64">
        <v>65.7</v>
      </c>
      <c r="O11" s="64">
        <v>0</v>
      </c>
      <c r="P11" s="64">
        <v>1.71</v>
      </c>
      <c r="Q11" s="64">
        <v>9.82</v>
      </c>
      <c r="R11" s="198"/>
      <c r="S11" s="198"/>
      <c r="T11" s="198"/>
      <c r="U11" s="198"/>
    </row>
    <row r="12" spans="1:21" s="12" customFormat="1" x14ac:dyDescent="0.25">
      <c r="A12" s="213" t="s">
        <v>1975</v>
      </c>
      <c r="B12" s="64">
        <v>74.209999999999994</v>
      </c>
      <c r="C12" s="64">
        <v>77.41</v>
      </c>
      <c r="D12" s="64">
        <v>149.52000000000001</v>
      </c>
      <c r="E12" s="64">
        <v>6.95</v>
      </c>
      <c r="F12" s="64">
        <v>2.13</v>
      </c>
      <c r="G12" s="64">
        <v>112.69</v>
      </c>
      <c r="H12" s="64">
        <v>34.78</v>
      </c>
      <c r="I12" s="214" t="s">
        <v>43</v>
      </c>
      <c r="J12" s="64">
        <v>0.17</v>
      </c>
      <c r="K12" s="64">
        <v>23.87</v>
      </c>
      <c r="L12" s="64">
        <v>17.88</v>
      </c>
      <c r="M12" s="64">
        <v>65.3</v>
      </c>
      <c r="N12" s="64">
        <v>65.7</v>
      </c>
      <c r="O12" s="64">
        <v>0</v>
      </c>
      <c r="P12" s="64">
        <v>1.6</v>
      </c>
      <c r="Q12" s="64">
        <v>9.81</v>
      </c>
      <c r="R12" s="198"/>
      <c r="S12" s="198"/>
      <c r="T12" s="198"/>
      <c r="U12" s="198"/>
    </row>
    <row r="13" spans="1:21" s="12" customFormat="1" x14ac:dyDescent="0.25">
      <c r="A13" s="213" t="s">
        <v>1976</v>
      </c>
      <c r="B13" s="64">
        <v>70.36</v>
      </c>
      <c r="C13" s="64">
        <v>76.540000000000006</v>
      </c>
      <c r="D13" s="64">
        <v>144.80000000000001</v>
      </c>
      <c r="E13" s="64">
        <v>6.66</v>
      </c>
      <c r="F13" s="64">
        <v>2.13</v>
      </c>
      <c r="G13" s="64">
        <v>101.49</v>
      </c>
      <c r="H13" s="64">
        <v>35.369999999999997</v>
      </c>
      <c r="I13" s="214" t="s">
        <v>43</v>
      </c>
      <c r="J13" s="64">
        <v>0.73</v>
      </c>
      <c r="K13" s="64">
        <v>231.71</v>
      </c>
      <c r="L13" s="64">
        <v>18.16</v>
      </c>
      <c r="M13" s="64">
        <v>62.35</v>
      </c>
      <c r="N13" s="64">
        <v>65.3</v>
      </c>
      <c r="O13" s="64">
        <v>0</v>
      </c>
      <c r="P13" s="64">
        <v>1.43</v>
      </c>
      <c r="Q13" s="64">
        <v>9.7799999999999994</v>
      </c>
      <c r="R13" s="198"/>
      <c r="S13" s="198"/>
      <c r="T13" s="198"/>
      <c r="U13" s="198"/>
    </row>
    <row r="14" spans="1:21" s="12" customFormat="1" x14ac:dyDescent="0.25">
      <c r="A14" s="213" t="s">
        <v>1977</v>
      </c>
      <c r="B14" s="64">
        <v>66.42</v>
      </c>
      <c r="C14" s="64">
        <v>76.510000000000005</v>
      </c>
      <c r="D14" s="64">
        <v>140.83000000000001</v>
      </c>
      <c r="E14" s="64">
        <v>6.1</v>
      </c>
      <c r="F14" s="64">
        <v>2.13</v>
      </c>
      <c r="G14" s="64">
        <v>101.49</v>
      </c>
      <c r="H14" s="64">
        <v>35.369999999999997</v>
      </c>
      <c r="I14" s="214" t="s">
        <v>43</v>
      </c>
      <c r="J14" s="64">
        <v>0.88</v>
      </c>
      <c r="K14" s="64">
        <v>221.86</v>
      </c>
      <c r="L14" s="64">
        <v>18.149999999999999</v>
      </c>
      <c r="M14" s="64">
        <v>62.28</v>
      </c>
      <c r="N14" s="64">
        <v>65</v>
      </c>
      <c r="O14" s="64">
        <v>0</v>
      </c>
      <c r="P14" s="64">
        <v>1.36</v>
      </c>
      <c r="Q14" s="64">
        <v>9.75</v>
      </c>
      <c r="R14" s="198"/>
      <c r="S14" s="198"/>
      <c r="T14" s="198"/>
      <c r="U14" s="198"/>
    </row>
    <row r="15" spans="1:21" s="12" customFormat="1" x14ac:dyDescent="0.25">
      <c r="A15" s="213" t="s">
        <v>1978</v>
      </c>
      <c r="B15" s="64">
        <v>62.71</v>
      </c>
      <c r="C15" s="64">
        <v>76.23</v>
      </c>
      <c r="D15" s="64">
        <v>136.84</v>
      </c>
      <c r="E15" s="64">
        <v>6.4</v>
      </c>
      <c r="F15" s="64">
        <v>2.13</v>
      </c>
      <c r="G15" s="64">
        <v>101.49</v>
      </c>
      <c r="H15" s="64">
        <v>35.369999999999997</v>
      </c>
      <c r="I15" s="214" t="s">
        <v>43</v>
      </c>
      <c r="J15" s="64">
        <v>0.19</v>
      </c>
      <c r="K15" s="64">
        <v>345.64</v>
      </c>
      <c r="L15" s="64">
        <v>17.88</v>
      </c>
      <c r="M15" s="64">
        <v>64.69</v>
      </c>
      <c r="N15" s="64">
        <v>65.8</v>
      </c>
      <c r="O15" s="64">
        <v>0</v>
      </c>
      <c r="P15" s="64">
        <v>1.38</v>
      </c>
      <c r="Q15" s="64">
        <v>9.74</v>
      </c>
      <c r="R15" s="198"/>
      <c r="S15" s="198"/>
      <c r="T15" s="198"/>
      <c r="U15" s="198"/>
    </row>
    <row r="16" spans="1:21" s="12" customFormat="1" x14ac:dyDescent="0.25">
      <c r="A16" s="213" t="s">
        <v>1979</v>
      </c>
      <c r="B16" s="64">
        <v>59.67</v>
      </c>
      <c r="C16" s="64">
        <v>75.55</v>
      </c>
      <c r="D16" s="64">
        <v>133.12</v>
      </c>
      <c r="E16" s="64">
        <v>6</v>
      </c>
      <c r="F16" s="64">
        <v>2.13</v>
      </c>
      <c r="G16" s="64">
        <v>101.49</v>
      </c>
      <c r="H16" s="64">
        <v>35.369999999999997</v>
      </c>
      <c r="I16" s="214" t="s">
        <v>43</v>
      </c>
      <c r="J16" s="64">
        <v>0.17</v>
      </c>
      <c r="K16" s="64">
        <v>278.89</v>
      </c>
      <c r="L16" s="64">
        <v>17.38</v>
      </c>
      <c r="M16" s="64">
        <v>67.23</v>
      </c>
      <c r="N16" s="64">
        <v>65.8</v>
      </c>
      <c r="O16" s="64">
        <v>0</v>
      </c>
      <c r="P16" s="64">
        <v>1.33</v>
      </c>
      <c r="Q16" s="64">
        <v>9.7200000000000006</v>
      </c>
      <c r="R16" s="198"/>
      <c r="S16" s="198"/>
      <c r="T16" s="198"/>
      <c r="U16" s="198"/>
    </row>
    <row r="17" spans="1:21" s="12" customFormat="1" x14ac:dyDescent="0.25">
      <c r="A17" s="213" t="s">
        <v>1980</v>
      </c>
      <c r="B17" s="64">
        <v>57.66</v>
      </c>
      <c r="C17" s="64">
        <v>75.14</v>
      </c>
      <c r="D17" s="64">
        <v>130.69999999999999</v>
      </c>
      <c r="E17" s="64">
        <v>6.58</v>
      </c>
      <c r="F17" s="64">
        <v>2.13</v>
      </c>
      <c r="G17" s="64">
        <v>103.86</v>
      </c>
      <c r="H17" s="64">
        <v>34.28</v>
      </c>
      <c r="I17" s="214" t="s">
        <v>43</v>
      </c>
      <c r="J17" s="64">
        <v>0.65</v>
      </c>
      <c r="K17" s="64">
        <v>331.68</v>
      </c>
      <c r="L17" s="64">
        <v>17.04</v>
      </c>
      <c r="M17" s="64">
        <v>72.59</v>
      </c>
      <c r="N17" s="64">
        <v>65.8</v>
      </c>
      <c r="O17" s="64">
        <v>0</v>
      </c>
      <c r="P17" s="64">
        <v>1.3</v>
      </c>
      <c r="Q17" s="64">
        <v>9.6999999999999993</v>
      </c>
      <c r="R17" s="198"/>
      <c r="S17" s="198"/>
      <c r="T17" s="198"/>
      <c r="U17" s="198"/>
    </row>
    <row r="18" spans="1:21" s="12" customFormat="1" x14ac:dyDescent="0.25">
      <c r="A18" s="213" t="s">
        <v>1981</v>
      </c>
      <c r="B18" s="64">
        <v>55.21</v>
      </c>
      <c r="C18" s="64">
        <v>75.010000000000005</v>
      </c>
      <c r="D18" s="64">
        <v>128.13</v>
      </c>
      <c r="E18" s="64">
        <v>6.04</v>
      </c>
      <c r="F18" s="64">
        <v>2.13</v>
      </c>
      <c r="G18" s="64">
        <v>103.89</v>
      </c>
      <c r="H18" s="64">
        <v>34.270000000000003</v>
      </c>
      <c r="I18" s="214" t="s">
        <v>43</v>
      </c>
      <c r="J18" s="64">
        <v>0.45</v>
      </c>
      <c r="K18" s="64">
        <v>212.33</v>
      </c>
      <c r="L18" s="64">
        <v>16.97</v>
      </c>
      <c r="M18" s="64">
        <v>70.62</v>
      </c>
      <c r="N18" s="64">
        <v>65.5</v>
      </c>
      <c r="O18" s="64">
        <v>0</v>
      </c>
      <c r="P18" s="64">
        <v>1.22</v>
      </c>
      <c r="Q18" s="64">
        <v>9.69</v>
      </c>
      <c r="R18" s="198"/>
      <c r="S18" s="198"/>
      <c r="T18" s="198"/>
      <c r="U18" s="198"/>
    </row>
    <row r="19" spans="1:21" s="12" customFormat="1" x14ac:dyDescent="0.25">
      <c r="A19" s="213" t="s">
        <v>1982</v>
      </c>
      <c r="B19" s="64">
        <v>52.78</v>
      </c>
      <c r="C19" s="64">
        <v>73.97</v>
      </c>
      <c r="D19" s="64">
        <v>124.64</v>
      </c>
      <c r="E19" s="64">
        <v>5.78</v>
      </c>
      <c r="F19" s="64">
        <v>2.13</v>
      </c>
      <c r="G19" s="64">
        <v>103.89</v>
      </c>
      <c r="H19" s="64">
        <v>34.270000000000003</v>
      </c>
      <c r="I19" s="214" t="s">
        <v>43</v>
      </c>
      <c r="J19" s="64">
        <v>0.4</v>
      </c>
      <c r="K19" s="64">
        <v>319.14</v>
      </c>
      <c r="L19" s="64">
        <v>16.98</v>
      </c>
      <c r="M19" s="64">
        <v>73.23</v>
      </c>
      <c r="N19" s="64">
        <v>65.599999999999994</v>
      </c>
      <c r="O19" s="64">
        <v>0</v>
      </c>
      <c r="P19" s="64">
        <v>1.22</v>
      </c>
      <c r="Q19" s="64">
        <v>9.69</v>
      </c>
      <c r="R19" s="198"/>
      <c r="S19" s="198"/>
      <c r="T19" s="198"/>
      <c r="U19" s="198"/>
    </row>
    <row r="20" spans="1:21" s="12" customFormat="1" x14ac:dyDescent="0.25">
      <c r="A20" s="213" t="s">
        <v>1983</v>
      </c>
      <c r="B20" s="64">
        <v>50.58</v>
      </c>
      <c r="C20" s="64">
        <v>73.58</v>
      </c>
      <c r="D20" s="64">
        <v>122.07</v>
      </c>
      <c r="E20" s="64">
        <v>6.03</v>
      </c>
      <c r="F20" s="64">
        <v>2.13</v>
      </c>
      <c r="G20" s="64">
        <v>103.89</v>
      </c>
      <c r="H20" s="64">
        <v>34.270000000000003</v>
      </c>
      <c r="I20" s="214" t="s">
        <v>43</v>
      </c>
      <c r="J20" s="64">
        <v>0.53</v>
      </c>
      <c r="K20" s="64">
        <v>46.54</v>
      </c>
      <c r="L20" s="64">
        <v>16.78</v>
      </c>
      <c r="M20" s="64">
        <v>71.16</v>
      </c>
      <c r="N20" s="64">
        <v>65.7</v>
      </c>
      <c r="O20" s="64">
        <v>0</v>
      </c>
      <c r="P20" s="64">
        <v>1.19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3" t="s">
        <v>1984</v>
      </c>
      <c r="B21" s="64">
        <v>48.57</v>
      </c>
      <c r="C21" s="64">
        <v>71.3</v>
      </c>
      <c r="D21" s="64">
        <v>117.77</v>
      </c>
      <c r="E21" s="64">
        <v>6.24</v>
      </c>
      <c r="F21" s="64">
        <v>2.27</v>
      </c>
      <c r="G21" s="64">
        <v>132.43</v>
      </c>
      <c r="H21" s="64">
        <v>36.380000000000003</v>
      </c>
      <c r="I21" s="214" t="s">
        <v>43</v>
      </c>
      <c r="J21" s="64">
        <v>0.18</v>
      </c>
      <c r="K21" s="64">
        <v>268.27</v>
      </c>
      <c r="L21" s="64">
        <v>17.03</v>
      </c>
      <c r="M21" s="64">
        <v>69.25</v>
      </c>
      <c r="N21" s="64">
        <v>65.7</v>
      </c>
      <c r="O21" s="64">
        <v>0</v>
      </c>
      <c r="P21" s="64">
        <v>1.0900000000000001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3" t="s">
        <v>1985</v>
      </c>
      <c r="B22" s="64">
        <v>46.93</v>
      </c>
      <c r="C22" s="64">
        <v>71.42</v>
      </c>
      <c r="D22" s="64">
        <v>116.25</v>
      </c>
      <c r="E22" s="64">
        <v>6.53</v>
      </c>
      <c r="F22" s="64">
        <v>2.13</v>
      </c>
      <c r="G22" s="64">
        <v>132.75</v>
      </c>
      <c r="H22" s="64">
        <v>36.4</v>
      </c>
      <c r="I22" s="214" t="s">
        <v>43</v>
      </c>
      <c r="J22" s="64">
        <v>0.35</v>
      </c>
      <c r="K22" s="64">
        <v>260.61</v>
      </c>
      <c r="L22" s="64">
        <v>16.97</v>
      </c>
      <c r="M22" s="64">
        <v>72.650000000000006</v>
      </c>
      <c r="N22" s="64">
        <v>65.7</v>
      </c>
      <c r="O22" s="64">
        <v>0</v>
      </c>
      <c r="P22" s="64">
        <v>1.1299999999999999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3" t="s">
        <v>1986</v>
      </c>
      <c r="B23" s="64">
        <v>45.77</v>
      </c>
      <c r="C23" s="64">
        <v>71.53</v>
      </c>
      <c r="D23" s="64">
        <v>115.2</v>
      </c>
      <c r="E23" s="64">
        <v>6.22</v>
      </c>
      <c r="F23" s="64">
        <v>2.13</v>
      </c>
      <c r="G23" s="64">
        <v>132.75</v>
      </c>
      <c r="H23" s="64">
        <v>36.4</v>
      </c>
      <c r="I23" s="214" t="s">
        <v>43</v>
      </c>
      <c r="J23" s="64">
        <v>0.28000000000000003</v>
      </c>
      <c r="K23" s="64">
        <v>310.75</v>
      </c>
      <c r="L23" s="64">
        <v>16.86</v>
      </c>
      <c r="M23" s="64">
        <v>74.72</v>
      </c>
      <c r="N23" s="64">
        <v>65.5</v>
      </c>
      <c r="O23" s="64">
        <v>0</v>
      </c>
      <c r="P23" s="64">
        <v>1.1100000000000001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3" t="s">
        <v>1987</v>
      </c>
      <c r="B24" s="64">
        <v>44.65</v>
      </c>
      <c r="C24" s="64">
        <v>70.94</v>
      </c>
      <c r="D24" s="64">
        <v>113.49</v>
      </c>
      <c r="E24" s="64">
        <v>6.11</v>
      </c>
      <c r="F24" s="64">
        <v>2.15</v>
      </c>
      <c r="G24" s="64">
        <v>132.75</v>
      </c>
      <c r="H24" s="64">
        <v>36.4</v>
      </c>
      <c r="I24" s="214" t="s">
        <v>43</v>
      </c>
      <c r="J24" s="64">
        <v>0.59</v>
      </c>
      <c r="K24" s="64">
        <v>344.56</v>
      </c>
      <c r="L24" s="64">
        <v>16.75</v>
      </c>
      <c r="M24" s="64">
        <v>74.5</v>
      </c>
      <c r="N24" s="64">
        <v>65.2</v>
      </c>
      <c r="O24" s="64">
        <v>0</v>
      </c>
      <c r="P24" s="64">
        <v>1.1499999999999999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3" t="s">
        <v>1988</v>
      </c>
      <c r="B25" s="64">
        <v>43.09</v>
      </c>
      <c r="C25" s="64">
        <v>70.8</v>
      </c>
      <c r="D25" s="64">
        <v>111.78</v>
      </c>
      <c r="E25" s="64">
        <v>6.98</v>
      </c>
      <c r="F25" s="64">
        <v>2.13</v>
      </c>
      <c r="G25" s="64">
        <v>158.81</v>
      </c>
      <c r="H25" s="64">
        <v>40.47</v>
      </c>
      <c r="I25" s="214" t="s">
        <v>43</v>
      </c>
      <c r="J25" s="64">
        <v>1.0900000000000001</v>
      </c>
      <c r="K25" s="64">
        <v>0.93</v>
      </c>
      <c r="L25" s="64">
        <v>17.04</v>
      </c>
      <c r="M25" s="64">
        <v>68.599999999999994</v>
      </c>
      <c r="N25" s="64">
        <v>64.8</v>
      </c>
      <c r="O25" s="64">
        <v>0</v>
      </c>
      <c r="P25" s="64">
        <v>1.1299999999999999</v>
      </c>
      <c r="Q25" s="64">
        <v>9.59</v>
      </c>
      <c r="R25" s="198"/>
      <c r="S25" s="198"/>
      <c r="T25" s="198"/>
      <c r="U25" s="198"/>
    </row>
    <row r="26" spans="1:21" s="12" customFormat="1" x14ac:dyDescent="0.25">
      <c r="A26" s="213" t="s">
        <v>1989</v>
      </c>
      <c r="B26" s="64">
        <v>41.76</v>
      </c>
      <c r="C26" s="64">
        <v>70.55</v>
      </c>
      <c r="D26" s="64">
        <v>110.22</v>
      </c>
      <c r="E26" s="64">
        <v>7.13</v>
      </c>
      <c r="F26" s="64">
        <v>2.13</v>
      </c>
      <c r="G26" s="64">
        <v>159.1</v>
      </c>
      <c r="H26" s="64">
        <v>40.520000000000003</v>
      </c>
      <c r="I26" s="214" t="s">
        <v>43</v>
      </c>
      <c r="J26" s="64">
        <v>0.17</v>
      </c>
      <c r="K26" s="64">
        <v>34.11</v>
      </c>
      <c r="L26" s="64">
        <v>17.09</v>
      </c>
      <c r="M26" s="64">
        <v>69.75</v>
      </c>
      <c r="N26" s="64">
        <v>65.7</v>
      </c>
      <c r="O26" s="64">
        <v>0</v>
      </c>
      <c r="P26" s="64">
        <v>1.1599999999999999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13" t="s">
        <v>1990</v>
      </c>
      <c r="B27" s="64">
        <v>41.1</v>
      </c>
      <c r="C27" s="64">
        <v>70.33</v>
      </c>
      <c r="D27" s="64">
        <v>109.33</v>
      </c>
      <c r="E27" s="64">
        <v>7.2</v>
      </c>
      <c r="F27" s="64">
        <v>2.13</v>
      </c>
      <c r="G27" s="64">
        <v>159.1</v>
      </c>
      <c r="H27" s="64">
        <v>40.520000000000003</v>
      </c>
      <c r="I27" s="214" t="s">
        <v>43</v>
      </c>
      <c r="J27" s="64">
        <v>0.53</v>
      </c>
      <c r="K27" s="64">
        <v>52.68</v>
      </c>
      <c r="L27" s="64">
        <v>17.149999999999999</v>
      </c>
      <c r="M27" s="64">
        <v>67.66</v>
      </c>
      <c r="N27" s="64">
        <v>65.5</v>
      </c>
      <c r="O27" s="64">
        <v>0</v>
      </c>
      <c r="P27" s="64">
        <v>1.17</v>
      </c>
      <c r="Q27" s="64">
        <v>9.56</v>
      </c>
      <c r="R27" s="198"/>
      <c r="S27" s="198"/>
      <c r="T27" s="198"/>
      <c r="U27" s="198"/>
    </row>
    <row r="28" spans="1:21" s="12" customFormat="1" x14ac:dyDescent="0.25">
      <c r="A28" s="213" t="s">
        <v>1991</v>
      </c>
      <c r="B28" s="64">
        <v>40.32</v>
      </c>
      <c r="C28" s="64">
        <v>70.89</v>
      </c>
      <c r="D28" s="64">
        <v>109.1</v>
      </c>
      <c r="E28" s="64">
        <v>7.4</v>
      </c>
      <c r="F28" s="64">
        <v>2.13</v>
      </c>
      <c r="G28" s="64">
        <v>159.1</v>
      </c>
      <c r="H28" s="64">
        <v>40.520000000000003</v>
      </c>
      <c r="I28" s="214" t="s">
        <v>43</v>
      </c>
      <c r="J28" s="64">
        <v>0.94</v>
      </c>
      <c r="K28" s="64">
        <v>4.2699999999999996</v>
      </c>
      <c r="L28" s="64">
        <v>17.18</v>
      </c>
      <c r="M28" s="64">
        <v>65.94</v>
      </c>
      <c r="N28" s="64">
        <v>65.2</v>
      </c>
      <c r="O28" s="64">
        <v>0</v>
      </c>
      <c r="P28" s="64">
        <v>1.1599999999999999</v>
      </c>
      <c r="Q28" s="64">
        <v>9.58</v>
      </c>
      <c r="R28" s="198"/>
      <c r="S28" s="198"/>
      <c r="T28" s="198"/>
      <c r="U28" s="198"/>
    </row>
    <row r="29" spans="1:21" s="12" customFormat="1" x14ac:dyDescent="0.25">
      <c r="A29" s="213" t="s">
        <v>1992</v>
      </c>
      <c r="B29" s="64">
        <v>39.6</v>
      </c>
      <c r="C29" s="64">
        <v>72.58</v>
      </c>
      <c r="D29" s="64">
        <v>110.09</v>
      </c>
      <c r="E29" s="64">
        <v>7.64</v>
      </c>
      <c r="F29" s="64">
        <v>2.13</v>
      </c>
      <c r="G29" s="64">
        <v>189.33</v>
      </c>
      <c r="H29" s="64">
        <v>51.98</v>
      </c>
      <c r="I29" s="214" t="s">
        <v>43</v>
      </c>
      <c r="J29" s="64">
        <v>0.72</v>
      </c>
      <c r="K29" s="64">
        <v>13.74</v>
      </c>
      <c r="L29" s="64">
        <v>17.2</v>
      </c>
      <c r="M29" s="64">
        <v>64.69</v>
      </c>
      <c r="N29" s="64">
        <v>65.400000000000006</v>
      </c>
      <c r="O29" s="64">
        <v>0</v>
      </c>
      <c r="P29" s="64">
        <v>1.1499999999999999</v>
      </c>
      <c r="Q29" s="64">
        <v>9.57</v>
      </c>
      <c r="R29" s="198"/>
      <c r="S29" s="198"/>
      <c r="T29" s="198"/>
      <c r="U29" s="198"/>
    </row>
    <row r="30" spans="1:21" s="12" customFormat="1" x14ac:dyDescent="0.25">
      <c r="A30" s="213" t="s">
        <v>1993</v>
      </c>
      <c r="B30" s="64">
        <v>38.520000000000003</v>
      </c>
      <c r="C30" s="64">
        <v>71.66</v>
      </c>
      <c r="D30" s="64">
        <v>108.07</v>
      </c>
      <c r="E30" s="64">
        <v>7.45</v>
      </c>
      <c r="F30" s="64">
        <v>2.13</v>
      </c>
      <c r="G30" s="64">
        <v>189.67</v>
      </c>
      <c r="H30" s="64">
        <v>52.11</v>
      </c>
      <c r="I30" s="214" t="s">
        <v>43</v>
      </c>
      <c r="J30" s="64">
        <v>1.17</v>
      </c>
      <c r="K30" s="64">
        <v>0.56999999999999995</v>
      </c>
      <c r="L30" s="64">
        <v>17.329999999999998</v>
      </c>
      <c r="M30" s="64">
        <v>62.43</v>
      </c>
      <c r="N30" s="64">
        <v>65.2</v>
      </c>
      <c r="O30" s="64">
        <v>0</v>
      </c>
      <c r="P30" s="64">
        <v>1.1200000000000001</v>
      </c>
      <c r="Q30" s="64">
        <v>9.56</v>
      </c>
      <c r="R30" s="198"/>
      <c r="S30" s="198"/>
      <c r="T30" s="198"/>
      <c r="U30" s="198"/>
    </row>
    <row r="31" spans="1:21" s="12" customFormat="1" x14ac:dyDescent="0.25">
      <c r="A31" s="213" t="s">
        <v>1994</v>
      </c>
      <c r="B31" s="64">
        <v>36.61</v>
      </c>
      <c r="C31" s="64">
        <v>71.12</v>
      </c>
      <c r="D31" s="64">
        <v>105.63</v>
      </c>
      <c r="E31" s="64">
        <v>7.53</v>
      </c>
      <c r="F31" s="64">
        <v>2.13</v>
      </c>
      <c r="G31" s="64">
        <v>189.67</v>
      </c>
      <c r="H31" s="64">
        <v>52.11</v>
      </c>
      <c r="I31" s="214" t="s">
        <v>43</v>
      </c>
      <c r="J31" s="64">
        <v>0.56000000000000005</v>
      </c>
      <c r="K31" s="64">
        <v>322.83</v>
      </c>
      <c r="L31" s="64">
        <v>17.54</v>
      </c>
      <c r="M31" s="64">
        <v>60.12</v>
      </c>
      <c r="N31" s="64">
        <v>65.900000000000006</v>
      </c>
      <c r="O31" s="64">
        <v>0</v>
      </c>
      <c r="P31" s="64">
        <v>1.1000000000000001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3" t="s">
        <v>1995</v>
      </c>
      <c r="B32" s="64">
        <v>35.06</v>
      </c>
      <c r="C32" s="64">
        <v>71.260000000000005</v>
      </c>
      <c r="D32" s="64">
        <v>104.22</v>
      </c>
      <c r="E32" s="64">
        <v>7.2</v>
      </c>
      <c r="F32" s="64">
        <v>2.13</v>
      </c>
      <c r="G32" s="64">
        <v>189.67</v>
      </c>
      <c r="H32" s="64">
        <v>52.11</v>
      </c>
      <c r="I32" s="214" t="s">
        <v>43</v>
      </c>
      <c r="J32" s="64">
        <v>0.32</v>
      </c>
      <c r="K32" s="64">
        <v>250.06</v>
      </c>
      <c r="L32" s="64">
        <v>17.25</v>
      </c>
      <c r="M32" s="64">
        <v>61.78</v>
      </c>
      <c r="N32" s="64">
        <v>66.099999999999994</v>
      </c>
      <c r="O32" s="64">
        <v>0</v>
      </c>
      <c r="P32" s="64">
        <v>1.05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3" t="s">
        <v>1996</v>
      </c>
      <c r="B33" s="64">
        <v>34.119999999999997</v>
      </c>
      <c r="C33" s="64">
        <v>71.56</v>
      </c>
      <c r="D33" s="64">
        <v>103.57</v>
      </c>
      <c r="E33" s="64">
        <v>6.88</v>
      </c>
      <c r="F33" s="64">
        <v>2.13</v>
      </c>
      <c r="G33" s="64">
        <v>158.35</v>
      </c>
      <c r="H33" s="64">
        <v>53.92</v>
      </c>
      <c r="I33" s="214" t="s">
        <v>43</v>
      </c>
      <c r="J33" s="64">
        <v>0.64</v>
      </c>
      <c r="K33" s="64">
        <v>219.22</v>
      </c>
      <c r="L33" s="64">
        <v>17.25</v>
      </c>
      <c r="M33" s="64">
        <v>63.34</v>
      </c>
      <c r="N33" s="64">
        <v>65.7</v>
      </c>
      <c r="O33" s="64">
        <v>0</v>
      </c>
      <c r="P33" s="64">
        <v>1.08</v>
      </c>
      <c r="Q33" s="64">
        <v>9.58</v>
      </c>
      <c r="R33" s="198"/>
      <c r="S33" s="198"/>
      <c r="T33" s="198"/>
      <c r="U33" s="198"/>
    </row>
    <row r="34" spans="1:21" s="12" customFormat="1" x14ac:dyDescent="0.25">
      <c r="A34" s="213" t="s">
        <v>1997</v>
      </c>
      <c r="B34" s="64">
        <v>34.51</v>
      </c>
      <c r="C34" s="64">
        <v>72.08</v>
      </c>
      <c r="D34" s="64">
        <v>104.49</v>
      </c>
      <c r="E34" s="64">
        <v>7.13</v>
      </c>
      <c r="F34" s="64">
        <v>2.13</v>
      </c>
      <c r="G34" s="64">
        <v>158</v>
      </c>
      <c r="H34" s="64">
        <v>53.94</v>
      </c>
      <c r="I34" s="214" t="s">
        <v>43</v>
      </c>
      <c r="J34" s="64">
        <v>0.82</v>
      </c>
      <c r="K34" s="64">
        <v>183.81</v>
      </c>
      <c r="L34" s="64">
        <v>16.91</v>
      </c>
      <c r="M34" s="64">
        <v>71.180000000000007</v>
      </c>
      <c r="N34" s="64">
        <v>67.7</v>
      </c>
      <c r="O34" s="64">
        <v>0</v>
      </c>
      <c r="P34" s="64">
        <v>1.07</v>
      </c>
      <c r="Q34" s="64">
        <v>9.57</v>
      </c>
      <c r="R34" s="198"/>
      <c r="S34" s="198"/>
      <c r="T34" s="198"/>
      <c r="U34" s="198"/>
    </row>
    <row r="35" spans="1:21" s="12" customFormat="1" x14ac:dyDescent="0.25">
      <c r="A35" s="213" t="s">
        <v>1998</v>
      </c>
      <c r="B35" s="64">
        <v>35.22</v>
      </c>
      <c r="C35" s="64">
        <v>71.66</v>
      </c>
      <c r="D35" s="64">
        <v>104.78</v>
      </c>
      <c r="E35" s="64">
        <v>7.01</v>
      </c>
      <c r="F35" s="64">
        <v>2.13</v>
      </c>
      <c r="G35" s="64">
        <v>158</v>
      </c>
      <c r="H35" s="64">
        <v>53.94</v>
      </c>
      <c r="I35" s="214" t="s">
        <v>43</v>
      </c>
      <c r="J35" s="64">
        <v>0.86</v>
      </c>
      <c r="K35" s="64">
        <v>218.16</v>
      </c>
      <c r="L35" s="64">
        <v>16.41</v>
      </c>
      <c r="M35" s="64">
        <v>77.5</v>
      </c>
      <c r="N35" s="64">
        <v>75.2</v>
      </c>
      <c r="O35" s="64">
        <v>0</v>
      </c>
      <c r="P35" s="64">
        <v>1.0900000000000001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13" t="s">
        <v>1999</v>
      </c>
      <c r="B36" s="64">
        <v>36.020000000000003</v>
      </c>
      <c r="C36" s="64">
        <v>71.010000000000005</v>
      </c>
      <c r="D36" s="64">
        <v>104.93</v>
      </c>
      <c r="E36" s="64">
        <v>7.64</v>
      </c>
      <c r="F36" s="64">
        <v>2.13</v>
      </c>
      <c r="G36" s="64">
        <v>158</v>
      </c>
      <c r="H36" s="64">
        <v>53.94</v>
      </c>
      <c r="I36" s="214" t="s">
        <v>43</v>
      </c>
      <c r="J36" s="64">
        <v>0.94</v>
      </c>
      <c r="K36" s="64">
        <v>203.25</v>
      </c>
      <c r="L36" s="64">
        <v>16.329999999999998</v>
      </c>
      <c r="M36" s="64">
        <v>78.89</v>
      </c>
      <c r="N36" s="64">
        <v>89.3</v>
      </c>
      <c r="O36" s="64">
        <v>0</v>
      </c>
      <c r="P36" s="64">
        <v>1.0900000000000001</v>
      </c>
      <c r="Q36" s="64">
        <v>9.56</v>
      </c>
      <c r="R36" s="198"/>
      <c r="S36" s="198"/>
      <c r="T36" s="198"/>
      <c r="U36" s="198"/>
    </row>
    <row r="37" spans="1:21" s="12" customFormat="1" x14ac:dyDescent="0.25">
      <c r="A37" s="213" t="s">
        <v>2000</v>
      </c>
      <c r="B37" s="64">
        <v>36.58</v>
      </c>
      <c r="C37" s="64">
        <v>69.69</v>
      </c>
      <c r="D37" s="64">
        <v>104.17</v>
      </c>
      <c r="E37" s="64">
        <v>7.31</v>
      </c>
      <c r="F37" s="64">
        <v>2.13</v>
      </c>
      <c r="G37" s="64">
        <v>172.19</v>
      </c>
      <c r="H37" s="64">
        <v>53.69</v>
      </c>
      <c r="I37" s="214" t="s">
        <v>43</v>
      </c>
      <c r="J37" s="64">
        <v>0.57999999999999996</v>
      </c>
      <c r="K37" s="64">
        <v>188.4</v>
      </c>
      <c r="L37" s="64">
        <v>16.37</v>
      </c>
      <c r="M37" s="64">
        <v>79.58</v>
      </c>
      <c r="N37" s="64">
        <v>114.2</v>
      </c>
      <c r="O37" s="64">
        <v>0</v>
      </c>
      <c r="P37" s="64">
        <v>1.1299999999999999</v>
      </c>
      <c r="Q37" s="64">
        <v>9.58</v>
      </c>
      <c r="R37" s="198"/>
      <c r="S37" s="198"/>
      <c r="T37" s="198"/>
      <c r="U37" s="198"/>
    </row>
    <row r="38" spans="1:21" s="12" customFormat="1" x14ac:dyDescent="0.25">
      <c r="A38" s="213" t="s">
        <v>2001</v>
      </c>
      <c r="B38" s="64">
        <v>37.65</v>
      </c>
      <c r="C38" s="64">
        <v>68.56</v>
      </c>
      <c r="D38" s="64">
        <v>104.12</v>
      </c>
      <c r="E38" s="64">
        <v>7.67</v>
      </c>
      <c r="F38" s="64">
        <v>2.13</v>
      </c>
      <c r="G38" s="64">
        <v>172.35</v>
      </c>
      <c r="H38" s="64">
        <v>53.68</v>
      </c>
      <c r="I38" s="214" t="s">
        <v>43</v>
      </c>
      <c r="J38" s="64">
        <v>0.2</v>
      </c>
      <c r="K38" s="64">
        <v>51.31</v>
      </c>
      <c r="L38" s="64">
        <v>17.28</v>
      </c>
      <c r="M38" s="64">
        <v>75.61</v>
      </c>
      <c r="N38" s="64">
        <v>151.6</v>
      </c>
      <c r="O38" s="64">
        <v>0</v>
      </c>
      <c r="P38" s="64">
        <v>1.25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3" t="s">
        <v>2002</v>
      </c>
      <c r="B39" s="64">
        <v>39.549999999999997</v>
      </c>
      <c r="C39" s="64">
        <v>65.53</v>
      </c>
      <c r="D39" s="64">
        <v>102.98</v>
      </c>
      <c r="E39" s="64">
        <v>7.74</v>
      </c>
      <c r="F39" s="64">
        <v>2.13</v>
      </c>
      <c r="G39" s="64">
        <v>172.35</v>
      </c>
      <c r="H39" s="64">
        <v>53.68</v>
      </c>
      <c r="I39" s="214" t="s">
        <v>43</v>
      </c>
      <c r="J39" s="64">
        <v>1.03</v>
      </c>
      <c r="K39" s="64">
        <v>328.76</v>
      </c>
      <c r="L39" s="64">
        <v>19.010000000000002</v>
      </c>
      <c r="M39" s="64">
        <v>66.05</v>
      </c>
      <c r="N39" s="64">
        <v>188.5</v>
      </c>
      <c r="O39" s="64">
        <v>0</v>
      </c>
      <c r="P39" s="64">
        <v>1.25</v>
      </c>
      <c r="Q39" s="64">
        <v>9.58</v>
      </c>
      <c r="R39" s="198"/>
      <c r="S39" s="198"/>
      <c r="T39" s="198"/>
      <c r="U39" s="198"/>
    </row>
    <row r="40" spans="1:21" s="12" customFormat="1" x14ac:dyDescent="0.25">
      <c r="A40" s="213" t="s">
        <v>2003</v>
      </c>
      <c r="B40" s="64">
        <v>41.14</v>
      </c>
      <c r="C40" s="64">
        <v>67.44</v>
      </c>
      <c r="D40" s="64">
        <v>106.49</v>
      </c>
      <c r="E40" s="64">
        <v>8.39</v>
      </c>
      <c r="F40" s="64">
        <v>2.13</v>
      </c>
      <c r="G40" s="64">
        <v>172.35</v>
      </c>
      <c r="H40" s="64">
        <v>53.68</v>
      </c>
      <c r="I40" s="214" t="s">
        <v>43</v>
      </c>
      <c r="J40" s="64">
        <v>0.87</v>
      </c>
      <c r="K40" s="64">
        <v>304.77999999999997</v>
      </c>
      <c r="L40" s="64">
        <v>20.91</v>
      </c>
      <c r="M40" s="64">
        <v>57.99</v>
      </c>
      <c r="N40" s="64">
        <v>225.9</v>
      </c>
      <c r="O40" s="64">
        <v>0</v>
      </c>
      <c r="P40" s="64">
        <v>1.35</v>
      </c>
      <c r="Q40" s="64">
        <v>9.57</v>
      </c>
      <c r="R40" s="198"/>
      <c r="S40" s="198"/>
      <c r="T40" s="198"/>
      <c r="U40" s="198"/>
    </row>
    <row r="41" spans="1:21" s="12" customFormat="1" x14ac:dyDescent="0.25">
      <c r="A41" s="213" t="s">
        <v>2004</v>
      </c>
      <c r="B41" s="64">
        <v>42.54</v>
      </c>
      <c r="C41" s="64">
        <v>69</v>
      </c>
      <c r="D41" s="64">
        <v>109.44</v>
      </c>
      <c r="E41" s="64">
        <v>9.25</v>
      </c>
      <c r="F41" s="64">
        <v>2.13</v>
      </c>
      <c r="G41" s="64">
        <v>212.18</v>
      </c>
      <c r="H41" s="64">
        <v>57.69</v>
      </c>
      <c r="I41" s="214" t="s">
        <v>43</v>
      </c>
      <c r="J41" s="64">
        <v>0.75</v>
      </c>
      <c r="K41" s="64">
        <v>312.08</v>
      </c>
      <c r="L41" s="64">
        <v>22.21</v>
      </c>
      <c r="M41" s="64">
        <v>52.84</v>
      </c>
      <c r="N41" s="64">
        <v>261</v>
      </c>
      <c r="O41" s="64">
        <v>0</v>
      </c>
      <c r="P41" s="64">
        <v>1.31</v>
      </c>
      <c r="Q41" s="64">
        <v>9.5500000000000007</v>
      </c>
      <c r="R41" s="198"/>
      <c r="S41" s="198"/>
      <c r="T41" s="198"/>
      <c r="U41" s="198"/>
    </row>
    <row r="42" spans="1:21" s="12" customFormat="1" x14ac:dyDescent="0.25">
      <c r="A42" s="213" t="s">
        <v>2005</v>
      </c>
      <c r="B42" s="64">
        <v>43.64</v>
      </c>
      <c r="C42" s="64">
        <v>69.88</v>
      </c>
      <c r="D42" s="64">
        <v>111.42</v>
      </c>
      <c r="E42" s="64">
        <v>9.4499999999999993</v>
      </c>
      <c r="F42" s="64">
        <v>2.13</v>
      </c>
      <c r="G42" s="64">
        <v>212.63</v>
      </c>
      <c r="H42" s="64">
        <v>57.73</v>
      </c>
      <c r="I42" s="214" t="s">
        <v>43</v>
      </c>
      <c r="J42" s="64">
        <v>1.02</v>
      </c>
      <c r="K42" s="64">
        <v>324.14999999999998</v>
      </c>
      <c r="L42" s="64">
        <v>23.34</v>
      </c>
      <c r="M42" s="64">
        <v>49.61</v>
      </c>
      <c r="N42" s="64">
        <v>297.7</v>
      </c>
      <c r="O42" s="64">
        <v>0</v>
      </c>
      <c r="P42" s="64">
        <v>1.43</v>
      </c>
      <c r="Q42" s="64">
        <v>9.56</v>
      </c>
      <c r="R42" s="198"/>
      <c r="S42" s="198"/>
      <c r="T42" s="198"/>
      <c r="U42" s="198"/>
    </row>
    <row r="43" spans="1:21" s="12" customFormat="1" x14ac:dyDescent="0.25">
      <c r="A43" s="213" t="s">
        <v>2006</v>
      </c>
      <c r="B43" s="64">
        <v>44.8</v>
      </c>
      <c r="C43" s="64">
        <v>71.37</v>
      </c>
      <c r="D43" s="64">
        <v>114.07</v>
      </c>
      <c r="E43" s="64">
        <v>9.61</v>
      </c>
      <c r="F43" s="64">
        <v>2.13</v>
      </c>
      <c r="G43" s="64">
        <v>212.63</v>
      </c>
      <c r="H43" s="64">
        <v>57.73</v>
      </c>
      <c r="I43" s="214" t="s">
        <v>43</v>
      </c>
      <c r="J43" s="64">
        <v>1.1599999999999999</v>
      </c>
      <c r="K43" s="64">
        <v>343.23</v>
      </c>
      <c r="L43" s="64">
        <v>24.45</v>
      </c>
      <c r="M43" s="64">
        <v>46.21</v>
      </c>
      <c r="N43" s="64">
        <v>339</v>
      </c>
      <c r="O43" s="64">
        <v>0</v>
      </c>
      <c r="P43" s="64">
        <v>1.41</v>
      </c>
      <c r="Q43" s="64">
        <v>9.5399999999999991</v>
      </c>
      <c r="R43" s="198"/>
      <c r="S43" s="198"/>
      <c r="T43" s="198"/>
      <c r="U43" s="198"/>
    </row>
    <row r="44" spans="1:21" s="12" customFormat="1" x14ac:dyDescent="0.25">
      <c r="A44" s="213" t="s">
        <v>2007</v>
      </c>
      <c r="B44" s="64">
        <v>46.55</v>
      </c>
      <c r="C44" s="64">
        <v>73.08</v>
      </c>
      <c r="D44" s="64">
        <v>117.53</v>
      </c>
      <c r="E44" s="64">
        <v>9.85</v>
      </c>
      <c r="F44" s="64">
        <v>2.13</v>
      </c>
      <c r="G44" s="64">
        <v>212.63</v>
      </c>
      <c r="H44" s="64">
        <v>57.73</v>
      </c>
      <c r="I44" s="214" t="s">
        <v>43</v>
      </c>
      <c r="J44" s="64">
        <v>0.96</v>
      </c>
      <c r="K44" s="64">
        <v>337.14</v>
      </c>
      <c r="L44" s="64">
        <v>25.34</v>
      </c>
      <c r="M44" s="64">
        <v>43.8</v>
      </c>
      <c r="N44" s="64">
        <v>388.8</v>
      </c>
      <c r="O44" s="64">
        <v>0</v>
      </c>
      <c r="P44" s="64">
        <v>1.38</v>
      </c>
      <c r="Q44" s="64">
        <v>9.5399999999999991</v>
      </c>
      <c r="R44" s="198"/>
      <c r="S44" s="198"/>
      <c r="T44" s="198"/>
      <c r="U44" s="198"/>
    </row>
    <row r="45" spans="1:21" s="12" customFormat="1" x14ac:dyDescent="0.25">
      <c r="A45" s="213" t="s">
        <v>2008</v>
      </c>
      <c r="B45" s="64">
        <v>47.31</v>
      </c>
      <c r="C45" s="64">
        <v>74.67</v>
      </c>
      <c r="D45" s="64">
        <v>119.87</v>
      </c>
      <c r="E45" s="64">
        <v>10.41</v>
      </c>
      <c r="F45" s="64">
        <v>2.13</v>
      </c>
      <c r="G45" s="64">
        <v>248.47</v>
      </c>
      <c r="H45" s="64">
        <v>75.569999999999993</v>
      </c>
      <c r="I45" s="214" t="s">
        <v>43</v>
      </c>
      <c r="J45" s="64">
        <v>0.74</v>
      </c>
      <c r="K45" s="64">
        <v>26.3</v>
      </c>
      <c r="L45" s="64">
        <v>25.11</v>
      </c>
      <c r="M45" s="64">
        <v>40.619999999999997</v>
      </c>
      <c r="N45" s="64">
        <v>447.5</v>
      </c>
      <c r="O45" s="64">
        <v>0</v>
      </c>
      <c r="P45" s="64">
        <v>1.41</v>
      </c>
      <c r="Q45" s="64">
        <v>9.5500000000000007</v>
      </c>
      <c r="R45" s="198"/>
      <c r="S45" s="198"/>
      <c r="T45" s="198"/>
      <c r="U45" s="198"/>
    </row>
    <row r="46" spans="1:21" s="12" customFormat="1" x14ac:dyDescent="0.25">
      <c r="A46" s="213" t="s">
        <v>2009</v>
      </c>
      <c r="B46" s="64">
        <v>47.7</v>
      </c>
      <c r="C46" s="64">
        <v>75.36</v>
      </c>
      <c r="D46" s="64">
        <v>120.95</v>
      </c>
      <c r="E46" s="64">
        <v>10.77</v>
      </c>
      <c r="F46" s="64">
        <v>2.13</v>
      </c>
      <c r="G46" s="64">
        <v>248.87</v>
      </c>
      <c r="H46" s="64">
        <v>75.77</v>
      </c>
      <c r="I46" s="214" t="s">
        <v>43</v>
      </c>
      <c r="J46" s="64">
        <v>0.87</v>
      </c>
      <c r="K46" s="64">
        <v>66.25</v>
      </c>
      <c r="L46" s="64">
        <v>24.83</v>
      </c>
      <c r="M46" s="64">
        <v>41.08</v>
      </c>
      <c r="N46" s="64">
        <v>496.4</v>
      </c>
      <c r="O46" s="64">
        <v>0</v>
      </c>
      <c r="P46" s="64">
        <v>1.36</v>
      </c>
      <c r="Q46" s="64">
        <v>9.56</v>
      </c>
      <c r="R46" s="198"/>
      <c r="S46" s="198"/>
      <c r="T46" s="198"/>
      <c r="U46" s="198"/>
    </row>
    <row r="47" spans="1:21" s="12" customFormat="1" x14ac:dyDescent="0.25">
      <c r="A47" s="213" t="s">
        <v>2010</v>
      </c>
      <c r="B47" s="64">
        <v>47.21</v>
      </c>
      <c r="C47" s="64">
        <v>76.900000000000006</v>
      </c>
      <c r="D47" s="64">
        <v>122.01</v>
      </c>
      <c r="E47" s="64">
        <v>10.93</v>
      </c>
      <c r="F47" s="64">
        <v>2.13</v>
      </c>
      <c r="G47" s="64">
        <v>248.87</v>
      </c>
      <c r="H47" s="64">
        <v>75.77</v>
      </c>
      <c r="I47" s="214" t="s">
        <v>43</v>
      </c>
      <c r="J47" s="64">
        <v>1.38</v>
      </c>
      <c r="K47" s="64">
        <v>358.24</v>
      </c>
      <c r="L47" s="64">
        <v>26.19</v>
      </c>
      <c r="M47" s="64">
        <v>36.659999999999997</v>
      </c>
      <c r="N47" s="64">
        <v>530.5</v>
      </c>
      <c r="O47" s="64">
        <v>0</v>
      </c>
      <c r="P47" s="64">
        <v>1.35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3" t="s">
        <v>2011</v>
      </c>
      <c r="B48" s="64">
        <v>46.39</v>
      </c>
      <c r="C48" s="64">
        <v>79.28</v>
      </c>
      <c r="D48" s="64">
        <v>123.57</v>
      </c>
      <c r="E48" s="64">
        <v>10.25</v>
      </c>
      <c r="F48" s="64">
        <v>2.13</v>
      </c>
      <c r="G48" s="64">
        <v>248.87</v>
      </c>
      <c r="H48" s="64">
        <v>75.77</v>
      </c>
      <c r="I48" s="214" t="s">
        <v>43</v>
      </c>
      <c r="J48" s="64">
        <v>0.64</v>
      </c>
      <c r="K48" s="64">
        <v>57.33</v>
      </c>
      <c r="L48" s="64">
        <v>26.92</v>
      </c>
      <c r="M48" s="64">
        <v>34.81</v>
      </c>
      <c r="N48" s="64">
        <v>582.1</v>
      </c>
      <c r="O48" s="64">
        <v>0</v>
      </c>
      <c r="P48" s="64">
        <v>1.35</v>
      </c>
      <c r="Q48" s="64">
        <v>9.59</v>
      </c>
      <c r="R48" s="198"/>
      <c r="S48" s="198"/>
      <c r="T48" s="198"/>
      <c r="U48" s="198"/>
    </row>
    <row r="49" spans="1:21" s="12" customFormat="1" x14ac:dyDescent="0.25">
      <c r="A49" s="213" t="s">
        <v>2012</v>
      </c>
      <c r="B49" s="64">
        <v>45.47</v>
      </c>
      <c r="C49" s="64">
        <v>81.13</v>
      </c>
      <c r="D49" s="64">
        <v>124.5</v>
      </c>
      <c r="E49" s="64">
        <v>9.84</v>
      </c>
      <c r="F49" s="64">
        <v>2.13</v>
      </c>
      <c r="G49" s="64">
        <v>219.74</v>
      </c>
      <c r="H49" s="64">
        <v>76.959999999999994</v>
      </c>
      <c r="I49" s="214" t="s">
        <v>43</v>
      </c>
      <c r="J49" s="64">
        <v>1.62</v>
      </c>
      <c r="K49" s="64">
        <v>107.37</v>
      </c>
      <c r="L49" s="64">
        <v>25.04</v>
      </c>
      <c r="M49" s="64">
        <v>38.75</v>
      </c>
      <c r="N49" s="64">
        <v>618.79999999999995</v>
      </c>
      <c r="O49" s="64">
        <v>0</v>
      </c>
      <c r="P49" s="64">
        <v>1.35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3" t="s">
        <v>2013</v>
      </c>
      <c r="B50" s="64">
        <v>42.99</v>
      </c>
      <c r="C50" s="64">
        <v>82.65</v>
      </c>
      <c r="D50" s="64">
        <v>123.55</v>
      </c>
      <c r="E50" s="64">
        <v>8.8800000000000008</v>
      </c>
      <c r="F50" s="64">
        <v>2.13</v>
      </c>
      <c r="G50" s="64">
        <v>219.41</v>
      </c>
      <c r="H50" s="64">
        <v>76.97</v>
      </c>
      <c r="I50" s="214" t="s">
        <v>43</v>
      </c>
      <c r="J50" s="64">
        <v>1.71</v>
      </c>
      <c r="K50" s="64">
        <v>107.72</v>
      </c>
      <c r="L50" s="64">
        <v>24.56</v>
      </c>
      <c r="M50" s="64">
        <v>39.28</v>
      </c>
      <c r="N50" s="64">
        <v>653.4</v>
      </c>
      <c r="O50" s="64">
        <v>0</v>
      </c>
      <c r="P50" s="64">
        <v>1.32</v>
      </c>
      <c r="Q50" s="64">
        <v>9.59</v>
      </c>
      <c r="R50" s="198"/>
      <c r="S50" s="198"/>
      <c r="T50" s="198"/>
      <c r="U50" s="198"/>
    </row>
    <row r="51" spans="1:21" s="12" customFormat="1" x14ac:dyDescent="0.25">
      <c r="A51" s="213" t="s">
        <v>2014</v>
      </c>
      <c r="B51" s="64">
        <v>39.619999999999997</v>
      </c>
      <c r="C51" s="64">
        <v>83.36</v>
      </c>
      <c r="D51" s="64">
        <v>120.88</v>
      </c>
      <c r="E51" s="64">
        <v>9.02</v>
      </c>
      <c r="F51" s="64">
        <v>2.13</v>
      </c>
      <c r="G51" s="64">
        <v>219.41</v>
      </c>
      <c r="H51" s="64">
        <v>76.97</v>
      </c>
      <c r="I51" s="214" t="s">
        <v>43</v>
      </c>
      <c r="J51" s="64">
        <v>1.03</v>
      </c>
      <c r="K51" s="64">
        <v>90.2</v>
      </c>
      <c r="L51" s="64">
        <v>25.08</v>
      </c>
      <c r="M51" s="64">
        <v>38.31</v>
      </c>
      <c r="N51" s="64">
        <v>678.6</v>
      </c>
      <c r="O51" s="64">
        <v>0</v>
      </c>
      <c r="P51" s="64">
        <v>1.29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3" t="s">
        <v>2015</v>
      </c>
      <c r="B52" s="64">
        <v>36.47</v>
      </c>
      <c r="C52" s="64">
        <v>84.62</v>
      </c>
      <c r="D52" s="64">
        <v>118.99</v>
      </c>
      <c r="E52" s="64">
        <v>8.58</v>
      </c>
      <c r="F52" s="64">
        <v>2.13</v>
      </c>
      <c r="G52" s="64">
        <v>219.41</v>
      </c>
      <c r="H52" s="64">
        <v>76.97</v>
      </c>
      <c r="I52" s="214" t="s">
        <v>43</v>
      </c>
      <c r="J52" s="64">
        <v>1.66</v>
      </c>
      <c r="K52" s="64">
        <v>342.38</v>
      </c>
      <c r="L52" s="64">
        <v>27</v>
      </c>
      <c r="M52" s="64">
        <v>38.03</v>
      </c>
      <c r="N52" s="64">
        <v>708.6</v>
      </c>
      <c r="O52" s="64">
        <v>0</v>
      </c>
      <c r="P52" s="64">
        <v>1.26</v>
      </c>
      <c r="Q52" s="64">
        <v>9.59</v>
      </c>
      <c r="R52" s="198"/>
      <c r="S52" s="198"/>
      <c r="T52" s="198"/>
      <c r="U52" s="198"/>
    </row>
    <row r="53" spans="1:21" s="12" customFormat="1" x14ac:dyDescent="0.25">
      <c r="A53" s="213" t="s">
        <v>2016</v>
      </c>
      <c r="B53" s="64">
        <v>33.85</v>
      </c>
      <c r="C53" s="64">
        <v>85.85</v>
      </c>
      <c r="D53" s="64">
        <v>117.6</v>
      </c>
      <c r="E53" s="64">
        <v>8.2100000000000009</v>
      </c>
      <c r="F53" s="64">
        <v>2.14</v>
      </c>
      <c r="G53" s="64">
        <v>124.92</v>
      </c>
      <c r="H53" s="64">
        <v>65.62</v>
      </c>
      <c r="I53" s="214" t="s">
        <v>43</v>
      </c>
      <c r="J53" s="64">
        <v>0.45</v>
      </c>
      <c r="K53" s="64">
        <v>40.85</v>
      </c>
      <c r="L53" s="64">
        <v>26.82</v>
      </c>
      <c r="M53" s="64">
        <v>36.840000000000003</v>
      </c>
      <c r="N53" s="64">
        <v>734.7</v>
      </c>
      <c r="O53" s="64">
        <v>0</v>
      </c>
      <c r="P53" s="64">
        <v>1.23</v>
      </c>
      <c r="Q53" s="64">
        <v>9.5500000000000007</v>
      </c>
      <c r="R53" s="198"/>
      <c r="S53" s="198"/>
      <c r="T53" s="198"/>
      <c r="U53" s="198"/>
    </row>
    <row r="54" spans="1:21" s="12" customFormat="1" x14ac:dyDescent="0.25">
      <c r="A54" s="213" t="s">
        <v>2017</v>
      </c>
      <c r="B54" s="64">
        <v>32.03</v>
      </c>
      <c r="C54" s="64">
        <v>86.81</v>
      </c>
      <c r="D54" s="64">
        <v>116.74</v>
      </c>
      <c r="E54" s="64">
        <v>8.3699999999999992</v>
      </c>
      <c r="F54" s="64">
        <v>2.13</v>
      </c>
      <c r="G54" s="64">
        <v>123.86</v>
      </c>
      <c r="H54" s="64">
        <v>65.489999999999995</v>
      </c>
      <c r="I54" s="214" t="s">
        <v>43</v>
      </c>
      <c r="J54" s="64">
        <v>0.6</v>
      </c>
      <c r="K54" s="64">
        <v>351.58</v>
      </c>
      <c r="L54" s="64">
        <v>26.82</v>
      </c>
      <c r="M54" s="64">
        <v>35.159999999999997</v>
      </c>
      <c r="N54" s="64">
        <v>765</v>
      </c>
      <c r="O54" s="64">
        <v>0</v>
      </c>
      <c r="P54" s="64">
        <v>1.19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13" t="s">
        <v>2018</v>
      </c>
      <c r="B55" s="64">
        <v>30.15</v>
      </c>
      <c r="C55" s="64">
        <v>87.16</v>
      </c>
      <c r="D55" s="64">
        <v>115.2</v>
      </c>
      <c r="E55" s="64">
        <v>7.98</v>
      </c>
      <c r="F55" s="64">
        <v>2.13</v>
      </c>
      <c r="G55" s="64">
        <v>123.86</v>
      </c>
      <c r="H55" s="64">
        <v>65.489999999999995</v>
      </c>
      <c r="I55" s="214" t="s">
        <v>43</v>
      </c>
      <c r="J55" s="64">
        <v>1.36</v>
      </c>
      <c r="K55" s="64">
        <v>118.52</v>
      </c>
      <c r="L55" s="64">
        <v>26.82</v>
      </c>
      <c r="M55" s="64">
        <v>31.08</v>
      </c>
      <c r="N55" s="64">
        <v>776</v>
      </c>
      <c r="O55" s="64">
        <v>0</v>
      </c>
      <c r="P55" s="64">
        <v>1.1399999999999999</v>
      </c>
      <c r="Q55" s="64">
        <v>9.52</v>
      </c>
      <c r="R55" s="198"/>
      <c r="S55" s="198"/>
      <c r="T55" s="198"/>
      <c r="U55" s="198"/>
    </row>
    <row r="56" spans="1:21" s="12" customFormat="1" x14ac:dyDescent="0.25">
      <c r="A56" s="213" t="s">
        <v>2019</v>
      </c>
      <c r="B56" s="64">
        <v>26.26</v>
      </c>
      <c r="C56" s="64">
        <v>85.87</v>
      </c>
      <c r="D56" s="64">
        <v>110.03</v>
      </c>
      <c r="E56" s="64">
        <v>7.76</v>
      </c>
      <c r="F56" s="64">
        <v>2.13</v>
      </c>
      <c r="G56" s="64">
        <v>123.86</v>
      </c>
      <c r="H56" s="64">
        <v>65.489999999999995</v>
      </c>
      <c r="I56" s="214" t="s">
        <v>43</v>
      </c>
      <c r="J56" s="64">
        <v>1.41</v>
      </c>
      <c r="K56" s="64">
        <v>107.55</v>
      </c>
      <c r="L56" s="64">
        <v>26.82</v>
      </c>
      <c r="M56" s="64">
        <v>31.02</v>
      </c>
      <c r="N56" s="64">
        <v>766.1</v>
      </c>
      <c r="O56" s="64">
        <v>0</v>
      </c>
      <c r="P56" s="64">
        <v>0.96</v>
      </c>
      <c r="Q56" s="64">
        <v>9.5399999999999991</v>
      </c>
      <c r="R56" s="198"/>
      <c r="S56" s="198"/>
      <c r="T56" s="198"/>
      <c r="U56" s="198"/>
    </row>
    <row r="57" spans="1:21" s="12" customFormat="1" x14ac:dyDescent="0.25">
      <c r="A57" s="213" t="s">
        <v>2020</v>
      </c>
      <c r="B57" s="64">
        <v>22.92</v>
      </c>
      <c r="C57" s="64">
        <v>84.06</v>
      </c>
      <c r="D57" s="64">
        <v>104.87</v>
      </c>
      <c r="E57" s="64">
        <v>7.04</v>
      </c>
      <c r="F57" s="64">
        <v>2.13</v>
      </c>
      <c r="G57" s="64">
        <v>72.87</v>
      </c>
      <c r="H57" s="64">
        <v>48.96</v>
      </c>
      <c r="I57" s="214" t="s">
        <v>43</v>
      </c>
      <c r="J57" s="64">
        <v>1.34</v>
      </c>
      <c r="K57" s="64">
        <v>110.05</v>
      </c>
      <c r="L57" s="64">
        <v>27.31</v>
      </c>
      <c r="M57" s="64">
        <v>31.71</v>
      </c>
      <c r="N57" s="64">
        <v>758.6</v>
      </c>
      <c r="O57" s="64">
        <v>0</v>
      </c>
      <c r="P57" s="64">
        <v>0.94</v>
      </c>
      <c r="Q57" s="64">
        <v>9.5299999999999994</v>
      </c>
      <c r="R57" s="198"/>
      <c r="S57" s="198"/>
      <c r="T57" s="198"/>
      <c r="U57" s="198"/>
    </row>
    <row r="58" spans="1:21" s="12" customFormat="1" x14ac:dyDescent="0.25">
      <c r="A58" s="213" t="s">
        <v>2021</v>
      </c>
      <c r="B58" s="64">
        <v>20.07</v>
      </c>
      <c r="C58" s="64">
        <v>83.85</v>
      </c>
      <c r="D58" s="64">
        <v>101.81</v>
      </c>
      <c r="E58" s="64">
        <v>7.04</v>
      </c>
      <c r="F58" s="64">
        <v>2.13</v>
      </c>
      <c r="G58" s="64">
        <v>72.3</v>
      </c>
      <c r="H58" s="64">
        <v>48.78</v>
      </c>
      <c r="I58" s="214" t="s">
        <v>43</v>
      </c>
      <c r="J58" s="64">
        <v>1.53</v>
      </c>
      <c r="K58" s="64">
        <v>98.26</v>
      </c>
      <c r="L58" s="64">
        <v>27.24</v>
      </c>
      <c r="M58" s="64">
        <v>31.03</v>
      </c>
      <c r="N58" s="64">
        <v>734.3</v>
      </c>
      <c r="O58" s="64">
        <v>0</v>
      </c>
      <c r="P58" s="64">
        <v>0.94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3" t="s">
        <v>2022</v>
      </c>
      <c r="B59" s="64">
        <v>17.37</v>
      </c>
      <c r="C59" s="64">
        <v>83.29</v>
      </c>
      <c r="D59" s="64">
        <v>98.57</v>
      </c>
      <c r="E59" s="64">
        <v>6.87</v>
      </c>
      <c r="F59" s="64">
        <v>2.13</v>
      </c>
      <c r="G59" s="64">
        <v>72.3</v>
      </c>
      <c r="H59" s="64">
        <v>48.78</v>
      </c>
      <c r="I59" s="214" t="s">
        <v>43</v>
      </c>
      <c r="J59" s="64">
        <v>0.71</v>
      </c>
      <c r="K59" s="64">
        <v>101.64</v>
      </c>
      <c r="L59" s="64">
        <v>27.63</v>
      </c>
      <c r="M59" s="64">
        <v>31.11</v>
      </c>
      <c r="N59" s="64">
        <v>706.9</v>
      </c>
      <c r="O59" s="64">
        <v>0</v>
      </c>
      <c r="P59" s="64">
        <v>0.9</v>
      </c>
      <c r="Q59" s="64">
        <v>9.4600000000000009</v>
      </c>
      <c r="R59" s="198"/>
      <c r="S59" s="198"/>
      <c r="T59" s="198"/>
      <c r="U59" s="198"/>
    </row>
    <row r="60" spans="1:21" s="12" customFormat="1" x14ac:dyDescent="0.25">
      <c r="A60" s="213" t="s">
        <v>2023</v>
      </c>
      <c r="B60" s="64">
        <v>15</v>
      </c>
      <c r="C60" s="64">
        <v>82.7</v>
      </c>
      <c r="D60" s="64">
        <v>95.6</v>
      </c>
      <c r="E60" s="64">
        <v>7.12</v>
      </c>
      <c r="F60" s="64">
        <v>2.13</v>
      </c>
      <c r="G60" s="64">
        <v>72.3</v>
      </c>
      <c r="H60" s="64">
        <v>48.78</v>
      </c>
      <c r="I60" s="214" t="s">
        <v>43</v>
      </c>
      <c r="J60" s="64">
        <v>1.25</v>
      </c>
      <c r="K60" s="64">
        <v>97.02</v>
      </c>
      <c r="L60" s="64">
        <v>27.99</v>
      </c>
      <c r="M60" s="64">
        <v>31.39</v>
      </c>
      <c r="N60" s="64">
        <v>690</v>
      </c>
      <c r="O60" s="64">
        <v>0</v>
      </c>
      <c r="P60" s="64">
        <v>0.87</v>
      </c>
      <c r="Q60" s="64">
        <v>9.43</v>
      </c>
      <c r="R60" s="198"/>
      <c r="S60" s="198"/>
      <c r="T60" s="198"/>
      <c r="U60" s="198"/>
    </row>
    <row r="61" spans="1:21" s="12" customFormat="1" x14ac:dyDescent="0.25">
      <c r="A61" s="213" t="s">
        <v>2024</v>
      </c>
      <c r="B61" s="64">
        <v>13.13</v>
      </c>
      <c r="C61" s="64">
        <v>81.75</v>
      </c>
      <c r="D61" s="64">
        <v>92.78</v>
      </c>
      <c r="E61" s="64">
        <v>6.83</v>
      </c>
      <c r="F61" s="64">
        <v>2.13</v>
      </c>
      <c r="G61" s="64">
        <v>77.42</v>
      </c>
      <c r="H61" s="64">
        <v>43.82</v>
      </c>
      <c r="I61" s="214" t="s">
        <v>43</v>
      </c>
      <c r="J61" s="64">
        <v>0.74</v>
      </c>
      <c r="K61" s="64">
        <v>159.22</v>
      </c>
      <c r="L61" s="64">
        <v>28.31</v>
      </c>
      <c r="M61" s="64">
        <v>30.65</v>
      </c>
      <c r="N61" s="64">
        <v>656</v>
      </c>
      <c r="O61" s="64">
        <v>0</v>
      </c>
      <c r="P61" s="64">
        <v>0.84</v>
      </c>
      <c r="Q61" s="64">
        <v>9.4</v>
      </c>
      <c r="R61" s="198"/>
      <c r="S61" s="198"/>
      <c r="T61" s="198"/>
      <c r="U61" s="198"/>
    </row>
    <row r="62" spans="1:21" s="12" customFormat="1" x14ac:dyDescent="0.25">
      <c r="A62" s="213" t="s">
        <v>2025</v>
      </c>
      <c r="B62" s="64">
        <v>11.17</v>
      </c>
      <c r="C62" s="64">
        <v>80.81</v>
      </c>
      <c r="D62" s="64">
        <v>89.88</v>
      </c>
      <c r="E62" s="64">
        <v>7.2</v>
      </c>
      <c r="F62" s="64">
        <v>2.13</v>
      </c>
      <c r="G62" s="64">
        <v>77.48</v>
      </c>
      <c r="H62" s="64">
        <v>43.76</v>
      </c>
      <c r="I62" s="214" t="s">
        <v>43</v>
      </c>
      <c r="J62" s="64">
        <v>0.89</v>
      </c>
      <c r="K62" s="64">
        <v>149.97999999999999</v>
      </c>
      <c r="L62" s="64">
        <v>27.26</v>
      </c>
      <c r="M62" s="64">
        <v>34.93</v>
      </c>
      <c r="N62" s="64">
        <v>641.9</v>
      </c>
      <c r="O62" s="64">
        <v>0</v>
      </c>
      <c r="P62" s="64">
        <v>0.87</v>
      </c>
      <c r="Q62" s="64">
        <v>9.41</v>
      </c>
      <c r="R62" s="198"/>
      <c r="S62" s="198"/>
      <c r="T62" s="198"/>
      <c r="U62" s="198"/>
    </row>
    <row r="63" spans="1:21" s="12" customFormat="1" x14ac:dyDescent="0.25">
      <c r="A63" s="213" t="s">
        <v>2026</v>
      </c>
      <c r="B63" s="64">
        <v>9.2200000000000006</v>
      </c>
      <c r="C63" s="64">
        <v>79.56</v>
      </c>
      <c r="D63" s="64">
        <v>86.68</v>
      </c>
      <c r="E63" s="64">
        <v>7.44</v>
      </c>
      <c r="F63" s="64">
        <v>2.13</v>
      </c>
      <c r="G63" s="64">
        <v>77.48</v>
      </c>
      <c r="H63" s="64">
        <v>43.76</v>
      </c>
      <c r="I63" s="214" t="s">
        <v>43</v>
      </c>
      <c r="J63" s="64">
        <v>1.22</v>
      </c>
      <c r="K63" s="64">
        <v>107.3</v>
      </c>
      <c r="L63" s="64">
        <v>27.66</v>
      </c>
      <c r="M63" s="64">
        <v>32.83</v>
      </c>
      <c r="N63" s="64">
        <v>599.20000000000005</v>
      </c>
      <c r="O63" s="64">
        <v>0</v>
      </c>
      <c r="P63" s="64">
        <v>0.8</v>
      </c>
      <c r="Q63" s="64">
        <v>9.41</v>
      </c>
      <c r="R63" s="198"/>
      <c r="S63" s="198"/>
      <c r="T63" s="198"/>
      <c r="U63" s="198"/>
    </row>
    <row r="64" spans="1:21" s="12" customFormat="1" x14ac:dyDescent="0.25">
      <c r="A64" s="213" t="s">
        <v>2027</v>
      </c>
      <c r="B64" s="64">
        <v>7.73</v>
      </c>
      <c r="C64" s="64">
        <v>76.75</v>
      </c>
      <c r="D64" s="64">
        <v>82.38</v>
      </c>
      <c r="E64" s="64">
        <v>7.33</v>
      </c>
      <c r="F64" s="64">
        <v>2.13</v>
      </c>
      <c r="G64" s="64">
        <v>77.48</v>
      </c>
      <c r="H64" s="64">
        <v>43.76</v>
      </c>
      <c r="I64" s="214" t="s">
        <v>43</v>
      </c>
      <c r="J64" s="64">
        <v>1.41</v>
      </c>
      <c r="K64" s="64">
        <v>118.17</v>
      </c>
      <c r="L64" s="64">
        <v>27.61</v>
      </c>
      <c r="M64" s="64">
        <v>33.200000000000003</v>
      </c>
      <c r="N64" s="64">
        <v>558.20000000000005</v>
      </c>
      <c r="O64" s="64">
        <v>0</v>
      </c>
      <c r="P64" s="64">
        <v>0.86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13" t="s">
        <v>2028</v>
      </c>
      <c r="B65" s="64">
        <v>6.37</v>
      </c>
      <c r="C65" s="64">
        <v>76.14</v>
      </c>
      <c r="D65" s="64">
        <v>80.41</v>
      </c>
      <c r="E65" s="64">
        <v>6.99</v>
      </c>
      <c r="F65" s="64">
        <v>2.19</v>
      </c>
      <c r="G65" s="64">
        <v>72.8</v>
      </c>
      <c r="H65" s="64">
        <v>36.94</v>
      </c>
      <c r="I65" s="214" t="s">
        <v>43</v>
      </c>
      <c r="J65" s="64">
        <v>0.75</v>
      </c>
      <c r="K65" s="64">
        <v>84.29</v>
      </c>
      <c r="L65" s="64">
        <v>27.93</v>
      </c>
      <c r="M65" s="64">
        <v>31.44</v>
      </c>
      <c r="N65" s="64">
        <v>457.3</v>
      </c>
      <c r="O65" s="64">
        <v>0</v>
      </c>
      <c r="P65" s="64">
        <v>0.82</v>
      </c>
      <c r="Q65" s="64">
        <v>9.3800000000000008</v>
      </c>
      <c r="R65" s="198"/>
      <c r="S65" s="198"/>
      <c r="T65" s="198"/>
      <c r="U65" s="198"/>
    </row>
    <row r="66" spans="1:21" s="12" customFormat="1" x14ac:dyDescent="0.25">
      <c r="A66" s="213" t="s">
        <v>2029</v>
      </c>
      <c r="B66" s="64">
        <v>5.52</v>
      </c>
      <c r="C66" s="64">
        <v>76.33</v>
      </c>
      <c r="D66" s="64">
        <v>79.75</v>
      </c>
      <c r="E66" s="64">
        <v>7.28</v>
      </c>
      <c r="F66" s="64">
        <v>2.14</v>
      </c>
      <c r="G66" s="64">
        <v>72.8</v>
      </c>
      <c r="H66" s="64">
        <v>36.94</v>
      </c>
      <c r="I66" s="214" t="s">
        <v>43</v>
      </c>
      <c r="J66" s="64">
        <v>0.83</v>
      </c>
      <c r="K66" s="64">
        <v>330.76</v>
      </c>
      <c r="L66" s="64">
        <v>30.14</v>
      </c>
      <c r="M66" s="64">
        <v>28.98</v>
      </c>
      <c r="N66" s="64">
        <v>432.4</v>
      </c>
      <c r="O66" s="64">
        <v>0</v>
      </c>
      <c r="P66" s="64">
        <v>0.8</v>
      </c>
      <c r="Q66" s="64">
        <v>9.39</v>
      </c>
      <c r="R66" s="198"/>
      <c r="S66" s="198"/>
      <c r="T66" s="198"/>
      <c r="U66" s="198"/>
    </row>
    <row r="67" spans="1:21" s="12" customFormat="1" x14ac:dyDescent="0.25">
      <c r="A67" s="213" t="s">
        <v>2030</v>
      </c>
      <c r="B67" s="64">
        <v>5.21</v>
      </c>
      <c r="C67" s="64">
        <v>76.98</v>
      </c>
      <c r="D67" s="64">
        <v>80.099999999999994</v>
      </c>
      <c r="E67" s="64">
        <v>7.12</v>
      </c>
      <c r="F67" s="64">
        <v>2.36</v>
      </c>
      <c r="G67" s="64">
        <v>72.8</v>
      </c>
      <c r="H67" s="64">
        <v>36.94</v>
      </c>
      <c r="I67" s="214" t="s">
        <v>43</v>
      </c>
      <c r="J67" s="64">
        <v>1.17</v>
      </c>
      <c r="K67" s="64">
        <v>343.87</v>
      </c>
      <c r="L67" s="64">
        <v>31.25</v>
      </c>
      <c r="M67" s="64">
        <v>26.84</v>
      </c>
      <c r="N67" s="64">
        <v>388.3</v>
      </c>
      <c r="O67" s="64">
        <v>0</v>
      </c>
      <c r="P67" s="64">
        <v>0.83</v>
      </c>
      <c r="Q67" s="64">
        <v>9.3800000000000008</v>
      </c>
      <c r="R67" s="198"/>
      <c r="S67" s="198"/>
      <c r="T67" s="198"/>
      <c r="U67" s="198"/>
    </row>
    <row r="68" spans="1:21" s="12" customFormat="1" x14ac:dyDescent="0.25">
      <c r="A68" s="213" t="s">
        <v>2031</v>
      </c>
      <c r="B68" s="64">
        <v>5.24</v>
      </c>
      <c r="C68" s="64">
        <v>78.59</v>
      </c>
      <c r="D68" s="64">
        <v>81.73</v>
      </c>
      <c r="E68" s="64">
        <v>7.27</v>
      </c>
      <c r="F68" s="64">
        <v>2.16</v>
      </c>
      <c r="G68" s="64">
        <v>72.8</v>
      </c>
      <c r="H68" s="64">
        <v>36.94</v>
      </c>
      <c r="I68" s="214" t="s">
        <v>43</v>
      </c>
      <c r="J68" s="64">
        <v>0.95</v>
      </c>
      <c r="K68" s="64">
        <v>340.03</v>
      </c>
      <c r="L68" s="64">
        <v>30.86</v>
      </c>
      <c r="M68" s="64">
        <v>27.46</v>
      </c>
      <c r="N68" s="64">
        <v>306.3</v>
      </c>
      <c r="O68" s="64">
        <v>0</v>
      </c>
      <c r="P68" s="64">
        <v>0.79</v>
      </c>
      <c r="Q68" s="64">
        <v>9.39</v>
      </c>
      <c r="R68" s="198"/>
      <c r="S68" s="198"/>
      <c r="T68" s="198"/>
      <c r="U68" s="198"/>
    </row>
    <row r="69" spans="1:21" s="12" customFormat="1" x14ac:dyDescent="0.25">
      <c r="A69" s="213" t="s">
        <v>2032</v>
      </c>
      <c r="B69" s="64">
        <v>5.18</v>
      </c>
      <c r="C69" s="64">
        <v>78.92</v>
      </c>
      <c r="D69" s="64">
        <v>82</v>
      </c>
      <c r="E69" s="64">
        <v>7.61</v>
      </c>
      <c r="F69" s="64">
        <v>2.66</v>
      </c>
      <c r="G69" s="64">
        <v>105.55</v>
      </c>
      <c r="H69" s="64">
        <v>37.89</v>
      </c>
      <c r="I69" s="214" t="s">
        <v>43</v>
      </c>
      <c r="J69" s="64">
        <v>0.72</v>
      </c>
      <c r="K69" s="64">
        <v>355</v>
      </c>
      <c r="L69" s="64">
        <v>30.96</v>
      </c>
      <c r="M69" s="64">
        <v>27.31</v>
      </c>
      <c r="N69" s="64">
        <v>330.3</v>
      </c>
      <c r="O69" s="64">
        <v>0</v>
      </c>
      <c r="P69" s="64">
        <v>0.8</v>
      </c>
      <c r="Q69" s="64">
        <v>9.39</v>
      </c>
      <c r="R69" s="198"/>
      <c r="S69" s="198"/>
      <c r="T69" s="198"/>
      <c r="U69" s="198"/>
    </row>
    <row r="70" spans="1:21" s="12" customFormat="1" x14ac:dyDescent="0.25">
      <c r="A70" s="213" t="s">
        <v>2033</v>
      </c>
      <c r="B70" s="64">
        <v>5.0199999999999996</v>
      </c>
      <c r="C70" s="64">
        <v>79.05</v>
      </c>
      <c r="D70" s="64">
        <v>81.98</v>
      </c>
      <c r="E70" s="64">
        <v>7.52</v>
      </c>
      <c r="F70" s="64">
        <v>2.52</v>
      </c>
      <c r="G70" s="64">
        <v>105.55</v>
      </c>
      <c r="H70" s="64">
        <v>37.9</v>
      </c>
      <c r="I70" s="214" t="s">
        <v>43</v>
      </c>
      <c r="J70" s="64">
        <v>0.45</v>
      </c>
      <c r="K70" s="64">
        <v>231.57</v>
      </c>
      <c r="L70" s="64">
        <v>29.31</v>
      </c>
      <c r="M70" s="64">
        <v>29.03</v>
      </c>
      <c r="N70" s="64">
        <v>258.5</v>
      </c>
      <c r="O70" s="64">
        <v>0</v>
      </c>
      <c r="P70" s="64">
        <v>0.76</v>
      </c>
      <c r="Q70" s="64">
        <v>9.41</v>
      </c>
      <c r="R70" s="198"/>
      <c r="S70" s="198"/>
      <c r="T70" s="198"/>
      <c r="U70" s="198"/>
    </row>
    <row r="71" spans="1:21" s="12" customFormat="1" x14ac:dyDescent="0.25">
      <c r="A71" s="213" t="s">
        <v>2034</v>
      </c>
      <c r="B71" s="64">
        <v>4.66</v>
      </c>
      <c r="C71" s="64">
        <v>78.180000000000007</v>
      </c>
      <c r="D71" s="64">
        <v>80.739999999999995</v>
      </c>
      <c r="E71" s="64">
        <v>7.58</v>
      </c>
      <c r="F71" s="64">
        <v>2.5</v>
      </c>
      <c r="G71" s="64">
        <v>105.55</v>
      </c>
      <c r="H71" s="64">
        <v>37.9</v>
      </c>
      <c r="I71" s="214" t="s">
        <v>43</v>
      </c>
      <c r="J71" s="64">
        <v>0.66</v>
      </c>
      <c r="K71" s="64">
        <v>180.53</v>
      </c>
      <c r="L71" s="64">
        <v>28.09</v>
      </c>
      <c r="M71" s="64">
        <v>30.3</v>
      </c>
      <c r="N71" s="64">
        <v>234.4</v>
      </c>
      <c r="O71" s="64">
        <v>0</v>
      </c>
      <c r="P71" s="64">
        <v>0.75</v>
      </c>
      <c r="Q71" s="64">
        <v>9.42</v>
      </c>
      <c r="R71" s="198"/>
      <c r="S71" s="198"/>
      <c r="T71" s="198"/>
      <c r="U71" s="198"/>
    </row>
    <row r="72" spans="1:21" s="12" customFormat="1" x14ac:dyDescent="0.25">
      <c r="A72" s="213" t="s">
        <v>2035</v>
      </c>
      <c r="B72" s="64">
        <v>4.38</v>
      </c>
      <c r="C72" s="64">
        <v>76.53</v>
      </c>
      <c r="D72" s="64">
        <v>78.81</v>
      </c>
      <c r="E72" s="64">
        <v>7.21</v>
      </c>
      <c r="F72" s="64">
        <v>3.17</v>
      </c>
      <c r="G72" s="64">
        <v>105.55</v>
      </c>
      <c r="H72" s="64">
        <v>37.9</v>
      </c>
      <c r="I72" s="214" t="s">
        <v>43</v>
      </c>
      <c r="J72" s="64">
        <v>0.79</v>
      </c>
      <c r="K72" s="64">
        <v>344.23</v>
      </c>
      <c r="L72" s="64">
        <v>28.28</v>
      </c>
      <c r="M72" s="64">
        <v>30.9</v>
      </c>
      <c r="N72" s="64">
        <v>190.5</v>
      </c>
      <c r="O72" s="64">
        <v>0</v>
      </c>
      <c r="P72" s="64">
        <v>0.75</v>
      </c>
      <c r="Q72" s="64">
        <v>9.41</v>
      </c>
      <c r="R72" s="198"/>
      <c r="S72" s="198"/>
      <c r="T72" s="198"/>
      <c r="U72" s="198"/>
    </row>
    <row r="73" spans="1:21" s="12" customFormat="1" x14ac:dyDescent="0.25">
      <c r="A73" s="213" t="s">
        <v>2036</v>
      </c>
      <c r="B73" s="64">
        <v>4.5199999999999996</v>
      </c>
      <c r="C73" s="64">
        <v>76.819999999999993</v>
      </c>
      <c r="D73" s="64">
        <v>79.239999999999995</v>
      </c>
      <c r="E73" s="64">
        <v>7.41</v>
      </c>
      <c r="F73" s="64">
        <v>2.86</v>
      </c>
      <c r="G73" s="64">
        <v>94.83</v>
      </c>
      <c r="H73" s="64">
        <v>39.659999999999997</v>
      </c>
      <c r="I73" s="214" t="s">
        <v>43</v>
      </c>
      <c r="J73" s="64">
        <v>0.74</v>
      </c>
      <c r="K73" s="64">
        <v>324.24</v>
      </c>
      <c r="L73" s="64">
        <v>28.59</v>
      </c>
      <c r="M73" s="64">
        <v>30.48</v>
      </c>
      <c r="N73" s="64">
        <v>165</v>
      </c>
      <c r="O73" s="64">
        <v>0</v>
      </c>
      <c r="P73" s="64">
        <v>0.8</v>
      </c>
      <c r="Q73" s="64">
        <v>9.4</v>
      </c>
      <c r="R73" s="198"/>
      <c r="S73" s="198"/>
      <c r="T73" s="198"/>
      <c r="U73" s="198"/>
    </row>
    <row r="74" spans="1:21" s="12" customFormat="1" x14ac:dyDescent="0.25">
      <c r="A74" s="213" t="s">
        <v>2037</v>
      </c>
      <c r="B74" s="64">
        <v>4.6900000000000004</v>
      </c>
      <c r="C74" s="64">
        <v>75.97</v>
      </c>
      <c r="D74" s="64">
        <v>78.56</v>
      </c>
      <c r="E74" s="64">
        <v>6.92</v>
      </c>
      <c r="F74" s="64">
        <v>2.72</v>
      </c>
      <c r="G74" s="64">
        <v>94.71</v>
      </c>
      <c r="H74" s="64">
        <v>39.659999999999997</v>
      </c>
      <c r="I74" s="214" t="s">
        <v>43</v>
      </c>
      <c r="J74" s="64">
        <v>0.6</v>
      </c>
      <c r="K74" s="64">
        <v>345.66</v>
      </c>
      <c r="L74" s="64">
        <v>28.28</v>
      </c>
      <c r="M74" s="64">
        <v>32.46</v>
      </c>
      <c r="N74" s="64">
        <v>151.9</v>
      </c>
      <c r="O74" s="64">
        <v>0</v>
      </c>
      <c r="P74" s="64">
        <v>0.76</v>
      </c>
      <c r="Q74" s="64">
        <v>9.43</v>
      </c>
      <c r="R74" s="198"/>
      <c r="S74" s="198"/>
      <c r="T74" s="198"/>
      <c r="U74" s="198"/>
    </row>
    <row r="75" spans="1:21" s="12" customFormat="1" x14ac:dyDescent="0.25">
      <c r="A75" s="213" t="s">
        <v>2038</v>
      </c>
      <c r="B75" s="64">
        <v>4.8</v>
      </c>
      <c r="C75" s="64">
        <v>76.06</v>
      </c>
      <c r="D75" s="64">
        <v>78.77</v>
      </c>
      <c r="E75" s="64">
        <v>6.38</v>
      </c>
      <c r="F75" s="64">
        <v>2.21</v>
      </c>
      <c r="G75" s="64">
        <v>94.71</v>
      </c>
      <c r="H75" s="64">
        <v>39.659999999999997</v>
      </c>
      <c r="I75" s="214" t="s">
        <v>43</v>
      </c>
      <c r="J75" s="64">
        <v>0.64</v>
      </c>
      <c r="K75" s="64">
        <v>47.67</v>
      </c>
      <c r="L75" s="64">
        <v>27.17</v>
      </c>
      <c r="M75" s="64">
        <v>34.47</v>
      </c>
      <c r="N75" s="64">
        <v>135.1</v>
      </c>
      <c r="O75" s="64">
        <v>0</v>
      </c>
      <c r="P75" s="64">
        <v>0.79</v>
      </c>
      <c r="Q75" s="64">
        <v>9.41</v>
      </c>
      <c r="R75" s="198"/>
      <c r="S75" s="198"/>
      <c r="T75" s="198"/>
      <c r="U75" s="198"/>
    </row>
    <row r="76" spans="1:21" s="12" customFormat="1" x14ac:dyDescent="0.25">
      <c r="A76" s="213" t="s">
        <v>2039</v>
      </c>
      <c r="B76" s="64">
        <v>5.16</v>
      </c>
      <c r="C76" s="64">
        <v>76.97</v>
      </c>
      <c r="D76" s="64">
        <v>80.03</v>
      </c>
      <c r="E76" s="64">
        <v>6.97</v>
      </c>
      <c r="F76" s="64">
        <v>2.16</v>
      </c>
      <c r="G76" s="64">
        <v>94.71</v>
      </c>
      <c r="H76" s="64">
        <v>39.659999999999997</v>
      </c>
      <c r="I76" s="214" t="s">
        <v>43</v>
      </c>
      <c r="J76" s="64">
        <v>1.1399999999999999</v>
      </c>
      <c r="K76" s="64">
        <v>7.7</v>
      </c>
      <c r="L76" s="64">
        <v>27.09</v>
      </c>
      <c r="M76" s="64">
        <v>33.619999999999997</v>
      </c>
      <c r="N76" s="64">
        <v>116.5</v>
      </c>
      <c r="O76" s="64">
        <v>0</v>
      </c>
      <c r="P76" s="64">
        <v>0.87</v>
      </c>
      <c r="Q76" s="64">
        <v>9.39</v>
      </c>
      <c r="R76" s="198"/>
      <c r="S76" s="198"/>
      <c r="T76" s="198"/>
      <c r="U76" s="198"/>
    </row>
    <row r="77" spans="1:21" s="12" customFormat="1" x14ac:dyDescent="0.25">
      <c r="A77" s="213" t="s">
        <v>2040</v>
      </c>
      <c r="B77" s="64">
        <v>5.77</v>
      </c>
      <c r="C77" s="64">
        <v>78.5</v>
      </c>
      <c r="D77" s="64">
        <v>82.17</v>
      </c>
      <c r="E77" s="64">
        <v>7.01</v>
      </c>
      <c r="F77" s="64">
        <v>2.14</v>
      </c>
      <c r="G77" s="64">
        <v>106.05</v>
      </c>
      <c r="H77" s="64">
        <v>31.89</v>
      </c>
      <c r="I77" s="214" t="s">
        <v>43</v>
      </c>
      <c r="J77" s="64">
        <v>1.38</v>
      </c>
      <c r="K77" s="64">
        <v>355.4</v>
      </c>
      <c r="L77" s="64">
        <v>26.89</v>
      </c>
      <c r="M77" s="64">
        <v>34.5</v>
      </c>
      <c r="N77" s="64">
        <v>103.6</v>
      </c>
      <c r="O77" s="64">
        <v>0</v>
      </c>
      <c r="P77" s="64">
        <v>0.89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3" t="s">
        <v>2041</v>
      </c>
      <c r="B78" s="64">
        <v>6.31</v>
      </c>
      <c r="C78" s="64">
        <v>79.67</v>
      </c>
      <c r="D78" s="64">
        <v>83.88</v>
      </c>
      <c r="E78" s="64">
        <v>7.28</v>
      </c>
      <c r="F78" s="64">
        <v>2.1800000000000002</v>
      </c>
      <c r="G78" s="64">
        <v>106.05</v>
      </c>
      <c r="H78" s="64">
        <v>31.8</v>
      </c>
      <c r="I78" s="214" t="s">
        <v>43</v>
      </c>
      <c r="J78" s="64">
        <v>1.31</v>
      </c>
      <c r="K78" s="64">
        <v>358.13</v>
      </c>
      <c r="L78" s="64">
        <v>26.28</v>
      </c>
      <c r="M78" s="64">
        <v>36.880000000000003</v>
      </c>
      <c r="N78" s="64">
        <v>89.5</v>
      </c>
      <c r="O78" s="64">
        <v>0</v>
      </c>
      <c r="P78" s="64">
        <v>0.95</v>
      </c>
      <c r="Q78" s="64">
        <v>9.35</v>
      </c>
      <c r="R78" s="198"/>
      <c r="S78" s="198"/>
      <c r="T78" s="198"/>
      <c r="U78" s="198"/>
    </row>
    <row r="79" spans="1:21" s="12" customFormat="1" x14ac:dyDescent="0.25">
      <c r="A79" s="213" t="s">
        <v>2042</v>
      </c>
      <c r="B79" s="64">
        <v>7.04</v>
      </c>
      <c r="C79" s="64">
        <v>80.86</v>
      </c>
      <c r="D79" s="64">
        <v>85.8</v>
      </c>
      <c r="E79" s="64">
        <v>7.16</v>
      </c>
      <c r="F79" s="64">
        <v>2.13</v>
      </c>
      <c r="G79" s="64">
        <v>106.05</v>
      </c>
      <c r="H79" s="64">
        <v>31.8</v>
      </c>
      <c r="I79" s="214" t="s">
        <v>43</v>
      </c>
      <c r="J79" s="64">
        <v>1.25</v>
      </c>
      <c r="K79" s="64">
        <v>3.13</v>
      </c>
      <c r="L79" s="64">
        <v>25.72</v>
      </c>
      <c r="M79" s="64">
        <v>36.83</v>
      </c>
      <c r="N79" s="64">
        <v>76.5</v>
      </c>
      <c r="O79" s="64">
        <v>0</v>
      </c>
      <c r="P79" s="64">
        <v>0.97</v>
      </c>
      <c r="Q79" s="64">
        <v>9.3699999999999992</v>
      </c>
      <c r="R79" s="198"/>
      <c r="S79" s="198"/>
      <c r="T79" s="198"/>
      <c r="U79" s="198"/>
    </row>
    <row r="80" spans="1:21" s="12" customFormat="1" x14ac:dyDescent="0.25">
      <c r="A80" s="213" t="s">
        <v>2043</v>
      </c>
      <c r="B80" s="64">
        <v>7.59</v>
      </c>
      <c r="C80" s="64">
        <v>81.89</v>
      </c>
      <c r="D80" s="64">
        <v>87.37</v>
      </c>
      <c r="E80" s="64">
        <v>7.29</v>
      </c>
      <c r="F80" s="64">
        <v>2.13</v>
      </c>
      <c r="G80" s="64">
        <v>106.05</v>
      </c>
      <c r="H80" s="64">
        <v>31.8</v>
      </c>
      <c r="I80" s="214" t="s">
        <v>43</v>
      </c>
      <c r="J80" s="64">
        <v>0.77</v>
      </c>
      <c r="K80" s="64">
        <v>6.5</v>
      </c>
      <c r="L80" s="64">
        <v>25.22</v>
      </c>
      <c r="M80" s="64">
        <v>38.44</v>
      </c>
      <c r="N80" s="64">
        <v>68</v>
      </c>
      <c r="O80" s="64">
        <v>0</v>
      </c>
      <c r="P80" s="64">
        <v>1.27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3" t="s">
        <v>2044</v>
      </c>
      <c r="B81" s="64">
        <v>8.94</v>
      </c>
      <c r="C81" s="64">
        <v>82.69</v>
      </c>
      <c r="D81" s="64">
        <v>89.54</v>
      </c>
      <c r="E81" s="64">
        <v>7.65</v>
      </c>
      <c r="F81" s="64">
        <v>2.13</v>
      </c>
      <c r="G81" s="64">
        <v>139.68</v>
      </c>
      <c r="H81" s="64">
        <v>18.54</v>
      </c>
      <c r="I81" s="214" t="s">
        <v>43</v>
      </c>
      <c r="J81" s="64">
        <v>0.74</v>
      </c>
      <c r="K81" s="64">
        <v>359.88</v>
      </c>
      <c r="L81" s="64">
        <v>24.63</v>
      </c>
      <c r="M81" s="64">
        <v>40.479999999999997</v>
      </c>
      <c r="N81" s="64">
        <v>64.5</v>
      </c>
      <c r="O81" s="64">
        <v>0</v>
      </c>
      <c r="P81" s="64">
        <v>1.52</v>
      </c>
      <c r="Q81" s="64">
        <v>9.36</v>
      </c>
      <c r="R81" s="198"/>
      <c r="S81" s="198"/>
      <c r="T81" s="198"/>
      <c r="U81" s="198"/>
    </row>
    <row r="82" spans="1:26" s="12" customFormat="1" x14ac:dyDescent="0.25">
      <c r="A82" s="213" t="s">
        <v>2045</v>
      </c>
      <c r="B82" s="64">
        <v>11.93</v>
      </c>
      <c r="C82" s="64">
        <v>83.13</v>
      </c>
      <c r="D82" s="64">
        <v>92.96</v>
      </c>
      <c r="E82" s="64">
        <v>7.95</v>
      </c>
      <c r="F82" s="64">
        <v>2.13</v>
      </c>
      <c r="G82" s="64">
        <v>139.68</v>
      </c>
      <c r="H82" s="64">
        <v>18.54</v>
      </c>
      <c r="I82" s="214" t="s">
        <v>43</v>
      </c>
      <c r="J82" s="64">
        <v>0.91</v>
      </c>
      <c r="K82" s="64">
        <v>5.81</v>
      </c>
      <c r="L82" s="64">
        <v>24.08</v>
      </c>
      <c r="M82" s="64">
        <v>42.92</v>
      </c>
      <c r="N82" s="64">
        <v>63.7</v>
      </c>
      <c r="O82" s="64">
        <v>0</v>
      </c>
      <c r="P82" s="64">
        <v>1.53</v>
      </c>
      <c r="Q82" s="64">
        <v>9.3800000000000008</v>
      </c>
      <c r="R82" s="198"/>
      <c r="S82" s="198"/>
      <c r="T82" s="198"/>
      <c r="U82" s="198"/>
    </row>
    <row r="83" spans="1:26" s="12" customFormat="1" x14ac:dyDescent="0.25">
      <c r="A83" s="213" t="s">
        <v>2046</v>
      </c>
      <c r="B83" s="64">
        <v>14.8</v>
      </c>
      <c r="C83" s="64">
        <v>85.42</v>
      </c>
      <c r="D83" s="64">
        <v>98.12</v>
      </c>
      <c r="E83" s="64">
        <v>7.57</v>
      </c>
      <c r="F83" s="64">
        <v>2.13</v>
      </c>
      <c r="G83" s="64">
        <v>139.68</v>
      </c>
      <c r="H83" s="64">
        <v>18.54</v>
      </c>
      <c r="I83" s="214" t="s">
        <v>43</v>
      </c>
      <c r="J83" s="64">
        <v>0.95</v>
      </c>
      <c r="K83" s="64">
        <v>2.91</v>
      </c>
      <c r="L83" s="64">
        <v>23.81</v>
      </c>
      <c r="M83" s="64">
        <v>43.44</v>
      </c>
      <c r="N83" s="64">
        <v>63.5</v>
      </c>
      <c r="O83" s="64">
        <v>0</v>
      </c>
      <c r="P83" s="64">
        <v>1.32</v>
      </c>
      <c r="Q83" s="64">
        <v>9.4</v>
      </c>
      <c r="R83" s="198"/>
      <c r="S83" s="198"/>
      <c r="T83" s="198"/>
      <c r="U83" s="198"/>
    </row>
    <row r="84" spans="1:26" s="12" customFormat="1" x14ac:dyDescent="0.25">
      <c r="A84" s="213" t="s">
        <v>2047</v>
      </c>
      <c r="B84" s="64">
        <v>16.79</v>
      </c>
      <c r="C84" s="64">
        <v>87.82</v>
      </c>
      <c r="D84" s="64">
        <v>102.5</v>
      </c>
      <c r="E84" s="64">
        <v>7.83</v>
      </c>
      <c r="F84" s="64">
        <v>2.13</v>
      </c>
      <c r="G84" s="64">
        <v>139.68</v>
      </c>
      <c r="H84" s="64">
        <v>18.54</v>
      </c>
      <c r="I84" s="214" t="s">
        <v>43</v>
      </c>
      <c r="J84" s="64">
        <v>0.54</v>
      </c>
      <c r="K84" s="64">
        <v>16.25</v>
      </c>
      <c r="L84" s="64">
        <v>23.47</v>
      </c>
      <c r="M84" s="64">
        <v>44.27</v>
      </c>
      <c r="N84" s="64">
        <v>63.9</v>
      </c>
      <c r="O84" s="64">
        <v>0</v>
      </c>
      <c r="P84" s="64">
        <v>1.75</v>
      </c>
      <c r="Q84" s="64">
        <v>9.39</v>
      </c>
      <c r="R84" s="198"/>
      <c r="S84" s="198"/>
      <c r="T84" s="198"/>
      <c r="U84" s="198"/>
    </row>
    <row r="85" spans="1:26" s="12" customFormat="1" x14ac:dyDescent="0.25">
      <c r="A85" s="213" t="s">
        <v>2048</v>
      </c>
      <c r="B85" s="64">
        <v>19.170000000000002</v>
      </c>
      <c r="C85" s="64">
        <v>90.02</v>
      </c>
      <c r="D85" s="64">
        <v>107.1</v>
      </c>
      <c r="E85" s="64">
        <v>8.56</v>
      </c>
      <c r="F85" s="64">
        <v>2.13</v>
      </c>
      <c r="G85" s="64">
        <v>159.88</v>
      </c>
      <c r="H85" s="212" t="s">
        <v>42</v>
      </c>
      <c r="I85" s="214" t="s">
        <v>43</v>
      </c>
      <c r="J85" s="64">
        <v>0.98</v>
      </c>
      <c r="K85" s="64">
        <v>3.85</v>
      </c>
      <c r="L85" s="64">
        <v>23.29</v>
      </c>
      <c r="M85" s="64">
        <v>45.58</v>
      </c>
      <c r="N85" s="64">
        <v>63.2</v>
      </c>
      <c r="O85" s="64">
        <v>0</v>
      </c>
      <c r="P85" s="64">
        <v>1.68</v>
      </c>
      <c r="Q85" s="64">
        <v>9.35</v>
      </c>
      <c r="R85" s="198"/>
      <c r="S85" s="198"/>
      <c r="T85" s="198"/>
      <c r="U85" s="198"/>
    </row>
    <row r="86" spans="1:26" s="12" customFormat="1" x14ac:dyDescent="0.25">
      <c r="A86" s="213" t="s">
        <v>2049</v>
      </c>
      <c r="B86" s="64">
        <v>21.51</v>
      </c>
      <c r="C86" s="64">
        <v>91.23</v>
      </c>
      <c r="D86" s="64">
        <v>110.64</v>
      </c>
      <c r="E86" s="64">
        <v>8.48</v>
      </c>
      <c r="F86" s="64">
        <v>2.13</v>
      </c>
      <c r="G86" s="64">
        <v>160.11000000000001</v>
      </c>
      <c r="H86" s="212" t="s">
        <v>42</v>
      </c>
      <c r="I86" s="214" t="s">
        <v>43</v>
      </c>
      <c r="J86" s="64">
        <v>0.68</v>
      </c>
      <c r="K86" s="64">
        <v>21.08</v>
      </c>
      <c r="L86" s="64">
        <v>23.08</v>
      </c>
      <c r="M86" s="64">
        <v>45.94</v>
      </c>
      <c r="N86" s="64">
        <v>63.6</v>
      </c>
      <c r="O86" s="64">
        <v>0</v>
      </c>
      <c r="P86" s="64">
        <v>1.73</v>
      </c>
      <c r="Q86" s="64">
        <v>9.35</v>
      </c>
      <c r="R86" s="198"/>
      <c r="S86" s="198"/>
      <c r="T86" s="198"/>
      <c r="U86" s="198"/>
    </row>
    <row r="87" spans="1:26" s="12" customFormat="1" x14ac:dyDescent="0.25">
      <c r="A87" s="213" t="s">
        <v>2050</v>
      </c>
      <c r="B87" s="64">
        <v>23.89</v>
      </c>
      <c r="C87" s="64">
        <v>92.01</v>
      </c>
      <c r="D87" s="64">
        <v>113.8</v>
      </c>
      <c r="E87" s="64">
        <v>9.3000000000000007</v>
      </c>
      <c r="F87" s="64">
        <v>2.13</v>
      </c>
      <c r="G87" s="64">
        <v>160.11000000000001</v>
      </c>
      <c r="H87" s="212" t="s">
        <v>42</v>
      </c>
      <c r="I87" s="214" t="s">
        <v>43</v>
      </c>
      <c r="J87" s="64">
        <v>0.56999999999999995</v>
      </c>
      <c r="K87" s="64">
        <v>61.22</v>
      </c>
      <c r="L87" s="64">
        <v>22.86</v>
      </c>
      <c r="M87" s="64">
        <v>46.48</v>
      </c>
      <c r="N87" s="64">
        <v>63.5</v>
      </c>
      <c r="O87" s="64">
        <v>0</v>
      </c>
      <c r="P87" s="64">
        <v>1.54</v>
      </c>
      <c r="Q87" s="64">
        <v>9.39</v>
      </c>
      <c r="R87" s="198"/>
      <c r="S87" s="198"/>
      <c r="T87" s="198"/>
      <c r="U87" s="198"/>
    </row>
    <row r="88" spans="1:26" s="12" customFormat="1" x14ac:dyDescent="0.25">
      <c r="A88" s="213" t="s">
        <v>2051</v>
      </c>
      <c r="B88" s="64">
        <v>24.52</v>
      </c>
      <c r="C88" s="64">
        <v>92.1</v>
      </c>
      <c r="D88" s="64">
        <v>114.52</v>
      </c>
      <c r="E88" s="64">
        <v>9.2200000000000006</v>
      </c>
      <c r="F88" s="64">
        <v>2.13</v>
      </c>
      <c r="G88" s="64">
        <v>160.11000000000001</v>
      </c>
      <c r="H88" s="212" t="s">
        <v>42</v>
      </c>
      <c r="I88" s="214" t="s">
        <v>43</v>
      </c>
      <c r="J88" s="64">
        <v>0.69</v>
      </c>
      <c r="K88" s="64">
        <v>78.12</v>
      </c>
      <c r="L88" s="64">
        <v>22.72</v>
      </c>
      <c r="M88" s="64">
        <v>46.92</v>
      </c>
      <c r="N88" s="64">
        <v>63.4</v>
      </c>
      <c r="O88" s="64">
        <v>0</v>
      </c>
      <c r="P88" s="64">
        <v>1.5</v>
      </c>
      <c r="Q88" s="64">
        <v>9.4499999999999993</v>
      </c>
      <c r="R88" s="198"/>
      <c r="S88" s="198"/>
      <c r="T88" s="198"/>
      <c r="U88" s="198"/>
    </row>
    <row r="89" spans="1:26" s="12" customFormat="1" x14ac:dyDescent="0.25">
      <c r="A89" s="213" t="s">
        <v>2052</v>
      </c>
      <c r="B89" s="64">
        <v>23.55</v>
      </c>
      <c r="C89" s="64">
        <v>90.58</v>
      </c>
      <c r="D89" s="64">
        <v>112.02</v>
      </c>
      <c r="E89" s="64">
        <v>9.1999999999999993</v>
      </c>
      <c r="F89" s="64">
        <v>2.13</v>
      </c>
      <c r="G89" s="64">
        <v>178.46</v>
      </c>
      <c r="H89" s="212" t="s">
        <v>42</v>
      </c>
      <c r="I89" s="214" t="s">
        <v>43</v>
      </c>
      <c r="J89" s="64">
        <v>0.79</v>
      </c>
      <c r="K89" s="64">
        <v>83.17</v>
      </c>
      <c r="L89" s="64">
        <v>22.67</v>
      </c>
      <c r="M89" s="64">
        <v>46.52</v>
      </c>
      <c r="N89" s="64">
        <v>63</v>
      </c>
      <c r="O89" s="64">
        <v>0</v>
      </c>
      <c r="P89" s="64">
        <v>1.4</v>
      </c>
      <c r="Q89" s="64">
        <v>9.48</v>
      </c>
      <c r="R89" s="198"/>
      <c r="S89" s="198"/>
      <c r="T89" s="198"/>
      <c r="U89" s="198"/>
    </row>
    <row r="90" spans="1:26" s="12" customFormat="1" x14ac:dyDescent="0.25">
      <c r="A90" s="213" t="s">
        <v>2053</v>
      </c>
      <c r="B90" s="64">
        <v>22.04</v>
      </c>
      <c r="C90" s="64">
        <v>89.21</v>
      </c>
      <c r="D90" s="64">
        <v>109.14</v>
      </c>
      <c r="E90" s="64">
        <v>8.7100000000000009</v>
      </c>
      <c r="F90" s="64">
        <v>2.13</v>
      </c>
      <c r="G90" s="64">
        <v>178.46</v>
      </c>
      <c r="H90" s="212" t="s">
        <v>42</v>
      </c>
      <c r="I90" s="214" t="s">
        <v>43</v>
      </c>
      <c r="J90" s="64">
        <v>0.6</v>
      </c>
      <c r="K90" s="64">
        <v>48.34</v>
      </c>
      <c r="L90" s="64">
        <v>22.45</v>
      </c>
      <c r="M90" s="64">
        <v>47.19</v>
      </c>
      <c r="N90" s="64">
        <v>63.6</v>
      </c>
      <c r="O90" s="64">
        <v>0</v>
      </c>
      <c r="P90" s="64">
        <v>1.31</v>
      </c>
      <c r="Q90" s="64">
        <v>9.48</v>
      </c>
      <c r="R90" s="198"/>
      <c r="S90" s="198"/>
      <c r="T90" s="198"/>
      <c r="U90" s="198"/>
    </row>
    <row r="91" spans="1:26" s="12" customFormat="1" x14ac:dyDescent="0.25">
      <c r="A91" s="213" t="s">
        <v>2054</v>
      </c>
      <c r="B91" s="64">
        <v>20.37</v>
      </c>
      <c r="C91" s="64">
        <v>87.49</v>
      </c>
      <c r="D91" s="64">
        <v>105.75</v>
      </c>
      <c r="E91" s="64">
        <v>8.2899999999999991</v>
      </c>
      <c r="F91" s="64">
        <v>2.13</v>
      </c>
      <c r="G91" s="64">
        <v>178.46</v>
      </c>
      <c r="H91" s="212" t="s">
        <v>42</v>
      </c>
      <c r="I91" s="214" t="s">
        <v>43</v>
      </c>
      <c r="J91" s="64">
        <v>0.56000000000000005</v>
      </c>
      <c r="K91" s="64">
        <v>63.84</v>
      </c>
      <c r="L91" s="64">
        <v>22.1</v>
      </c>
      <c r="M91" s="64">
        <v>49.28</v>
      </c>
      <c r="N91" s="64">
        <v>63.6</v>
      </c>
      <c r="O91" s="64">
        <v>0</v>
      </c>
      <c r="P91" s="64">
        <v>1.35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13" t="s">
        <v>2055</v>
      </c>
      <c r="B92" s="64">
        <v>19.91</v>
      </c>
      <c r="C92" s="64">
        <v>85.37</v>
      </c>
      <c r="D92" s="64">
        <v>103.18</v>
      </c>
      <c r="E92" s="64">
        <v>8.49</v>
      </c>
      <c r="F92" s="64">
        <v>2.13</v>
      </c>
      <c r="G92" s="64">
        <v>178.46</v>
      </c>
      <c r="H92" s="212" t="s">
        <v>42</v>
      </c>
      <c r="I92" s="214" t="s">
        <v>43</v>
      </c>
      <c r="J92" s="64">
        <v>0.5</v>
      </c>
      <c r="K92" s="64">
        <v>328.95</v>
      </c>
      <c r="L92" s="64">
        <v>21.8</v>
      </c>
      <c r="M92" s="64">
        <v>52.77</v>
      </c>
      <c r="N92" s="64">
        <v>63.6</v>
      </c>
      <c r="O92" s="64">
        <v>0</v>
      </c>
      <c r="P92" s="64">
        <v>2.17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13" t="s">
        <v>2056</v>
      </c>
      <c r="B93" s="64">
        <v>22.42</v>
      </c>
      <c r="C93" s="64">
        <v>86.67</v>
      </c>
      <c r="D93" s="64">
        <v>106.99</v>
      </c>
      <c r="E93" s="64">
        <v>8.27</v>
      </c>
      <c r="F93" s="64">
        <v>2.13</v>
      </c>
      <c r="G93" s="64">
        <v>127.33</v>
      </c>
      <c r="H93" s="212" t="s">
        <v>42</v>
      </c>
      <c r="I93" s="214" t="s">
        <v>43</v>
      </c>
      <c r="J93" s="64">
        <v>0.24</v>
      </c>
      <c r="K93" s="64">
        <v>37.409999999999997</v>
      </c>
      <c r="L93" s="64">
        <v>21.52</v>
      </c>
      <c r="M93" s="64">
        <v>53.38</v>
      </c>
      <c r="N93" s="64">
        <v>63.7</v>
      </c>
      <c r="O93" s="64">
        <v>0</v>
      </c>
      <c r="P93" s="64">
        <v>1.93</v>
      </c>
      <c r="Q93" s="64">
        <v>9.44</v>
      </c>
      <c r="R93" s="198"/>
      <c r="S93" s="198"/>
      <c r="T93" s="198"/>
      <c r="U93" s="198"/>
    </row>
    <row r="94" spans="1:26" s="12" customFormat="1" x14ac:dyDescent="0.25">
      <c r="A94" s="213" t="s">
        <v>2057</v>
      </c>
      <c r="B94" s="64">
        <v>25.27</v>
      </c>
      <c r="C94" s="64">
        <v>87.12</v>
      </c>
      <c r="D94" s="64">
        <v>110.29</v>
      </c>
      <c r="E94" s="64">
        <v>8.86</v>
      </c>
      <c r="F94" s="64">
        <v>2.13</v>
      </c>
      <c r="G94" s="64">
        <v>127.33</v>
      </c>
      <c r="H94" s="212" t="s">
        <v>42</v>
      </c>
      <c r="I94" s="214" t="s">
        <v>43</v>
      </c>
      <c r="J94" s="64">
        <v>0.56000000000000005</v>
      </c>
      <c r="K94" s="64">
        <v>325.61</v>
      </c>
      <c r="L94" s="64">
        <v>21.25</v>
      </c>
      <c r="M94" s="64">
        <v>55.09</v>
      </c>
      <c r="N94" s="64">
        <v>63.5</v>
      </c>
      <c r="O94" s="64">
        <v>0</v>
      </c>
      <c r="P94" s="64">
        <v>2.0699999999999998</v>
      </c>
      <c r="Q94" s="64">
        <v>9.43</v>
      </c>
      <c r="R94" s="198"/>
      <c r="S94" s="198"/>
      <c r="T94" s="198"/>
      <c r="U94" s="198"/>
    </row>
    <row r="95" spans="1:26" s="12" customFormat="1" x14ac:dyDescent="0.25">
      <c r="A95" s="213" t="s">
        <v>2058</v>
      </c>
      <c r="B95" s="64">
        <v>29.68</v>
      </c>
      <c r="C95" s="64">
        <v>87.4</v>
      </c>
      <c r="D95" s="64">
        <v>114.98</v>
      </c>
      <c r="E95" s="64">
        <v>8.85</v>
      </c>
      <c r="F95" s="64">
        <v>2.13</v>
      </c>
      <c r="G95" s="64">
        <v>127.33</v>
      </c>
      <c r="H95" s="212" t="s">
        <v>42</v>
      </c>
      <c r="I95" s="214" t="s">
        <v>43</v>
      </c>
      <c r="J95" s="64">
        <v>0.57999999999999996</v>
      </c>
      <c r="K95" s="64">
        <v>285.2</v>
      </c>
      <c r="L95" s="64">
        <v>20.92</v>
      </c>
      <c r="M95" s="64">
        <v>55.75</v>
      </c>
      <c r="N95" s="64">
        <v>63.6</v>
      </c>
      <c r="O95" s="64">
        <v>0</v>
      </c>
      <c r="P95" s="64">
        <v>1.99</v>
      </c>
      <c r="Q95" s="64">
        <v>9.42</v>
      </c>
      <c r="R95" s="198"/>
      <c r="S95" s="198"/>
      <c r="T95" s="198"/>
      <c r="U95" s="198"/>
    </row>
    <row r="96" spans="1:26" s="12" customFormat="1" x14ac:dyDescent="0.25">
      <c r="A96" s="213" t="s">
        <v>2059</v>
      </c>
      <c r="B96" s="64">
        <v>33.450000000000003</v>
      </c>
      <c r="C96" s="64">
        <v>87.69</v>
      </c>
      <c r="D96" s="64">
        <v>119.04</v>
      </c>
      <c r="E96" s="64">
        <v>9.2100000000000009</v>
      </c>
      <c r="F96" s="64">
        <v>2.13</v>
      </c>
      <c r="G96" s="64">
        <v>127.33</v>
      </c>
      <c r="H96" s="212" t="s">
        <v>42</v>
      </c>
      <c r="I96" s="214" t="s">
        <v>43</v>
      </c>
      <c r="J96" s="64">
        <v>0.18</v>
      </c>
      <c r="K96" s="64">
        <v>351.75</v>
      </c>
      <c r="L96" s="64">
        <v>20.68</v>
      </c>
      <c r="M96" s="64">
        <v>58.99</v>
      </c>
      <c r="N96" s="64">
        <v>63.3</v>
      </c>
      <c r="O96" s="64">
        <v>0</v>
      </c>
      <c r="P96" s="64">
        <v>2.08</v>
      </c>
      <c r="Q96" s="64">
        <v>9.42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2060</v>
      </c>
      <c r="B97" s="64">
        <v>38.6</v>
      </c>
      <c r="C97" s="64">
        <v>87.99</v>
      </c>
      <c r="D97" s="64">
        <v>124.48</v>
      </c>
      <c r="E97" s="64">
        <v>9.32</v>
      </c>
      <c r="F97" s="64">
        <v>2.13</v>
      </c>
      <c r="G97" s="64">
        <v>153.07</v>
      </c>
      <c r="H97" s="212" t="s">
        <v>42</v>
      </c>
      <c r="I97" s="214" t="s">
        <v>43</v>
      </c>
      <c r="J97" s="64">
        <v>0.56000000000000005</v>
      </c>
      <c r="K97" s="64">
        <v>240.21</v>
      </c>
      <c r="L97" s="64">
        <v>20.68</v>
      </c>
      <c r="M97" s="64">
        <v>59.91</v>
      </c>
      <c r="N97" s="64">
        <v>63</v>
      </c>
      <c r="O97" s="64">
        <v>0</v>
      </c>
      <c r="P97" s="64">
        <v>1.84</v>
      </c>
      <c r="Q97" s="64">
        <v>9.41</v>
      </c>
      <c r="R97" s="198"/>
      <c r="S97" s="198"/>
      <c r="T97" s="198"/>
      <c r="U97" s="198"/>
    </row>
    <row r="98" spans="1:33" s="12" customFormat="1" x14ac:dyDescent="0.25">
      <c r="A98" s="213" t="s">
        <v>2061</v>
      </c>
      <c r="B98" s="64">
        <v>44.89</v>
      </c>
      <c r="C98" s="64">
        <v>87.93</v>
      </c>
      <c r="D98" s="64">
        <v>130.72</v>
      </c>
      <c r="E98" s="64">
        <v>9.2200000000000006</v>
      </c>
      <c r="F98" s="64">
        <v>2.13</v>
      </c>
      <c r="G98" s="64">
        <v>153.07</v>
      </c>
      <c r="H98" s="212" t="s">
        <v>42</v>
      </c>
      <c r="I98" s="214" t="s">
        <v>43</v>
      </c>
      <c r="J98" s="64">
        <v>0.68</v>
      </c>
      <c r="K98" s="64">
        <v>331.67</v>
      </c>
      <c r="L98" s="64">
        <v>20.309999999999999</v>
      </c>
      <c r="M98" s="64">
        <v>65.53</v>
      </c>
      <c r="N98" s="64">
        <v>63.6</v>
      </c>
      <c r="O98" s="64">
        <v>0</v>
      </c>
      <c r="P98" s="64">
        <v>2.6</v>
      </c>
      <c r="Q98" s="64">
        <v>9.42</v>
      </c>
      <c r="R98" s="198"/>
      <c r="S98" s="198"/>
      <c r="T98" s="198"/>
      <c r="U98" s="198"/>
    </row>
    <row r="99" spans="1:33" s="12" customFormat="1" x14ac:dyDescent="0.25">
      <c r="A99" s="213" t="s">
        <v>2062</v>
      </c>
      <c r="B99" s="64">
        <v>55.11</v>
      </c>
      <c r="C99" s="64">
        <v>88.69</v>
      </c>
      <c r="D99" s="64">
        <v>141.69999999999999</v>
      </c>
      <c r="E99" s="64">
        <v>9.5399999999999991</v>
      </c>
      <c r="F99" s="64">
        <v>2.13</v>
      </c>
      <c r="G99" s="64">
        <v>153.07</v>
      </c>
      <c r="H99" s="212" t="s">
        <v>42</v>
      </c>
      <c r="I99" s="214" t="s">
        <v>43</v>
      </c>
      <c r="J99" s="64">
        <v>0.35</v>
      </c>
      <c r="K99" s="64">
        <v>275.54000000000002</v>
      </c>
      <c r="L99" s="64">
        <v>20.03</v>
      </c>
      <c r="M99" s="64">
        <v>65.430000000000007</v>
      </c>
      <c r="N99" s="64">
        <v>63.4</v>
      </c>
      <c r="O99" s="64">
        <v>0</v>
      </c>
      <c r="P99" s="64">
        <v>1.76</v>
      </c>
      <c r="Q99" s="64">
        <v>9.41</v>
      </c>
      <c r="R99" s="198"/>
      <c r="S99" s="198"/>
      <c r="T99" s="198"/>
      <c r="U99" s="198"/>
    </row>
    <row r="100" spans="1:33" s="12" customFormat="1" x14ac:dyDescent="0.25">
      <c r="A100" s="213" t="s">
        <v>2063</v>
      </c>
      <c r="B100" s="64">
        <v>64.89</v>
      </c>
      <c r="C100" s="64">
        <v>88.16</v>
      </c>
      <c r="D100" s="64">
        <v>150.94</v>
      </c>
      <c r="E100" s="64">
        <v>10.4</v>
      </c>
      <c r="F100" s="64">
        <v>2.13</v>
      </c>
      <c r="G100" s="64">
        <v>153.07</v>
      </c>
      <c r="H100" s="212" t="s">
        <v>42</v>
      </c>
      <c r="I100" s="214" t="s">
        <v>43</v>
      </c>
      <c r="J100" s="64">
        <v>0.66</v>
      </c>
      <c r="K100" s="64">
        <v>336.4</v>
      </c>
      <c r="L100" s="64">
        <v>19.940000000000001</v>
      </c>
      <c r="M100" s="64">
        <v>68.73</v>
      </c>
      <c r="N100" s="64">
        <v>63.8</v>
      </c>
      <c r="O100" s="64">
        <v>0</v>
      </c>
      <c r="P100" s="64">
        <v>1.95</v>
      </c>
      <c r="Q100" s="64">
        <v>9.4499999999999993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2064</v>
      </c>
      <c r="B101" s="64">
        <v>72.38</v>
      </c>
      <c r="C101" s="64">
        <v>88.32</v>
      </c>
      <c r="D101" s="64">
        <v>158.6</v>
      </c>
      <c r="E101" s="64">
        <v>10.18</v>
      </c>
      <c r="F101" s="64">
        <v>2.13</v>
      </c>
      <c r="G101" s="64">
        <v>179.29</v>
      </c>
      <c r="H101" s="212" t="s">
        <v>42</v>
      </c>
      <c r="I101" s="214" t="s">
        <v>43</v>
      </c>
      <c r="J101" s="64">
        <v>0.6</v>
      </c>
      <c r="K101" s="64">
        <v>278.73</v>
      </c>
      <c r="L101" s="64">
        <v>19.53</v>
      </c>
      <c r="M101" s="64">
        <v>66.22</v>
      </c>
      <c r="N101" s="64">
        <v>63.4</v>
      </c>
      <c r="O101" s="64">
        <v>0</v>
      </c>
      <c r="P101" s="64">
        <v>1.75</v>
      </c>
      <c r="Q101" s="64">
        <v>9.51</v>
      </c>
      <c r="R101" s="198"/>
      <c r="S101" s="198"/>
      <c r="T101" s="198"/>
      <c r="U101" s="198"/>
    </row>
    <row r="102" spans="1:33" s="12" customFormat="1" x14ac:dyDescent="0.25">
      <c r="A102" s="213" t="s">
        <v>2065</v>
      </c>
      <c r="B102" s="64">
        <v>74.22</v>
      </c>
      <c r="C102" s="64">
        <v>87.87</v>
      </c>
      <c r="D102" s="64">
        <v>159.99</v>
      </c>
      <c r="E102" s="64">
        <v>9.43</v>
      </c>
      <c r="F102" s="64">
        <v>2.13</v>
      </c>
      <c r="G102" s="64">
        <v>179.29</v>
      </c>
      <c r="H102" s="212" t="s">
        <v>42</v>
      </c>
      <c r="I102" s="214" t="s">
        <v>43</v>
      </c>
      <c r="J102" s="64">
        <v>0.7</v>
      </c>
      <c r="K102" s="64">
        <v>224.56</v>
      </c>
      <c r="L102" s="64">
        <v>20.03</v>
      </c>
      <c r="M102" s="64">
        <v>60.42</v>
      </c>
      <c r="N102" s="64">
        <v>62.9</v>
      </c>
      <c r="O102" s="64">
        <v>0</v>
      </c>
      <c r="P102" s="64">
        <v>1.74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3" t="s">
        <v>2066</v>
      </c>
      <c r="B103" s="64">
        <v>72.819999999999993</v>
      </c>
      <c r="C103" s="64">
        <v>87.01</v>
      </c>
      <c r="D103" s="64">
        <v>157.72999999999999</v>
      </c>
      <c r="E103" s="64">
        <v>9.42</v>
      </c>
      <c r="F103" s="64">
        <v>2.13</v>
      </c>
      <c r="G103" s="64">
        <v>179.29</v>
      </c>
      <c r="H103" s="212" t="s">
        <v>42</v>
      </c>
      <c r="I103" s="214" t="s">
        <v>43</v>
      </c>
      <c r="J103" s="64">
        <v>0.73</v>
      </c>
      <c r="K103" s="64">
        <v>244.32</v>
      </c>
      <c r="L103" s="64">
        <v>19.989999999999998</v>
      </c>
      <c r="M103" s="64">
        <v>63.04</v>
      </c>
      <c r="N103" s="64">
        <v>63.5</v>
      </c>
      <c r="O103" s="64">
        <v>0</v>
      </c>
      <c r="P103" s="64">
        <v>1.62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3" t="s">
        <v>2067</v>
      </c>
      <c r="B104" s="64">
        <v>70.209999999999994</v>
      </c>
      <c r="C104" s="64">
        <v>84.91</v>
      </c>
      <c r="D104" s="64">
        <v>153.02000000000001</v>
      </c>
      <c r="E104" s="64">
        <v>6.69</v>
      </c>
      <c r="F104" s="64">
        <v>2.13</v>
      </c>
      <c r="G104" s="64">
        <v>179.29</v>
      </c>
      <c r="H104" s="212" t="s">
        <v>42</v>
      </c>
      <c r="I104" s="214" t="s">
        <v>43</v>
      </c>
      <c r="J104" s="64">
        <v>0.64</v>
      </c>
      <c r="K104" s="64">
        <v>273.16000000000003</v>
      </c>
      <c r="L104" s="64">
        <v>19.48</v>
      </c>
      <c r="M104" s="64">
        <v>64.89</v>
      </c>
      <c r="N104" s="64">
        <v>63.7</v>
      </c>
      <c r="O104" s="64">
        <v>0</v>
      </c>
      <c r="P104" s="64">
        <v>1.6</v>
      </c>
      <c r="Q104" s="64">
        <v>9.67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4.38</v>
      </c>
      <c r="C106" s="67">
        <f>MIN(C9:C104)</f>
        <v>65.53</v>
      </c>
      <c r="D106" s="67">
        <f t="shared" ref="D106:Q106" si="0">MIN(D9:D104)</f>
        <v>78.56</v>
      </c>
      <c r="E106" s="67">
        <f t="shared" si="0"/>
        <v>5.78</v>
      </c>
      <c r="F106" s="67">
        <f t="shared" si="0"/>
        <v>2.13</v>
      </c>
      <c r="G106" s="67">
        <f t="shared" si="0"/>
        <v>72.3</v>
      </c>
      <c r="H106" s="67">
        <f t="shared" si="0"/>
        <v>18.54</v>
      </c>
      <c r="I106" s="67">
        <f t="shared" si="0"/>
        <v>0</v>
      </c>
      <c r="J106" s="67">
        <f t="shared" si="0"/>
        <v>0.02</v>
      </c>
      <c r="K106" s="67">
        <f t="shared" si="0"/>
        <v>0.56999999999999995</v>
      </c>
      <c r="L106" s="67">
        <f t="shared" si="0"/>
        <v>16.329999999999998</v>
      </c>
      <c r="M106" s="67">
        <f t="shared" si="0"/>
        <v>26.84</v>
      </c>
      <c r="N106" s="67">
        <f t="shared" si="0"/>
        <v>62.9</v>
      </c>
      <c r="O106" s="67">
        <f t="shared" si="0"/>
        <v>0</v>
      </c>
      <c r="P106" s="67">
        <f t="shared" si="0"/>
        <v>0.75</v>
      </c>
      <c r="Q106" s="67">
        <f t="shared" si="0"/>
        <v>9.35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84.65</v>
      </c>
      <c r="C107" s="66">
        <f t="shared" ref="C107:Q107" si="1">MAX(C9:C104)</f>
        <v>92.1</v>
      </c>
      <c r="D107" s="66">
        <f t="shared" si="1"/>
        <v>166.27</v>
      </c>
      <c r="E107" s="66">
        <f t="shared" si="1"/>
        <v>10.93</v>
      </c>
      <c r="F107" s="66">
        <f t="shared" si="1"/>
        <v>3.17</v>
      </c>
      <c r="G107" s="66">
        <f t="shared" si="1"/>
        <v>248.87</v>
      </c>
      <c r="H107" s="66">
        <f t="shared" si="1"/>
        <v>76.97</v>
      </c>
      <c r="I107" s="66">
        <f t="shared" si="1"/>
        <v>0</v>
      </c>
      <c r="J107" s="66">
        <f t="shared" si="1"/>
        <v>1.71</v>
      </c>
      <c r="K107" s="66">
        <f t="shared" si="1"/>
        <v>359.88</v>
      </c>
      <c r="L107" s="66">
        <f t="shared" si="1"/>
        <v>31.25</v>
      </c>
      <c r="M107" s="66">
        <f t="shared" si="1"/>
        <v>79.58</v>
      </c>
      <c r="N107" s="66">
        <f t="shared" si="1"/>
        <v>776</v>
      </c>
      <c r="O107" s="66">
        <f t="shared" si="1"/>
        <v>0</v>
      </c>
      <c r="P107" s="66">
        <f t="shared" si="1"/>
        <v>2.6</v>
      </c>
      <c r="Q107" s="66">
        <f t="shared" si="1"/>
        <v>9.82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34.151041666666664</v>
      </c>
      <c r="C108" s="67">
        <f t="shared" ref="C108:Q108" si="2">AVERAGE(C9:C104)</f>
        <v>79.267291666666665</v>
      </c>
      <c r="D108" s="67">
        <f t="shared" si="2"/>
        <v>111.3178125</v>
      </c>
      <c r="E108" s="67">
        <f t="shared" si="2"/>
        <v>7.8481249999999987</v>
      </c>
      <c r="F108" s="67">
        <f t="shared" si="2"/>
        <v>2.1749999999999976</v>
      </c>
      <c r="G108" s="67">
        <f t="shared" si="2"/>
        <v>141.73239583333321</v>
      </c>
      <c r="H108" s="67">
        <f t="shared" si="2"/>
        <v>46.021973684210536</v>
      </c>
      <c r="I108" s="67" t="e">
        <f t="shared" si="2"/>
        <v>#DIV/0!</v>
      </c>
      <c r="J108" s="67">
        <f t="shared" si="2"/>
        <v>0.7645833333333335</v>
      </c>
      <c r="K108" s="67">
        <f t="shared" si="2"/>
        <v>191.92031250000002</v>
      </c>
      <c r="L108" s="67">
        <f t="shared" si="2"/>
        <v>22.503645833333337</v>
      </c>
      <c r="M108" s="67">
        <f t="shared" si="2"/>
        <v>50.623229166666675</v>
      </c>
      <c r="N108" s="67">
        <f t="shared" si="2"/>
        <v>228.85104166666667</v>
      </c>
      <c r="O108" s="67">
        <f t="shared" si="2"/>
        <v>0</v>
      </c>
      <c r="P108" s="67">
        <f t="shared" si="2"/>
        <v>1.2773958333333335</v>
      </c>
      <c r="Q108" s="67">
        <f t="shared" si="2"/>
        <v>9.524270833333329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21.333648069567008</v>
      </c>
      <c r="C109" s="67">
        <f t="shared" ref="C109:Q109" si="3">STDEV(C9:C104)</f>
        <v>6.777945423700805</v>
      </c>
      <c r="D109" s="67">
        <f t="shared" si="3"/>
        <v>21.656179242308625</v>
      </c>
      <c r="E109" s="67">
        <f t="shared" si="3"/>
        <v>1.2123689836974567</v>
      </c>
      <c r="F109" s="67">
        <f t="shared" si="3"/>
        <v>0.15978933499751274</v>
      </c>
      <c r="G109" s="67">
        <f t="shared" si="3"/>
        <v>47.017516550969084</v>
      </c>
      <c r="H109" s="67">
        <f t="shared" si="3"/>
        <v>14.920723755433738</v>
      </c>
      <c r="I109" s="67" t="e">
        <f t="shared" si="3"/>
        <v>#DIV/0!</v>
      </c>
      <c r="J109" s="67">
        <f t="shared" si="3"/>
        <v>0.37018037329378928</v>
      </c>
      <c r="K109" s="67">
        <f t="shared" si="3"/>
        <v>128.35008308654253</v>
      </c>
      <c r="L109" s="67">
        <f t="shared" si="3"/>
        <v>4.4415940997495031</v>
      </c>
      <c r="M109" s="67">
        <f t="shared" si="3"/>
        <v>15.806097457346652</v>
      </c>
      <c r="N109" s="67">
        <f t="shared" si="3"/>
        <v>240.97054635251564</v>
      </c>
      <c r="O109" s="67">
        <f t="shared" si="3"/>
        <v>0</v>
      </c>
      <c r="P109" s="67">
        <f t="shared" si="3"/>
        <v>0.36804817988858296</v>
      </c>
      <c r="Q109" s="67">
        <f t="shared" si="3"/>
        <v>0.12261831915738548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COUNT(H9:H104)+20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2068</v>
      </c>
      <c r="B9" s="64">
        <v>67.75</v>
      </c>
      <c r="C9" s="64">
        <v>83.41</v>
      </c>
      <c r="D9" s="64">
        <v>149.07</v>
      </c>
      <c r="E9" s="64">
        <v>7.2</v>
      </c>
      <c r="F9" s="64">
        <v>2.13</v>
      </c>
      <c r="G9" s="64">
        <v>138.13</v>
      </c>
      <c r="H9" s="64">
        <v>14.2</v>
      </c>
      <c r="I9" s="210" t="s">
        <v>43</v>
      </c>
      <c r="J9" s="64">
        <v>0.6</v>
      </c>
      <c r="K9" s="64">
        <v>334.31</v>
      </c>
      <c r="L9" s="64">
        <v>19.010000000000002</v>
      </c>
      <c r="M9" s="64">
        <v>68.48</v>
      </c>
      <c r="N9" s="64">
        <v>63.8</v>
      </c>
      <c r="O9" s="64">
        <v>0</v>
      </c>
      <c r="P9" s="64">
        <v>1.64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13" t="s">
        <v>2069</v>
      </c>
      <c r="B10" s="64">
        <v>65.97</v>
      </c>
      <c r="C10" s="64">
        <v>81.93</v>
      </c>
      <c r="D10" s="64">
        <v>145.81</v>
      </c>
      <c r="E10" s="64">
        <v>7.23</v>
      </c>
      <c r="F10" s="64">
        <v>2.13</v>
      </c>
      <c r="G10" s="64">
        <v>138.13</v>
      </c>
      <c r="H10" s="212" t="s">
        <v>42</v>
      </c>
      <c r="I10" s="210" t="s">
        <v>43</v>
      </c>
      <c r="J10" s="64">
        <v>0.63</v>
      </c>
      <c r="K10" s="64">
        <v>327.17</v>
      </c>
      <c r="L10" s="64">
        <v>18.690000000000001</v>
      </c>
      <c r="M10" s="64">
        <v>71.72</v>
      </c>
      <c r="N10" s="64">
        <v>63.7</v>
      </c>
      <c r="O10" s="64">
        <v>0</v>
      </c>
      <c r="P10" s="64">
        <v>1.59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3" t="s">
        <v>2070</v>
      </c>
      <c r="B11" s="64">
        <v>64.3</v>
      </c>
      <c r="C11" s="64">
        <v>80.05</v>
      </c>
      <c r="D11" s="64">
        <v>142.25</v>
      </c>
      <c r="E11" s="64">
        <v>7</v>
      </c>
      <c r="F11" s="64">
        <v>2.13</v>
      </c>
      <c r="G11" s="64">
        <v>138.13</v>
      </c>
      <c r="H11" s="212" t="s">
        <v>42</v>
      </c>
      <c r="I11" s="210" t="s">
        <v>43</v>
      </c>
      <c r="J11" s="64">
        <v>0.65</v>
      </c>
      <c r="K11" s="64">
        <v>313.99</v>
      </c>
      <c r="L11" s="64">
        <v>18.47</v>
      </c>
      <c r="M11" s="64">
        <v>73.17</v>
      </c>
      <c r="N11" s="64">
        <v>63.7</v>
      </c>
      <c r="O11" s="64">
        <v>0</v>
      </c>
      <c r="P11" s="64">
        <v>1.58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13" t="s">
        <v>2071</v>
      </c>
      <c r="B12" s="64">
        <v>62.76</v>
      </c>
      <c r="C12" s="64">
        <v>79.05</v>
      </c>
      <c r="D12" s="64">
        <v>139.72</v>
      </c>
      <c r="E12" s="64">
        <v>6.96</v>
      </c>
      <c r="F12" s="64">
        <v>2.13</v>
      </c>
      <c r="G12" s="64">
        <v>138.13</v>
      </c>
      <c r="H12" s="212" t="s">
        <v>42</v>
      </c>
      <c r="I12" s="210" t="s">
        <v>43</v>
      </c>
      <c r="J12" s="64">
        <v>0.68</v>
      </c>
      <c r="K12" s="64">
        <v>329.25</v>
      </c>
      <c r="L12" s="64">
        <v>18.32</v>
      </c>
      <c r="M12" s="64">
        <v>74.510000000000005</v>
      </c>
      <c r="N12" s="64">
        <v>63.6</v>
      </c>
      <c r="O12" s="64">
        <v>0</v>
      </c>
      <c r="P12" s="64">
        <v>1.51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3" t="s">
        <v>2072</v>
      </c>
      <c r="B13" s="64">
        <v>62.22</v>
      </c>
      <c r="C13" s="64">
        <v>76.38</v>
      </c>
      <c r="D13" s="64">
        <v>136.5</v>
      </c>
      <c r="E13" s="64">
        <v>6.54</v>
      </c>
      <c r="F13" s="64">
        <v>2.13</v>
      </c>
      <c r="G13" s="64">
        <v>139.4</v>
      </c>
      <c r="H13" s="212" t="s">
        <v>42</v>
      </c>
      <c r="I13" s="210" t="s">
        <v>43</v>
      </c>
      <c r="J13" s="64">
        <v>0.53</v>
      </c>
      <c r="K13" s="64">
        <v>310.66000000000003</v>
      </c>
      <c r="L13" s="64">
        <v>18.149999999999999</v>
      </c>
      <c r="M13" s="64">
        <v>76.760000000000005</v>
      </c>
      <c r="N13" s="64">
        <v>63.6</v>
      </c>
      <c r="O13" s="64">
        <v>0</v>
      </c>
      <c r="P13" s="64">
        <v>1.23</v>
      </c>
      <c r="Q13" s="64">
        <v>9.67</v>
      </c>
      <c r="R13" s="198"/>
      <c r="S13" s="198"/>
      <c r="T13" s="198"/>
      <c r="U13" s="198"/>
    </row>
    <row r="14" spans="1:21" s="12" customFormat="1" x14ac:dyDescent="0.25">
      <c r="A14" s="213" t="s">
        <v>2073</v>
      </c>
      <c r="B14" s="64">
        <v>61.33</v>
      </c>
      <c r="C14" s="64">
        <v>74.84</v>
      </c>
      <c r="D14" s="64">
        <v>134.07</v>
      </c>
      <c r="E14" s="64">
        <v>6.32</v>
      </c>
      <c r="F14" s="64">
        <v>2.13</v>
      </c>
      <c r="G14" s="64">
        <v>139.4</v>
      </c>
      <c r="H14" s="212" t="s">
        <v>42</v>
      </c>
      <c r="I14" s="210" t="s">
        <v>43</v>
      </c>
      <c r="J14" s="64">
        <v>0.53</v>
      </c>
      <c r="K14" s="64">
        <v>272.56</v>
      </c>
      <c r="L14" s="64">
        <v>18.239999999999998</v>
      </c>
      <c r="M14" s="64">
        <v>72.260000000000005</v>
      </c>
      <c r="N14" s="64">
        <v>63.2</v>
      </c>
      <c r="O14" s="64">
        <v>0</v>
      </c>
      <c r="P14" s="64">
        <v>1.26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3" t="s">
        <v>2074</v>
      </c>
      <c r="B15" s="64">
        <v>60.96</v>
      </c>
      <c r="C15" s="64">
        <v>75.98</v>
      </c>
      <c r="D15" s="64">
        <v>134.84</v>
      </c>
      <c r="E15" s="64">
        <v>6.58</v>
      </c>
      <c r="F15" s="64">
        <v>2.13</v>
      </c>
      <c r="G15" s="64">
        <v>139.4</v>
      </c>
      <c r="H15" s="212" t="s">
        <v>42</v>
      </c>
      <c r="I15" s="210" t="s">
        <v>43</v>
      </c>
      <c r="J15" s="64">
        <v>0.78</v>
      </c>
      <c r="K15" s="64">
        <v>214.87</v>
      </c>
      <c r="L15" s="64">
        <v>18.8</v>
      </c>
      <c r="M15" s="64">
        <v>66.19</v>
      </c>
      <c r="N15" s="64">
        <v>62.9</v>
      </c>
      <c r="O15" s="64">
        <v>0</v>
      </c>
      <c r="P15" s="64">
        <v>1.25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3" t="s">
        <v>2075</v>
      </c>
      <c r="B16" s="64">
        <v>59.69</v>
      </c>
      <c r="C16" s="64">
        <v>75.77</v>
      </c>
      <c r="D16" s="64">
        <v>133.36000000000001</v>
      </c>
      <c r="E16" s="64">
        <v>6.29</v>
      </c>
      <c r="F16" s="64">
        <v>2.13</v>
      </c>
      <c r="G16" s="64">
        <v>139.4</v>
      </c>
      <c r="H16" s="212" t="s">
        <v>42</v>
      </c>
      <c r="I16" s="210" t="s">
        <v>43</v>
      </c>
      <c r="J16" s="64">
        <v>0.71</v>
      </c>
      <c r="K16" s="64">
        <v>228.07</v>
      </c>
      <c r="L16" s="64">
        <v>18.82</v>
      </c>
      <c r="M16" s="64">
        <v>63.66</v>
      </c>
      <c r="N16" s="64">
        <v>63.4</v>
      </c>
      <c r="O16" s="64">
        <v>0</v>
      </c>
      <c r="P16" s="64">
        <v>1.1200000000000001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3" t="s">
        <v>2076</v>
      </c>
      <c r="B17" s="64">
        <v>57.48</v>
      </c>
      <c r="C17" s="64">
        <v>75.42</v>
      </c>
      <c r="D17" s="64">
        <v>130.80000000000001</v>
      </c>
      <c r="E17" s="64">
        <v>6.29</v>
      </c>
      <c r="F17" s="64">
        <v>2.13</v>
      </c>
      <c r="G17" s="64">
        <v>114.43</v>
      </c>
      <c r="H17" s="212" t="s">
        <v>42</v>
      </c>
      <c r="I17" s="210" t="s">
        <v>43</v>
      </c>
      <c r="J17" s="64">
        <v>0.53</v>
      </c>
      <c r="K17" s="64">
        <v>335.1</v>
      </c>
      <c r="L17" s="64">
        <v>18.47</v>
      </c>
      <c r="M17" s="64">
        <v>67.08</v>
      </c>
      <c r="N17" s="64">
        <v>63.7</v>
      </c>
      <c r="O17" s="64">
        <v>0</v>
      </c>
      <c r="P17" s="64">
        <v>1.1200000000000001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3" t="s">
        <v>2077</v>
      </c>
      <c r="B18" s="64">
        <v>54.94</v>
      </c>
      <c r="C18" s="64">
        <v>74.53</v>
      </c>
      <c r="D18" s="64">
        <v>127.38</v>
      </c>
      <c r="E18" s="64">
        <v>6.21</v>
      </c>
      <c r="F18" s="64">
        <v>2.13</v>
      </c>
      <c r="G18" s="64">
        <v>114.15</v>
      </c>
      <c r="H18" s="212" t="s">
        <v>42</v>
      </c>
      <c r="I18" s="210" t="s">
        <v>43</v>
      </c>
      <c r="J18" s="64">
        <v>0.69</v>
      </c>
      <c r="K18" s="64">
        <v>332.6</v>
      </c>
      <c r="L18" s="64">
        <v>17.95</v>
      </c>
      <c r="M18" s="64">
        <v>71.16</v>
      </c>
      <c r="N18" s="64">
        <v>63.7</v>
      </c>
      <c r="O18" s="64">
        <v>0</v>
      </c>
      <c r="P18" s="64">
        <v>1.1200000000000001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3" t="s">
        <v>2078</v>
      </c>
      <c r="B19" s="64">
        <v>52.28</v>
      </c>
      <c r="C19" s="64">
        <v>73.400000000000006</v>
      </c>
      <c r="D19" s="64">
        <v>123.59</v>
      </c>
      <c r="E19" s="64">
        <v>6.14</v>
      </c>
      <c r="F19" s="64">
        <v>2.13</v>
      </c>
      <c r="G19" s="64">
        <v>114.15</v>
      </c>
      <c r="H19" s="212" t="s">
        <v>42</v>
      </c>
      <c r="I19" s="210" t="s">
        <v>43</v>
      </c>
      <c r="J19" s="64">
        <v>1.1399999999999999</v>
      </c>
      <c r="K19" s="64">
        <v>347.58</v>
      </c>
      <c r="L19" s="64">
        <v>17.72</v>
      </c>
      <c r="M19" s="64">
        <v>73.760000000000005</v>
      </c>
      <c r="N19" s="64">
        <v>62.8</v>
      </c>
      <c r="O19" s="64">
        <v>0</v>
      </c>
      <c r="P19" s="64">
        <v>1.1499999999999999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3" t="s">
        <v>2079</v>
      </c>
      <c r="B20" s="64">
        <v>49.11</v>
      </c>
      <c r="C20" s="64">
        <v>72.16</v>
      </c>
      <c r="D20" s="64">
        <v>119.17</v>
      </c>
      <c r="E20" s="64">
        <v>6.32</v>
      </c>
      <c r="F20" s="64">
        <v>2.13</v>
      </c>
      <c r="G20" s="64">
        <v>114.15</v>
      </c>
      <c r="H20" s="212" t="s">
        <v>42</v>
      </c>
      <c r="I20" s="210" t="s">
        <v>43</v>
      </c>
      <c r="J20" s="64">
        <v>1.72</v>
      </c>
      <c r="K20" s="64">
        <v>344.35</v>
      </c>
      <c r="L20" s="64">
        <v>17.95</v>
      </c>
      <c r="M20" s="64">
        <v>76.19</v>
      </c>
      <c r="N20" s="64">
        <v>62.7</v>
      </c>
      <c r="O20" s="64">
        <v>0</v>
      </c>
      <c r="P20" s="64">
        <v>1.1599999999999999</v>
      </c>
      <c r="Q20" s="64">
        <v>9.6</v>
      </c>
      <c r="R20" s="198"/>
      <c r="S20" s="198"/>
      <c r="T20" s="198"/>
      <c r="U20" s="198"/>
    </row>
    <row r="21" spans="1:21" s="12" customFormat="1" x14ac:dyDescent="0.25">
      <c r="A21" s="213" t="s">
        <v>2080</v>
      </c>
      <c r="B21" s="64">
        <v>46.8</v>
      </c>
      <c r="C21" s="64">
        <v>68.8</v>
      </c>
      <c r="D21" s="64">
        <v>113.5</v>
      </c>
      <c r="E21" s="64">
        <v>6.18</v>
      </c>
      <c r="F21" s="64">
        <v>2.13</v>
      </c>
      <c r="G21" s="64">
        <v>94.8</v>
      </c>
      <c r="H21" s="212" t="s">
        <v>42</v>
      </c>
      <c r="I21" s="210" t="s">
        <v>43</v>
      </c>
      <c r="J21" s="64">
        <v>1.65</v>
      </c>
      <c r="K21" s="64">
        <v>342.94</v>
      </c>
      <c r="L21" s="64">
        <v>17.98</v>
      </c>
      <c r="M21" s="64">
        <v>73.12</v>
      </c>
      <c r="N21" s="64">
        <v>63</v>
      </c>
      <c r="O21" s="64">
        <v>0</v>
      </c>
      <c r="P21" s="64">
        <v>1.23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3" t="s">
        <v>2081</v>
      </c>
      <c r="B22" s="64">
        <v>44.22</v>
      </c>
      <c r="C22" s="64">
        <v>68.75</v>
      </c>
      <c r="D22" s="64">
        <v>110.88</v>
      </c>
      <c r="E22" s="64">
        <v>6.22</v>
      </c>
      <c r="F22" s="64">
        <v>2.13</v>
      </c>
      <c r="G22" s="64">
        <v>94.58</v>
      </c>
      <c r="H22" s="212" t="s">
        <v>42</v>
      </c>
      <c r="I22" s="210" t="s">
        <v>43</v>
      </c>
      <c r="J22" s="64">
        <v>1.51</v>
      </c>
      <c r="K22" s="64">
        <v>339.27</v>
      </c>
      <c r="L22" s="64">
        <v>18.05</v>
      </c>
      <c r="M22" s="64">
        <v>71.02</v>
      </c>
      <c r="N22" s="64">
        <v>63</v>
      </c>
      <c r="O22" s="64">
        <v>0</v>
      </c>
      <c r="P22" s="64">
        <v>1.22</v>
      </c>
      <c r="Q22" s="64">
        <v>9.57</v>
      </c>
      <c r="R22" s="198"/>
      <c r="S22" s="198"/>
      <c r="T22" s="198"/>
      <c r="U22" s="198"/>
    </row>
    <row r="23" spans="1:21" s="12" customFormat="1" x14ac:dyDescent="0.25">
      <c r="A23" s="213" t="s">
        <v>2082</v>
      </c>
      <c r="B23" s="64">
        <v>41.47</v>
      </c>
      <c r="C23" s="64">
        <v>68.510000000000005</v>
      </c>
      <c r="D23" s="64">
        <v>107.88</v>
      </c>
      <c r="E23" s="64">
        <v>6.84</v>
      </c>
      <c r="F23" s="64">
        <v>2.13</v>
      </c>
      <c r="G23" s="64">
        <v>94.58</v>
      </c>
      <c r="H23" s="212" t="s">
        <v>42</v>
      </c>
      <c r="I23" s="210" t="s">
        <v>43</v>
      </c>
      <c r="J23" s="64">
        <v>1.4</v>
      </c>
      <c r="K23" s="64">
        <v>356.19</v>
      </c>
      <c r="L23" s="64">
        <v>18.170000000000002</v>
      </c>
      <c r="M23" s="64">
        <v>70.05</v>
      </c>
      <c r="N23" s="64">
        <v>63.3</v>
      </c>
      <c r="O23" s="64">
        <v>0</v>
      </c>
      <c r="P23" s="64">
        <v>1.2</v>
      </c>
      <c r="Q23" s="64">
        <v>9.57</v>
      </c>
      <c r="R23" s="198"/>
      <c r="S23" s="198"/>
      <c r="T23" s="198"/>
      <c r="U23" s="198"/>
    </row>
    <row r="24" spans="1:21" s="12" customFormat="1" x14ac:dyDescent="0.25">
      <c r="A24" s="213" t="s">
        <v>2083</v>
      </c>
      <c r="B24" s="64">
        <v>39.159999999999997</v>
      </c>
      <c r="C24" s="64">
        <v>68.45</v>
      </c>
      <c r="D24" s="64">
        <v>105.51</v>
      </c>
      <c r="E24" s="64">
        <v>6.59</v>
      </c>
      <c r="F24" s="64">
        <v>2.13</v>
      </c>
      <c r="G24" s="64">
        <v>94.58</v>
      </c>
      <c r="H24" s="212" t="s">
        <v>42</v>
      </c>
      <c r="I24" s="210" t="s">
        <v>43</v>
      </c>
      <c r="J24" s="64">
        <v>1.0900000000000001</v>
      </c>
      <c r="K24" s="64">
        <v>357.36</v>
      </c>
      <c r="L24" s="64">
        <v>18.399999999999999</v>
      </c>
      <c r="M24" s="64">
        <v>67.56</v>
      </c>
      <c r="N24" s="64">
        <v>63.4</v>
      </c>
      <c r="O24" s="64">
        <v>0</v>
      </c>
      <c r="P24" s="64">
        <v>1.21</v>
      </c>
      <c r="Q24" s="64">
        <v>9.56</v>
      </c>
      <c r="R24" s="198"/>
      <c r="S24" s="198"/>
      <c r="T24" s="198"/>
      <c r="U24" s="198"/>
    </row>
    <row r="25" spans="1:21" s="12" customFormat="1" x14ac:dyDescent="0.25">
      <c r="A25" s="213" t="s">
        <v>2084</v>
      </c>
      <c r="B25" s="64">
        <v>37.32</v>
      </c>
      <c r="C25" s="64">
        <v>69.459999999999994</v>
      </c>
      <c r="D25" s="64">
        <v>104.68</v>
      </c>
      <c r="E25" s="64">
        <v>7.04</v>
      </c>
      <c r="F25" s="64">
        <v>2.13</v>
      </c>
      <c r="G25" s="64">
        <v>150.41999999999999</v>
      </c>
      <c r="H25" s="212" t="s">
        <v>42</v>
      </c>
      <c r="I25" s="210" t="s">
        <v>43</v>
      </c>
      <c r="J25" s="64">
        <v>1.01</v>
      </c>
      <c r="K25" s="64">
        <v>0.81</v>
      </c>
      <c r="L25" s="64">
        <v>18.41</v>
      </c>
      <c r="M25" s="64">
        <v>68.03</v>
      </c>
      <c r="N25" s="64">
        <v>63.3</v>
      </c>
      <c r="O25" s="64">
        <v>0</v>
      </c>
      <c r="P25" s="64">
        <v>1.19</v>
      </c>
      <c r="Q25" s="64">
        <v>9.5299999999999994</v>
      </c>
      <c r="R25" s="198"/>
      <c r="S25" s="198"/>
      <c r="T25" s="198"/>
      <c r="U25" s="198"/>
    </row>
    <row r="26" spans="1:21" s="12" customFormat="1" x14ac:dyDescent="0.25">
      <c r="A26" s="213" t="s">
        <v>2085</v>
      </c>
      <c r="B26" s="64">
        <v>35.94</v>
      </c>
      <c r="C26" s="64">
        <v>70.040000000000006</v>
      </c>
      <c r="D26" s="64">
        <v>103.88</v>
      </c>
      <c r="E26" s="64">
        <v>7.07</v>
      </c>
      <c r="F26" s="64">
        <v>2.13</v>
      </c>
      <c r="G26" s="64">
        <v>151.05000000000001</v>
      </c>
      <c r="H26" s="212" t="s">
        <v>42</v>
      </c>
      <c r="I26" s="210" t="s">
        <v>43</v>
      </c>
      <c r="J26" s="64">
        <v>1.1100000000000001</v>
      </c>
      <c r="K26" s="64">
        <v>0.35</v>
      </c>
      <c r="L26" s="64">
        <v>18.39</v>
      </c>
      <c r="M26" s="64">
        <v>68.41</v>
      </c>
      <c r="N26" s="64">
        <v>63.4</v>
      </c>
      <c r="O26" s="64">
        <v>0</v>
      </c>
      <c r="P26" s="64">
        <v>1.19</v>
      </c>
      <c r="Q26" s="64">
        <v>9.52</v>
      </c>
      <c r="R26" s="198"/>
      <c r="S26" s="198"/>
      <c r="T26" s="198"/>
      <c r="U26" s="198"/>
    </row>
    <row r="27" spans="1:21" s="12" customFormat="1" x14ac:dyDescent="0.25">
      <c r="A27" s="213" t="s">
        <v>2086</v>
      </c>
      <c r="B27" s="64">
        <v>34.619999999999997</v>
      </c>
      <c r="C27" s="64">
        <v>69.64</v>
      </c>
      <c r="D27" s="64">
        <v>102.16</v>
      </c>
      <c r="E27" s="64">
        <v>6.59</v>
      </c>
      <c r="F27" s="64">
        <v>2.13</v>
      </c>
      <c r="G27" s="64">
        <v>151.05000000000001</v>
      </c>
      <c r="H27" s="212" t="s">
        <v>42</v>
      </c>
      <c r="I27" s="210" t="s">
        <v>43</v>
      </c>
      <c r="J27" s="64">
        <v>0.95</v>
      </c>
      <c r="K27" s="64">
        <v>4.38</v>
      </c>
      <c r="L27" s="64">
        <v>18.350000000000001</v>
      </c>
      <c r="M27" s="64">
        <v>66.94</v>
      </c>
      <c r="N27" s="64">
        <v>63.6</v>
      </c>
      <c r="O27" s="64">
        <v>0</v>
      </c>
      <c r="P27" s="64">
        <v>1.19</v>
      </c>
      <c r="Q27" s="64">
        <v>9.51</v>
      </c>
      <c r="R27" s="198"/>
      <c r="S27" s="198"/>
      <c r="T27" s="198"/>
      <c r="U27" s="198"/>
    </row>
    <row r="28" spans="1:21" s="12" customFormat="1" x14ac:dyDescent="0.25">
      <c r="A28" s="213" t="s">
        <v>2087</v>
      </c>
      <c r="B28" s="64">
        <v>33.270000000000003</v>
      </c>
      <c r="C28" s="64">
        <v>69.760000000000005</v>
      </c>
      <c r="D28" s="64">
        <v>100.93</v>
      </c>
      <c r="E28" s="64">
        <v>7.02</v>
      </c>
      <c r="F28" s="64">
        <v>2.13</v>
      </c>
      <c r="G28" s="64">
        <v>151.05000000000001</v>
      </c>
      <c r="H28" s="212" t="s">
        <v>42</v>
      </c>
      <c r="I28" s="210" t="s">
        <v>43</v>
      </c>
      <c r="J28" s="64">
        <v>0.56999999999999995</v>
      </c>
      <c r="K28" s="64">
        <v>42.95</v>
      </c>
      <c r="L28" s="64">
        <v>18.28</v>
      </c>
      <c r="M28" s="64">
        <v>65.36</v>
      </c>
      <c r="N28" s="64">
        <v>63.6</v>
      </c>
      <c r="O28" s="64">
        <v>0</v>
      </c>
      <c r="P28" s="64">
        <v>1.18</v>
      </c>
      <c r="Q28" s="64">
        <v>9.52</v>
      </c>
      <c r="R28" s="198"/>
      <c r="S28" s="198"/>
      <c r="T28" s="198"/>
      <c r="U28" s="198"/>
    </row>
    <row r="29" spans="1:21" s="12" customFormat="1" x14ac:dyDescent="0.25">
      <c r="A29" s="213" t="s">
        <v>2088</v>
      </c>
      <c r="B29" s="64">
        <v>32.020000000000003</v>
      </c>
      <c r="C29" s="64">
        <v>69.88</v>
      </c>
      <c r="D29" s="64">
        <v>99.8</v>
      </c>
      <c r="E29" s="64">
        <v>6.61</v>
      </c>
      <c r="F29" s="64">
        <v>2.13</v>
      </c>
      <c r="G29" s="64">
        <v>158.59</v>
      </c>
      <c r="H29" s="212" t="s">
        <v>42</v>
      </c>
      <c r="I29" s="210" t="s">
        <v>43</v>
      </c>
      <c r="J29" s="64">
        <v>0.46</v>
      </c>
      <c r="K29" s="64">
        <v>51.55</v>
      </c>
      <c r="L29" s="64">
        <v>18.18</v>
      </c>
      <c r="M29" s="64">
        <v>64.13</v>
      </c>
      <c r="N29" s="64">
        <v>63.6</v>
      </c>
      <c r="O29" s="64">
        <v>0</v>
      </c>
      <c r="P29" s="64">
        <v>1.1499999999999999</v>
      </c>
      <c r="Q29" s="64">
        <v>9.52</v>
      </c>
      <c r="R29" s="198"/>
      <c r="S29" s="198"/>
      <c r="T29" s="198"/>
      <c r="U29" s="198"/>
    </row>
    <row r="30" spans="1:21" s="12" customFormat="1" x14ac:dyDescent="0.25">
      <c r="A30" s="213" t="s">
        <v>2089</v>
      </c>
      <c r="B30" s="64">
        <v>30.64</v>
      </c>
      <c r="C30" s="64">
        <v>69.8</v>
      </c>
      <c r="D30" s="64">
        <v>98.34</v>
      </c>
      <c r="E30" s="64">
        <v>6.37</v>
      </c>
      <c r="F30" s="64">
        <v>2.13</v>
      </c>
      <c r="G30" s="64">
        <v>158.68</v>
      </c>
      <c r="H30" s="212" t="s">
        <v>42</v>
      </c>
      <c r="I30" s="210" t="s">
        <v>43</v>
      </c>
      <c r="J30" s="64">
        <v>0.65</v>
      </c>
      <c r="K30" s="64">
        <v>96.53</v>
      </c>
      <c r="L30" s="64">
        <v>18.170000000000002</v>
      </c>
      <c r="M30" s="64">
        <v>62.52</v>
      </c>
      <c r="N30" s="64">
        <v>63.3</v>
      </c>
      <c r="O30" s="64">
        <v>0</v>
      </c>
      <c r="P30" s="64">
        <v>1.08</v>
      </c>
      <c r="Q30" s="64">
        <v>9.51</v>
      </c>
      <c r="R30" s="198"/>
      <c r="S30" s="198"/>
      <c r="T30" s="198"/>
      <c r="U30" s="198"/>
    </row>
    <row r="31" spans="1:21" s="12" customFormat="1" x14ac:dyDescent="0.25">
      <c r="A31" s="213" t="s">
        <v>2090</v>
      </c>
      <c r="B31" s="64">
        <v>29.21</v>
      </c>
      <c r="C31" s="64">
        <v>67.36</v>
      </c>
      <c r="D31" s="64">
        <v>94.47</v>
      </c>
      <c r="E31" s="64">
        <v>6.37</v>
      </c>
      <c r="F31" s="64">
        <v>2.23</v>
      </c>
      <c r="G31" s="64">
        <v>158.68</v>
      </c>
      <c r="H31" s="212" t="s">
        <v>42</v>
      </c>
      <c r="I31" s="210" t="s">
        <v>43</v>
      </c>
      <c r="J31" s="64">
        <v>0.72</v>
      </c>
      <c r="K31" s="64">
        <v>105.08</v>
      </c>
      <c r="L31" s="64">
        <v>18.440000000000001</v>
      </c>
      <c r="M31" s="64">
        <v>61.21</v>
      </c>
      <c r="N31" s="64">
        <v>63.1</v>
      </c>
      <c r="O31" s="64">
        <v>0</v>
      </c>
      <c r="P31" s="64">
        <v>0.95</v>
      </c>
      <c r="Q31" s="64">
        <v>9.5299999999999994</v>
      </c>
      <c r="R31" s="198"/>
      <c r="S31" s="198"/>
      <c r="T31" s="198"/>
      <c r="U31" s="198"/>
    </row>
    <row r="32" spans="1:21" s="12" customFormat="1" x14ac:dyDescent="0.25">
      <c r="A32" s="213" t="s">
        <v>2091</v>
      </c>
      <c r="B32" s="64">
        <v>28.19</v>
      </c>
      <c r="C32" s="64">
        <v>68.61</v>
      </c>
      <c r="D32" s="64">
        <v>94.7</v>
      </c>
      <c r="E32" s="64">
        <v>6.41</v>
      </c>
      <c r="F32" s="64">
        <v>2.13</v>
      </c>
      <c r="G32" s="64">
        <v>158.68</v>
      </c>
      <c r="H32" s="212" t="s">
        <v>42</v>
      </c>
      <c r="I32" s="210" t="s">
        <v>43</v>
      </c>
      <c r="J32" s="64">
        <v>0.51</v>
      </c>
      <c r="K32" s="64">
        <v>321.45999999999998</v>
      </c>
      <c r="L32" s="64">
        <v>18.059999999999999</v>
      </c>
      <c r="M32" s="64">
        <v>65.209999999999994</v>
      </c>
      <c r="N32" s="64">
        <v>63.8</v>
      </c>
      <c r="O32" s="64">
        <v>0</v>
      </c>
      <c r="P32" s="64">
        <v>1.03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13" t="s">
        <v>2092</v>
      </c>
      <c r="B33" s="64">
        <v>28.59</v>
      </c>
      <c r="C33" s="64">
        <v>70.3</v>
      </c>
      <c r="D33" s="64">
        <v>96.8</v>
      </c>
      <c r="E33" s="64">
        <v>6.1</v>
      </c>
      <c r="F33" s="64">
        <v>2.13</v>
      </c>
      <c r="G33" s="64">
        <v>121.27</v>
      </c>
      <c r="H33" s="212" t="s">
        <v>42</v>
      </c>
      <c r="I33" s="210" t="s">
        <v>43</v>
      </c>
      <c r="J33" s="64">
        <v>0.46</v>
      </c>
      <c r="K33" s="64">
        <v>351.57</v>
      </c>
      <c r="L33" s="64">
        <v>17.600000000000001</v>
      </c>
      <c r="M33" s="64">
        <v>67.02</v>
      </c>
      <c r="N33" s="64">
        <v>63.8</v>
      </c>
      <c r="O33" s="64">
        <v>0</v>
      </c>
      <c r="P33" s="64">
        <v>1.02</v>
      </c>
      <c r="Q33" s="64">
        <v>9.4700000000000006</v>
      </c>
      <c r="R33" s="198"/>
      <c r="S33" s="198"/>
      <c r="T33" s="198"/>
      <c r="U33" s="198"/>
    </row>
    <row r="34" spans="1:21" s="12" customFormat="1" x14ac:dyDescent="0.25">
      <c r="A34" s="213" t="s">
        <v>2093</v>
      </c>
      <c r="B34" s="64">
        <v>29.28</v>
      </c>
      <c r="C34" s="64">
        <v>70.819999999999993</v>
      </c>
      <c r="D34" s="64">
        <v>98</v>
      </c>
      <c r="E34" s="64">
        <v>6.08</v>
      </c>
      <c r="F34" s="64">
        <v>2.13</v>
      </c>
      <c r="G34" s="64">
        <v>120.85</v>
      </c>
      <c r="H34" s="212" t="s">
        <v>42</v>
      </c>
      <c r="I34" s="210" t="s">
        <v>43</v>
      </c>
      <c r="J34" s="64">
        <v>0.59</v>
      </c>
      <c r="K34" s="64">
        <v>10.87</v>
      </c>
      <c r="L34" s="64">
        <v>17.649999999999999</v>
      </c>
      <c r="M34" s="64">
        <v>63.47</v>
      </c>
      <c r="N34" s="64">
        <v>66</v>
      </c>
      <c r="O34" s="64">
        <v>0</v>
      </c>
      <c r="P34" s="64">
        <v>0.97</v>
      </c>
      <c r="Q34" s="64">
        <v>9.4499999999999993</v>
      </c>
      <c r="R34" s="198"/>
      <c r="S34" s="198"/>
      <c r="T34" s="198"/>
      <c r="U34" s="198"/>
    </row>
    <row r="35" spans="1:21" s="12" customFormat="1" x14ac:dyDescent="0.25">
      <c r="A35" s="213" t="s">
        <v>2094</v>
      </c>
      <c r="B35" s="64">
        <v>29.46</v>
      </c>
      <c r="C35" s="64">
        <v>70.95</v>
      </c>
      <c r="D35" s="64">
        <v>98.31</v>
      </c>
      <c r="E35" s="64">
        <v>6.01</v>
      </c>
      <c r="F35" s="64">
        <v>2.13</v>
      </c>
      <c r="G35" s="64">
        <v>120.85</v>
      </c>
      <c r="H35" s="212" t="s">
        <v>42</v>
      </c>
      <c r="I35" s="210" t="s">
        <v>43</v>
      </c>
      <c r="J35" s="64">
        <v>0.27</v>
      </c>
      <c r="K35" s="64">
        <v>99.81</v>
      </c>
      <c r="L35" s="64">
        <v>17.8</v>
      </c>
      <c r="M35" s="64">
        <v>61.56</v>
      </c>
      <c r="N35" s="64">
        <v>75.400000000000006</v>
      </c>
      <c r="O35" s="64">
        <v>0</v>
      </c>
      <c r="P35" s="64">
        <v>0.99</v>
      </c>
      <c r="Q35" s="64">
        <v>9.4499999999999993</v>
      </c>
      <c r="R35" s="198"/>
      <c r="S35" s="198"/>
      <c r="T35" s="198"/>
      <c r="U35" s="198"/>
    </row>
    <row r="36" spans="1:21" s="12" customFormat="1" x14ac:dyDescent="0.25">
      <c r="A36" s="213" t="s">
        <v>2095</v>
      </c>
      <c r="B36" s="64">
        <v>29.59</v>
      </c>
      <c r="C36" s="64">
        <v>70.47</v>
      </c>
      <c r="D36" s="64">
        <v>97.96</v>
      </c>
      <c r="E36" s="64">
        <v>5.93</v>
      </c>
      <c r="F36" s="64">
        <v>2.13</v>
      </c>
      <c r="G36" s="64">
        <v>120.85</v>
      </c>
      <c r="H36" s="212" t="s">
        <v>42</v>
      </c>
      <c r="I36" s="210" t="s">
        <v>43</v>
      </c>
      <c r="J36" s="64">
        <v>0.39</v>
      </c>
      <c r="K36" s="64">
        <v>310.91000000000003</v>
      </c>
      <c r="L36" s="64">
        <v>17.84</v>
      </c>
      <c r="M36" s="64">
        <v>65.180000000000007</v>
      </c>
      <c r="N36" s="64">
        <v>90.6</v>
      </c>
      <c r="O36" s="64">
        <v>0</v>
      </c>
      <c r="P36" s="64">
        <v>1.01</v>
      </c>
      <c r="Q36" s="64">
        <v>9.4499999999999993</v>
      </c>
      <c r="R36" s="198"/>
      <c r="S36" s="198"/>
      <c r="T36" s="198"/>
      <c r="U36" s="198"/>
    </row>
    <row r="37" spans="1:21" s="12" customFormat="1" x14ac:dyDescent="0.25">
      <c r="A37" s="213" t="s">
        <v>2096</v>
      </c>
      <c r="B37" s="64">
        <v>30.64</v>
      </c>
      <c r="C37" s="64">
        <v>71.39</v>
      </c>
      <c r="D37" s="64">
        <v>99.93</v>
      </c>
      <c r="E37" s="64">
        <v>5.85</v>
      </c>
      <c r="F37" s="64">
        <v>2.13</v>
      </c>
      <c r="G37" s="64">
        <v>109.52</v>
      </c>
      <c r="H37" s="212" t="s">
        <v>42</v>
      </c>
      <c r="I37" s="210" t="s">
        <v>43</v>
      </c>
      <c r="J37" s="64">
        <v>0.62</v>
      </c>
      <c r="K37" s="64">
        <v>345.99</v>
      </c>
      <c r="L37" s="64">
        <v>17.91</v>
      </c>
      <c r="M37" s="64">
        <v>67.25</v>
      </c>
      <c r="N37" s="64">
        <v>115.7</v>
      </c>
      <c r="O37" s="64">
        <v>0</v>
      </c>
      <c r="P37" s="64">
        <v>1.01</v>
      </c>
      <c r="Q37" s="64">
        <v>9.4499999999999993</v>
      </c>
      <c r="R37" s="198"/>
      <c r="S37" s="198"/>
      <c r="T37" s="198"/>
      <c r="U37" s="198"/>
    </row>
    <row r="38" spans="1:21" s="12" customFormat="1" x14ac:dyDescent="0.25">
      <c r="A38" s="213" t="s">
        <v>2097</v>
      </c>
      <c r="B38" s="64">
        <v>33.47</v>
      </c>
      <c r="C38" s="64">
        <v>72.209999999999994</v>
      </c>
      <c r="D38" s="64">
        <v>103.59</v>
      </c>
      <c r="E38" s="64">
        <v>5.93</v>
      </c>
      <c r="F38" s="64">
        <v>2.13</v>
      </c>
      <c r="G38" s="64">
        <v>109.39</v>
      </c>
      <c r="H38" s="64">
        <v>61.63</v>
      </c>
      <c r="I38" s="210" t="s">
        <v>43</v>
      </c>
      <c r="J38" s="64">
        <v>0.42</v>
      </c>
      <c r="K38" s="64">
        <v>184.3</v>
      </c>
      <c r="L38" s="64">
        <v>18.829999999999998</v>
      </c>
      <c r="M38" s="64">
        <v>63.71</v>
      </c>
      <c r="N38" s="64">
        <v>154.6</v>
      </c>
      <c r="O38" s="64">
        <v>0</v>
      </c>
      <c r="P38" s="64">
        <v>1.04</v>
      </c>
      <c r="Q38" s="64">
        <v>9.41</v>
      </c>
      <c r="R38" s="198"/>
      <c r="S38" s="198"/>
      <c r="T38" s="198"/>
      <c r="U38" s="198"/>
    </row>
    <row r="39" spans="1:21" s="12" customFormat="1" x14ac:dyDescent="0.25">
      <c r="A39" s="213" t="s">
        <v>2098</v>
      </c>
      <c r="B39" s="64">
        <v>35.01</v>
      </c>
      <c r="C39" s="64">
        <v>73.86</v>
      </c>
      <c r="D39" s="64">
        <v>106.77</v>
      </c>
      <c r="E39" s="64">
        <v>5.98</v>
      </c>
      <c r="F39" s="64">
        <v>2.13</v>
      </c>
      <c r="G39" s="64">
        <v>109.39</v>
      </c>
      <c r="H39" s="64">
        <v>61.63</v>
      </c>
      <c r="I39" s="210" t="s">
        <v>43</v>
      </c>
      <c r="J39" s="64">
        <v>1.08</v>
      </c>
      <c r="K39" s="64">
        <v>206.2</v>
      </c>
      <c r="L39" s="64">
        <v>19</v>
      </c>
      <c r="M39" s="64">
        <v>67.83</v>
      </c>
      <c r="N39" s="64">
        <v>195.5</v>
      </c>
      <c r="O39" s="64">
        <v>0</v>
      </c>
      <c r="P39" s="64">
        <v>1.03</v>
      </c>
      <c r="Q39" s="64">
        <v>9.42</v>
      </c>
      <c r="R39" s="198"/>
      <c r="S39" s="198"/>
      <c r="T39" s="198"/>
      <c r="U39" s="198"/>
    </row>
    <row r="40" spans="1:21" s="12" customFormat="1" x14ac:dyDescent="0.25">
      <c r="A40" s="213" t="s">
        <v>2099</v>
      </c>
      <c r="B40" s="64">
        <v>34.229999999999997</v>
      </c>
      <c r="C40" s="64">
        <v>71.28</v>
      </c>
      <c r="D40" s="64">
        <v>103.4</v>
      </c>
      <c r="E40" s="64">
        <v>5.59</v>
      </c>
      <c r="F40" s="64">
        <v>2.13</v>
      </c>
      <c r="G40" s="64">
        <v>109.39</v>
      </c>
      <c r="H40" s="64">
        <v>61.63</v>
      </c>
      <c r="I40" s="210" t="s">
        <v>43</v>
      </c>
      <c r="J40" s="64">
        <v>0.93</v>
      </c>
      <c r="K40" s="64">
        <v>207.18</v>
      </c>
      <c r="L40" s="64">
        <v>19.09</v>
      </c>
      <c r="M40" s="64">
        <v>67.92</v>
      </c>
      <c r="N40" s="64">
        <v>243.4</v>
      </c>
      <c r="O40" s="64">
        <v>0</v>
      </c>
      <c r="P40" s="64">
        <v>1.03</v>
      </c>
      <c r="Q40" s="64">
        <v>9.4499999999999993</v>
      </c>
      <c r="R40" s="198"/>
      <c r="S40" s="198"/>
      <c r="T40" s="198"/>
      <c r="U40" s="198"/>
    </row>
    <row r="41" spans="1:21" s="12" customFormat="1" x14ac:dyDescent="0.25">
      <c r="A41" s="213" t="s">
        <v>2100</v>
      </c>
      <c r="B41" s="64">
        <v>32.89</v>
      </c>
      <c r="C41" s="64">
        <v>70.290000000000006</v>
      </c>
      <c r="D41" s="64">
        <v>101.08</v>
      </c>
      <c r="E41" s="64">
        <v>6.07</v>
      </c>
      <c r="F41" s="64">
        <v>2.13</v>
      </c>
      <c r="G41" s="64">
        <v>132.03</v>
      </c>
      <c r="H41" s="64">
        <v>40.950000000000003</v>
      </c>
      <c r="I41" s="210" t="s">
        <v>43</v>
      </c>
      <c r="J41" s="64">
        <v>0.56999999999999995</v>
      </c>
      <c r="K41" s="64">
        <v>178.64</v>
      </c>
      <c r="L41" s="64">
        <v>20.92</v>
      </c>
      <c r="M41" s="64">
        <v>58.77</v>
      </c>
      <c r="N41" s="64">
        <v>294.3</v>
      </c>
      <c r="O41" s="64">
        <v>0</v>
      </c>
      <c r="P41" s="64">
        <v>1.02</v>
      </c>
      <c r="Q41" s="64">
        <v>9.48</v>
      </c>
      <c r="R41" s="198"/>
      <c r="S41" s="198"/>
      <c r="T41" s="198"/>
      <c r="U41" s="198"/>
    </row>
    <row r="42" spans="1:21" s="12" customFormat="1" x14ac:dyDescent="0.25">
      <c r="A42" s="213" t="s">
        <v>2101</v>
      </c>
      <c r="B42" s="64">
        <v>31.92</v>
      </c>
      <c r="C42" s="64">
        <v>70.260000000000005</v>
      </c>
      <c r="D42" s="64">
        <v>100.07</v>
      </c>
      <c r="E42" s="64">
        <v>6.17</v>
      </c>
      <c r="F42" s="64">
        <v>2.13</v>
      </c>
      <c r="G42" s="64">
        <v>132.28</v>
      </c>
      <c r="H42" s="64">
        <v>40.71</v>
      </c>
      <c r="I42" s="210" t="s">
        <v>43</v>
      </c>
      <c r="J42" s="64">
        <v>0.2</v>
      </c>
      <c r="K42" s="64">
        <v>111.43</v>
      </c>
      <c r="L42" s="64">
        <v>22.46</v>
      </c>
      <c r="M42" s="64">
        <v>52.02</v>
      </c>
      <c r="N42" s="64">
        <v>345.6</v>
      </c>
      <c r="O42" s="64">
        <v>0</v>
      </c>
      <c r="P42" s="64">
        <v>1.02</v>
      </c>
      <c r="Q42" s="64">
        <v>9.49</v>
      </c>
      <c r="R42" s="198"/>
      <c r="S42" s="198"/>
      <c r="T42" s="198"/>
      <c r="U42" s="198"/>
    </row>
    <row r="43" spans="1:21" s="12" customFormat="1" x14ac:dyDescent="0.25">
      <c r="A43" s="213" t="s">
        <v>2102</v>
      </c>
      <c r="B43" s="64">
        <v>30.97</v>
      </c>
      <c r="C43" s="64">
        <v>71.64</v>
      </c>
      <c r="D43" s="64">
        <v>100.51</v>
      </c>
      <c r="E43" s="64">
        <v>6.58</v>
      </c>
      <c r="F43" s="64">
        <v>2.13</v>
      </c>
      <c r="G43" s="64">
        <v>132.28</v>
      </c>
      <c r="H43" s="64">
        <v>40.71</v>
      </c>
      <c r="I43" s="210" t="s">
        <v>43</v>
      </c>
      <c r="J43" s="64">
        <v>0.42</v>
      </c>
      <c r="K43" s="64">
        <v>13.44</v>
      </c>
      <c r="L43" s="64">
        <v>24.17</v>
      </c>
      <c r="M43" s="64">
        <v>47.34</v>
      </c>
      <c r="N43" s="64">
        <v>390.9</v>
      </c>
      <c r="O43" s="64">
        <v>0</v>
      </c>
      <c r="P43" s="64">
        <v>1.01</v>
      </c>
      <c r="Q43" s="64">
        <v>9.5</v>
      </c>
      <c r="R43" s="198"/>
      <c r="S43" s="198"/>
      <c r="T43" s="198"/>
      <c r="U43" s="198"/>
    </row>
    <row r="44" spans="1:21" s="12" customFormat="1" x14ac:dyDescent="0.25">
      <c r="A44" s="213" t="s">
        <v>2103</v>
      </c>
      <c r="B44" s="64">
        <v>29.92</v>
      </c>
      <c r="C44" s="64">
        <v>73.02</v>
      </c>
      <c r="D44" s="64">
        <v>100.84</v>
      </c>
      <c r="E44" s="64">
        <v>6.75</v>
      </c>
      <c r="F44" s="64">
        <v>2.13</v>
      </c>
      <c r="G44" s="64">
        <v>132.28</v>
      </c>
      <c r="H44" s="64">
        <v>40.71</v>
      </c>
      <c r="I44" s="210" t="s">
        <v>43</v>
      </c>
      <c r="J44" s="64">
        <v>0.95</v>
      </c>
      <c r="K44" s="64">
        <v>343.3</v>
      </c>
      <c r="L44" s="64">
        <v>26.6</v>
      </c>
      <c r="M44" s="64">
        <v>41.2</v>
      </c>
      <c r="N44" s="64">
        <v>434.6</v>
      </c>
      <c r="O44" s="64">
        <v>0</v>
      </c>
      <c r="P44" s="64">
        <v>1.01</v>
      </c>
      <c r="Q44" s="64">
        <v>9.4700000000000006</v>
      </c>
      <c r="R44" s="198"/>
      <c r="S44" s="198"/>
      <c r="T44" s="198"/>
      <c r="U44" s="198"/>
    </row>
    <row r="45" spans="1:21" s="12" customFormat="1" x14ac:dyDescent="0.25">
      <c r="A45" s="213" t="s">
        <v>2104</v>
      </c>
      <c r="B45" s="64">
        <v>29.03</v>
      </c>
      <c r="C45" s="64">
        <v>75.260000000000005</v>
      </c>
      <c r="D45" s="64">
        <v>102.19</v>
      </c>
      <c r="E45" s="64">
        <v>6.4</v>
      </c>
      <c r="F45" s="64">
        <v>2.13</v>
      </c>
      <c r="G45" s="64">
        <v>123.82</v>
      </c>
      <c r="H45" s="64">
        <v>45.46</v>
      </c>
      <c r="I45" s="210" t="s">
        <v>43</v>
      </c>
      <c r="J45" s="64">
        <v>0.43</v>
      </c>
      <c r="K45" s="64">
        <v>145.62</v>
      </c>
      <c r="L45" s="64">
        <v>26.49</v>
      </c>
      <c r="M45" s="64">
        <v>41.44</v>
      </c>
      <c r="N45" s="64">
        <v>492.1</v>
      </c>
      <c r="O45" s="64">
        <v>0</v>
      </c>
      <c r="P45" s="64">
        <v>1.01</v>
      </c>
      <c r="Q45" s="64">
        <v>9.4700000000000006</v>
      </c>
      <c r="R45" s="198"/>
      <c r="S45" s="198"/>
      <c r="T45" s="198"/>
      <c r="U45" s="198"/>
    </row>
    <row r="46" spans="1:21" s="12" customFormat="1" x14ac:dyDescent="0.25">
      <c r="A46" s="213" t="s">
        <v>2105</v>
      </c>
      <c r="B46" s="64">
        <v>26.81</v>
      </c>
      <c r="C46" s="64">
        <v>76.62</v>
      </c>
      <c r="D46" s="64">
        <v>101.33</v>
      </c>
      <c r="E46" s="64">
        <v>6.39</v>
      </c>
      <c r="F46" s="64">
        <v>2.13</v>
      </c>
      <c r="G46" s="64">
        <v>123.73</v>
      </c>
      <c r="H46" s="64">
        <v>45.51</v>
      </c>
      <c r="I46" s="210" t="s">
        <v>43</v>
      </c>
      <c r="J46" s="64">
        <v>0.55000000000000004</v>
      </c>
      <c r="K46" s="64">
        <v>216.48</v>
      </c>
      <c r="L46" s="64">
        <v>24.95</v>
      </c>
      <c r="M46" s="64">
        <v>45.29</v>
      </c>
      <c r="N46" s="64">
        <v>540.1</v>
      </c>
      <c r="O46" s="64">
        <v>0</v>
      </c>
      <c r="P46" s="64">
        <v>0.98</v>
      </c>
      <c r="Q46" s="64">
        <v>9.48</v>
      </c>
      <c r="R46" s="198"/>
      <c r="S46" s="198"/>
      <c r="T46" s="198"/>
      <c r="U46" s="198"/>
    </row>
    <row r="47" spans="1:21" s="12" customFormat="1" x14ac:dyDescent="0.25">
      <c r="A47" s="213" t="s">
        <v>2106</v>
      </c>
      <c r="B47" s="64">
        <v>23.51</v>
      </c>
      <c r="C47" s="64">
        <v>77.069999999999993</v>
      </c>
      <c r="D47" s="64">
        <v>98.47</v>
      </c>
      <c r="E47" s="64">
        <v>6.2</v>
      </c>
      <c r="F47" s="64">
        <v>2.13</v>
      </c>
      <c r="G47" s="64">
        <v>123.73</v>
      </c>
      <c r="H47" s="64">
        <v>45.51</v>
      </c>
      <c r="I47" s="210" t="s">
        <v>43</v>
      </c>
      <c r="J47" s="64">
        <v>0.44</v>
      </c>
      <c r="K47" s="64">
        <v>281.75</v>
      </c>
      <c r="L47" s="64">
        <v>26.7</v>
      </c>
      <c r="M47" s="64">
        <v>42.22</v>
      </c>
      <c r="N47" s="64">
        <v>582.1</v>
      </c>
      <c r="O47" s="64">
        <v>0</v>
      </c>
      <c r="P47" s="64">
        <v>0.96</v>
      </c>
      <c r="Q47" s="64">
        <v>9.5</v>
      </c>
      <c r="R47" s="198"/>
      <c r="S47" s="198"/>
      <c r="T47" s="198"/>
      <c r="U47" s="198"/>
    </row>
    <row r="48" spans="1:21" s="12" customFormat="1" x14ac:dyDescent="0.25">
      <c r="A48" s="213" t="s">
        <v>2107</v>
      </c>
      <c r="B48" s="64">
        <v>20.58</v>
      </c>
      <c r="C48" s="64">
        <v>76.819999999999993</v>
      </c>
      <c r="D48" s="64">
        <v>95.31</v>
      </c>
      <c r="E48" s="64">
        <v>6.58</v>
      </c>
      <c r="F48" s="64">
        <v>2.13</v>
      </c>
      <c r="G48" s="64">
        <v>123.73</v>
      </c>
      <c r="H48" s="64">
        <v>45.51</v>
      </c>
      <c r="I48" s="210" t="s">
        <v>43</v>
      </c>
      <c r="J48" s="64">
        <v>0.71</v>
      </c>
      <c r="K48" s="64">
        <v>214.77</v>
      </c>
      <c r="L48" s="64">
        <v>25.26</v>
      </c>
      <c r="M48" s="64">
        <v>45.48</v>
      </c>
      <c r="N48" s="64">
        <v>631.9</v>
      </c>
      <c r="O48" s="64">
        <v>0</v>
      </c>
      <c r="P48" s="64">
        <v>0.94</v>
      </c>
      <c r="Q48" s="64">
        <v>9.4700000000000006</v>
      </c>
      <c r="R48" s="198"/>
      <c r="S48" s="198"/>
      <c r="T48" s="198"/>
      <c r="U48" s="198"/>
    </row>
    <row r="49" spans="1:21" s="12" customFormat="1" x14ac:dyDescent="0.25">
      <c r="A49" s="213" t="s">
        <v>2108</v>
      </c>
      <c r="B49" s="64">
        <v>17.36</v>
      </c>
      <c r="C49" s="64">
        <v>74.900000000000006</v>
      </c>
      <c r="D49" s="64">
        <v>90.17</v>
      </c>
      <c r="E49" s="64">
        <v>6.12</v>
      </c>
      <c r="F49" s="64">
        <v>2.13</v>
      </c>
      <c r="G49" s="64">
        <v>118.04</v>
      </c>
      <c r="H49" s="64">
        <v>40.08</v>
      </c>
      <c r="I49" s="210" t="s">
        <v>43</v>
      </c>
      <c r="J49" s="64">
        <v>0.41</v>
      </c>
      <c r="K49" s="64">
        <v>251.09</v>
      </c>
      <c r="L49" s="64">
        <v>26.23</v>
      </c>
      <c r="M49" s="64">
        <v>43.5</v>
      </c>
      <c r="N49" s="64">
        <v>666.6</v>
      </c>
      <c r="O49" s="64">
        <v>0</v>
      </c>
      <c r="P49" s="64">
        <v>0.91</v>
      </c>
      <c r="Q49" s="64">
        <v>9.48</v>
      </c>
      <c r="R49" s="198"/>
      <c r="S49" s="198"/>
      <c r="T49" s="198"/>
      <c r="U49" s="198"/>
    </row>
    <row r="50" spans="1:21" s="12" customFormat="1" x14ac:dyDescent="0.25">
      <c r="A50" s="213" t="s">
        <v>2109</v>
      </c>
      <c r="B50" s="64">
        <v>14.13</v>
      </c>
      <c r="C50" s="64">
        <v>76.87</v>
      </c>
      <c r="D50" s="64">
        <v>88.91</v>
      </c>
      <c r="E50" s="64">
        <v>6.08</v>
      </c>
      <c r="F50" s="64">
        <v>2.21</v>
      </c>
      <c r="G50" s="64">
        <v>117.98</v>
      </c>
      <c r="H50" s="64">
        <v>40.020000000000003</v>
      </c>
      <c r="I50" s="210" t="s">
        <v>43</v>
      </c>
      <c r="J50" s="64">
        <v>0.89</v>
      </c>
      <c r="K50" s="64">
        <v>228.27</v>
      </c>
      <c r="L50" s="64">
        <v>25.3</v>
      </c>
      <c r="M50" s="64">
        <v>47.05</v>
      </c>
      <c r="N50" s="64">
        <v>705.4</v>
      </c>
      <c r="O50" s="64">
        <v>0</v>
      </c>
      <c r="P50" s="64">
        <v>0.89</v>
      </c>
      <c r="Q50" s="64">
        <v>9.4499999999999993</v>
      </c>
      <c r="R50" s="198"/>
      <c r="S50" s="198"/>
      <c r="T50" s="198"/>
      <c r="U50" s="198"/>
    </row>
    <row r="51" spans="1:21" s="12" customFormat="1" x14ac:dyDescent="0.25">
      <c r="A51" s="213" t="s">
        <v>2110</v>
      </c>
      <c r="B51" s="64">
        <v>9.57</v>
      </c>
      <c r="C51" s="64">
        <v>74.64</v>
      </c>
      <c r="D51" s="64">
        <v>82.11</v>
      </c>
      <c r="E51" s="64">
        <v>7.87</v>
      </c>
      <c r="F51" s="64">
        <v>14.04</v>
      </c>
      <c r="G51" s="64">
        <v>117.98</v>
      </c>
      <c r="H51" s="64">
        <v>40.020000000000003</v>
      </c>
      <c r="I51" s="210" t="s">
        <v>43</v>
      </c>
      <c r="J51" s="64">
        <v>0.92</v>
      </c>
      <c r="K51" s="64">
        <v>219.07</v>
      </c>
      <c r="L51" s="64">
        <v>25.89</v>
      </c>
      <c r="M51" s="64">
        <v>45.04</v>
      </c>
      <c r="N51" s="64">
        <v>739.9</v>
      </c>
      <c r="O51" s="64">
        <v>0</v>
      </c>
      <c r="P51" s="64">
        <v>0.79</v>
      </c>
      <c r="Q51" s="64">
        <v>9.42</v>
      </c>
      <c r="R51" s="198"/>
      <c r="S51" s="198"/>
      <c r="T51" s="198"/>
      <c r="U51" s="198"/>
    </row>
    <row r="52" spans="1:21" s="12" customFormat="1" x14ac:dyDescent="0.25">
      <c r="A52" s="213" t="s">
        <v>2111</v>
      </c>
      <c r="B52" s="64">
        <v>4.4800000000000004</v>
      </c>
      <c r="C52" s="64">
        <v>67.760000000000005</v>
      </c>
      <c r="D52" s="64">
        <v>70.14</v>
      </c>
      <c r="E52" s="64">
        <v>9.8699999999999992</v>
      </c>
      <c r="F52" s="64">
        <v>18.78</v>
      </c>
      <c r="G52" s="64">
        <v>117.98</v>
      </c>
      <c r="H52" s="64">
        <v>40.020000000000003</v>
      </c>
      <c r="I52" s="210" t="s">
        <v>43</v>
      </c>
      <c r="J52" s="64">
        <v>0.77</v>
      </c>
      <c r="K52" s="64">
        <v>255.94</v>
      </c>
      <c r="L52" s="64">
        <v>27.18</v>
      </c>
      <c r="M52" s="64">
        <v>42.28</v>
      </c>
      <c r="N52" s="64">
        <v>765.6</v>
      </c>
      <c r="O52" s="64">
        <v>0</v>
      </c>
      <c r="P52" s="64">
        <v>0.68</v>
      </c>
      <c r="Q52" s="64">
        <v>9.3800000000000008</v>
      </c>
      <c r="R52" s="198"/>
      <c r="S52" s="198"/>
      <c r="T52" s="198"/>
      <c r="U52" s="198"/>
    </row>
    <row r="53" spans="1:21" s="12" customFormat="1" x14ac:dyDescent="0.25">
      <c r="A53" s="213" t="s">
        <v>2112</v>
      </c>
      <c r="B53" s="64">
        <v>3.6</v>
      </c>
      <c r="C53" s="64">
        <v>64.23</v>
      </c>
      <c r="D53" s="64">
        <v>65.73</v>
      </c>
      <c r="E53" s="64">
        <v>10.42</v>
      </c>
      <c r="F53" s="64">
        <v>17.87</v>
      </c>
      <c r="G53" s="64">
        <v>82.2</v>
      </c>
      <c r="H53" s="64">
        <v>33.44</v>
      </c>
      <c r="I53" s="210" t="s">
        <v>43</v>
      </c>
      <c r="J53" s="64">
        <v>0.96</v>
      </c>
      <c r="K53" s="64">
        <v>286.27999999999997</v>
      </c>
      <c r="L53" s="64">
        <v>27.71</v>
      </c>
      <c r="M53" s="64">
        <v>44.19</v>
      </c>
      <c r="N53" s="64">
        <v>782.2</v>
      </c>
      <c r="O53" s="64">
        <v>0</v>
      </c>
      <c r="P53" s="64">
        <v>0.66</v>
      </c>
      <c r="Q53" s="64">
        <v>9.33</v>
      </c>
      <c r="R53" s="198"/>
      <c r="S53" s="198"/>
      <c r="T53" s="198"/>
      <c r="U53" s="198"/>
    </row>
    <row r="54" spans="1:21" s="12" customFormat="1" x14ac:dyDescent="0.25">
      <c r="A54" s="213" t="s">
        <v>2113</v>
      </c>
      <c r="B54" s="64">
        <v>3.7</v>
      </c>
      <c r="C54" s="64">
        <v>62.54</v>
      </c>
      <c r="D54" s="64">
        <v>64.14</v>
      </c>
      <c r="E54" s="64">
        <v>10.55</v>
      </c>
      <c r="F54" s="64">
        <v>12.64</v>
      </c>
      <c r="G54" s="64">
        <v>81.8</v>
      </c>
      <c r="H54" s="64">
        <v>33.369999999999997</v>
      </c>
      <c r="I54" s="210" t="s">
        <v>43</v>
      </c>
      <c r="J54" s="64">
        <v>1.03</v>
      </c>
      <c r="K54" s="64">
        <v>307.01</v>
      </c>
      <c r="L54" s="64">
        <v>28.96</v>
      </c>
      <c r="M54" s="64">
        <v>42.32</v>
      </c>
      <c r="N54" s="64">
        <v>785.1</v>
      </c>
      <c r="O54" s="64">
        <v>0</v>
      </c>
      <c r="P54" s="64">
        <v>0.67</v>
      </c>
      <c r="Q54" s="64">
        <v>9.3000000000000007</v>
      </c>
      <c r="R54" s="198"/>
      <c r="S54" s="198"/>
      <c r="T54" s="198"/>
      <c r="U54" s="198"/>
    </row>
    <row r="55" spans="1:21" s="12" customFormat="1" x14ac:dyDescent="0.25">
      <c r="A55" s="213" t="s">
        <v>2114</v>
      </c>
      <c r="B55" s="64">
        <v>3.78</v>
      </c>
      <c r="C55" s="64">
        <v>62.63</v>
      </c>
      <c r="D55" s="64">
        <v>64.31</v>
      </c>
      <c r="E55" s="64">
        <v>11.57</v>
      </c>
      <c r="F55" s="64">
        <v>17.8</v>
      </c>
      <c r="G55" s="64">
        <v>81.8</v>
      </c>
      <c r="H55" s="64">
        <v>33.369999999999997</v>
      </c>
      <c r="I55" s="210" t="s">
        <v>43</v>
      </c>
      <c r="J55" s="64">
        <v>1.02</v>
      </c>
      <c r="K55" s="64">
        <v>293.23</v>
      </c>
      <c r="L55" s="64">
        <v>29.59</v>
      </c>
      <c r="M55" s="64">
        <v>37.4</v>
      </c>
      <c r="N55" s="64">
        <v>754.3</v>
      </c>
      <c r="O55" s="64">
        <v>0</v>
      </c>
      <c r="P55" s="64">
        <v>0.71</v>
      </c>
      <c r="Q55" s="64">
        <v>9.32</v>
      </c>
      <c r="R55" s="198"/>
      <c r="S55" s="198"/>
      <c r="T55" s="198"/>
      <c r="U55" s="198"/>
    </row>
    <row r="56" spans="1:21" s="12" customFormat="1" x14ac:dyDescent="0.25">
      <c r="A56" s="213" t="s">
        <v>2115</v>
      </c>
      <c r="B56" s="64">
        <v>3.77</v>
      </c>
      <c r="C56" s="64">
        <v>66.209999999999994</v>
      </c>
      <c r="D56" s="64">
        <v>67.88</v>
      </c>
      <c r="E56" s="64">
        <v>12.64</v>
      </c>
      <c r="F56" s="64">
        <v>17.23</v>
      </c>
      <c r="G56" s="64">
        <v>81.8</v>
      </c>
      <c r="H56" s="64">
        <v>33.369999999999997</v>
      </c>
      <c r="I56" s="210" t="s">
        <v>43</v>
      </c>
      <c r="J56" s="64">
        <v>1.21</v>
      </c>
      <c r="K56" s="64">
        <v>306.68</v>
      </c>
      <c r="L56" s="64">
        <v>31.19</v>
      </c>
      <c r="M56" s="64">
        <v>33.770000000000003</v>
      </c>
      <c r="N56" s="64">
        <v>720.1</v>
      </c>
      <c r="O56" s="64">
        <v>0</v>
      </c>
      <c r="P56" s="64">
        <v>0.78</v>
      </c>
      <c r="Q56" s="64">
        <v>9.35</v>
      </c>
      <c r="R56" s="198"/>
      <c r="S56" s="198"/>
      <c r="T56" s="198"/>
      <c r="U56" s="198"/>
    </row>
    <row r="57" spans="1:21" s="12" customFormat="1" x14ac:dyDescent="0.25">
      <c r="A57" s="213" t="s">
        <v>2116</v>
      </c>
      <c r="B57" s="64">
        <v>3.69</v>
      </c>
      <c r="C57" s="64">
        <v>68.319999999999993</v>
      </c>
      <c r="D57" s="64">
        <v>69.91</v>
      </c>
      <c r="E57" s="64">
        <v>12.92</v>
      </c>
      <c r="F57" s="64">
        <v>16.11</v>
      </c>
      <c r="G57" s="64">
        <v>110.75</v>
      </c>
      <c r="H57" s="64">
        <v>42.62</v>
      </c>
      <c r="I57" s="210" t="s">
        <v>43</v>
      </c>
      <c r="J57" s="64">
        <v>1.24</v>
      </c>
      <c r="K57" s="64">
        <v>307.17</v>
      </c>
      <c r="L57" s="64">
        <v>31.32</v>
      </c>
      <c r="M57" s="64">
        <v>32.51</v>
      </c>
      <c r="N57" s="64">
        <v>712.8</v>
      </c>
      <c r="O57" s="64">
        <v>0</v>
      </c>
      <c r="P57" s="64">
        <v>0.88</v>
      </c>
      <c r="Q57" s="64">
        <v>9.35</v>
      </c>
      <c r="R57" s="198"/>
      <c r="S57" s="198"/>
      <c r="T57" s="198"/>
      <c r="U57" s="198"/>
    </row>
    <row r="58" spans="1:21" s="12" customFormat="1" x14ac:dyDescent="0.25">
      <c r="A58" s="213" t="s">
        <v>2117</v>
      </c>
      <c r="B58" s="64">
        <v>3.51</v>
      </c>
      <c r="C58" s="64">
        <v>64.989999999999995</v>
      </c>
      <c r="D58" s="64">
        <v>66.400000000000006</v>
      </c>
      <c r="E58" s="64">
        <v>12.87</v>
      </c>
      <c r="F58" s="64">
        <v>21.94</v>
      </c>
      <c r="G58" s="64">
        <v>111.07</v>
      </c>
      <c r="H58" s="64">
        <v>42.73</v>
      </c>
      <c r="I58" s="210" t="s">
        <v>43</v>
      </c>
      <c r="J58" s="64">
        <v>1.1299999999999999</v>
      </c>
      <c r="K58" s="64">
        <v>302.70999999999998</v>
      </c>
      <c r="L58" s="64">
        <v>31.46</v>
      </c>
      <c r="M58" s="64">
        <v>30.87</v>
      </c>
      <c r="N58" s="64">
        <v>640.70000000000005</v>
      </c>
      <c r="O58" s="64">
        <v>0</v>
      </c>
      <c r="P58" s="64">
        <v>0.85</v>
      </c>
      <c r="Q58" s="64">
        <v>9.35</v>
      </c>
      <c r="R58" s="198"/>
      <c r="S58" s="198"/>
      <c r="T58" s="198"/>
      <c r="U58" s="198"/>
    </row>
    <row r="59" spans="1:21" s="12" customFormat="1" x14ac:dyDescent="0.25">
      <c r="A59" s="213" t="s">
        <v>2118</v>
      </c>
      <c r="B59" s="64">
        <v>3.37</v>
      </c>
      <c r="C59" s="64">
        <v>69.83</v>
      </c>
      <c r="D59" s="64">
        <v>71.099999999999994</v>
      </c>
      <c r="E59" s="64">
        <v>12.45</v>
      </c>
      <c r="F59" s="64">
        <v>20.97</v>
      </c>
      <c r="G59" s="64">
        <v>111.07</v>
      </c>
      <c r="H59" s="64">
        <v>42.73</v>
      </c>
      <c r="I59" s="210" t="s">
        <v>43</v>
      </c>
      <c r="J59" s="64">
        <v>1.17</v>
      </c>
      <c r="K59" s="64">
        <v>306.66000000000003</v>
      </c>
      <c r="L59" s="64">
        <v>31.66</v>
      </c>
      <c r="M59" s="64">
        <v>29.83</v>
      </c>
      <c r="N59" s="64">
        <v>750.5</v>
      </c>
      <c r="O59" s="64">
        <v>0</v>
      </c>
      <c r="P59" s="64">
        <v>0.79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3" t="s">
        <v>2119</v>
      </c>
      <c r="B60" s="64">
        <v>3.34</v>
      </c>
      <c r="C60" s="64">
        <v>64.08</v>
      </c>
      <c r="D60" s="64">
        <v>65.319999999999993</v>
      </c>
      <c r="E60" s="64">
        <v>10.77</v>
      </c>
      <c r="F60" s="64">
        <v>13.31</v>
      </c>
      <c r="G60" s="64">
        <v>111.07</v>
      </c>
      <c r="H60" s="64">
        <v>42.73</v>
      </c>
      <c r="I60" s="210" t="s">
        <v>43</v>
      </c>
      <c r="J60" s="64">
        <v>1.26</v>
      </c>
      <c r="K60" s="64">
        <v>324.52999999999997</v>
      </c>
      <c r="L60" s="64">
        <v>32.39</v>
      </c>
      <c r="M60" s="64">
        <v>28.73</v>
      </c>
      <c r="N60" s="64">
        <v>717.9</v>
      </c>
      <c r="O60" s="64">
        <v>0</v>
      </c>
      <c r="P60" s="64">
        <v>0.74</v>
      </c>
      <c r="Q60" s="64">
        <v>9.36</v>
      </c>
      <c r="R60" s="198"/>
      <c r="S60" s="198"/>
      <c r="T60" s="198"/>
      <c r="U60" s="198"/>
    </row>
    <row r="61" spans="1:21" s="12" customFormat="1" x14ac:dyDescent="0.25">
      <c r="A61" s="213" t="s">
        <v>2120</v>
      </c>
      <c r="B61" s="64">
        <v>3.65</v>
      </c>
      <c r="C61" s="64">
        <v>63.32</v>
      </c>
      <c r="D61" s="64">
        <v>64.87</v>
      </c>
      <c r="E61" s="64">
        <v>9.9499999999999993</v>
      </c>
      <c r="F61" s="64">
        <v>8.15</v>
      </c>
      <c r="G61" s="64">
        <v>108.38</v>
      </c>
      <c r="H61" s="64">
        <v>38.04</v>
      </c>
      <c r="I61" s="210" t="s">
        <v>43</v>
      </c>
      <c r="J61" s="64">
        <v>1.31</v>
      </c>
      <c r="K61" s="64">
        <v>308.01</v>
      </c>
      <c r="L61" s="64">
        <v>32.65</v>
      </c>
      <c r="M61" s="64">
        <v>27.3</v>
      </c>
      <c r="N61" s="64">
        <v>734.5</v>
      </c>
      <c r="O61" s="64">
        <v>0</v>
      </c>
      <c r="P61" s="64">
        <v>0.82</v>
      </c>
      <c r="Q61" s="64">
        <v>9.39</v>
      </c>
      <c r="R61" s="198"/>
      <c r="S61" s="198"/>
      <c r="T61" s="198"/>
      <c r="U61" s="198"/>
    </row>
    <row r="62" spans="1:21" s="12" customFormat="1" x14ac:dyDescent="0.25">
      <c r="A62" s="213" t="s">
        <v>2121</v>
      </c>
      <c r="B62" s="64">
        <v>3.59</v>
      </c>
      <c r="C62" s="64">
        <v>64.44</v>
      </c>
      <c r="D62" s="64">
        <v>65.930000000000007</v>
      </c>
      <c r="E62" s="64">
        <v>10.51</v>
      </c>
      <c r="F62" s="64">
        <v>12.64</v>
      </c>
      <c r="G62" s="64">
        <v>108.35</v>
      </c>
      <c r="H62" s="64">
        <v>38.04</v>
      </c>
      <c r="I62" s="210" t="s">
        <v>43</v>
      </c>
      <c r="J62" s="64">
        <v>0.87</v>
      </c>
      <c r="K62" s="64">
        <v>273.22000000000003</v>
      </c>
      <c r="L62" s="64">
        <v>31.48</v>
      </c>
      <c r="M62" s="64">
        <v>28.46</v>
      </c>
      <c r="N62" s="64">
        <v>739.2</v>
      </c>
      <c r="O62" s="64">
        <v>0</v>
      </c>
      <c r="P62" s="64">
        <v>0.82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13" t="s">
        <v>2122</v>
      </c>
      <c r="B63" s="64">
        <v>3.4</v>
      </c>
      <c r="C63" s="64">
        <v>58.87</v>
      </c>
      <c r="D63" s="64">
        <v>60.17</v>
      </c>
      <c r="E63" s="64">
        <v>9.9</v>
      </c>
      <c r="F63" s="64">
        <v>13.11</v>
      </c>
      <c r="G63" s="64">
        <v>108.35</v>
      </c>
      <c r="H63" s="64">
        <v>38.04</v>
      </c>
      <c r="I63" s="210" t="s">
        <v>43</v>
      </c>
      <c r="J63" s="64">
        <v>0.87</v>
      </c>
      <c r="K63" s="64">
        <v>308</v>
      </c>
      <c r="L63" s="64">
        <v>30.45</v>
      </c>
      <c r="M63" s="64">
        <v>29.57</v>
      </c>
      <c r="N63" s="64">
        <v>692.2</v>
      </c>
      <c r="O63" s="64">
        <v>0</v>
      </c>
      <c r="P63" s="64">
        <v>0.79</v>
      </c>
      <c r="Q63" s="64">
        <v>9.4</v>
      </c>
      <c r="R63" s="198"/>
      <c r="S63" s="198"/>
      <c r="T63" s="198"/>
      <c r="U63" s="198"/>
    </row>
    <row r="64" spans="1:21" s="12" customFormat="1" x14ac:dyDescent="0.25">
      <c r="A64" s="213" t="s">
        <v>2123</v>
      </c>
      <c r="B64" s="64">
        <v>3.46</v>
      </c>
      <c r="C64" s="64">
        <v>61.99</v>
      </c>
      <c r="D64" s="64">
        <v>63.35</v>
      </c>
      <c r="E64" s="64">
        <v>10.1</v>
      </c>
      <c r="F64" s="64">
        <v>12.87</v>
      </c>
      <c r="G64" s="64">
        <v>108.35</v>
      </c>
      <c r="H64" s="64">
        <v>38.04</v>
      </c>
      <c r="I64" s="210" t="s">
        <v>43</v>
      </c>
      <c r="J64" s="64">
        <v>0.98</v>
      </c>
      <c r="K64" s="64">
        <v>292.05</v>
      </c>
      <c r="L64" s="64">
        <v>31.41</v>
      </c>
      <c r="M64" s="64">
        <v>26.59</v>
      </c>
      <c r="N64" s="64">
        <v>672.2</v>
      </c>
      <c r="O64" s="64">
        <v>0</v>
      </c>
      <c r="P64" s="64">
        <v>0.77</v>
      </c>
      <c r="Q64" s="64">
        <v>9.3800000000000008</v>
      </c>
      <c r="R64" s="198"/>
      <c r="S64" s="198"/>
      <c r="T64" s="198"/>
      <c r="U64" s="198"/>
    </row>
    <row r="65" spans="1:21" s="12" customFormat="1" x14ac:dyDescent="0.25">
      <c r="A65" s="213" t="s">
        <v>2124</v>
      </c>
      <c r="B65" s="64">
        <v>3.39</v>
      </c>
      <c r="C65" s="64">
        <v>62.09</v>
      </c>
      <c r="D65" s="64">
        <v>63.37</v>
      </c>
      <c r="E65" s="64">
        <v>10.44</v>
      </c>
      <c r="F65" s="64">
        <v>16.809999999999999</v>
      </c>
      <c r="G65" s="64">
        <v>93.45</v>
      </c>
      <c r="H65" s="64">
        <v>29.96</v>
      </c>
      <c r="I65" s="210" t="s">
        <v>43</v>
      </c>
      <c r="J65" s="64">
        <v>0.77</v>
      </c>
      <c r="K65" s="64">
        <v>301.38</v>
      </c>
      <c r="L65" s="64">
        <v>31.11</v>
      </c>
      <c r="M65" s="64">
        <v>26.41</v>
      </c>
      <c r="N65" s="64">
        <v>553.20000000000005</v>
      </c>
      <c r="O65" s="64">
        <v>0</v>
      </c>
      <c r="P65" s="64">
        <v>0.67</v>
      </c>
      <c r="Q65" s="64">
        <v>9.3699999999999992</v>
      </c>
      <c r="R65" s="198"/>
      <c r="S65" s="198"/>
      <c r="T65" s="198"/>
      <c r="U65" s="198"/>
    </row>
    <row r="66" spans="1:21" s="12" customFormat="1" x14ac:dyDescent="0.25">
      <c r="A66" s="213" t="s">
        <v>2125</v>
      </c>
      <c r="B66" s="64">
        <v>3.46</v>
      </c>
      <c r="C66" s="64">
        <v>64.260000000000005</v>
      </c>
      <c r="D66" s="64">
        <v>65.62</v>
      </c>
      <c r="E66" s="64">
        <v>9.73</v>
      </c>
      <c r="F66" s="64">
        <v>12.92</v>
      </c>
      <c r="G66" s="64">
        <v>93.45</v>
      </c>
      <c r="H66" s="64">
        <v>29.87</v>
      </c>
      <c r="I66" s="210" t="s">
        <v>43</v>
      </c>
      <c r="J66" s="64">
        <v>1.29</v>
      </c>
      <c r="K66" s="64">
        <v>324.77999999999997</v>
      </c>
      <c r="L66" s="64">
        <v>31.96</v>
      </c>
      <c r="M66" s="64">
        <v>26.22</v>
      </c>
      <c r="N66" s="64">
        <v>594.5</v>
      </c>
      <c r="O66" s="64">
        <v>0</v>
      </c>
      <c r="P66" s="64">
        <v>0.66</v>
      </c>
      <c r="Q66" s="64">
        <v>9.33</v>
      </c>
      <c r="R66" s="198"/>
      <c r="S66" s="198"/>
      <c r="T66" s="198"/>
      <c r="U66" s="198"/>
    </row>
    <row r="67" spans="1:21" s="12" customFormat="1" x14ac:dyDescent="0.25">
      <c r="A67" s="213" t="s">
        <v>2126</v>
      </c>
      <c r="B67" s="64">
        <v>3.86</v>
      </c>
      <c r="C67" s="64">
        <v>65.44</v>
      </c>
      <c r="D67" s="64">
        <v>67.2</v>
      </c>
      <c r="E67" s="64">
        <v>9.57</v>
      </c>
      <c r="F67" s="64">
        <v>11.06</v>
      </c>
      <c r="G67" s="64">
        <v>93.45</v>
      </c>
      <c r="H67" s="64">
        <v>29.87</v>
      </c>
      <c r="I67" s="210" t="s">
        <v>43</v>
      </c>
      <c r="J67" s="64">
        <v>1.1000000000000001</v>
      </c>
      <c r="K67" s="64">
        <v>297.44</v>
      </c>
      <c r="L67" s="64">
        <v>31.6</v>
      </c>
      <c r="M67" s="64">
        <v>25.91</v>
      </c>
      <c r="N67" s="64">
        <v>412.6</v>
      </c>
      <c r="O67" s="64">
        <v>0</v>
      </c>
      <c r="P67" s="64">
        <v>0.63</v>
      </c>
      <c r="Q67" s="64">
        <v>9.32</v>
      </c>
      <c r="R67" s="198"/>
      <c r="S67" s="198"/>
      <c r="T67" s="198"/>
      <c r="U67" s="198"/>
    </row>
    <row r="68" spans="1:21" s="12" customFormat="1" x14ac:dyDescent="0.25">
      <c r="A68" s="213" t="s">
        <v>2127</v>
      </c>
      <c r="B68" s="64">
        <v>3.71</v>
      </c>
      <c r="C68" s="64">
        <v>66.14</v>
      </c>
      <c r="D68" s="64">
        <v>67.75</v>
      </c>
      <c r="E68" s="64">
        <v>9.39</v>
      </c>
      <c r="F68" s="64">
        <v>12.49</v>
      </c>
      <c r="G68" s="64">
        <v>93.45</v>
      </c>
      <c r="H68" s="64">
        <v>29.87</v>
      </c>
      <c r="I68" s="210" t="s">
        <v>43</v>
      </c>
      <c r="J68" s="64">
        <v>1.74</v>
      </c>
      <c r="K68" s="64">
        <v>318</v>
      </c>
      <c r="L68" s="64">
        <v>31.42</v>
      </c>
      <c r="M68" s="64">
        <v>25.83</v>
      </c>
      <c r="N68" s="64">
        <v>322.3</v>
      </c>
      <c r="O68" s="64">
        <v>0</v>
      </c>
      <c r="P68" s="64">
        <v>0.61</v>
      </c>
      <c r="Q68" s="64">
        <v>9.33</v>
      </c>
      <c r="R68" s="198"/>
      <c r="S68" s="198"/>
      <c r="T68" s="198"/>
      <c r="U68" s="198"/>
    </row>
    <row r="69" spans="1:21" s="12" customFormat="1" x14ac:dyDescent="0.25">
      <c r="A69" s="213" t="s">
        <v>2128</v>
      </c>
      <c r="B69" s="64">
        <v>3.92</v>
      </c>
      <c r="C69" s="64">
        <v>65.58</v>
      </c>
      <c r="D69" s="64">
        <v>67.400000000000006</v>
      </c>
      <c r="E69" s="64">
        <v>8.0299999999999994</v>
      </c>
      <c r="F69" s="64">
        <v>6.82</v>
      </c>
      <c r="G69" s="64">
        <v>74.25</v>
      </c>
      <c r="H69" s="64">
        <v>30.59</v>
      </c>
      <c r="I69" s="210" t="s">
        <v>43</v>
      </c>
      <c r="J69" s="64">
        <v>1.84</v>
      </c>
      <c r="K69" s="64">
        <v>307.33</v>
      </c>
      <c r="L69" s="64">
        <v>31.36</v>
      </c>
      <c r="M69" s="64">
        <v>24.81</v>
      </c>
      <c r="N69" s="64">
        <v>328.9</v>
      </c>
      <c r="O69" s="64">
        <v>0</v>
      </c>
      <c r="P69" s="64">
        <v>0.6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3" t="s">
        <v>2129</v>
      </c>
      <c r="B70" s="64">
        <v>4.2</v>
      </c>
      <c r="C70" s="64">
        <v>64.53</v>
      </c>
      <c r="D70" s="64">
        <v>66.63</v>
      </c>
      <c r="E70" s="64">
        <v>8.68</v>
      </c>
      <c r="F70" s="64">
        <v>7.92</v>
      </c>
      <c r="G70" s="64">
        <v>74.03</v>
      </c>
      <c r="H70" s="64">
        <v>30.59</v>
      </c>
      <c r="I70" s="210" t="s">
        <v>43</v>
      </c>
      <c r="J70" s="64">
        <v>1.64</v>
      </c>
      <c r="K70" s="64">
        <v>322.93</v>
      </c>
      <c r="L70" s="64">
        <v>30.76</v>
      </c>
      <c r="M70" s="64">
        <v>25.16</v>
      </c>
      <c r="N70" s="64">
        <v>343.1</v>
      </c>
      <c r="O70" s="64">
        <v>0</v>
      </c>
      <c r="P70" s="64">
        <v>0.59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13" t="s">
        <v>2130</v>
      </c>
      <c r="B71" s="64">
        <v>4.0199999999999996</v>
      </c>
      <c r="C71" s="64">
        <v>61.77</v>
      </c>
      <c r="D71" s="64">
        <v>63.69</v>
      </c>
      <c r="E71" s="64">
        <v>8.84</v>
      </c>
      <c r="F71" s="64">
        <v>9.0399999999999991</v>
      </c>
      <c r="G71" s="64">
        <v>74.03</v>
      </c>
      <c r="H71" s="64">
        <v>30.59</v>
      </c>
      <c r="I71" s="210" t="s">
        <v>43</v>
      </c>
      <c r="J71" s="64">
        <v>2.2000000000000002</v>
      </c>
      <c r="K71" s="64">
        <v>318.86</v>
      </c>
      <c r="L71" s="64">
        <v>30.14</v>
      </c>
      <c r="M71" s="64">
        <v>26.06</v>
      </c>
      <c r="N71" s="64">
        <v>308.10000000000002</v>
      </c>
      <c r="O71" s="64">
        <v>0</v>
      </c>
      <c r="P71" s="64">
        <v>0.55000000000000004</v>
      </c>
      <c r="Q71" s="64">
        <v>9.2899999999999991</v>
      </c>
      <c r="R71" s="198"/>
      <c r="S71" s="198"/>
      <c r="T71" s="198"/>
      <c r="U71" s="198"/>
    </row>
    <row r="72" spans="1:21" s="12" customFormat="1" x14ac:dyDescent="0.25">
      <c r="A72" s="213" t="s">
        <v>2131</v>
      </c>
      <c r="B72" s="64">
        <v>3.93</v>
      </c>
      <c r="C72" s="64">
        <v>59.97</v>
      </c>
      <c r="D72" s="64">
        <v>61.8</v>
      </c>
      <c r="E72" s="64">
        <v>8.35</v>
      </c>
      <c r="F72" s="64">
        <v>9.9600000000000009</v>
      </c>
      <c r="G72" s="64">
        <v>74.03</v>
      </c>
      <c r="H72" s="64">
        <v>30.59</v>
      </c>
      <c r="I72" s="210" t="s">
        <v>43</v>
      </c>
      <c r="J72" s="64">
        <v>1.33</v>
      </c>
      <c r="K72" s="64">
        <v>301.37</v>
      </c>
      <c r="L72" s="64">
        <v>29.07</v>
      </c>
      <c r="M72" s="64">
        <v>26.65</v>
      </c>
      <c r="N72" s="64">
        <v>195.3</v>
      </c>
      <c r="O72" s="64">
        <v>0</v>
      </c>
      <c r="P72" s="64">
        <v>0.53</v>
      </c>
      <c r="Q72" s="64">
        <v>9.27</v>
      </c>
      <c r="R72" s="198"/>
      <c r="S72" s="198"/>
      <c r="T72" s="198"/>
      <c r="U72" s="198"/>
    </row>
    <row r="73" spans="1:21" s="12" customFormat="1" x14ac:dyDescent="0.25">
      <c r="A73" s="213" t="s">
        <v>2132</v>
      </c>
      <c r="B73" s="64">
        <v>3.79</v>
      </c>
      <c r="C73" s="64">
        <v>58.63</v>
      </c>
      <c r="D73" s="64">
        <v>60.33</v>
      </c>
      <c r="E73" s="64">
        <v>10.09</v>
      </c>
      <c r="F73" s="64">
        <v>19.45</v>
      </c>
      <c r="G73" s="64">
        <v>67.010000000000005</v>
      </c>
      <c r="H73" s="64">
        <v>29.74</v>
      </c>
      <c r="I73" s="210" t="s">
        <v>43</v>
      </c>
      <c r="J73" s="64">
        <v>1.66</v>
      </c>
      <c r="K73" s="64">
        <v>316.70999999999998</v>
      </c>
      <c r="L73" s="64">
        <v>28.5</v>
      </c>
      <c r="M73" s="64">
        <v>27.87</v>
      </c>
      <c r="N73" s="64">
        <v>151.1</v>
      </c>
      <c r="O73" s="64">
        <v>0</v>
      </c>
      <c r="P73" s="64">
        <v>0.5</v>
      </c>
      <c r="Q73" s="64">
        <v>9.24</v>
      </c>
      <c r="R73" s="198"/>
      <c r="S73" s="198"/>
      <c r="T73" s="198"/>
      <c r="U73" s="198"/>
    </row>
    <row r="74" spans="1:21" s="12" customFormat="1" x14ac:dyDescent="0.25">
      <c r="A74" s="213" t="s">
        <v>2133</v>
      </c>
      <c r="B74" s="64">
        <v>3.87</v>
      </c>
      <c r="C74" s="64">
        <v>59.51</v>
      </c>
      <c r="D74" s="64">
        <v>61.28</v>
      </c>
      <c r="E74" s="64">
        <v>10.54</v>
      </c>
      <c r="F74" s="64">
        <v>17.86</v>
      </c>
      <c r="G74" s="64">
        <v>67.010000000000005</v>
      </c>
      <c r="H74" s="64">
        <v>29.73</v>
      </c>
      <c r="I74" s="210" t="s">
        <v>43</v>
      </c>
      <c r="J74" s="64">
        <v>2</v>
      </c>
      <c r="K74" s="64">
        <v>305.67</v>
      </c>
      <c r="L74" s="64">
        <v>28.12</v>
      </c>
      <c r="M74" s="64">
        <v>28.14</v>
      </c>
      <c r="N74" s="64">
        <v>143.5</v>
      </c>
      <c r="O74" s="64">
        <v>0</v>
      </c>
      <c r="P74" s="64">
        <v>0.48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13" t="s">
        <v>2134</v>
      </c>
      <c r="B75" s="64">
        <v>3.79</v>
      </c>
      <c r="C75" s="64">
        <v>57.42</v>
      </c>
      <c r="D75" s="64">
        <v>59.11</v>
      </c>
      <c r="E75" s="64">
        <v>11.09</v>
      </c>
      <c r="F75" s="64">
        <v>19.329999999999998</v>
      </c>
      <c r="G75" s="64">
        <v>67.010000000000005</v>
      </c>
      <c r="H75" s="64">
        <v>29.73</v>
      </c>
      <c r="I75" s="210" t="s">
        <v>43</v>
      </c>
      <c r="J75" s="64">
        <v>1.58</v>
      </c>
      <c r="K75" s="64">
        <v>310.89</v>
      </c>
      <c r="L75" s="64">
        <v>27.65</v>
      </c>
      <c r="M75" s="64">
        <v>29.62</v>
      </c>
      <c r="N75" s="64">
        <v>123.3</v>
      </c>
      <c r="O75" s="64">
        <v>0</v>
      </c>
      <c r="P75" s="64">
        <v>0.45</v>
      </c>
      <c r="Q75" s="64">
        <v>9.1999999999999993</v>
      </c>
      <c r="R75" s="198"/>
      <c r="S75" s="198"/>
      <c r="T75" s="198"/>
      <c r="U75" s="198"/>
    </row>
    <row r="76" spans="1:21" s="12" customFormat="1" x14ac:dyDescent="0.25">
      <c r="A76" s="213" t="s">
        <v>2135</v>
      </c>
      <c r="B76" s="64">
        <v>3.57</v>
      </c>
      <c r="C76" s="64">
        <v>58.26</v>
      </c>
      <c r="D76" s="64">
        <v>59.73</v>
      </c>
      <c r="E76" s="64">
        <v>9.61</v>
      </c>
      <c r="F76" s="64">
        <v>12.11</v>
      </c>
      <c r="G76" s="64">
        <v>67.010000000000005</v>
      </c>
      <c r="H76" s="64">
        <v>29.73</v>
      </c>
      <c r="I76" s="210" t="s">
        <v>43</v>
      </c>
      <c r="J76" s="64">
        <v>1.32</v>
      </c>
      <c r="K76" s="64">
        <v>306.3</v>
      </c>
      <c r="L76" s="64">
        <v>27.32</v>
      </c>
      <c r="M76" s="64">
        <v>30.27</v>
      </c>
      <c r="N76" s="64">
        <v>112.7</v>
      </c>
      <c r="O76" s="64">
        <v>0</v>
      </c>
      <c r="P76" s="64">
        <v>0.46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3" t="s">
        <v>2136</v>
      </c>
      <c r="B77" s="64">
        <v>3.7</v>
      </c>
      <c r="C77" s="64">
        <v>59.32</v>
      </c>
      <c r="D77" s="64">
        <v>60.92</v>
      </c>
      <c r="E77" s="64">
        <v>9.08</v>
      </c>
      <c r="F77" s="64">
        <v>6.25</v>
      </c>
      <c r="G77" s="64">
        <v>46.29</v>
      </c>
      <c r="H77" s="64">
        <v>16.96</v>
      </c>
      <c r="I77" s="210" t="s">
        <v>43</v>
      </c>
      <c r="J77" s="64">
        <v>1.33</v>
      </c>
      <c r="K77" s="64">
        <v>316.05</v>
      </c>
      <c r="L77" s="64">
        <v>26.93</v>
      </c>
      <c r="M77" s="64">
        <v>32.03</v>
      </c>
      <c r="N77" s="64">
        <v>101.2</v>
      </c>
      <c r="O77" s="64">
        <v>0</v>
      </c>
      <c r="P77" s="64">
        <v>0.5</v>
      </c>
      <c r="Q77" s="64">
        <v>9.17</v>
      </c>
      <c r="R77" s="198"/>
      <c r="S77" s="198"/>
      <c r="T77" s="198"/>
      <c r="U77" s="198"/>
    </row>
    <row r="78" spans="1:21" s="12" customFormat="1" x14ac:dyDescent="0.25">
      <c r="A78" s="213" t="s">
        <v>2137</v>
      </c>
      <c r="B78" s="64">
        <v>4.1100000000000003</v>
      </c>
      <c r="C78" s="64">
        <v>60.58</v>
      </c>
      <c r="D78" s="64">
        <v>62.59</v>
      </c>
      <c r="E78" s="64">
        <v>8.49</v>
      </c>
      <c r="F78" s="64">
        <v>3.96</v>
      </c>
      <c r="G78" s="64">
        <v>46.29</v>
      </c>
      <c r="H78" s="64">
        <v>16.809999999999999</v>
      </c>
      <c r="I78" s="210" t="s">
        <v>43</v>
      </c>
      <c r="J78" s="64">
        <v>1.41</v>
      </c>
      <c r="K78" s="64">
        <v>322.3</v>
      </c>
      <c r="L78" s="64">
        <v>26.43</v>
      </c>
      <c r="M78" s="64">
        <v>32.96</v>
      </c>
      <c r="N78" s="64">
        <v>88.3</v>
      </c>
      <c r="O78" s="64">
        <v>0</v>
      </c>
      <c r="P78" s="64">
        <v>0.52</v>
      </c>
      <c r="Q78" s="64">
        <v>9.1999999999999993</v>
      </c>
      <c r="R78" s="198"/>
      <c r="S78" s="198"/>
      <c r="T78" s="198"/>
      <c r="U78" s="198"/>
    </row>
    <row r="79" spans="1:21" s="12" customFormat="1" x14ac:dyDescent="0.25">
      <c r="A79" s="213" t="s">
        <v>2138</v>
      </c>
      <c r="B79" s="64">
        <v>4.67</v>
      </c>
      <c r="C79" s="64">
        <v>62.13</v>
      </c>
      <c r="D79" s="64">
        <v>64.7</v>
      </c>
      <c r="E79" s="64">
        <v>8.4600000000000009</v>
      </c>
      <c r="F79" s="64">
        <v>2.31</v>
      </c>
      <c r="G79" s="64">
        <v>46.29</v>
      </c>
      <c r="H79" s="64">
        <v>16.809999999999999</v>
      </c>
      <c r="I79" s="210" t="s">
        <v>43</v>
      </c>
      <c r="J79" s="64">
        <v>1.28</v>
      </c>
      <c r="K79" s="64">
        <v>342.87</v>
      </c>
      <c r="L79" s="64">
        <v>25.82</v>
      </c>
      <c r="M79" s="64">
        <v>34.6</v>
      </c>
      <c r="N79" s="64">
        <v>76.5</v>
      </c>
      <c r="O79" s="64">
        <v>0</v>
      </c>
      <c r="P79" s="64">
        <v>0.59</v>
      </c>
      <c r="Q79" s="64">
        <v>9.23</v>
      </c>
      <c r="R79" s="198"/>
      <c r="S79" s="198"/>
      <c r="T79" s="198"/>
      <c r="U79" s="198"/>
    </row>
    <row r="80" spans="1:21" s="12" customFormat="1" x14ac:dyDescent="0.25">
      <c r="A80" s="213" t="s">
        <v>2139</v>
      </c>
      <c r="B80" s="64">
        <v>5.38</v>
      </c>
      <c r="C80" s="64">
        <v>64.16</v>
      </c>
      <c r="D80" s="64">
        <v>67.44</v>
      </c>
      <c r="E80" s="64">
        <v>7.85</v>
      </c>
      <c r="F80" s="64">
        <v>2.15</v>
      </c>
      <c r="G80" s="64">
        <v>46.29</v>
      </c>
      <c r="H80" s="64">
        <v>16.809999999999999</v>
      </c>
      <c r="I80" s="210" t="s">
        <v>43</v>
      </c>
      <c r="J80" s="64">
        <v>1.1299999999999999</v>
      </c>
      <c r="K80" s="64">
        <v>355.04</v>
      </c>
      <c r="L80" s="64">
        <v>25.1</v>
      </c>
      <c r="M80" s="64">
        <v>36.909999999999997</v>
      </c>
      <c r="N80" s="64">
        <v>69.2</v>
      </c>
      <c r="O80" s="64">
        <v>0</v>
      </c>
      <c r="P80" s="64">
        <v>0.72</v>
      </c>
      <c r="Q80" s="64">
        <v>9.27</v>
      </c>
      <c r="R80" s="198"/>
      <c r="S80" s="198"/>
      <c r="T80" s="198"/>
      <c r="U80" s="198"/>
    </row>
    <row r="81" spans="1:26" s="12" customFormat="1" x14ac:dyDescent="0.25">
      <c r="A81" s="213" t="s">
        <v>2140</v>
      </c>
      <c r="B81" s="64">
        <v>6.41</v>
      </c>
      <c r="C81" s="64">
        <v>66.37</v>
      </c>
      <c r="D81" s="64">
        <v>70.67</v>
      </c>
      <c r="E81" s="64">
        <v>7.84</v>
      </c>
      <c r="F81" s="64">
        <v>2.13</v>
      </c>
      <c r="G81" s="64">
        <v>73.58</v>
      </c>
      <c r="H81" s="64">
        <v>21.13</v>
      </c>
      <c r="I81" s="210" t="s">
        <v>43</v>
      </c>
      <c r="J81" s="64">
        <v>0.9</v>
      </c>
      <c r="K81" s="64">
        <v>358.65</v>
      </c>
      <c r="L81" s="64">
        <v>24.48</v>
      </c>
      <c r="M81" s="64">
        <v>37.58</v>
      </c>
      <c r="N81" s="64">
        <v>64.900000000000006</v>
      </c>
      <c r="O81" s="64">
        <v>0</v>
      </c>
      <c r="P81" s="64">
        <v>0.89</v>
      </c>
      <c r="Q81" s="64">
        <v>9.32</v>
      </c>
      <c r="R81" s="198"/>
      <c r="S81" s="198"/>
      <c r="T81" s="198"/>
      <c r="U81" s="198"/>
    </row>
    <row r="82" spans="1:26" s="12" customFormat="1" x14ac:dyDescent="0.25">
      <c r="A82" s="213" t="s">
        <v>2141</v>
      </c>
      <c r="B82" s="64">
        <v>7.95</v>
      </c>
      <c r="C82" s="64">
        <v>69.3</v>
      </c>
      <c r="D82" s="64">
        <v>75.150000000000006</v>
      </c>
      <c r="E82" s="64">
        <v>7.48</v>
      </c>
      <c r="F82" s="64">
        <v>2.13</v>
      </c>
      <c r="G82" s="64">
        <v>73.58</v>
      </c>
      <c r="H82" s="64">
        <v>21.17</v>
      </c>
      <c r="I82" s="210" t="s">
        <v>43</v>
      </c>
      <c r="J82" s="64">
        <v>0.51</v>
      </c>
      <c r="K82" s="64">
        <v>222.88</v>
      </c>
      <c r="L82" s="64">
        <v>24</v>
      </c>
      <c r="M82" s="64">
        <v>39.24</v>
      </c>
      <c r="N82" s="64">
        <v>64.099999999999994</v>
      </c>
      <c r="O82" s="64">
        <v>0</v>
      </c>
      <c r="P82" s="64">
        <v>0.84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3" t="s">
        <v>2142</v>
      </c>
      <c r="B83" s="64">
        <v>9.19</v>
      </c>
      <c r="C83" s="64">
        <v>71.430000000000007</v>
      </c>
      <c r="D83" s="64">
        <v>78.52</v>
      </c>
      <c r="E83" s="64">
        <v>7.67</v>
      </c>
      <c r="F83" s="64">
        <v>2.13</v>
      </c>
      <c r="G83" s="64">
        <v>73.58</v>
      </c>
      <c r="H83" s="64">
        <v>21.17</v>
      </c>
      <c r="I83" s="210" t="s">
        <v>43</v>
      </c>
      <c r="J83" s="64">
        <v>0.57999999999999996</v>
      </c>
      <c r="K83" s="64">
        <v>261.61</v>
      </c>
      <c r="L83" s="64">
        <v>23.76</v>
      </c>
      <c r="M83" s="64">
        <v>42.79</v>
      </c>
      <c r="N83" s="64">
        <v>64</v>
      </c>
      <c r="O83" s="64">
        <v>0</v>
      </c>
      <c r="P83" s="64">
        <v>1.23</v>
      </c>
      <c r="Q83" s="64">
        <v>9.39</v>
      </c>
      <c r="R83" s="198"/>
      <c r="S83" s="198"/>
      <c r="T83" s="198"/>
      <c r="U83" s="198"/>
    </row>
    <row r="84" spans="1:26" s="12" customFormat="1" x14ac:dyDescent="0.25">
      <c r="A84" s="213" t="s">
        <v>2143</v>
      </c>
      <c r="B84" s="64">
        <v>14.3</v>
      </c>
      <c r="C84" s="64">
        <v>71.069999999999993</v>
      </c>
      <c r="D84" s="64">
        <v>83.27</v>
      </c>
      <c r="E84" s="64">
        <v>7.42</v>
      </c>
      <c r="F84" s="64">
        <v>2.13</v>
      </c>
      <c r="G84" s="64">
        <v>73.58</v>
      </c>
      <c r="H84" s="64">
        <v>21.17</v>
      </c>
      <c r="I84" s="210" t="s">
        <v>43</v>
      </c>
      <c r="J84" s="64">
        <v>0.61</v>
      </c>
      <c r="K84" s="64">
        <v>320.23</v>
      </c>
      <c r="L84" s="64">
        <v>23.07</v>
      </c>
      <c r="M84" s="64">
        <v>46.58</v>
      </c>
      <c r="N84" s="64">
        <v>64.2</v>
      </c>
      <c r="O84" s="64">
        <v>0</v>
      </c>
      <c r="P84" s="64">
        <v>1.58</v>
      </c>
      <c r="Q84" s="64">
        <v>9.36</v>
      </c>
      <c r="R84" s="198"/>
      <c r="S84" s="198"/>
      <c r="T84" s="198"/>
      <c r="U84" s="198"/>
    </row>
    <row r="85" spans="1:26" s="12" customFormat="1" x14ac:dyDescent="0.25">
      <c r="A85" s="213" t="s">
        <v>2144</v>
      </c>
      <c r="B85" s="64">
        <v>20.56</v>
      </c>
      <c r="C85" s="64">
        <v>73.33</v>
      </c>
      <c r="D85" s="64">
        <v>91.79</v>
      </c>
      <c r="E85" s="64">
        <v>8.1300000000000008</v>
      </c>
      <c r="F85" s="64">
        <v>2.16</v>
      </c>
      <c r="G85" s="64">
        <v>100.56</v>
      </c>
      <c r="H85" s="64">
        <v>33.17</v>
      </c>
      <c r="I85" s="210" t="s">
        <v>43</v>
      </c>
      <c r="J85" s="64">
        <v>0.18</v>
      </c>
      <c r="K85" s="64">
        <v>82.42</v>
      </c>
      <c r="L85" s="64">
        <v>22.63</v>
      </c>
      <c r="M85" s="64">
        <v>48.89</v>
      </c>
      <c r="N85" s="64">
        <v>63.8</v>
      </c>
      <c r="O85" s="64">
        <v>0</v>
      </c>
      <c r="P85" s="64">
        <v>1.56</v>
      </c>
      <c r="Q85" s="64">
        <v>9.3800000000000008</v>
      </c>
      <c r="R85" s="198"/>
      <c r="S85" s="198"/>
      <c r="T85" s="198"/>
      <c r="U85" s="198"/>
    </row>
    <row r="86" spans="1:26" s="12" customFormat="1" x14ac:dyDescent="0.25">
      <c r="A86" s="213" t="s">
        <v>2145</v>
      </c>
      <c r="B86" s="64">
        <v>27.29</v>
      </c>
      <c r="C86" s="64">
        <v>75.95</v>
      </c>
      <c r="D86" s="64">
        <v>101.14</v>
      </c>
      <c r="E86" s="64">
        <v>8.3000000000000007</v>
      </c>
      <c r="F86" s="64">
        <v>2.13</v>
      </c>
      <c r="G86" s="64">
        <v>100.86</v>
      </c>
      <c r="H86" s="64">
        <v>33.17</v>
      </c>
      <c r="I86" s="210" t="s">
        <v>43</v>
      </c>
      <c r="J86" s="64">
        <v>0.48</v>
      </c>
      <c r="K86" s="64">
        <v>310.23</v>
      </c>
      <c r="L86" s="64">
        <v>22.21</v>
      </c>
      <c r="M86" s="64">
        <v>50.46</v>
      </c>
      <c r="N86" s="64">
        <v>64</v>
      </c>
      <c r="O86" s="64">
        <v>0</v>
      </c>
      <c r="P86" s="64">
        <v>1.52</v>
      </c>
      <c r="Q86" s="64">
        <v>9.3800000000000008</v>
      </c>
      <c r="R86" s="198"/>
      <c r="S86" s="198"/>
      <c r="T86" s="198"/>
      <c r="U86" s="198"/>
    </row>
    <row r="87" spans="1:26" s="12" customFormat="1" x14ac:dyDescent="0.25">
      <c r="A87" s="213" t="s">
        <v>2146</v>
      </c>
      <c r="B87" s="64">
        <v>35.1</v>
      </c>
      <c r="C87" s="64">
        <v>78.09</v>
      </c>
      <c r="D87" s="64">
        <v>111.09</v>
      </c>
      <c r="E87" s="64">
        <v>8.84</v>
      </c>
      <c r="F87" s="64">
        <v>2.13</v>
      </c>
      <c r="G87" s="64">
        <v>100.86</v>
      </c>
      <c r="H87" s="64">
        <v>33.17</v>
      </c>
      <c r="I87" s="210" t="s">
        <v>43</v>
      </c>
      <c r="J87" s="64">
        <v>0.19</v>
      </c>
      <c r="K87" s="64">
        <v>311.76</v>
      </c>
      <c r="L87" s="64">
        <v>22.01</v>
      </c>
      <c r="M87" s="64">
        <v>52.73</v>
      </c>
      <c r="N87" s="64">
        <v>63.7</v>
      </c>
      <c r="O87" s="64">
        <v>0</v>
      </c>
      <c r="P87" s="64">
        <v>2.12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13" t="s">
        <v>2147</v>
      </c>
      <c r="B88" s="64">
        <v>44.08</v>
      </c>
      <c r="C88" s="64">
        <v>79.7</v>
      </c>
      <c r="D88" s="64">
        <v>121.68</v>
      </c>
      <c r="E88" s="64">
        <v>9.49</v>
      </c>
      <c r="F88" s="64">
        <v>2.13</v>
      </c>
      <c r="G88" s="64">
        <v>100.86</v>
      </c>
      <c r="H88" s="64">
        <v>33.17</v>
      </c>
      <c r="I88" s="210" t="s">
        <v>43</v>
      </c>
      <c r="J88" s="64">
        <v>0.36</v>
      </c>
      <c r="K88" s="64">
        <v>73.52</v>
      </c>
      <c r="L88" s="64">
        <v>21.85</v>
      </c>
      <c r="M88" s="64">
        <v>52.45</v>
      </c>
      <c r="N88" s="64">
        <v>63.2</v>
      </c>
      <c r="O88" s="64">
        <v>0</v>
      </c>
      <c r="P88" s="64">
        <v>1.83</v>
      </c>
      <c r="Q88" s="64">
        <v>9.3800000000000008</v>
      </c>
      <c r="R88" s="198"/>
      <c r="S88" s="198"/>
      <c r="T88" s="198"/>
      <c r="U88" s="198"/>
    </row>
    <row r="89" spans="1:26" s="12" customFormat="1" x14ac:dyDescent="0.25">
      <c r="A89" s="213" t="s">
        <v>2148</v>
      </c>
      <c r="B89" s="64">
        <v>51.73</v>
      </c>
      <c r="C89" s="64">
        <v>80.400000000000006</v>
      </c>
      <c r="D89" s="64">
        <v>130.03</v>
      </c>
      <c r="E89" s="64">
        <v>9.3800000000000008</v>
      </c>
      <c r="F89" s="64">
        <v>2.13</v>
      </c>
      <c r="G89" s="64">
        <v>188.46</v>
      </c>
      <c r="H89" s="64">
        <v>42.89</v>
      </c>
      <c r="I89" s="210" t="s">
        <v>43</v>
      </c>
      <c r="J89" s="64">
        <v>0.4</v>
      </c>
      <c r="K89" s="64">
        <v>80.33</v>
      </c>
      <c r="L89" s="64">
        <v>21.79</v>
      </c>
      <c r="M89" s="64">
        <v>54.89</v>
      </c>
      <c r="N89" s="64">
        <v>63.4</v>
      </c>
      <c r="O89" s="64">
        <v>0</v>
      </c>
      <c r="P89" s="64">
        <v>2.08</v>
      </c>
      <c r="Q89" s="64">
        <v>9.43</v>
      </c>
      <c r="R89" s="198"/>
      <c r="S89" s="198"/>
      <c r="T89" s="198"/>
      <c r="U89" s="198"/>
    </row>
    <row r="90" spans="1:26" s="12" customFormat="1" x14ac:dyDescent="0.25">
      <c r="A90" s="213" t="s">
        <v>2149</v>
      </c>
      <c r="B90" s="64">
        <v>58.87</v>
      </c>
      <c r="C90" s="64">
        <v>81.13</v>
      </c>
      <c r="D90" s="64">
        <v>137.91</v>
      </c>
      <c r="E90" s="64">
        <v>9.65</v>
      </c>
      <c r="F90" s="64">
        <v>2.13</v>
      </c>
      <c r="G90" s="64">
        <v>188.46</v>
      </c>
      <c r="H90" s="64">
        <v>43</v>
      </c>
      <c r="I90" s="210" t="s">
        <v>43</v>
      </c>
      <c r="J90" s="64">
        <v>0.17</v>
      </c>
      <c r="K90" s="64">
        <v>171.55</v>
      </c>
      <c r="L90" s="64">
        <v>21.47</v>
      </c>
      <c r="M90" s="64">
        <v>54</v>
      </c>
      <c r="N90" s="64">
        <v>63.5</v>
      </c>
      <c r="O90" s="64">
        <v>0</v>
      </c>
      <c r="P90" s="64">
        <v>2.13</v>
      </c>
      <c r="Q90" s="64">
        <v>9.42</v>
      </c>
      <c r="R90" s="198"/>
      <c r="S90" s="198"/>
      <c r="T90" s="198"/>
      <c r="U90" s="198"/>
    </row>
    <row r="91" spans="1:26" s="12" customFormat="1" x14ac:dyDescent="0.25">
      <c r="A91" s="213" t="s">
        <v>2150</v>
      </c>
      <c r="B91" s="64">
        <v>66.45</v>
      </c>
      <c r="C91" s="64">
        <v>79.92</v>
      </c>
      <c r="D91" s="64">
        <v>144.27000000000001</v>
      </c>
      <c r="E91" s="64">
        <v>10.02</v>
      </c>
      <c r="F91" s="64">
        <v>2.13</v>
      </c>
      <c r="G91" s="64">
        <v>188.46</v>
      </c>
      <c r="H91" s="64">
        <v>43</v>
      </c>
      <c r="I91" s="210" t="s">
        <v>43</v>
      </c>
      <c r="J91" s="64">
        <v>0.52</v>
      </c>
      <c r="K91" s="64">
        <v>308.45999999999998</v>
      </c>
      <c r="L91" s="64">
        <v>21.15</v>
      </c>
      <c r="M91" s="64">
        <v>55.55</v>
      </c>
      <c r="N91" s="64">
        <v>63.7</v>
      </c>
      <c r="O91" s="64">
        <v>0</v>
      </c>
      <c r="P91" s="64">
        <v>1.68</v>
      </c>
      <c r="Q91" s="64">
        <v>9.4700000000000006</v>
      </c>
      <c r="R91" s="198"/>
      <c r="S91" s="198"/>
      <c r="T91" s="198"/>
      <c r="U91" s="198"/>
    </row>
    <row r="92" spans="1:26" s="12" customFormat="1" x14ac:dyDescent="0.25">
      <c r="A92" s="213" t="s">
        <v>2151</v>
      </c>
      <c r="B92" s="64">
        <v>74.38</v>
      </c>
      <c r="C92" s="64">
        <v>79.48</v>
      </c>
      <c r="D92" s="64">
        <v>151.76</v>
      </c>
      <c r="E92" s="64">
        <v>10.25</v>
      </c>
      <c r="F92" s="64">
        <v>2.13</v>
      </c>
      <c r="G92" s="64">
        <v>188.46</v>
      </c>
      <c r="H92" s="64">
        <v>43</v>
      </c>
      <c r="I92" s="210" t="s">
        <v>43</v>
      </c>
      <c r="J92" s="64">
        <v>0.37</v>
      </c>
      <c r="K92" s="64">
        <v>346.92</v>
      </c>
      <c r="L92" s="64">
        <v>20.58</v>
      </c>
      <c r="M92" s="64">
        <v>62.24</v>
      </c>
      <c r="N92" s="64">
        <v>63.9</v>
      </c>
      <c r="O92" s="64">
        <v>0</v>
      </c>
      <c r="P92" s="64">
        <v>1.7</v>
      </c>
      <c r="Q92" s="64">
        <v>9.52</v>
      </c>
      <c r="R92" s="198"/>
      <c r="S92" s="198"/>
      <c r="T92" s="198"/>
      <c r="U92" s="198"/>
    </row>
    <row r="93" spans="1:26" s="12" customFormat="1" x14ac:dyDescent="0.25">
      <c r="A93" s="213" t="s">
        <v>2152</v>
      </c>
      <c r="B93" s="64">
        <v>81.12</v>
      </c>
      <c r="C93" s="64">
        <v>80.349999999999994</v>
      </c>
      <c r="D93" s="64">
        <v>159.37</v>
      </c>
      <c r="E93" s="64">
        <v>11.03</v>
      </c>
      <c r="F93" s="64">
        <v>2.15</v>
      </c>
      <c r="G93" s="64">
        <v>176.03</v>
      </c>
      <c r="H93" s="64">
        <v>54.71</v>
      </c>
      <c r="I93" s="210" t="s">
        <v>43</v>
      </c>
      <c r="J93" s="64">
        <v>0.55000000000000004</v>
      </c>
      <c r="K93" s="64">
        <v>315.16000000000003</v>
      </c>
      <c r="L93" s="64">
        <v>20.46</v>
      </c>
      <c r="M93" s="64">
        <v>61.36</v>
      </c>
      <c r="N93" s="64">
        <v>63.7</v>
      </c>
      <c r="O93" s="64">
        <v>0</v>
      </c>
      <c r="P93" s="64">
        <v>2.25</v>
      </c>
      <c r="Q93" s="64">
        <v>9.52</v>
      </c>
      <c r="R93" s="198"/>
      <c r="S93" s="198"/>
      <c r="T93" s="198"/>
      <c r="U93" s="198"/>
    </row>
    <row r="94" spans="1:26" s="12" customFormat="1" x14ac:dyDescent="0.25">
      <c r="A94" s="213" t="s">
        <v>2153</v>
      </c>
      <c r="B94" s="64">
        <v>88.99</v>
      </c>
      <c r="C94" s="64">
        <v>81.63</v>
      </c>
      <c r="D94" s="64">
        <v>168.51</v>
      </c>
      <c r="E94" s="64">
        <v>11.28</v>
      </c>
      <c r="F94" s="64">
        <v>2.13</v>
      </c>
      <c r="G94" s="64">
        <v>176.03</v>
      </c>
      <c r="H94" s="64">
        <v>54.85</v>
      </c>
      <c r="I94" s="210" t="s">
        <v>43</v>
      </c>
      <c r="J94" s="64">
        <v>0.82</v>
      </c>
      <c r="K94" s="64">
        <v>80.930000000000007</v>
      </c>
      <c r="L94" s="64">
        <v>20.28</v>
      </c>
      <c r="M94" s="64">
        <v>64.62</v>
      </c>
      <c r="N94" s="64">
        <v>63.3</v>
      </c>
      <c r="O94" s="64">
        <v>0</v>
      </c>
      <c r="P94" s="64">
        <v>2.23</v>
      </c>
      <c r="Q94" s="64">
        <v>9.52</v>
      </c>
      <c r="R94" s="198"/>
      <c r="S94" s="198"/>
      <c r="T94" s="198"/>
      <c r="U94" s="198"/>
    </row>
    <row r="95" spans="1:26" s="12" customFormat="1" x14ac:dyDescent="0.25">
      <c r="A95" s="213" t="s">
        <v>2154</v>
      </c>
      <c r="B95" s="64">
        <v>99.93</v>
      </c>
      <c r="C95" s="64">
        <v>83.29</v>
      </c>
      <c r="D95" s="64">
        <v>181.12</v>
      </c>
      <c r="E95" s="64">
        <v>11.38</v>
      </c>
      <c r="F95" s="64">
        <v>2.13</v>
      </c>
      <c r="G95" s="64">
        <v>176.03</v>
      </c>
      <c r="H95" s="64">
        <v>54.85</v>
      </c>
      <c r="I95" s="210" t="s">
        <v>43</v>
      </c>
      <c r="J95" s="64">
        <v>0.34</v>
      </c>
      <c r="K95" s="64">
        <v>320.27</v>
      </c>
      <c r="L95" s="64">
        <v>20.059999999999999</v>
      </c>
      <c r="M95" s="64">
        <v>66.39</v>
      </c>
      <c r="N95" s="64">
        <v>63.6</v>
      </c>
      <c r="O95" s="64">
        <v>0</v>
      </c>
      <c r="P95" s="64">
        <v>2.4700000000000002</v>
      </c>
      <c r="Q95" s="64">
        <v>9.51</v>
      </c>
      <c r="R95" s="198"/>
      <c r="S95" s="198"/>
      <c r="T95" s="198"/>
      <c r="U95" s="198"/>
    </row>
    <row r="96" spans="1:26" s="12" customFormat="1" x14ac:dyDescent="0.25">
      <c r="A96" s="213" t="s">
        <v>2155</v>
      </c>
      <c r="B96" s="64">
        <v>111.01</v>
      </c>
      <c r="C96" s="64">
        <v>83.95</v>
      </c>
      <c r="D96" s="64">
        <v>192.86</v>
      </c>
      <c r="E96" s="64">
        <v>12.03</v>
      </c>
      <c r="F96" s="64">
        <v>2.13</v>
      </c>
      <c r="G96" s="64">
        <v>176.03</v>
      </c>
      <c r="H96" s="64">
        <v>54.85</v>
      </c>
      <c r="I96" s="210" t="s">
        <v>43</v>
      </c>
      <c r="J96" s="64">
        <v>0.28999999999999998</v>
      </c>
      <c r="K96" s="64">
        <v>282.27</v>
      </c>
      <c r="L96" s="64">
        <v>19.55</v>
      </c>
      <c r="M96" s="64">
        <v>74.540000000000006</v>
      </c>
      <c r="N96" s="64">
        <v>63.9</v>
      </c>
      <c r="O96" s="64">
        <v>0</v>
      </c>
      <c r="P96" s="64">
        <v>2.54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2156</v>
      </c>
      <c r="B97" s="64">
        <v>119.93</v>
      </c>
      <c r="C97" s="64">
        <v>84.18</v>
      </c>
      <c r="D97" s="64">
        <v>202.01</v>
      </c>
      <c r="E97" s="64">
        <v>12.26</v>
      </c>
      <c r="F97" s="64">
        <v>2.13</v>
      </c>
      <c r="G97" s="64">
        <v>215.47</v>
      </c>
      <c r="H97" s="64">
        <v>55.22</v>
      </c>
      <c r="I97" s="210" t="s">
        <v>43</v>
      </c>
      <c r="J97" s="64">
        <v>0.57999999999999996</v>
      </c>
      <c r="K97" s="64">
        <v>327.48</v>
      </c>
      <c r="L97" s="64">
        <v>19.239999999999998</v>
      </c>
      <c r="M97" s="64">
        <v>71.84</v>
      </c>
      <c r="N97" s="64">
        <v>63.8</v>
      </c>
      <c r="O97" s="64">
        <v>0</v>
      </c>
      <c r="P97" s="64">
        <v>2.52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3" t="s">
        <v>2157</v>
      </c>
      <c r="B98" s="64">
        <v>128.69</v>
      </c>
      <c r="C98" s="64">
        <v>84.26</v>
      </c>
      <c r="D98" s="64">
        <v>210.85</v>
      </c>
      <c r="E98" s="64">
        <v>12.49</v>
      </c>
      <c r="F98" s="64">
        <v>2.13</v>
      </c>
      <c r="G98" s="64">
        <v>215.47</v>
      </c>
      <c r="H98" s="64">
        <v>55.23</v>
      </c>
      <c r="I98" s="210" t="s">
        <v>43</v>
      </c>
      <c r="J98" s="64">
        <v>0.14000000000000001</v>
      </c>
      <c r="K98" s="64">
        <v>205.09</v>
      </c>
      <c r="L98" s="64">
        <v>19.079999999999998</v>
      </c>
      <c r="M98" s="64">
        <v>69.319999999999993</v>
      </c>
      <c r="N98" s="64">
        <v>63.9</v>
      </c>
      <c r="O98" s="64">
        <v>0</v>
      </c>
      <c r="P98" s="64">
        <v>2.48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3" t="s">
        <v>2158</v>
      </c>
      <c r="B99" s="64">
        <v>136.77000000000001</v>
      </c>
      <c r="C99" s="64">
        <v>84.81</v>
      </c>
      <c r="D99" s="64">
        <v>219.49</v>
      </c>
      <c r="E99" s="64">
        <v>12.45</v>
      </c>
      <c r="F99" s="64">
        <v>2.13</v>
      </c>
      <c r="G99" s="64">
        <v>215.47</v>
      </c>
      <c r="H99" s="64">
        <v>55.23</v>
      </c>
      <c r="I99" s="210" t="s">
        <v>43</v>
      </c>
      <c r="J99" s="64">
        <v>0.56999999999999995</v>
      </c>
      <c r="K99" s="64">
        <v>312.05</v>
      </c>
      <c r="L99" s="64">
        <v>18.96</v>
      </c>
      <c r="M99" s="64">
        <v>70.98</v>
      </c>
      <c r="N99" s="64">
        <v>63.9</v>
      </c>
      <c r="O99" s="64">
        <v>0</v>
      </c>
      <c r="P99" s="64">
        <v>2.44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13" t="s">
        <v>2159</v>
      </c>
      <c r="B100" s="64">
        <v>145.63999999999999</v>
      </c>
      <c r="C100" s="64">
        <v>85.28</v>
      </c>
      <c r="D100" s="64">
        <v>228.82</v>
      </c>
      <c r="E100" s="64">
        <v>12.08</v>
      </c>
      <c r="F100" s="64">
        <v>2.13</v>
      </c>
      <c r="G100" s="64">
        <v>215.47</v>
      </c>
      <c r="H100" s="64">
        <v>55.23</v>
      </c>
      <c r="I100" s="210" t="s">
        <v>43</v>
      </c>
      <c r="J100" s="64">
        <v>0.33</v>
      </c>
      <c r="K100" s="64">
        <v>24.17</v>
      </c>
      <c r="L100" s="64">
        <v>18.77</v>
      </c>
      <c r="M100" s="64">
        <v>71.260000000000005</v>
      </c>
      <c r="N100" s="64">
        <v>63.9</v>
      </c>
      <c r="O100" s="64">
        <v>0</v>
      </c>
      <c r="P100" s="64">
        <v>2.48</v>
      </c>
      <c r="Q100" s="64">
        <v>9.76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2160</v>
      </c>
      <c r="B101" s="64">
        <v>155.5</v>
      </c>
      <c r="C101" s="64">
        <v>84.32</v>
      </c>
      <c r="D101" s="64">
        <v>237.72</v>
      </c>
      <c r="E101" s="64">
        <v>12.36</v>
      </c>
      <c r="F101" s="64">
        <v>2.1800000000000002</v>
      </c>
      <c r="G101" s="64">
        <v>196.92</v>
      </c>
      <c r="H101" s="64">
        <v>55.93</v>
      </c>
      <c r="I101" s="210" t="s">
        <v>43</v>
      </c>
      <c r="J101" s="64">
        <v>0.43</v>
      </c>
      <c r="K101" s="64">
        <v>334.79</v>
      </c>
      <c r="L101" s="64">
        <v>18.61</v>
      </c>
      <c r="M101" s="64">
        <v>74.7</v>
      </c>
      <c r="N101" s="64">
        <v>63.9</v>
      </c>
      <c r="O101" s="64">
        <v>0</v>
      </c>
      <c r="P101" s="64">
        <v>2.86</v>
      </c>
      <c r="Q101" s="64">
        <v>9.82</v>
      </c>
      <c r="R101" s="198"/>
      <c r="S101" s="198"/>
      <c r="T101" s="198"/>
      <c r="U101" s="198"/>
    </row>
    <row r="102" spans="1:33" s="12" customFormat="1" x14ac:dyDescent="0.25">
      <c r="A102" s="213" t="s">
        <v>2161</v>
      </c>
      <c r="B102" s="64">
        <v>166.39</v>
      </c>
      <c r="C102" s="64">
        <v>83.76</v>
      </c>
      <c r="D102" s="64">
        <v>248.04</v>
      </c>
      <c r="E102" s="64">
        <v>12.25</v>
      </c>
      <c r="F102" s="64">
        <v>2.13</v>
      </c>
      <c r="G102" s="64">
        <v>196.92</v>
      </c>
      <c r="H102" s="64">
        <v>55.94</v>
      </c>
      <c r="I102" s="210" t="s">
        <v>43</v>
      </c>
      <c r="J102" s="64">
        <v>0.71</v>
      </c>
      <c r="K102" s="64">
        <v>327.52</v>
      </c>
      <c r="L102" s="64">
        <v>18.28</v>
      </c>
      <c r="M102" s="64">
        <v>78.56</v>
      </c>
      <c r="N102" s="64">
        <v>63.9</v>
      </c>
      <c r="O102" s="64">
        <v>0</v>
      </c>
      <c r="P102" s="64">
        <v>3.01</v>
      </c>
      <c r="Q102" s="64">
        <v>9.86</v>
      </c>
      <c r="R102" s="198"/>
      <c r="S102" s="198"/>
      <c r="T102" s="198"/>
      <c r="U102" s="198"/>
    </row>
    <row r="103" spans="1:33" s="12" customFormat="1" x14ac:dyDescent="0.25">
      <c r="A103" s="213" t="s">
        <v>2162</v>
      </c>
      <c r="B103" s="64">
        <v>174.58</v>
      </c>
      <c r="C103" s="64">
        <v>85.35</v>
      </c>
      <c r="D103" s="64">
        <v>257.82</v>
      </c>
      <c r="E103" s="64">
        <v>12.71</v>
      </c>
      <c r="F103" s="64">
        <v>2.2400000000000002</v>
      </c>
      <c r="G103" s="64">
        <v>196.92</v>
      </c>
      <c r="H103" s="64">
        <v>55.94</v>
      </c>
      <c r="I103" s="210" t="s">
        <v>43</v>
      </c>
      <c r="J103" s="64">
        <v>0.27</v>
      </c>
      <c r="K103" s="64">
        <v>295.42</v>
      </c>
      <c r="L103" s="64">
        <v>17.989999999999998</v>
      </c>
      <c r="M103" s="64">
        <v>82.23</v>
      </c>
      <c r="N103" s="64">
        <v>63.9</v>
      </c>
      <c r="O103" s="64">
        <v>0</v>
      </c>
      <c r="P103" s="64">
        <v>2.85</v>
      </c>
      <c r="Q103" s="64">
        <v>9.92</v>
      </c>
      <c r="R103" s="198"/>
      <c r="S103" s="198"/>
      <c r="T103" s="198"/>
      <c r="U103" s="198"/>
    </row>
    <row r="104" spans="1:33" s="12" customFormat="1" x14ac:dyDescent="0.25">
      <c r="A104" s="213" t="s">
        <v>2163</v>
      </c>
      <c r="B104" s="64">
        <v>180.47</v>
      </c>
      <c r="C104" s="64">
        <v>85.87</v>
      </c>
      <c r="D104" s="64">
        <v>264.24</v>
      </c>
      <c r="E104" s="64">
        <v>10.5</v>
      </c>
      <c r="F104" s="64">
        <v>2.17</v>
      </c>
      <c r="G104" s="64">
        <v>196.92</v>
      </c>
      <c r="H104" s="64">
        <v>55.94</v>
      </c>
      <c r="I104" s="210" t="s">
        <v>43</v>
      </c>
      <c r="J104" s="64">
        <v>0.57999999999999996</v>
      </c>
      <c r="K104" s="64">
        <v>354.95</v>
      </c>
      <c r="L104" s="64">
        <v>18.2</v>
      </c>
      <c r="M104" s="64">
        <v>81.02</v>
      </c>
      <c r="N104" s="64">
        <v>62.8</v>
      </c>
      <c r="O104" s="64">
        <v>0</v>
      </c>
      <c r="P104" s="64">
        <v>2.89</v>
      </c>
      <c r="Q104" s="64">
        <v>9.9700000000000006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3.34</v>
      </c>
      <c r="C106" s="67">
        <f>MIN(C9:C104)</f>
        <v>57.42</v>
      </c>
      <c r="D106" s="67">
        <f t="shared" ref="D106:Q106" si="0">MIN(D9:D104)</f>
        <v>59.11</v>
      </c>
      <c r="E106" s="67">
        <f t="shared" si="0"/>
        <v>5.59</v>
      </c>
      <c r="F106" s="67">
        <f t="shared" si="0"/>
        <v>2.13</v>
      </c>
      <c r="G106" s="67">
        <f t="shared" si="0"/>
        <v>46.29</v>
      </c>
      <c r="H106" s="67">
        <f t="shared" si="0"/>
        <v>14.2</v>
      </c>
      <c r="I106" s="67">
        <f t="shared" si="0"/>
        <v>0</v>
      </c>
      <c r="J106" s="67">
        <f t="shared" si="0"/>
        <v>0.14000000000000001</v>
      </c>
      <c r="K106" s="67">
        <f t="shared" si="0"/>
        <v>0.35</v>
      </c>
      <c r="L106" s="67">
        <f t="shared" si="0"/>
        <v>17.600000000000001</v>
      </c>
      <c r="M106" s="67">
        <f t="shared" si="0"/>
        <v>24.81</v>
      </c>
      <c r="N106" s="67">
        <f t="shared" si="0"/>
        <v>62.7</v>
      </c>
      <c r="O106" s="67">
        <f t="shared" si="0"/>
        <v>0</v>
      </c>
      <c r="P106" s="67">
        <f t="shared" si="0"/>
        <v>0.45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180.47</v>
      </c>
      <c r="C107" s="66">
        <f t="shared" ref="C107:Q107" si="1">MAX(C9:C104)</f>
        <v>85.87</v>
      </c>
      <c r="D107" s="66">
        <f t="shared" si="1"/>
        <v>264.24</v>
      </c>
      <c r="E107" s="66">
        <f t="shared" si="1"/>
        <v>12.92</v>
      </c>
      <c r="F107" s="66">
        <f t="shared" si="1"/>
        <v>21.94</v>
      </c>
      <c r="G107" s="66">
        <f t="shared" si="1"/>
        <v>215.47</v>
      </c>
      <c r="H107" s="66">
        <f t="shared" si="1"/>
        <v>61.63</v>
      </c>
      <c r="I107" s="66">
        <f t="shared" si="1"/>
        <v>0</v>
      </c>
      <c r="J107" s="66">
        <f t="shared" si="1"/>
        <v>2.2000000000000002</v>
      </c>
      <c r="K107" s="66">
        <f t="shared" si="1"/>
        <v>358.65</v>
      </c>
      <c r="L107" s="66">
        <f t="shared" si="1"/>
        <v>32.65</v>
      </c>
      <c r="M107" s="66">
        <f t="shared" si="1"/>
        <v>82.23</v>
      </c>
      <c r="N107" s="66">
        <f t="shared" si="1"/>
        <v>785.1</v>
      </c>
      <c r="O107" s="66">
        <f t="shared" si="1"/>
        <v>0</v>
      </c>
      <c r="P107" s="66">
        <f t="shared" si="1"/>
        <v>3.01</v>
      </c>
      <c r="Q107" s="66">
        <f t="shared" si="1"/>
        <v>9.9700000000000006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39.423437499999991</v>
      </c>
      <c r="C108" s="67">
        <f t="shared" ref="C108:Q108" si="2">AVERAGE(C9:C104)</f>
        <v>71.696562500000013</v>
      </c>
      <c r="D108" s="67">
        <f t="shared" si="2"/>
        <v>109.02062500000001</v>
      </c>
      <c r="E108" s="67">
        <f t="shared" si="2"/>
        <v>8.5116666666666667</v>
      </c>
      <c r="F108" s="67">
        <f t="shared" si="2"/>
        <v>5.5094791666666643</v>
      </c>
      <c r="G108" s="67">
        <f t="shared" si="2"/>
        <v>122.23354166666661</v>
      </c>
      <c r="H108" s="67">
        <f t="shared" si="2"/>
        <v>38.855882352941173</v>
      </c>
      <c r="I108" s="67" t="e">
        <f t="shared" si="2"/>
        <v>#DIV/0!</v>
      </c>
      <c r="J108" s="67">
        <f t="shared" si="2"/>
        <v>0.83739583333333345</v>
      </c>
      <c r="K108" s="67">
        <f t="shared" si="2"/>
        <v>256.23062499999992</v>
      </c>
      <c r="L108" s="67">
        <f t="shared" si="2"/>
        <v>23.118541666666669</v>
      </c>
      <c r="M108" s="67">
        <f t="shared" si="2"/>
        <v>52.596666666666657</v>
      </c>
      <c r="N108" s="67">
        <f t="shared" si="2"/>
        <v>242.41354166666679</v>
      </c>
      <c r="O108" s="67">
        <f t="shared" si="2"/>
        <v>0</v>
      </c>
      <c r="P108" s="67">
        <f t="shared" si="2"/>
        <v>1.2228125000000001</v>
      </c>
      <c r="Q108" s="67">
        <f t="shared" si="2"/>
        <v>9.4700000000000006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42.176126143592938</v>
      </c>
      <c r="C109" s="67">
        <f t="shared" ref="C109:Q109" si="3">STDEV(C9:C104)</f>
        <v>7.5473314667988705</v>
      </c>
      <c r="D109" s="67">
        <f t="shared" si="3"/>
        <v>48.614442835816135</v>
      </c>
      <c r="E109" s="67">
        <f t="shared" si="3"/>
        <v>2.2378183298009202</v>
      </c>
      <c r="F109" s="67">
        <f t="shared" si="3"/>
        <v>5.8504877655028302</v>
      </c>
      <c r="G109" s="67">
        <f t="shared" si="3"/>
        <v>42.100212250475657</v>
      </c>
      <c r="H109" s="67">
        <f t="shared" si="3"/>
        <v>12.28693824549628</v>
      </c>
      <c r="I109" s="67" t="e">
        <f t="shared" si="3"/>
        <v>#DIV/0!</v>
      </c>
      <c r="J109" s="67">
        <f t="shared" si="3"/>
        <v>0.45445918070804109</v>
      </c>
      <c r="K109" s="67">
        <f t="shared" si="3"/>
        <v>102.50385369713295</v>
      </c>
      <c r="L109" s="67">
        <f t="shared" si="3"/>
        <v>5.0534723818415115</v>
      </c>
      <c r="M109" s="67">
        <f t="shared" si="3"/>
        <v>17.583103711812466</v>
      </c>
      <c r="N109" s="67">
        <f t="shared" si="3"/>
        <v>258.07873935957963</v>
      </c>
      <c r="O109" s="67">
        <f t="shared" si="3"/>
        <v>0</v>
      </c>
      <c r="P109" s="67">
        <f t="shared" si="3"/>
        <v>0.63569390701897732</v>
      </c>
      <c r="Q109" s="67">
        <f t="shared" si="3"/>
        <v>0.15900347563232034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COUNT(H9:H104)+28</f>
        <v>96</v>
      </c>
      <c r="I110" s="66">
        <f t="shared" si="4"/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9" sqref="I9:I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2164</v>
      </c>
      <c r="B9" s="64">
        <v>181.84</v>
      </c>
      <c r="C9" s="64">
        <v>85.91</v>
      </c>
      <c r="D9" s="64">
        <v>265.64999999999998</v>
      </c>
      <c r="E9" s="64">
        <v>11.95</v>
      </c>
      <c r="F9" s="64">
        <v>2.21</v>
      </c>
      <c r="G9" s="64">
        <v>229.44</v>
      </c>
      <c r="H9" s="64">
        <v>55.89</v>
      </c>
      <c r="I9" s="210" t="s">
        <v>43</v>
      </c>
      <c r="J9" s="64">
        <v>0.61</v>
      </c>
      <c r="K9" s="64">
        <v>62.16</v>
      </c>
      <c r="L9" s="64">
        <v>19.239999999999998</v>
      </c>
      <c r="M9" s="64">
        <v>65.72</v>
      </c>
      <c r="N9" s="64">
        <v>62.4</v>
      </c>
      <c r="O9" s="64">
        <v>0</v>
      </c>
      <c r="P9" s="64">
        <v>2.83</v>
      </c>
      <c r="Q9" s="64">
        <v>10.01</v>
      </c>
      <c r="R9" s="198"/>
      <c r="S9" s="198"/>
      <c r="T9" s="198"/>
      <c r="U9" s="198"/>
    </row>
    <row r="10" spans="1:21" s="12" customFormat="1" x14ac:dyDescent="0.25">
      <c r="A10" s="213" t="s">
        <v>2165</v>
      </c>
      <c r="B10" s="64">
        <v>178.66</v>
      </c>
      <c r="C10" s="64">
        <v>85.22</v>
      </c>
      <c r="D10" s="64">
        <v>261.77</v>
      </c>
      <c r="E10" s="64">
        <v>12.03</v>
      </c>
      <c r="F10" s="64">
        <v>2.13</v>
      </c>
      <c r="G10" s="64">
        <v>229.44</v>
      </c>
      <c r="H10" s="64">
        <v>55.89</v>
      </c>
      <c r="I10" s="210" t="s">
        <v>43</v>
      </c>
      <c r="J10" s="64">
        <v>0.48</v>
      </c>
      <c r="K10" s="64">
        <v>331.63</v>
      </c>
      <c r="L10" s="64">
        <v>19.440000000000001</v>
      </c>
      <c r="M10" s="64">
        <v>62.68</v>
      </c>
      <c r="N10" s="64">
        <v>63.6</v>
      </c>
      <c r="O10" s="64">
        <v>0</v>
      </c>
      <c r="P10" s="64">
        <v>2.48</v>
      </c>
      <c r="Q10" s="64">
        <v>10.07</v>
      </c>
      <c r="R10" s="198"/>
      <c r="S10" s="198"/>
      <c r="T10" s="198"/>
      <c r="U10" s="198"/>
    </row>
    <row r="11" spans="1:21" s="12" customFormat="1" x14ac:dyDescent="0.25">
      <c r="A11" s="213" t="s">
        <v>2166</v>
      </c>
      <c r="B11" s="64">
        <v>173.64</v>
      </c>
      <c r="C11" s="64">
        <v>84</v>
      </c>
      <c r="D11" s="64">
        <v>255.54</v>
      </c>
      <c r="E11" s="64">
        <v>11.63</v>
      </c>
      <c r="F11" s="64">
        <v>2.13</v>
      </c>
      <c r="G11" s="64">
        <v>229.44</v>
      </c>
      <c r="H11" s="64">
        <v>55.89</v>
      </c>
      <c r="I11" s="210" t="s">
        <v>43</v>
      </c>
      <c r="J11" s="64">
        <v>0.78</v>
      </c>
      <c r="K11" s="64">
        <v>224.05</v>
      </c>
      <c r="L11" s="64">
        <v>19.16</v>
      </c>
      <c r="M11" s="64">
        <v>64.31</v>
      </c>
      <c r="N11" s="64">
        <v>63.6</v>
      </c>
      <c r="O11" s="64">
        <v>0</v>
      </c>
      <c r="P11" s="64">
        <v>2.5299999999999998</v>
      </c>
      <c r="Q11" s="64">
        <v>10.1</v>
      </c>
      <c r="R11" s="198"/>
      <c r="S11" s="198"/>
      <c r="T11" s="198"/>
      <c r="U11" s="198"/>
    </row>
    <row r="12" spans="1:21" s="12" customFormat="1" x14ac:dyDescent="0.25">
      <c r="A12" s="213" t="s">
        <v>2167</v>
      </c>
      <c r="B12" s="64">
        <v>167.72</v>
      </c>
      <c r="C12" s="64">
        <v>82.44</v>
      </c>
      <c r="D12" s="64">
        <v>248.06</v>
      </c>
      <c r="E12" s="64">
        <v>11.24</v>
      </c>
      <c r="F12" s="64">
        <v>2.13</v>
      </c>
      <c r="G12" s="64">
        <v>229.44</v>
      </c>
      <c r="H12" s="64">
        <v>55.89</v>
      </c>
      <c r="I12" s="210" t="s">
        <v>43</v>
      </c>
      <c r="J12" s="64">
        <v>0.31</v>
      </c>
      <c r="K12" s="64">
        <v>187.97</v>
      </c>
      <c r="L12" s="64">
        <v>19.02</v>
      </c>
      <c r="M12" s="64">
        <v>64.319999999999993</v>
      </c>
      <c r="N12" s="64">
        <v>63.8</v>
      </c>
      <c r="O12" s="64">
        <v>0</v>
      </c>
      <c r="P12" s="64">
        <v>2.44</v>
      </c>
      <c r="Q12" s="64">
        <v>10.1</v>
      </c>
      <c r="R12" s="198"/>
      <c r="S12" s="198"/>
      <c r="T12" s="198"/>
      <c r="U12" s="198"/>
    </row>
    <row r="13" spans="1:21" s="12" customFormat="1" x14ac:dyDescent="0.25">
      <c r="A13" s="213" t="s">
        <v>2168</v>
      </c>
      <c r="B13" s="64">
        <v>162.87</v>
      </c>
      <c r="C13" s="64">
        <v>78.33</v>
      </c>
      <c r="D13" s="64">
        <v>239.1</v>
      </c>
      <c r="E13" s="64">
        <v>11.17</v>
      </c>
      <c r="F13" s="64">
        <v>2.13</v>
      </c>
      <c r="G13" s="64">
        <v>202.08</v>
      </c>
      <c r="H13" s="64">
        <v>69.290000000000006</v>
      </c>
      <c r="I13" s="210" t="s">
        <v>43</v>
      </c>
      <c r="J13" s="64">
        <v>0.09</v>
      </c>
      <c r="K13" s="64">
        <v>313.52</v>
      </c>
      <c r="L13" s="64">
        <v>18.420000000000002</v>
      </c>
      <c r="M13" s="64">
        <v>69.61</v>
      </c>
      <c r="N13" s="64">
        <v>64.099999999999994</v>
      </c>
      <c r="O13" s="64">
        <v>0</v>
      </c>
      <c r="P13" s="64">
        <v>2.23</v>
      </c>
      <c r="Q13" s="64">
        <v>10.07</v>
      </c>
      <c r="R13" s="198"/>
      <c r="S13" s="198"/>
      <c r="T13" s="198"/>
      <c r="U13" s="198"/>
    </row>
    <row r="14" spans="1:21" s="12" customFormat="1" x14ac:dyDescent="0.25">
      <c r="A14" s="213" t="s">
        <v>2169</v>
      </c>
      <c r="B14" s="64">
        <v>157.09</v>
      </c>
      <c r="C14" s="64">
        <v>77.900000000000006</v>
      </c>
      <c r="D14" s="64">
        <v>232.89</v>
      </c>
      <c r="E14" s="64">
        <v>10.52</v>
      </c>
      <c r="F14" s="64">
        <v>2.13</v>
      </c>
      <c r="G14" s="64">
        <v>201.77</v>
      </c>
      <c r="H14" s="64">
        <v>69.290000000000006</v>
      </c>
      <c r="I14" s="210" t="s">
        <v>43</v>
      </c>
      <c r="J14" s="64">
        <v>0.24</v>
      </c>
      <c r="K14" s="64">
        <v>357.75</v>
      </c>
      <c r="L14" s="64">
        <v>17.850000000000001</v>
      </c>
      <c r="M14" s="64">
        <v>74.97</v>
      </c>
      <c r="N14" s="64">
        <v>64.099999999999994</v>
      </c>
      <c r="O14" s="64">
        <v>0</v>
      </c>
      <c r="P14" s="64">
        <v>2.25</v>
      </c>
      <c r="Q14" s="64">
        <v>10.050000000000001</v>
      </c>
      <c r="R14" s="198"/>
      <c r="S14" s="198"/>
      <c r="T14" s="198"/>
      <c r="U14" s="198"/>
    </row>
    <row r="15" spans="1:21" s="12" customFormat="1" x14ac:dyDescent="0.25">
      <c r="A15" s="213" t="s">
        <v>2170</v>
      </c>
      <c r="B15" s="64">
        <v>150.62</v>
      </c>
      <c r="C15" s="64">
        <v>77.2</v>
      </c>
      <c r="D15" s="64">
        <v>225.73</v>
      </c>
      <c r="E15" s="64">
        <v>10.53</v>
      </c>
      <c r="F15" s="64">
        <v>2.13</v>
      </c>
      <c r="G15" s="64">
        <v>201.77</v>
      </c>
      <c r="H15" s="64">
        <v>69.290000000000006</v>
      </c>
      <c r="I15" s="210" t="s">
        <v>43</v>
      </c>
      <c r="J15" s="64">
        <v>0.42</v>
      </c>
      <c r="K15" s="64">
        <v>281.81</v>
      </c>
      <c r="L15" s="64">
        <v>17.920000000000002</v>
      </c>
      <c r="M15" s="64">
        <v>74.81</v>
      </c>
      <c r="N15" s="64">
        <v>63.8</v>
      </c>
      <c r="O15" s="64">
        <v>0</v>
      </c>
      <c r="P15" s="64">
        <v>2.2000000000000002</v>
      </c>
      <c r="Q15" s="64">
        <v>10.02</v>
      </c>
      <c r="R15" s="198"/>
      <c r="S15" s="198"/>
      <c r="T15" s="198"/>
      <c r="U15" s="198"/>
    </row>
    <row r="16" spans="1:21" s="12" customFormat="1" x14ac:dyDescent="0.25">
      <c r="A16" s="213" t="s">
        <v>2171</v>
      </c>
      <c r="B16" s="64">
        <v>144.29</v>
      </c>
      <c r="C16" s="64">
        <v>76.260000000000005</v>
      </c>
      <c r="D16" s="64">
        <v>218.45</v>
      </c>
      <c r="E16" s="64">
        <v>10.18</v>
      </c>
      <c r="F16" s="64">
        <v>2.13</v>
      </c>
      <c r="G16" s="64">
        <v>201.77</v>
      </c>
      <c r="H16" s="64">
        <v>69.290000000000006</v>
      </c>
      <c r="I16" s="210" t="s">
        <v>43</v>
      </c>
      <c r="J16" s="64">
        <v>0.31</v>
      </c>
      <c r="K16" s="64">
        <v>40.909999999999997</v>
      </c>
      <c r="L16" s="64">
        <v>17.93</v>
      </c>
      <c r="M16" s="64">
        <v>73.31</v>
      </c>
      <c r="N16" s="64">
        <v>63.3</v>
      </c>
      <c r="O16" s="64">
        <v>0</v>
      </c>
      <c r="P16" s="64">
        <v>2.17</v>
      </c>
      <c r="Q16" s="64">
        <v>10.01</v>
      </c>
      <c r="R16" s="198"/>
      <c r="S16" s="198"/>
      <c r="T16" s="198"/>
      <c r="U16" s="198"/>
    </row>
    <row r="17" spans="1:21" s="12" customFormat="1" x14ac:dyDescent="0.25">
      <c r="A17" s="213" t="s">
        <v>2172</v>
      </c>
      <c r="B17" s="64">
        <v>137.5</v>
      </c>
      <c r="C17" s="64">
        <v>75.87</v>
      </c>
      <c r="D17" s="64">
        <v>211.27</v>
      </c>
      <c r="E17" s="64">
        <v>9.5399999999999991</v>
      </c>
      <c r="F17" s="64">
        <v>2.13</v>
      </c>
      <c r="G17" s="64">
        <v>165.15</v>
      </c>
      <c r="H17" s="64">
        <v>58.7</v>
      </c>
      <c r="I17" s="210" t="s">
        <v>43</v>
      </c>
      <c r="J17" s="64">
        <v>0.5</v>
      </c>
      <c r="K17" s="64">
        <v>331.22</v>
      </c>
      <c r="L17" s="64">
        <v>18.420000000000002</v>
      </c>
      <c r="M17" s="64">
        <v>68.88</v>
      </c>
      <c r="N17" s="64">
        <v>63.6</v>
      </c>
      <c r="O17" s="64">
        <v>0</v>
      </c>
      <c r="P17" s="64">
        <v>1.96</v>
      </c>
      <c r="Q17" s="64">
        <v>9.99</v>
      </c>
      <c r="R17" s="198"/>
      <c r="S17" s="198"/>
      <c r="T17" s="198"/>
      <c r="U17" s="198"/>
    </row>
    <row r="18" spans="1:21" s="12" customFormat="1" x14ac:dyDescent="0.25">
      <c r="A18" s="213" t="s">
        <v>2173</v>
      </c>
      <c r="B18" s="64">
        <v>129.78</v>
      </c>
      <c r="C18" s="64">
        <v>75.12</v>
      </c>
      <c r="D18" s="64">
        <v>202.8</v>
      </c>
      <c r="E18" s="64">
        <v>9.42</v>
      </c>
      <c r="F18" s="64">
        <v>2.13</v>
      </c>
      <c r="G18" s="64">
        <v>164.74</v>
      </c>
      <c r="H18" s="64">
        <v>58.58</v>
      </c>
      <c r="I18" s="210" t="s">
        <v>43</v>
      </c>
      <c r="J18" s="64">
        <v>0.38</v>
      </c>
      <c r="K18" s="64">
        <v>17.760000000000002</v>
      </c>
      <c r="L18" s="64">
        <v>18.46</v>
      </c>
      <c r="M18" s="64">
        <v>68.069999999999993</v>
      </c>
      <c r="N18" s="64">
        <v>63.3</v>
      </c>
      <c r="O18" s="64">
        <v>0</v>
      </c>
      <c r="P18" s="64">
        <v>1.9</v>
      </c>
      <c r="Q18" s="64">
        <v>9.9700000000000006</v>
      </c>
      <c r="R18" s="198"/>
      <c r="S18" s="198"/>
      <c r="T18" s="198"/>
      <c r="U18" s="198"/>
    </row>
    <row r="19" spans="1:21" s="12" customFormat="1" x14ac:dyDescent="0.25">
      <c r="A19" s="213" t="s">
        <v>2174</v>
      </c>
      <c r="B19" s="64">
        <v>121.66</v>
      </c>
      <c r="C19" s="64">
        <v>74.39</v>
      </c>
      <c r="D19" s="64">
        <v>193.95</v>
      </c>
      <c r="E19" s="64">
        <v>8.82</v>
      </c>
      <c r="F19" s="64">
        <v>2.13</v>
      </c>
      <c r="G19" s="64">
        <v>164.74</v>
      </c>
      <c r="H19" s="64">
        <v>58.58</v>
      </c>
      <c r="I19" s="210" t="s">
        <v>43</v>
      </c>
      <c r="J19" s="64">
        <v>0.9</v>
      </c>
      <c r="K19" s="64">
        <v>15.22</v>
      </c>
      <c r="L19" s="64">
        <v>18.760000000000002</v>
      </c>
      <c r="M19" s="64">
        <v>67.33</v>
      </c>
      <c r="N19" s="64">
        <v>63.2</v>
      </c>
      <c r="O19" s="64">
        <v>0</v>
      </c>
      <c r="P19" s="64">
        <v>1.85</v>
      </c>
      <c r="Q19" s="64">
        <v>9.9600000000000009</v>
      </c>
      <c r="R19" s="198"/>
      <c r="S19" s="198"/>
      <c r="T19" s="198"/>
      <c r="U19" s="198"/>
    </row>
    <row r="20" spans="1:21" s="12" customFormat="1" x14ac:dyDescent="0.25">
      <c r="A20" s="213" t="s">
        <v>2175</v>
      </c>
      <c r="B20" s="64">
        <v>113.82</v>
      </c>
      <c r="C20" s="64">
        <v>74.02</v>
      </c>
      <c r="D20" s="64">
        <v>185.74</v>
      </c>
      <c r="E20" s="64">
        <v>8.56</v>
      </c>
      <c r="F20" s="64">
        <v>2.13</v>
      </c>
      <c r="G20" s="64">
        <v>164.74</v>
      </c>
      <c r="H20" s="64">
        <v>58.58</v>
      </c>
      <c r="I20" s="210" t="s">
        <v>43</v>
      </c>
      <c r="J20" s="64">
        <v>0.47</v>
      </c>
      <c r="K20" s="64">
        <v>325.52</v>
      </c>
      <c r="L20" s="64">
        <v>18.670000000000002</v>
      </c>
      <c r="M20" s="64">
        <v>67.86</v>
      </c>
      <c r="N20" s="64">
        <v>63.9</v>
      </c>
      <c r="O20" s="64">
        <v>0</v>
      </c>
      <c r="P20" s="64">
        <v>1.78</v>
      </c>
      <c r="Q20" s="64">
        <v>9.9499999999999993</v>
      </c>
      <c r="R20" s="198"/>
      <c r="S20" s="198"/>
      <c r="T20" s="198"/>
      <c r="U20" s="198"/>
    </row>
    <row r="21" spans="1:21" s="12" customFormat="1" x14ac:dyDescent="0.25">
      <c r="A21" s="213" t="s">
        <v>2176</v>
      </c>
      <c r="B21" s="64">
        <v>106.93</v>
      </c>
      <c r="C21" s="64">
        <v>73.760000000000005</v>
      </c>
      <c r="D21" s="64">
        <v>178.6</v>
      </c>
      <c r="E21" s="64">
        <v>8.27</v>
      </c>
      <c r="F21" s="64">
        <v>2.13</v>
      </c>
      <c r="G21" s="64">
        <v>84.14</v>
      </c>
      <c r="H21" s="64">
        <v>47.72</v>
      </c>
      <c r="I21" s="210" t="s">
        <v>43</v>
      </c>
      <c r="J21" s="64">
        <v>1.08</v>
      </c>
      <c r="K21" s="64">
        <v>99.96</v>
      </c>
      <c r="L21" s="64">
        <v>18.5</v>
      </c>
      <c r="M21" s="64">
        <v>69.27</v>
      </c>
      <c r="N21" s="64">
        <v>63.4</v>
      </c>
      <c r="O21" s="64">
        <v>0</v>
      </c>
      <c r="P21" s="64">
        <v>1.73</v>
      </c>
      <c r="Q21" s="64">
        <v>9.91</v>
      </c>
      <c r="R21" s="198"/>
      <c r="S21" s="198"/>
      <c r="T21" s="198"/>
      <c r="U21" s="198"/>
    </row>
    <row r="22" spans="1:21" s="12" customFormat="1" x14ac:dyDescent="0.25">
      <c r="A22" s="213" t="s">
        <v>2177</v>
      </c>
      <c r="B22" s="64">
        <v>100.15</v>
      </c>
      <c r="C22" s="64">
        <v>73.09</v>
      </c>
      <c r="D22" s="64">
        <v>171.14</v>
      </c>
      <c r="E22" s="64">
        <v>8.69</v>
      </c>
      <c r="F22" s="64">
        <v>2.13</v>
      </c>
      <c r="G22" s="64">
        <v>83.24</v>
      </c>
      <c r="H22" s="64">
        <v>47.6</v>
      </c>
      <c r="I22" s="210" t="s">
        <v>43</v>
      </c>
      <c r="J22" s="64">
        <v>0.47</v>
      </c>
      <c r="K22" s="64">
        <v>176.11</v>
      </c>
      <c r="L22" s="64">
        <v>18.399999999999999</v>
      </c>
      <c r="M22" s="64">
        <v>71.37</v>
      </c>
      <c r="N22" s="64">
        <v>64.3</v>
      </c>
      <c r="O22" s="64">
        <v>0</v>
      </c>
      <c r="P22" s="64">
        <v>1.69</v>
      </c>
      <c r="Q22" s="64">
        <v>9.86</v>
      </c>
      <c r="R22" s="198"/>
      <c r="S22" s="198"/>
      <c r="T22" s="198"/>
      <c r="U22" s="198"/>
    </row>
    <row r="23" spans="1:21" s="12" customFormat="1" x14ac:dyDescent="0.25">
      <c r="A23" s="213" t="s">
        <v>2178</v>
      </c>
      <c r="B23" s="64">
        <v>92.87</v>
      </c>
      <c r="C23" s="64">
        <v>69.239999999999995</v>
      </c>
      <c r="D23" s="64">
        <v>160.01</v>
      </c>
      <c r="E23" s="64">
        <v>7.93</v>
      </c>
      <c r="F23" s="64">
        <v>2.13</v>
      </c>
      <c r="G23" s="64">
        <v>83.24</v>
      </c>
      <c r="H23" s="64">
        <v>47.6</v>
      </c>
      <c r="I23" s="210" t="s">
        <v>43</v>
      </c>
      <c r="J23" s="64">
        <v>0.77</v>
      </c>
      <c r="K23" s="64">
        <v>113.88</v>
      </c>
      <c r="L23" s="64">
        <v>17.690000000000001</v>
      </c>
      <c r="M23" s="64">
        <v>76.2</v>
      </c>
      <c r="N23" s="64">
        <v>64.400000000000006</v>
      </c>
      <c r="O23" s="64">
        <v>0</v>
      </c>
      <c r="P23" s="64">
        <v>1.53</v>
      </c>
      <c r="Q23" s="64">
        <v>9.85</v>
      </c>
      <c r="R23" s="198"/>
      <c r="S23" s="198"/>
      <c r="T23" s="198"/>
      <c r="U23" s="198"/>
    </row>
    <row r="24" spans="1:21" s="12" customFormat="1" x14ac:dyDescent="0.25">
      <c r="A24" s="213" t="s">
        <v>2179</v>
      </c>
      <c r="B24" s="64">
        <v>84.56</v>
      </c>
      <c r="C24" s="64">
        <v>69.97</v>
      </c>
      <c r="D24" s="64">
        <v>152.43</v>
      </c>
      <c r="E24" s="64">
        <v>7.86</v>
      </c>
      <c r="F24" s="64">
        <v>2.13</v>
      </c>
      <c r="G24" s="64">
        <v>83.24</v>
      </c>
      <c r="H24" s="64">
        <v>47.6</v>
      </c>
      <c r="I24" s="210" t="s">
        <v>43</v>
      </c>
      <c r="J24" s="64">
        <v>0.28000000000000003</v>
      </c>
      <c r="K24" s="64">
        <v>84.09</v>
      </c>
      <c r="L24" s="64">
        <v>16.97</v>
      </c>
      <c r="M24" s="64">
        <v>78.3</v>
      </c>
      <c r="N24" s="64">
        <v>64.7</v>
      </c>
      <c r="O24" s="64">
        <v>0</v>
      </c>
      <c r="P24" s="64">
        <v>1.3</v>
      </c>
      <c r="Q24" s="64">
        <v>9.84</v>
      </c>
      <c r="R24" s="198"/>
      <c r="S24" s="198"/>
      <c r="T24" s="198"/>
      <c r="U24" s="198"/>
    </row>
    <row r="25" spans="1:21" s="12" customFormat="1" x14ac:dyDescent="0.25">
      <c r="A25" s="213" t="s">
        <v>2180</v>
      </c>
      <c r="B25" s="64">
        <v>79.510000000000005</v>
      </c>
      <c r="C25" s="64">
        <v>70.819999999999993</v>
      </c>
      <c r="D25" s="64">
        <v>148.22999999999999</v>
      </c>
      <c r="E25" s="64">
        <v>8.2899999999999991</v>
      </c>
      <c r="F25" s="64">
        <v>2.13</v>
      </c>
      <c r="G25" s="64">
        <v>90</v>
      </c>
      <c r="H25" s="64">
        <v>39.81</v>
      </c>
      <c r="I25" s="210" t="s">
        <v>43</v>
      </c>
      <c r="J25" s="64">
        <v>0.32</v>
      </c>
      <c r="K25" s="64">
        <v>4.49</v>
      </c>
      <c r="L25" s="64">
        <v>16.670000000000002</v>
      </c>
      <c r="M25" s="64">
        <v>80.98</v>
      </c>
      <c r="N25" s="64">
        <v>64.3</v>
      </c>
      <c r="O25" s="64">
        <v>0</v>
      </c>
      <c r="P25" s="64">
        <v>1.17</v>
      </c>
      <c r="Q25" s="64">
        <v>9.76</v>
      </c>
      <c r="R25" s="198"/>
      <c r="S25" s="198"/>
      <c r="T25" s="198"/>
      <c r="U25" s="198"/>
    </row>
    <row r="26" spans="1:21" s="12" customFormat="1" x14ac:dyDescent="0.25">
      <c r="A26" s="213" t="s">
        <v>2181</v>
      </c>
      <c r="B26" s="64">
        <v>75.900000000000006</v>
      </c>
      <c r="C26" s="64">
        <v>70.19</v>
      </c>
      <c r="D26" s="64">
        <v>143.99</v>
      </c>
      <c r="E26" s="64">
        <v>9.0500000000000007</v>
      </c>
      <c r="F26" s="64">
        <v>2.13</v>
      </c>
      <c r="G26" s="64">
        <v>90.07</v>
      </c>
      <c r="H26" s="64">
        <v>39.72</v>
      </c>
      <c r="I26" s="210" t="s">
        <v>43</v>
      </c>
      <c r="J26" s="64">
        <v>0.31</v>
      </c>
      <c r="K26" s="64">
        <v>68.2</v>
      </c>
      <c r="L26" s="64">
        <v>16.7</v>
      </c>
      <c r="M26" s="64">
        <v>80.84</v>
      </c>
      <c r="N26" s="64">
        <v>63.7</v>
      </c>
      <c r="O26" s="64">
        <v>0</v>
      </c>
      <c r="P26" s="64">
        <v>1.17</v>
      </c>
      <c r="Q26" s="64">
        <v>9.7200000000000006</v>
      </c>
      <c r="R26" s="198"/>
      <c r="S26" s="198"/>
      <c r="T26" s="198"/>
      <c r="U26" s="198"/>
    </row>
    <row r="27" spans="1:21" s="12" customFormat="1" x14ac:dyDescent="0.25">
      <c r="A27" s="213" t="s">
        <v>2182</v>
      </c>
      <c r="B27" s="64">
        <v>72.959999999999994</v>
      </c>
      <c r="C27" s="64">
        <v>69.34</v>
      </c>
      <c r="D27" s="64">
        <v>140.19</v>
      </c>
      <c r="E27" s="64">
        <v>8.39</v>
      </c>
      <c r="F27" s="64">
        <v>2.13</v>
      </c>
      <c r="G27" s="64">
        <v>90.07</v>
      </c>
      <c r="H27" s="64">
        <v>39.72</v>
      </c>
      <c r="I27" s="210" t="s">
        <v>43</v>
      </c>
      <c r="J27" s="64">
        <v>0.63</v>
      </c>
      <c r="K27" s="64">
        <v>342.59</v>
      </c>
      <c r="L27" s="64">
        <v>16.79</v>
      </c>
      <c r="M27" s="64">
        <v>84.48</v>
      </c>
      <c r="N27" s="64">
        <v>63.9</v>
      </c>
      <c r="O27" s="64">
        <v>0</v>
      </c>
      <c r="P27" s="64">
        <v>1.22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13" t="s">
        <v>2183</v>
      </c>
      <c r="B28" s="64">
        <v>70.02</v>
      </c>
      <c r="C28" s="64">
        <v>68.73</v>
      </c>
      <c r="D28" s="64">
        <v>136.65</v>
      </c>
      <c r="E28" s="64">
        <v>8.2100000000000009</v>
      </c>
      <c r="F28" s="64">
        <v>2.13</v>
      </c>
      <c r="G28" s="64">
        <v>90.07</v>
      </c>
      <c r="H28" s="64">
        <v>39.72</v>
      </c>
      <c r="I28" s="210" t="s">
        <v>43</v>
      </c>
      <c r="J28" s="64">
        <v>0.4</v>
      </c>
      <c r="K28" s="64">
        <v>330.91</v>
      </c>
      <c r="L28" s="64">
        <v>17.010000000000002</v>
      </c>
      <c r="M28" s="64">
        <v>80.63</v>
      </c>
      <c r="N28" s="64">
        <v>63.6</v>
      </c>
      <c r="O28" s="64">
        <v>0</v>
      </c>
      <c r="P28" s="64">
        <v>1.05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3" t="s">
        <v>2184</v>
      </c>
      <c r="B29" s="64">
        <v>67.290000000000006</v>
      </c>
      <c r="C29" s="64">
        <v>68.150000000000006</v>
      </c>
      <c r="D29" s="64">
        <v>133.34</v>
      </c>
      <c r="E29" s="64">
        <v>8.26</v>
      </c>
      <c r="F29" s="64">
        <v>2.13</v>
      </c>
      <c r="G29" s="64">
        <v>113.86</v>
      </c>
      <c r="H29" s="64">
        <v>38.200000000000003</v>
      </c>
      <c r="I29" s="210" t="s">
        <v>43</v>
      </c>
      <c r="J29" s="64">
        <v>0.37</v>
      </c>
      <c r="K29" s="64">
        <v>11.42</v>
      </c>
      <c r="L29" s="64">
        <v>17.170000000000002</v>
      </c>
      <c r="M29" s="64">
        <v>80.39</v>
      </c>
      <c r="N29" s="64">
        <v>63.4</v>
      </c>
      <c r="O29" s="64">
        <v>0</v>
      </c>
      <c r="P29" s="64">
        <v>1.0900000000000001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3" t="s">
        <v>2185</v>
      </c>
      <c r="B30" s="64">
        <v>64.430000000000007</v>
      </c>
      <c r="C30" s="64">
        <v>67.849999999999994</v>
      </c>
      <c r="D30" s="64">
        <v>130.18</v>
      </c>
      <c r="E30" s="64">
        <v>7.68</v>
      </c>
      <c r="F30" s="64">
        <v>2.13</v>
      </c>
      <c r="G30" s="64">
        <v>114.13</v>
      </c>
      <c r="H30" s="64">
        <v>38.19</v>
      </c>
      <c r="I30" s="210" t="s">
        <v>43</v>
      </c>
      <c r="J30" s="64">
        <v>0.69</v>
      </c>
      <c r="K30" s="64">
        <v>87.95</v>
      </c>
      <c r="L30" s="64">
        <v>17.18</v>
      </c>
      <c r="M30" s="64">
        <v>81.010000000000005</v>
      </c>
      <c r="N30" s="64">
        <v>63.4</v>
      </c>
      <c r="O30" s="64">
        <v>0</v>
      </c>
      <c r="P30" s="64">
        <v>1.18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3" t="s">
        <v>2186</v>
      </c>
      <c r="B31" s="64">
        <v>61.15</v>
      </c>
      <c r="C31" s="64">
        <v>69.650000000000006</v>
      </c>
      <c r="D31" s="64">
        <v>128.71</v>
      </c>
      <c r="E31" s="64">
        <v>8.0299999999999994</v>
      </c>
      <c r="F31" s="64">
        <v>2.13</v>
      </c>
      <c r="G31" s="64">
        <v>114.13</v>
      </c>
      <c r="H31" s="64">
        <v>38.19</v>
      </c>
      <c r="I31" s="210" t="s">
        <v>43</v>
      </c>
      <c r="J31" s="64">
        <v>0.99</v>
      </c>
      <c r="K31" s="64">
        <v>13.1</v>
      </c>
      <c r="L31" s="64">
        <v>17.079999999999998</v>
      </c>
      <c r="M31" s="64">
        <v>81.95</v>
      </c>
      <c r="N31" s="64">
        <v>63.8</v>
      </c>
      <c r="O31" s="64">
        <v>0</v>
      </c>
      <c r="P31" s="64">
        <v>1.17</v>
      </c>
      <c r="Q31" s="64">
        <v>9.59</v>
      </c>
      <c r="R31" s="198"/>
      <c r="S31" s="198"/>
      <c r="T31" s="198"/>
      <c r="U31" s="198"/>
    </row>
    <row r="32" spans="1:21" s="12" customFormat="1" x14ac:dyDescent="0.25">
      <c r="A32" s="213" t="s">
        <v>2187</v>
      </c>
      <c r="B32" s="64">
        <v>57.7</v>
      </c>
      <c r="C32" s="64">
        <v>68.25</v>
      </c>
      <c r="D32" s="64">
        <v>123.85</v>
      </c>
      <c r="E32" s="64">
        <v>7.56</v>
      </c>
      <c r="F32" s="64">
        <v>2.31</v>
      </c>
      <c r="G32" s="64">
        <v>114.13</v>
      </c>
      <c r="H32" s="64">
        <v>38.19</v>
      </c>
      <c r="I32" s="210" t="s">
        <v>43</v>
      </c>
      <c r="J32" s="64">
        <v>0.78</v>
      </c>
      <c r="K32" s="64">
        <v>3.16</v>
      </c>
      <c r="L32" s="64">
        <v>17.170000000000002</v>
      </c>
      <c r="M32" s="64">
        <v>80.97</v>
      </c>
      <c r="N32" s="64">
        <v>63.8</v>
      </c>
      <c r="O32" s="64">
        <v>0</v>
      </c>
      <c r="P32" s="64">
        <v>1.06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3" t="s">
        <v>2188</v>
      </c>
      <c r="B33" s="64">
        <v>54.38</v>
      </c>
      <c r="C33" s="64">
        <v>66.58</v>
      </c>
      <c r="D33" s="64">
        <v>118.86</v>
      </c>
      <c r="E33" s="64">
        <v>7.35</v>
      </c>
      <c r="F33" s="64">
        <v>2.13</v>
      </c>
      <c r="G33" s="64">
        <v>69.319999999999993</v>
      </c>
      <c r="H33" s="64">
        <v>34.46</v>
      </c>
      <c r="I33" s="210" t="s">
        <v>43</v>
      </c>
      <c r="J33" s="64">
        <v>0.79</v>
      </c>
      <c r="K33" s="64">
        <v>0.18</v>
      </c>
      <c r="L33" s="64">
        <v>16.97</v>
      </c>
      <c r="M33" s="64">
        <v>82.67</v>
      </c>
      <c r="N33" s="64">
        <v>64.2</v>
      </c>
      <c r="O33" s="64">
        <v>0</v>
      </c>
      <c r="P33" s="64">
        <v>1.05</v>
      </c>
      <c r="Q33" s="64">
        <v>9.59</v>
      </c>
      <c r="R33" s="198"/>
      <c r="S33" s="198"/>
      <c r="T33" s="198"/>
      <c r="U33" s="198"/>
    </row>
    <row r="34" spans="1:21" s="12" customFormat="1" x14ac:dyDescent="0.25">
      <c r="A34" s="213" t="s">
        <v>2189</v>
      </c>
      <c r="B34" s="64">
        <v>51.79</v>
      </c>
      <c r="C34" s="64">
        <v>65.989999999999995</v>
      </c>
      <c r="D34" s="64">
        <v>115.68</v>
      </c>
      <c r="E34" s="64">
        <v>7.83</v>
      </c>
      <c r="F34" s="64">
        <v>2.13</v>
      </c>
      <c r="G34" s="64">
        <v>68.81</v>
      </c>
      <c r="H34" s="64">
        <v>34.42</v>
      </c>
      <c r="I34" s="210" t="s">
        <v>43</v>
      </c>
      <c r="J34" s="64">
        <v>0.84</v>
      </c>
      <c r="K34" s="64">
        <v>4.17</v>
      </c>
      <c r="L34" s="64">
        <v>16.739999999999998</v>
      </c>
      <c r="M34" s="64">
        <v>84.97</v>
      </c>
      <c r="N34" s="64">
        <v>66.3</v>
      </c>
      <c r="O34" s="64">
        <v>0</v>
      </c>
      <c r="P34" s="64">
        <v>1.05</v>
      </c>
      <c r="Q34" s="64">
        <v>9.59</v>
      </c>
      <c r="R34" s="198"/>
      <c r="S34" s="198"/>
      <c r="T34" s="198"/>
      <c r="U34" s="198"/>
    </row>
    <row r="35" spans="1:21" s="12" customFormat="1" x14ac:dyDescent="0.25">
      <c r="A35" s="213" t="s">
        <v>2190</v>
      </c>
      <c r="B35" s="64">
        <v>49.83</v>
      </c>
      <c r="C35" s="64">
        <v>65.84</v>
      </c>
      <c r="D35" s="64">
        <v>113.57</v>
      </c>
      <c r="E35" s="64">
        <v>7.75</v>
      </c>
      <c r="F35" s="64">
        <v>2.13</v>
      </c>
      <c r="G35" s="64">
        <v>68.81</v>
      </c>
      <c r="H35" s="64">
        <v>34.42</v>
      </c>
      <c r="I35" s="210" t="s">
        <v>43</v>
      </c>
      <c r="J35" s="64">
        <v>1.43</v>
      </c>
      <c r="K35" s="64">
        <v>1.9</v>
      </c>
      <c r="L35" s="64">
        <v>16.82</v>
      </c>
      <c r="M35" s="64">
        <v>85.35</v>
      </c>
      <c r="N35" s="64">
        <v>74.7</v>
      </c>
      <c r="O35" s="64">
        <v>0</v>
      </c>
      <c r="P35" s="64">
        <v>1.03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13" t="s">
        <v>2191</v>
      </c>
      <c r="B36" s="64">
        <v>48.41</v>
      </c>
      <c r="C36" s="64">
        <v>65.239999999999995</v>
      </c>
      <c r="D36" s="64">
        <v>111.55</v>
      </c>
      <c r="E36" s="64">
        <v>8.0299999999999994</v>
      </c>
      <c r="F36" s="64">
        <v>2.13</v>
      </c>
      <c r="G36" s="64">
        <v>68.81</v>
      </c>
      <c r="H36" s="64">
        <v>34.42</v>
      </c>
      <c r="I36" s="210" t="s">
        <v>43</v>
      </c>
      <c r="J36" s="64">
        <v>1.39</v>
      </c>
      <c r="K36" s="64">
        <v>359.57</v>
      </c>
      <c r="L36" s="64">
        <v>16.940000000000001</v>
      </c>
      <c r="M36" s="64">
        <v>85.09</v>
      </c>
      <c r="N36" s="64">
        <v>90.8</v>
      </c>
      <c r="O36" s="64">
        <v>0</v>
      </c>
      <c r="P36" s="64">
        <v>1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3" t="s">
        <v>2192</v>
      </c>
      <c r="B37" s="64">
        <v>47.26</v>
      </c>
      <c r="C37" s="64">
        <v>65.33</v>
      </c>
      <c r="D37" s="64">
        <v>110.5</v>
      </c>
      <c r="E37" s="64">
        <v>8.01</v>
      </c>
      <c r="F37" s="64">
        <v>2.13</v>
      </c>
      <c r="G37" s="64">
        <v>117.48</v>
      </c>
      <c r="H37" s="64">
        <v>40.75</v>
      </c>
      <c r="I37" s="210" t="s">
        <v>43</v>
      </c>
      <c r="J37" s="64">
        <v>0.77</v>
      </c>
      <c r="K37" s="64">
        <v>11</v>
      </c>
      <c r="L37" s="64">
        <v>17.2</v>
      </c>
      <c r="M37" s="64">
        <v>83.85</v>
      </c>
      <c r="N37" s="64">
        <v>118.3</v>
      </c>
      <c r="O37" s="64">
        <v>0</v>
      </c>
      <c r="P37" s="64">
        <v>1.1299999999999999</v>
      </c>
      <c r="Q37" s="64">
        <v>9.5299999999999994</v>
      </c>
      <c r="R37" s="198"/>
      <c r="S37" s="198"/>
      <c r="T37" s="198"/>
      <c r="U37" s="198"/>
    </row>
    <row r="38" spans="1:21" s="12" customFormat="1" x14ac:dyDescent="0.25">
      <c r="A38" s="213" t="s">
        <v>2193</v>
      </c>
      <c r="B38" s="64">
        <v>46.4</v>
      </c>
      <c r="C38" s="64">
        <v>65.39</v>
      </c>
      <c r="D38" s="64">
        <v>109.69</v>
      </c>
      <c r="E38" s="64">
        <v>7.72</v>
      </c>
      <c r="F38" s="64">
        <v>2.13</v>
      </c>
      <c r="G38" s="64">
        <v>118.03</v>
      </c>
      <c r="H38" s="64">
        <v>40.82</v>
      </c>
      <c r="I38" s="210" t="s">
        <v>43</v>
      </c>
      <c r="J38" s="64">
        <v>1.38</v>
      </c>
      <c r="K38" s="64">
        <v>1.6</v>
      </c>
      <c r="L38" s="64">
        <v>17.97</v>
      </c>
      <c r="M38" s="64">
        <v>79.08</v>
      </c>
      <c r="N38" s="64">
        <v>157.80000000000001</v>
      </c>
      <c r="O38" s="64">
        <v>0</v>
      </c>
      <c r="P38" s="64">
        <v>1.1599999999999999</v>
      </c>
      <c r="Q38" s="64">
        <v>9.51</v>
      </c>
      <c r="R38" s="198"/>
      <c r="S38" s="198"/>
      <c r="T38" s="198"/>
      <c r="U38" s="198"/>
    </row>
    <row r="39" spans="1:21" s="12" customFormat="1" x14ac:dyDescent="0.25">
      <c r="A39" s="213" t="s">
        <v>2194</v>
      </c>
      <c r="B39" s="64">
        <v>45.22</v>
      </c>
      <c r="C39" s="64">
        <v>66.14</v>
      </c>
      <c r="D39" s="64">
        <v>109.26</v>
      </c>
      <c r="E39" s="64">
        <v>7.18</v>
      </c>
      <c r="F39" s="64">
        <v>2.13</v>
      </c>
      <c r="G39" s="64">
        <v>118.03</v>
      </c>
      <c r="H39" s="64">
        <v>40.82</v>
      </c>
      <c r="I39" s="210" t="s">
        <v>43</v>
      </c>
      <c r="J39" s="64">
        <v>0.94</v>
      </c>
      <c r="K39" s="64">
        <v>12.09</v>
      </c>
      <c r="L39" s="64">
        <v>18.86</v>
      </c>
      <c r="M39" s="64">
        <v>74.64</v>
      </c>
      <c r="N39" s="64">
        <v>205.1</v>
      </c>
      <c r="O39" s="64">
        <v>0</v>
      </c>
      <c r="P39" s="64">
        <v>1.1399999999999999</v>
      </c>
      <c r="Q39" s="64">
        <v>9.51</v>
      </c>
      <c r="R39" s="198"/>
      <c r="S39" s="198"/>
      <c r="T39" s="198"/>
      <c r="U39" s="198"/>
    </row>
    <row r="40" spans="1:21" s="12" customFormat="1" x14ac:dyDescent="0.25">
      <c r="A40" s="213" t="s">
        <v>2195</v>
      </c>
      <c r="B40" s="64">
        <v>44.07</v>
      </c>
      <c r="C40" s="64">
        <v>64.97</v>
      </c>
      <c r="D40" s="64">
        <v>106.95</v>
      </c>
      <c r="E40" s="64">
        <v>6.65</v>
      </c>
      <c r="F40" s="64">
        <v>2.13</v>
      </c>
      <c r="G40" s="64">
        <v>118.03</v>
      </c>
      <c r="H40" s="64">
        <v>40.82</v>
      </c>
      <c r="I40" s="210" t="s">
        <v>43</v>
      </c>
      <c r="J40" s="64">
        <v>0.86</v>
      </c>
      <c r="K40" s="64">
        <v>9.69</v>
      </c>
      <c r="L40" s="64">
        <v>19.63</v>
      </c>
      <c r="M40" s="64">
        <v>71.459999999999994</v>
      </c>
      <c r="N40" s="64">
        <v>256.39999999999998</v>
      </c>
      <c r="O40" s="64">
        <v>0</v>
      </c>
      <c r="P40" s="64">
        <v>1.1100000000000001</v>
      </c>
      <c r="Q40" s="64">
        <v>9.5399999999999991</v>
      </c>
      <c r="R40" s="198"/>
      <c r="S40" s="198"/>
      <c r="T40" s="198"/>
      <c r="U40" s="198"/>
    </row>
    <row r="41" spans="1:21" s="12" customFormat="1" x14ac:dyDescent="0.25">
      <c r="A41" s="213" t="s">
        <v>2196</v>
      </c>
      <c r="B41" s="64">
        <v>43.05</v>
      </c>
      <c r="C41" s="64">
        <v>61.56</v>
      </c>
      <c r="D41" s="64">
        <v>102.51</v>
      </c>
      <c r="E41" s="64">
        <v>7.02</v>
      </c>
      <c r="F41" s="64">
        <v>2.13</v>
      </c>
      <c r="G41" s="64">
        <v>111.08</v>
      </c>
      <c r="H41" s="64">
        <v>37.880000000000003</v>
      </c>
      <c r="I41" s="210" t="s">
        <v>43</v>
      </c>
      <c r="J41" s="64">
        <v>0.78</v>
      </c>
      <c r="K41" s="64">
        <v>23.01</v>
      </c>
      <c r="L41" s="64">
        <v>20.16</v>
      </c>
      <c r="M41" s="64">
        <v>69.959999999999994</v>
      </c>
      <c r="N41" s="64">
        <v>309.8</v>
      </c>
      <c r="O41" s="64">
        <v>0</v>
      </c>
      <c r="P41" s="64">
        <v>1.0900000000000001</v>
      </c>
      <c r="Q41" s="64">
        <v>9.57</v>
      </c>
      <c r="R41" s="198"/>
      <c r="S41" s="198"/>
      <c r="T41" s="198"/>
      <c r="U41" s="198"/>
    </row>
    <row r="42" spans="1:21" s="12" customFormat="1" x14ac:dyDescent="0.25">
      <c r="A42" s="213" t="s">
        <v>2197</v>
      </c>
      <c r="B42" s="64">
        <v>41.73</v>
      </c>
      <c r="C42" s="64">
        <v>63.44</v>
      </c>
      <c r="D42" s="64">
        <v>103.07</v>
      </c>
      <c r="E42" s="64">
        <v>7.26</v>
      </c>
      <c r="F42" s="64">
        <v>2.13</v>
      </c>
      <c r="G42" s="64">
        <v>111</v>
      </c>
      <c r="H42" s="64">
        <v>37.85</v>
      </c>
      <c r="I42" s="210" t="s">
        <v>43</v>
      </c>
      <c r="J42" s="64">
        <v>0.81</v>
      </c>
      <c r="K42" s="64">
        <v>45.76</v>
      </c>
      <c r="L42" s="64">
        <v>20.239999999999998</v>
      </c>
      <c r="M42" s="64">
        <v>70.23</v>
      </c>
      <c r="N42" s="64">
        <v>366.4</v>
      </c>
      <c r="O42" s="64">
        <v>0</v>
      </c>
      <c r="P42" s="64">
        <v>1.07</v>
      </c>
      <c r="Q42" s="64">
        <v>9.5500000000000007</v>
      </c>
      <c r="R42" s="198"/>
      <c r="S42" s="198"/>
      <c r="T42" s="198"/>
      <c r="U42" s="198"/>
    </row>
    <row r="43" spans="1:21" s="12" customFormat="1" x14ac:dyDescent="0.25">
      <c r="A43" s="213" t="s">
        <v>2198</v>
      </c>
      <c r="B43" s="64">
        <v>40.049999999999997</v>
      </c>
      <c r="C43" s="64">
        <v>64.45</v>
      </c>
      <c r="D43" s="64">
        <v>102.4</v>
      </c>
      <c r="E43" s="64">
        <v>7.35</v>
      </c>
      <c r="F43" s="64">
        <v>2.13</v>
      </c>
      <c r="G43" s="64">
        <v>111</v>
      </c>
      <c r="H43" s="64">
        <v>37.85</v>
      </c>
      <c r="I43" s="210" t="s">
        <v>43</v>
      </c>
      <c r="J43" s="64">
        <v>1.01</v>
      </c>
      <c r="K43" s="64">
        <v>83.68</v>
      </c>
      <c r="L43" s="64">
        <v>21.07</v>
      </c>
      <c r="M43" s="64">
        <v>67.81</v>
      </c>
      <c r="N43" s="64">
        <v>396.7</v>
      </c>
      <c r="O43" s="64">
        <v>0</v>
      </c>
      <c r="P43" s="64">
        <v>1.05</v>
      </c>
      <c r="Q43" s="64">
        <v>9.5299999999999994</v>
      </c>
      <c r="R43" s="198"/>
      <c r="S43" s="198"/>
      <c r="T43" s="198"/>
      <c r="U43" s="198"/>
    </row>
    <row r="44" spans="1:21" s="12" customFormat="1" x14ac:dyDescent="0.25">
      <c r="A44" s="213" t="s">
        <v>2199</v>
      </c>
      <c r="B44" s="64">
        <v>38.35</v>
      </c>
      <c r="C44" s="64">
        <v>64.959999999999994</v>
      </c>
      <c r="D44" s="64">
        <v>101.22</v>
      </c>
      <c r="E44" s="64">
        <v>7.49</v>
      </c>
      <c r="F44" s="64">
        <v>2.13</v>
      </c>
      <c r="G44" s="64">
        <v>111</v>
      </c>
      <c r="H44" s="64">
        <v>37.85</v>
      </c>
      <c r="I44" s="210" t="s">
        <v>43</v>
      </c>
      <c r="J44" s="64">
        <v>0.82</v>
      </c>
      <c r="K44" s="64">
        <v>39.25</v>
      </c>
      <c r="L44" s="64">
        <v>21.66</v>
      </c>
      <c r="M44" s="64">
        <v>66.53</v>
      </c>
      <c r="N44" s="64">
        <v>445</v>
      </c>
      <c r="O44" s="64">
        <v>0</v>
      </c>
      <c r="P44" s="64">
        <v>1.02</v>
      </c>
      <c r="Q44" s="64">
        <v>9.52</v>
      </c>
      <c r="R44" s="198"/>
      <c r="S44" s="198"/>
      <c r="T44" s="198"/>
      <c r="U44" s="198"/>
    </row>
    <row r="45" spans="1:21" s="12" customFormat="1" x14ac:dyDescent="0.25">
      <c r="A45" s="213" t="s">
        <v>2200</v>
      </c>
      <c r="B45" s="64">
        <v>36.94</v>
      </c>
      <c r="C45" s="64">
        <v>65.52</v>
      </c>
      <c r="D45" s="64">
        <v>100.36</v>
      </c>
      <c r="E45" s="64">
        <v>7.58</v>
      </c>
      <c r="F45" s="64">
        <v>2.21</v>
      </c>
      <c r="G45" s="64">
        <v>95.57</v>
      </c>
      <c r="H45" s="64">
        <v>38.26</v>
      </c>
      <c r="I45" s="210" t="s">
        <v>43</v>
      </c>
      <c r="J45" s="64">
        <v>0.94</v>
      </c>
      <c r="K45" s="64">
        <v>25.25</v>
      </c>
      <c r="L45" s="64">
        <v>23.4</v>
      </c>
      <c r="M45" s="64">
        <v>60.11</v>
      </c>
      <c r="N45" s="64">
        <v>497.7</v>
      </c>
      <c r="O45" s="64">
        <v>0</v>
      </c>
      <c r="P45" s="64">
        <v>1</v>
      </c>
      <c r="Q45" s="64">
        <v>9.49</v>
      </c>
      <c r="R45" s="198"/>
      <c r="S45" s="198"/>
      <c r="T45" s="198"/>
      <c r="U45" s="198"/>
    </row>
    <row r="46" spans="1:21" s="12" customFormat="1" x14ac:dyDescent="0.25">
      <c r="A46" s="213" t="s">
        <v>2201</v>
      </c>
      <c r="B46" s="64">
        <v>35.520000000000003</v>
      </c>
      <c r="C46" s="64">
        <v>65.819999999999993</v>
      </c>
      <c r="D46" s="64">
        <v>99.24</v>
      </c>
      <c r="E46" s="64">
        <v>7.28</v>
      </c>
      <c r="F46" s="64">
        <v>2.13</v>
      </c>
      <c r="G46" s="64">
        <v>95.4</v>
      </c>
      <c r="H46" s="64">
        <v>38.270000000000003</v>
      </c>
      <c r="I46" s="210" t="s">
        <v>43</v>
      </c>
      <c r="J46" s="64">
        <v>1.5</v>
      </c>
      <c r="K46" s="64">
        <v>91.93</v>
      </c>
      <c r="L46" s="64">
        <v>22.14</v>
      </c>
      <c r="M46" s="64">
        <v>66.75</v>
      </c>
      <c r="N46" s="64">
        <v>554.79999999999995</v>
      </c>
      <c r="O46" s="64">
        <v>0</v>
      </c>
      <c r="P46" s="64">
        <v>0.98</v>
      </c>
      <c r="Q46" s="64">
        <v>9.5</v>
      </c>
      <c r="R46" s="198"/>
      <c r="S46" s="198"/>
      <c r="T46" s="198"/>
      <c r="U46" s="198"/>
    </row>
    <row r="47" spans="1:21" s="12" customFormat="1" x14ac:dyDescent="0.25">
      <c r="A47" s="213" t="s">
        <v>2202</v>
      </c>
      <c r="B47" s="64">
        <v>33.49</v>
      </c>
      <c r="C47" s="64">
        <v>65.819999999999993</v>
      </c>
      <c r="D47" s="64">
        <v>97.22</v>
      </c>
      <c r="E47" s="64">
        <v>7.21</v>
      </c>
      <c r="F47" s="64">
        <v>2.13</v>
      </c>
      <c r="G47" s="64">
        <v>95.4</v>
      </c>
      <c r="H47" s="64">
        <v>38.270000000000003</v>
      </c>
      <c r="I47" s="210" t="s">
        <v>43</v>
      </c>
      <c r="J47" s="64">
        <v>0.74</v>
      </c>
      <c r="K47" s="64">
        <v>47.84</v>
      </c>
      <c r="L47" s="64">
        <v>23.05</v>
      </c>
      <c r="M47" s="64">
        <v>63.58</v>
      </c>
      <c r="N47" s="64">
        <v>590</v>
      </c>
      <c r="O47" s="64">
        <v>0</v>
      </c>
      <c r="P47" s="64">
        <v>0.95</v>
      </c>
      <c r="Q47" s="64">
        <v>9.49</v>
      </c>
      <c r="R47" s="198"/>
      <c r="S47" s="198"/>
      <c r="T47" s="198"/>
      <c r="U47" s="198"/>
    </row>
    <row r="48" spans="1:21" s="12" customFormat="1" x14ac:dyDescent="0.25">
      <c r="A48" s="213" t="s">
        <v>2203</v>
      </c>
      <c r="B48" s="64">
        <v>31.57</v>
      </c>
      <c r="C48" s="64">
        <v>63.44</v>
      </c>
      <c r="D48" s="64">
        <v>92.91</v>
      </c>
      <c r="E48" s="64">
        <v>7.14</v>
      </c>
      <c r="F48" s="64">
        <v>2.13</v>
      </c>
      <c r="G48" s="64">
        <v>95.4</v>
      </c>
      <c r="H48" s="64">
        <v>38.270000000000003</v>
      </c>
      <c r="I48" s="210" t="s">
        <v>43</v>
      </c>
      <c r="J48" s="64">
        <v>0.93</v>
      </c>
      <c r="K48" s="64">
        <v>47.9</v>
      </c>
      <c r="L48" s="64">
        <v>24.43</v>
      </c>
      <c r="M48" s="64">
        <v>58.74</v>
      </c>
      <c r="N48" s="64">
        <v>633.9</v>
      </c>
      <c r="O48" s="64">
        <v>0</v>
      </c>
      <c r="P48" s="64">
        <v>0.93</v>
      </c>
      <c r="Q48" s="64">
        <v>9.4700000000000006</v>
      </c>
      <c r="R48" s="198"/>
      <c r="S48" s="198"/>
      <c r="T48" s="198"/>
      <c r="U48" s="198"/>
    </row>
    <row r="49" spans="1:21" s="12" customFormat="1" x14ac:dyDescent="0.25">
      <c r="A49" s="213" t="s">
        <v>2204</v>
      </c>
      <c r="B49" s="64">
        <v>29.28</v>
      </c>
      <c r="C49" s="64">
        <v>64.95</v>
      </c>
      <c r="D49" s="64">
        <v>92.13</v>
      </c>
      <c r="E49" s="64">
        <v>7.14</v>
      </c>
      <c r="F49" s="64">
        <v>2.13</v>
      </c>
      <c r="G49" s="64">
        <v>83.84</v>
      </c>
      <c r="H49" s="64">
        <v>31.66</v>
      </c>
      <c r="I49" s="210" t="s">
        <v>43</v>
      </c>
      <c r="J49" s="64">
        <v>1.05</v>
      </c>
      <c r="K49" s="64">
        <v>12.25</v>
      </c>
      <c r="L49" s="64">
        <v>25.53</v>
      </c>
      <c r="M49" s="64">
        <v>55.11</v>
      </c>
      <c r="N49" s="64">
        <v>660.7</v>
      </c>
      <c r="O49" s="64">
        <v>0</v>
      </c>
      <c r="P49" s="64">
        <v>0.9</v>
      </c>
      <c r="Q49" s="64">
        <v>9.4499999999999993</v>
      </c>
      <c r="R49" s="198"/>
      <c r="S49" s="198"/>
      <c r="T49" s="198"/>
      <c r="U49" s="198"/>
    </row>
    <row r="50" spans="1:21" s="12" customFormat="1" x14ac:dyDescent="0.25">
      <c r="A50" s="213" t="s">
        <v>2205</v>
      </c>
      <c r="B50" s="64">
        <v>27.22</v>
      </c>
      <c r="C50" s="64">
        <v>65.13</v>
      </c>
      <c r="D50" s="64">
        <v>90.25</v>
      </c>
      <c r="E50" s="64">
        <v>7.47</v>
      </c>
      <c r="F50" s="64">
        <v>2.13</v>
      </c>
      <c r="G50" s="64">
        <v>83.71</v>
      </c>
      <c r="H50" s="64">
        <v>31.66</v>
      </c>
      <c r="I50" s="210" t="s">
        <v>43</v>
      </c>
      <c r="J50" s="64">
        <v>1.1200000000000001</v>
      </c>
      <c r="K50" s="64">
        <v>342.32</v>
      </c>
      <c r="L50" s="64">
        <v>28.26</v>
      </c>
      <c r="M50" s="64">
        <v>46.66</v>
      </c>
      <c r="N50" s="64">
        <v>685.1</v>
      </c>
      <c r="O50" s="64">
        <v>0</v>
      </c>
      <c r="P50" s="64">
        <v>0.89</v>
      </c>
      <c r="Q50" s="64">
        <v>9.44</v>
      </c>
      <c r="R50" s="198"/>
      <c r="S50" s="198"/>
      <c r="T50" s="198"/>
      <c r="U50" s="198"/>
    </row>
    <row r="51" spans="1:21" s="12" customFormat="1" x14ac:dyDescent="0.25">
      <c r="A51" s="213" t="s">
        <v>2206</v>
      </c>
      <c r="B51" s="64">
        <v>25.28</v>
      </c>
      <c r="C51" s="64">
        <v>65.69</v>
      </c>
      <c r="D51" s="64">
        <v>88.87</v>
      </c>
      <c r="E51" s="64">
        <v>6.75</v>
      </c>
      <c r="F51" s="64">
        <v>2.13</v>
      </c>
      <c r="G51" s="64">
        <v>83.71</v>
      </c>
      <c r="H51" s="64">
        <v>31.66</v>
      </c>
      <c r="I51" s="210" t="s">
        <v>43</v>
      </c>
      <c r="J51" s="64">
        <v>0.14000000000000001</v>
      </c>
      <c r="K51" s="64">
        <v>131.35</v>
      </c>
      <c r="L51" s="64">
        <v>28.08</v>
      </c>
      <c r="M51" s="64">
        <v>47.34</v>
      </c>
      <c r="N51" s="64">
        <v>709.6</v>
      </c>
      <c r="O51" s="64">
        <v>0</v>
      </c>
      <c r="P51" s="64">
        <v>0.88</v>
      </c>
      <c r="Q51" s="64">
        <v>9.44</v>
      </c>
      <c r="R51" s="198"/>
      <c r="S51" s="198"/>
      <c r="T51" s="198"/>
      <c r="U51" s="198"/>
    </row>
    <row r="52" spans="1:21" s="12" customFormat="1" x14ac:dyDescent="0.25">
      <c r="A52" s="213" t="s">
        <v>2207</v>
      </c>
      <c r="B52" s="64">
        <v>22.87</v>
      </c>
      <c r="C52" s="64">
        <v>66.41</v>
      </c>
      <c r="D52" s="64">
        <v>87.18</v>
      </c>
      <c r="E52" s="64">
        <v>6.48</v>
      </c>
      <c r="F52" s="64">
        <v>2.13</v>
      </c>
      <c r="G52" s="64">
        <v>83.71</v>
      </c>
      <c r="H52" s="64">
        <v>31.66</v>
      </c>
      <c r="I52" s="210" t="s">
        <v>43</v>
      </c>
      <c r="J52" s="64">
        <v>0.68</v>
      </c>
      <c r="K52" s="64">
        <v>60.28</v>
      </c>
      <c r="L52" s="64">
        <v>26.96</v>
      </c>
      <c r="M52" s="64">
        <v>50.42</v>
      </c>
      <c r="N52" s="64">
        <v>746.1</v>
      </c>
      <c r="O52" s="64">
        <v>0</v>
      </c>
      <c r="P52" s="64">
        <v>0.85</v>
      </c>
      <c r="Q52" s="64">
        <v>9.44</v>
      </c>
      <c r="R52" s="198"/>
      <c r="S52" s="198"/>
      <c r="T52" s="198"/>
      <c r="U52" s="198"/>
    </row>
    <row r="53" spans="1:21" s="12" customFormat="1" x14ac:dyDescent="0.25">
      <c r="A53" s="213" t="s">
        <v>2208</v>
      </c>
      <c r="B53" s="64">
        <v>20.61</v>
      </c>
      <c r="C53" s="64">
        <v>67.62</v>
      </c>
      <c r="D53" s="64">
        <v>86.14</v>
      </c>
      <c r="E53" s="64">
        <v>6.44</v>
      </c>
      <c r="F53" s="64">
        <v>2.13</v>
      </c>
      <c r="G53" s="64">
        <v>75.27</v>
      </c>
      <c r="H53" s="64">
        <v>28.76</v>
      </c>
      <c r="I53" s="210" t="s">
        <v>43</v>
      </c>
      <c r="J53" s="64">
        <v>0.47</v>
      </c>
      <c r="K53" s="64">
        <v>37.51</v>
      </c>
      <c r="L53" s="64">
        <v>27.24</v>
      </c>
      <c r="M53" s="64">
        <v>49.08</v>
      </c>
      <c r="N53" s="64">
        <v>740.7</v>
      </c>
      <c r="O53" s="64">
        <v>0</v>
      </c>
      <c r="P53" s="64">
        <v>0.84</v>
      </c>
      <c r="Q53" s="64">
        <v>9.44</v>
      </c>
      <c r="R53" s="198"/>
      <c r="S53" s="198"/>
      <c r="T53" s="198"/>
      <c r="U53" s="198"/>
    </row>
    <row r="54" spans="1:21" s="12" customFormat="1" x14ac:dyDescent="0.25">
      <c r="A54" s="213" t="s">
        <v>2209</v>
      </c>
      <c r="B54" s="64">
        <v>18.510000000000002</v>
      </c>
      <c r="C54" s="64">
        <v>68.47</v>
      </c>
      <c r="D54" s="64">
        <v>84.88</v>
      </c>
      <c r="E54" s="64">
        <v>6.26</v>
      </c>
      <c r="F54" s="64">
        <v>2.13</v>
      </c>
      <c r="G54" s="64">
        <v>75.180000000000007</v>
      </c>
      <c r="H54" s="64">
        <v>28.73</v>
      </c>
      <c r="I54" s="210" t="s">
        <v>43</v>
      </c>
      <c r="J54" s="64">
        <v>0.77</v>
      </c>
      <c r="K54" s="64">
        <v>17.71</v>
      </c>
      <c r="L54" s="64">
        <v>28.93</v>
      </c>
      <c r="M54" s="64">
        <v>44.02</v>
      </c>
      <c r="N54" s="64">
        <v>752.4</v>
      </c>
      <c r="O54" s="64">
        <v>0</v>
      </c>
      <c r="P54" s="64">
        <v>0.83</v>
      </c>
      <c r="Q54" s="64">
        <v>9.44</v>
      </c>
      <c r="R54" s="198"/>
      <c r="S54" s="198"/>
      <c r="T54" s="198"/>
      <c r="U54" s="198"/>
    </row>
    <row r="55" spans="1:21" s="12" customFormat="1" x14ac:dyDescent="0.25">
      <c r="A55" s="213" t="s">
        <v>2210</v>
      </c>
      <c r="B55" s="64">
        <v>16.36</v>
      </c>
      <c r="C55" s="64">
        <v>68.97</v>
      </c>
      <c r="D55" s="64">
        <v>83.23</v>
      </c>
      <c r="E55" s="64">
        <v>6.45</v>
      </c>
      <c r="F55" s="64">
        <v>2.13</v>
      </c>
      <c r="G55" s="64">
        <v>75.180000000000007</v>
      </c>
      <c r="H55" s="64">
        <v>28.73</v>
      </c>
      <c r="I55" s="210" t="s">
        <v>43</v>
      </c>
      <c r="J55" s="64">
        <v>1.1399999999999999</v>
      </c>
      <c r="K55" s="64">
        <v>331.2</v>
      </c>
      <c r="L55" s="64">
        <v>28.92</v>
      </c>
      <c r="M55" s="64">
        <v>43.92</v>
      </c>
      <c r="N55" s="64">
        <v>732.2</v>
      </c>
      <c r="O55" s="64">
        <v>0</v>
      </c>
      <c r="P55" s="64">
        <v>0.82</v>
      </c>
      <c r="Q55" s="64">
        <v>9.43</v>
      </c>
      <c r="R55" s="198"/>
      <c r="S55" s="198"/>
      <c r="T55" s="198"/>
      <c r="U55" s="198"/>
    </row>
    <row r="56" spans="1:21" s="12" customFormat="1" x14ac:dyDescent="0.25">
      <c r="A56" s="213" t="s">
        <v>2211</v>
      </c>
      <c r="B56" s="64">
        <v>14.36</v>
      </c>
      <c r="C56" s="64">
        <v>70.39</v>
      </c>
      <c r="D56" s="64">
        <v>82.65</v>
      </c>
      <c r="E56" s="64">
        <v>6.43</v>
      </c>
      <c r="F56" s="64">
        <v>2.13</v>
      </c>
      <c r="G56" s="64">
        <v>75.180000000000007</v>
      </c>
      <c r="H56" s="64">
        <v>28.73</v>
      </c>
      <c r="I56" s="210" t="s">
        <v>43</v>
      </c>
      <c r="J56" s="64">
        <v>0.76</v>
      </c>
      <c r="K56" s="64">
        <v>350.58</v>
      </c>
      <c r="L56" s="64">
        <v>30.07</v>
      </c>
      <c r="M56" s="64">
        <v>41.89</v>
      </c>
      <c r="N56" s="64">
        <v>606.9</v>
      </c>
      <c r="O56" s="64">
        <v>0</v>
      </c>
      <c r="P56" s="64">
        <v>0.82</v>
      </c>
      <c r="Q56" s="64">
        <v>9.42</v>
      </c>
      <c r="R56" s="198"/>
      <c r="S56" s="198"/>
      <c r="T56" s="198"/>
      <c r="U56" s="198"/>
    </row>
    <row r="57" spans="1:21" s="12" customFormat="1" x14ac:dyDescent="0.25">
      <c r="A57" s="213" t="s">
        <v>2212</v>
      </c>
      <c r="B57" s="64">
        <v>12.98</v>
      </c>
      <c r="C57" s="64">
        <v>71.41</v>
      </c>
      <c r="D57" s="64">
        <v>82.29</v>
      </c>
      <c r="E57" s="64">
        <v>6.95</v>
      </c>
      <c r="F57" s="64">
        <v>2.13</v>
      </c>
      <c r="G57" s="64">
        <v>83.66</v>
      </c>
      <c r="H57" s="64">
        <v>27.46</v>
      </c>
      <c r="I57" s="210" t="s">
        <v>43</v>
      </c>
      <c r="J57" s="64">
        <v>1.31</v>
      </c>
      <c r="K57" s="64">
        <v>1.39</v>
      </c>
      <c r="L57" s="64">
        <v>30.47</v>
      </c>
      <c r="M57" s="64">
        <v>40.61</v>
      </c>
      <c r="N57" s="64">
        <v>653.4</v>
      </c>
      <c r="O57" s="64">
        <v>0</v>
      </c>
      <c r="P57" s="64">
        <v>0.81</v>
      </c>
      <c r="Q57" s="64">
        <v>9.39</v>
      </c>
      <c r="R57" s="198"/>
      <c r="S57" s="198"/>
      <c r="T57" s="198"/>
      <c r="U57" s="198"/>
    </row>
    <row r="58" spans="1:21" s="12" customFormat="1" x14ac:dyDescent="0.25">
      <c r="A58" s="213" t="s">
        <v>2213</v>
      </c>
      <c r="B58" s="64">
        <v>12.49</v>
      </c>
      <c r="C58" s="64">
        <v>71.7</v>
      </c>
      <c r="D58" s="64">
        <v>82.09</v>
      </c>
      <c r="E58" s="64">
        <v>7.06</v>
      </c>
      <c r="F58" s="64">
        <v>2.2999999999999998</v>
      </c>
      <c r="G58" s="64">
        <v>83.75</v>
      </c>
      <c r="H58" s="64">
        <v>27.46</v>
      </c>
      <c r="I58" s="210" t="s">
        <v>43</v>
      </c>
      <c r="J58" s="64">
        <v>1.42</v>
      </c>
      <c r="K58" s="64">
        <v>342.59</v>
      </c>
      <c r="L58" s="64">
        <v>31.23</v>
      </c>
      <c r="M58" s="64">
        <v>38.520000000000003</v>
      </c>
      <c r="N58" s="64">
        <v>572</v>
      </c>
      <c r="O58" s="64">
        <v>0</v>
      </c>
      <c r="P58" s="64">
        <v>0.81</v>
      </c>
      <c r="Q58" s="64">
        <v>9.41</v>
      </c>
      <c r="R58" s="198"/>
      <c r="S58" s="198"/>
      <c r="T58" s="198"/>
      <c r="U58" s="198"/>
    </row>
    <row r="59" spans="1:21" s="12" customFormat="1" x14ac:dyDescent="0.25">
      <c r="A59" s="213" t="s">
        <v>2214</v>
      </c>
      <c r="B59" s="64">
        <v>12.54</v>
      </c>
      <c r="C59" s="64">
        <v>69.95</v>
      </c>
      <c r="D59" s="64">
        <v>80.400000000000006</v>
      </c>
      <c r="E59" s="64">
        <v>7.18</v>
      </c>
      <c r="F59" s="64">
        <v>2.13</v>
      </c>
      <c r="G59" s="64">
        <v>83.75</v>
      </c>
      <c r="H59" s="64">
        <v>27.46</v>
      </c>
      <c r="I59" s="210" t="s">
        <v>43</v>
      </c>
      <c r="J59" s="64">
        <v>1.2</v>
      </c>
      <c r="K59" s="64">
        <v>342.05</v>
      </c>
      <c r="L59" s="64">
        <v>32.19</v>
      </c>
      <c r="M59" s="64">
        <v>35.340000000000003</v>
      </c>
      <c r="N59" s="64">
        <v>596.70000000000005</v>
      </c>
      <c r="O59" s="64">
        <v>0</v>
      </c>
      <c r="P59" s="64">
        <v>0.8</v>
      </c>
      <c r="Q59" s="64">
        <v>9.44</v>
      </c>
      <c r="R59" s="198"/>
      <c r="S59" s="198"/>
      <c r="T59" s="198"/>
      <c r="U59" s="198"/>
    </row>
    <row r="60" spans="1:21" s="12" customFormat="1" x14ac:dyDescent="0.25">
      <c r="A60" s="213" t="s">
        <v>2215</v>
      </c>
      <c r="B60" s="64">
        <v>12.68</v>
      </c>
      <c r="C60" s="64">
        <v>71.25</v>
      </c>
      <c r="D60" s="64">
        <v>81.83</v>
      </c>
      <c r="E60" s="64">
        <v>7.06</v>
      </c>
      <c r="F60" s="64">
        <v>2.13</v>
      </c>
      <c r="G60" s="64">
        <v>83.75</v>
      </c>
      <c r="H60" s="64">
        <v>27.46</v>
      </c>
      <c r="I60" s="210" t="s">
        <v>43</v>
      </c>
      <c r="J60" s="64">
        <v>1.06</v>
      </c>
      <c r="K60" s="64">
        <v>344.73</v>
      </c>
      <c r="L60" s="64">
        <v>32.729999999999997</v>
      </c>
      <c r="M60" s="64">
        <v>31.75</v>
      </c>
      <c r="N60" s="64">
        <v>684.9</v>
      </c>
      <c r="O60" s="64">
        <v>0</v>
      </c>
      <c r="P60" s="64">
        <v>0.77</v>
      </c>
      <c r="Q60" s="64">
        <v>9.42</v>
      </c>
      <c r="R60" s="198"/>
      <c r="S60" s="198"/>
      <c r="T60" s="198"/>
      <c r="U60" s="198"/>
    </row>
    <row r="61" spans="1:21" s="12" customFormat="1" x14ac:dyDescent="0.25">
      <c r="A61" s="213" t="s">
        <v>2216</v>
      </c>
      <c r="B61" s="64">
        <v>12.52</v>
      </c>
      <c r="C61" s="64">
        <v>72.489999999999995</v>
      </c>
      <c r="D61" s="64">
        <v>82.92</v>
      </c>
      <c r="E61" s="64">
        <v>6.82</v>
      </c>
      <c r="F61" s="64">
        <v>2.2599999999999998</v>
      </c>
      <c r="G61" s="64">
        <v>114.58</v>
      </c>
      <c r="H61" s="64">
        <v>32.93</v>
      </c>
      <c r="I61" s="210" t="s">
        <v>43</v>
      </c>
      <c r="J61" s="64">
        <v>0.91</v>
      </c>
      <c r="K61" s="64">
        <v>5.59</v>
      </c>
      <c r="L61" s="64">
        <v>30.66</v>
      </c>
      <c r="M61" s="64">
        <v>32.44</v>
      </c>
      <c r="N61" s="64">
        <v>571.70000000000005</v>
      </c>
      <c r="O61" s="64">
        <v>0</v>
      </c>
      <c r="P61" s="64">
        <v>0.8</v>
      </c>
      <c r="Q61" s="64">
        <v>9.39</v>
      </c>
      <c r="R61" s="198"/>
      <c r="S61" s="198"/>
      <c r="T61" s="198"/>
      <c r="U61" s="198"/>
    </row>
    <row r="62" spans="1:21" s="12" customFormat="1" x14ac:dyDescent="0.25">
      <c r="A62" s="213" t="s">
        <v>2217</v>
      </c>
      <c r="B62" s="64">
        <v>12.29</v>
      </c>
      <c r="C62" s="64">
        <v>73.08</v>
      </c>
      <c r="D62" s="64">
        <v>83.27</v>
      </c>
      <c r="E62" s="64">
        <v>6.39</v>
      </c>
      <c r="F62" s="64">
        <v>2.13</v>
      </c>
      <c r="G62" s="64">
        <v>114.58</v>
      </c>
      <c r="H62" s="64">
        <v>32.99</v>
      </c>
      <c r="I62" s="210" t="s">
        <v>43</v>
      </c>
      <c r="J62" s="64">
        <v>1.1499999999999999</v>
      </c>
      <c r="K62" s="64">
        <v>309.5</v>
      </c>
      <c r="L62" s="64">
        <v>31.91</v>
      </c>
      <c r="M62" s="64">
        <v>25.93</v>
      </c>
      <c r="N62" s="64">
        <v>721.4</v>
      </c>
      <c r="O62" s="64">
        <v>0</v>
      </c>
      <c r="P62" s="64">
        <v>0.84</v>
      </c>
      <c r="Q62" s="64">
        <v>9.3800000000000008</v>
      </c>
      <c r="R62" s="198"/>
      <c r="S62" s="198"/>
      <c r="T62" s="198"/>
      <c r="U62" s="198"/>
    </row>
    <row r="63" spans="1:21" s="12" customFormat="1" x14ac:dyDescent="0.25">
      <c r="A63" s="213" t="s">
        <v>2218</v>
      </c>
      <c r="B63" s="64">
        <v>11.62</v>
      </c>
      <c r="C63" s="64">
        <v>72.900000000000006</v>
      </c>
      <c r="D63" s="64">
        <v>82.42</v>
      </c>
      <c r="E63" s="64">
        <v>6.29</v>
      </c>
      <c r="F63" s="64">
        <v>2.13</v>
      </c>
      <c r="G63" s="64">
        <v>114.58</v>
      </c>
      <c r="H63" s="64">
        <v>32.99</v>
      </c>
      <c r="I63" s="210" t="s">
        <v>43</v>
      </c>
      <c r="J63" s="64">
        <v>1.23</v>
      </c>
      <c r="K63" s="64">
        <v>333.92</v>
      </c>
      <c r="L63" s="64">
        <v>32.299999999999997</v>
      </c>
      <c r="M63" s="64">
        <v>23.28</v>
      </c>
      <c r="N63" s="64">
        <v>749</v>
      </c>
      <c r="O63" s="64">
        <v>0</v>
      </c>
      <c r="P63" s="64">
        <v>0.76</v>
      </c>
      <c r="Q63" s="64">
        <v>9.3699999999999992</v>
      </c>
      <c r="R63" s="198"/>
      <c r="S63" s="198"/>
      <c r="T63" s="198"/>
      <c r="U63" s="198"/>
    </row>
    <row r="64" spans="1:21" s="12" customFormat="1" x14ac:dyDescent="0.25">
      <c r="A64" s="213" t="s">
        <v>2219</v>
      </c>
      <c r="B64" s="64">
        <v>10.68</v>
      </c>
      <c r="C64" s="64">
        <v>72.33</v>
      </c>
      <c r="D64" s="64">
        <v>80.91</v>
      </c>
      <c r="E64" s="64">
        <v>6.48</v>
      </c>
      <c r="F64" s="64">
        <v>2.17</v>
      </c>
      <c r="G64" s="64">
        <v>114.58</v>
      </c>
      <c r="H64" s="64">
        <v>32.99</v>
      </c>
      <c r="I64" s="210" t="s">
        <v>43</v>
      </c>
      <c r="J64" s="64">
        <v>1.63</v>
      </c>
      <c r="K64" s="64">
        <v>321.05</v>
      </c>
      <c r="L64" s="64">
        <v>32.369999999999997</v>
      </c>
      <c r="M64" s="64">
        <v>23.15</v>
      </c>
      <c r="N64" s="64">
        <v>743.2</v>
      </c>
      <c r="O64" s="64">
        <v>0</v>
      </c>
      <c r="P64" s="64">
        <v>0.78</v>
      </c>
      <c r="Q64" s="64">
        <v>9.3699999999999992</v>
      </c>
      <c r="R64" s="198"/>
      <c r="S64" s="198"/>
      <c r="T64" s="198"/>
      <c r="U64" s="198"/>
    </row>
    <row r="65" spans="1:21" s="12" customFormat="1" x14ac:dyDescent="0.25">
      <c r="A65" s="213" t="s">
        <v>2220</v>
      </c>
      <c r="B65" s="64">
        <v>9.81</v>
      </c>
      <c r="C65" s="64">
        <v>73.209999999999994</v>
      </c>
      <c r="D65" s="64">
        <v>80.91</v>
      </c>
      <c r="E65" s="64">
        <v>6.43</v>
      </c>
      <c r="F65" s="64">
        <v>2.13</v>
      </c>
      <c r="G65" s="64">
        <v>64.17</v>
      </c>
      <c r="H65" s="64">
        <v>30.81</v>
      </c>
      <c r="I65" s="210" t="s">
        <v>43</v>
      </c>
      <c r="J65" s="64">
        <v>1.49</v>
      </c>
      <c r="K65" s="64">
        <v>336.74</v>
      </c>
      <c r="L65" s="64">
        <v>32.99</v>
      </c>
      <c r="M65" s="64">
        <v>21.43</v>
      </c>
      <c r="N65" s="64">
        <v>570.79999999999995</v>
      </c>
      <c r="O65" s="64">
        <v>0</v>
      </c>
      <c r="P65" s="64">
        <v>0.73</v>
      </c>
      <c r="Q65" s="64">
        <v>9.3699999999999992</v>
      </c>
      <c r="R65" s="198"/>
      <c r="S65" s="198"/>
      <c r="T65" s="198"/>
      <c r="U65" s="198"/>
    </row>
    <row r="66" spans="1:21" s="12" customFormat="1" x14ac:dyDescent="0.25">
      <c r="A66" s="213" t="s">
        <v>2221</v>
      </c>
      <c r="B66" s="64">
        <v>8.9600000000000009</v>
      </c>
      <c r="C66" s="64">
        <v>74.599999999999994</v>
      </c>
      <c r="D66" s="64">
        <v>81.47</v>
      </c>
      <c r="E66" s="64">
        <v>6.43</v>
      </c>
      <c r="F66" s="64">
        <v>2.13</v>
      </c>
      <c r="G66" s="64">
        <v>63.61</v>
      </c>
      <c r="H66" s="64">
        <v>30.79</v>
      </c>
      <c r="I66" s="210" t="s">
        <v>43</v>
      </c>
      <c r="J66" s="64">
        <v>1.64</v>
      </c>
      <c r="K66" s="64">
        <v>327.8</v>
      </c>
      <c r="L66" s="64">
        <v>32.49</v>
      </c>
      <c r="M66" s="64">
        <v>23.63</v>
      </c>
      <c r="N66" s="64">
        <v>545.29999999999995</v>
      </c>
      <c r="O66" s="64">
        <v>0</v>
      </c>
      <c r="P66" s="64">
        <v>0.77</v>
      </c>
      <c r="Q66" s="64">
        <v>9.34</v>
      </c>
      <c r="R66" s="198"/>
      <c r="S66" s="198"/>
      <c r="T66" s="198"/>
      <c r="U66" s="198"/>
    </row>
    <row r="67" spans="1:21" s="12" customFormat="1" x14ac:dyDescent="0.25">
      <c r="A67" s="213" t="s">
        <v>2222</v>
      </c>
      <c r="B67" s="64">
        <v>7.84</v>
      </c>
      <c r="C67" s="64">
        <v>72.599999999999994</v>
      </c>
      <c r="D67" s="64">
        <v>78.34</v>
      </c>
      <c r="E67" s="64">
        <v>6.63</v>
      </c>
      <c r="F67" s="64">
        <v>2.13</v>
      </c>
      <c r="G67" s="64">
        <v>63.61</v>
      </c>
      <c r="H67" s="64">
        <v>30.79</v>
      </c>
      <c r="I67" s="210" t="s">
        <v>43</v>
      </c>
      <c r="J67" s="64">
        <v>0.52</v>
      </c>
      <c r="K67" s="64">
        <v>220.4</v>
      </c>
      <c r="L67" s="64">
        <v>30.25</v>
      </c>
      <c r="M67" s="64">
        <v>27.33</v>
      </c>
      <c r="N67" s="64">
        <v>541.29999999999995</v>
      </c>
      <c r="O67" s="64">
        <v>0</v>
      </c>
      <c r="P67" s="64">
        <v>0.7</v>
      </c>
      <c r="Q67" s="64">
        <v>9.34</v>
      </c>
      <c r="R67" s="198"/>
      <c r="S67" s="198"/>
      <c r="T67" s="198"/>
      <c r="U67" s="198"/>
    </row>
    <row r="68" spans="1:21" s="12" customFormat="1" x14ac:dyDescent="0.25">
      <c r="A68" s="213" t="s">
        <v>2223</v>
      </c>
      <c r="B68" s="64">
        <v>6.37</v>
      </c>
      <c r="C68" s="64">
        <v>70.81</v>
      </c>
      <c r="D68" s="64">
        <v>75.08</v>
      </c>
      <c r="E68" s="64">
        <v>6.26</v>
      </c>
      <c r="F68" s="64">
        <v>2.13</v>
      </c>
      <c r="G68" s="64">
        <v>63.61</v>
      </c>
      <c r="H68" s="64">
        <v>30.79</v>
      </c>
      <c r="I68" s="210" t="s">
        <v>43</v>
      </c>
      <c r="J68" s="64">
        <v>1</v>
      </c>
      <c r="K68" s="64">
        <v>322.33999999999997</v>
      </c>
      <c r="L68" s="64">
        <v>30.42</v>
      </c>
      <c r="M68" s="64">
        <v>27.92</v>
      </c>
      <c r="N68" s="64">
        <v>476.2</v>
      </c>
      <c r="O68" s="64">
        <v>0</v>
      </c>
      <c r="P68" s="64">
        <v>0.68</v>
      </c>
      <c r="Q68" s="64">
        <v>9.34</v>
      </c>
      <c r="R68" s="198"/>
      <c r="S68" s="198"/>
      <c r="T68" s="198"/>
      <c r="U68" s="198"/>
    </row>
    <row r="69" spans="1:21" s="12" customFormat="1" x14ac:dyDescent="0.25">
      <c r="A69" s="213" t="s">
        <v>2224</v>
      </c>
      <c r="B69" s="64">
        <v>5.75</v>
      </c>
      <c r="C69" s="64">
        <v>70.010000000000005</v>
      </c>
      <c r="D69" s="64">
        <v>73.66</v>
      </c>
      <c r="E69" s="64">
        <v>6.31</v>
      </c>
      <c r="F69" s="64">
        <v>2.13</v>
      </c>
      <c r="G69" s="64">
        <v>62.25</v>
      </c>
      <c r="H69" s="64">
        <v>26.06</v>
      </c>
      <c r="I69" s="210" t="s">
        <v>43</v>
      </c>
      <c r="J69" s="64">
        <v>1.38</v>
      </c>
      <c r="K69" s="64">
        <v>330.21</v>
      </c>
      <c r="L69" s="64">
        <v>31.49</v>
      </c>
      <c r="M69" s="64">
        <v>26.14</v>
      </c>
      <c r="N69" s="64">
        <v>335.1</v>
      </c>
      <c r="O69" s="64">
        <v>0</v>
      </c>
      <c r="P69" s="64">
        <v>0.66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3" t="s">
        <v>2225</v>
      </c>
      <c r="B70" s="64">
        <v>5.58</v>
      </c>
      <c r="C70" s="64">
        <v>68.89</v>
      </c>
      <c r="D70" s="64">
        <v>72.38</v>
      </c>
      <c r="E70" s="64">
        <v>6</v>
      </c>
      <c r="F70" s="64">
        <v>2.16</v>
      </c>
      <c r="G70" s="64">
        <v>62.25</v>
      </c>
      <c r="H70" s="64">
        <v>26.01</v>
      </c>
      <c r="I70" s="210" t="s">
        <v>43</v>
      </c>
      <c r="J70" s="64">
        <v>1.52</v>
      </c>
      <c r="K70" s="64">
        <v>331.03</v>
      </c>
      <c r="L70" s="64">
        <v>30.76</v>
      </c>
      <c r="M70" s="64">
        <v>26.36</v>
      </c>
      <c r="N70" s="64">
        <v>262.3</v>
      </c>
      <c r="O70" s="64">
        <v>0</v>
      </c>
      <c r="P70" s="64">
        <v>0.63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3" t="s">
        <v>2226</v>
      </c>
      <c r="B71" s="64">
        <v>5.42</v>
      </c>
      <c r="C71" s="64">
        <v>68.53</v>
      </c>
      <c r="D71" s="64">
        <v>71.849999999999994</v>
      </c>
      <c r="E71" s="64">
        <v>4.51</v>
      </c>
      <c r="F71" s="64">
        <v>2.13</v>
      </c>
      <c r="G71" s="64">
        <v>62.25</v>
      </c>
      <c r="H71" s="64">
        <v>26.01</v>
      </c>
      <c r="I71" s="210" t="s">
        <v>43</v>
      </c>
      <c r="J71" s="64">
        <v>0.81</v>
      </c>
      <c r="K71" s="64">
        <v>286.95</v>
      </c>
      <c r="L71" s="64">
        <v>30.03</v>
      </c>
      <c r="M71" s="64">
        <v>24.44</v>
      </c>
      <c r="N71" s="64">
        <v>299.3</v>
      </c>
      <c r="O71" s="64">
        <v>0</v>
      </c>
      <c r="P71" s="64">
        <v>0.64</v>
      </c>
      <c r="Q71" s="64">
        <v>9.33</v>
      </c>
      <c r="R71" s="198"/>
      <c r="S71" s="198"/>
      <c r="T71" s="198"/>
      <c r="U71" s="198"/>
    </row>
    <row r="72" spans="1:21" s="12" customFormat="1" x14ac:dyDescent="0.25">
      <c r="A72" s="213" t="s">
        <v>2227</v>
      </c>
      <c r="B72" s="64">
        <v>5.18</v>
      </c>
      <c r="C72" s="64">
        <v>67.09</v>
      </c>
      <c r="D72" s="64">
        <v>70.180000000000007</v>
      </c>
      <c r="E72" s="64">
        <v>4.62</v>
      </c>
      <c r="F72" s="64">
        <v>2.19</v>
      </c>
      <c r="G72" s="64">
        <v>62.25</v>
      </c>
      <c r="H72" s="64">
        <v>26.01</v>
      </c>
      <c r="I72" s="210" t="s">
        <v>43</v>
      </c>
      <c r="J72" s="64">
        <v>0.91</v>
      </c>
      <c r="K72" s="64">
        <v>332.57</v>
      </c>
      <c r="L72" s="64">
        <v>29.01</v>
      </c>
      <c r="M72" s="64">
        <v>25.51</v>
      </c>
      <c r="N72" s="64">
        <v>232.6</v>
      </c>
      <c r="O72" s="64">
        <v>0</v>
      </c>
      <c r="P72" s="64">
        <v>0.61</v>
      </c>
      <c r="Q72" s="64">
        <v>9.3000000000000007</v>
      </c>
      <c r="R72" s="198"/>
      <c r="S72" s="198"/>
      <c r="T72" s="198"/>
      <c r="U72" s="198"/>
    </row>
    <row r="73" spans="1:21" s="12" customFormat="1" x14ac:dyDescent="0.25">
      <c r="A73" s="213" t="s">
        <v>2228</v>
      </c>
      <c r="B73" s="64">
        <v>5.27</v>
      </c>
      <c r="C73" s="64">
        <v>66.95</v>
      </c>
      <c r="D73" s="64">
        <v>70.12</v>
      </c>
      <c r="E73" s="64">
        <v>5.68</v>
      </c>
      <c r="F73" s="64">
        <v>2.13</v>
      </c>
      <c r="G73" s="64">
        <v>40.65</v>
      </c>
      <c r="H73" s="64">
        <v>20.59</v>
      </c>
      <c r="I73" s="210" t="s">
        <v>43</v>
      </c>
      <c r="J73" s="64">
        <v>1</v>
      </c>
      <c r="K73" s="64">
        <v>312.27</v>
      </c>
      <c r="L73" s="64">
        <v>28.81</v>
      </c>
      <c r="M73" s="64">
        <v>26.29</v>
      </c>
      <c r="N73" s="64">
        <v>153.6</v>
      </c>
      <c r="O73" s="64">
        <v>0</v>
      </c>
      <c r="P73" s="64">
        <v>0.63</v>
      </c>
      <c r="Q73" s="64">
        <v>9.2799999999999994</v>
      </c>
      <c r="R73" s="198"/>
      <c r="S73" s="198"/>
      <c r="T73" s="198"/>
      <c r="U73" s="198"/>
    </row>
    <row r="74" spans="1:21" s="12" customFormat="1" x14ac:dyDescent="0.25">
      <c r="A74" s="213" t="s">
        <v>2229</v>
      </c>
      <c r="B74" s="64">
        <v>5.4</v>
      </c>
      <c r="C74" s="64">
        <v>66.47</v>
      </c>
      <c r="D74" s="64">
        <v>69.77</v>
      </c>
      <c r="E74" s="64">
        <v>5.68</v>
      </c>
      <c r="F74" s="64">
        <v>2.13</v>
      </c>
      <c r="G74" s="64">
        <v>40.65</v>
      </c>
      <c r="H74" s="64">
        <v>20.59</v>
      </c>
      <c r="I74" s="210" t="s">
        <v>43</v>
      </c>
      <c r="J74" s="64">
        <v>1.53</v>
      </c>
      <c r="K74" s="64">
        <v>325.67</v>
      </c>
      <c r="L74" s="64">
        <v>28.23</v>
      </c>
      <c r="M74" s="64">
        <v>24.26</v>
      </c>
      <c r="N74" s="64">
        <v>143.80000000000001</v>
      </c>
      <c r="O74" s="64">
        <v>0</v>
      </c>
      <c r="P74" s="64">
        <v>0.63</v>
      </c>
      <c r="Q74" s="64">
        <v>9.2799999999999994</v>
      </c>
      <c r="R74" s="198"/>
      <c r="S74" s="198"/>
      <c r="T74" s="198"/>
      <c r="U74" s="198"/>
    </row>
    <row r="75" spans="1:21" s="12" customFormat="1" x14ac:dyDescent="0.25">
      <c r="A75" s="213" t="s">
        <v>2230</v>
      </c>
      <c r="B75" s="64">
        <v>5.62</v>
      </c>
      <c r="C75" s="64">
        <v>65.790000000000006</v>
      </c>
      <c r="D75" s="64">
        <v>69.31</v>
      </c>
      <c r="E75" s="64">
        <v>5.37</v>
      </c>
      <c r="F75" s="64">
        <v>2.13</v>
      </c>
      <c r="G75" s="64">
        <v>40.65</v>
      </c>
      <c r="H75" s="64">
        <v>20.59</v>
      </c>
      <c r="I75" s="210" t="s">
        <v>43</v>
      </c>
      <c r="J75" s="64">
        <v>1.07</v>
      </c>
      <c r="K75" s="64">
        <v>311.94</v>
      </c>
      <c r="L75" s="64">
        <v>27.79</v>
      </c>
      <c r="M75" s="64">
        <v>22.3</v>
      </c>
      <c r="N75" s="64">
        <v>123.1</v>
      </c>
      <c r="O75" s="64">
        <v>0</v>
      </c>
      <c r="P75" s="64">
        <v>0.61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13" t="s">
        <v>2231</v>
      </c>
      <c r="B76" s="64">
        <v>5.82</v>
      </c>
      <c r="C76" s="64">
        <v>61.82</v>
      </c>
      <c r="D76" s="64">
        <v>65.53</v>
      </c>
      <c r="E76" s="64">
        <v>5</v>
      </c>
      <c r="F76" s="64">
        <v>2.13</v>
      </c>
      <c r="G76" s="64">
        <v>40.65</v>
      </c>
      <c r="H76" s="64">
        <v>20.59</v>
      </c>
      <c r="I76" s="210" t="s">
        <v>43</v>
      </c>
      <c r="J76" s="64">
        <v>0.52</v>
      </c>
      <c r="K76" s="64">
        <v>271.39999999999998</v>
      </c>
      <c r="L76" s="64">
        <v>27.27</v>
      </c>
      <c r="M76" s="64">
        <v>22.46</v>
      </c>
      <c r="N76" s="64">
        <v>109.7</v>
      </c>
      <c r="O76" s="64">
        <v>0</v>
      </c>
      <c r="P76" s="64">
        <v>0.57999999999999996</v>
      </c>
      <c r="Q76" s="64">
        <v>9.24</v>
      </c>
      <c r="R76" s="198"/>
      <c r="S76" s="198"/>
      <c r="T76" s="198"/>
      <c r="U76" s="198"/>
    </row>
    <row r="77" spans="1:21" s="12" customFormat="1" x14ac:dyDescent="0.25">
      <c r="A77" s="213" t="s">
        <v>2232</v>
      </c>
      <c r="B77" s="64">
        <v>6.2</v>
      </c>
      <c r="C77" s="64">
        <v>62.3</v>
      </c>
      <c r="D77" s="64">
        <v>66.41</v>
      </c>
      <c r="E77" s="64">
        <v>5.3</v>
      </c>
      <c r="F77" s="64">
        <v>2.13</v>
      </c>
      <c r="G77" s="64">
        <v>42.94</v>
      </c>
      <c r="H77" s="64">
        <v>20.059999999999999</v>
      </c>
      <c r="I77" s="210" t="s">
        <v>43</v>
      </c>
      <c r="J77" s="64">
        <v>0.62</v>
      </c>
      <c r="K77" s="64">
        <v>289.72000000000003</v>
      </c>
      <c r="L77" s="64">
        <v>26.82</v>
      </c>
      <c r="M77" s="64">
        <v>24.5</v>
      </c>
      <c r="N77" s="64">
        <v>99.1</v>
      </c>
      <c r="O77" s="64">
        <v>0</v>
      </c>
      <c r="P77" s="64">
        <v>0.62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13" t="s">
        <v>2233</v>
      </c>
      <c r="B78" s="64">
        <v>6.01</v>
      </c>
      <c r="C78" s="64">
        <v>60.91</v>
      </c>
      <c r="D78" s="64">
        <v>64.819999999999993</v>
      </c>
      <c r="E78" s="64">
        <v>22.03</v>
      </c>
      <c r="F78" s="64">
        <v>30.66</v>
      </c>
      <c r="G78" s="64">
        <v>42.94</v>
      </c>
      <c r="H78" s="64">
        <v>20.05</v>
      </c>
      <c r="I78" s="210" t="s">
        <v>43</v>
      </c>
      <c r="J78" s="64">
        <v>0.57999999999999996</v>
      </c>
      <c r="K78" s="64">
        <v>246.99</v>
      </c>
      <c r="L78" s="64">
        <v>26.44</v>
      </c>
      <c r="M78" s="64">
        <v>24.72</v>
      </c>
      <c r="N78" s="64">
        <v>89.2</v>
      </c>
      <c r="O78" s="64">
        <v>0</v>
      </c>
      <c r="P78" s="64">
        <v>0.56999999999999995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3" t="s">
        <v>2234</v>
      </c>
      <c r="B79" s="64">
        <v>4.3</v>
      </c>
      <c r="C79" s="64">
        <v>69.44</v>
      </c>
      <c r="D79" s="64">
        <v>71.650000000000006</v>
      </c>
      <c r="E79" s="64">
        <v>13.69</v>
      </c>
      <c r="F79" s="64">
        <v>22.4</v>
      </c>
      <c r="G79" s="64">
        <v>42.94</v>
      </c>
      <c r="H79" s="64">
        <v>20.05</v>
      </c>
      <c r="I79" s="210" t="s">
        <v>43</v>
      </c>
      <c r="J79" s="64">
        <v>0.69</v>
      </c>
      <c r="K79" s="64">
        <v>228.41</v>
      </c>
      <c r="L79" s="64">
        <v>25.94</v>
      </c>
      <c r="M79" s="64">
        <v>26.91</v>
      </c>
      <c r="N79" s="64">
        <v>77.099999999999994</v>
      </c>
      <c r="O79" s="64">
        <v>0</v>
      </c>
      <c r="P79" s="64">
        <v>0.56999999999999995</v>
      </c>
      <c r="Q79" s="64">
        <v>9.1999999999999993</v>
      </c>
      <c r="R79" s="198"/>
      <c r="S79" s="198"/>
      <c r="T79" s="198"/>
      <c r="U79" s="198"/>
    </row>
    <row r="80" spans="1:21" s="12" customFormat="1" x14ac:dyDescent="0.25">
      <c r="A80" s="213" t="s">
        <v>2235</v>
      </c>
      <c r="B80" s="64">
        <v>4.03</v>
      </c>
      <c r="C80" s="64">
        <v>70.849999999999994</v>
      </c>
      <c r="D80" s="64">
        <v>72.78</v>
      </c>
      <c r="E80" s="64">
        <v>8.74</v>
      </c>
      <c r="F80" s="64">
        <v>9.57</v>
      </c>
      <c r="G80" s="64">
        <v>42.41</v>
      </c>
      <c r="H80" s="64">
        <v>20.010000000000002</v>
      </c>
      <c r="I80" s="210" t="s">
        <v>43</v>
      </c>
      <c r="J80" s="64">
        <v>0.69</v>
      </c>
      <c r="K80" s="64">
        <v>226.99</v>
      </c>
      <c r="L80" s="64">
        <v>25.23</v>
      </c>
      <c r="M80" s="64">
        <v>30.86</v>
      </c>
      <c r="N80" s="64">
        <v>67.900000000000006</v>
      </c>
      <c r="O80" s="64">
        <v>0</v>
      </c>
      <c r="P80" s="64">
        <v>0.69</v>
      </c>
      <c r="Q80" s="64">
        <v>9.1999999999999993</v>
      </c>
      <c r="R80" s="198"/>
      <c r="S80" s="198"/>
      <c r="T80" s="198"/>
      <c r="U80" s="198"/>
    </row>
    <row r="81" spans="1:26" s="12" customFormat="1" x14ac:dyDescent="0.25">
      <c r="A81" s="213" t="s">
        <v>2236</v>
      </c>
      <c r="B81" s="64">
        <v>5.36</v>
      </c>
      <c r="C81" s="64">
        <v>77.760000000000005</v>
      </c>
      <c r="D81" s="64">
        <v>81.010000000000005</v>
      </c>
      <c r="E81" s="64">
        <v>8.34</v>
      </c>
      <c r="F81" s="64">
        <v>3.12</v>
      </c>
      <c r="G81" s="64">
        <v>33.39</v>
      </c>
      <c r="H81" s="64">
        <v>19.239999999999998</v>
      </c>
      <c r="I81" s="210" t="s">
        <v>43</v>
      </c>
      <c r="J81" s="64">
        <v>0.21</v>
      </c>
      <c r="K81" s="64">
        <v>234.76</v>
      </c>
      <c r="L81" s="64">
        <v>24.17</v>
      </c>
      <c r="M81" s="64">
        <v>34.840000000000003</v>
      </c>
      <c r="N81" s="64">
        <v>63.9</v>
      </c>
      <c r="O81" s="64">
        <v>0</v>
      </c>
      <c r="P81" s="64">
        <v>0.84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13" t="s">
        <v>2237</v>
      </c>
      <c r="B82" s="64">
        <v>9.9700000000000006</v>
      </c>
      <c r="C82" s="64">
        <v>84.2</v>
      </c>
      <c r="D82" s="64">
        <v>92.07</v>
      </c>
      <c r="E82" s="64">
        <v>7.09</v>
      </c>
      <c r="F82" s="64">
        <v>2.13</v>
      </c>
      <c r="G82" s="64">
        <v>33.39</v>
      </c>
      <c r="H82" s="64">
        <v>19.239999999999998</v>
      </c>
      <c r="I82" s="210" t="s">
        <v>43</v>
      </c>
      <c r="J82" s="64">
        <v>0.67</v>
      </c>
      <c r="K82" s="64">
        <v>64.37</v>
      </c>
      <c r="L82" s="64">
        <v>23.37</v>
      </c>
      <c r="M82" s="64">
        <v>38.26</v>
      </c>
      <c r="N82" s="64">
        <v>62.9</v>
      </c>
      <c r="O82" s="64">
        <v>0</v>
      </c>
      <c r="P82" s="64">
        <v>0.86</v>
      </c>
      <c r="Q82" s="64">
        <v>9.34</v>
      </c>
      <c r="R82" s="198"/>
      <c r="S82" s="198"/>
      <c r="T82" s="198"/>
      <c r="U82" s="198"/>
    </row>
    <row r="83" spans="1:26" s="12" customFormat="1" x14ac:dyDescent="0.25">
      <c r="A83" s="213" t="s">
        <v>2238</v>
      </c>
      <c r="B83" s="64">
        <v>15.53</v>
      </c>
      <c r="C83" s="64">
        <v>85.84</v>
      </c>
      <c r="D83" s="64">
        <v>99.27</v>
      </c>
      <c r="E83" s="64">
        <v>7.48</v>
      </c>
      <c r="F83" s="64">
        <v>2.13</v>
      </c>
      <c r="G83" s="64">
        <v>33.39</v>
      </c>
      <c r="H83" s="64">
        <v>19.239999999999998</v>
      </c>
      <c r="I83" s="210" t="s">
        <v>43</v>
      </c>
      <c r="J83" s="64">
        <v>0.24</v>
      </c>
      <c r="K83" s="64">
        <v>232.44</v>
      </c>
      <c r="L83" s="64">
        <v>22.74</v>
      </c>
      <c r="M83" s="64">
        <v>41.39</v>
      </c>
      <c r="N83" s="64">
        <v>62.5</v>
      </c>
      <c r="O83" s="64">
        <v>0</v>
      </c>
      <c r="P83" s="64">
        <v>0.79</v>
      </c>
      <c r="Q83" s="64">
        <v>9.32</v>
      </c>
      <c r="R83" s="198"/>
      <c r="S83" s="198"/>
      <c r="T83" s="198"/>
      <c r="U83" s="198"/>
    </row>
    <row r="84" spans="1:26" s="12" customFormat="1" x14ac:dyDescent="0.25">
      <c r="A84" s="213" t="s">
        <v>2239</v>
      </c>
      <c r="B84" s="64">
        <v>23.35</v>
      </c>
      <c r="C84" s="64">
        <v>88.66</v>
      </c>
      <c r="D84" s="64">
        <v>109.91</v>
      </c>
      <c r="E84" s="64">
        <v>7.36</v>
      </c>
      <c r="F84" s="64">
        <v>2.13</v>
      </c>
      <c r="G84" s="64">
        <v>41.31</v>
      </c>
      <c r="H84" s="64">
        <v>19.420000000000002</v>
      </c>
      <c r="I84" s="210" t="s">
        <v>43</v>
      </c>
      <c r="J84" s="64">
        <v>0.53</v>
      </c>
      <c r="K84" s="64">
        <v>4.3</v>
      </c>
      <c r="L84" s="64">
        <v>22.42</v>
      </c>
      <c r="M84" s="64">
        <v>48.34</v>
      </c>
      <c r="N84" s="64">
        <v>62.8</v>
      </c>
      <c r="O84" s="64">
        <v>0</v>
      </c>
      <c r="P84" s="64">
        <v>1.67</v>
      </c>
      <c r="Q84" s="64">
        <v>9.2899999999999991</v>
      </c>
      <c r="R84" s="198"/>
      <c r="S84" s="198"/>
      <c r="T84" s="198"/>
      <c r="U84" s="198"/>
    </row>
    <row r="85" spans="1:26" s="12" customFormat="1" x14ac:dyDescent="0.25">
      <c r="A85" s="213" t="s">
        <v>2240</v>
      </c>
      <c r="B85" s="64">
        <v>32.18</v>
      </c>
      <c r="C85" s="64">
        <v>89.95</v>
      </c>
      <c r="D85" s="64">
        <v>120.02</v>
      </c>
      <c r="E85" s="64">
        <v>8.23</v>
      </c>
      <c r="F85" s="64">
        <v>2.13</v>
      </c>
      <c r="G85" s="64">
        <v>175.96</v>
      </c>
      <c r="H85" s="64">
        <v>22.48</v>
      </c>
      <c r="I85" s="210" t="s">
        <v>43</v>
      </c>
      <c r="J85" s="64">
        <v>0.44</v>
      </c>
      <c r="K85" s="64">
        <v>307.55</v>
      </c>
      <c r="L85" s="64">
        <v>21.94</v>
      </c>
      <c r="M85" s="64">
        <v>49.38</v>
      </c>
      <c r="N85" s="64">
        <v>62.6</v>
      </c>
      <c r="O85" s="64">
        <v>0</v>
      </c>
      <c r="P85" s="64">
        <v>1.1000000000000001</v>
      </c>
      <c r="Q85" s="64">
        <v>9.3000000000000007</v>
      </c>
      <c r="R85" s="198"/>
      <c r="S85" s="198"/>
      <c r="T85" s="198"/>
      <c r="U85" s="198"/>
    </row>
    <row r="86" spans="1:26" s="12" customFormat="1" x14ac:dyDescent="0.25">
      <c r="A86" s="213" t="s">
        <v>2241</v>
      </c>
      <c r="B86" s="64">
        <v>39.17</v>
      </c>
      <c r="C86" s="64">
        <v>90.28</v>
      </c>
      <c r="D86" s="64">
        <v>127.35</v>
      </c>
      <c r="E86" s="64">
        <v>7.96</v>
      </c>
      <c r="F86" s="64">
        <v>2.13</v>
      </c>
      <c r="G86" s="64">
        <v>175.96</v>
      </c>
      <c r="H86" s="64">
        <v>22.48</v>
      </c>
      <c r="I86" s="210" t="s">
        <v>43</v>
      </c>
      <c r="J86" s="64">
        <v>0.65</v>
      </c>
      <c r="K86" s="64">
        <v>243.37</v>
      </c>
      <c r="L86" s="64">
        <v>22.22</v>
      </c>
      <c r="M86" s="64">
        <v>42.55</v>
      </c>
      <c r="N86" s="64">
        <v>61</v>
      </c>
      <c r="O86" s="64">
        <v>0</v>
      </c>
      <c r="P86" s="64">
        <v>1.25</v>
      </c>
      <c r="Q86" s="64">
        <v>9.33</v>
      </c>
      <c r="R86" s="198"/>
      <c r="S86" s="198"/>
      <c r="T86" s="198"/>
      <c r="U86" s="198"/>
    </row>
    <row r="87" spans="1:26" s="12" customFormat="1" x14ac:dyDescent="0.25">
      <c r="A87" s="213" t="s">
        <v>2242</v>
      </c>
      <c r="B87" s="64">
        <v>42.02</v>
      </c>
      <c r="C87" s="64">
        <v>90.2</v>
      </c>
      <c r="D87" s="64">
        <v>130.12</v>
      </c>
      <c r="E87" s="64">
        <v>7.88</v>
      </c>
      <c r="F87" s="64">
        <v>2.13</v>
      </c>
      <c r="G87" s="64">
        <v>175.96</v>
      </c>
      <c r="H87" s="64">
        <v>22.48</v>
      </c>
      <c r="I87" s="210" t="s">
        <v>43</v>
      </c>
      <c r="J87" s="64">
        <v>0.11</v>
      </c>
      <c r="K87" s="64">
        <v>334.27</v>
      </c>
      <c r="L87" s="64">
        <v>22.47</v>
      </c>
      <c r="M87" s="64">
        <v>40.6</v>
      </c>
      <c r="N87" s="64">
        <v>62.4</v>
      </c>
      <c r="O87" s="64">
        <v>0</v>
      </c>
      <c r="P87" s="64">
        <v>1.1200000000000001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13" t="s">
        <v>2243</v>
      </c>
      <c r="B88" s="64">
        <v>42.65</v>
      </c>
      <c r="C88" s="64">
        <v>89.85</v>
      </c>
      <c r="D88" s="64">
        <v>130.41</v>
      </c>
      <c r="E88" s="64">
        <v>7.67</v>
      </c>
      <c r="F88" s="64">
        <v>2.13</v>
      </c>
      <c r="G88" s="64">
        <v>172.92</v>
      </c>
      <c r="H88" s="64">
        <v>22.49</v>
      </c>
      <c r="I88" s="210" t="s">
        <v>43</v>
      </c>
      <c r="J88" s="64">
        <v>0.1</v>
      </c>
      <c r="K88" s="64">
        <v>88.7</v>
      </c>
      <c r="L88" s="64">
        <v>21.78</v>
      </c>
      <c r="M88" s="64">
        <v>40.549999999999997</v>
      </c>
      <c r="N88" s="64">
        <v>62.7</v>
      </c>
      <c r="O88" s="64">
        <v>0</v>
      </c>
      <c r="P88" s="64">
        <v>1.18</v>
      </c>
      <c r="Q88" s="64">
        <v>9.48</v>
      </c>
      <c r="R88" s="198"/>
      <c r="S88" s="198"/>
      <c r="T88" s="198"/>
      <c r="U88" s="198"/>
    </row>
    <row r="89" spans="1:26" s="12" customFormat="1" x14ac:dyDescent="0.25">
      <c r="A89" s="213" t="s">
        <v>2244</v>
      </c>
      <c r="B89" s="64">
        <v>43.96</v>
      </c>
      <c r="C89" s="64">
        <v>89.21</v>
      </c>
      <c r="D89" s="64">
        <v>131.06</v>
      </c>
      <c r="E89" s="64">
        <v>7.44</v>
      </c>
      <c r="F89" s="64">
        <v>2.13</v>
      </c>
      <c r="G89" s="64">
        <v>121.24</v>
      </c>
      <c r="H89" s="64">
        <v>22.62</v>
      </c>
      <c r="I89" s="210" t="s">
        <v>43</v>
      </c>
      <c r="J89" s="64">
        <v>0.63</v>
      </c>
      <c r="K89" s="64">
        <v>102.36</v>
      </c>
      <c r="L89" s="64">
        <v>21.32</v>
      </c>
      <c r="M89" s="64">
        <v>43.81</v>
      </c>
      <c r="N89" s="64">
        <v>62.9</v>
      </c>
      <c r="O89" s="64">
        <v>0</v>
      </c>
      <c r="P89" s="64">
        <v>1.24</v>
      </c>
      <c r="Q89" s="64">
        <v>9.48</v>
      </c>
      <c r="R89" s="198"/>
      <c r="S89" s="198"/>
      <c r="T89" s="198"/>
      <c r="U89" s="198"/>
    </row>
    <row r="90" spans="1:26" s="12" customFormat="1" x14ac:dyDescent="0.25">
      <c r="A90" s="213" t="s">
        <v>2245</v>
      </c>
      <c r="B90" s="64">
        <v>50.03</v>
      </c>
      <c r="C90" s="64">
        <v>89.67</v>
      </c>
      <c r="D90" s="64">
        <v>137.6</v>
      </c>
      <c r="E90" s="64">
        <v>7.65</v>
      </c>
      <c r="F90" s="64">
        <v>2.13</v>
      </c>
      <c r="G90" s="64">
        <v>121.24</v>
      </c>
      <c r="H90" s="64">
        <v>22.62</v>
      </c>
      <c r="I90" s="210" t="s">
        <v>43</v>
      </c>
      <c r="J90" s="64">
        <v>0.67</v>
      </c>
      <c r="K90" s="64">
        <v>71.72</v>
      </c>
      <c r="L90" s="64">
        <v>20.85</v>
      </c>
      <c r="M90" s="64">
        <v>45.28</v>
      </c>
      <c r="N90" s="64">
        <v>62.8</v>
      </c>
      <c r="O90" s="64">
        <v>0</v>
      </c>
      <c r="P90" s="64">
        <v>1.22</v>
      </c>
      <c r="Q90" s="64">
        <v>9.43</v>
      </c>
      <c r="R90" s="198"/>
      <c r="S90" s="198"/>
      <c r="T90" s="198"/>
      <c r="U90" s="198"/>
    </row>
    <row r="91" spans="1:26" s="12" customFormat="1" x14ac:dyDescent="0.25">
      <c r="A91" s="213" t="s">
        <v>2246</v>
      </c>
      <c r="B91" s="64">
        <v>58.97</v>
      </c>
      <c r="C91" s="64">
        <v>90.45</v>
      </c>
      <c r="D91" s="64">
        <v>147.32</v>
      </c>
      <c r="E91" s="64">
        <v>7.46</v>
      </c>
      <c r="F91" s="64">
        <v>2.13</v>
      </c>
      <c r="G91" s="64">
        <v>121.24</v>
      </c>
      <c r="H91" s="64">
        <v>22.62</v>
      </c>
      <c r="I91" s="210" t="s">
        <v>43</v>
      </c>
      <c r="J91" s="64">
        <v>0.66</v>
      </c>
      <c r="K91" s="64">
        <v>116.25</v>
      </c>
      <c r="L91" s="64">
        <v>20.3</v>
      </c>
      <c r="M91" s="64">
        <v>46.8</v>
      </c>
      <c r="N91" s="64">
        <v>63.2</v>
      </c>
      <c r="O91" s="64">
        <v>0</v>
      </c>
      <c r="P91" s="64">
        <v>1.3</v>
      </c>
      <c r="Q91" s="64">
        <v>9.41</v>
      </c>
      <c r="R91" s="198"/>
      <c r="S91" s="198"/>
      <c r="T91" s="198"/>
      <c r="U91" s="198"/>
    </row>
    <row r="92" spans="1:26" s="12" customFormat="1" x14ac:dyDescent="0.25">
      <c r="A92" s="213" t="s">
        <v>2247</v>
      </c>
      <c r="B92" s="64">
        <v>74.66</v>
      </c>
      <c r="C92" s="64">
        <v>91.57</v>
      </c>
      <c r="D92" s="64">
        <v>164.12</v>
      </c>
      <c r="E92" s="64">
        <v>7.29</v>
      </c>
      <c r="F92" s="64">
        <v>2.13</v>
      </c>
      <c r="G92" s="64">
        <v>121.49</v>
      </c>
      <c r="H92" s="64">
        <v>22.78</v>
      </c>
      <c r="I92" s="210" t="s">
        <v>43</v>
      </c>
      <c r="J92" s="64">
        <v>0.73</v>
      </c>
      <c r="K92" s="64">
        <v>61.73</v>
      </c>
      <c r="L92" s="64">
        <v>20.14</v>
      </c>
      <c r="M92" s="64">
        <v>46.65</v>
      </c>
      <c r="N92" s="64">
        <v>62.6</v>
      </c>
      <c r="O92" s="64">
        <v>0</v>
      </c>
      <c r="P92" s="64">
        <v>1.26</v>
      </c>
      <c r="Q92" s="64">
        <v>9.3800000000000008</v>
      </c>
      <c r="R92" s="198"/>
      <c r="S92" s="198"/>
      <c r="T92" s="198"/>
      <c r="U92" s="198"/>
    </row>
    <row r="93" spans="1:26" s="12" customFormat="1" x14ac:dyDescent="0.25">
      <c r="A93" s="213" t="s">
        <v>2248</v>
      </c>
      <c r="B93" s="64">
        <v>87.36</v>
      </c>
      <c r="C93" s="64">
        <v>91.14</v>
      </c>
      <c r="D93" s="64">
        <v>176.4</v>
      </c>
      <c r="E93" s="64">
        <v>7.08</v>
      </c>
      <c r="F93" s="64">
        <v>2.13</v>
      </c>
      <c r="G93" s="64">
        <v>125.71</v>
      </c>
      <c r="H93" s="64">
        <v>25.57</v>
      </c>
      <c r="I93" s="210" t="s">
        <v>43</v>
      </c>
      <c r="J93" s="64">
        <v>0.35</v>
      </c>
      <c r="K93" s="64">
        <v>350.31</v>
      </c>
      <c r="L93" s="64">
        <v>19.809999999999999</v>
      </c>
      <c r="M93" s="64">
        <v>47.92</v>
      </c>
      <c r="N93" s="64">
        <v>63</v>
      </c>
      <c r="O93" s="64">
        <v>0</v>
      </c>
      <c r="P93" s="64">
        <v>1.4</v>
      </c>
      <c r="Q93" s="64">
        <v>9.4499999999999993</v>
      </c>
      <c r="R93" s="198"/>
      <c r="S93" s="198"/>
      <c r="T93" s="198"/>
      <c r="U93" s="198"/>
    </row>
    <row r="94" spans="1:26" s="12" customFormat="1" x14ac:dyDescent="0.25">
      <c r="A94" s="213" t="s">
        <v>2249</v>
      </c>
      <c r="B94" s="64">
        <v>92.92</v>
      </c>
      <c r="C94" s="64">
        <v>88.57</v>
      </c>
      <c r="D94" s="64">
        <v>179.4</v>
      </c>
      <c r="E94" s="64">
        <v>6.92</v>
      </c>
      <c r="F94" s="64">
        <v>2.13</v>
      </c>
      <c r="G94" s="64">
        <v>125.71</v>
      </c>
      <c r="H94" s="64">
        <v>25.57</v>
      </c>
      <c r="I94" s="210" t="s">
        <v>43</v>
      </c>
      <c r="J94" s="64">
        <v>0.52</v>
      </c>
      <c r="K94" s="64">
        <v>270.05</v>
      </c>
      <c r="L94" s="64">
        <v>19.600000000000001</v>
      </c>
      <c r="M94" s="64">
        <v>50.78</v>
      </c>
      <c r="N94" s="64">
        <v>63</v>
      </c>
      <c r="O94" s="64">
        <v>0</v>
      </c>
      <c r="P94" s="64">
        <v>1.58</v>
      </c>
      <c r="Q94" s="64">
        <v>9.58</v>
      </c>
      <c r="R94" s="198"/>
      <c r="S94" s="198"/>
      <c r="T94" s="198"/>
      <c r="U94" s="198"/>
    </row>
    <row r="95" spans="1:26" s="12" customFormat="1" x14ac:dyDescent="0.25">
      <c r="A95" s="213" t="s">
        <v>2250</v>
      </c>
      <c r="B95" s="64">
        <v>100.81</v>
      </c>
      <c r="C95" s="64">
        <v>89.44</v>
      </c>
      <c r="D95" s="64">
        <v>188.15</v>
      </c>
      <c r="E95" s="64">
        <v>7.21</v>
      </c>
      <c r="F95" s="64">
        <v>2.13</v>
      </c>
      <c r="G95" s="64">
        <v>125.71</v>
      </c>
      <c r="H95" s="64">
        <v>25.57</v>
      </c>
      <c r="I95" s="210" t="s">
        <v>43</v>
      </c>
      <c r="J95" s="64">
        <v>0.36</v>
      </c>
      <c r="K95" s="64">
        <v>114.15</v>
      </c>
      <c r="L95" s="64">
        <v>19.329999999999998</v>
      </c>
      <c r="M95" s="64">
        <v>52.21</v>
      </c>
      <c r="N95" s="64">
        <v>63</v>
      </c>
      <c r="O95" s="64">
        <v>0</v>
      </c>
      <c r="P95" s="64">
        <v>1.65</v>
      </c>
      <c r="Q95" s="64">
        <v>9.59</v>
      </c>
      <c r="R95" s="198"/>
      <c r="S95" s="198"/>
      <c r="T95" s="198"/>
      <c r="U95" s="198"/>
    </row>
    <row r="96" spans="1:26" s="12" customFormat="1" x14ac:dyDescent="0.25">
      <c r="A96" s="213" t="s">
        <v>2251</v>
      </c>
      <c r="B96" s="64">
        <v>110.65</v>
      </c>
      <c r="C96" s="64">
        <v>90.63</v>
      </c>
      <c r="D96" s="64">
        <v>199.18</v>
      </c>
      <c r="E96" s="64">
        <v>7.61</v>
      </c>
      <c r="F96" s="64">
        <v>2.13</v>
      </c>
      <c r="G96" s="64">
        <v>125.83</v>
      </c>
      <c r="H96" s="64">
        <v>25.69</v>
      </c>
      <c r="I96" s="210" t="s">
        <v>43</v>
      </c>
      <c r="J96" s="64">
        <v>0.72</v>
      </c>
      <c r="K96" s="64">
        <v>115.46</v>
      </c>
      <c r="L96" s="64">
        <v>19.14</v>
      </c>
      <c r="M96" s="64">
        <v>52.84</v>
      </c>
      <c r="N96" s="64">
        <v>62.6</v>
      </c>
      <c r="O96" s="64">
        <v>0</v>
      </c>
      <c r="P96" s="64">
        <v>1.71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2252</v>
      </c>
      <c r="B97" s="64">
        <v>119.68</v>
      </c>
      <c r="C97" s="64">
        <v>91.36</v>
      </c>
      <c r="D97" s="64">
        <v>208.94</v>
      </c>
      <c r="E97" s="64">
        <v>8.09</v>
      </c>
      <c r="F97" s="64">
        <v>2.13</v>
      </c>
      <c r="G97" s="64">
        <v>127.93</v>
      </c>
      <c r="H97" s="64">
        <v>27.62</v>
      </c>
      <c r="I97" s="210" t="s">
        <v>43</v>
      </c>
      <c r="J97" s="64">
        <v>0.32</v>
      </c>
      <c r="K97" s="64">
        <v>359.2</v>
      </c>
      <c r="L97" s="64">
        <v>19.12</v>
      </c>
      <c r="M97" s="64">
        <v>51.91</v>
      </c>
      <c r="N97" s="64">
        <v>62.7</v>
      </c>
      <c r="O97" s="64">
        <v>0</v>
      </c>
      <c r="P97" s="64">
        <v>1.72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3" t="s">
        <v>2253</v>
      </c>
      <c r="B98" s="64">
        <v>125.49</v>
      </c>
      <c r="C98" s="64">
        <v>90.99</v>
      </c>
      <c r="D98" s="64">
        <v>214.38</v>
      </c>
      <c r="E98" s="64">
        <v>8.06</v>
      </c>
      <c r="F98" s="64">
        <v>2.13</v>
      </c>
      <c r="G98" s="64">
        <v>127.93</v>
      </c>
      <c r="H98" s="64">
        <v>27.62</v>
      </c>
      <c r="I98" s="210" t="s">
        <v>43</v>
      </c>
      <c r="J98" s="64">
        <v>0.6</v>
      </c>
      <c r="K98" s="64">
        <v>6.16</v>
      </c>
      <c r="L98" s="64">
        <v>18.84</v>
      </c>
      <c r="M98" s="64">
        <v>57.51</v>
      </c>
      <c r="N98" s="64">
        <v>63</v>
      </c>
      <c r="O98" s="64">
        <v>0</v>
      </c>
      <c r="P98" s="64">
        <v>1.73</v>
      </c>
      <c r="Q98" s="64">
        <v>9.7200000000000006</v>
      </c>
      <c r="R98" s="198"/>
      <c r="S98" s="198"/>
      <c r="T98" s="198"/>
      <c r="U98" s="198"/>
    </row>
    <row r="99" spans="1:33" s="12" customFormat="1" x14ac:dyDescent="0.25">
      <c r="A99" s="213" t="s">
        <v>2254</v>
      </c>
      <c r="B99" s="64">
        <v>128.31</v>
      </c>
      <c r="C99" s="64">
        <v>90.44</v>
      </c>
      <c r="D99" s="64">
        <v>216.65</v>
      </c>
      <c r="E99" s="64">
        <v>8.1</v>
      </c>
      <c r="F99" s="64">
        <v>2.13</v>
      </c>
      <c r="G99" s="64">
        <v>127.93</v>
      </c>
      <c r="H99" s="64">
        <v>27.62</v>
      </c>
      <c r="I99" s="210" t="s">
        <v>43</v>
      </c>
      <c r="J99" s="64">
        <v>0.31</v>
      </c>
      <c r="K99" s="64">
        <v>71.02</v>
      </c>
      <c r="L99" s="64">
        <v>18.97</v>
      </c>
      <c r="M99" s="64">
        <v>47.33</v>
      </c>
      <c r="N99" s="64">
        <v>62.8</v>
      </c>
      <c r="O99" s="64">
        <v>0</v>
      </c>
      <c r="P99" s="64">
        <v>1.56</v>
      </c>
      <c r="Q99" s="64">
        <v>9.77</v>
      </c>
      <c r="R99" s="198"/>
      <c r="S99" s="198"/>
      <c r="T99" s="198"/>
      <c r="U99" s="198"/>
    </row>
    <row r="100" spans="1:33" s="12" customFormat="1" x14ac:dyDescent="0.25">
      <c r="A100" s="213" t="s">
        <v>2255</v>
      </c>
      <c r="B100" s="64">
        <v>127.91</v>
      </c>
      <c r="C100" s="64">
        <v>89.46</v>
      </c>
      <c r="D100" s="64">
        <v>215.27</v>
      </c>
      <c r="E100" s="64">
        <v>8.24</v>
      </c>
      <c r="F100" s="64">
        <v>2.13</v>
      </c>
      <c r="G100" s="64">
        <v>126.65</v>
      </c>
      <c r="H100" s="64">
        <v>27.93</v>
      </c>
      <c r="I100" s="210" t="s">
        <v>43</v>
      </c>
      <c r="J100" s="64">
        <v>0.64</v>
      </c>
      <c r="K100" s="64">
        <v>213.47</v>
      </c>
      <c r="L100" s="64">
        <v>19.29</v>
      </c>
      <c r="M100" s="64">
        <v>46.13</v>
      </c>
      <c r="N100" s="64">
        <v>61.8</v>
      </c>
      <c r="O100" s="64">
        <v>0</v>
      </c>
      <c r="P100" s="64">
        <v>1.39</v>
      </c>
      <c r="Q100" s="64">
        <v>9.82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2256</v>
      </c>
      <c r="B101" s="64">
        <v>125.98</v>
      </c>
      <c r="C101" s="64">
        <v>86.21</v>
      </c>
      <c r="D101" s="64">
        <v>210.09</v>
      </c>
      <c r="E101" s="64">
        <v>7.96</v>
      </c>
      <c r="F101" s="64">
        <v>2.13</v>
      </c>
      <c r="G101" s="64">
        <v>104.95</v>
      </c>
      <c r="H101" s="64">
        <v>33.28</v>
      </c>
      <c r="I101" s="210" t="s">
        <v>43</v>
      </c>
      <c r="J101" s="64">
        <v>0.63</v>
      </c>
      <c r="K101" s="64">
        <v>210.87</v>
      </c>
      <c r="L101" s="64">
        <v>19.66</v>
      </c>
      <c r="M101" s="64">
        <v>44.33</v>
      </c>
      <c r="N101" s="64">
        <v>62.1</v>
      </c>
      <c r="O101" s="64">
        <v>0</v>
      </c>
      <c r="P101" s="64">
        <v>1.43</v>
      </c>
      <c r="Q101" s="64">
        <v>9.84</v>
      </c>
      <c r="R101" s="198"/>
      <c r="S101" s="198"/>
      <c r="T101" s="198"/>
      <c r="U101" s="198"/>
    </row>
    <row r="102" spans="1:33" s="12" customFormat="1" x14ac:dyDescent="0.25">
      <c r="A102" s="213" t="s">
        <v>2257</v>
      </c>
      <c r="B102" s="64">
        <v>121.6</v>
      </c>
      <c r="C102" s="64">
        <v>84.19</v>
      </c>
      <c r="D102" s="64">
        <v>203.69</v>
      </c>
      <c r="E102" s="64">
        <v>7.8</v>
      </c>
      <c r="F102" s="64">
        <v>2.13</v>
      </c>
      <c r="G102" s="64">
        <v>104.95</v>
      </c>
      <c r="H102" s="64">
        <v>33.28</v>
      </c>
      <c r="I102" s="210" t="s">
        <v>43</v>
      </c>
      <c r="J102" s="64">
        <v>0.52</v>
      </c>
      <c r="K102" s="64">
        <v>221.05</v>
      </c>
      <c r="L102" s="64">
        <v>19.149999999999999</v>
      </c>
      <c r="M102" s="64">
        <v>47.49</v>
      </c>
      <c r="N102" s="64">
        <v>62.8</v>
      </c>
      <c r="O102" s="64">
        <v>0</v>
      </c>
      <c r="P102" s="64">
        <v>1.36</v>
      </c>
      <c r="Q102" s="64">
        <v>9.8699999999999992</v>
      </c>
      <c r="R102" s="198"/>
      <c r="S102" s="198"/>
      <c r="T102" s="198"/>
      <c r="U102" s="198"/>
    </row>
    <row r="103" spans="1:33" s="12" customFormat="1" x14ac:dyDescent="0.25">
      <c r="A103" s="213" t="s">
        <v>2258</v>
      </c>
      <c r="B103" s="64">
        <v>115.56</v>
      </c>
      <c r="C103" s="64">
        <v>82.91</v>
      </c>
      <c r="D103" s="64">
        <v>196.38</v>
      </c>
      <c r="E103" s="64">
        <v>7.44</v>
      </c>
      <c r="F103" s="64">
        <v>2.13</v>
      </c>
      <c r="G103" s="64">
        <v>104.95</v>
      </c>
      <c r="H103" s="64">
        <v>33.28</v>
      </c>
      <c r="I103" s="210" t="s">
        <v>43</v>
      </c>
      <c r="J103" s="64">
        <v>0.32</v>
      </c>
      <c r="K103" s="64">
        <v>268.63</v>
      </c>
      <c r="L103" s="64">
        <v>18.38</v>
      </c>
      <c r="M103" s="64">
        <v>55.03</v>
      </c>
      <c r="N103" s="64">
        <v>63.5</v>
      </c>
      <c r="O103" s="64">
        <v>0</v>
      </c>
      <c r="P103" s="64">
        <v>1.31</v>
      </c>
      <c r="Q103" s="64">
        <v>9.83</v>
      </c>
      <c r="R103" s="198"/>
      <c r="S103" s="198"/>
      <c r="T103" s="198"/>
      <c r="U103" s="198"/>
    </row>
    <row r="104" spans="1:33" s="12" customFormat="1" x14ac:dyDescent="0.25">
      <c r="A104" s="213" t="s">
        <v>2259</v>
      </c>
      <c r="B104" s="64">
        <v>110.32</v>
      </c>
      <c r="C104" s="64">
        <v>81.31</v>
      </c>
      <c r="D104" s="64">
        <v>189.52</v>
      </c>
      <c r="E104" s="64">
        <v>7.09</v>
      </c>
      <c r="F104" s="64">
        <v>2.13</v>
      </c>
      <c r="G104" s="64">
        <v>102.8</v>
      </c>
      <c r="H104" s="64">
        <v>32.85</v>
      </c>
      <c r="I104" s="210" t="s">
        <v>43</v>
      </c>
      <c r="J104" s="64">
        <v>0.68</v>
      </c>
      <c r="K104" s="64">
        <v>338.85</v>
      </c>
      <c r="L104" s="64">
        <v>17.690000000000001</v>
      </c>
      <c r="M104" s="64">
        <v>57.19</v>
      </c>
      <c r="N104" s="64">
        <v>63.4</v>
      </c>
      <c r="O104" s="64">
        <v>0</v>
      </c>
      <c r="P104" s="64">
        <v>1.29</v>
      </c>
      <c r="Q104" s="64">
        <v>9.7799999999999994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4.03</v>
      </c>
      <c r="C106" s="67">
        <f>MIN(C9:C104)</f>
        <v>60.91</v>
      </c>
      <c r="D106" s="67">
        <f t="shared" ref="D106:Q106" si="0">MIN(D9:D104)</f>
        <v>64.819999999999993</v>
      </c>
      <c r="E106" s="67">
        <f t="shared" si="0"/>
        <v>4.51</v>
      </c>
      <c r="F106" s="67">
        <f t="shared" si="0"/>
        <v>2.13</v>
      </c>
      <c r="G106" s="67">
        <f t="shared" si="0"/>
        <v>33.39</v>
      </c>
      <c r="H106" s="67">
        <f t="shared" si="0"/>
        <v>19.239999999999998</v>
      </c>
      <c r="I106" s="67">
        <f t="shared" si="0"/>
        <v>0</v>
      </c>
      <c r="J106" s="67">
        <f t="shared" si="0"/>
        <v>0.09</v>
      </c>
      <c r="K106" s="67">
        <f t="shared" si="0"/>
        <v>0.18</v>
      </c>
      <c r="L106" s="67">
        <f t="shared" si="0"/>
        <v>16.670000000000002</v>
      </c>
      <c r="M106" s="67">
        <f t="shared" si="0"/>
        <v>21.43</v>
      </c>
      <c r="N106" s="67">
        <f t="shared" si="0"/>
        <v>61</v>
      </c>
      <c r="O106" s="67">
        <f t="shared" si="0"/>
        <v>0</v>
      </c>
      <c r="P106" s="67">
        <f t="shared" si="0"/>
        <v>0.56999999999999995</v>
      </c>
      <c r="Q106" s="67">
        <f t="shared" si="0"/>
        <v>9.1999999999999993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181.84</v>
      </c>
      <c r="C107" s="66">
        <f t="shared" ref="C107:Q107" si="1">MAX(C9:C104)</f>
        <v>91.57</v>
      </c>
      <c r="D107" s="66">
        <f t="shared" si="1"/>
        <v>265.64999999999998</v>
      </c>
      <c r="E107" s="66">
        <f t="shared" si="1"/>
        <v>22.03</v>
      </c>
      <c r="F107" s="66">
        <f t="shared" si="1"/>
        <v>30.66</v>
      </c>
      <c r="G107" s="66">
        <f t="shared" si="1"/>
        <v>229.44</v>
      </c>
      <c r="H107" s="66">
        <f t="shared" si="1"/>
        <v>69.290000000000006</v>
      </c>
      <c r="I107" s="66">
        <f t="shared" si="1"/>
        <v>0</v>
      </c>
      <c r="J107" s="66">
        <f t="shared" si="1"/>
        <v>1.64</v>
      </c>
      <c r="K107" s="66">
        <f t="shared" si="1"/>
        <v>359.57</v>
      </c>
      <c r="L107" s="66">
        <f t="shared" si="1"/>
        <v>32.99</v>
      </c>
      <c r="M107" s="66">
        <f t="shared" si="1"/>
        <v>85.35</v>
      </c>
      <c r="N107" s="66">
        <f t="shared" si="1"/>
        <v>752.4</v>
      </c>
      <c r="O107" s="66">
        <f t="shared" si="1"/>
        <v>0</v>
      </c>
      <c r="P107" s="66">
        <f t="shared" si="1"/>
        <v>2.83</v>
      </c>
      <c r="Q107" s="66">
        <f t="shared" si="1"/>
        <v>10.1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58.492812500000014</v>
      </c>
      <c r="C108" s="67">
        <f t="shared" ref="C108:Q108" si="2">AVERAGE(C9:C104)</f>
        <v>74.411354166666641</v>
      </c>
      <c r="D108" s="67">
        <f t="shared" si="2"/>
        <v>130.80510416666669</v>
      </c>
      <c r="E108" s="67">
        <f t="shared" si="2"/>
        <v>7.8379166666666693</v>
      </c>
      <c r="F108" s="67">
        <f t="shared" si="2"/>
        <v>2.7341666666666646</v>
      </c>
      <c r="G108" s="67">
        <f t="shared" si="2"/>
        <v>105.55614583333329</v>
      </c>
      <c r="H108" s="67">
        <f t="shared" si="2"/>
        <v>34.57885416666668</v>
      </c>
      <c r="I108" s="67" t="e">
        <f t="shared" si="2"/>
        <v>#DIV/0!</v>
      </c>
      <c r="J108" s="67">
        <f t="shared" si="2"/>
        <v>0.75135416666666643</v>
      </c>
      <c r="K108" s="67">
        <f t="shared" si="2"/>
        <v>177.25718750000001</v>
      </c>
      <c r="L108" s="67">
        <f t="shared" si="2"/>
        <v>22.733541666666667</v>
      </c>
      <c r="M108" s="67">
        <f t="shared" si="2"/>
        <v>53.153333333333343</v>
      </c>
      <c r="N108" s="67">
        <f t="shared" si="2"/>
        <v>238.70520833333327</v>
      </c>
      <c r="O108" s="67">
        <f t="shared" si="2"/>
        <v>0</v>
      </c>
      <c r="P108" s="67">
        <f t="shared" si="2"/>
        <v>1.189791666666667</v>
      </c>
      <c r="Q108" s="67">
        <f t="shared" si="2"/>
        <v>9.5602083333333372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50.545681698067618</v>
      </c>
      <c r="C109" s="67">
        <f t="shared" ref="C109:Q109" si="3">STDEV(C9:C104)</f>
        <v>9.3634290412270094</v>
      </c>
      <c r="D109" s="67">
        <f t="shared" si="3"/>
        <v>55.723638733245316</v>
      </c>
      <c r="E109" s="67">
        <f t="shared" si="3"/>
        <v>2.139059762294325</v>
      </c>
      <c r="F109" s="67">
        <f t="shared" si="3"/>
        <v>3.6218967600348448</v>
      </c>
      <c r="G109" s="67">
        <f t="shared" si="3"/>
        <v>48.220142971033809</v>
      </c>
      <c r="H109" s="67">
        <f t="shared" si="3"/>
        <v>12.569661124251017</v>
      </c>
      <c r="I109" s="67" t="e">
        <f t="shared" si="3"/>
        <v>#DIV/0!</v>
      </c>
      <c r="J109" s="67">
        <f t="shared" si="3"/>
        <v>0.3811468008155523</v>
      </c>
      <c r="K109" s="67">
        <f t="shared" si="3"/>
        <v>134.07171567723802</v>
      </c>
      <c r="L109" s="67">
        <f t="shared" si="3"/>
        <v>5.2211402221447933</v>
      </c>
      <c r="M109" s="67">
        <f t="shared" si="3"/>
        <v>19.869667635112119</v>
      </c>
      <c r="N109" s="67">
        <f t="shared" si="3"/>
        <v>248.67263044107301</v>
      </c>
      <c r="O109" s="67">
        <f t="shared" si="3"/>
        <v>0</v>
      </c>
      <c r="P109" s="67">
        <f t="shared" si="3"/>
        <v>0.50308308232268995</v>
      </c>
      <c r="Q109" s="67">
        <f t="shared" si="3"/>
        <v>0.24338827185629347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2260</v>
      </c>
      <c r="B9" s="64">
        <v>107.17</v>
      </c>
      <c r="C9" s="64">
        <v>79.819999999999993</v>
      </c>
      <c r="D9" s="64">
        <v>184.88</v>
      </c>
      <c r="E9" s="64">
        <v>6.98</v>
      </c>
      <c r="F9" s="64">
        <v>2.13</v>
      </c>
      <c r="G9" s="64">
        <v>66.2</v>
      </c>
      <c r="H9" s="64">
        <v>25.66</v>
      </c>
      <c r="I9" s="214" t="s">
        <v>43</v>
      </c>
      <c r="J9" s="64">
        <v>0.25</v>
      </c>
      <c r="K9" s="64">
        <v>289.76</v>
      </c>
      <c r="L9" s="64">
        <v>17.29</v>
      </c>
      <c r="M9" s="64">
        <v>59.13</v>
      </c>
      <c r="N9" s="64">
        <v>63.2</v>
      </c>
      <c r="O9" s="64">
        <v>0</v>
      </c>
      <c r="P9" s="64">
        <v>1.27</v>
      </c>
      <c r="Q9" s="64">
        <v>9.8000000000000007</v>
      </c>
      <c r="R9" s="198"/>
      <c r="S9" s="198"/>
      <c r="T9" s="198"/>
      <c r="U9" s="198"/>
    </row>
    <row r="10" spans="1:21" s="12" customFormat="1" x14ac:dyDescent="0.25">
      <c r="A10" s="213" t="s">
        <v>2261</v>
      </c>
      <c r="B10" s="64">
        <v>103.65</v>
      </c>
      <c r="C10" s="64">
        <v>78.48</v>
      </c>
      <c r="D10" s="64">
        <v>180.03</v>
      </c>
      <c r="E10" s="64">
        <v>6.77</v>
      </c>
      <c r="F10" s="64">
        <v>2.13</v>
      </c>
      <c r="G10" s="64">
        <v>66.2</v>
      </c>
      <c r="H10" s="64">
        <v>25.66</v>
      </c>
      <c r="I10" s="214" t="s">
        <v>43</v>
      </c>
      <c r="J10" s="64">
        <v>0.56000000000000005</v>
      </c>
      <c r="K10" s="64">
        <v>292.58</v>
      </c>
      <c r="L10" s="64">
        <v>17.239999999999998</v>
      </c>
      <c r="M10" s="64">
        <v>58.04</v>
      </c>
      <c r="N10" s="64">
        <v>62.8</v>
      </c>
      <c r="O10" s="64">
        <v>0</v>
      </c>
      <c r="P10" s="64">
        <v>1.23</v>
      </c>
      <c r="Q10" s="64">
        <v>9.81</v>
      </c>
      <c r="R10" s="198"/>
      <c r="S10" s="198"/>
      <c r="T10" s="198"/>
      <c r="U10" s="198"/>
    </row>
    <row r="11" spans="1:21" s="12" customFormat="1" x14ac:dyDescent="0.25">
      <c r="A11" s="213" t="s">
        <v>2262</v>
      </c>
      <c r="B11" s="64">
        <v>99.62</v>
      </c>
      <c r="C11" s="64">
        <v>77.150000000000006</v>
      </c>
      <c r="D11" s="64">
        <v>174.67</v>
      </c>
      <c r="E11" s="64">
        <v>6.82</v>
      </c>
      <c r="F11" s="64">
        <v>2.13</v>
      </c>
      <c r="G11" s="64">
        <v>66.2</v>
      </c>
      <c r="H11" s="64">
        <v>25.66</v>
      </c>
      <c r="I11" s="214" t="s">
        <v>43</v>
      </c>
      <c r="J11" s="64">
        <v>0.39</v>
      </c>
      <c r="K11" s="64">
        <v>271</v>
      </c>
      <c r="L11" s="64">
        <v>17.14</v>
      </c>
      <c r="M11" s="64">
        <v>61.76</v>
      </c>
      <c r="N11" s="64">
        <v>62.7</v>
      </c>
      <c r="O11" s="64">
        <v>0</v>
      </c>
      <c r="P11" s="64">
        <v>1.22</v>
      </c>
      <c r="Q11" s="64">
        <v>9.7899999999999991</v>
      </c>
      <c r="R11" s="198"/>
      <c r="S11" s="198"/>
      <c r="T11" s="198"/>
      <c r="U11" s="198"/>
    </row>
    <row r="12" spans="1:21" s="12" customFormat="1" x14ac:dyDescent="0.25">
      <c r="A12" s="213" t="s">
        <v>2263</v>
      </c>
      <c r="B12" s="64">
        <v>95.4</v>
      </c>
      <c r="C12" s="64">
        <v>75.459999999999994</v>
      </c>
      <c r="D12" s="64">
        <v>168.76</v>
      </c>
      <c r="E12" s="64">
        <v>6.47</v>
      </c>
      <c r="F12" s="64">
        <v>2.13</v>
      </c>
      <c r="G12" s="64">
        <v>67.3</v>
      </c>
      <c r="H12" s="64">
        <v>25.53</v>
      </c>
      <c r="I12" s="214" t="s">
        <v>43</v>
      </c>
      <c r="J12" s="64">
        <v>0.15</v>
      </c>
      <c r="K12" s="64">
        <v>236.25</v>
      </c>
      <c r="L12" s="64">
        <v>17.63</v>
      </c>
      <c r="M12" s="64">
        <v>51.67</v>
      </c>
      <c r="N12" s="64">
        <v>62.4</v>
      </c>
      <c r="O12" s="64">
        <v>0</v>
      </c>
      <c r="P12" s="64">
        <v>1.18</v>
      </c>
      <c r="Q12" s="64">
        <v>9.7799999999999994</v>
      </c>
      <c r="R12" s="198"/>
      <c r="S12" s="198"/>
      <c r="T12" s="198"/>
      <c r="U12" s="198"/>
    </row>
    <row r="13" spans="1:21" s="12" customFormat="1" x14ac:dyDescent="0.25">
      <c r="A13" s="213" t="s">
        <v>2264</v>
      </c>
      <c r="B13" s="64">
        <v>91.34</v>
      </c>
      <c r="C13" s="64">
        <v>74.38</v>
      </c>
      <c r="D13" s="64">
        <v>163.63</v>
      </c>
      <c r="E13" s="64">
        <v>6.49</v>
      </c>
      <c r="F13" s="64">
        <v>2.13</v>
      </c>
      <c r="G13" s="64">
        <v>85.91</v>
      </c>
      <c r="H13" s="64">
        <v>23.3</v>
      </c>
      <c r="I13" s="214" t="s">
        <v>43</v>
      </c>
      <c r="J13" s="64">
        <v>0.06</v>
      </c>
      <c r="K13" s="64">
        <v>65.86</v>
      </c>
      <c r="L13" s="64">
        <v>17.149999999999999</v>
      </c>
      <c r="M13" s="64">
        <v>56.9</v>
      </c>
      <c r="N13" s="64">
        <v>63</v>
      </c>
      <c r="O13" s="64">
        <v>0</v>
      </c>
      <c r="P13" s="64">
        <v>1.1100000000000001</v>
      </c>
      <c r="Q13" s="64">
        <v>9.76</v>
      </c>
      <c r="R13" s="198"/>
      <c r="S13" s="198"/>
      <c r="T13" s="198"/>
      <c r="U13" s="198"/>
    </row>
    <row r="14" spans="1:21" s="12" customFormat="1" x14ac:dyDescent="0.25">
      <c r="A14" s="213" t="s">
        <v>2265</v>
      </c>
      <c r="B14" s="64">
        <v>87.33</v>
      </c>
      <c r="C14" s="64">
        <v>73.650000000000006</v>
      </c>
      <c r="D14" s="64">
        <v>158.88</v>
      </c>
      <c r="E14" s="64">
        <v>6.3</v>
      </c>
      <c r="F14" s="64">
        <v>2.13</v>
      </c>
      <c r="G14" s="64">
        <v>85.91</v>
      </c>
      <c r="H14" s="64">
        <v>23.3</v>
      </c>
      <c r="I14" s="214" t="s">
        <v>43</v>
      </c>
      <c r="J14" s="64">
        <v>0.43</v>
      </c>
      <c r="K14" s="64">
        <v>307.99</v>
      </c>
      <c r="L14" s="64">
        <v>16.72</v>
      </c>
      <c r="M14" s="64">
        <v>59.56</v>
      </c>
      <c r="N14" s="64">
        <v>63</v>
      </c>
      <c r="O14" s="64">
        <v>0</v>
      </c>
      <c r="P14" s="64">
        <v>1.0900000000000001</v>
      </c>
      <c r="Q14" s="64">
        <v>9.75</v>
      </c>
      <c r="R14" s="198"/>
      <c r="S14" s="198"/>
      <c r="T14" s="198"/>
      <c r="U14" s="198"/>
    </row>
    <row r="15" spans="1:21" s="12" customFormat="1" x14ac:dyDescent="0.25">
      <c r="A15" s="213" t="s">
        <v>2266</v>
      </c>
      <c r="B15" s="64">
        <v>83.38</v>
      </c>
      <c r="C15" s="64">
        <v>69.540000000000006</v>
      </c>
      <c r="D15" s="64">
        <v>150.83000000000001</v>
      </c>
      <c r="E15" s="64">
        <v>6.09</v>
      </c>
      <c r="F15" s="64">
        <v>2.13</v>
      </c>
      <c r="G15" s="64">
        <v>85.91</v>
      </c>
      <c r="H15" s="64">
        <v>23.3</v>
      </c>
      <c r="I15" s="214" t="s">
        <v>43</v>
      </c>
      <c r="J15" s="64">
        <v>0.46</v>
      </c>
      <c r="K15" s="64">
        <v>256.27</v>
      </c>
      <c r="L15" s="64">
        <v>16.34</v>
      </c>
      <c r="M15" s="64">
        <v>62.2</v>
      </c>
      <c r="N15" s="64">
        <v>63.1</v>
      </c>
      <c r="O15" s="64">
        <v>0</v>
      </c>
      <c r="P15" s="64">
        <v>0.92</v>
      </c>
      <c r="Q15" s="64">
        <v>9.75</v>
      </c>
      <c r="R15" s="198"/>
      <c r="S15" s="198"/>
      <c r="T15" s="198"/>
      <c r="U15" s="198"/>
    </row>
    <row r="16" spans="1:21" s="12" customFormat="1" x14ac:dyDescent="0.25">
      <c r="A16" s="213" t="s">
        <v>2267</v>
      </c>
      <c r="B16" s="64">
        <v>80.16</v>
      </c>
      <c r="C16" s="64">
        <v>69.22</v>
      </c>
      <c r="D16" s="64">
        <v>147.28</v>
      </c>
      <c r="E16" s="64">
        <v>5.68</v>
      </c>
      <c r="F16" s="64">
        <v>2.13</v>
      </c>
      <c r="G16" s="64">
        <v>85.91</v>
      </c>
      <c r="H16" s="64">
        <v>23.3</v>
      </c>
      <c r="I16" s="214" t="s">
        <v>43</v>
      </c>
      <c r="J16" s="64">
        <v>0.46</v>
      </c>
      <c r="K16" s="64">
        <v>328.05</v>
      </c>
      <c r="L16" s="64">
        <v>16.100000000000001</v>
      </c>
      <c r="M16" s="64">
        <v>65.63</v>
      </c>
      <c r="N16" s="64">
        <v>63.2</v>
      </c>
      <c r="O16" s="64">
        <v>0</v>
      </c>
      <c r="P16" s="64">
        <v>0.97</v>
      </c>
      <c r="Q16" s="64">
        <v>9.75</v>
      </c>
      <c r="R16" s="198"/>
      <c r="S16" s="198"/>
      <c r="T16" s="198"/>
      <c r="U16" s="198"/>
    </row>
    <row r="17" spans="1:21" s="12" customFormat="1" x14ac:dyDescent="0.25">
      <c r="A17" s="213" t="s">
        <v>2268</v>
      </c>
      <c r="B17" s="64">
        <v>77.66</v>
      </c>
      <c r="C17" s="64">
        <v>69.45</v>
      </c>
      <c r="D17" s="64">
        <v>145.01</v>
      </c>
      <c r="E17" s="64">
        <v>5.99</v>
      </c>
      <c r="F17" s="64">
        <v>2.13</v>
      </c>
      <c r="G17" s="64">
        <v>72.650000000000006</v>
      </c>
      <c r="H17" s="64">
        <v>22.28</v>
      </c>
      <c r="I17" s="214" t="s">
        <v>43</v>
      </c>
      <c r="J17" s="64">
        <v>0.64</v>
      </c>
      <c r="K17" s="64">
        <v>278.64999999999998</v>
      </c>
      <c r="L17" s="64">
        <v>15.75</v>
      </c>
      <c r="M17" s="64">
        <v>66.06</v>
      </c>
      <c r="N17" s="64">
        <v>63.1</v>
      </c>
      <c r="O17" s="64">
        <v>0</v>
      </c>
      <c r="P17" s="64">
        <v>0.93</v>
      </c>
      <c r="Q17" s="64">
        <v>9.74</v>
      </c>
      <c r="R17" s="198"/>
      <c r="S17" s="198"/>
      <c r="T17" s="198"/>
      <c r="U17" s="198"/>
    </row>
    <row r="18" spans="1:21" s="12" customFormat="1" x14ac:dyDescent="0.25">
      <c r="A18" s="213" t="s">
        <v>2269</v>
      </c>
      <c r="B18" s="64">
        <v>75.02</v>
      </c>
      <c r="C18" s="64">
        <v>68.87</v>
      </c>
      <c r="D18" s="64">
        <v>141.78</v>
      </c>
      <c r="E18" s="64">
        <v>6.72</v>
      </c>
      <c r="F18" s="64">
        <v>2.13</v>
      </c>
      <c r="G18" s="64">
        <v>72.510000000000005</v>
      </c>
      <c r="H18" s="64">
        <v>22.27</v>
      </c>
      <c r="I18" s="214" t="s">
        <v>43</v>
      </c>
      <c r="J18" s="64">
        <v>0.49</v>
      </c>
      <c r="K18" s="64">
        <v>215.7</v>
      </c>
      <c r="L18" s="64">
        <v>15.82</v>
      </c>
      <c r="M18" s="64">
        <v>64.94</v>
      </c>
      <c r="N18" s="64">
        <v>62.7</v>
      </c>
      <c r="O18" s="64">
        <v>0</v>
      </c>
      <c r="P18" s="64">
        <v>0.91</v>
      </c>
      <c r="Q18" s="64">
        <v>9.7100000000000009</v>
      </c>
      <c r="R18" s="198"/>
      <c r="S18" s="198"/>
      <c r="T18" s="198"/>
      <c r="U18" s="198"/>
    </row>
    <row r="19" spans="1:21" s="12" customFormat="1" x14ac:dyDescent="0.25">
      <c r="A19" s="213" t="s">
        <v>2270</v>
      </c>
      <c r="B19" s="64">
        <v>72.239999999999995</v>
      </c>
      <c r="C19" s="64">
        <v>68.47</v>
      </c>
      <c r="D19" s="64">
        <v>138.61000000000001</v>
      </c>
      <c r="E19" s="64">
        <v>6.27</v>
      </c>
      <c r="F19" s="64">
        <v>2.13</v>
      </c>
      <c r="G19" s="64">
        <v>72.510000000000005</v>
      </c>
      <c r="H19" s="64">
        <v>22.27</v>
      </c>
      <c r="I19" s="214" t="s">
        <v>43</v>
      </c>
      <c r="J19" s="64">
        <v>0.62</v>
      </c>
      <c r="K19" s="64">
        <v>217.74</v>
      </c>
      <c r="L19" s="64">
        <v>16.059999999999999</v>
      </c>
      <c r="M19" s="64">
        <v>65.92</v>
      </c>
      <c r="N19" s="64">
        <v>62.3</v>
      </c>
      <c r="O19" s="64">
        <v>0</v>
      </c>
      <c r="P19" s="64">
        <v>0.9</v>
      </c>
      <c r="Q19" s="64">
        <v>9.6999999999999993</v>
      </c>
      <c r="R19" s="198"/>
      <c r="S19" s="198"/>
      <c r="T19" s="198"/>
      <c r="U19" s="198"/>
    </row>
    <row r="20" spans="1:21" s="12" customFormat="1" x14ac:dyDescent="0.25">
      <c r="A20" s="213" t="s">
        <v>2271</v>
      </c>
      <c r="B20" s="64">
        <v>69.44</v>
      </c>
      <c r="C20" s="64">
        <v>67.22</v>
      </c>
      <c r="D20" s="64">
        <v>134.55000000000001</v>
      </c>
      <c r="E20" s="64">
        <v>6.27</v>
      </c>
      <c r="F20" s="64">
        <v>2.13</v>
      </c>
      <c r="G20" s="64">
        <v>72.510000000000005</v>
      </c>
      <c r="H20" s="64">
        <v>22.27</v>
      </c>
      <c r="I20" s="214" t="s">
        <v>43</v>
      </c>
      <c r="J20" s="64">
        <v>0.71</v>
      </c>
      <c r="K20" s="64">
        <v>335.05</v>
      </c>
      <c r="L20" s="64">
        <v>15.73</v>
      </c>
      <c r="M20" s="64">
        <v>70.489999999999995</v>
      </c>
      <c r="N20" s="64">
        <v>63</v>
      </c>
      <c r="O20" s="64">
        <v>0</v>
      </c>
      <c r="P20" s="64">
        <v>0.93</v>
      </c>
      <c r="Q20" s="64">
        <v>9.68</v>
      </c>
      <c r="R20" s="198"/>
      <c r="S20" s="198"/>
      <c r="T20" s="198"/>
      <c r="U20" s="198"/>
    </row>
    <row r="21" spans="1:21" s="12" customFormat="1" x14ac:dyDescent="0.25">
      <c r="A21" s="213" t="s">
        <v>2272</v>
      </c>
      <c r="B21" s="64">
        <v>67.180000000000007</v>
      </c>
      <c r="C21" s="64">
        <v>66.7</v>
      </c>
      <c r="D21" s="64">
        <v>131.78</v>
      </c>
      <c r="E21" s="64">
        <v>6.52</v>
      </c>
      <c r="F21" s="64">
        <v>2.13</v>
      </c>
      <c r="G21" s="64">
        <v>98.19</v>
      </c>
      <c r="H21" s="64">
        <v>24.06</v>
      </c>
      <c r="I21" s="214" t="s">
        <v>43</v>
      </c>
      <c r="J21" s="64">
        <v>0.54</v>
      </c>
      <c r="K21" s="64">
        <v>285.77</v>
      </c>
      <c r="L21" s="64">
        <v>15.36</v>
      </c>
      <c r="M21" s="64">
        <v>70.400000000000006</v>
      </c>
      <c r="N21" s="64">
        <v>63</v>
      </c>
      <c r="O21" s="64">
        <v>0</v>
      </c>
      <c r="P21" s="64">
        <v>0.85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3" t="s">
        <v>2273</v>
      </c>
      <c r="B22" s="64">
        <v>65.09</v>
      </c>
      <c r="C22" s="64">
        <v>66.180000000000007</v>
      </c>
      <c r="D22" s="64">
        <v>129.16999999999999</v>
      </c>
      <c r="E22" s="64">
        <v>6.63</v>
      </c>
      <c r="F22" s="64">
        <v>2.13</v>
      </c>
      <c r="G22" s="64">
        <v>98.48</v>
      </c>
      <c r="H22" s="64">
        <v>24.08</v>
      </c>
      <c r="I22" s="214" t="s">
        <v>43</v>
      </c>
      <c r="J22" s="64">
        <v>0.81</v>
      </c>
      <c r="K22" s="64">
        <v>326.29000000000002</v>
      </c>
      <c r="L22" s="64">
        <v>15.79</v>
      </c>
      <c r="M22" s="64">
        <v>67.5</v>
      </c>
      <c r="N22" s="64">
        <v>61.8</v>
      </c>
      <c r="O22" s="64">
        <v>0</v>
      </c>
      <c r="P22" s="64">
        <v>0.93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3" t="s">
        <v>2274</v>
      </c>
      <c r="B23" s="64">
        <v>62.67</v>
      </c>
      <c r="C23" s="64">
        <v>65.23</v>
      </c>
      <c r="D23" s="64">
        <v>125.8</v>
      </c>
      <c r="E23" s="64">
        <v>7.2</v>
      </c>
      <c r="F23" s="64">
        <v>2.13</v>
      </c>
      <c r="G23" s="64">
        <v>98.48</v>
      </c>
      <c r="H23" s="64">
        <v>24.08</v>
      </c>
      <c r="I23" s="214" t="s">
        <v>43</v>
      </c>
      <c r="J23" s="64">
        <v>1.07</v>
      </c>
      <c r="K23" s="64">
        <v>342.04</v>
      </c>
      <c r="L23" s="64">
        <v>16.22</v>
      </c>
      <c r="M23" s="64">
        <v>64.400000000000006</v>
      </c>
      <c r="N23" s="64">
        <v>61.6</v>
      </c>
      <c r="O23" s="64">
        <v>0</v>
      </c>
      <c r="P23" s="64">
        <v>0.95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3" t="s">
        <v>2275</v>
      </c>
      <c r="B24" s="64">
        <v>59.47</v>
      </c>
      <c r="C24" s="64">
        <v>65.489999999999995</v>
      </c>
      <c r="D24" s="64">
        <v>122.86</v>
      </c>
      <c r="E24" s="64">
        <v>7.07</v>
      </c>
      <c r="F24" s="64">
        <v>2.13</v>
      </c>
      <c r="G24" s="64">
        <v>98.48</v>
      </c>
      <c r="H24" s="64">
        <v>24.08</v>
      </c>
      <c r="I24" s="214" t="s">
        <v>43</v>
      </c>
      <c r="J24" s="64">
        <v>0.61</v>
      </c>
      <c r="K24" s="64">
        <v>231.96</v>
      </c>
      <c r="L24" s="64">
        <v>16.29</v>
      </c>
      <c r="M24" s="64">
        <v>63.66</v>
      </c>
      <c r="N24" s="64">
        <v>62.9</v>
      </c>
      <c r="O24" s="64">
        <v>0</v>
      </c>
      <c r="P24" s="64">
        <v>0.94</v>
      </c>
      <c r="Q24" s="64">
        <v>9.6</v>
      </c>
      <c r="R24" s="198"/>
      <c r="S24" s="198"/>
      <c r="T24" s="198"/>
      <c r="U24" s="198"/>
    </row>
    <row r="25" spans="1:21" s="12" customFormat="1" x14ac:dyDescent="0.25">
      <c r="A25" s="213" t="s">
        <v>2276</v>
      </c>
      <c r="B25" s="64">
        <v>56.52</v>
      </c>
      <c r="C25" s="64">
        <v>65.400000000000006</v>
      </c>
      <c r="D25" s="64">
        <v>119.83</v>
      </c>
      <c r="E25" s="64">
        <v>6.65</v>
      </c>
      <c r="F25" s="64">
        <v>2.13</v>
      </c>
      <c r="G25" s="64">
        <v>120.33</v>
      </c>
      <c r="H25" s="64">
        <v>28.7</v>
      </c>
      <c r="I25" s="214" t="s">
        <v>43</v>
      </c>
      <c r="J25" s="64">
        <v>0.71</v>
      </c>
      <c r="K25" s="64">
        <v>244.74</v>
      </c>
      <c r="L25" s="64">
        <v>16.440000000000001</v>
      </c>
      <c r="M25" s="64">
        <v>64.37</v>
      </c>
      <c r="N25" s="64">
        <v>63</v>
      </c>
      <c r="O25" s="64">
        <v>0</v>
      </c>
      <c r="P25" s="64">
        <v>0.92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13" t="s">
        <v>2277</v>
      </c>
      <c r="B26" s="64">
        <v>54.18</v>
      </c>
      <c r="C26" s="64">
        <v>65.34</v>
      </c>
      <c r="D26" s="64">
        <v>117.42</v>
      </c>
      <c r="E26" s="64">
        <v>6.41</v>
      </c>
      <c r="F26" s="64">
        <v>2.13</v>
      </c>
      <c r="G26" s="64">
        <v>120.58</v>
      </c>
      <c r="H26" s="64">
        <v>28.75</v>
      </c>
      <c r="I26" s="214" t="s">
        <v>43</v>
      </c>
      <c r="J26" s="64">
        <v>0.77</v>
      </c>
      <c r="K26" s="64">
        <v>192.66</v>
      </c>
      <c r="L26" s="64">
        <v>15.8</v>
      </c>
      <c r="M26" s="64">
        <v>70.33</v>
      </c>
      <c r="N26" s="64">
        <v>62.8</v>
      </c>
      <c r="O26" s="64">
        <v>0</v>
      </c>
      <c r="P26" s="64">
        <v>0.92</v>
      </c>
      <c r="Q26" s="64">
        <v>9.57</v>
      </c>
      <c r="R26" s="198"/>
      <c r="S26" s="198"/>
      <c r="T26" s="198"/>
      <c r="U26" s="198"/>
    </row>
    <row r="27" spans="1:21" s="12" customFormat="1" x14ac:dyDescent="0.25">
      <c r="A27" s="213" t="s">
        <v>2278</v>
      </c>
      <c r="B27" s="64">
        <v>52.26</v>
      </c>
      <c r="C27" s="64">
        <v>64.48</v>
      </c>
      <c r="D27" s="64">
        <v>114.64</v>
      </c>
      <c r="E27" s="64">
        <v>6.07</v>
      </c>
      <c r="F27" s="64">
        <v>2.16</v>
      </c>
      <c r="G27" s="64">
        <v>120.58</v>
      </c>
      <c r="H27" s="64">
        <v>28.75</v>
      </c>
      <c r="I27" s="214" t="s">
        <v>43</v>
      </c>
      <c r="J27" s="64">
        <v>0.94</v>
      </c>
      <c r="K27" s="64">
        <v>206.03</v>
      </c>
      <c r="L27" s="64">
        <v>15.33</v>
      </c>
      <c r="M27" s="64">
        <v>74.760000000000005</v>
      </c>
      <c r="N27" s="64">
        <v>62.9</v>
      </c>
      <c r="O27" s="64">
        <v>0</v>
      </c>
      <c r="P27" s="64">
        <v>0.9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3" t="s">
        <v>2279</v>
      </c>
      <c r="B28" s="64">
        <v>50.1</v>
      </c>
      <c r="C28" s="64">
        <v>63.25</v>
      </c>
      <c r="D28" s="64">
        <v>111.25</v>
      </c>
      <c r="E28" s="64">
        <v>6.21</v>
      </c>
      <c r="F28" s="64">
        <v>2.1800000000000002</v>
      </c>
      <c r="G28" s="64">
        <v>120.58</v>
      </c>
      <c r="H28" s="64">
        <v>28.75</v>
      </c>
      <c r="I28" s="214" t="s">
        <v>43</v>
      </c>
      <c r="J28" s="64">
        <v>0.72</v>
      </c>
      <c r="K28" s="64">
        <v>210.89</v>
      </c>
      <c r="L28" s="64">
        <v>14.8</v>
      </c>
      <c r="M28" s="64">
        <v>81.08</v>
      </c>
      <c r="N28" s="64">
        <v>63.1</v>
      </c>
      <c r="O28" s="64">
        <v>0</v>
      </c>
      <c r="P28" s="64">
        <v>0.88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3" t="s">
        <v>2280</v>
      </c>
      <c r="B29" s="64">
        <v>48.13</v>
      </c>
      <c r="C29" s="64">
        <v>62.15</v>
      </c>
      <c r="D29" s="64">
        <v>108.18</v>
      </c>
      <c r="E29" s="64">
        <v>5.92</v>
      </c>
      <c r="F29" s="64">
        <v>2.13</v>
      </c>
      <c r="G29" s="64">
        <v>93.16</v>
      </c>
      <c r="H29" s="64">
        <v>28.14</v>
      </c>
      <c r="I29" s="214" t="s">
        <v>43</v>
      </c>
      <c r="J29" s="64">
        <v>0.6</v>
      </c>
      <c r="K29" s="64">
        <v>237.32</v>
      </c>
      <c r="L29" s="64">
        <v>14.38</v>
      </c>
      <c r="M29" s="64">
        <v>83.96</v>
      </c>
      <c r="N29" s="64">
        <v>63.2</v>
      </c>
      <c r="O29" s="64">
        <v>0</v>
      </c>
      <c r="P29" s="64">
        <v>0.87</v>
      </c>
      <c r="Q29" s="64">
        <v>9.56</v>
      </c>
      <c r="R29" s="198"/>
      <c r="S29" s="198"/>
      <c r="T29" s="198"/>
      <c r="U29" s="198"/>
    </row>
    <row r="30" spans="1:21" s="12" customFormat="1" x14ac:dyDescent="0.25">
      <c r="A30" s="213" t="s">
        <v>2281</v>
      </c>
      <c r="B30" s="64">
        <v>46.67</v>
      </c>
      <c r="C30" s="64">
        <v>61.65</v>
      </c>
      <c r="D30" s="64">
        <v>106.22</v>
      </c>
      <c r="E30" s="64">
        <v>5.88</v>
      </c>
      <c r="F30" s="64">
        <v>2.13</v>
      </c>
      <c r="G30" s="64">
        <v>92.85</v>
      </c>
      <c r="H30" s="64">
        <v>28.13</v>
      </c>
      <c r="I30" s="214" t="s">
        <v>43</v>
      </c>
      <c r="J30" s="64">
        <v>0.74</v>
      </c>
      <c r="K30" s="64">
        <v>217.02</v>
      </c>
      <c r="L30" s="64">
        <v>14.49</v>
      </c>
      <c r="M30" s="64">
        <v>81.75</v>
      </c>
      <c r="N30" s="64">
        <v>62.4</v>
      </c>
      <c r="O30" s="64">
        <v>0</v>
      </c>
      <c r="P30" s="64">
        <v>0.86</v>
      </c>
      <c r="Q30" s="64">
        <v>9.57</v>
      </c>
      <c r="R30" s="198"/>
      <c r="S30" s="198"/>
      <c r="T30" s="198"/>
      <c r="U30" s="198"/>
    </row>
    <row r="31" spans="1:21" s="12" customFormat="1" x14ac:dyDescent="0.25">
      <c r="A31" s="213" t="s">
        <v>2282</v>
      </c>
      <c r="B31" s="64">
        <v>46.43</v>
      </c>
      <c r="C31" s="64">
        <v>61.43</v>
      </c>
      <c r="D31" s="64">
        <v>105.76</v>
      </c>
      <c r="E31" s="64">
        <v>5.84</v>
      </c>
      <c r="F31" s="64">
        <v>2.13</v>
      </c>
      <c r="G31" s="64">
        <v>92.85</v>
      </c>
      <c r="H31" s="64">
        <v>28.13</v>
      </c>
      <c r="I31" s="214" t="s">
        <v>43</v>
      </c>
      <c r="J31" s="64">
        <v>0.39</v>
      </c>
      <c r="K31" s="64">
        <v>260.86</v>
      </c>
      <c r="L31" s="64">
        <v>14.53</v>
      </c>
      <c r="M31" s="64">
        <v>79.94</v>
      </c>
      <c r="N31" s="64">
        <v>62.8</v>
      </c>
      <c r="O31" s="64">
        <v>0</v>
      </c>
      <c r="P31" s="64">
        <v>0.84</v>
      </c>
      <c r="Q31" s="64">
        <v>9.5399999999999991</v>
      </c>
      <c r="R31" s="198"/>
      <c r="S31" s="198"/>
      <c r="T31" s="198"/>
      <c r="U31" s="198"/>
    </row>
    <row r="32" spans="1:21" s="12" customFormat="1" x14ac:dyDescent="0.25">
      <c r="A32" s="213" t="s">
        <v>2283</v>
      </c>
      <c r="B32" s="64">
        <v>47.07</v>
      </c>
      <c r="C32" s="64">
        <v>60.66</v>
      </c>
      <c r="D32" s="64">
        <v>105.62</v>
      </c>
      <c r="E32" s="64">
        <v>6.05</v>
      </c>
      <c r="F32" s="64">
        <v>2.13</v>
      </c>
      <c r="G32" s="64">
        <v>92.85</v>
      </c>
      <c r="H32" s="64">
        <v>28.13</v>
      </c>
      <c r="I32" s="214" t="s">
        <v>43</v>
      </c>
      <c r="J32" s="64">
        <v>0.64</v>
      </c>
      <c r="K32" s="64">
        <v>237.43</v>
      </c>
      <c r="L32" s="64">
        <v>14.2</v>
      </c>
      <c r="M32" s="64">
        <v>80.12</v>
      </c>
      <c r="N32" s="64">
        <v>63.1</v>
      </c>
      <c r="O32" s="64">
        <v>0</v>
      </c>
      <c r="P32" s="64">
        <v>0.81</v>
      </c>
      <c r="Q32" s="64">
        <v>9.5399999999999991</v>
      </c>
      <c r="R32" s="198"/>
      <c r="S32" s="198"/>
      <c r="T32" s="198"/>
      <c r="U32" s="198"/>
    </row>
    <row r="33" spans="1:21" s="12" customFormat="1" x14ac:dyDescent="0.25">
      <c r="A33" s="213" t="s">
        <v>2284</v>
      </c>
      <c r="B33" s="64">
        <v>47.46</v>
      </c>
      <c r="C33" s="64">
        <v>58.7</v>
      </c>
      <c r="D33" s="64">
        <v>104.06</v>
      </c>
      <c r="E33" s="64">
        <v>5.86</v>
      </c>
      <c r="F33" s="64">
        <v>2.13</v>
      </c>
      <c r="G33" s="64">
        <v>63.54</v>
      </c>
      <c r="H33" s="64">
        <v>23.87</v>
      </c>
      <c r="I33" s="214" t="s">
        <v>43</v>
      </c>
      <c r="J33" s="64">
        <v>0.65</v>
      </c>
      <c r="K33" s="64">
        <v>240.4</v>
      </c>
      <c r="L33" s="64">
        <v>14.1</v>
      </c>
      <c r="M33" s="64">
        <v>78.28</v>
      </c>
      <c r="N33" s="64">
        <v>63.1</v>
      </c>
      <c r="O33" s="64">
        <v>0</v>
      </c>
      <c r="P33" s="64">
        <v>0.78</v>
      </c>
      <c r="Q33" s="64">
        <v>9.57</v>
      </c>
      <c r="R33" s="198"/>
      <c r="S33" s="198"/>
      <c r="T33" s="198"/>
      <c r="U33" s="198"/>
    </row>
    <row r="34" spans="1:21" s="12" customFormat="1" x14ac:dyDescent="0.25">
      <c r="A34" s="213" t="s">
        <v>2285</v>
      </c>
      <c r="B34" s="64">
        <v>47.68</v>
      </c>
      <c r="C34" s="64">
        <v>60.2</v>
      </c>
      <c r="D34" s="64">
        <v>105.78</v>
      </c>
      <c r="E34" s="64">
        <v>5.71</v>
      </c>
      <c r="F34" s="64">
        <v>2.13</v>
      </c>
      <c r="G34" s="64">
        <v>63.21</v>
      </c>
      <c r="H34" s="64">
        <v>23.83</v>
      </c>
      <c r="I34" s="214" t="s">
        <v>43</v>
      </c>
      <c r="J34" s="64">
        <v>0.28000000000000003</v>
      </c>
      <c r="K34" s="64">
        <v>201.24</v>
      </c>
      <c r="L34" s="64">
        <v>14.14</v>
      </c>
      <c r="M34" s="64">
        <v>75.510000000000005</v>
      </c>
      <c r="N34" s="64">
        <v>66.099999999999994</v>
      </c>
      <c r="O34" s="64">
        <v>0</v>
      </c>
      <c r="P34" s="64">
        <v>0.79</v>
      </c>
      <c r="Q34" s="64">
        <v>9.5500000000000007</v>
      </c>
      <c r="R34" s="198"/>
      <c r="S34" s="198"/>
      <c r="T34" s="198"/>
      <c r="U34" s="198"/>
    </row>
    <row r="35" spans="1:21" s="12" customFormat="1" x14ac:dyDescent="0.25">
      <c r="A35" s="213" t="s">
        <v>2286</v>
      </c>
      <c r="B35" s="64">
        <v>49.12</v>
      </c>
      <c r="C35" s="64">
        <v>61.86</v>
      </c>
      <c r="D35" s="64">
        <v>108.88</v>
      </c>
      <c r="E35" s="64">
        <v>6.14</v>
      </c>
      <c r="F35" s="64">
        <v>2.13</v>
      </c>
      <c r="G35" s="64">
        <v>63.21</v>
      </c>
      <c r="H35" s="64">
        <v>23.83</v>
      </c>
      <c r="I35" s="214" t="s">
        <v>43</v>
      </c>
      <c r="J35" s="64">
        <v>0.41</v>
      </c>
      <c r="K35" s="64">
        <v>265.74</v>
      </c>
      <c r="L35" s="64">
        <v>14.21</v>
      </c>
      <c r="M35" s="64">
        <v>77.22</v>
      </c>
      <c r="N35" s="64">
        <v>76.599999999999994</v>
      </c>
      <c r="O35" s="64">
        <v>0</v>
      </c>
      <c r="P35" s="64">
        <v>0.81</v>
      </c>
      <c r="Q35" s="64">
        <v>9.5299999999999994</v>
      </c>
      <c r="R35" s="198"/>
      <c r="S35" s="198"/>
      <c r="T35" s="198"/>
      <c r="U35" s="198"/>
    </row>
    <row r="36" spans="1:21" s="12" customFormat="1" x14ac:dyDescent="0.25">
      <c r="A36" s="213" t="s">
        <v>2287</v>
      </c>
      <c r="B36" s="64">
        <v>52.05</v>
      </c>
      <c r="C36" s="64">
        <v>63.02</v>
      </c>
      <c r="D36" s="64">
        <v>112.97</v>
      </c>
      <c r="E36" s="64">
        <v>5.95</v>
      </c>
      <c r="F36" s="64">
        <v>2.13</v>
      </c>
      <c r="G36" s="64">
        <v>63.21</v>
      </c>
      <c r="H36" s="64">
        <v>23.83</v>
      </c>
      <c r="I36" s="214" t="s">
        <v>43</v>
      </c>
      <c r="J36" s="64">
        <v>0.84</v>
      </c>
      <c r="K36" s="64">
        <v>215.04</v>
      </c>
      <c r="L36" s="64">
        <v>14.71</v>
      </c>
      <c r="M36" s="64">
        <v>70.209999999999994</v>
      </c>
      <c r="N36" s="64">
        <v>92.2</v>
      </c>
      <c r="O36" s="64">
        <v>0</v>
      </c>
      <c r="P36" s="64">
        <v>0.82</v>
      </c>
      <c r="Q36" s="64">
        <v>9.5299999999999994</v>
      </c>
      <c r="R36" s="198"/>
      <c r="S36" s="198"/>
      <c r="T36" s="198"/>
      <c r="U36" s="198"/>
    </row>
    <row r="37" spans="1:21" s="12" customFormat="1" x14ac:dyDescent="0.25">
      <c r="A37" s="213" t="s">
        <v>2288</v>
      </c>
      <c r="B37" s="64">
        <v>53.16</v>
      </c>
      <c r="C37" s="64">
        <v>63.74</v>
      </c>
      <c r="D37" s="64">
        <v>114.8</v>
      </c>
      <c r="E37" s="64">
        <v>6.36</v>
      </c>
      <c r="F37" s="64">
        <v>2.13</v>
      </c>
      <c r="G37" s="64">
        <v>78.47</v>
      </c>
      <c r="H37" s="64">
        <v>25.85</v>
      </c>
      <c r="I37" s="214" t="s">
        <v>43</v>
      </c>
      <c r="J37" s="64">
        <v>0.76</v>
      </c>
      <c r="K37" s="64">
        <v>228.37</v>
      </c>
      <c r="L37" s="64">
        <v>15.6</v>
      </c>
      <c r="M37" s="64">
        <v>64.08</v>
      </c>
      <c r="N37" s="64">
        <v>140.1</v>
      </c>
      <c r="O37" s="64">
        <v>0</v>
      </c>
      <c r="P37" s="64">
        <v>0.74</v>
      </c>
      <c r="Q37" s="64">
        <v>9.56</v>
      </c>
      <c r="R37" s="198"/>
      <c r="S37" s="198"/>
      <c r="T37" s="198"/>
      <c r="U37" s="198"/>
    </row>
    <row r="38" spans="1:21" s="12" customFormat="1" x14ac:dyDescent="0.25">
      <c r="A38" s="213" t="s">
        <v>2289</v>
      </c>
      <c r="B38" s="64">
        <v>52.01</v>
      </c>
      <c r="C38" s="64">
        <v>63.42</v>
      </c>
      <c r="D38" s="64">
        <v>113.33</v>
      </c>
      <c r="E38" s="64">
        <v>6.39</v>
      </c>
      <c r="F38" s="64">
        <v>2.13</v>
      </c>
      <c r="G38" s="64">
        <v>78.64</v>
      </c>
      <c r="H38" s="64">
        <v>25.87</v>
      </c>
      <c r="I38" s="214" t="s">
        <v>43</v>
      </c>
      <c r="J38" s="64">
        <v>0.81</v>
      </c>
      <c r="K38" s="64">
        <v>206.68</v>
      </c>
      <c r="L38" s="64">
        <v>16.600000000000001</v>
      </c>
      <c r="M38" s="64">
        <v>59.33</v>
      </c>
      <c r="N38" s="64">
        <v>195</v>
      </c>
      <c r="O38" s="64">
        <v>0</v>
      </c>
      <c r="P38" s="64">
        <v>0.79</v>
      </c>
      <c r="Q38" s="64">
        <v>9.59</v>
      </c>
      <c r="R38" s="198"/>
      <c r="S38" s="198"/>
      <c r="T38" s="198"/>
      <c r="U38" s="198"/>
    </row>
    <row r="39" spans="1:21" s="12" customFormat="1" x14ac:dyDescent="0.25">
      <c r="A39" s="213" t="s">
        <v>2290</v>
      </c>
      <c r="B39" s="64">
        <v>50.23</v>
      </c>
      <c r="C39" s="64">
        <v>62.77</v>
      </c>
      <c r="D39" s="64">
        <v>110.9</v>
      </c>
      <c r="E39" s="64">
        <v>6.41</v>
      </c>
      <c r="F39" s="64">
        <v>2.13</v>
      </c>
      <c r="G39" s="64">
        <v>78.64</v>
      </c>
      <c r="H39" s="64">
        <v>25.87</v>
      </c>
      <c r="I39" s="214" t="s">
        <v>43</v>
      </c>
      <c r="J39" s="64">
        <v>0.38</v>
      </c>
      <c r="K39" s="64">
        <v>199.79</v>
      </c>
      <c r="L39" s="64">
        <v>18.09</v>
      </c>
      <c r="M39" s="64">
        <v>54.1</v>
      </c>
      <c r="N39" s="64">
        <v>247</v>
      </c>
      <c r="O39" s="64">
        <v>0</v>
      </c>
      <c r="P39" s="64">
        <v>0.77</v>
      </c>
      <c r="Q39" s="64">
        <v>9.58</v>
      </c>
      <c r="R39" s="198"/>
      <c r="S39" s="198"/>
      <c r="T39" s="198"/>
      <c r="U39" s="198"/>
    </row>
    <row r="40" spans="1:21" s="12" customFormat="1" x14ac:dyDescent="0.25">
      <c r="A40" s="213" t="s">
        <v>2291</v>
      </c>
      <c r="B40" s="64">
        <v>48.94</v>
      </c>
      <c r="C40" s="64">
        <v>64.53</v>
      </c>
      <c r="D40" s="64">
        <v>111.37</v>
      </c>
      <c r="E40" s="64">
        <v>6.34</v>
      </c>
      <c r="F40" s="64">
        <v>2.13</v>
      </c>
      <c r="G40" s="64">
        <v>78.64</v>
      </c>
      <c r="H40" s="64">
        <v>25.87</v>
      </c>
      <c r="I40" s="214" t="s">
        <v>43</v>
      </c>
      <c r="J40" s="64">
        <v>0.51</v>
      </c>
      <c r="K40" s="64">
        <v>211.02</v>
      </c>
      <c r="L40" s="64">
        <v>19.809999999999999</v>
      </c>
      <c r="M40" s="64">
        <v>46.61</v>
      </c>
      <c r="N40" s="64">
        <v>292.2</v>
      </c>
      <c r="O40" s="64">
        <v>0</v>
      </c>
      <c r="P40" s="64">
        <v>0.8</v>
      </c>
      <c r="Q40" s="64">
        <v>9.5500000000000007</v>
      </c>
      <c r="R40" s="198"/>
      <c r="S40" s="198"/>
      <c r="T40" s="198"/>
      <c r="U40" s="198"/>
    </row>
    <row r="41" spans="1:21" s="12" customFormat="1" x14ac:dyDescent="0.25">
      <c r="A41" s="213" t="s">
        <v>2292</v>
      </c>
      <c r="B41" s="64">
        <v>47.17</v>
      </c>
      <c r="C41" s="64">
        <v>64.900000000000006</v>
      </c>
      <c r="D41" s="64">
        <v>109.96</v>
      </c>
      <c r="E41" s="64">
        <v>6.68</v>
      </c>
      <c r="F41" s="64">
        <v>2.13</v>
      </c>
      <c r="G41" s="64">
        <v>79.67</v>
      </c>
      <c r="H41" s="64">
        <v>24.19</v>
      </c>
      <c r="I41" s="214" t="s">
        <v>43</v>
      </c>
      <c r="J41" s="64">
        <v>0.43</v>
      </c>
      <c r="K41" s="64">
        <v>235.65</v>
      </c>
      <c r="L41" s="64">
        <v>19.82</v>
      </c>
      <c r="M41" s="64">
        <v>47.48</v>
      </c>
      <c r="N41" s="64">
        <v>345.7</v>
      </c>
      <c r="O41" s="64">
        <v>0</v>
      </c>
      <c r="P41" s="64">
        <v>0.8</v>
      </c>
      <c r="Q41" s="64">
        <v>9.5299999999999994</v>
      </c>
      <c r="R41" s="198"/>
      <c r="S41" s="198"/>
      <c r="T41" s="198"/>
      <c r="U41" s="198"/>
    </row>
    <row r="42" spans="1:21" s="12" customFormat="1" x14ac:dyDescent="0.25">
      <c r="A42" s="213" t="s">
        <v>2293</v>
      </c>
      <c r="B42" s="64">
        <v>45.03</v>
      </c>
      <c r="C42" s="64">
        <v>64.55</v>
      </c>
      <c r="D42" s="64">
        <v>107.48</v>
      </c>
      <c r="E42" s="64">
        <v>6.32</v>
      </c>
      <c r="F42" s="64">
        <v>2.13</v>
      </c>
      <c r="G42" s="64">
        <v>79.680000000000007</v>
      </c>
      <c r="H42" s="64">
        <v>24.18</v>
      </c>
      <c r="I42" s="214" t="s">
        <v>43</v>
      </c>
      <c r="J42" s="64">
        <v>0.48</v>
      </c>
      <c r="K42" s="64">
        <v>247.24</v>
      </c>
      <c r="L42" s="64">
        <v>21.76</v>
      </c>
      <c r="M42" s="64">
        <v>41.29</v>
      </c>
      <c r="N42" s="64">
        <v>404.8</v>
      </c>
      <c r="O42" s="64">
        <v>0</v>
      </c>
      <c r="P42" s="64">
        <v>0.8</v>
      </c>
      <c r="Q42" s="64">
        <v>9.51</v>
      </c>
      <c r="R42" s="198"/>
      <c r="S42" s="198"/>
      <c r="T42" s="198"/>
      <c r="U42" s="198"/>
    </row>
    <row r="43" spans="1:21" s="12" customFormat="1" x14ac:dyDescent="0.25">
      <c r="A43" s="213" t="s">
        <v>2294</v>
      </c>
      <c r="B43" s="64">
        <v>42.59</v>
      </c>
      <c r="C43" s="64">
        <v>64.67</v>
      </c>
      <c r="D43" s="64">
        <v>105.17</v>
      </c>
      <c r="E43" s="64">
        <v>6.11</v>
      </c>
      <c r="F43" s="64">
        <v>2.13</v>
      </c>
      <c r="G43" s="64">
        <v>79.680000000000007</v>
      </c>
      <c r="H43" s="64">
        <v>24.18</v>
      </c>
      <c r="I43" s="214" t="s">
        <v>43</v>
      </c>
      <c r="J43" s="64">
        <v>0.5</v>
      </c>
      <c r="K43" s="64">
        <v>231.35</v>
      </c>
      <c r="L43" s="64">
        <v>22.14</v>
      </c>
      <c r="M43" s="64">
        <v>38.99</v>
      </c>
      <c r="N43" s="64">
        <v>458.6</v>
      </c>
      <c r="O43" s="64">
        <v>0</v>
      </c>
      <c r="P43" s="64">
        <v>0.79</v>
      </c>
      <c r="Q43" s="64">
        <v>9.5299999999999994</v>
      </c>
      <c r="R43" s="198"/>
      <c r="S43" s="198"/>
      <c r="T43" s="198"/>
      <c r="U43" s="198"/>
    </row>
    <row r="44" spans="1:21" s="12" customFormat="1" x14ac:dyDescent="0.25">
      <c r="A44" s="213" t="s">
        <v>2295</v>
      </c>
      <c r="B44" s="64">
        <v>39.83</v>
      </c>
      <c r="C44" s="64">
        <v>64.78</v>
      </c>
      <c r="D44" s="64">
        <v>102.51</v>
      </c>
      <c r="E44" s="64">
        <v>5.81</v>
      </c>
      <c r="F44" s="64">
        <v>2.13</v>
      </c>
      <c r="G44" s="64">
        <v>79.680000000000007</v>
      </c>
      <c r="H44" s="64">
        <v>24.18</v>
      </c>
      <c r="I44" s="214" t="s">
        <v>43</v>
      </c>
      <c r="J44" s="64">
        <v>0.9</v>
      </c>
      <c r="K44" s="64">
        <v>180.05</v>
      </c>
      <c r="L44" s="64">
        <v>22.87</v>
      </c>
      <c r="M44" s="64">
        <v>38.18</v>
      </c>
      <c r="N44" s="64">
        <v>519</v>
      </c>
      <c r="O44" s="64">
        <v>0</v>
      </c>
      <c r="P44" s="64">
        <v>0.77</v>
      </c>
      <c r="Q44" s="64">
        <v>9.5299999999999994</v>
      </c>
      <c r="R44" s="198"/>
      <c r="S44" s="198"/>
      <c r="T44" s="198"/>
      <c r="U44" s="198"/>
    </row>
    <row r="45" spans="1:21" s="12" customFormat="1" x14ac:dyDescent="0.25">
      <c r="A45" s="213" t="s">
        <v>2296</v>
      </c>
      <c r="B45" s="64">
        <v>37</v>
      </c>
      <c r="C45" s="64">
        <v>65.2</v>
      </c>
      <c r="D45" s="64">
        <v>100.1</v>
      </c>
      <c r="E45" s="64">
        <v>5.97</v>
      </c>
      <c r="F45" s="64">
        <v>2.13</v>
      </c>
      <c r="G45" s="64">
        <v>68.150000000000006</v>
      </c>
      <c r="H45" s="64">
        <v>23.7</v>
      </c>
      <c r="I45" s="214" t="s">
        <v>43</v>
      </c>
      <c r="J45" s="64">
        <v>0.71</v>
      </c>
      <c r="K45" s="64">
        <v>205.93</v>
      </c>
      <c r="L45" s="64">
        <v>22.59</v>
      </c>
      <c r="M45" s="64">
        <v>39.299999999999997</v>
      </c>
      <c r="N45" s="64">
        <v>573.79999999999995</v>
      </c>
      <c r="O45" s="64">
        <v>0</v>
      </c>
      <c r="P45" s="64">
        <v>0.76</v>
      </c>
      <c r="Q45" s="64">
        <v>9.52</v>
      </c>
      <c r="R45" s="198"/>
      <c r="S45" s="198"/>
      <c r="T45" s="198"/>
      <c r="U45" s="198"/>
    </row>
    <row r="46" spans="1:21" s="12" customFormat="1" x14ac:dyDescent="0.25">
      <c r="A46" s="213" t="s">
        <v>2297</v>
      </c>
      <c r="B46" s="64">
        <v>33.99</v>
      </c>
      <c r="C46" s="64">
        <v>66.38</v>
      </c>
      <c r="D46" s="64">
        <v>98.27</v>
      </c>
      <c r="E46" s="64">
        <v>5.83</v>
      </c>
      <c r="F46" s="64">
        <v>2.13</v>
      </c>
      <c r="G46" s="64">
        <v>68.02</v>
      </c>
      <c r="H46" s="64">
        <v>23.69</v>
      </c>
      <c r="I46" s="214" t="s">
        <v>43</v>
      </c>
      <c r="J46" s="64">
        <v>0.48</v>
      </c>
      <c r="K46" s="64">
        <v>314.70999999999998</v>
      </c>
      <c r="L46" s="64">
        <v>26.1</v>
      </c>
      <c r="M46" s="64">
        <v>32.85</v>
      </c>
      <c r="N46" s="64">
        <v>616.79999999999995</v>
      </c>
      <c r="O46" s="64">
        <v>0</v>
      </c>
      <c r="P46" s="64">
        <v>0.75</v>
      </c>
      <c r="Q46" s="64">
        <v>9.56</v>
      </c>
      <c r="R46" s="198"/>
      <c r="S46" s="198"/>
      <c r="T46" s="198"/>
      <c r="U46" s="198"/>
    </row>
    <row r="47" spans="1:21" s="12" customFormat="1" x14ac:dyDescent="0.25">
      <c r="A47" s="213" t="s">
        <v>2298</v>
      </c>
      <c r="B47" s="64">
        <v>31.79</v>
      </c>
      <c r="C47" s="64">
        <v>67.48</v>
      </c>
      <c r="D47" s="64">
        <v>97.17</v>
      </c>
      <c r="E47" s="64">
        <v>6.13</v>
      </c>
      <c r="F47" s="64">
        <v>2.13</v>
      </c>
      <c r="G47" s="64">
        <v>68.02</v>
      </c>
      <c r="H47" s="64">
        <v>23.69</v>
      </c>
      <c r="I47" s="214" t="s">
        <v>43</v>
      </c>
      <c r="J47" s="64">
        <v>0.41</v>
      </c>
      <c r="K47" s="64">
        <v>306.94</v>
      </c>
      <c r="L47" s="64">
        <v>27.89</v>
      </c>
      <c r="M47" s="64">
        <v>29.25</v>
      </c>
      <c r="N47" s="64">
        <v>661.6</v>
      </c>
      <c r="O47" s="64">
        <v>0</v>
      </c>
      <c r="P47" s="64">
        <v>0.74</v>
      </c>
      <c r="Q47" s="64">
        <v>9.52</v>
      </c>
      <c r="R47" s="198"/>
      <c r="S47" s="198"/>
      <c r="T47" s="198"/>
      <c r="U47" s="198"/>
    </row>
    <row r="48" spans="1:21" s="12" customFormat="1" x14ac:dyDescent="0.25">
      <c r="A48" s="213" t="s">
        <v>2299</v>
      </c>
      <c r="B48" s="64">
        <v>29.54</v>
      </c>
      <c r="C48" s="64">
        <v>68.22</v>
      </c>
      <c r="D48" s="64">
        <v>95.66</v>
      </c>
      <c r="E48" s="64">
        <v>5.87</v>
      </c>
      <c r="F48" s="64">
        <v>2.13</v>
      </c>
      <c r="G48" s="64">
        <v>68.02</v>
      </c>
      <c r="H48" s="64">
        <v>23.69</v>
      </c>
      <c r="I48" s="214" t="s">
        <v>43</v>
      </c>
      <c r="J48" s="64">
        <v>0.12</v>
      </c>
      <c r="K48" s="64">
        <v>201.13</v>
      </c>
      <c r="L48" s="64">
        <v>27.34</v>
      </c>
      <c r="M48" s="64">
        <v>30.01</v>
      </c>
      <c r="N48" s="64">
        <v>705.4</v>
      </c>
      <c r="O48" s="64">
        <v>0</v>
      </c>
      <c r="P48" s="64">
        <v>0.73</v>
      </c>
      <c r="Q48" s="64">
        <v>9.52</v>
      </c>
      <c r="R48" s="198"/>
      <c r="S48" s="198"/>
      <c r="T48" s="198"/>
      <c r="U48" s="198"/>
    </row>
    <row r="49" spans="1:21" s="12" customFormat="1" x14ac:dyDescent="0.25">
      <c r="A49" s="213" t="s">
        <v>2300</v>
      </c>
      <c r="B49" s="64">
        <v>27.04</v>
      </c>
      <c r="C49" s="64">
        <v>69.349999999999994</v>
      </c>
      <c r="D49" s="64">
        <v>94.28</v>
      </c>
      <c r="E49" s="64">
        <v>5.57</v>
      </c>
      <c r="F49" s="64">
        <v>2.13</v>
      </c>
      <c r="G49" s="64">
        <v>65.19</v>
      </c>
      <c r="H49" s="64">
        <v>22.57</v>
      </c>
      <c r="I49" s="214" t="s">
        <v>43</v>
      </c>
      <c r="J49" s="64">
        <v>0.43</v>
      </c>
      <c r="K49" s="64">
        <v>245.99</v>
      </c>
      <c r="L49" s="64">
        <v>28.04</v>
      </c>
      <c r="M49" s="64">
        <v>28.24</v>
      </c>
      <c r="N49" s="64">
        <v>743.8</v>
      </c>
      <c r="O49" s="64">
        <v>0</v>
      </c>
      <c r="P49" s="64">
        <v>0.72</v>
      </c>
      <c r="Q49" s="64">
        <v>9.48</v>
      </c>
      <c r="R49" s="198"/>
      <c r="S49" s="198"/>
      <c r="T49" s="198"/>
      <c r="U49" s="198"/>
    </row>
    <row r="50" spans="1:21" s="12" customFormat="1" x14ac:dyDescent="0.25">
      <c r="A50" s="213" t="s">
        <v>2301</v>
      </c>
      <c r="B50" s="64">
        <v>24.32</v>
      </c>
      <c r="C50" s="64">
        <v>68.650000000000006</v>
      </c>
      <c r="D50" s="64">
        <v>90.87</v>
      </c>
      <c r="E50" s="64">
        <v>5.63</v>
      </c>
      <c r="F50" s="64">
        <v>2.13</v>
      </c>
      <c r="G50" s="64">
        <v>65.16</v>
      </c>
      <c r="H50" s="64">
        <v>22.56</v>
      </c>
      <c r="I50" s="214" t="s">
        <v>43</v>
      </c>
      <c r="J50" s="64">
        <v>0.55000000000000004</v>
      </c>
      <c r="K50" s="64">
        <v>319.76</v>
      </c>
      <c r="L50" s="64">
        <v>28.85</v>
      </c>
      <c r="M50" s="64">
        <v>28.92</v>
      </c>
      <c r="N50" s="64">
        <v>779</v>
      </c>
      <c r="O50" s="64">
        <v>0</v>
      </c>
      <c r="P50" s="64">
        <v>0.7</v>
      </c>
      <c r="Q50" s="64">
        <v>9.48</v>
      </c>
      <c r="R50" s="198"/>
      <c r="S50" s="198"/>
      <c r="T50" s="198"/>
      <c r="U50" s="198"/>
    </row>
    <row r="51" spans="1:21" s="12" customFormat="1" x14ac:dyDescent="0.25">
      <c r="A51" s="213" t="s">
        <v>2302</v>
      </c>
      <c r="B51" s="64">
        <v>22.24</v>
      </c>
      <c r="C51" s="64">
        <v>68.12</v>
      </c>
      <c r="D51" s="64">
        <v>88.26</v>
      </c>
      <c r="E51" s="64">
        <v>5.43</v>
      </c>
      <c r="F51" s="64">
        <v>2.13</v>
      </c>
      <c r="G51" s="64">
        <v>65.16</v>
      </c>
      <c r="H51" s="64">
        <v>22.56</v>
      </c>
      <c r="I51" s="214" t="s">
        <v>43</v>
      </c>
      <c r="J51" s="64">
        <v>0.52</v>
      </c>
      <c r="K51" s="64">
        <v>318.01</v>
      </c>
      <c r="L51" s="64">
        <v>31.03</v>
      </c>
      <c r="M51" s="64">
        <v>22.79</v>
      </c>
      <c r="N51" s="64">
        <v>817.7</v>
      </c>
      <c r="O51" s="64">
        <v>0</v>
      </c>
      <c r="P51" s="64">
        <v>0.67</v>
      </c>
      <c r="Q51" s="64">
        <v>9.48</v>
      </c>
      <c r="R51" s="198"/>
      <c r="S51" s="198"/>
      <c r="T51" s="198"/>
      <c r="U51" s="198"/>
    </row>
    <row r="52" spans="1:21" s="12" customFormat="1" x14ac:dyDescent="0.25">
      <c r="A52" s="213" t="s">
        <v>2303</v>
      </c>
      <c r="B52" s="64">
        <v>20.63</v>
      </c>
      <c r="C52" s="64">
        <v>68.900000000000006</v>
      </c>
      <c r="D52" s="64">
        <v>87.43</v>
      </c>
      <c r="E52" s="64">
        <v>5.46</v>
      </c>
      <c r="F52" s="64">
        <v>2.13</v>
      </c>
      <c r="G52" s="64">
        <v>65.16</v>
      </c>
      <c r="H52" s="64">
        <v>22.56</v>
      </c>
      <c r="I52" s="214" t="s">
        <v>43</v>
      </c>
      <c r="J52" s="64">
        <v>0.73</v>
      </c>
      <c r="K52" s="64">
        <v>352.25</v>
      </c>
      <c r="L52" s="64">
        <v>31.03</v>
      </c>
      <c r="M52" s="64">
        <v>23.42</v>
      </c>
      <c r="N52" s="64">
        <v>844</v>
      </c>
      <c r="O52" s="64">
        <v>0</v>
      </c>
      <c r="P52" s="64">
        <v>0.68</v>
      </c>
      <c r="Q52" s="64">
        <v>9.4499999999999993</v>
      </c>
      <c r="R52" s="198"/>
      <c r="S52" s="198"/>
      <c r="T52" s="198"/>
      <c r="U52" s="198"/>
    </row>
    <row r="53" spans="1:21" s="12" customFormat="1" x14ac:dyDescent="0.25">
      <c r="A53" s="213" t="s">
        <v>2304</v>
      </c>
      <c r="B53" s="64">
        <v>19.440000000000001</v>
      </c>
      <c r="C53" s="64">
        <v>69.19</v>
      </c>
      <c r="D53" s="64">
        <v>86.53</v>
      </c>
      <c r="E53" s="64">
        <v>5.41</v>
      </c>
      <c r="F53" s="64">
        <v>2.13</v>
      </c>
      <c r="G53" s="64">
        <v>58.52</v>
      </c>
      <c r="H53" s="64">
        <v>19.8</v>
      </c>
      <c r="I53" s="214" t="s">
        <v>43</v>
      </c>
      <c r="J53" s="64">
        <v>0.66</v>
      </c>
      <c r="K53" s="64">
        <v>342.7</v>
      </c>
      <c r="L53" s="64">
        <v>31.43</v>
      </c>
      <c r="M53" s="64">
        <v>21.98</v>
      </c>
      <c r="N53" s="64">
        <v>853.5</v>
      </c>
      <c r="O53" s="64">
        <v>0</v>
      </c>
      <c r="P53" s="64">
        <v>0.63</v>
      </c>
      <c r="Q53" s="64">
        <v>9.43</v>
      </c>
      <c r="R53" s="198"/>
      <c r="S53" s="198"/>
      <c r="T53" s="198"/>
      <c r="U53" s="198"/>
    </row>
    <row r="54" spans="1:21" s="12" customFormat="1" x14ac:dyDescent="0.25">
      <c r="A54" s="213" t="s">
        <v>2305</v>
      </c>
      <c r="B54" s="64">
        <v>18.23</v>
      </c>
      <c r="C54" s="64">
        <v>69.599999999999994</v>
      </c>
      <c r="D54" s="64">
        <v>85.73</v>
      </c>
      <c r="E54" s="64">
        <v>5.45</v>
      </c>
      <c r="F54" s="64">
        <v>2.13</v>
      </c>
      <c r="G54" s="64">
        <v>58.44</v>
      </c>
      <c r="H54" s="64">
        <v>19.8</v>
      </c>
      <c r="I54" s="214" t="s">
        <v>43</v>
      </c>
      <c r="J54" s="64">
        <v>0.84</v>
      </c>
      <c r="K54" s="64">
        <v>359.09</v>
      </c>
      <c r="L54" s="64">
        <v>31.46</v>
      </c>
      <c r="M54" s="64">
        <v>20.64</v>
      </c>
      <c r="N54" s="64">
        <v>848.3</v>
      </c>
      <c r="O54" s="64">
        <v>0</v>
      </c>
      <c r="P54" s="64">
        <v>0.63</v>
      </c>
      <c r="Q54" s="64">
        <v>9.43</v>
      </c>
      <c r="R54" s="198"/>
      <c r="S54" s="198"/>
      <c r="T54" s="198"/>
      <c r="U54" s="198"/>
    </row>
    <row r="55" spans="1:21" s="12" customFormat="1" x14ac:dyDescent="0.25">
      <c r="A55" s="213" t="s">
        <v>2306</v>
      </c>
      <c r="B55" s="64">
        <v>17.03</v>
      </c>
      <c r="C55" s="64">
        <v>70.31</v>
      </c>
      <c r="D55" s="64">
        <v>85.23</v>
      </c>
      <c r="E55" s="64">
        <v>5.64</v>
      </c>
      <c r="F55" s="64">
        <v>2.13</v>
      </c>
      <c r="G55" s="64">
        <v>58.44</v>
      </c>
      <c r="H55" s="64">
        <v>19.8</v>
      </c>
      <c r="I55" s="214" t="s">
        <v>43</v>
      </c>
      <c r="J55" s="64">
        <v>1.1499999999999999</v>
      </c>
      <c r="K55" s="64">
        <v>6.8</v>
      </c>
      <c r="L55" s="64">
        <v>32.1</v>
      </c>
      <c r="M55" s="64">
        <v>18.2</v>
      </c>
      <c r="N55" s="64">
        <v>811</v>
      </c>
      <c r="O55" s="64">
        <v>0</v>
      </c>
      <c r="P55" s="64">
        <v>0.59</v>
      </c>
      <c r="Q55" s="64">
        <v>9.41</v>
      </c>
      <c r="R55" s="198"/>
      <c r="S55" s="198"/>
      <c r="T55" s="198"/>
      <c r="U55" s="198"/>
    </row>
    <row r="56" spans="1:21" s="12" customFormat="1" x14ac:dyDescent="0.25">
      <c r="A56" s="213" t="s">
        <v>2307</v>
      </c>
      <c r="B56" s="64">
        <v>15.86</v>
      </c>
      <c r="C56" s="64">
        <v>70.599999999999994</v>
      </c>
      <c r="D56" s="64">
        <v>84.36</v>
      </c>
      <c r="E56" s="64">
        <v>5.89</v>
      </c>
      <c r="F56" s="64">
        <v>2.13</v>
      </c>
      <c r="G56" s="64">
        <v>58.44</v>
      </c>
      <c r="H56" s="64">
        <v>19.8</v>
      </c>
      <c r="I56" s="214" t="s">
        <v>43</v>
      </c>
      <c r="J56" s="64">
        <v>1.34</v>
      </c>
      <c r="K56" s="64">
        <v>333.1</v>
      </c>
      <c r="L56" s="64">
        <v>32.96</v>
      </c>
      <c r="M56" s="64">
        <v>17.28</v>
      </c>
      <c r="N56" s="64">
        <v>806.2</v>
      </c>
      <c r="O56" s="64">
        <v>0</v>
      </c>
      <c r="P56" s="64">
        <v>0.65</v>
      </c>
      <c r="Q56" s="64">
        <v>9.41</v>
      </c>
      <c r="R56" s="198"/>
      <c r="S56" s="198"/>
      <c r="T56" s="198"/>
      <c r="U56" s="198"/>
    </row>
    <row r="57" spans="1:21" s="12" customFormat="1" x14ac:dyDescent="0.25">
      <c r="A57" s="213" t="s">
        <v>2308</v>
      </c>
      <c r="B57" s="64">
        <v>14.87</v>
      </c>
      <c r="C57" s="64">
        <v>71.400000000000006</v>
      </c>
      <c r="D57" s="64">
        <v>84.17</v>
      </c>
      <c r="E57" s="64">
        <v>5.76</v>
      </c>
      <c r="F57" s="64">
        <v>2.13</v>
      </c>
      <c r="G57" s="64">
        <v>54.56</v>
      </c>
      <c r="H57" s="64">
        <v>19.52</v>
      </c>
      <c r="I57" s="214" t="s">
        <v>43</v>
      </c>
      <c r="J57" s="64">
        <v>1.19</v>
      </c>
      <c r="K57" s="64">
        <v>327.73</v>
      </c>
      <c r="L57" s="64">
        <v>32.4</v>
      </c>
      <c r="M57" s="64">
        <v>18.37</v>
      </c>
      <c r="N57" s="64">
        <v>814</v>
      </c>
      <c r="O57" s="64">
        <v>0</v>
      </c>
      <c r="P57" s="64">
        <v>0.62</v>
      </c>
      <c r="Q57" s="64">
        <v>9.4</v>
      </c>
      <c r="R57" s="198"/>
      <c r="S57" s="198"/>
      <c r="T57" s="198"/>
      <c r="U57" s="198"/>
    </row>
    <row r="58" spans="1:21" s="12" customFormat="1" x14ac:dyDescent="0.25">
      <c r="A58" s="213" t="s">
        <v>2309</v>
      </c>
      <c r="B58" s="64">
        <v>13.84</v>
      </c>
      <c r="C58" s="64">
        <v>72.41</v>
      </c>
      <c r="D58" s="64">
        <v>84.15</v>
      </c>
      <c r="E58" s="64">
        <v>5.85</v>
      </c>
      <c r="F58" s="64">
        <v>2.13</v>
      </c>
      <c r="G58" s="64">
        <v>54.51</v>
      </c>
      <c r="H58" s="64">
        <v>19.52</v>
      </c>
      <c r="I58" s="214" t="s">
        <v>43</v>
      </c>
      <c r="J58" s="64">
        <v>1.21</v>
      </c>
      <c r="K58" s="64">
        <v>336.33</v>
      </c>
      <c r="L58" s="64">
        <v>33.04</v>
      </c>
      <c r="M58" s="64">
        <v>16.760000000000002</v>
      </c>
      <c r="N58" s="64">
        <v>808.5</v>
      </c>
      <c r="O58" s="64">
        <v>0</v>
      </c>
      <c r="P58" s="64">
        <v>0.62</v>
      </c>
      <c r="Q58" s="64">
        <v>9.3699999999999992</v>
      </c>
      <c r="R58" s="198"/>
      <c r="S58" s="198"/>
      <c r="T58" s="198"/>
      <c r="U58" s="198"/>
    </row>
    <row r="59" spans="1:21" s="12" customFormat="1" x14ac:dyDescent="0.25">
      <c r="A59" s="213" t="s">
        <v>2310</v>
      </c>
      <c r="B59" s="64">
        <v>12.73</v>
      </c>
      <c r="C59" s="64">
        <v>71.63</v>
      </c>
      <c r="D59" s="64">
        <v>82.27</v>
      </c>
      <c r="E59" s="64">
        <v>5.28</v>
      </c>
      <c r="F59" s="64">
        <v>2.13</v>
      </c>
      <c r="G59" s="64">
        <v>54.51</v>
      </c>
      <c r="H59" s="64">
        <v>19.52</v>
      </c>
      <c r="I59" s="214" t="s">
        <v>43</v>
      </c>
      <c r="J59" s="64">
        <v>1.62</v>
      </c>
      <c r="K59" s="64">
        <v>316.5</v>
      </c>
      <c r="L59" s="64">
        <v>32.86</v>
      </c>
      <c r="M59" s="64">
        <v>17.16</v>
      </c>
      <c r="N59" s="64">
        <v>813.6</v>
      </c>
      <c r="O59" s="64">
        <v>0</v>
      </c>
      <c r="P59" s="64">
        <v>0.62</v>
      </c>
      <c r="Q59" s="64">
        <v>9.3699999999999992</v>
      </c>
      <c r="R59" s="198"/>
      <c r="S59" s="198"/>
      <c r="T59" s="198"/>
      <c r="U59" s="198"/>
    </row>
    <row r="60" spans="1:21" s="12" customFormat="1" x14ac:dyDescent="0.25">
      <c r="A60" s="213" t="s">
        <v>2311</v>
      </c>
      <c r="B60" s="64">
        <v>11.11</v>
      </c>
      <c r="C60" s="64">
        <v>70.73</v>
      </c>
      <c r="D60" s="64">
        <v>79.739999999999995</v>
      </c>
      <c r="E60" s="64">
        <v>5.25</v>
      </c>
      <c r="F60" s="64">
        <v>2.13</v>
      </c>
      <c r="G60" s="64">
        <v>54.51</v>
      </c>
      <c r="H60" s="64">
        <v>19.52</v>
      </c>
      <c r="I60" s="214" t="s">
        <v>43</v>
      </c>
      <c r="J60" s="64">
        <v>1.59</v>
      </c>
      <c r="K60" s="64">
        <v>322.2</v>
      </c>
      <c r="L60" s="64">
        <v>33.130000000000003</v>
      </c>
      <c r="M60" s="64">
        <v>17.07</v>
      </c>
      <c r="N60" s="64">
        <v>793.1</v>
      </c>
      <c r="O60" s="64">
        <v>0</v>
      </c>
      <c r="P60" s="64">
        <v>0.6</v>
      </c>
      <c r="Q60" s="64">
        <v>9.39</v>
      </c>
      <c r="R60" s="198"/>
      <c r="S60" s="198"/>
      <c r="T60" s="198"/>
      <c r="U60" s="198"/>
    </row>
    <row r="61" spans="1:21" s="12" customFormat="1" x14ac:dyDescent="0.25">
      <c r="A61" s="213" t="s">
        <v>2312</v>
      </c>
      <c r="B61" s="64">
        <v>9.8699999999999992</v>
      </c>
      <c r="C61" s="64">
        <v>70.12</v>
      </c>
      <c r="D61" s="64">
        <v>77.89</v>
      </c>
      <c r="E61" s="64">
        <v>5.17</v>
      </c>
      <c r="F61" s="64">
        <v>2.13</v>
      </c>
      <c r="G61" s="64">
        <v>47.73</v>
      </c>
      <c r="H61" s="64">
        <v>19.260000000000002</v>
      </c>
      <c r="I61" s="214" t="s">
        <v>43</v>
      </c>
      <c r="J61" s="64">
        <v>1.72</v>
      </c>
      <c r="K61" s="64">
        <v>341.2</v>
      </c>
      <c r="L61" s="64">
        <v>32.61</v>
      </c>
      <c r="M61" s="64">
        <v>17.510000000000002</v>
      </c>
      <c r="N61" s="64">
        <v>630.4</v>
      </c>
      <c r="O61" s="64">
        <v>0</v>
      </c>
      <c r="P61" s="64">
        <v>0.53</v>
      </c>
      <c r="Q61" s="64">
        <v>9.3800000000000008</v>
      </c>
      <c r="R61" s="198"/>
      <c r="S61" s="198"/>
      <c r="T61" s="198"/>
      <c r="U61" s="198"/>
    </row>
    <row r="62" spans="1:21" s="12" customFormat="1" x14ac:dyDescent="0.25">
      <c r="A62" s="213" t="s">
        <v>2313</v>
      </c>
      <c r="B62" s="64">
        <v>9.07</v>
      </c>
      <c r="C62" s="64">
        <v>69.680000000000007</v>
      </c>
      <c r="D62" s="64">
        <v>76.650000000000006</v>
      </c>
      <c r="E62" s="64">
        <v>5.0999999999999996</v>
      </c>
      <c r="F62" s="64">
        <v>2.13</v>
      </c>
      <c r="G62" s="64">
        <v>47.65</v>
      </c>
      <c r="H62" s="64">
        <v>19.25</v>
      </c>
      <c r="I62" s="214" t="s">
        <v>43</v>
      </c>
      <c r="J62" s="64">
        <v>1.56</v>
      </c>
      <c r="K62" s="64">
        <v>342.44</v>
      </c>
      <c r="L62" s="64">
        <v>32.479999999999997</v>
      </c>
      <c r="M62" s="64">
        <v>17.07</v>
      </c>
      <c r="N62" s="64">
        <v>687.4</v>
      </c>
      <c r="O62" s="64">
        <v>0</v>
      </c>
      <c r="P62" s="64">
        <v>0.54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3" t="s">
        <v>2314</v>
      </c>
      <c r="B63" s="64">
        <v>9.18</v>
      </c>
      <c r="C63" s="64">
        <v>69.66</v>
      </c>
      <c r="D63" s="64">
        <v>76.739999999999995</v>
      </c>
      <c r="E63" s="64">
        <v>4.88</v>
      </c>
      <c r="F63" s="64">
        <v>2.13</v>
      </c>
      <c r="G63" s="64">
        <v>47.65</v>
      </c>
      <c r="H63" s="64">
        <v>19.25</v>
      </c>
      <c r="I63" s="214" t="s">
        <v>43</v>
      </c>
      <c r="J63" s="64">
        <v>1.55</v>
      </c>
      <c r="K63" s="64">
        <v>312.39999999999998</v>
      </c>
      <c r="L63" s="64">
        <v>32.31</v>
      </c>
      <c r="M63" s="64">
        <v>15.93</v>
      </c>
      <c r="N63" s="64">
        <v>762.4</v>
      </c>
      <c r="O63" s="64">
        <v>0</v>
      </c>
      <c r="P63" s="64">
        <v>0.55000000000000004</v>
      </c>
      <c r="Q63" s="64">
        <v>9.3699999999999992</v>
      </c>
      <c r="R63" s="198"/>
      <c r="S63" s="198"/>
      <c r="T63" s="198"/>
      <c r="U63" s="198"/>
    </row>
    <row r="64" spans="1:21" s="12" customFormat="1" x14ac:dyDescent="0.25">
      <c r="A64" s="213" t="s">
        <v>2315</v>
      </c>
      <c r="B64" s="64">
        <v>8.4499999999999993</v>
      </c>
      <c r="C64" s="64">
        <v>68.63</v>
      </c>
      <c r="D64" s="64">
        <v>74.98</v>
      </c>
      <c r="E64" s="64">
        <v>4.3</v>
      </c>
      <c r="F64" s="64">
        <v>2.13</v>
      </c>
      <c r="G64" s="64">
        <v>47.65</v>
      </c>
      <c r="H64" s="64">
        <v>19.25</v>
      </c>
      <c r="I64" s="214" t="s">
        <v>43</v>
      </c>
      <c r="J64" s="64">
        <v>1.21</v>
      </c>
      <c r="K64" s="64">
        <v>295.81</v>
      </c>
      <c r="L64" s="64">
        <v>31.81</v>
      </c>
      <c r="M64" s="64">
        <v>16.04</v>
      </c>
      <c r="N64" s="64">
        <v>783.1</v>
      </c>
      <c r="O64" s="64">
        <v>0</v>
      </c>
      <c r="P64" s="64">
        <v>0.51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13" t="s">
        <v>2316</v>
      </c>
      <c r="B65" s="64">
        <v>7.31</v>
      </c>
      <c r="C65" s="64">
        <v>67.45</v>
      </c>
      <c r="D65" s="64">
        <v>72.66</v>
      </c>
      <c r="E65" s="64">
        <v>4.49</v>
      </c>
      <c r="F65" s="64">
        <v>2.13</v>
      </c>
      <c r="G65" s="64">
        <v>39.51</v>
      </c>
      <c r="H65" s="64">
        <v>16.079999999999998</v>
      </c>
      <c r="I65" s="214" t="s">
        <v>43</v>
      </c>
      <c r="J65" s="64">
        <v>1.06</v>
      </c>
      <c r="K65" s="64">
        <v>305.39999999999998</v>
      </c>
      <c r="L65" s="64">
        <v>31.28</v>
      </c>
      <c r="M65" s="64">
        <v>16.89</v>
      </c>
      <c r="N65" s="64">
        <v>591.1</v>
      </c>
      <c r="O65" s="64">
        <v>0</v>
      </c>
      <c r="P65" s="64">
        <v>0.49</v>
      </c>
      <c r="Q65" s="64">
        <v>9.3800000000000008</v>
      </c>
      <c r="R65" s="198"/>
      <c r="S65" s="198"/>
      <c r="T65" s="198"/>
      <c r="U65" s="198"/>
    </row>
    <row r="66" spans="1:21" s="12" customFormat="1" x14ac:dyDescent="0.25">
      <c r="A66" s="213" t="s">
        <v>2317</v>
      </c>
      <c r="B66" s="64">
        <v>6.73</v>
      </c>
      <c r="C66" s="64">
        <v>66.52</v>
      </c>
      <c r="D66" s="64">
        <v>71.150000000000006</v>
      </c>
      <c r="E66" s="64">
        <v>4.42</v>
      </c>
      <c r="F66" s="64">
        <v>2.13</v>
      </c>
      <c r="G66" s="64">
        <v>39.42</v>
      </c>
      <c r="H66" s="64">
        <v>16.079999999999998</v>
      </c>
      <c r="I66" s="214" t="s">
        <v>43</v>
      </c>
      <c r="J66" s="64">
        <v>1.62</v>
      </c>
      <c r="K66" s="64">
        <v>319.24</v>
      </c>
      <c r="L66" s="64">
        <v>31.96</v>
      </c>
      <c r="M66" s="64">
        <v>16.61</v>
      </c>
      <c r="N66" s="64">
        <v>563</v>
      </c>
      <c r="O66" s="64">
        <v>0</v>
      </c>
      <c r="P66" s="64">
        <v>0.47</v>
      </c>
      <c r="Q66" s="64">
        <v>9.33</v>
      </c>
      <c r="R66" s="198"/>
      <c r="S66" s="198"/>
      <c r="T66" s="198"/>
      <c r="U66" s="198"/>
    </row>
    <row r="67" spans="1:21" s="12" customFormat="1" x14ac:dyDescent="0.25">
      <c r="A67" s="213" t="s">
        <v>2318</v>
      </c>
      <c r="B67" s="64">
        <v>6.28</v>
      </c>
      <c r="C67" s="64">
        <v>65.069999999999993</v>
      </c>
      <c r="D67" s="64">
        <v>69.239999999999995</v>
      </c>
      <c r="E67" s="64">
        <v>4.59</v>
      </c>
      <c r="F67" s="64">
        <v>2.2799999999999998</v>
      </c>
      <c r="G67" s="64">
        <v>39.42</v>
      </c>
      <c r="H67" s="64">
        <v>16.079999999999998</v>
      </c>
      <c r="I67" s="214" t="s">
        <v>43</v>
      </c>
      <c r="J67" s="64">
        <v>0.76</v>
      </c>
      <c r="K67" s="64">
        <v>308.8</v>
      </c>
      <c r="L67" s="64">
        <v>31.5</v>
      </c>
      <c r="M67" s="64">
        <v>16.73</v>
      </c>
      <c r="N67" s="64">
        <v>617.29999999999995</v>
      </c>
      <c r="O67" s="64">
        <v>0</v>
      </c>
      <c r="P67" s="64">
        <v>0.45</v>
      </c>
      <c r="Q67" s="64">
        <v>9.31</v>
      </c>
      <c r="R67" s="198"/>
      <c r="S67" s="198"/>
      <c r="T67" s="198"/>
      <c r="U67" s="198"/>
    </row>
    <row r="68" spans="1:21" s="12" customFormat="1" x14ac:dyDescent="0.25">
      <c r="A68" s="213" t="s">
        <v>2319</v>
      </c>
      <c r="B68" s="64">
        <v>6.01</v>
      </c>
      <c r="C68" s="64">
        <v>62.48</v>
      </c>
      <c r="D68" s="64">
        <v>66.39</v>
      </c>
      <c r="E68" s="64">
        <v>4.26</v>
      </c>
      <c r="F68" s="64">
        <v>2.16</v>
      </c>
      <c r="G68" s="64">
        <v>39.42</v>
      </c>
      <c r="H68" s="64">
        <v>16.079999999999998</v>
      </c>
      <c r="I68" s="214" t="s">
        <v>43</v>
      </c>
      <c r="J68" s="64">
        <v>1.8</v>
      </c>
      <c r="K68" s="64">
        <v>339.25</v>
      </c>
      <c r="L68" s="64">
        <v>31.24</v>
      </c>
      <c r="M68" s="64">
        <v>18.489999999999998</v>
      </c>
      <c r="N68" s="64">
        <v>421.6</v>
      </c>
      <c r="O68" s="64">
        <v>0</v>
      </c>
      <c r="P68" s="64">
        <v>0.43</v>
      </c>
      <c r="Q68" s="64">
        <v>9.3000000000000007</v>
      </c>
      <c r="R68" s="198"/>
      <c r="S68" s="198"/>
      <c r="T68" s="198"/>
      <c r="U68" s="198"/>
    </row>
    <row r="69" spans="1:21" s="12" customFormat="1" x14ac:dyDescent="0.25">
      <c r="A69" s="213" t="s">
        <v>2320</v>
      </c>
      <c r="B69" s="64">
        <v>6.29</v>
      </c>
      <c r="C69" s="64">
        <v>61.81</v>
      </c>
      <c r="D69" s="64">
        <v>66</v>
      </c>
      <c r="E69" s="64">
        <v>4.3499999999999996</v>
      </c>
      <c r="F69" s="64">
        <v>2.2200000000000002</v>
      </c>
      <c r="G69" s="64">
        <v>35.880000000000003</v>
      </c>
      <c r="H69" s="64">
        <v>14.19</v>
      </c>
      <c r="I69" s="214" t="s">
        <v>43</v>
      </c>
      <c r="J69" s="64">
        <v>1.8</v>
      </c>
      <c r="K69" s="64">
        <v>344.06</v>
      </c>
      <c r="L69" s="64">
        <v>30.81</v>
      </c>
      <c r="M69" s="64">
        <v>19.13</v>
      </c>
      <c r="N69" s="64">
        <v>429.8</v>
      </c>
      <c r="O69" s="64">
        <v>0</v>
      </c>
      <c r="P69" s="64">
        <v>0.44</v>
      </c>
      <c r="Q69" s="64">
        <v>9.32</v>
      </c>
      <c r="R69" s="198"/>
      <c r="S69" s="198"/>
      <c r="T69" s="198"/>
      <c r="U69" s="198"/>
    </row>
    <row r="70" spans="1:21" s="12" customFormat="1" x14ac:dyDescent="0.25">
      <c r="A70" s="213" t="s">
        <v>2321</v>
      </c>
      <c r="B70" s="64">
        <v>6.71</v>
      </c>
      <c r="C70" s="64">
        <v>62.05</v>
      </c>
      <c r="D70" s="64">
        <v>66.66</v>
      </c>
      <c r="E70" s="64">
        <v>4.57</v>
      </c>
      <c r="F70" s="64">
        <v>2.21</v>
      </c>
      <c r="G70" s="64">
        <v>35.840000000000003</v>
      </c>
      <c r="H70" s="64">
        <v>14.17</v>
      </c>
      <c r="I70" s="214" t="s">
        <v>43</v>
      </c>
      <c r="J70" s="64">
        <v>0.73</v>
      </c>
      <c r="K70" s="64">
        <v>295.20999999999998</v>
      </c>
      <c r="L70" s="64">
        <v>30.51</v>
      </c>
      <c r="M70" s="64">
        <v>18.88</v>
      </c>
      <c r="N70" s="64">
        <v>242.2</v>
      </c>
      <c r="O70" s="64">
        <v>0</v>
      </c>
      <c r="P70" s="64">
        <v>0.45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3" t="s">
        <v>2322</v>
      </c>
      <c r="B71" s="64">
        <v>7.09</v>
      </c>
      <c r="C71" s="64">
        <v>62.12</v>
      </c>
      <c r="D71" s="64">
        <v>67.11</v>
      </c>
      <c r="E71" s="64">
        <v>4.72</v>
      </c>
      <c r="F71" s="64">
        <v>2.13</v>
      </c>
      <c r="G71" s="64">
        <v>35.840000000000003</v>
      </c>
      <c r="H71" s="64">
        <v>14.17</v>
      </c>
      <c r="I71" s="214" t="s">
        <v>43</v>
      </c>
      <c r="J71" s="64">
        <v>1.62</v>
      </c>
      <c r="K71" s="64">
        <v>345.94</v>
      </c>
      <c r="L71" s="64">
        <v>29.95</v>
      </c>
      <c r="M71" s="64">
        <v>20.73</v>
      </c>
      <c r="N71" s="64">
        <v>311.7</v>
      </c>
      <c r="O71" s="64">
        <v>0</v>
      </c>
      <c r="P71" s="64">
        <v>0.43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3" t="s">
        <v>2323</v>
      </c>
      <c r="B72" s="64">
        <v>7.42</v>
      </c>
      <c r="C72" s="64">
        <v>62.06</v>
      </c>
      <c r="D72" s="64">
        <v>67.38</v>
      </c>
      <c r="E72" s="64">
        <v>5.47</v>
      </c>
      <c r="F72" s="64">
        <v>2.13</v>
      </c>
      <c r="G72" s="64">
        <v>35.840000000000003</v>
      </c>
      <c r="H72" s="64">
        <v>14.17</v>
      </c>
      <c r="I72" s="214" t="s">
        <v>43</v>
      </c>
      <c r="J72" s="64">
        <v>1.62</v>
      </c>
      <c r="K72" s="64">
        <v>330.56</v>
      </c>
      <c r="L72" s="64">
        <v>29.16</v>
      </c>
      <c r="M72" s="64">
        <v>22.2</v>
      </c>
      <c r="N72" s="64">
        <v>223.6</v>
      </c>
      <c r="O72" s="64">
        <v>0</v>
      </c>
      <c r="P72" s="64">
        <v>0.44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3" t="s">
        <v>2324</v>
      </c>
      <c r="B73" s="64">
        <v>7.52</v>
      </c>
      <c r="C73" s="64">
        <v>61.65</v>
      </c>
      <c r="D73" s="64">
        <v>67.069999999999993</v>
      </c>
      <c r="E73" s="64">
        <v>4.74</v>
      </c>
      <c r="F73" s="64">
        <v>2.13</v>
      </c>
      <c r="G73" s="64">
        <v>24.79</v>
      </c>
      <c r="H73" s="64">
        <v>13.44</v>
      </c>
      <c r="I73" s="214" t="s">
        <v>43</v>
      </c>
      <c r="J73" s="64">
        <v>1.76</v>
      </c>
      <c r="K73" s="64">
        <v>335.48</v>
      </c>
      <c r="L73" s="64">
        <v>28.17</v>
      </c>
      <c r="M73" s="64">
        <v>23.33</v>
      </c>
      <c r="N73" s="64">
        <v>150.1</v>
      </c>
      <c r="O73" s="64">
        <v>0</v>
      </c>
      <c r="P73" s="64">
        <v>0.42</v>
      </c>
      <c r="Q73" s="64">
        <v>9.36</v>
      </c>
      <c r="R73" s="198"/>
      <c r="S73" s="198"/>
      <c r="T73" s="198"/>
      <c r="U73" s="198"/>
    </row>
    <row r="74" spans="1:21" s="12" customFormat="1" x14ac:dyDescent="0.25">
      <c r="A74" s="213" t="s">
        <v>2325</v>
      </c>
      <c r="B74" s="64">
        <v>7.62</v>
      </c>
      <c r="C74" s="64">
        <v>61.4</v>
      </c>
      <c r="D74" s="64">
        <v>66.930000000000007</v>
      </c>
      <c r="E74" s="64">
        <v>4.66</v>
      </c>
      <c r="F74" s="64">
        <v>2.13</v>
      </c>
      <c r="G74" s="64">
        <v>24.79</v>
      </c>
      <c r="H74" s="64">
        <v>13.43</v>
      </c>
      <c r="I74" s="214" t="s">
        <v>43</v>
      </c>
      <c r="J74" s="64">
        <v>1.39</v>
      </c>
      <c r="K74" s="64">
        <v>315.38</v>
      </c>
      <c r="L74" s="64">
        <v>27.88</v>
      </c>
      <c r="M74" s="64">
        <v>23.74</v>
      </c>
      <c r="N74" s="64">
        <v>132.30000000000001</v>
      </c>
      <c r="O74" s="64">
        <v>0</v>
      </c>
      <c r="P74" s="64">
        <v>0.44</v>
      </c>
      <c r="Q74" s="64">
        <v>9.35</v>
      </c>
      <c r="R74" s="198"/>
      <c r="S74" s="198"/>
      <c r="T74" s="198"/>
      <c r="U74" s="198"/>
    </row>
    <row r="75" spans="1:21" s="12" customFormat="1" x14ac:dyDescent="0.25">
      <c r="A75" s="213" t="s">
        <v>2326</v>
      </c>
      <c r="B75" s="64">
        <v>7.86</v>
      </c>
      <c r="C75" s="64">
        <v>60.02</v>
      </c>
      <c r="D75" s="64">
        <v>65.77</v>
      </c>
      <c r="E75" s="64">
        <v>4.8</v>
      </c>
      <c r="F75" s="64">
        <v>2.13</v>
      </c>
      <c r="G75" s="64">
        <v>24.79</v>
      </c>
      <c r="H75" s="64">
        <v>13.43</v>
      </c>
      <c r="I75" s="214" t="s">
        <v>43</v>
      </c>
      <c r="J75" s="64">
        <v>1.67</v>
      </c>
      <c r="K75" s="64">
        <v>349.32</v>
      </c>
      <c r="L75" s="64">
        <v>27.44</v>
      </c>
      <c r="M75" s="64">
        <v>24.02</v>
      </c>
      <c r="N75" s="64">
        <v>121.8</v>
      </c>
      <c r="O75" s="64">
        <v>0</v>
      </c>
      <c r="P75" s="64">
        <v>0.44</v>
      </c>
      <c r="Q75" s="64">
        <v>9.34</v>
      </c>
      <c r="R75" s="198"/>
      <c r="S75" s="198"/>
      <c r="T75" s="198"/>
      <c r="U75" s="198"/>
    </row>
    <row r="76" spans="1:21" s="12" customFormat="1" x14ac:dyDescent="0.25">
      <c r="A76" s="213" t="s">
        <v>2327</v>
      </c>
      <c r="B76" s="64">
        <v>8.15</v>
      </c>
      <c r="C76" s="64">
        <v>60.55</v>
      </c>
      <c r="D76" s="64">
        <v>66.599999999999994</v>
      </c>
      <c r="E76" s="64">
        <v>4.93</v>
      </c>
      <c r="F76" s="64">
        <v>2.13</v>
      </c>
      <c r="G76" s="64">
        <v>24.79</v>
      </c>
      <c r="H76" s="64">
        <v>13.43</v>
      </c>
      <c r="I76" s="214" t="s">
        <v>43</v>
      </c>
      <c r="J76" s="64">
        <v>1.7</v>
      </c>
      <c r="K76" s="64">
        <v>341.98</v>
      </c>
      <c r="L76" s="64">
        <v>27.01</v>
      </c>
      <c r="M76" s="64">
        <v>25.01</v>
      </c>
      <c r="N76" s="64">
        <v>113.1</v>
      </c>
      <c r="O76" s="64">
        <v>0</v>
      </c>
      <c r="P76" s="64">
        <v>0.46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3" t="s">
        <v>2328</v>
      </c>
      <c r="B77" s="64">
        <v>8.3699999999999992</v>
      </c>
      <c r="C77" s="64">
        <v>61.71</v>
      </c>
      <c r="D77" s="64">
        <v>67.98</v>
      </c>
      <c r="E77" s="64">
        <v>4.71</v>
      </c>
      <c r="F77" s="64">
        <v>2.13</v>
      </c>
      <c r="G77" s="64">
        <v>35.049999999999997</v>
      </c>
      <c r="H77" s="64">
        <v>13.1</v>
      </c>
      <c r="I77" s="214" t="s">
        <v>43</v>
      </c>
      <c r="J77" s="64">
        <v>1.8</v>
      </c>
      <c r="K77" s="64">
        <v>347.95</v>
      </c>
      <c r="L77" s="64">
        <v>26.57</v>
      </c>
      <c r="M77" s="64">
        <v>25.43</v>
      </c>
      <c r="N77" s="64">
        <v>105.5</v>
      </c>
      <c r="O77" s="64">
        <v>0</v>
      </c>
      <c r="P77" s="64">
        <v>0.46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3" t="s">
        <v>2329</v>
      </c>
      <c r="B78" s="64">
        <v>8.4700000000000006</v>
      </c>
      <c r="C78" s="64">
        <v>62.34</v>
      </c>
      <c r="D78" s="64">
        <v>68.709999999999994</v>
      </c>
      <c r="E78" s="64">
        <v>4.68</v>
      </c>
      <c r="F78" s="64">
        <v>2.13</v>
      </c>
      <c r="G78" s="64">
        <v>35.17</v>
      </c>
      <c r="H78" s="64">
        <v>13.1</v>
      </c>
      <c r="I78" s="214" t="s">
        <v>43</v>
      </c>
      <c r="J78" s="64">
        <v>1.53</v>
      </c>
      <c r="K78" s="64">
        <v>346.05</v>
      </c>
      <c r="L78" s="64">
        <v>26.23</v>
      </c>
      <c r="M78" s="64">
        <v>26.47</v>
      </c>
      <c r="N78" s="64">
        <v>94.5</v>
      </c>
      <c r="O78" s="64">
        <v>0</v>
      </c>
      <c r="P78" s="64">
        <v>0.49</v>
      </c>
      <c r="Q78" s="64">
        <v>9.32</v>
      </c>
      <c r="R78" s="198"/>
      <c r="S78" s="198"/>
      <c r="T78" s="198"/>
      <c r="U78" s="198"/>
    </row>
    <row r="79" spans="1:21" s="12" customFormat="1" x14ac:dyDescent="0.25">
      <c r="A79" s="213" t="s">
        <v>2330</v>
      </c>
      <c r="B79" s="64">
        <v>8.9</v>
      </c>
      <c r="C79" s="64">
        <v>63.3</v>
      </c>
      <c r="D79" s="64">
        <v>70.099999999999994</v>
      </c>
      <c r="E79" s="64">
        <v>4.97</v>
      </c>
      <c r="F79" s="64">
        <v>2.13</v>
      </c>
      <c r="G79" s="64">
        <v>35.17</v>
      </c>
      <c r="H79" s="64">
        <v>13.1</v>
      </c>
      <c r="I79" s="214" t="s">
        <v>43</v>
      </c>
      <c r="J79" s="64">
        <v>1.35</v>
      </c>
      <c r="K79" s="64">
        <v>351.79</v>
      </c>
      <c r="L79" s="64">
        <v>25.72</v>
      </c>
      <c r="M79" s="64">
        <v>27.33</v>
      </c>
      <c r="N79" s="64">
        <v>82.9</v>
      </c>
      <c r="O79" s="64">
        <v>0</v>
      </c>
      <c r="P79" s="64">
        <v>0.54</v>
      </c>
      <c r="Q79" s="64">
        <v>9.33</v>
      </c>
      <c r="R79" s="198"/>
      <c r="S79" s="198"/>
      <c r="T79" s="198"/>
      <c r="U79" s="198"/>
    </row>
    <row r="80" spans="1:21" s="12" customFormat="1" x14ac:dyDescent="0.25">
      <c r="A80" s="213" t="s">
        <v>2331</v>
      </c>
      <c r="B80" s="64">
        <v>9.75</v>
      </c>
      <c r="C80" s="64">
        <v>64.33</v>
      </c>
      <c r="D80" s="64">
        <v>71.98</v>
      </c>
      <c r="E80" s="64">
        <v>4.71</v>
      </c>
      <c r="F80" s="64">
        <v>2.13</v>
      </c>
      <c r="G80" s="64">
        <v>35.17</v>
      </c>
      <c r="H80" s="64">
        <v>13.1</v>
      </c>
      <c r="I80" s="214" t="s">
        <v>43</v>
      </c>
      <c r="J80" s="64">
        <v>1.22</v>
      </c>
      <c r="K80" s="64">
        <v>355.14</v>
      </c>
      <c r="L80" s="64">
        <v>25.01</v>
      </c>
      <c r="M80" s="64">
        <v>28.85</v>
      </c>
      <c r="N80" s="64">
        <v>72.7</v>
      </c>
      <c r="O80" s="64">
        <v>0</v>
      </c>
      <c r="P80" s="64">
        <v>0.61</v>
      </c>
      <c r="Q80" s="64">
        <v>9.36</v>
      </c>
      <c r="R80" s="198"/>
      <c r="S80" s="198"/>
      <c r="T80" s="198"/>
      <c r="U80" s="198"/>
    </row>
    <row r="81" spans="1:26" s="12" customFormat="1" x14ac:dyDescent="0.25">
      <c r="A81" s="213" t="s">
        <v>2332</v>
      </c>
      <c r="B81" s="64">
        <v>10.83</v>
      </c>
      <c r="C81" s="64">
        <v>65.260000000000005</v>
      </c>
      <c r="D81" s="64">
        <v>73.989999999999995</v>
      </c>
      <c r="E81" s="64">
        <v>5.1100000000000003</v>
      </c>
      <c r="F81" s="64">
        <v>2.13</v>
      </c>
      <c r="G81" s="64">
        <v>44.43</v>
      </c>
      <c r="H81" s="64">
        <v>12.2</v>
      </c>
      <c r="I81" s="214" t="s">
        <v>43</v>
      </c>
      <c r="J81" s="64">
        <v>1.03</v>
      </c>
      <c r="K81" s="64">
        <v>358.92</v>
      </c>
      <c r="L81" s="64">
        <v>24.34</v>
      </c>
      <c r="M81" s="64">
        <v>30.66</v>
      </c>
      <c r="N81" s="64">
        <v>68.099999999999994</v>
      </c>
      <c r="O81" s="64">
        <v>0</v>
      </c>
      <c r="P81" s="64">
        <v>0.7</v>
      </c>
      <c r="Q81" s="64">
        <v>9.4</v>
      </c>
      <c r="R81" s="198"/>
      <c r="S81" s="198"/>
      <c r="T81" s="198"/>
      <c r="U81" s="198"/>
    </row>
    <row r="82" spans="1:26" s="12" customFormat="1" x14ac:dyDescent="0.25">
      <c r="A82" s="213" t="s">
        <v>2333</v>
      </c>
      <c r="B82" s="64">
        <v>12.44</v>
      </c>
      <c r="C82" s="64">
        <v>66.63</v>
      </c>
      <c r="D82" s="64">
        <v>76.97</v>
      </c>
      <c r="E82" s="64">
        <v>5.42</v>
      </c>
      <c r="F82" s="64">
        <v>2.13</v>
      </c>
      <c r="G82" s="64">
        <v>44.53</v>
      </c>
      <c r="H82" s="64">
        <v>12.19</v>
      </c>
      <c r="I82" s="214" t="s">
        <v>43</v>
      </c>
      <c r="J82" s="64">
        <v>1.03</v>
      </c>
      <c r="K82" s="64">
        <v>6.82</v>
      </c>
      <c r="L82" s="64">
        <v>23.74</v>
      </c>
      <c r="M82" s="64">
        <v>32.130000000000003</v>
      </c>
      <c r="N82" s="64">
        <v>66.8</v>
      </c>
      <c r="O82" s="64">
        <v>0</v>
      </c>
      <c r="P82" s="64">
        <v>0.73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3" t="s">
        <v>2334</v>
      </c>
      <c r="B83" s="64">
        <v>14.07</v>
      </c>
      <c r="C83" s="64">
        <v>68.16</v>
      </c>
      <c r="D83" s="64">
        <v>80.13</v>
      </c>
      <c r="E83" s="64">
        <v>5.16</v>
      </c>
      <c r="F83" s="64">
        <v>2.13</v>
      </c>
      <c r="G83" s="64">
        <v>44.53</v>
      </c>
      <c r="H83" s="64">
        <v>12.19</v>
      </c>
      <c r="I83" s="214" t="s">
        <v>43</v>
      </c>
      <c r="J83" s="64">
        <v>0.84</v>
      </c>
      <c r="K83" s="64">
        <v>4.83</v>
      </c>
      <c r="L83" s="64">
        <v>23.44</v>
      </c>
      <c r="M83" s="64">
        <v>32.74</v>
      </c>
      <c r="N83" s="64">
        <v>66.900000000000006</v>
      </c>
      <c r="O83" s="64">
        <v>0</v>
      </c>
      <c r="P83" s="64">
        <v>0.98</v>
      </c>
      <c r="Q83" s="64">
        <v>9.3699999999999992</v>
      </c>
      <c r="R83" s="198"/>
      <c r="S83" s="198"/>
      <c r="T83" s="198"/>
      <c r="U83" s="198"/>
    </row>
    <row r="84" spans="1:26" s="12" customFormat="1" x14ac:dyDescent="0.25">
      <c r="A84" s="213" t="s">
        <v>2335</v>
      </c>
      <c r="B84" s="64">
        <v>16.93</v>
      </c>
      <c r="C84" s="64">
        <v>70</v>
      </c>
      <c r="D84" s="64">
        <v>84.83</v>
      </c>
      <c r="E84" s="64">
        <v>5.72</v>
      </c>
      <c r="F84" s="64">
        <v>2.13</v>
      </c>
      <c r="G84" s="64">
        <v>44.53</v>
      </c>
      <c r="H84" s="64">
        <v>12.19</v>
      </c>
      <c r="I84" s="214" t="s">
        <v>43</v>
      </c>
      <c r="J84" s="64">
        <v>0.61</v>
      </c>
      <c r="K84" s="64">
        <v>21.81</v>
      </c>
      <c r="L84" s="64">
        <v>23.02</v>
      </c>
      <c r="M84" s="64">
        <v>32.92</v>
      </c>
      <c r="N84" s="64">
        <v>67.2</v>
      </c>
      <c r="O84" s="64">
        <v>0</v>
      </c>
      <c r="P84" s="64">
        <v>1.1399999999999999</v>
      </c>
      <c r="Q84" s="64">
        <v>9.3699999999999992</v>
      </c>
      <c r="R84" s="198"/>
      <c r="S84" s="198"/>
      <c r="T84" s="198"/>
      <c r="U84" s="198"/>
    </row>
    <row r="85" spans="1:26" s="12" customFormat="1" x14ac:dyDescent="0.25">
      <c r="A85" s="213" t="s">
        <v>2336</v>
      </c>
      <c r="B85" s="64">
        <v>19.579999999999998</v>
      </c>
      <c r="C85" s="64">
        <v>70.78</v>
      </c>
      <c r="D85" s="64">
        <v>88.26</v>
      </c>
      <c r="E85" s="64">
        <v>5.72</v>
      </c>
      <c r="F85" s="64">
        <v>2.13</v>
      </c>
      <c r="G85" s="64">
        <v>62.96</v>
      </c>
      <c r="H85" s="64">
        <v>15.49</v>
      </c>
      <c r="I85" s="214" t="s">
        <v>43</v>
      </c>
      <c r="J85" s="64">
        <v>0.33</v>
      </c>
      <c r="K85" s="64">
        <v>312.76</v>
      </c>
      <c r="L85" s="64">
        <v>22.58</v>
      </c>
      <c r="M85" s="64">
        <v>36.68</v>
      </c>
      <c r="N85" s="64">
        <v>67.2</v>
      </c>
      <c r="O85" s="64">
        <v>0</v>
      </c>
      <c r="P85" s="64">
        <v>1.35</v>
      </c>
      <c r="Q85" s="64">
        <v>9.3800000000000008</v>
      </c>
      <c r="R85" s="198"/>
      <c r="S85" s="198"/>
      <c r="T85" s="198"/>
      <c r="U85" s="198"/>
    </row>
    <row r="86" spans="1:26" s="12" customFormat="1" x14ac:dyDescent="0.25">
      <c r="A86" s="213" t="s">
        <v>2337</v>
      </c>
      <c r="B86" s="64">
        <v>23.13</v>
      </c>
      <c r="C86" s="64">
        <v>71.040000000000006</v>
      </c>
      <c r="D86" s="64">
        <v>92.07</v>
      </c>
      <c r="E86" s="64">
        <v>5.72</v>
      </c>
      <c r="F86" s="64">
        <v>2.13</v>
      </c>
      <c r="G86" s="64">
        <v>62.96</v>
      </c>
      <c r="H86" s="64">
        <v>15.49</v>
      </c>
      <c r="I86" s="214" t="s">
        <v>43</v>
      </c>
      <c r="J86" s="64">
        <v>0.46</v>
      </c>
      <c r="K86" s="64">
        <v>30.91</v>
      </c>
      <c r="L86" s="64">
        <v>22.11</v>
      </c>
      <c r="M86" s="64">
        <v>39.93</v>
      </c>
      <c r="N86" s="64">
        <v>67</v>
      </c>
      <c r="O86" s="64">
        <v>0</v>
      </c>
      <c r="P86" s="64">
        <v>1.91</v>
      </c>
      <c r="Q86" s="64">
        <v>9.39</v>
      </c>
      <c r="R86" s="198"/>
      <c r="S86" s="198"/>
      <c r="T86" s="198"/>
      <c r="U86" s="198"/>
    </row>
    <row r="87" spans="1:26" s="12" customFormat="1" x14ac:dyDescent="0.25">
      <c r="A87" s="213" t="s">
        <v>2338</v>
      </c>
      <c r="B87" s="64">
        <v>28.64</v>
      </c>
      <c r="C87" s="64">
        <v>72.819999999999993</v>
      </c>
      <c r="D87" s="64">
        <v>99.36</v>
      </c>
      <c r="E87" s="64">
        <v>6.15</v>
      </c>
      <c r="F87" s="64">
        <v>2.13</v>
      </c>
      <c r="G87" s="64">
        <v>62.96</v>
      </c>
      <c r="H87" s="64">
        <v>15.49</v>
      </c>
      <c r="I87" s="214" t="s">
        <v>43</v>
      </c>
      <c r="J87" s="64">
        <v>0.55000000000000004</v>
      </c>
      <c r="K87" s="64">
        <v>18.68</v>
      </c>
      <c r="L87" s="64">
        <v>21.86</v>
      </c>
      <c r="M87" s="64">
        <v>38.229999999999997</v>
      </c>
      <c r="N87" s="64">
        <v>66.900000000000006</v>
      </c>
      <c r="O87" s="64">
        <v>0</v>
      </c>
      <c r="P87" s="64">
        <v>1.89</v>
      </c>
      <c r="Q87" s="64">
        <v>9.4</v>
      </c>
      <c r="R87" s="198"/>
      <c r="S87" s="198"/>
      <c r="T87" s="198"/>
      <c r="U87" s="198"/>
    </row>
    <row r="88" spans="1:26" s="12" customFormat="1" x14ac:dyDescent="0.25">
      <c r="A88" s="213" t="s">
        <v>2339</v>
      </c>
      <c r="B88" s="64">
        <v>33.83</v>
      </c>
      <c r="C88" s="64">
        <v>74.16</v>
      </c>
      <c r="D88" s="64">
        <v>105.89</v>
      </c>
      <c r="E88" s="64">
        <v>6.34</v>
      </c>
      <c r="F88" s="64">
        <v>2.13</v>
      </c>
      <c r="G88" s="64">
        <v>62.96</v>
      </c>
      <c r="H88" s="64">
        <v>15.49</v>
      </c>
      <c r="I88" s="214" t="s">
        <v>43</v>
      </c>
      <c r="J88" s="64">
        <v>0.6</v>
      </c>
      <c r="K88" s="64">
        <v>321.08</v>
      </c>
      <c r="L88" s="64">
        <v>21.59</v>
      </c>
      <c r="M88" s="64">
        <v>40.909999999999997</v>
      </c>
      <c r="N88" s="64">
        <v>66.900000000000006</v>
      </c>
      <c r="O88" s="64">
        <v>0</v>
      </c>
      <c r="P88" s="64">
        <v>1.89</v>
      </c>
      <c r="Q88" s="64">
        <v>9.41</v>
      </c>
      <c r="R88" s="198"/>
      <c r="S88" s="198"/>
      <c r="T88" s="198"/>
      <c r="U88" s="198"/>
    </row>
    <row r="89" spans="1:26" s="12" customFormat="1" x14ac:dyDescent="0.25">
      <c r="A89" s="213" t="s">
        <v>2340</v>
      </c>
      <c r="B89" s="64">
        <v>37.299999999999997</v>
      </c>
      <c r="C89" s="64">
        <v>74.75</v>
      </c>
      <c r="D89" s="64">
        <v>109.95</v>
      </c>
      <c r="E89" s="64">
        <v>7.07</v>
      </c>
      <c r="F89" s="64">
        <v>2.13</v>
      </c>
      <c r="G89" s="64">
        <v>96.13</v>
      </c>
      <c r="H89" s="64">
        <v>25.6</v>
      </c>
      <c r="I89" s="214" t="s">
        <v>43</v>
      </c>
      <c r="J89" s="64">
        <v>0.81</v>
      </c>
      <c r="K89" s="64">
        <v>308.31</v>
      </c>
      <c r="L89" s="64">
        <v>21.13</v>
      </c>
      <c r="M89" s="64">
        <v>47.29</v>
      </c>
      <c r="N89" s="64">
        <v>66.599999999999994</v>
      </c>
      <c r="O89" s="64">
        <v>0</v>
      </c>
      <c r="P89" s="64">
        <v>2.04</v>
      </c>
      <c r="Q89" s="64">
        <v>9.44</v>
      </c>
      <c r="R89" s="198"/>
      <c r="S89" s="198"/>
      <c r="T89" s="198"/>
      <c r="U89" s="198"/>
    </row>
    <row r="90" spans="1:26" s="12" customFormat="1" x14ac:dyDescent="0.25">
      <c r="A90" s="213" t="s">
        <v>2341</v>
      </c>
      <c r="B90" s="64">
        <v>39.6</v>
      </c>
      <c r="C90" s="64">
        <v>74.680000000000007</v>
      </c>
      <c r="D90" s="64">
        <v>112.18</v>
      </c>
      <c r="E90" s="64">
        <v>7.61</v>
      </c>
      <c r="F90" s="64">
        <v>2.13</v>
      </c>
      <c r="G90" s="64">
        <v>96.5</v>
      </c>
      <c r="H90" s="64">
        <v>25.71</v>
      </c>
      <c r="I90" s="214" t="s">
        <v>43</v>
      </c>
      <c r="J90" s="64">
        <v>1.47</v>
      </c>
      <c r="K90" s="64">
        <v>325.86</v>
      </c>
      <c r="L90" s="64">
        <v>21.05</v>
      </c>
      <c r="M90" s="64">
        <v>41.9</v>
      </c>
      <c r="N90" s="64">
        <v>64.5</v>
      </c>
      <c r="O90" s="64">
        <v>0</v>
      </c>
      <c r="P90" s="64">
        <v>1.23</v>
      </c>
      <c r="Q90" s="64">
        <v>9.4499999999999993</v>
      </c>
      <c r="R90" s="198"/>
      <c r="S90" s="198"/>
      <c r="T90" s="198"/>
      <c r="U90" s="198"/>
    </row>
    <row r="91" spans="1:26" s="12" customFormat="1" x14ac:dyDescent="0.25">
      <c r="A91" s="213" t="s">
        <v>2342</v>
      </c>
      <c r="B91" s="64">
        <v>39.479999999999997</v>
      </c>
      <c r="C91" s="64">
        <v>74.27</v>
      </c>
      <c r="D91" s="64">
        <v>111.65</v>
      </c>
      <c r="E91" s="64">
        <v>7.6</v>
      </c>
      <c r="F91" s="64">
        <v>2.13</v>
      </c>
      <c r="G91" s="64">
        <v>96.5</v>
      </c>
      <c r="H91" s="64">
        <v>25.71</v>
      </c>
      <c r="I91" s="214" t="s">
        <v>43</v>
      </c>
      <c r="J91" s="64">
        <v>1.93</v>
      </c>
      <c r="K91" s="64">
        <v>328.08</v>
      </c>
      <c r="L91" s="64">
        <v>21.53</v>
      </c>
      <c r="M91" s="64">
        <v>38.39</v>
      </c>
      <c r="N91" s="64">
        <v>65</v>
      </c>
      <c r="O91" s="64">
        <v>0</v>
      </c>
      <c r="P91" s="64">
        <v>1.1599999999999999</v>
      </c>
      <c r="Q91" s="64">
        <v>9.4700000000000006</v>
      </c>
      <c r="R91" s="198"/>
      <c r="S91" s="198"/>
      <c r="T91" s="198"/>
      <c r="U91" s="198"/>
    </row>
    <row r="92" spans="1:26" s="12" customFormat="1" x14ac:dyDescent="0.25">
      <c r="A92" s="213" t="s">
        <v>2343</v>
      </c>
      <c r="B92" s="64">
        <v>37.950000000000003</v>
      </c>
      <c r="C92" s="64">
        <v>73.31</v>
      </c>
      <c r="D92" s="64">
        <v>109.16</v>
      </c>
      <c r="E92" s="64">
        <v>6.71</v>
      </c>
      <c r="F92" s="64">
        <v>2.13</v>
      </c>
      <c r="G92" s="64">
        <v>96.5</v>
      </c>
      <c r="H92" s="64">
        <v>25.71</v>
      </c>
      <c r="I92" s="214" t="s">
        <v>43</v>
      </c>
      <c r="J92" s="64">
        <v>1.83</v>
      </c>
      <c r="K92" s="64">
        <v>339.31</v>
      </c>
      <c r="L92" s="64">
        <v>21.82</v>
      </c>
      <c r="M92" s="64">
        <v>37.25</v>
      </c>
      <c r="N92" s="64">
        <v>66.3</v>
      </c>
      <c r="O92" s="64">
        <v>0</v>
      </c>
      <c r="P92" s="64">
        <v>1.0900000000000001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13" t="s">
        <v>2344</v>
      </c>
      <c r="B93" s="64">
        <v>36.26</v>
      </c>
      <c r="C93" s="64">
        <v>74.03</v>
      </c>
      <c r="D93" s="64">
        <v>108.19</v>
      </c>
      <c r="E93" s="64">
        <v>6.81</v>
      </c>
      <c r="F93" s="64">
        <v>2.13</v>
      </c>
      <c r="G93" s="64">
        <v>99.6</v>
      </c>
      <c r="H93" s="64">
        <v>27.75</v>
      </c>
      <c r="I93" s="214" t="s">
        <v>43</v>
      </c>
      <c r="J93" s="64">
        <v>2.0099999999999998</v>
      </c>
      <c r="K93" s="64">
        <v>341.7</v>
      </c>
      <c r="L93" s="64">
        <v>21.68</v>
      </c>
      <c r="M93" s="64">
        <v>37.369999999999997</v>
      </c>
      <c r="N93" s="64">
        <v>66.599999999999994</v>
      </c>
      <c r="O93" s="64">
        <v>0</v>
      </c>
      <c r="P93" s="64">
        <v>1.1100000000000001</v>
      </c>
      <c r="Q93" s="64">
        <v>9.4600000000000009</v>
      </c>
      <c r="R93" s="198"/>
      <c r="S93" s="198"/>
      <c r="T93" s="198"/>
      <c r="U93" s="198"/>
    </row>
    <row r="94" spans="1:26" s="12" customFormat="1" x14ac:dyDescent="0.25">
      <c r="A94" s="213" t="s">
        <v>2345</v>
      </c>
      <c r="B94" s="64">
        <v>34.04</v>
      </c>
      <c r="C94" s="64">
        <v>73.180000000000007</v>
      </c>
      <c r="D94" s="64">
        <v>105.12</v>
      </c>
      <c r="E94" s="64">
        <v>6.75</v>
      </c>
      <c r="F94" s="64">
        <v>2.13</v>
      </c>
      <c r="G94" s="64">
        <v>99.6</v>
      </c>
      <c r="H94" s="64">
        <v>27.75</v>
      </c>
      <c r="I94" s="214" t="s">
        <v>43</v>
      </c>
      <c r="J94" s="64">
        <v>1.95</v>
      </c>
      <c r="K94" s="64">
        <v>345.72</v>
      </c>
      <c r="L94" s="64">
        <v>21.41</v>
      </c>
      <c r="M94" s="64">
        <v>38.44</v>
      </c>
      <c r="N94" s="64">
        <v>66.8</v>
      </c>
      <c r="O94" s="64">
        <v>0</v>
      </c>
      <c r="P94" s="64">
        <v>1.07</v>
      </c>
      <c r="Q94" s="64">
        <v>9.4600000000000009</v>
      </c>
      <c r="R94" s="198"/>
      <c r="S94" s="198"/>
      <c r="T94" s="198"/>
      <c r="U94" s="198"/>
    </row>
    <row r="95" spans="1:26" s="12" customFormat="1" x14ac:dyDescent="0.25">
      <c r="A95" s="213" t="s">
        <v>2346</v>
      </c>
      <c r="B95" s="64">
        <v>32.049999999999997</v>
      </c>
      <c r="C95" s="64">
        <v>72.28</v>
      </c>
      <c r="D95" s="64">
        <v>102.22</v>
      </c>
      <c r="E95" s="64">
        <v>6.5</v>
      </c>
      <c r="F95" s="64">
        <v>2.13</v>
      </c>
      <c r="G95" s="64">
        <v>99.6</v>
      </c>
      <c r="H95" s="64">
        <v>27.75</v>
      </c>
      <c r="I95" s="214" t="s">
        <v>43</v>
      </c>
      <c r="J95" s="64">
        <v>1.94</v>
      </c>
      <c r="K95" s="64">
        <v>353.2</v>
      </c>
      <c r="L95" s="64">
        <v>21.31</v>
      </c>
      <c r="M95" s="64">
        <v>38.79</v>
      </c>
      <c r="N95" s="64">
        <v>66.7</v>
      </c>
      <c r="O95" s="64">
        <v>0</v>
      </c>
      <c r="P95" s="64">
        <v>1.03</v>
      </c>
      <c r="Q95" s="64">
        <v>9.4600000000000009</v>
      </c>
      <c r="R95" s="198"/>
      <c r="S95" s="198"/>
      <c r="T95" s="198"/>
      <c r="U95" s="198"/>
    </row>
    <row r="96" spans="1:26" s="12" customFormat="1" x14ac:dyDescent="0.25">
      <c r="A96" s="213" t="s">
        <v>2347</v>
      </c>
      <c r="B96" s="64">
        <v>30.58</v>
      </c>
      <c r="C96" s="64">
        <v>71.709999999999994</v>
      </c>
      <c r="D96" s="64">
        <v>100.19</v>
      </c>
      <c r="E96" s="64">
        <v>6.82</v>
      </c>
      <c r="F96" s="64">
        <v>2.13</v>
      </c>
      <c r="G96" s="64">
        <v>99.6</v>
      </c>
      <c r="H96" s="64">
        <v>27.75</v>
      </c>
      <c r="I96" s="214" t="s">
        <v>43</v>
      </c>
      <c r="J96" s="64">
        <v>2.17</v>
      </c>
      <c r="K96" s="64">
        <v>343.17</v>
      </c>
      <c r="L96" s="64">
        <v>21.16</v>
      </c>
      <c r="M96" s="64">
        <v>38.49</v>
      </c>
      <c r="N96" s="64">
        <v>66.3</v>
      </c>
      <c r="O96" s="64">
        <v>0</v>
      </c>
      <c r="P96" s="64">
        <v>1.01</v>
      </c>
      <c r="Q96" s="64">
        <v>9.48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2348</v>
      </c>
      <c r="B97" s="64">
        <v>28.5</v>
      </c>
      <c r="C97" s="64">
        <v>71.34</v>
      </c>
      <c r="D97" s="64">
        <v>97.74</v>
      </c>
      <c r="E97" s="64">
        <v>6.54</v>
      </c>
      <c r="F97" s="64">
        <v>2.13</v>
      </c>
      <c r="G97" s="64">
        <v>87.28</v>
      </c>
      <c r="H97" s="64">
        <v>25.14</v>
      </c>
      <c r="I97" s="214" t="s">
        <v>43</v>
      </c>
      <c r="J97" s="64">
        <v>1.83</v>
      </c>
      <c r="K97" s="64">
        <v>340.39</v>
      </c>
      <c r="L97" s="64">
        <v>20.68</v>
      </c>
      <c r="M97" s="64">
        <v>39.71</v>
      </c>
      <c r="N97" s="64">
        <v>66.900000000000006</v>
      </c>
      <c r="O97" s="64">
        <v>0</v>
      </c>
      <c r="P97" s="64">
        <v>0.99</v>
      </c>
      <c r="Q97" s="64">
        <v>9.49</v>
      </c>
      <c r="R97" s="198"/>
      <c r="S97" s="198"/>
      <c r="T97" s="198"/>
      <c r="U97" s="198"/>
    </row>
    <row r="98" spans="1:33" s="12" customFormat="1" x14ac:dyDescent="0.25">
      <c r="A98" s="213" t="s">
        <v>2349</v>
      </c>
      <c r="B98" s="64">
        <v>27</v>
      </c>
      <c r="C98" s="64">
        <v>71.06</v>
      </c>
      <c r="D98" s="64">
        <v>95.96</v>
      </c>
      <c r="E98" s="64">
        <v>6.21</v>
      </c>
      <c r="F98" s="64">
        <v>2.13</v>
      </c>
      <c r="G98" s="64">
        <v>87.15</v>
      </c>
      <c r="H98" s="64">
        <v>25.14</v>
      </c>
      <c r="I98" s="214" t="s">
        <v>43</v>
      </c>
      <c r="J98" s="64">
        <v>1.47</v>
      </c>
      <c r="K98" s="64">
        <v>342.61</v>
      </c>
      <c r="L98" s="64">
        <v>20.18</v>
      </c>
      <c r="M98" s="64">
        <v>41.94</v>
      </c>
      <c r="N98" s="64">
        <v>67.099999999999994</v>
      </c>
      <c r="O98" s="64">
        <v>0</v>
      </c>
      <c r="P98" s="64">
        <v>0.99</v>
      </c>
      <c r="Q98" s="64">
        <v>9.4700000000000006</v>
      </c>
      <c r="R98" s="198"/>
      <c r="S98" s="198"/>
      <c r="T98" s="198"/>
      <c r="U98" s="198"/>
    </row>
    <row r="99" spans="1:33" s="12" customFormat="1" x14ac:dyDescent="0.25">
      <c r="A99" s="213" t="s">
        <v>2350</v>
      </c>
      <c r="B99" s="64">
        <v>26.27</v>
      </c>
      <c r="C99" s="64">
        <v>70.72</v>
      </c>
      <c r="D99" s="64">
        <v>94.89</v>
      </c>
      <c r="E99" s="64">
        <v>6.05</v>
      </c>
      <c r="F99" s="64">
        <v>2.13</v>
      </c>
      <c r="G99" s="64">
        <v>87.15</v>
      </c>
      <c r="H99" s="64">
        <v>25.14</v>
      </c>
      <c r="I99" s="214" t="s">
        <v>43</v>
      </c>
      <c r="J99" s="64">
        <v>1.75</v>
      </c>
      <c r="K99" s="64">
        <v>336.21</v>
      </c>
      <c r="L99" s="64">
        <v>19.809999999999999</v>
      </c>
      <c r="M99" s="64">
        <v>42.39</v>
      </c>
      <c r="N99" s="64">
        <v>66.5</v>
      </c>
      <c r="O99" s="64">
        <v>0</v>
      </c>
      <c r="P99" s="64">
        <v>0.98</v>
      </c>
      <c r="Q99" s="64">
        <v>9.4700000000000006</v>
      </c>
      <c r="R99" s="198"/>
      <c r="S99" s="198"/>
      <c r="T99" s="198"/>
      <c r="U99" s="198"/>
    </row>
    <row r="100" spans="1:33" s="12" customFormat="1" x14ac:dyDescent="0.25">
      <c r="A100" s="213" t="s">
        <v>2351</v>
      </c>
      <c r="B100" s="64">
        <v>24.92</v>
      </c>
      <c r="C100" s="64">
        <v>69.83</v>
      </c>
      <c r="D100" s="64">
        <v>92.65</v>
      </c>
      <c r="E100" s="64">
        <v>6.12</v>
      </c>
      <c r="F100" s="64">
        <v>2.13</v>
      </c>
      <c r="G100" s="64">
        <v>87.15</v>
      </c>
      <c r="H100" s="64">
        <v>25.14</v>
      </c>
      <c r="I100" s="214" t="s">
        <v>43</v>
      </c>
      <c r="J100" s="64">
        <v>1.52</v>
      </c>
      <c r="K100" s="64">
        <v>340.26</v>
      </c>
      <c r="L100" s="64">
        <v>19.52</v>
      </c>
      <c r="M100" s="64">
        <v>43.48</v>
      </c>
      <c r="N100" s="64">
        <v>66.8</v>
      </c>
      <c r="O100" s="64">
        <v>0</v>
      </c>
      <c r="P100" s="64">
        <v>0.97</v>
      </c>
      <c r="Q100" s="64">
        <v>9.4700000000000006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2352</v>
      </c>
      <c r="B101" s="64">
        <v>23.81</v>
      </c>
      <c r="C101" s="64">
        <v>69.25</v>
      </c>
      <c r="D101" s="64">
        <v>90.96</v>
      </c>
      <c r="E101" s="64">
        <v>5.88</v>
      </c>
      <c r="F101" s="64">
        <v>2.13</v>
      </c>
      <c r="G101" s="64">
        <v>82.21</v>
      </c>
      <c r="H101" s="64">
        <v>25.61</v>
      </c>
      <c r="I101" s="214" t="s">
        <v>43</v>
      </c>
      <c r="J101" s="64">
        <v>1.32</v>
      </c>
      <c r="K101" s="64">
        <v>346.09</v>
      </c>
      <c r="L101" s="64">
        <v>19.16</v>
      </c>
      <c r="M101" s="64">
        <v>44.96</v>
      </c>
      <c r="N101" s="64">
        <v>66.8</v>
      </c>
      <c r="O101" s="64">
        <v>0</v>
      </c>
      <c r="P101" s="64">
        <v>0.93</v>
      </c>
      <c r="Q101" s="64">
        <v>9.4700000000000006</v>
      </c>
      <c r="R101" s="198"/>
      <c r="S101" s="198"/>
      <c r="T101" s="198"/>
      <c r="U101" s="198"/>
    </row>
    <row r="102" spans="1:33" s="12" customFormat="1" x14ac:dyDescent="0.25">
      <c r="A102" s="213" t="s">
        <v>2353</v>
      </c>
      <c r="B102" s="64">
        <v>23.14</v>
      </c>
      <c r="C102" s="64">
        <v>68.790000000000006</v>
      </c>
      <c r="D102" s="64">
        <v>89.84</v>
      </c>
      <c r="E102" s="64">
        <v>6.22</v>
      </c>
      <c r="F102" s="64">
        <v>2.13</v>
      </c>
      <c r="G102" s="64">
        <v>82.21</v>
      </c>
      <c r="H102" s="64">
        <v>25.61</v>
      </c>
      <c r="I102" s="214" t="s">
        <v>43</v>
      </c>
      <c r="J102" s="64">
        <v>1.53</v>
      </c>
      <c r="K102" s="64">
        <v>2.19</v>
      </c>
      <c r="L102" s="64">
        <v>19.11</v>
      </c>
      <c r="M102" s="64">
        <v>44.19</v>
      </c>
      <c r="N102" s="64">
        <v>66.5</v>
      </c>
      <c r="O102" s="64">
        <v>0</v>
      </c>
      <c r="P102" s="64">
        <v>0.93</v>
      </c>
      <c r="Q102" s="64">
        <v>9.4600000000000009</v>
      </c>
      <c r="R102" s="198"/>
      <c r="S102" s="198"/>
      <c r="T102" s="198"/>
      <c r="U102" s="198"/>
    </row>
    <row r="103" spans="1:33" s="12" customFormat="1" x14ac:dyDescent="0.25">
      <c r="A103" s="213" t="s">
        <v>2354</v>
      </c>
      <c r="B103" s="64">
        <v>22.57</v>
      </c>
      <c r="C103" s="64">
        <v>66.52</v>
      </c>
      <c r="D103" s="64">
        <v>86.99</v>
      </c>
      <c r="E103" s="64">
        <v>5.99</v>
      </c>
      <c r="F103" s="64">
        <v>2.13</v>
      </c>
      <c r="G103" s="64">
        <v>82.21</v>
      </c>
      <c r="H103" s="64">
        <v>25.61</v>
      </c>
      <c r="I103" s="214" t="s">
        <v>43</v>
      </c>
      <c r="J103" s="64">
        <v>1.1000000000000001</v>
      </c>
      <c r="K103" s="64">
        <v>353.23</v>
      </c>
      <c r="L103" s="64">
        <v>18.97</v>
      </c>
      <c r="M103" s="64">
        <v>45.47</v>
      </c>
      <c r="N103" s="64">
        <v>66.8</v>
      </c>
      <c r="O103" s="64">
        <v>0</v>
      </c>
      <c r="P103" s="64">
        <v>0.83</v>
      </c>
      <c r="Q103" s="64">
        <v>9.4600000000000009</v>
      </c>
      <c r="R103" s="198"/>
      <c r="S103" s="198"/>
      <c r="T103" s="198"/>
      <c r="U103" s="198"/>
    </row>
    <row r="104" spans="1:33" s="12" customFormat="1" x14ac:dyDescent="0.25">
      <c r="A104" s="213" t="s">
        <v>2355</v>
      </c>
      <c r="B104" s="64">
        <v>22.66</v>
      </c>
      <c r="C104" s="64">
        <v>66.13</v>
      </c>
      <c r="D104" s="64">
        <v>86.68</v>
      </c>
      <c r="E104" s="64">
        <v>5.87</v>
      </c>
      <c r="F104" s="64">
        <v>2.13</v>
      </c>
      <c r="G104" s="64">
        <v>82.21</v>
      </c>
      <c r="H104" s="64">
        <v>25.61</v>
      </c>
      <c r="I104" s="214" t="s">
        <v>43</v>
      </c>
      <c r="J104" s="64">
        <v>0.78</v>
      </c>
      <c r="K104" s="64">
        <v>344.1</v>
      </c>
      <c r="L104" s="64">
        <v>18.670000000000002</v>
      </c>
      <c r="M104" s="64">
        <v>46.35</v>
      </c>
      <c r="N104" s="64">
        <v>66.7</v>
      </c>
      <c r="O104" s="64">
        <v>0</v>
      </c>
      <c r="P104" s="64">
        <v>0.81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6.01</v>
      </c>
      <c r="C106" s="67">
        <f>MIN(C9:C104)</f>
        <v>58.7</v>
      </c>
      <c r="D106" s="67">
        <f t="shared" ref="D106:Q106" si="0">MIN(D9:D104)</f>
        <v>65.77</v>
      </c>
      <c r="E106" s="67">
        <f t="shared" si="0"/>
        <v>4.26</v>
      </c>
      <c r="F106" s="67">
        <f t="shared" si="0"/>
        <v>2.13</v>
      </c>
      <c r="G106" s="67">
        <f t="shared" si="0"/>
        <v>24.79</v>
      </c>
      <c r="H106" s="67">
        <f t="shared" si="0"/>
        <v>12.19</v>
      </c>
      <c r="I106" s="67">
        <f t="shared" si="0"/>
        <v>0</v>
      </c>
      <c r="J106" s="67">
        <f t="shared" si="0"/>
        <v>0.06</v>
      </c>
      <c r="K106" s="67">
        <f t="shared" si="0"/>
        <v>2.19</v>
      </c>
      <c r="L106" s="67">
        <f t="shared" si="0"/>
        <v>14.1</v>
      </c>
      <c r="M106" s="67">
        <f t="shared" si="0"/>
        <v>15.93</v>
      </c>
      <c r="N106" s="67">
        <f t="shared" si="0"/>
        <v>61.6</v>
      </c>
      <c r="O106" s="67">
        <f t="shared" si="0"/>
        <v>0</v>
      </c>
      <c r="P106" s="67">
        <f t="shared" si="0"/>
        <v>0.42</v>
      </c>
      <c r="Q106" s="67">
        <f t="shared" si="0"/>
        <v>9.3000000000000007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107.17</v>
      </c>
      <c r="C107" s="66">
        <f t="shared" ref="C107:Q107" si="1">MAX(C9:C104)</f>
        <v>79.819999999999993</v>
      </c>
      <c r="D107" s="66">
        <f t="shared" si="1"/>
        <v>184.88</v>
      </c>
      <c r="E107" s="66">
        <f t="shared" si="1"/>
        <v>7.61</v>
      </c>
      <c r="F107" s="66">
        <f t="shared" si="1"/>
        <v>2.2799999999999998</v>
      </c>
      <c r="G107" s="66">
        <f t="shared" si="1"/>
        <v>120.58</v>
      </c>
      <c r="H107" s="66">
        <f t="shared" si="1"/>
        <v>28.75</v>
      </c>
      <c r="I107" s="66">
        <f t="shared" si="1"/>
        <v>0</v>
      </c>
      <c r="J107" s="66">
        <f t="shared" si="1"/>
        <v>2.17</v>
      </c>
      <c r="K107" s="66">
        <f t="shared" si="1"/>
        <v>359.09</v>
      </c>
      <c r="L107" s="66">
        <f t="shared" si="1"/>
        <v>33.130000000000003</v>
      </c>
      <c r="M107" s="66">
        <f t="shared" si="1"/>
        <v>83.96</v>
      </c>
      <c r="N107" s="66">
        <f t="shared" si="1"/>
        <v>853.5</v>
      </c>
      <c r="O107" s="66">
        <f t="shared" si="1"/>
        <v>0</v>
      </c>
      <c r="P107" s="66">
        <f t="shared" si="1"/>
        <v>2.04</v>
      </c>
      <c r="Q107" s="66">
        <f t="shared" si="1"/>
        <v>9.81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35.684791666666676</v>
      </c>
      <c r="C108" s="67">
        <f t="shared" ref="C108:Q108" si="2">AVERAGE(C9:C104)</f>
        <v>67.589895833333358</v>
      </c>
      <c r="D108" s="67">
        <f t="shared" si="2"/>
        <v>101.1742708333333</v>
      </c>
      <c r="E108" s="67">
        <f t="shared" si="2"/>
        <v>5.8584375000000017</v>
      </c>
      <c r="F108" s="67">
        <f t="shared" si="2"/>
        <v>2.1344791666666643</v>
      </c>
      <c r="G108" s="67">
        <f t="shared" si="2"/>
        <v>69.179583333333326</v>
      </c>
      <c r="H108" s="67">
        <f t="shared" si="2"/>
        <v>21.646354166666669</v>
      </c>
      <c r="I108" s="67" t="e">
        <f t="shared" si="2"/>
        <v>#DIV/0!</v>
      </c>
      <c r="J108" s="67">
        <f t="shared" si="2"/>
        <v>0.9853124999999997</v>
      </c>
      <c r="K108" s="67">
        <f t="shared" si="2"/>
        <v>272.38843749999995</v>
      </c>
      <c r="L108" s="67">
        <f t="shared" si="2"/>
        <v>22.689791666666665</v>
      </c>
      <c r="M108" s="67">
        <f t="shared" si="2"/>
        <v>42.386354166666649</v>
      </c>
      <c r="N108" s="67">
        <f t="shared" si="2"/>
        <v>264.9395833333333</v>
      </c>
      <c r="O108" s="67">
        <f t="shared" si="2"/>
        <v>0</v>
      </c>
      <c r="P108" s="67">
        <f t="shared" si="2"/>
        <v>0.84218750000000009</v>
      </c>
      <c r="Q108" s="67">
        <f t="shared" si="2"/>
        <v>9.4928125000000048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25.777517539174639</v>
      </c>
      <c r="C109" s="67">
        <f t="shared" ref="C109:Q109" si="3">STDEV(C9:C104)</f>
        <v>4.5821882832026128</v>
      </c>
      <c r="D109" s="67">
        <f t="shared" si="3"/>
        <v>27.560330979022336</v>
      </c>
      <c r="E109" s="67">
        <f t="shared" si="3"/>
        <v>0.76524138348627113</v>
      </c>
      <c r="F109" s="67">
        <f t="shared" si="3"/>
        <v>2.0358357480362875E-2</v>
      </c>
      <c r="G109" s="67">
        <f t="shared" si="3"/>
        <v>23.689657699718254</v>
      </c>
      <c r="H109" s="67">
        <f t="shared" si="3"/>
        <v>5.0304906362766104</v>
      </c>
      <c r="I109" s="67" t="e">
        <f t="shared" si="3"/>
        <v>#DIV/0!</v>
      </c>
      <c r="J109" s="67">
        <f t="shared" si="3"/>
        <v>0.53841669076537513</v>
      </c>
      <c r="K109" s="67">
        <f t="shared" si="3"/>
        <v>92.11621928535493</v>
      </c>
      <c r="L109" s="67">
        <f t="shared" si="3"/>
        <v>6.2393366683809814</v>
      </c>
      <c r="M109" s="67">
        <f t="shared" si="3"/>
        <v>20.196923117398075</v>
      </c>
      <c r="N109" s="67">
        <f t="shared" si="3"/>
        <v>286.20243534186437</v>
      </c>
      <c r="O109" s="67">
        <f t="shared" si="3"/>
        <v>0</v>
      </c>
      <c r="P109" s="67">
        <f t="shared" si="3"/>
        <v>0.32166410438939502</v>
      </c>
      <c r="Q109" s="67">
        <f t="shared" si="3"/>
        <v>0.13064780397775733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2356</v>
      </c>
      <c r="B9" s="64">
        <v>22.66</v>
      </c>
      <c r="C9" s="64">
        <v>66.37</v>
      </c>
      <c r="D9" s="64">
        <v>86.93</v>
      </c>
      <c r="E9" s="64">
        <v>7.32</v>
      </c>
      <c r="F9" s="64">
        <v>2.13</v>
      </c>
      <c r="G9" s="64">
        <v>84.85</v>
      </c>
      <c r="H9" s="64">
        <v>25.93</v>
      </c>
      <c r="I9" s="210" t="s">
        <v>43</v>
      </c>
      <c r="J9" s="64">
        <v>1.23</v>
      </c>
      <c r="K9" s="64">
        <v>317.88</v>
      </c>
      <c r="L9" s="64">
        <v>18.329999999999998</v>
      </c>
      <c r="M9" s="64">
        <v>47.38</v>
      </c>
      <c r="N9" s="64">
        <v>66.2</v>
      </c>
      <c r="O9" s="64">
        <v>0</v>
      </c>
      <c r="P9" s="64">
        <v>0.91</v>
      </c>
      <c r="Q9" s="64">
        <v>9.49</v>
      </c>
      <c r="S9" s="198"/>
      <c r="T9" s="198"/>
      <c r="U9" s="198"/>
    </row>
    <row r="10" spans="1:21" s="12" customFormat="1" x14ac:dyDescent="0.25">
      <c r="A10" s="213" t="s">
        <v>2357</v>
      </c>
      <c r="B10" s="64">
        <v>22.11</v>
      </c>
      <c r="C10" s="64">
        <v>65.77</v>
      </c>
      <c r="D10" s="64">
        <v>85.77</v>
      </c>
      <c r="E10" s="64">
        <v>7.3</v>
      </c>
      <c r="F10" s="64">
        <v>2.13</v>
      </c>
      <c r="G10" s="64">
        <v>84.85</v>
      </c>
      <c r="H10" s="64">
        <v>25.93</v>
      </c>
      <c r="I10" s="210" t="s">
        <v>43</v>
      </c>
      <c r="J10" s="64">
        <v>1.41</v>
      </c>
      <c r="K10" s="64">
        <v>340.39</v>
      </c>
      <c r="L10" s="64">
        <v>18.05</v>
      </c>
      <c r="M10" s="64">
        <v>46.99</v>
      </c>
      <c r="N10" s="64">
        <v>66.5</v>
      </c>
      <c r="O10" s="64">
        <v>0</v>
      </c>
      <c r="P10" s="64">
        <v>0.87</v>
      </c>
      <c r="Q10" s="64">
        <v>9.49</v>
      </c>
      <c r="S10" s="198"/>
      <c r="T10" s="198"/>
      <c r="U10" s="198"/>
    </row>
    <row r="11" spans="1:21" s="12" customFormat="1" x14ac:dyDescent="0.25">
      <c r="A11" s="213" t="s">
        <v>2358</v>
      </c>
      <c r="B11" s="64">
        <v>21.49</v>
      </c>
      <c r="C11" s="64">
        <v>64.989999999999995</v>
      </c>
      <c r="D11" s="64">
        <v>84.38</v>
      </c>
      <c r="E11" s="64">
        <v>7.7</v>
      </c>
      <c r="F11" s="64">
        <v>2.13</v>
      </c>
      <c r="G11" s="64">
        <v>84.85</v>
      </c>
      <c r="H11" s="64">
        <v>25.93</v>
      </c>
      <c r="I11" s="210" t="s">
        <v>43</v>
      </c>
      <c r="J11" s="64">
        <v>1.1399999999999999</v>
      </c>
      <c r="K11" s="64">
        <v>348.02</v>
      </c>
      <c r="L11" s="64">
        <v>17.850000000000001</v>
      </c>
      <c r="M11" s="64">
        <v>48.14</v>
      </c>
      <c r="N11" s="64">
        <v>67</v>
      </c>
      <c r="O11" s="64">
        <v>0</v>
      </c>
      <c r="P11" s="64">
        <v>0.78</v>
      </c>
      <c r="Q11" s="64">
        <v>9.4700000000000006</v>
      </c>
      <c r="S11" s="198"/>
      <c r="T11" s="198"/>
      <c r="U11" s="198"/>
    </row>
    <row r="12" spans="1:21" s="12" customFormat="1" x14ac:dyDescent="0.25">
      <c r="A12" s="213" t="s">
        <v>2359</v>
      </c>
      <c r="B12" s="64">
        <v>21.1</v>
      </c>
      <c r="C12" s="64">
        <v>64.22</v>
      </c>
      <c r="D12" s="64">
        <v>83.23</v>
      </c>
      <c r="E12" s="64">
        <v>7.85</v>
      </c>
      <c r="F12" s="64">
        <v>2.13</v>
      </c>
      <c r="G12" s="64">
        <v>84.85</v>
      </c>
      <c r="H12" s="64">
        <v>25.93</v>
      </c>
      <c r="I12" s="210" t="s">
        <v>43</v>
      </c>
      <c r="J12" s="64">
        <v>1.08</v>
      </c>
      <c r="K12" s="64">
        <v>332.98</v>
      </c>
      <c r="L12" s="64">
        <v>17.46</v>
      </c>
      <c r="M12" s="64">
        <v>49.8</v>
      </c>
      <c r="N12" s="64">
        <v>66.599999999999994</v>
      </c>
      <c r="O12" s="64">
        <v>0</v>
      </c>
      <c r="P12" s="64">
        <v>0.79</v>
      </c>
      <c r="Q12" s="64">
        <v>9.4499999999999993</v>
      </c>
      <c r="S12" s="198"/>
      <c r="T12" s="198"/>
      <c r="U12" s="198"/>
    </row>
    <row r="13" spans="1:21" s="12" customFormat="1" x14ac:dyDescent="0.25">
      <c r="A13" s="213" t="s">
        <v>2360</v>
      </c>
      <c r="B13" s="64">
        <v>20.72</v>
      </c>
      <c r="C13" s="64">
        <v>63.25</v>
      </c>
      <c r="D13" s="64">
        <v>81.87</v>
      </c>
      <c r="E13" s="64">
        <v>7.24</v>
      </c>
      <c r="F13" s="64">
        <v>2.13</v>
      </c>
      <c r="G13" s="64">
        <v>83.17</v>
      </c>
      <c r="H13" s="64">
        <v>28.5</v>
      </c>
      <c r="I13" s="210" t="s">
        <v>43</v>
      </c>
      <c r="J13" s="64">
        <v>0.76</v>
      </c>
      <c r="K13" s="64">
        <v>2.33</v>
      </c>
      <c r="L13" s="64">
        <v>17.27</v>
      </c>
      <c r="M13" s="64">
        <v>49.72</v>
      </c>
      <c r="N13" s="64">
        <v>66.900000000000006</v>
      </c>
      <c r="O13" s="64">
        <v>0</v>
      </c>
      <c r="P13" s="64">
        <v>0.73</v>
      </c>
      <c r="Q13" s="64">
        <v>9.43</v>
      </c>
      <c r="S13" s="198"/>
      <c r="T13" s="198"/>
      <c r="U13" s="198"/>
    </row>
    <row r="14" spans="1:21" s="12" customFormat="1" x14ac:dyDescent="0.25">
      <c r="A14" s="213" t="s">
        <v>2361</v>
      </c>
      <c r="B14" s="64">
        <v>20.32</v>
      </c>
      <c r="C14" s="64">
        <v>62.41</v>
      </c>
      <c r="D14" s="64">
        <v>80.63</v>
      </c>
      <c r="E14" s="64">
        <v>7.12</v>
      </c>
      <c r="F14" s="64">
        <v>2.13</v>
      </c>
      <c r="G14" s="64">
        <v>83.17</v>
      </c>
      <c r="H14" s="64">
        <v>28.5</v>
      </c>
      <c r="I14" s="210" t="s">
        <v>43</v>
      </c>
      <c r="J14" s="64">
        <v>0.81</v>
      </c>
      <c r="K14" s="64">
        <v>354.78</v>
      </c>
      <c r="L14" s="64">
        <v>17.14</v>
      </c>
      <c r="M14" s="64">
        <v>51.08</v>
      </c>
      <c r="N14" s="64">
        <v>66.599999999999994</v>
      </c>
      <c r="O14" s="64">
        <v>0</v>
      </c>
      <c r="P14" s="64">
        <v>0.79</v>
      </c>
      <c r="Q14" s="64">
        <v>9.43</v>
      </c>
      <c r="S14" s="198"/>
      <c r="T14" s="198"/>
      <c r="U14" s="198"/>
    </row>
    <row r="15" spans="1:21" s="12" customFormat="1" x14ac:dyDescent="0.25">
      <c r="A15" s="213" t="s">
        <v>2362</v>
      </c>
      <c r="B15" s="64">
        <v>19.829999999999998</v>
      </c>
      <c r="C15" s="64">
        <v>62</v>
      </c>
      <c r="D15" s="64">
        <v>79.73</v>
      </c>
      <c r="E15" s="64">
        <v>7.54</v>
      </c>
      <c r="F15" s="64">
        <v>2.13</v>
      </c>
      <c r="G15" s="64">
        <v>83.17</v>
      </c>
      <c r="H15" s="64">
        <v>28.5</v>
      </c>
      <c r="I15" s="210" t="s">
        <v>43</v>
      </c>
      <c r="J15" s="64">
        <v>1.18</v>
      </c>
      <c r="K15" s="64">
        <v>343.44</v>
      </c>
      <c r="L15" s="64">
        <v>17.239999999999998</v>
      </c>
      <c r="M15" s="64">
        <v>49.34</v>
      </c>
      <c r="N15" s="64">
        <v>66.099999999999994</v>
      </c>
      <c r="O15" s="64">
        <v>0</v>
      </c>
      <c r="P15" s="64">
        <v>0.81</v>
      </c>
      <c r="Q15" s="64">
        <v>9.42</v>
      </c>
      <c r="S15" s="198"/>
      <c r="T15" s="198"/>
      <c r="U15" s="198"/>
    </row>
    <row r="16" spans="1:21" s="12" customFormat="1" x14ac:dyDescent="0.25">
      <c r="A16" s="213" t="s">
        <v>2363</v>
      </c>
      <c r="B16" s="64">
        <v>19.350000000000001</v>
      </c>
      <c r="C16" s="64">
        <v>62</v>
      </c>
      <c r="D16" s="64">
        <v>79.25</v>
      </c>
      <c r="E16" s="64">
        <v>7.73</v>
      </c>
      <c r="F16" s="64">
        <v>2.13</v>
      </c>
      <c r="G16" s="64">
        <v>83.17</v>
      </c>
      <c r="H16" s="64">
        <v>28.5</v>
      </c>
      <c r="I16" s="210" t="s">
        <v>43</v>
      </c>
      <c r="J16" s="64">
        <v>0.99</v>
      </c>
      <c r="K16" s="64">
        <v>329.85</v>
      </c>
      <c r="L16" s="64">
        <v>17.14</v>
      </c>
      <c r="M16" s="64">
        <v>49.72</v>
      </c>
      <c r="N16" s="64">
        <v>66.7</v>
      </c>
      <c r="O16" s="64">
        <v>0</v>
      </c>
      <c r="P16" s="64">
        <v>0.77</v>
      </c>
      <c r="Q16" s="64">
        <v>9.41</v>
      </c>
      <c r="S16" s="198"/>
      <c r="T16" s="198"/>
      <c r="U16" s="198"/>
    </row>
    <row r="17" spans="1:21" s="12" customFormat="1" x14ac:dyDescent="0.25">
      <c r="A17" s="213" t="s">
        <v>2364</v>
      </c>
      <c r="B17" s="64">
        <v>18.829999999999998</v>
      </c>
      <c r="C17" s="64">
        <v>61.93</v>
      </c>
      <c r="D17" s="64">
        <v>78.66</v>
      </c>
      <c r="E17" s="64">
        <v>7.49</v>
      </c>
      <c r="F17" s="64">
        <v>2.13</v>
      </c>
      <c r="G17" s="64">
        <v>83.53</v>
      </c>
      <c r="H17" s="64">
        <v>26.48</v>
      </c>
      <c r="I17" s="210" t="s">
        <v>43</v>
      </c>
      <c r="J17" s="64">
        <v>1.53</v>
      </c>
      <c r="K17" s="64">
        <v>342.04</v>
      </c>
      <c r="L17" s="64">
        <v>17.04</v>
      </c>
      <c r="M17" s="64">
        <v>49.59</v>
      </c>
      <c r="N17" s="64">
        <v>66</v>
      </c>
      <c r="O17" s="64">
        <v>0</v>
      </c>
      <c r="P17" s="64">
        <v>0.77</v>
      </c>
      <c r="Q17" s="64">
        <v>9.42</v>
      </c>
      <c r="S17" s="198"/>
      <c r="T17" s="198"/>
      <c r="U17" s="198"/>
    </row>
    <row r="18" spans="1:21" s="12" customFormat="1" x14ac:dyDescent="0.25">
      <c r="A18" s="213" t="s">
        <v>2365</v>
      </c>
      <c r="B18" s="64">
        <v>17.79</v>
      </c>
      <c r="C18" s="64">
        <v>61.66</v>
      </c>
      <c r="D18" s="64">
        <v>77.349999999999994</v>
      </c>
      <c r="E18" s="64">
        <v>7.26</v>
      </c>
      <c r="F18" s="64">
        <v>2.13</v>
      </c>
      <c r="G18" s="64">
        <v>83.54</v>
      </c>
      <c r="H18" s="64">
        <v>26.46</v>
      </c>
      <c r="I18" s="210" t="s">
        <v>43</v>
      </c>
      <c r="J18" s="64">
        <v>1.45</v>
      </c>
      <c r="K18" s="64">
        <v>350.55</v>
      </c>
      <c r="L18" s="64">
        <v>17.3</v>
      </c>
      <c r="M18" s="64">
        <v>47.77</v>
      </c>
      <c r="N18" s="64">
        <v>66.5</v>
      </c>
      <c r="O18" s="64">
        <v>0</v>
      </c>
      <c r="P18" s="64">
        <v>0.76</v>
      </c>
      <c r="Q18" s="64">
        <v>9.44</v>
      </c>
      <c r="S18" s="198"/>
      <c r="T18" s="198"/>
      <c r="U18" s="198"/>
    </row>
    <row r="19" spans="1:21" s="12" customFormat="1" x14ac:dyDescent="0.25">
      <c r="A19" s="213" t="s">
        <v>2366</v>
      </c>
      <c r="B19" s="64">
        <v>16.690000000000001</v>
      </c>
      <c r="C19" s="64">
        <v>61.35</v>
      </c>
      <c r="D19" s="64">
        <v>75.94</v>
      </c>
      <c r="E19" s="64">
        <v>7.47</v>
      </c>
      <c r="F19" s="64">
        <v>2.13</v>
      </c>
      <c r="G19" s="64">
        <v>83.54</v>
      </c>
      <c r="H19" s="64">
        <v>26.46</v>
      </c>
      <c r="I19" s="210" t="s">
        <v>43</v>
      </c>
      <c r="J19" s="64">
        <v>1.68</v>
      </c>
      <c r="K19" s="64">
        <v>1.45</v>
      </c>
      <c r="L19" s="64">
        <v>17.53</v>
      </c>
      <c r="M19" s="64">
        <v>45.51</v>
      </c>
      <c r="N19" s="64">
        <v>66.400000000000006</v>
      </c>
      <c r="O19" s="64">
        <v>0</v>
      </c>
      <c r="P19" s="64">
        <v>0.74</v>
      </c>
      <c r="Q19" s="64">
        <v>9.4499999999999993</v>
      </c>
      <c r="S19" s="198"/>
      <c r="T19" s="198"/>
      <c r="U19" s="198"/>
    </row>
    <row r="20" spans="1:21" s="12" customFormat="1" x14ac:dyDescent="0.25">
      <c r="A20" s="213" t="s">
        <v>2367</v>
      </c>
      <c r="B20" s="64">
        <v>15.82</v>
      </c>
      <c r="C20" s="64">
        <v>61.79</v>
      </c>
      <c r="D20" s="64">
        <v>75.52</v>
      </c>
      <c r="E20" s="64">
        <v>7.82</v>
      </c>
      <c r="F20" s="64">
        <v>2.13</v>
      </c>
      <c r="G20" s="64">
        <v>83.54</v>
      </c>
      <c r="H20" s="64">
        <v>26.46</v>
      </c>
      <c r="I20" s="210" t="s">
        <v>43</v>
      </c>
      <c r="J20" s="64">
        <v>1.49</v>
      </c>
      <c r="K20" s="64">
        <v>2.92</v>
      </c>
      <c r="L20" s="64">
        <v>17.690000000000001</v>
      </c>
      <c r="M20" s="64">
        <v>44.41</v>
      </c>
      <c r="N20" s="64">
        <v>66.5</v>
      </c>
      <c r="O20" s="64">
        <v>0</v>
      </c>
      <c r="P20" s="64">
        <v>0.71</v>
      </c>
      <c r="Q20" s="64">
        <v>9.44</v>
      </c>
      <c r="S20" s="198"/>
      <c r="T20" s="198"/>
      <c r="U20" s="198"/>
    </row>
    <row r="21" spans="1:21" s="12" customFormat="1" x14ac:dyDescent="0.25">
      <c r="A21" s="213" t="s">
        <v>2368</v>
      </c>
      <c r="B21" s="64">
        <v>15.13</v>
      </c>
      <c r="C21" s="64">
        <v>62.21</v>
      </c>
      <c r="D21" s="64">
        <v>75.239999999999995</v>
      </c>
      <c r="E21" s="64">
        <v>7.27</v>
      </c>
      <c r="F21" s="64">
        <v>2.13</v>
      </c>
      <c r="G21" s="64">
        <v>77.12</v>
      </c>
      <c r="H21" s="64">
        <v>27.96</v>
      </c>
      <c r="I21" s="210" t="s">
        <v>43</v>
      </c>
      <c r="J21" s="64">
        <v>1.0900000000000001</v>
      </c>
      <c r="K21" s="64">
        <v>6.22</v>
      </c>
      <c r="L21" s="64">
        <v>17.43</v>
      </c>
      <c r="M21" s="64">
        <v>46.35</v>
      </c>
      <c r="N21" s="64">
        <v>67.099999999999994</v>
      </c>
      <c r="O21" s="64">
        <v>0</v>
      </c>
      <c r="P21" s="64">
        <v>0.7</v>
      </c>
      <c r="Q21" s="64">
        <v>9.4700000000000006</v>
      </c>
      <c r="S21" s="198"/>
      <c r="T21" s="198"/>
      <c r="U21" s="198"/>
    </row>
    <row r="22" spans="1:21" s="12" customFormat="1" x14ac:dyDescent="0.25">
      <c r="A22" s="213" t="s">
        <v>2369</v>
      </c>
      <c r="B22" s="64">
        <v>14.74</v>
      </c>
      <c r="C22" s="64">
        <v>62.41</v>
      </c>
      <c r="D22" s="64">
        <v>75.05</v>
      </c>
      <c r="E22" s="64">
        <v>7.78</v>
      </c>
      <c r="F22" s="64">
        <v>2.13</v>
      </c>
      <c r="G22" s="64">
        <v>77.05</v>
      </c>
      <c r="H22" s="64">
        <v>27.97</v>
      </c>
      <c r="I22" s="210" t="s">
        <v>43</v>
      </c>
      <c r="J22" s="64">
        <v>1.1100000000000001</v>
      </c>
      <c r="K22" s="64">
        <v>3.45</v>
      </c>
      <c r="L22" s="64">
        <v>17.12</v>
      </c>
      <c r="M22" s="64">
        <v>48.44</v>
      </c>
      <c r="N22" s="64">
        <v>66.8</v>
      </c>
      <c r="O22" s="64">
        <v>0</v>
      </c>
      <c r="P22" s="64">
        <v>0.7</v>
      </c>
      <c r="Q22" s="64">
        <v>9.44</v>
      </c>
      <c r="S22" s="198"/>
      <c r="T22" s="198"/>
      <c r="U22" s="198"/>
    </row>
    <row r="23" spans="1:21" s="12" customFormat="1" x14ac:dyDescent="0.25">
      <c r="A23" s="213" t="s">
        <v>2370</v>
      </c>
      <c r="B23" s="64">
        <v>14.55</v>
      </c>
      <c r="C23" s="64">
        <v>62.97</v>
      </c>
      <c r="D23" s="64">
        <v>75.41</v>
      </c>
      <c r="E23" s="64">
        <v>8.07</v>
      </c>
      <c r="F23" s="64">
        <v>2.13</v>
      </c>
      <c r="G23" s="64">
        <v>77.05</v>
      </c>
      <c r="H23" s="64">
        <v>27.97</v>
      </c>
      <c r="I23" s="210" t="s">
        <v>43</v>
      </c>
      <c r="J23" s="64">
        <v>0.84</v>
      </c>
      <c r="K23" s="64">
        <v>14.1</v>
      </c>
      <c r="L23" s="64">
        <v>17.03</v>
      </c>
      <c r="M23" s="64">
        <v>48.95</v>
      </c>
      <c r="N23" s="64">
        <v>66.8</v>
      </c>
      <c r="O23" s="64">
        <v>0</v>
      </c>
      <c r="P23" s="64">
        <v>0.69</v>
      </c>
      <c r="Q23" s="64">
        <v>9.43</v>
      </c>
      <c r="S23" s="198"/>
      <c r="T23" s="198"/>
      <c r="U23" s="198"/>
    </row>
    <row r="24" spans="1:21" s="12" customFormat="1" x14ac:dyDescent="0.25">
      <c r="A24" s="213" t="s">
        <v>2371</v>
      </c>
      <c r="B24" s="64">
        <v>14.26</v>
      </c>
      <c r="C24" s="64">
        <v>62.33</v>
      </c>
      <c r="D24" s="64">
        <v>74.489999999999995</v>
      </c>
      <c r="E24" s="64">
        <v>7.03</v>
      </c>
      <c r="F24" s="64">
        <v>2.13</v>
      </c>
      <c r="G24" s="64">
        <v>77.05</v>
      </c>
      <c r="H24" s="64">
        <v>27.97</v>
      </c>
      <c r="I24" s="210" t="s">
        <v>43</v>
      </c>
      <c r="J24" s="64">
        <v>0.88</v>
      </c>
      <c r="K24" s="64">
        <v>20.260000000000002</v>
      </c>
      <c r="L24" s="64">
        <v>17.04</v>
      </c>
      <c r="M24" s="64">
        <v>48.72</v>
      </c>
      <c r="N24" s="64">
        <v>66.5</v>
      </c>
      <c r="O24" s="64">
        <v>0</v>
      </c>
      <c r="P24" s="64">
        <v>0.65</v>
      </c>
      <c r="Q24" s="64">
        <v>9.44</v>
      </c>
      <c r="S24" s="198"/>
      <c r="T24" s="198"/>
      <c r="U24" s="198"/>
    </row>
    <row r="25" spans="1:21" s="12" customFormat="1" x14ac:dyDescent="0.25">
      <c r="A25" s="213" t="s">
        <v>2372</v>
      </c>
      <c r="B25" s="64">
        <v>14.12</v>
      </c>
      <c r="C25" s="64">
        <v>60.11</v>
      </c>
      <c r="D25" s="64">
        <v>72.13</v>
      </c>
      <c r="E25" s="64">
        <v>6.35</v>
      </c>
      <c r="F25" s="64">
        <v>2.13</v>
      </c>
      <c r="G25" s="64">
        <v>80.87</v>
      </c>
      <c r="H25" s="64">
        <v>22.16</v>
      </c>
      <c r="I25" s="210" t="s">
        <v>43</v>
      </c>
      <c r="J25" s="64">
        <v>1.1399999999999999</v>
      </c>
      <c r="K25" s="64">
        <v>23.13</v>
      </c>
      <c r="L25" s="64">
        <v>17.05</v>
      </c>
      <c r="M25" s="64">
        <v>48.93</v>
      </c>
      <c r="N25" s="64">
        <v>66.400000000000006</v>
      </c>
      <c r="O25" s="64">
        <v>0</v>
      </c>
      <c r="P25" s="64">
        <v>0.62</v>
      </c>
      <c r="Q25" s="64">
        <v>9.43</v>
      </c>
      <c r="S25" s="198"/>
      <c r="T25" s="198"/>
      <c r="U25" s="198"/>
    </row>
    <row r="26" spans="1:21" s="12" customFormat="1" x14ac:dyDescent="0.25">
      <c r="A26" s="213" t="s">
        <v>2373</v>
      </c>
      <c r="B26" s="64">
        <v>13.77</v>
      </c>
      <c r="C26" s="64">
        <v>60.14</v>
      </c>
      <c r="D26" s="64">
        <v>71.81</v>
      </c>
      <c r="E26" s="64">
        <v>6.81</v>
      </c>
      <c r="F26" s="64">
        <v>2.13</v>
      </c>
      <c r="G26" s="64">
        <v>80.91</v>
      </c>
      <c r="H26" s="64">
        <v>22.09</v>
      </c>
      <c r="I26" s="210" t="s">
        <v>43</v>
      </c>
      <c r="J26" s="64">
        <v>1.31</v>
      </c>
      <c r="K26" s="64">
        <v>13.95</v>
      </c>
      <c r="L26" s="64">
        <v>17.14</v>
      </c>
      <c r="M26" s="64">
        <v>47.5</v>
      </c>
      <c r="N26" s="64">
        <v>66.400000000000006</v>
      </c>
      <c r="O26" s="64">
        <v>0</v>
      </c>
      <c r="P26" s="64">
        <v>0.61</v>
      </c>
      <c r="Q26" s="64">
        <v>9.44</v>
      </c>
      <c r="S26" s="198"/>
      <c r="T26" s="198"/>
      <c r="U26" s="198"/>
    </row>
    <row r="27" spans="1:21" s="12" customFormat="1" x14ac:dyDescent="0.25">
      <c r="A27" s="213" t="s">
        <v>2374</v>
      </c>
      <c r="B27" s="64">
        <v>12.89</v>
      </c>
      <c r="C27" s="64">
        <v>60.54</v>
      </c>
      <c r="D27" s="64">
        <v>71.33</v>
      </c>
      <c r="E27" s="64">
        <v>6.85</v>
      </c>
      <c r="F27" s="64">
        <v>2.13</v>
      </c>
      <c r="G27" s="64">
        <v>80.91</v>
      </c>
      <c r="H27" s="64">
        <v>22.09</v>
      </c>
      <c r="I27" s="210" t="s">
        <v>43</v>
      </c>
      <c r="J27" s="64">
        <v>0.95</v>
      </c>
      <c r="K27" s="64">
        <v>20.440000000000001</v>
      </c>
      <c r="L27" s="64">
        <v>16.88</v>
      </c>
      <c r="M27" s="64">
        <v>48.71</v>
      </c>
      <c r="N27" s="64">
        <v>66.900000000000006</v>
      </c>
      <c r="O27" s="64">
        <v>0</v>
      </c>
      <c r="P27" s="64">
        <v>0.59</v>
      </c>
      <c r="Q27" s="64">
        <v>9.43</v>
      </c>
      <c r="S27" s="198"/>
      <c r="T27" s="198"/>
      <c r="U27" s="198"/>
    </row>
    <row r="28" spans="1:21" s="12" customFormat="1" x14ac:dyDescent="0.25">
      <c r="A28" s="213" t="s">
        <v>2375</v>
      </c>
      <c r="B28" s="64">
        <v>12.1</v>
      </c>
      <c r="C28" s="64">
        <v>60.34</v>
      </c>
      <c r="D28" s="64">
        <v>70.34</v>
      </c>
      <c r="E28" s="64">
        <v>6.44</v>
      </c>
      <c r="F28" s="64">
        <v>2.13</v>
      </c>
      <c r="G28" s="64">
        <v>80.91</v>
      </c>
      <c r="H28" s="64">
        <v>22.09</v>
      </c>
      <c r="I28" s="210" t="s">
        <v>43</v>
      </c>
      <c r="J28" s="64">
        <v>1.08</v>
      </c>
      <c r="K28" s="64">
        <v>25.81</v>
      </c>
      <c r="L28" s="64">
        <v>16.73</v>
      </c>
      <c r="M28" s="64">
        <v>47.2</v>
      </c>
      <c r="N28" s="64">
        <v>66.599999999999994</v>
      </c>
      <c r="O28" s="64">
        <v>0</v>
      </c>
      <c r="P28" s="64">
        <v>0.56999999999999995</v>
      </c>
      <c r="Q28" s="64">
        <v>9.43</v>
      </c>
      <c r="S28" s="198"/>
      <c r="T28" s="198"/>
      <c r="U28" s="198"/>
    </row>
    <row r="29" spans="1:21" s="12" customFormat="1" x14ac:dyDescent="0.25">
      <c r="A29" s="213" t="s">
        <v>2376</v>
      </c>
      <c r="B29" s="64">
        <v>11.41</v>
      </c>
      <c r="C29" s="64">
        <v>59.97</v>
      </c>
      <c r="D29" s="64">
        <v>69.28</v>
      </c>
      <c r="E29" s="64">
        <v>6.94</v>
      </c>
      <c r="F29" s="64">
        <v>2.13</v>
      </c>
      <c r="G29" s="64">
        <v>75.73</v>
      </c>
      <c r="H29" s="64">
        <v>22.55</v>
      </c>
      <c r="I29" s="210" t="s">
        <v>43</v>
      </c>
      <c r="J29" s="64">
        <v>0.9</v>
      </c>
      <c r="K29" s="64">
        <v>42.39</v>
      </c>
      <c r="L29" s="64">
        <v>16.64</v>
      </c>
      <c r="M29" s="64">
        <v>46.63</v>
      </c>
      <c r="N29" s="64">
        <v>66.900000000000006</v>
      </c>
      <c r="O29" s="64">
        <v>0</v>
      </c>
      <c r="P29" s="64">
        <v>0.57999999999999996</v>
      </c>
      <c r="Q29" s="64">
        <v>9.41</v>
      </c>
      <c r="S29" s="198"/>
      <c r="T29" s="198"/>
      <c r="U29" s="198"/>
    </row>
    <row r="30" spans="1:21" s="12" customFormat="1" x14ac:dyDescent="0.25">
      <c r="A30" s="213" t="s">
        <v>2377</v>
      </c>
      <c r="B30" s="64">
        <v>11.06</v>
      </c>
      <c r="C30" s="64">
        <v>60.12</v>
      </c>
      <c r="D30" s="64">
        <v>69.08</v>
      </c>
      <c r="E30" s="64">
        <v>7.2</v>
      </c>
      <c r="F30" s="64">
        <v>2.13</v>
      </c>
      <c r="G30" s="64">
        <v>75.67</v>
      </c>
      <c r="H30" s="64">
        <v>22.55</v>
      </c>
      <c r="I30" s="210" t="s">
        <v>43</v>
      </c>
      <c r="J30" s="64">
        <v>0.68</v>
      </c>
      <c r="K30" s="64">
        <v>37.04</v>
      </c>
      <c r="L30" s="64">
        <v>16.41</v>
      </c>
      <c r="M30" s="64">
        <v>47.47</v>
      </c>
      <c r="N30" s="64">
        <v>67.5</v>
      </c>
      <c r="O30" s="64">
        <v>0</v>
      </c>
      <c r="P30" s="64">
        <v>0.54</v>
      </c>
      <c r="Q30" s="64">
        <v>9.39</v>
      </c>
      <c r="S30" s="198"/>
      <c r="T30" s="198"/>
      <c r="U30" s="198"/>
    </row>
    <row r="31" spans="1:21" s="12" customFormat="1" x14ac:dyDescent="0.25">
      <c r="A31" s="213" t="s">
        <v>2378</v>
      </c>
      <c r="B31" s="64">
        <v>10.66</v>
      </c>
      <c r="C31" s="64">
        <v>59.66</v>
      </c>
      <c r="D31" s="64">
        <v>68.209999999999994</v>
      </c>
      <c r="E31" s="64">
        <v>7.1</v>
      </c>
      <c r="F31" s="64">
        <v>2.13</v>
      </c>
      <c r="G31" s="64">
        <v>75.67</v>
      </c>
      <c r="H31" s="64">
        <v>22.55</v>
      </c>
      <c r="I31" s="210" t="s">
        <v>43</v>
      </c>
      <c r="J31" s="64">
        <v>0.74</v>
      </c>
      <c r="K31" s="64">
        <v>22.01</v>
      </c>
      <c r="L31" s="64">
        <v>16.190000000000001</v>
      </c>
      <c r="M31" s="64">
        <v>47.82</v>
      </c>
      <c r="N31" s="64">
        <v>67.400000000000006</v>
      </c>
      <c r="O31" s="64">
        <v>0</v>
      </c>
      <c r="P31" s="64">
        <v>0.53</v>
      </c>
      <c r="Q31" s="64">
        <v>9.39</v>
      </c>
      <c r="S31" s="198"/>
      <c r="T31" s="198"/>
      <c r="U31" s="198"/>
    </row>
    <row r="32" spans="1:21" s="12" customFormat="1" x14ac:dyDescent="0.25">
      <c r="A32" s="213" t="s">
        <v>2379</v>
      </c>
      <c r="B32" s="64">
        <v>10.29</v>
      </c>
      <c r="C32" s="64">
        <v>56.84</v>
      </c>
      <c r="D32" s="64">
        <v>65.03</v>
      </c>
      <c r="E32" s="64">
        <v>6.87</v>
      </c>
      <c r="F32" s="64">
        <v>2.13</v>
      </c>
      <c r="G32" s="64">
        <v>75.67</v>
      </c>
      <c r="H32" s="64">
        <v>22.55</v>
      </c>
      <c r="I32" s="210" t="s">
        <v>43</v>
      </c>
      <c r="J32" s="64">
        <v>0.91</v>
      </c>
      <c r="K32" s="64">
        <v>11.97</v>
      </c>
      <c r="L32" s="64">
        <v>16.010000000000002</v>
      </c>
      <c r="M32" s="64">
        <v>48.21</v>
      </c>
      <c r="N32" s="64">
        <v>67.400000000000006</v>
      </c>
      <c r="O32" s="64">
        <v>0</v>
      </c>
      <c r="P32" s="64">
        <v>0.56000000000000005</v>
      </c>
      <c r="Q32" s="64">
        <v>9.35</v>
      </c>
      <c r="S32" s="198"/>
      <c r="T32" s="198"/>
      <c r="U32" s="198"/>
    </row>
    <row r="33" spans="1:21" s="12" customFormat="1" x14ac:dyDescent="0.25">
      <c r="A33" s="213" t="s">
        <v>2380</v>
      </c>
      <c r="B33" s="64">
        <v>10.1</v>
      </c>
      <c r="C33" s="64">
        <v>57.29</v>
      </c>
      <c r="D33" s="64">
        <v>65.290000000000006</v>
      </c>
      <c r="E33" s="64">
        <v>6.78</v>
      </c>
      <c r="F33" s="64">
        <v>2.13</v>
      </c>
      <c r="G33" s="64">
        <v>65.13</v>
      </c>
      <c r="H33" s="64">
        <v>22.64</v>
      </c>
      <c r="I33" s="210" t="s">
        <v>43</v>
      </c>
      <c r="J33" s="64">
        <v>0.67</v>
      </c>
      <c r="K33" s="64">
        <v>15.43</v>
      </c>
      <c r="L33" s="64">
        <v>15.94</v>
      </c>
      <c r="M33" s="64">
        <v>47.55</v>
      </c>
      <c r="N33" s="64">
        <v>67.8</v>
      </c>
      <c r="O33" s="64">
        <v>0</v>
      </c>
      <c r="P33" s="64">
        <v>0.56000000000000005</v>
      </c>
      <c r="Q33" s="64">
        <v>9.33</v>
      </c>
      <c r="S33" s="198"/>
      <c r="T33" s="198"/>
      <c r="U33" s="198"/>
    </row>
    <row r="34" spans="1:21" s="12" customFormat="1" x14ac:dyDescent="0.25">
      <c r="A34" s="213" t="s">
        <v>2381</v>
      </c>
      <c r="B34" s="64">
        <v>9.9499999999999993</v>
      </c>
      <c r="C34" s="64">
        <v>58.39</v>
      </c>
      <c r="D34" s="64">
        <v>66.239999999999995</v>
      </c>
      <c r="E34" s="64">
        <v>6.67</v>
      </c>
      <c r="F34" s="64">
        <v>2.13</v>
      </c>
      <c r="G34" s="64">
        <v>65.010000000000005</v>
      </c>
      <c r="H34" s="64">
        <v>22.64</v>
      </c>
      <c r="I34" s="210" t="s">
        <v>43</v>
      </c>
      <c r="J34" s="64">
        <v>0.55000000000000004</v>
      </c>
      <c r="K34" s="64">
        <v>25.9</v>
      </c>
      <c r="L34" s="64">
        <v>15.85</v>
      </c>
      <c r="M34" s="64">
        <v>47.65</v>
      </c>
      <c r="N34" s="64">
        <v>71.2</v>
      </c>
      <c r="O34" s="64">
        <v>0</v>
      </c>
      <c r="P34" s="64">
        <v>0.53</v>
      </c>
      <c r="Q34" s="64">
        <v>9.32</v>
      </c>
      <c r="S34" s="198"/>
      <c r="T34" s="198"/>
      <c r="U34" s="198"/>
    </row>
    <row r="35" spans="1:21" s="12" customFormat="1" x14ac:dyDescent="0.25">
      <c r="A35" s="213" t="s">
        <v>2382</v>
      </c>
      <c r="B35" s="64">
        <v>9.9600000000000009</v>
      </c>
      <c r="C35" s="64">
        <v>58.66</v>
      </c>
      <c r="D35" s="64">
        <v>66.52</v>
      </c>
      <c r="E35" s="64">
        <v>6.7</v>
      </c>
      <c r="F35" s="64">
        <v>2.13</v>
      </c>
      <c r="G35" s="64">
        <v>65.010000000000005</v>
      </c>
      <c r="H35" s="64">
        <v>22.64</v>
      </c>
      <c r="I35" s="210" t="s">
        <v>43</v>
      </c>
      <c r="J35" s="64">
        <v>0.35</v>
      </c>
      <c r="K35" s="64">
        <v>34.15</v>
      </c>
      <c r="L35" s="64">
        <v>15.7</v>
      </c>
      <c r="M35" s="64">
        <v>48.24</v>
      </c>
      <c r="N35" s="64">
        <v>82.3</v>
      </c>
      <c r="O35" s="64">
        <v>0</v>
      </c>
      <c r="P35" s="64">
        <v>0.54</v>
      </c>
      <c r="Q35" s="64">
        <v>9.34</v>
      </c>
      <c r="S35" s="198"/>
      <c r="T35" s="198"/>
      <c r="U35" s="198"/>
    </row>
    <row r="36" spans="1:21" s="12" customFormat="1" x14ac:dyDescent="0.25">
      <c r="A36" s="213" t="s">
        <v>2383</v>
      </c>
      <c r="B36" s="64">
        <v>10.45</v>
      </c>
      <c r="C36" s="64">
        <v>59.31</v>
      </c>
      <c r="D36" s="64">
        <v>67.66</v>
      </c>
      <c r="E36" s="64">
        <v>6.42</v>
      </c>
      <c r="F36" s="64">
        <v>2.13</v>
      </c>
      <c r="G36" s="64">
        <v>65.010000000000005</v>
      </c>
      <c r="H36" s="64">
        <v>22.64</v>
      </c>
      <c r="I36" s="210" t="s">
        <v>43</v>
      </c>
      <c r="J36" s="64">
        <v>0.52</v>
      </c>
      <c r="K36" s="64">
        <v>56.14</v>
      </c>
      <c r="L36" s="64">
        <v>15.99</v>
      </c>
      <c r="M36" s="64">
        <v>47.75</v>
      </c>
      <c r="N36" s="64">
        <v>99.4</v>
      </c>
      <c r="O36" s="64">
        <v>0</v>
      </c>
      <c r="P36" s="64">
        <v>0.54</v>
      </c>
      <c r="Q36" s="64">
        <v>9.36</v>
      </c>
      <c r="S36" s="198"/>
      <c r="T36" s="198"/>
      <c r="U36" s="198"/>
    </row>
    <row r="37" spans="1:21" s="12" customFormat="1" x14ac:dyDescent="0.25">
      <c r="A37" s="213" t="s">
        <v>2384</v>
      </c>
      <c r="B37" s="64">
        <v>10.78</v>
      </c>
      <c r="C37" s="64">
        <v>60.25</v>
      </c>
      <c r="D37" s="64">
        <v>68.92</v>
      </c>
      <c r="E37" s="64">
        <v>6.27</v>
      </c>
      <c r="F37" s="64">
        <v>2.13</v>
      </c>
      <c r="G37" s="64">
        <v>60.58</v>
      </c>
      <c r="H37" s="64">
        <v>19</v>
      </c>
      <c r="I37" s="210" t="s">
        <v>43</v>
      </c>
      <c r="J37" s="64">
        <v>0.65</v>
      </c>
      <c r="K37" s="64">
        <v>31.34</v>
      </c>
      <c r="L37" s="64">
        <v>16.79</v>
      </c>
      <c r="M37" s="64">
        <v>45.9</v>
      </c>
      <c r="N37" s="64">
        <v>163.4</v>
      </c>
      <c r="O37" s="64">
        <v>0</v>
      </c>
      <c r="P37" s="64">
        <v>0.54</v>
      </c>
      <c r="Q37" s="64">
        <v>9.3699999999999992</v>
      </c>
      <c r="S37" s="198"/>
      <c r="T37" s="198"/>
      <c r="U37" s="198"/>
    </row>
    <row r="38" spans="1:21" s="12" customFormat="1" x14ac:dyDescent="0.25">
      <c r="A38" s="213" t="s">
        <v>2385</v>
      </c>
      <c r="B38" s="64">
        <v>11.39</v>
      </c>
      <c r="C38" s="64">
        <v>61.01</v>
      </c>
      <c r="D38" s="64">
        <v>70.31</v>
      </c>
      <c r="E38" s="64">
        <v>6.51</v>
      </c>
      <c r="F38" s="64">
        <v>2.13</v>
      </c>
      <c r="G38" s="64">
        <v>60.53</v>
      </c>
      <c r="H38" s="64">
        <v>18.96</v>
      </c>
      <c r="I38" s="210" t="s">
        <v>43</v>
      </c>
      <c r="J38" s="64">
        <v>0.56999999999999995</v>
      </c>
      <c r="K38" s="64">
        <v>45.87</v>
      </c>
      <c r="L38" s="64">
        <v>18.510000000000002</v>
      </c>
      <c r="M38" s="64">
        <v>42.85</v>
      </c>
      <c r="N38" s="64">
        <v>225</v>
      </c>
      <c r="O38" s="64">
        <v>0</v>
      </c>
      <c r="P38" s="64">
        <v>0.56999999999999995</v>
      </c>
      <c r="Q38" s="64">
        <v>9.4</v>
      </c>
      <c r="S38" s="198"/>
      <c r="T38" s="198"/>
      <c r="U38" s="198"/>
    </row>
    <row r="39" spans="1:21" s="12" customFormat="1" x14ac:dyDescent="0.25">
      <c r="A39" s="213" t="s">
        <v>2386</v>
      </c>
      <c r="B39" s="64">
        <v>12.01</v>
      </c>
      <c r="C39" s="64">
        <v>61.81</v>
      </c>
      <c r="D39" s="64">
        <v>71.72</v>
      </c>
      <c r="E39" s="64">
        <v>6.34</v>
      </c>
      <c r="F39" s="64">
        <v>2.13</v>
      </c>
      <c r="G39" s="64">
        <v>60.53</v>
      </c>
      <c r="H39" s="64">
        <v>18.96</v>
      </c>
      <c r="I39" s="210" t="s">
        <v>43</v>
      </c>
      <c r="J39" s="64">
        <v>0.65</v>
      </c>
      <c r="K39" s="64">
        <v>65.62</v>
      </c>
      <c r="L39" s="64">
        <v>19.510000000000002</v>
      </c>
      <c r="M39" s="64">
        <v>41.79</v>
      </c>
      <c r="N39" s="64">
        <v>284.8</v>
      </c>
      <c r="O39" s="64">
        <v>0</v>
      </c>
      <c r="P39" s="64">
        <v>0.56999999999999995</v>
      </c>
      <c r="Q39" s="64">
        <v>9.43</v>
      </c>
      <c r="S39" s="198"/>
      <c r="T39" s="198"/>
      <c r="U39" s="198"/>
    </row>
    <row r="40" spans="1:21" s="12" customFormat="1" x14ac:dyDescent="0.25">
      <c r="A40" s="213" t="s">
        <v>2387</v>
      </c>
      <c r="B40" s="64">
        <v>12.51</v>
      </c>
      <c r="C40" s="64">
        <v>62.77</v>
      </c>
      <c r="D40" s="64">
        <v>73.180000000000007</v>
      </c>
      <c r="E40" s="64">
        <v>5.37</v>
      </c>
      <c r="F40" s="64">
        <v>2.13</v>
      </c>
      <c r="G40" s="64">
        <v>60.53</v>
      </c>
      <c r="H40" s="64">
        <v>18.96</v>
      </c>
      <c r="I40" s="210" t="s">
        <v>43</v>
      </c>
      <c r="J40" s="64">
        <v>0.85</v>
      </c>
      <c r="K40" s="64">
        <v>76.489999999999995</v>
      </c>
      <c r="L40" s="64">
        <v>20.2</v>
      </c>
      <c r="M40" s="64">
        <v>40.78</v>
      </c>
      <c r="N40" s="64">
        <v>344</v>
      </c>
      <c r="O40" s="64">
        <v>0</v>
      </c>
      <c r="P40" s="64">
        <v>0.56999999999999995</v>
      </c>
      <c r="Q40" s="64">
        <v>9.44</v>
      </c>
      <c r="S40" s="198"/>
      <c r="T40" s="198"/>
      <c r="U40" s="198"/>
    </row>
    <row r="41" spans="1:21" s="12" customFormat="1" x14ac:dyDescent="0.25">
      <c r="A41" s="213" t="s">
        <v>2388</v>
      </c>
      <c r="B41" s="64">
        <v>12.86</v>
      </c>
      <c r="C41" s="64">
        <v>63.74</v>
      </c>
      <c r="D41" s="64">
        <v>74.5</v>
      </c>
      <c r="E41" s="64">
        <v>6.45</v>
      </c>
      <c r="F41" s="64">
        <v>2.13</v>
      </c>
      <c r="G41" s="64">
        <v>63.76</v>
      </c>
      <c r="H41" s="64">
        <v>20.02</v>
      </c>
      <c r="I41" s="210" t="s">
        <v>43</v>
      </c>
      <c r="J41" s="64">
        <v>0.71</v>
      </c>
      <c r="K41" s="64">
        <v>61.56</v>
      </c>
      <c r="L41" s="64">
        <v>21.18</v>
      </c>
      <c r="M41" s="64">
        <v>39</v>
      </c>
      <c r="N41" s="64">
        <v>404.9</v>
      </c>
      <c r="O41" s="64">
        <v>0</v>
      </c>
      <c r="P41" s="64">
        <v>0.56000000000000005</v>
      </c>
      <c r="Q41" s="64">
        <v>9.44</v>
      </c>
      <c r="S41" s="198"/>
      <c r="T41" s="198"/>
      <c r="U41" s="198"/>
    </row>
    <row r="42" spans="1:21" s="12" customFormat="1" x14ac:dyDescent="0.25">
      <c r="A42" s="213" t="s">
        <v>2389</v>
      </c>
      <c r="B42" s="64">
        <v>13.74</v>
      </c>
      <c r="C42" s="64">
        <v>64.78</v>
      </c>
      <c r="D42" s="64">
        <v>76.42</v>
      </c>
      <c r="E42" s="64">
        <v>6.42</v>
      </c>
      <c r="F42" s="64">
        <v>2.13</v>
      </c>
      <c r="G42" s="64">
        <v>63.79</v>
      </c>
      <c r="H42" s="64">
        <v>20.03</v>
      </c>
      <c r="I42" s="210" t="s">
        <v>43</v>
      </c>
      <c r="J42" s="64">
        <v>0.75</v>
      </c>
      <c r="K42" s="64">
        <v>23.22</v>
      </c>
      <c r="L42" s="64">
        <v>22.48</v>
      </c>
      <c r="M42" s="64">
        <v>37.22</v>
      </c>
      <c r="N42" s="64">
        <v>460.5</v>
      </c>
      <c r="O42" s="64">
        <v>0</v>
      </c>
      <c r="P42" s="64">
        <v>0.56999999999999995</v>
      </c>
      <c r="Q42" s="64">
        <v>9.44</v>
      </c>
      <c r="S42" s="198"/>
      <c r="T42" s="198"/>
      <c r="U42" s="198"/>
    </row>
    <row r="43" spans="1:21" s="12" customFormat="1" x14ac:dyDescent="0.25">
      <c r="A43" s="213" t="s">
        <v>2390</v>
      </c>
      <c r="B43" s="64">
        <v>14.78</v>
      </c>
      <c r="C43" s="64">
        <v>65.930000000000007</v>
      </c>
      <c r="D43" s="64">
        <v>78.61</v>
      </c>
      <c r="E43" s="64">
        <v>6.65</v>
      </c>
      <c r="F43" s="64">
        <v>2.13</v>
      </c>
      <c r="G43" s="64">
        <v>63.79</v>
      </c>
      <c r="H43" s="64">
        <v>20.03</v>
      </c>
      <c r="I43" s="210" t="s">
        <v>43</v>
      </c>
      <c r="J43" s="64">
        <v>1</v>
      </c>
      <c r="K43" s="64">
        <v>12.65</v>
      </c>
      <c r="L43" s="64">
        <v>23.82</v>
      </c>
      <c r="M43" s="64">
        <v>35.11</v>
      </c>
      <c r="N43" s="64">
        <v>514.29999999999995</v>
      </c>
      <c r="O43" s="64">
        <v>0</v>
      </c>
      <c r="P43" s="64">
        <v>0.57999999999999996</v>
      </c>
      <c r="Q43" s="64">
        <v>9.43</v>
      </c>
      <c r="S43" s="198"/>
      <c r="T43" s="198"/>
      <c r="U43" s="198"/>
    </row>
    <row r="44" spans="1:21" s="12" customFormat="1" x14ac:dyDescent="0.25">
      <c r="A44" s="213" t="s">
        <v>2391</v>
      </c>
      <c r="B44" s="64">
        <v>15.61</v>
      </c>
      <c r="C44" s="64">
        <v>67.959999999999994</v>
      </c>
      <c r="D44" s="64">
        <v>81.47</v>
      </c>
      <c r="E44" s="64">
        <v>6.88</v>
      </c>
      <c r="F44" s="64">
        <v>2.13</v>
      </c>
      <c r="G44" s="64">
        <v>63.79</v>
      </c>
      <c r="H44" s="64">
        <v>20.03</v>
      </c>
      <c r="I44" s="210" t="s">
        <v>43</v>
      </c>
      <c r="J44" s="64">
        <v>1.08</v>
      </c>
      <c r="K44" s="64">
        <v>31.54</v>
      </c>
      <c r="L44" s="64">
        <v>23.8</v>
      </c>
      <c r="M44" s="64">
        <v>33.65</v>
      </c>
      <c r="N44" s="64">
        <v>580.1</v>
      </c>
      <c r="O44" s="64">
        <v>0</v>
      </c>
      <c r="P44" s="64">
        <v>0.56999999999999995</v>
      </c>
      <c r="Q44" s="64">
        <v>9.43</v>
      </c>
      <c r="S44" s="198"/>
      <c r="T44" s="198"/>
      <c r="U44" s="198"/>
    </row>
    <row r="45" spans="1:21" s="12" customFormat="1" x14ac:dyDescent="0.25">
      <c r="A45" s="213" t="s">
        <v>2392</v>
      </c>
      <c r="B45" s="64">
        <v>15.88</v>
      </c>
      <c r="C45" s="64">
        <v>69.25</v>
      </c>
      <c r="D45" s="64">
        <v>83.03</v>
      </c>
      <c r="E45" s="64">
        <v>7.03</v>
      </c>
      <c r="F45" s="64">
        <v>2.13</v>
      </c>
      <c r="G45" s="64">
        <v>69.569999999999993</v>
      </c>
      <c r="H45" s="64">
        <v>20.97</v>
      </c>
      <c r="I45" s="210" t="s">
        <v>43</v>
      </c>
      <c r="J45" s="64">
        <v>1.39</v>
      </c>
      <c r="K45" s="64">
        <v>5.88</v>
      </c>
      <c r="L45" s="64">
        <v>25.64</v>
      </c>
      <c r="M45" s="64">
        <v>28.93</v>
      </c>
      <c r="N45" s="64">
        <v>630.9</v>
      </c>
      <c r="O45" s="64">
        <v>0</v>
      </c>
      <c r="P45" s="64">
        <v>0.56000000000000005</v>
      </c>
      <c r="Q45" s="64">
        <v>9.43</v>
      </c>
      <c r="S45" s="198"/>
      <c r="T45" s="198"/>
      <c r="U45" s="198"/>
    </row>
    <row r="46" spans="1:21" s="12" customFormat="1" x14ac:dyDescent="0.25">
      <c r="A46" s="213" t="s">
        <v>2393</v>
      </c>
      <c r="B46" s="64">
        <v>15.35</v>
      </c>
      <c r="C46" s="64">
        <v>70</v>
      </c>
      <c r="D46" s="64">
        <v>83.25</v>
      </c>
      <c r="E46" s="64">
        <v>7.11</v>
      </c>
      <c r="F46" s="64">
        <v>2.13</v>
      </c>
      <c r="G46" s="64">
        <v>69.569999999999993</v>
      </c>
      <c r="H46" s="64">
        <v>20.98</v>
      </c>
      <c r="I46" s="210" t="s">
        <v>43</v>
      </c>
      <c r="J46" s="64">
        <v>1.59</v>
      </c>
      <c r="K46" s="64">
        <v>9.1</v>
      </c>
      <c r="L46" s="64">
        <v>26.11</v>
      </c>
      <c r="M46" s="64">
        <v>26.93</v>
      </c>
      <c r="N46" s="64">
        <v>675.6</v>
      </c>
      <c r="O46" s="64">
        <v>0</v>
      </c>
      <c r="P46" s="64">
        <v>0.55000000000000004</v>
      </c>
      <c r="Q46" s="64">
        <v>9.43</v>
      </c>
      <c r="S46" s="198"/>
      <c r="T46" s="198"/>
      <c r="U46" s="198"/>
    </row>
    <row r="47" spans="1:21" s="12" customFormat="1" x14ac:dyDescent="0.25">
      <c r="A47" s="213" t="s">
        <v>2394</v>
      </c>
      <c r="B47" s="64">
        <v>14.16</v>
      </c>
      <c r="C47" s="64">
        <v>70.19</v>
      </c>
      <c r="D47" s="64">
        <v>82.25</v>
      </c>
      <c r="E47" s="64">
        <v>7.25</v>
      </c>
      <c r="F47" s="64">
        <v>2.13</v>
      </c>
      <c r="G47" s="64">
        <v>69.569999999999993</v>
      </c>
      <c r="H47" s="64">
        <v>20.98</v>
      </c>
      <c r="I47" s="210" t="s">
        <v>43</v>
      </c>
      <c r="J47" s="64">
        <v>1.96</v>
      </c>
      <c r="K47" s="64">
        <v>5.93</v>
      </c>
      <c r="L47" s="64">
        <v>26.69</v>
      </c>
      <c r="M47" s="64">
        <v>24.11</v>
      </c>
      <c r="N47" s="64">
        <v>713.6</v>
      </c>
      <c r="O47" s="64">
        <v>0</v>
      </c>
      <c r="P47" s="64">
        <v>0.54</v>
      </c>
      <c r="Q47" s="64">
        <v>9.44</v>
      </c>
      <c r="S47" s="198"/>
      <c r="T47" s="198"/>
      <c r="U47" s="198"/>
    </row>
    <row r="48" spans="1:21" s="12" customFormat="1" x14ac:dyDescent="0.25">
      <c r="A48" s="213" t="s">
        <v>2395</v>
      </c>
      <c r="B48" s="64">
        <v>12.67</v>
      </c>
      <c r="C48" s="64">
        <v>70.09</v>
      </c>
      <c r="D48" s="64">
        <v>80.66</v>
      </c>
      <c r="E48" s="64">
        <v>7.13</v>
      </c>
      <c r="F48" s="64">
        <v>2.13</v>
      </c>
      <c r="G48" s="64">
        <v>69.569999999999993</v>
      </c>
      <c r="H48" s="64">
        <v>20.98</v>
      </c>
      <c r="I48" s="210" t="s">
        <v>43</v>
      </c>
      <c r="J48" s="64">
        <v>1.22</v>
      </c>
      <c r="K48" s="64">
        <v>62.16</v>
      </c>
      <c r="L48" s="64">
        <v>25.71</v>
      </c>
      <c r="M48" s="64">
        <v>24.12</v>
      </c>
      <c r="N48" s="64">
        <v>760.1</v>
      </c>
      <c r="O48" s="64">
        <v>0</v>
      </c>
      <c r="P48" s="64">
        <v>0.52</v>
      </c>
      <c r="Q48" s="64">
        <v>9.44</v>
      </c>
      <c r="S48" s="198"/>
      <c r="T48" s="198"/>
      <c r="U48" s="198"/>
    </row>
    <row r="49" spans="1:21" s="12" customFormat="1" x14ac:dyDescent="0.25">
      <c r="A49" s="213" t="s">
        <v>2396</v>
      </c>
      <c r="B49" s="64">
        <v>11.68</v>
      </c>
      <c r="C49" s="64">
        <v>69.69</v>
      </c>
      <c r="D49" s="64">
        <v>79.27</v>
      </c>
      <c r="E49" s="64">
        <v>7.39</v>
      </c>
      <c r="F49" s="64">
        <v>2.13</v>
      </c>
      <c r="G49" s="64">
        <v>69.180000000000007</v>
      </c>
      <c r="H49" s="64">
        <v>19.190000000000001</v>
      </c>
      <c r="I49" s="210" t="s">
        <v>43</v>
      </c>
      <c r="J49" s="64">
        <v>1.59</v>
      </c>
      <c r="K49" s="64">
        <v>19.559999999999999</v>
      </c>
      <c r="L49" s="64">
        <v>26.01</v>
      </c>
      <c r="M49" s="64">
        <v>23.16</v>
      </c>
      <c r="N49" s="64">
        <v>793.3</v>
      </c>
      <c r="O49" s="64">
        <v>0</v>
      </c>
      <c r="P49" s="64">
        <v>0.53</v>
      </c>
      <c r="Q49" s="64">
        <v>9.42</v>
      </c>
      <c r="S49" s="198"/>
      <c r="T49" s="198"/>
      <c r="U49" s="198"/>
    </row>
    <row r="50" spans="1:21" s="12" customFormat="1" x14ac:dyDescent="0.25">
      <c r="A50" s="213" t="s">
        <v>2397</v>
      </c>
      <c r="B50" s="64">
        <v>10.95</v>
      </c>
      <c r="C50" s="64">
        <v>69.430000000000007</v>
      </c>
      <c r="D50" s="64">
        <v>78.28</v>
      </c>
      <c r="E50" s="64">
        <v>7.71</v>
      </c>
      <c r="F50" s="64">
        <v>2.13</v>
      </c>
      <c r="G50" s="64">
        <v>69.17</v>
      </c>
      <c r="H50" s="64">
        <v>19.170000000000002</v>
      </c>
      <c r="I50" s="210" t="s">
        <v>43</v>
      </c>
      <c r="J50" s="64">
        <v>1.53</v>
      </c>
      <c r="K50" s="64">
        <v>4.84</v>
      </c>
      <c r="L50" s="64">
        <v>28.28</v>
      </c>
      <c r="M50" s="64">
        <v>20.73</v>
      </c>
      <c r="N50" s="64">
        <v>818.6</v>
      </c>
      <c r="O50" s="64">
        <v>0</v>
      </c>
      <c r="P50" s="64">
        <v>0.54</v>
      </c>
      <c r="Q50" s="64">
        <v>9.3800000000000008</v>
      </c>
      <c r="S50" s="198"/>
      <c r="T50" s="198"/>
      <c r="U50" s="198"/>
    </row>
    <row r="51" spans="1:21" s="12" customFormat="1" x14ac:dyDescent="0.25">
      <c r="A51" s="213" t="s">
        <v>2398</v>
      </c>
      <c r="B51" s="64">
        <v>10.27</v>
      </c>
      <c r="C51" s="64">
        <v>68.61</v>
      </c>
      <c r="D51" s="64">
        <v>76.78</v>
      </c>
      <c r="E51" s="64">
        <v>7.63</v>
      </c>
      <c r="F51" s="64">
        <v>2.13</v>
      </c>
      <c r="G51" s="64">
        <v>69.17</v>
      </c>
      <c r="H51" s="64">
        <v>19.170000000000002</v>
      </c>
      <c r="I51" s="210" t="s">
        <v>43</v>
      </c>
      <c r="J51" s="64">
        <v>1.22</v>
      </c>
      <c r="K51" s="64">
        <v>20.420000000000002</v>
      </c>
      <c r="L51" s="64">
        <v>28.87</v>
      </c>
      <c r="M51" s="64">
        <v>20.87</v>
      </c>
      <c r="N51" s="64">
        <v>851.7</v>
      </c>
      <c r="O51" s="64">
        <v>0</v>
      </c>
      <c r="P51" s="64">
        <v>0.53</v>
      </c>
      <c r="Q51" s="64">
        <v>9.3699999999999992</v>
      </c>
      <c r="S51" s="198"/>
      <c r="T51" s="198"/>
      <c r="U51" s="198"/>
    </row>
    <row r="52" spans="1:21" s="12" customFormat="1" x14ac:dyDescent="0.25">
      <c r="A52" s="213" t="s">
        <v>2399</v>
      </c>
      <c r="B52" s="64">
        <v>10.5</v>
      </c>
      <c r="C52" s="64">
        <v>68.14</v>
      </c>
      <c r="D52" s="64">
        <v>76.540000000000006</v>
      </c>
      <c r="E52" s="64">
        <v>6.91</v>
      </c>
      <c r="F52" s="64">
        <v>2.13</v>
      </c>
      <c r="G52" s="64">
        <v>69.17</v>
      </c>
      <c r="H52" s="64">
        <v>19.170000000000002</v>
      </c>
      <c r="I52" s="210" t="s">
        <v>43</v>
      </c>
      <c r="J52" s="64">
        <v>1.46</v>
      </c>
      <c r="K52" s="64">
        <v>12.24</v>
      </c>
      <c r="L52" s="64">
        <v>28.1</v>
      </c>
      <c r="M52" s="64">
        <v>20.55</v>
      </c>
      <c r="N52" s="64">
        <v>897.6</v>
      </c>
      <c r="O52" s="64">
        <v>0</v>
      </c>
      <c r="P52" s="64">
        <v>0.52</v>
      </c>
      <c r="Q52" s="64">
        <v>9.3699999999999992</v>
      </c>
      <c r="S52" s="198"/>
      <c r="T52" s="198"/>
      <c r="U52" s="198"/>
    </row>
    <row r="53" spans="1:21" s="12" customFormat="1" x14ac:dyDescent="0.25">
      <c r="A53" s="213" t="s">
        <v>2400</v>
      </c>
      <c r="B53" s="64">
        <v>11.01</v>
      </c>
      <c r="C53" s="64">
        <v>68.08</v>
      </c>
      <c r="D53" s="64">
        <v>76.989999999999995</v>
      </c>
      <c r="E53" s="64">
        <v>6.9</v>
      </c>
      <c r="F53" s="64">
        <v>2.13</v>
      </c>
      <c r="G53" s="64">
        <v>65.14</v>
      </c>
      <c r="H53" s="64">
        <v>16.809999999999999</v>
      </c>
      <c r="I53" s="210" t="s">
        <v>43</v>
      </c>
      <c r="J53" s="64">
        <v>1.54</v>
      </c>
      <c r="K53" s="64">
        <v>79.400000000000006</v>
      </c>
      <c r="L53" s="64">
        <v>26.5</v>
      </c>
      <c r="M53" s="64">
        <v>22.94</v>
      </c>
      <c r="N53" s="64">
        <v>920.9</v>
      </c>
      <c r="O53" s="64">
        <v>0</v>
      </c>
      <c r="P53" s="64">
        <v>0.51</v>
      </c>
      <c r="Q53" s="64">
        <v>9.41</v>
      </c>
      <c r="S53" s="198"/>
      <c r="T53" s="198"/>
      <c r="U53" s="198"/>
    </row>
    <row r="54" spans="1:21" s="12" customFormat="1" x14ac:dyDescent="0.25">
      <c r="A54" s="213" t="s">
        <v>2401</v>
      </c>
      <c r="B54" s="64">
        <v>11.19</v>
      </c>
      <c r="C54" s="64">
        <v>67.77</v>
      </c>
      <c r="D54" s="64">
        <v>76.849999999999994</v>
      </c>
      <c r="E54" s="64">
        <v>7.15</v>
      </c>
      <c r="F54" s="64">
        <v>2.13</v>
      </c>
      <c r="G54" s="64">
        <v>65.09</v>
      </c>
      <c r="H54" s="64">
        <v>16.78</v>
      </c>
      <c r="I54" s="210" t="s">
        <v>43</v>
      </c>
      <c r="J54" s="64">
        <v>1.32</v>
      </c>
      <c r="K54" s="64">
        <v>22.04</v>
      </c>
      <c r="L54" s="64">
        <v>27.01</v>
      </c>
      <c r="M54" s="64">
        <v>22.29</v>
      </c>
      <c r="N54" s="64">
        <v>910</v>
      </c>
      <c r="O54" s="64">
        <v>0</v>
      </c>
      <c r="P54" s="64">
        <v>0.5</v>
      </c>
      <c r="Q54" s="64">
        <v>9.44</v>
      </c>
      <c r="S54" s="198"/>
      <c r="T54" s="198"/>
      <c r="U54" s="198"/>
    </row>
    <row r="55" spans="1:21" s="12" customFormat="1" x14ac:dyDescent="0.25">
      <c r="A55" s="213" t="s">
        <v>2402</v>
      </c>
      <c r="B55" s="64">
        <v>11.4</v>
      </c>
      <c r="C55" s="64">
        <v>68.180000000000007</v>
      </c>
      <c r="D55" s="64">
        <v>77.48</v>
      </c>
      <c r="E55" s="64">
        <v>7.17</v>
      </c>
      <c r="F55" s="64">
        <v>2.13</v>
      </c>
      <c r="G55" s="64">
        <v>65.09</v>
      </c>
      <c r="H55" s="64">
        <v>16.78</v>
      </c>
      <c r="I55" s="210" t="s">
        <v>43</v>
      </c>
      <c r="J55" s="64">
        <v>1.24</v>
      </c>
      <c r="K55" s="64">
        <v>40.700000000000003</v>
      </c>
      <c r="L55" s="64">
        <v>27.3</v>
      </c>
      <c r="M55" s="64">
        <v>22.56</v>
      </c>
      <c r="N55" s="64">
        <v>917.2</v>
      </c>
      <c r="O55" s="64">
        <v>0</v>
      </c>
      <c r="P55" s="64">
        <v>0.5</v>
      </c>
      <c r="Q55" s="64">
        <v>9.44</v>
      </c>
      <c r="S55" s="198"/>
      <c r="T55" s="198"/>
      <c r="U55" s="198"/>
    </row>
    <row r="56" spans="1:21" s="12" customFormat="1" x14ac:dyDescent="0.25">
      <c r="A56" s="213" t="s">
        <v>2403</v>
      </c>
      <c r="B56" s="64">
        <v>11.31</v>
      </c>
      <c r="C56" s="64">
        <v>68.22</v>
      </c>
      <c r="D56" s="64">
        <v>77.430000000000007</v>
      </c>
      <c r="E56" s="64">
        <v>6.76</v>
      </c>
      <c r="F56" s="64">
        <v>2.13</v>
      </c>
      <c r="G56" s="64">
        <v>65.09</v>
      </c>
      <c r="H56" s="64">
        <v>16.78</v>
      </c>
      <c r="I56" s="210" t="s">
        <v>43</v>
      </c>
      <c r="J56" s="64">
        <v>1.1299999999999999</v>
      </c>
      <c r="K56" s="64">
        <v>14.06</v>
      </c>
      <c r="L56" s="64">
        <v>28.34</v>
      </c>
      <c r="M56" s="64">
        <v>21.26</v>
      </c>
      <c r="N56" s="64">
        <v>887.2</v>
      </c>
      <c r="O56" s="64">
        <v>0</v>
      </c>
      <c r="P56" s="64">
        <v>0.49</v>
      </c>
      <c r="Q56" s="64">
        <v>9.43</v>
      </c>
      <c r="S56" s="198"/>
      <c r="T56" s="198"/>
      <c r="U56" s="198"/>
    </row>
    <row r="57" spans="1:21" s="12" customFormat="1" x14ac:dyDescent="0.25">
      <c r="A57" s="213" t="s">
        <v>2404</v>
      </c>
      <c r="B57" s="64">
        <v>11.3</v>
      </c>
      <c r="C57" s="64">
        <v>68.430000000000007</v>
      </c>
      <c r="D57" s="64">
        <v>77.63</v>
      </c>
      <c r="E57" s="64">
        <v>6.83</v>
      </c>
      <c r="F57" s="64">
        <v>2.13</v>
      </c>
      <c r="G57" s="64">
        <v>55.79</v>
      </c>
      <c r="H57" s="64">
        <v>12.9</v>
      </c>
      <c r="I57" s="210" t="s">
        <v>43</v>
      </c>
      <c r="J57" s="64">
        <v>1.06</v>
      </c>
      <c r="K57" s="64">
        <v>33.340000000000003</v>
      </c>
      <c r="L57" s="64">
        <v>28.3</v>
      </c>
      <c r="M57" s="64">
        <v>21.42</v>
      </c>
      <c r="N57" s="64">
        <v>861.3</v>
      </c>
      <c r="O57" s="64">
        <v>0</v>
      </c>
      <c r="P57" s="64">
        <v>0.5</v>
      </c>
      <c r="Q57" s="64">
        <v>9.43</v>
      </c>
      <c r="S57" s="198"/>
      <c r="T57" s="198"/>
      <c r="U57" s="198"/>
    </row>
    <row r="58" spans="1:21" s="12" customFormat="1" x14ac:dyDescent="0.25">
      <c r="A58" s="213" t="s">
        <v>2405</v>
      </c>
      <c r="B58" s="64">
        <v>10.97</v>
      </c>
      <c r="C58" s="64">
        <v>68.599999999999994</v>
      </c>
      <c r="D58" s="64">
        <v>77.47</v>
      </c>
      <c r="E58" s="64">
        <v>6.96</v>
      </c>
      <c r="F58" s="64">
        <v>2.13</v>
      </c>
      <c r="G58" s="64">
        <v>55.69</v>
      </c>
      <c r="H58" s="64">
        <v>12.85</v>
      </c>
      <c r="I58" s="210" t="s">
        <v>43</v>
      </c>
      <c r="J58" s="64">
        <v>1.23</v>
      </c>
      <c r="K58" s="64">
        <v>347.06</v>
      </c>
      <c r="L58" s="64">
        <v>29.13</v>
      </c>
      <c r="M58" s="64">
        <v>21.31</v>
      </c>
      <c r="N58" s="64">
        <v>831.4</v>
      </c>
      <c r="O58" s="64">
        <v>0</v>
      </c>
      <c r="P58" s="64">
        <v>0.49</v>
      </c>
      <c r="Q58" s="64">
        <v>9.41</v>
      </c>
      <c r="S58" s="198"/>
      <c r="T58" s="198"/>
      <c r="U58" s="198"/>
    </row>
    <row r="59" spans="1:21" s="12" customFormat="1" x14ac:dyDescent="0.25">
      <c r="A59" s="213" t="s">
        <v>2406</v>
      </c>
      <c r="B59" s="64">
        <v>10.58</v>
      </c>
      <c r="C59" s="64">
        <v>68.91</v>
      </c>
      <c r="D59" s="64">
        <v>77.38</v>
      </c>
      <c r="E59" s="64">
        <v>6.51</v>
      </c>
      <c r="F59" s="64">
        <v>2.13</v>
      </c>
      <c r="G59" s="64">
        <v>55.69</v>
      </c>
      <c r="H59" s="64">
        <v>12.85</v>
      </c>
      <c r="I59" s="210" t="s">
        <v>43</v>
      </c>
      <c r="J59" s="64">
        <v>1.2</v>
      </c>
      <c r="K59" s="64">
        <v>10.83</v>
      </c>
      <c r="L59" s="64">
        <v>30.25</v>
      </c>
      <c r="M59" s="64">
        <v>19.95</v>
      </c>
      <c r="N59" s="64">
        <v>795.8</v>
      </c>
      <c r="O59" s="64">
        <v>0</v>
      </c>
      <c r="P59" s="64">
        <v>0.49</v>
      </c>
      <c r="Q59" s="64">
        <v>9.41</v>
      </c>
      <c r="S59" s="198"/>
      <c r="T59" s="198"/>
      <c r="U59" s="198"/>
    </row>
    <row r="60" spans="1:21" s="12" customFormat="1" x14ac:dyDescent="0.25">
      <c r="A60" s="213" t="s">
        <v>2407</v>
      </c>
      <c r="B60" s="64">
        <v>10.06</v>
      </c>
      <c r="C60" s="64">
        <v>68.099999999999994</v>
      </c>
      <c r="D60" s="64">
        <v>76.06</v>
      </c>
      <c r="E60" s="64">
        <v>6.25</v>
      </c>
      <c r="F60" s="64">
        <v>2.15</v>
      </c>
      <c r="G60" s="64">
        <v>55.69</v>
      </c>
      <c r="H60" s="64">
        <v>12.85</v>
      </c>
      <c r="I60" s="210" t="s">
        <v>43</v>
      </c>
      <c r="J60" s="64">
        <v>0.93</v>
      </c>
      <c r="K60" s="64">
        <v>36.15</v>
      </c>
      <c r="L60" s="64">
        <v>28.49</v>
      </c>
      <c r="M60" s="64">
        <v>21.7</v>
      </c>
      <c r="N60" s="64">
        <v>794.1</v>
      </c>
      <c r="O60" s="64">
        <v>0</v>
      </c>
      <c r="P60" s="64">
        <v>0.47</v>
      </c>
      <c r="Q60" s="64">
        <v>9.42</v>
      </c>
      <c r="S60" s="198"/>
      <c r="T60" s="198"/>
      <c r="U60" s="198"/>
    </row>
    <row r="61" spans="1:21" s="12" customFormat="1" x14ac:dyDescent="0.25">
      <c r="A61" s="213" t="s">
        <v>2408</v>
      </c>
      <c r="B61" s="64">
        <v>9.6199999999999992</v>
      </c>
      <c r="C61" s="64">
        <v>68.44</v>
      </c>
      <c r="D61" s="64">
        <v>75.959999999999994</v>
      </c>
      <c r="E61" s="64">
        <v>6.34</v>
      </c>
      <c r="F61" s="64">
        <v>2.88</v>
      </c>
      <c r="G61" s="64">
        <v>53.35</v>
      </c>
      <c r="H61" s="64">
        <v>14.51</v>
      </c>
      <c r="I61" s="210" t="s">
        <v>43</v>
      </c>
      <c r="J61" s="64">
        <v>1.8</v>
      </c>
      <c r="K61" s="64">
        <v>355.33</v>
      </c>
      <c r="L61" s="64">
        <v>29.17</v>
      </c>
      <c r="M61" s="64">
        <v>20.98</v>
      </c>
      <c r="N61" s="64">
        <v>759.6</v>
      </c>
      <c r="O61" s="64">
        <v>0</v>
      </c>
      <c r="P61" s="64">
        <v>0.47</v>
      </c>
      <c r="Q61" s="64">
        <v>9.42</v>
      </c>
      <c r="S61" s="198"/>
      <c r="T61" s="198"/>
      <c r="U61" s="198"/>
    </row>
    <row r="62" spans="1:21" s="12" customFormat="1" x14ac:dyDescent="0.25">
      <c r="A62" s="213" t="s">
        <v>2409</v>
      </c>
      <c r="B62" s="64">
        <v>9.84</v>
      </c>
      <c r="C62" s="64">
        <v>69.36</v>
      </c>
      <c r="D62" s="64">
        <v>77.099999999999994</v>
      </c>
      <c r="E62" s="64">
        <v>7.22</v>
      </c>
      <c r="F62" s="64">
        <v>2.13</v>
      </c>
      <c r="G62" s="64">
        <v>53.32</v>
      </c>
      <c r="H62" s="64">
        <v>14.51</v>
      </c>
      <c r="I62" s="210" t="s">
        <v>43</v>
      </c>
      <c r="J62" s="64">
        <v>1.87</v>
      </c>
      <c r="K62" s="64">
        <v>352.69</v>
      </c>
      <c r="L62" s="64">
        <v>29.66</v>
      </c>
      <c r="M62" s="64">
        <v>20</v>
      </c>
      <c r="N62" s="64">
        <v>581.20000000000005</v>
      </c>
      <c r="O62" s="64">
        <v>0</v>
      </c>
      <c r="P62" s="64">
        <v>0.5</v>
      </c>
      <c r="Q62" s="64">
        <v>9.42</v>
      </c>
      <c r="S62" s="198"/>
      <c r="T62" s="198"/>
      <c r="U62" s="198"/>
    </row>
    <row r="63" spans="1:21" s="12" customFormat="1" x14ac:dyDescent="0.25">
      <c r="A63" s="213" t="s">
        <v>2410</v>
      </c>
      <c r="B63" s="64">
        <v>10.11</v>
      </c>
      <c r="C63" s="64">
        <v>69.7</v>
      </c>
      <c r="D63" s="64">
        <v>77.709999999999994</v>
      </c>
      <c r="E63" s="64">
        <v>6.71</v>
      </c>
      <c r="F63" s="64">
        <v>2.13</v>
      </c>
      <c r="G63" s="64">
        <v>53.32</v>
      </c>
      <c r="H63" s="64">
        <v>14.51</v>
      </c>
      <c r="I63" s="210" t="s">
        <v>43</v>
      </c>
      <c r="J63" s="64">
        <v>2.54</v>
      </c>
      <c r="K63" s="64">
        <v>351.83</v>
      </c>
      <c r="L63" s="64">
        <v>29.95</v>
      </c>
      <c r="M63" s="64">
        <v>17.14</v>
      </c>
      <c r="N63" s="64">
        <v>635.9</v>
      </c>
      <c r="O63" s="64">
        <v>0</v>
      </c>
      <c r="P63" s="64">
        <v>0.48</v>
      </c>
      <c r="Q63" s="64">
        <v>9.4</v>
      </c>
      <c r="S63" s="198"/>
      <c r="T63" s="198"/>
      <c r="U63" s="198"/>
    </row>
    <row r="64" spans="1:21" s="12" customFormat="1" x14ac:dyDescent="0.25">
      <c r="A64" s="213" t="s">
        <v>2411</v>
      </c>
      <c r="B64" s="64">
        <v>10.01</v>
      </c>
      <c r="C64" s="64">
        <v>69.239999999999995</v>
      </c>
      <c r="D64" s="64">
        <v>77.150000000000006</v>
      </c>
      <c r="E64" s="64">
        <v>6.32</v>
      </c>
      <c r="F64" s="64">
        <v>2.13</v>
      </c>
      <c r="G64" s="64">
        <v>53.32</v>
      </c>
      <c r="H64" s="64">
        <v>14.51</v>
      </c>
      <c r="I64" s="210" t="s">
        <v>43</v>
      </c>
      <c r="J64" s="64">
        <v>1.79</v>
      </c>
      <c r="K64" s="64">
        <v>353.63</v>
      </c>
      <c r="L64" s="64">
        <v>30.7</v>
      </c>
      <c r="M64" s="64">
        <v>15.83</v>
      </c>
      <c r="N64" s="64">
        <v>791.3</v>
      </c>
      <c r="O64" s="64">
        <v>0</v>
      </c>
      <c r="P64" s="64">
        <v>0.47</v>
      </c>
      <c r="Q64" s="64">
        <v>9.44</v>
      </c>
      <c r="S64" s="198"/>
      <c r="T64" s="198"/>
      <c r="U64" s="198"/>
    </row>
    <row r="65" spans="1:21" s="12" customFormat="1" x14ac:dyDescent="0.25">
      <c r="A65" s="213" t="s">
        <v>2412</v>
      </c>
      <c r="B65" s="64">
        <v>9.8800000000000008</v>
      </c>
      <c r="C65" s="64">
        <v>68.25</v>
      </c>
      <c r="D65" s="64">
        <v>76.03</v>
      </c>
      <c r="E65" s="64">
        <v>6.47</v>
      </c>
      <c r="F65" s="64">
        <v>2.13</v>
      </c>
      <c r="G65" s="64">
        <v>51.11</v>
      </c>
      <c r="H65" s="64">
        <v>13.93</v>
      </c>
      <c r="I65" s="210" t="s">
        <v>43</v>
      </c>
      <c r="J65" s="64">
        <v>1.82</v>
      </c>
      <c r="K65" s="64">
        <v>339.19</v>
      </c>
      <c r="L65" s="64">
        <v>31.15</v>
      </c>
      <c r="M65" s="64">
        <v>15.75</v>
      </c>
      <c r="N65" s="64">
        <v>609.9</v>
      </c>
      <c r="O65" s="64">
        <v>0</v>
      </c>
      <c r="P65" s="64">
        <v>0.48</v>
      </c>
      <c r="Q65" s="64">
        <v>9.4</v>
      </c>
      <c r="S65" s="198"/>
      <c r="T65" s="198"/>
      <c r="U65" s="198"/>
    </row>
    <row r="66" spans="1:21" s="12" customFormat="1" x14ac:dyDescent="0.25">
      <c r="A66" s="213" t="s">
        <v>2413</v>
      </c>
      <c r="B66" s="64">
        <v>9.89</v>
      </c>
      <c r="C66" s="64">
        <v>67.150000000000006</v>
      </c>
      <c r="D66" s="64">
        <v>74.94</v>
      </c>
      <c r="E66" s="64">
        <v>6.54</v>
      </c>
      <c r="F66" s="64">
        <v>2.13</v>
      </c>
      <c r="G66" s="64">
        <v>51.11</v>
      </c>
      <c r="H66" s="64">
        <v>13.92</v>
      </c>
      <c r="I66" s="210" t="s">
        <v>43</v>
      </c>
      <c r="J66" s="64">
        <v>1.76</v>
      </c>
      <c r="K66" s="64">
        <v>318.06</v>
      </c>
      <c r="L66" s="64">
        <v>31.23</v>
      </c>
      <c r="M66" s="64">
        <v>15.09</v>
      </c>
      <c r="N66" s="64">
        <v>657.5</v>
      </c>
      <c r="O66" s="64">
        <v>0</v>
      </c>
      <c r="P66" s="64">
        <v>0.47</v>
      </c>
      <c r="Q66" s="64">
        <v>9.42</v>
      </c>
      <c r="S66" s="198"/>
      <c r="T66" s="198"/>
      <c r="U66" s="198"/>
    </row>
    <row r="67" spans="1:21" s="12" customFormat="1" x14ac:dyDescent="0.25">
      <c r="A67" s="213" t="s">
        <v>2414</v>
      </c>
      <c r="B67" s="64">
        <v>9.68</v>
      </c>
      <c r="C67" s="64">
        <v>65.83</v>
      </c>
      <c r="D67" s="64">
        <v>73.41</v>
      </c>
      <c r="E67" s="64">
        <v>6.33</v>
      </c>
      <c r="F67" s="64">
        <v>2.13</v>
      </c>
      <c r="G67" s="64">
        <v>51.11</v>
      </c>
      <c r="H67" s="64">
        <v>13.92</v>
      </c>
      <c r="I67" s="210" t="s">
        <v>43</v>
      </c>
      <c r="J67" s="64">
        <v>2.02</v>
      </c>
      <c r="K67" s="64">
        <v>335.42</v>
      </c>
      <c r="L67" s="64">
        <v>30.13</v>
      </c>
      <c r="M67" s="64">
        <v>16.63</v>
      </c>
      <c r="N67" s="64">
        <v>632.29999999999995</v>
      </c>
      <c r="O67" s="64">
        <v>0</v>
      </c>
      <c r="P67" s="64">
        <v>0.43</v>
      </c>
      <c r="Q67" s="64">
        <v>9.43</v>
      </c>
      <c r="S67" s="198"/>
      <c r="T67" s="198"/>
      <c r="U67" s="198"/>
    </row>
    <row r="68" spans="1:21" s="12" customFormat="1" x14ac:dyDescent="0.25">
      <c r="A68" s="213" t="s">
        <v>2415</v>
      </c>
      <c r="B68" s="64">
        <v>9.16</v>
      </c>
      <c r="C68" s="64">
        <v>64.41</v>
      </c>
      <c r="D68" s="64">
        <v>71.47</v>
      </c>
      <c r="E68" s="64">
        <v>6.18</v>
      </c>
      <c r="F68" s="64">
        <v>2.13</v>
      </c>
      <c r="G68" s="64">
        <v>51.11</v>
      </c>
      <c r="H68" s="64">
        <v>13.92</v>
      </c>
      <c r="I68" s="210" t="s">
        <v>43</v>
      </c>
      <c r="J68" s="64">
        <v>1.53</v>
      </c>
      <c r="K68" s="64">
        <v>327.33</v>
      </c>
      <c r="L68" s="64">
        <v>30.23</v>
      </c>
      <c r="M68" s="64">
        <v>16.47</v>
      </c>
      <c r="N68" s="64">
        <v>363.7</v>
      </c>
      <c r="O68" s="64">
        <v>0</v>
      </c>
      <c r="P68" s="64">
        <v>0.45</v>
      </c>
      <c r="Q68" s="64">
        <v>9.42</v>
      </c>
      <c r="S68" s="198"/>
      <c r="T68" s="198"/>
      <c r="U68" s="198"/>
    </row>
    <row r="69" spans="1:21" s="12" customFormat="1" x14ac:dyDescent="0.25">
      <c r="A69" s="213" t="s">
        <v>2416</v>
      </c>
      <c r="B69" s="64">
        <v>8.3800000000000008</v>
      </c>
      <c r="C69" s="64">
        <v>63.12</v>
      </c>
      <c r="D69" s="64">
        <v>69.400000000000006</v>
      </c>
      <c r="E69" s="64">
        <v>5.6</v>
      </c>
      <c r="F69" s="64">
        <v>2.13</v>
      </c>
      <c r="G69" s="64">
        <v>42.67</v>
      </c>
      <c r="H69" s="64">
        <v>13</v>
      </c>
      <c r="I69" s="210" t="s">
        <v>43</v>
      </c>
      <c r="J69" s="64">
        <v>1.42</v>
      </c>
      <c r="K69" s="64">
        <v>310.02999999999997</v>
      </c>
      <c r="L69" s="64">
        <v>30.33</v>
      </c>
      <c r="M69" s="64">
        <v>15.78</v>
      </c>
      <c r="N69" s="64">
        <v>468.5</v>
      </c>
      <c r="O69" s="64">
        <v>0</v>
      </c>
      <c r="P69" s="64">
        <v>0.45</v>
      </c>
      <c r="Q69" s="64">
        <v>9.41</v>
      </c>
      <c r="S69" s="198"/>
      <c r="T69" s="198"/>
      <c r="U69" s="198"/>
    </row>
    <row r="70" spans="1:21" s="12" customFormat="1" x14ac:dyDescent="0.25">
      <c r="A70" s="213" t="s">
        <v>2417</v>
      </c>
      <c r="B70" s="64">
        <v>7.76</v>
      </c>
      <c r="C70" s="64">
        <v>61.95</v>
      </c>
      <c r="D70" s="64">
        <v>67.61</v>
      </c>
      <c r="E70" s="64">
        <v>5.69</v>
      </c>
      <c r="F70" s="64">
        <v>2.13</v>
      </c>
      <c r="G70" s="64">
        <v>42.67</v>
      </c>
      <c r="H70" s="64">
        <v>13</v>
      </c>
      <c r="I70" s="210" t="s">
        <v>43</v>
      </c>
      <c r="J70" s="64">
        <v>2.23</v>
      </c>
      <c r="K70" s="64">
        <v>351.16</v>
      </c>
      <c r="L70" s="64">
        <v>29.08</v>
      </c>
      <c r="M70" s="64">
        <v>16.21</v>
      </c>
      <c r="N70" s="64">
        <v>303.60000000000002</v>
      </c>
      <c r="O70" s="64">
        <v>0</v>
      </c>
      <c r="P70" s="64">
        <v>0.43</v>
      </c>
      <c r="Q70" s="64">
        <v>9.36</v>
      </c>
      <c r="S70" s="198"/>
      <c r="T70" s="198"/>
      <c r="U70" s="198"/>
    </row>
    <row r="71" spans="1:21" s="12" customFormat="1" x14ac:dyDescent="0.25">
      <c r="A71" s="213" t="s">
        <v>2418</v>
      </c>
      <c r="B71" s="64">
        <v>7.54</v>
      </c>
      <c r="C71" s="64">
        <v>61.27</v>
      </c>
      <c r="D71" s="64">
        <v>66.709999999999994</v>
      </c>
      <c r="E71" s="64">
        <v>6</v>
      </c>
      <c r="F71" s="64">
        <v>2.13</v>
      </c>
      <c r="G71" s="64">
        <v>42.67</v>
      </c>
      <c r="H71" s="64">
        <v>13</v>
      </c>
      <c r="I71" s="210" t="s">
        <v>43</v>
      </c>
      <c r="J71" s="64">
        <v>1.6</v>
      </c>
      <c r="K71" s="64">
        <v>356.43</v>
      </c>
      <c r="L71" s="64">
        <v>28.45</v>
      </c>
      <c r="M71" s="64">
        <v>15.87</v>
      </c>
      <c r="N71" s="64">
        <v>261.60000000000002</v>
      </c>
      <c r="O71" s="64">
        <v>0</v>
      </c>
      <c r="P71" s="64">
        <v>0.42</v>
      </c>
      <c r="Q71" s="64">
        <v>9.32</v>
      </c>
      <c r="S71" s="198"/>
      <c r="T71" s="198"/>
      <c r="U71" s="198"/>
    </row>
    <row r="72" spans="1:21" s="12" customFormat="1" x14ac:dyDescent="0.25">
      <c r="A72" s="213" t="s">
        <v>2419</v>
      </c>
      <c r="B72" s="64">
        <v>7.72</v>
      </c>
      <c r="C72" s="64">
        <v>60.92</v>
      </c>
      <c r="D72" s="64">
        <v>66.540000000000006</v>
      </c>
      <c r="E72" s="64">
        <v>6.26</v>
      </c>
      <c r="F72" s="64">
        <v>2.13</v>
      </c>
      <c r="G72" s="64">
        <v>42.67</v>
      </c>
      <c r="H72" s="64">
        <v>13</v>
      </c>
      <c r="I72" s="210" t="s">
        <v>43</v>
      </c>
      <c r="J72" s="64">
        <v>0.99</v>
      </c>
      <c r="K72" s="64">
        <v>7.27</v>
      </c>
      <c r="L72" s="64">
        <v>27.27</v>
      </c>
      <c r="M72" s="64">
        <v>16.25</v>
      </c>
      <c r="N72" s="64">
        <v>264.8</v>
      </c>
      <c r="O72" s="64">
        <v>0</v>
      </c>
      <c r="P72" s="64">
        <v>0.44</v>
      </c>
      <c r="Q72" s="64">
        <v>9.2899999999999991</v>
      </c>
      <c r="S72" s="198"/>
      <c r="T72" s="198"/>
      <c r="U72" s="198"/>
    </row>
    <row r="73" spans="1:21" s="12" customFormat="1" x14ac:dyDescent="0.25">
      <c r="A73" s="213" t="s">
        <v>2420</v>
      </c>
      <c r="B73" s="64">
        <v>7.99</v>
      </c>
      <c r="C73" s="64">
        <v>60.36</v>
      </c>
      <c r="D73" s="64">
        <v>66.25</v>
      </c>
      <c r="E73" s="64">
        <v>6.56</v>
      </c>
      <c r="F73" s="64">
        <v>2.13</v>
      </c>
      <c r="G73" s="64">
        <v>39.21</v>
      </c>
      <c r="H73" s="64">
        <v>19.899999999999999</v>
      </c>
      <c r="I73" s="210" t="s">
        <v>43</v>
      </c>
      <c r="J73" s="64">
        <v>1.1399999999999999</v>
      </c>
      <c r="K73" s="64">
        <v>38.979999999999997</v>
      </c>
      <c r="L73" s="64">
        <v>25.79</v>
      </c>
      <c r="M73" s="64">
        <v>17.920000000000002</v>
      </c>
      <c r="N73" s="64">
        <v>150.80000000000001</v>
      </c>
      <c r="O73" s="64">
        <v>0</v>
      </c>
      <c r="P73" s="64">
        <v>0.43</v>
      </c>
      <c r="Q73" s="64">
        <v>9.2899999999999991</v>
      </c>
      <c r="S73" s="198"/>
      <c r="T73" s="198"/>
      <c r="U73" s="198"/>
    </row>
    <row r="74" spans="1:21" s="12" customFormat="1" x14ac:dyDescent="0.25">
      <c r="A74" s="213" t="s">
        <v>2421</v>
      </c>
      <c r="B74" s="64">
        <v>8.16</v>
      </c>
      <c r="C74" s="64">
        <v>59.74</v>
      </c>
      <c r="D74" s="64">
        <v>65.8</v>
      </c>
      <c r="E74" s="64">
        <v>6.58</v>
      </c>
      <c r="F74" s="64">
        <v>2.13</v>
      </c>
      <c r="G74" s="64">
        <v>39.21</v>
      </c>
      <c r="H74" s="64">
        <v>19.97</v>
      </c>
      <c r="I74" s="210" t="s">
        <v>43</v>
      </c>
      <c r="J74" s="64">
        <v>1.25</v>
      </c>
      <c r="K74" s="64">
        <v>6.79</v>
      </c>
      <c r="L74" s="64">
        <v>25.73</v>
      </c>
      <c r="M74" s="64">
        <v>18.45</v>
      </c>
      <c r="N74" s="64">
        <v>131.69999999999999</v>
      </c>
      <c r="O74" s="64">
        <v>0</v>
      </c>
      <c r="P74" s="64">
        <v>0.42</v>
      </c>
      <c r="Q74" s="64">
        <v>9.31</v>
      </c>
      <c r="S74" s="198"/>
      <c r="T74" s="198"/>
      <c r="U74" s="198"/>
    </row>
    <row r="75" spans="1:21" s="12" customFormat="1" x14ac:dyDescent="0.25">
      <c r="A75" s="213" t="s">
        <v>2422</v>
      </c>
      <c r="B75" s="64">
        <v>8.17</v>
      </c>
      <c r="C75" s="64">
        <v>59.36</v>
      </c>
      <c r="D75" s="64">
        <v>65.430000000000007</v>
      </c>
      <c r="E75" s="64">
        <v>6.82</v>
      </c>
      <c r="F75" s="64">
        <v>2.13</v>
      </c>
      <c r="G75" s="64">
        <v>39.21</v>
      </c>
      <c r="H75" s="64">
        <v>19.97</v>
      </c>
      <c r="I75" s="210" t="s">
        <v>43</v>
      </c>
      <c r="J75" s="64">
        <v>0.91</v>
      </c>
      <c r="K75" s="64">
        <v>6.1</v>
      </c>
      <c r="L75" s="64">
        <v>25.19</v>
      </c>
      <c r="M75" s="64">
        <v>21.43</v>
      </c>
      <c r="N75" s="64">
        <v>126</v>
      </c>
      <c r="O75" s="64">
        <v>0</v>
      </c>
      <c r="P75" s="64">
        <v>0.41</v>
      </c>
      <c r="Q75" s="64">
        <v>9.3000000000000007</v>
      </c>
      <c r="S75" s="198"/>
      <c r="T75" s="198"/>
      <c r="U75" s="198"/>
    </row>
    <row r="76" spans="1:21" s="12" customFormat="1" x14ac:dyDescent="0.25">
      <c r="A76" s="213" t="s">
        <v>2423</v>
      </c>
      <c r="B76" s="64">
        <v>8.5299999999999994</v>
      </c>
      <c r="C76" s="64">
        <v>59.12</v>
      </c>
      <c r="D76" s="64">
        <v>65.540000000000006</v>
      </c>
      <c r="E76" s="64">
        <v>6.85</v>
      </c>
      <c r="F76" s="64">
        <v>2.13</v>
      </c>
      <c r="G76" s="64">
        <v>39.21</v>
      </c>
      <c r="H76" s="64">
        <v>19.97</v>
      </c>
      <c r="I76" s="210" t="s">
        <v>43</v>
      </c>
      <c r="J76" s="64">
        <v>1.33</v>
      </c>
      <c r="K76" s="64">
        <v>353.3</v>
      </c>
      <c r="L76" s="64">
        <v>25.17</v>
      </c>
      <c r="M76" s="64">
        <v>21.64</v>
      </c>
      <c r="N76" s="64">
        <v>115.4</v>
      </c>
      <c r="O76" s="64">
        <v>0</v>
      </c>
      <c r="P76" s="64">
        <v>0.44</v>
      </c>
      <c r="Q76" s="64">
        <v>9.32</v>
      </c>
      <c r="S76" s="198"/>
      <c r="T76" s="198"/>
      <c r="U76" s="198"/>
    </row>
    <row r="77" spans="1:21" s="12" customFormat="1" x14ac:dyDescent="0.25">
      <c r="A77" s="213" t="s">
        <v>2424</v>
      </c>
      <c r="B77" s="64">
        <v>9.18</v>
      </c>
      <c r="C77" s="64">
        <v>59.5</v>
      </c>
      <c r="D77" s="64">
        <v>66.58</v>
      </c>
      <c r="E77" s="64">
        <v>6.63</v>
      </c>
      <c r="F77" s="64">
        <v>2.13</v>
      </c>
      <c r="G77" s="64">
        <v>37.630000000000003</v>
      </c>
      <c r="H77" s="64">
        <v>19.05</v>
      </c>
      <c r="I77" s="210" t="s">
        <v>43</v>
      </c>
      <c r="J77" s="64">
        <v>1.28</v>
      </c>
      <c r="K77" s="64">
        <v>2.73</v>
      </c>
      <c r="L77" s="64">
        <v>24.93</v>
      </c>
      <c r="M77" s="64">
        <v>22.51</v>
      </c>
      <c r="N77" s="64">
        <v>108.1</v>
      </c>
      <c r="O77" s="64">
        <v>0</v>
      </c>
      <c r="P77" s="64">
        <v>0.46</v>
      </c>
      <c r="Q77" s="64">
        <v>9.34</v>
      </c>
      <c r="S77" s="198"/>
      <c r="T77" s="198"/>
      <c r="U77" s="198"/>
    </row>
    <row r="78" spans="1:21" s="12" customFormat="1" x14ac:dyDescent="0.25">
      <c r="A78" s="213" t="s">
        <v>2425</v>
      </c>
      <c r="B78" s="64">
        <v>9.86</v>
      </c>
      <c r="C78" s="64">
        <v>60.08</v>
      </c>
      <c r="D78" s="64">
        <v>67.84</v>
      </c>
      <c r="E78" s="64">
        <v>6.32</v>
      </c>
      <c r="F78" s="64">
        <v>2.13</v>
      </c>
      <c r="G78" s="64">
        <v>37.619999999999997</v>
      </c>
      <c r="H78" s="64">
        <v>19.04</v>
      </c>
      <c r="I78" s="210" t="s">
        <v>43</v>
      </c>
      <c r="J78" s="64">
        <v>1.34</v>
      </c>
      <c r="K78" s="64">
        <v>356.29</v>
      </c>
      <c r="L78" s="64">
        <v>24.59</v>
      </c>
      <c r="M78" s="64">
        <v>22.82</v>
      </c>
      <c r="N78" s="64">
        <v>100.5</v>
      </c>
      <c r="O78" s="64">
        <v>0</v>
      </c>
      <c r="P78" s="64">
        <v>0.49</v>
      </c>
      <c r="Q78" s="64">
        <v>9.39</v>
      </c>
      <c r="S78" s="198"/>
      <c r="T78" s="198"/>
      <c r="U78" s="198"/>
    </row>
    <row r="79" spans="1:21" s="12" customFormat="1" x14ac:dyDescent="0.25">
      <c r="A79" s="213" t="s">
        <v>2426</v>
      </c>
      <c r="B79" s="64">
        <v>10.66</v>
      </c>
      <c r="C79" s="64">
        <v>60.63</v>
      </c>
      <c r="D79" s="64">
        <v>69.19</v>
      </c>
      <c r="E79" s="64">
        <v>6.52</v>
      </c>
      <c r="F79" s="64">
        <v>2.27</v>
      </c>
      <c r="G79" s="64">
        <v>37.619999999999997</v>
      </c>
      <c r="H79" s="64">
        <v>19.04</v>
      </c>
      <c r="I79" s="210" t="s">
        <v>43</v>
      </c>
      <c r="J79" s="64">
        <v>1.1499999999999999</v>
      </c>
      <c r="K79" s="64">
        <v>357.37</v>
      </c>
      <c r="L79" s="64">
        <v>24</v>
      </c>
      <c r="M79" s="64">
        <v>23.52</v>
      </c>
      <c r="N79" s="64">
        <v>87.5</v>
      </c>
      <c r="O79" s="64">
        <v>0</v>
      </c>
      <c r="P79" s="64">
        <v>0.52</v>
      </c>
      <c r="Q79" s="64">
        <v>9.4499999999999993</v>
      </c>
      <c r="S79" s="198"/>
      <c r="T79" s="198"/>
      <c r="U79" s="198"/>
    </row>
    <row r="80" spans="1:21" s="12" customFormat="1" x14ac:dyDescent="0.25">
      <c r="A80" s="213" t="s">
        <v>2427</v>
      </c>
      <c r="B80" s="64">
        <v>12.12</v>
      </c>
      <c r="C80" s="64">
        <v>61.34</v>
      </c>
      <c r="D80" s="64">
        <v>71.36</v>
      </c>
      <c r="E80" s="64">
        <v>6.95</v>
      </c>
      <c r="F80" s="64">
        <v>2.13</v>
      </c>
      <c r="G80" s="64">
        <v>37.619999999999997</v>
      </c>
      <c r="H80" s="64">
        <v>19.04</v>
      </c>
      <c r="I80" s="210" t="s">
        <v>43</v>
      </c>
      <c r="J80" s="64">
        <v>0.6</v>
      </c>
      <c r="K80" s="64">
        <v>24.69</v>
      </c>
      <c r="L80" s="64">
        <v>23.26</v>
      </c>
      <c r="M80" s="64">
        <v>24.25</v>
      </c>
      <c r="N80" s="64">
        <v>77</v>
      </c>
      <c r="O80" s="64">
        <v>0</v>
      </c>
      <c r="P80" s="64">
        <v>0.72</v>
      </c>
      <c r="Q80" s="64">
        <v>9.5399999999999991</v>
      </c>
      <c r="S80" s="198"/>
      <c r="T80" s="198"/>
      <c r="U80" s="198"/>
    </row>
    <row r="81" spans="1:26" s="12" customFormat="1" x14ac:dyDescent="0.25">
      <c r="A81" s="213" t="s">
        <v>2428</v>
      </c>
      <c r="B81" s="64">
        <v>13.27</v>
      </c>
      <c r="C81" s="64">
        <v>61.91</v>
      </c>
      <c r="D81" s="64">
        <v>73.069999999999993</v>
      </c>
      <c r="E81" s="64">
        <v>7.11</v>
      </c>
      <c r="F81" s="64">
        <v>2.13</v>
      </c>
      <c r="G81" s="64">
        <v>39</v>
      </c>
      <c r="H81" s="64">
        <v>12.38</v>
      </c>
      <c r="I81" s="210" t="s">
        <v>43</v>
      </c>
      <c r="J81" s="64">
        <v>0.61</v>
      </c>
      <c r="K81" s="64">
        <v>50.34</v>
      </c>
      <c r="L81" s="64">
        <v>22.79</v>
      </c>
      <c r="M81" s="64">
        <v>24.54</v>
      </c>
      <c r="N81" s="64">
        <v>71.8</v>
      </c>
      <c r="O81" s="64">
        <v>0</v>
      </c>
      <c r="P81" s="64">
        <v>0.67</v>
      </c>
      <c r="Q81" s="64">
        <v>9.6199999999999992</v>
      </c>
      <c r="S81" s="198"/>
      <c r="T81" s="198"/>
      <c r="U81" s="198"/>
    </row>
    <row r="82" spans="1:26" s="12" customFormat="1" x14ac:dyDescent="0.25">
      <c r="A82" s="213" t="s">
        <v>2429</v>
      </c>
      <c r="B82" s="64">
        <v>13.93</v>
      </c>
      <c r="C82" s="64">
        <v>62.29</v>
      </c>
      <c r="D82" s="64">
        <v>74.12</v>
      </c>
      <c r="E82" s="64">
        <v>6.91</v>
      </c>
      <c r="F82" s="64">
        <v>2.13</v>
      </c>
      <c r="G82" s="64">
        <v>39</v>
      </c>
      <c r="H82" s="64">
        <v>12.38</v>
      </c>
      <c r="I82" s="210" t="s">
        <v>43</v>
      </c>
      <c r="J82" s="64">
        <v>0.6</v>
      </c>
      <c r="K82" s="64">
        <v>55.01</v>
      </c>
      <c r="L82" s="64">
        <v>22.28</v>
      </c>
      <c r="M82" s="64">
        <v>25.81</v>
      </c>
      <c r="N82" s="64">
        <v>70.900000000000006</v>
      </c>
      <c r="O82" s="64">
        <v>0</v>
      </c>
      <c r="P82" s="64">
        <v>0.56999999999999995</v>
      </c>
      <c r="Q82" s="64">
        <v>9.66</v>
      </c>
      <c r="S82" s="198"/>
      <c r="T82" s="198"/>
      <c r="U82" s="198"/>
    </row>
    <row r="83" spans="1:26" s="12" customFormat="1" x14ac:dyDescent="0.25">
      <c r="A83" s="213" t="s">
        <v>2430</v>
      </c>
      <c r="B83" s="64">
        <v>14.35</v>
      </c>
      <c r="C83" s="64">
        <v>62.2</v>
      </c>
      <c r="D83" s="64">
        <v>74.45</v>
      </c>
      <c r="E83" s="64">
        <v>7.14</v>
      </c>
      <c r="F83" s="64">
        <v>2.13</v>
      </c>
      <c r="G83" s="64">
        <v>39</v>
      </c>
      <c r="H83" s="64">
        <v>12.38</v>
      </c>
      <c r="I83" s="210" t="s">
        <v>43</v>
      </c>
      <c r="J83" s="64">
        <v>0.55000000000000004</v>
      </c>
      <c r="K83" s="64">
        <v>38.200000000000003</v>
      </c>
      <c r="L83" s="64">
        <v>21.71</v>
      </c>
      <c r="M83" s="64">
        <v>28.63</v>
      </c>
      <c r="N83" s="64">
        <v>70.8</v>
      </c>
      <c r="O83" s="64">
        <v>0</v>
      </c>
      <c r="P83" s="64">
        <v>1.06</v>
      </c>
      <c r="Q83" s="64">
        <v>9.68</v>
      </c>
      <c r="S83" s="198"/>
      <c r="T83" s="198"/>
      <c r="U83" s="198"/>
    </row>
    <row r="84" spans="1:26" s="12" customFormat="1" x14ac:dyDescent="0.25">
      <c r="A84" s="213" t="s">
        <v>2431</v>
      </c>
      <c r="B84" s="64">
        <v>15.97</v>
      </c>
      <c r="C84" s="64">
        <v>62.5</v>
      </c>
      <c r="D84" s="64">
        <v>76.38</v>
      </c>
      <c r="E84" s="64">
        <v>7.59</v>
      </c>
      <c r="F84" s="64">
        <v>2.13</v>
      </c>
      <c r="G84" s="64">
        <v>39</v>
      </c>
      <c r="H84" s="64">
        <v>12.38</v>
      </c>
      <c r="I84" s="210" t="s">
        <v>43</v>
      </c>
      <c r="J84" s="64">
        <v>0.62</v>
      </c>
      <c r="K84" s="64">
        <v>60.44</v>
      </c>
      <c r="L84" s="64">
        <v>21.34</v>
      </c>
      <c r="M84" s="64">
        <v>29.45</v>
      </c>
      <c r="N84" s="64">
        <v>70.8</v>
      </c>
      <c r="O84" s="64">
        <v>0</v>
      </c>
      <c r="P84" s="64">
        <v>1.03</v>
      </c>
      <c r="Q84" s="64">
        <v>9.68</v>
      </c>
      <c r="S84" s="198"/>
      <c r="T84" s="198"/>
      <c r="U84" s="198"/>
    </row>
    <row r="85" spans="1:26" s="12" customFormat="1" x14ac:dyDescent="0.25">
      <c r="A85" s="213" t="s">
        <v>2432</v>
      </c>
      <c r="B85" s="64">
        <v>17.5</v>
      </c>
      <c r="C85" s="64">
        <v>62.37</v>
      </c>
      <c r="D85" s="64">
        <v>77.77</v>
      </c>
      <c r="E85" s="64">
        <v>7.73</v>
      </c>
      <c r="F85" s="64">
        <v>2.13</v>
      </c>
      <c r="G85" s="64">
        <v>44.69</v>
      </c>
      <c r="H85" s="64">
        <v>21.91</v>
      </c>
      <c r="I85" s="210" t="s">
        <v>43</v>
      </c>
      <c r="J85" s="64">
        <v>0.73</v>
      </c>
      <c r="K85" s="64">
        <v>43</v>
      </c>
      <c r="L85" s="64">
        <v>21.07</v>
      </c>
      <c r="M85" s="64">
        <v>29.09</v>
      </c>
      <c r="N85" s="64">
        <v>70.599999999999994</v>
      </c>
      <c r="O85" s="64">
        <v>0</v>
      </c>
      <c r="P85" s="64">
        <v>0.86</v>
      </c>
      <c r="Q85" s="64">
        <v>9.6999999999999993</v>
      </c>
      <c r="S85" s="198"/>
      <c r="T85" s="198"/>
      <c r="U85" s="198"/>
    </row>
    <row r="86" spans="1:26" s="12" customFormat="1" x14ac:dyDescent="0.25">
      <c r="A86" s="213" t="s">
        <v>2433</v>
      </c>
      <c r="B86" s="64">
        <v>18.79</v>
      </c>
      <c r="C86" s="64">
        <v>62.9</v>
      </c>
      <c r="D86" s="64">
        <v>79.59</v>
      </c>
      <c r="E86" s="64">
        <v>8.6999999999999993</v>
      </c>
      <c r="F86" s="64">
        <v>2.13</v>
      </c>
      <c r="G86" s="64">
        <v>44.76</v>
      </c>
      <c r="H86" s="64">
        <v>22.02</v>
      </c>
      <c r="I86" s="210" t="s">
        <v>43</v>
      </c>
      <c r="J86" s="64">
        <v>0.77</v>
      </c>
      <c r="K86" s="64">
        <v>41.77</v>
      </c>
      <c r="L86" s="64">
        <v>21.13</v>
      </c>
      <c r="M86" s="64">
        <v>28.28</v>
      </c>
      <c r="N86" s="64">
        <v>70.2</v>
      </c>
      <c r="O86" s="64">
        <v>0</v>
      </c>
      <c r="P86" s="64">
        <v>0.78</v>
      </c>
      <c r="Q86" s="64">
        <v>9.7100000000000009</v>
      </c>
      <c r="S86" s="198"/>
      <c r="T86" s="198"/>
      <c r="U86" s="198"/>
    </row>
    <row r="87" spans="1:26" s="12" customFormat="1" x14ac:dyDescent="0.25">
      <c r="A87" s="213" t="s">
        <v>2434</v>
      </c>
      <c r="B87" s="64">
        <v>19.850000000000001</v>
      </c>
      <c r="C87" s="64">
        <v>63.67</v>
      </c>
      <c r="D87" s="64">
        <v>81.42</v>
      </c>
      <c r="E87" s="64">
        <v>7.78</v>
      </c>
      <c r="F87" s="64">
        <v>2.13</v>
      </c>
      <c r="G87" s="64">
        <v>44.76</v>
      </c>
      <c r="H87" s="64">
        <v>22.02</v>
      </c>
      <c r="I87" s="210" t="s">
        <v>43</v>
      </c>
      <c r="J87" s="64">
        <v>0.54</v>
      </c>
      <c r="K87" s="64">
        <v>54.4</v>
      </c>
      <c r="L87" s="64">
        <v>21.14</v>
      </c>
      <c r="M87" s="64">
        <v>27.8</v>
      </c>
      <c r="N87" s="64">
        <v>70.3</v>
      </c>
      <c r="O87" s="64">
        <v>0</v>
      </c>
      <c r="P87" s="64">
        <v>0.82</v>
      </c>
      <c r="Q87" s="64">
        <v>9.73</v>
      </c>
      <c r="S87" s="198"/>
      <c r="T87" s="198"/>
      <c r="U87" s="198"/>
    </row>
    <row r="88" spans="1:26" s="12" customFormat="1" x14ac:dyDescent="0.25">
      <c r="A88" s="213" t="s">
        <v>2435</v>
      </c>
      <c r="B88" s="64">
        <v>20.54</v>
      </c>
      <c r="C88" s="64">
        <v>63.92</v>
      </c>
      <c r="D88" s="64">
        <v>82.36</v>
      </c>
      <c r="E88" s="64">
        <v>7.64</v>
      </c>
      <c r="F88" s="64">
        <v>2.13</v>
      </c>
      <c r="G88" s="64">
        <v>44.76</v>
      </c>
      <c r="H88" s="64">
        <v>22.02</v>
      </c>
      <c r="I88" s="210" t="s">
        <v>43</v>
      </c>
      <c r="J88" s="64">
        <v>0.86</v>
      </c>
      <c r="K88" s="64">
        <v>233.17</v>
      </c>
      <c r="L88" s="64">
        <v>20.79</v>
      </c>
      <c r="M88" s="64">
        <v>30.96</v>
      </c>
      <c r="N88" s="64">
        <v>70.599999999999994</v>
      </c>
      <c r="O88" s="64">
        <v>0</v>
      </c>
      <c r="P88" s="64">
        <v>0.78</v>
      </c>
      <c r="Q88" s="64">
        <v>9.76</v>
      </c>
      <c r="S88" s="198"/>
      <c r="T88" s="198"/>
      <c r="U88" s="198"/>
    </row>
    <row r="89" spans="1:26" s="12" customFormat="1" x14ac:dyDescent="0.25">
      <c r="A89" s="213" t="s">
        <v>2436</v>
      </c>
      <c r="B89" s="64">
        <v>22.11</v>
      </c>
      <c r="C89" s="64">
        <v>64.42</v>
      </c>
      <c r="D89" s="64">
        <v>84.43</v>
      </c>
      <c r="E89" s="64">
        <v>7.6</v>
      </c>
      <c r="F89" s="64">
        <v>2.13</v>
      </c>
      <c r="G89" s="64">
        <v>53.39</v>
      </c>
      <c r="H89" s="64">
        <v>16.8</v>
      </c>
      <c r="I89" s="210" t="s">
        <v>43</v>
      </c>
      <c r="J89" s="64">
        <v>0.25</v>
      </c>
      <c r="K89" s="64">
        <v>260.38</v>
      </c>
      <c r="L89" s="64">
        <v>20.37</v>
      </c>
      <c r="M89" s="64">
        <v>37.42</v>
      </c>
      <c r="N89" s="64">
        <v>70.8</v>
      </c>
      <c r="O89" s="64">
        <v>0</v>
      </c>
      <c r="P89" s="64">
        <v>0.85</v>
      </c>
      <c r="Q89" s="64">
        <v>9.76</v>
      </c>
      <c r="S89" s="198"/>
      <c r="T89" s="198"/>
      <c r="U89" s="198"/>
    </row>
    <row r="90" spans="1:26" s="12" customFormat="1" x14ac:dyDescent="0.25">
      <c r="A90" s="213" t="s">
        <v>2437</v>
      </c>
      <c r="B90" s="64">
        <v>27.35</v>
      </c>
      <c r="C90" s="64">
        <v>65.67</v>
      </c>
      <c r="D90" s="64">
        <v>90.92</v>
      </c>
      <c r="E90" s="64">
        <v>8.18</v>
      </c>
      <c r="F90" s="64">
        <v>2.13</v>
      </c>
      <c r="G90" s="64">
        <v>53.39</v>
      </c>
      <c r="H90" s="64">
        <v>16.8</v>
      </c>
      <c r="I90" s="210" t="s">
        <v>43</v>
      </c>
      <c r="J90" s="64">
        <v>0.32</v>
      </c>
      <c r="K90" s="64">
        <v>290.85000000000002</v>
      </c>
      <c r="L90" s="64">
        <v>19.52</v>
      </c>
      <c r="M90" s="64">
        <v>39.97</v>
      </c>
      <c r="N90" s="64">
        <v>71</v>
      </c>
      <c r="O90" s="64">
        <v>0</v>
      </c>
      <c r="P90" s="64">
        <v>1.07</v>
      </c>
      <c r="Q90" s="64">
        <v>9.76</v>
      </c>
      <c r="S90" s="198"/>
      <c r="T90" s="198"/>
      <c r="U90" s="198"/>
    </row>
    <row r="91" spans="1:26" s="12" customFormat="1" x14ac:dyDescent="0.25">
      <c r="A91" s="213" t="s">
        <v>2438</v>
      </c>
      <c r="B91" s="64">
        <v>34.53</v>
      </c>
      <c r="C91" s="64">
        <v>67.239999999999995</v>
      </c>
      <c r="D91" s="64">
        <v>99.67</v>
      </c>
      <c r="E91" s="64">
        <v>8.81</v>
      </c>
      <c r="F91" s="64">
        <v>2.13</v>
      </c>
      <c r="G91" s="64">
        <v>53.39</v>
      </c>
      <c r="H91" s="64">
        <v>16.8</v>
      </c>
      <c r="I91" s="210" t="s">
        <v>43</v>
      </c>
      <c r="J91" s="64">
        <v>0.64</v>
      </c>
      <c r="K91" s="64">
        <v>280.43</v>
      </c>
      <c r="L91" s="64">
        <v>19.190000000000001</v>
      </c>
      <c r="M91" s="64">
        <v>39.979999999999997</v>
      </c>
      <c r="N91" s="64">
        <v>70.8</v>
      </c>
      <c r="O91" s="64">
        <v>0</v>
      </c>
      <c r="P91" s="64">
        <v>0.98</v>
      </c>
      <c r="Q91" s="64">
        <v>9.76</v>
      </c>
      <c r="S91" s="198"/>
      <c r="T91" s="198"/>
      <c r="U91" s="198"/>
    </row>
    <row r="92" spans="1:26" s="12" customFormat="1" x14ac:dyDescent="0.25">
      <c r="A92" s="213" t="s">
        <v>2439</v>
      </c>
      <c r="B92" s="64">
        <v>41.91</v>
      </c>
      <c r="C92" s="64">
        <v>68.42</v>
      </c>
      <c r="D92" s="64">
        <v>108.23</v>
      </c>
      <c r="E92" s="64">
        <v>8.81</v>
      </c>
      <c r="F92" s="64">
        <v>2.13</v>
      </c>
      <c r="G92" s="64">
        <v>53.39</v>
      </c>
      <c r="H92" s="64">
        <v>16.8</v>
      </c>
      <c r="I92" s="210" t="s">
        <v>43</v>
      </c>
      <c r="J92" s="64">
        <v>0.56000000000000005</v>
      </c>
      <c r="K92" s="64">
        <v>263.39999999999998</v>
      </c>
      <c r="L92" s="64">
        <v>18.91</v>
      </c>
      <c r="M92" s="64">
        <v>39.159999999999997</v>
      </c>
      <c r="N92" s="64">
        <v>70.8</v>
      </c>
      <c r="O92" s="64">
        <v>0</v>
      </c>
      <c r="P92" s="64">
        <v>1.1000000000000001</v>
      </c>
      <c r="Q92" s="64">
        <v>9.81</v>
      </c>
      <c r="S92" s="198"/>
      <c r="T92" s="198"/>
      <c r="U92" s="198"/>
    </row>
    <row r="93" spans="1:26" s="12" customFormat="1" x14ac:dyDescent="0.25">
      <c r="A93" s="213" t="s">
        <v>2440</v>
      </c>
      <c r="B93" s="64">
        <v>48.67</v>
      </c>
      <c r="C93" s="64">
        <v>69.099999999999994</v>
      </c>
      <c r="D93" s="64">
        <v>115.68</v>
      </c>
      <c r="E93" s="64">
        <v>9.08</v>
      </c>
      <c r="F93" s="64">
        <v>2.13</v>
      </c>
      <c r="G93" s="64">
        <v>146.11000000000001</v>
      </c>
      <c r="H93" s="64">
        <v>25.63</v>
      </c>
      <c r="I93" s="210" t="s">
        <v>43</v>
      </c>
      <c r="J93" s="64">
        <v>0.68</v>
      </c>
      <c r="K93" s="64">
        <v>108.18</v>
      </c>
      <c r="L93" s="64">
        <v>18.600000000000001</v>
      </c>
      <c r="M93" s="64">
        <v>43.27</v>
      </c>
      <c r="N93" s="64">
        <v>70.7</v>
      </c>
      <c r="O93" s="64">
        <v>0</v>
      </c>
      <c r="P93" s="64">
        <v>1.1000000000000001</v>
      </c>
      <c r="Q93" s="64">
        <v>9.84</v>
      </c>
      <c r="S93" s="198"/>
      <c r="T93" s="198"/>
      <c r="U93" s="198"/>
    </row>
    <row r="94" spans="1:26" s="12" customFormat="1" x14ac:dyDescent="0.25">
      <c r="A94" s="213" t="s">
        <v>2441</v>
      </c>
      <c r="B94" s="64">
        <v>58.48</v>
      </c>
      <c r="C94" s="64">
        <v>70.569999999999993</v>
      </c>
      <c r="D94" s="64">
        <v>126.95</v>
      </c>
      <c r="E94" s="64">
        <v>9.1</v>
      </c>
      <c r="F94" s="64">
        <v>2.13</v>
      </c>
      <c r="G94" s="64">
        <v>147.16</v>
      </c>
      <c r="H94" s="64">
        <v>25.73</v>
      </c>
      <c r="I94" s="210" t="s">
        <v>43</v>
      </c>
      <c r="J94" s="64">
        <v>0.68</v>
      </c>
      <c r="K94" s="64">
        <v>304.31</v>
      </c>
      <c r="L94" s="64">
        <v>18.27</v>
      </c>
      <c r="M94" s="64">
        <v>46.56</v>
      </c>
      <c r="N94" s="64">
        <v>70.8</v>
      </c>
      <c r="O94" s="64">
        <v>0</v>
      </c>
      <c r="P94" s="64">
        <v>1.21</v>
      </c>
      <c r="Q94" s="64">
        <v>9.82</v>
      </c>
      <c r="S94" s="198"/>
      <c r="T94" s="198"/>
      <c r="U94" s="198"/>
    </row>
    <row r="95" spans="1:26" s="12" customFormat="1" x14ac:dyDescent="0.25">
      <c r="A95" s="213" t="s">
        <v>2442</v>
      </c>
      <c r="B95" s="64">
        <v>69.36</v>
      </c>
      <c r="C95" s="64">
        <v>70.92</v>
      </c>
      <c r="D95" s="64">
        <v>138.18</v>
      </c>
      <c r="E95" s="64">
        <v>9.0299999999999994</v>
      </c>
      <c r="F95" s="64">
        <v>2.13</v>
      </c>
      <c r="G95" s="64">
        <v>147.16</v>
      </c>
      <c r="H95" s="64">
        <v>25.73</v>
      </c>
      <c r="I95" s="210" t="s">
        <v>43</v>
      </c>
      <c r="J95" s="64">
        <v>0.43</v>
      </c>
      <c r="K95" s="64">
        <v>283.61</v>
      </c>
      <c r="L95" s="64">
        <v>17.809999999999999</v>
      </c>
      <c r="M95" s="64">
        <v>50.44</v>
      </c>
      <c r="N95" s="64">
        <v>70.599999999999994</v>
      </c>
      <c r="O95" s="64">
        <v>0</v>
      </c>
      <c r="P95" s="64">
        <v>1.6</v>
      </c>
      <c r="Q95" s="64">
        <v>9.8800000000000008</v>
      </c>
      <c r="S95" s="198"/>
      <c r="T95" s="198"/>
      <c r="U95" s="198"/>
    </row>
    <row r="96" spans="1:26" s="12" customFormat="1" x14ac:dyDescent="0.25">
      <c r="A96" s="213" t="s">
        <v>2443</v>
      </c>
      <c r="B96" s="64">
        <v>75.22</v>
      </c>
      <c r="C96" s="64">
        <v>70.87</v>
      </c>
      <c r="D96" s="64">
        <v>143.99</v>
      </c>
      <c r="E96" s="64">
        <v>9.1199999999999992</v>
      </c>
      <c r="F96" s="64">
        <v>2.13</v>
      </c>
      <c r="G96" s="64">
        <v>147.16</v>
      </c>
      <c r="H96" s="64">
        <v>25.73</v>
      </c>
      <c r="I96" s="210" t="s">
        <v>43</v>
      </c>
      <c r="J96" s="64">
        <v>0.25</v>
      </c>
      <c r="K96" s="64">
        <v>203.8</v>
      </c>
      <c r="L96" s="64">
        <v>17.829999999999998</v>
      </c>
      <c r="M96" s="64">
        <v>44.43</v>
      </c>
      <c r="N96" s="64">
        <v>70.3</v>
      </c>
      <c r="O96" s="64">
        <v>0</v>
      </c>
      <c r="P96" s="64">
        <v>1.2</v>
      </c>
      <c r="Q96" s="64">
        <v>9.9700000000000006</v>
      </c>
      <c r="S96" s="198"/>
      <c r="T96" s="198"/>
      <c r="U96" s="198"/>
      <c r="Z96" s="109"/>
    </row>
    <row r="97" spans="1:33" s="12" customFormat="1" x14ac:dyDescent="0.25">
      <c r="A97" s="213" t="s">
        <v>2444</v>
      </c>
      <c r="B97" s="64">
        <v>77.22</v>
      </c>
      <c r="C97" s="64">
        <v>70.64</v>
      </c>
      <c r="D97" s="64">
        <v>145.76</v>
      </c>
      <c r="E97" s="64">
        <v>8.9499999999999993</v>
      </c>
      <c r="F97" s="64">
        <v>2.13</v>
      </c>
      <c r="G97" s="64">
        <v>143.75</v>
      </c>
      <c r="H97" s="64">
        <v>30.09</v>
      </c>
      <c r="I97" s="210" t="s">
        <v>43</v>
      </c>
      <c r="J97" s="64">
        <v>0.17</v>
      </c>
      <c r="K97" s="64">
        <v>69.489999999999995</v>
      </c>
      <c r="L97" s="64">
        <v>18.52</v>
      </c>
      <c r="M97" s="64">
        <v>43.05</v>
      </c>
      <c r="N97" s="64">
        <v>69.599999999999994</v>
      </c>
      <c r="O97" s="64">
        <v>0</v>
      </c>
      <c r="P97" s="64">
        <v>1.1399999999999999</v>
      </c>
      <c r="Q97" s="64">
        <v>10.029999999999999</v>
      </c>
      <c r="S97" s="198"/>
      <c r="T97" s="198"/>
      <c r="U97" s="198"/>
    </row>
    <row r="98" spans="1:33" s="12" customFormat="1" x14ac:dyDescent="0.25">
      <c r="A98" s="213" t="s">
        <v>2445</v>
      </c>
      <c r="B98" s="64">
        <v>78.900000000000006</v>
      </c>
      <c r="C98" s="64">
        <v>70.39</v>
      </c>
      <c r="D98" s="64">
        <v>147.19</v>
      </c>
      <c r="E98" s="64">
        <v>9.7799999999999994</v>
      </c>
      <c r="F98" s="64">
        <v>2.13</v>
      </c>
      <c r="G98" s="64">
        <v>143.71</v>
      </c>
      <c r="H98" s="64">
        <v>30.14</v>
      </c>
      <c r="I98" s="210" t="s">
        <v>43</v>
      </c>
      <c r="J98" s="64">
        <v>0.59</v>
      </c>
      <c r="K98" s="64">
        <v>1.8</v>
      </c>
      <c r="L98" s="64">
        <v>17.57</v>
      </c>
      <c r="M98" s="64">
        <v>52.45</v>
      </c>
      <c r="N98" s="64">
        <v>71.3</v>
      </c>
      <c r="O98" s="64">
        <v>0</v>
      </c>
      <c r="P98" s="64">
        <v>1.29</v>
      </c>
      <c r="Q98" s="64">
        <v>10.050000000000001</v>
      </c>
      <c r="S98" s="198"/>
      <c r="T98" s="198"/>
      <c r="U98" s="198"/>
    </row>
    <row r="99" spans="1:33" s="12" customFormat="1" x14ac:dyDescent="0.25">
      <c r="A99" s="213" t="s">
        <v>2446</v>
      </c>
      <c r="B99" s="64">
        <v>80.55</v>
      </c>
      <c r="C99" s="64">
        <v>70</v>
      </c>
      <c r="D99" s="64">
        <v>148.44999999999999</v>
      </c>
      <c r="E99" s="64">
        <v>9.2100000000000009</v>
      </c>
      <c r="F99" s="64">
        <v>2.13</v>
      </c>
      <c r="G99" s="64">
        <v>143.71</v>
      </c>
      <c r="H99" s="64">
        <v>30.14</v>
      </c>
      <c r="I99" s="210" t="s">
        <v>43</v>
      </c>
      <c r="J99" s="64">
        <v>0.1</v>
      </c>
      <c r="K99" s="64">
        <v>141.09</v>
      </c>
      <c r="L99" s="64">
        <v>17.190000000000001</v>
      </c>
      <c r="M99" s="64">
        <v>50.85</v>
      </c>
      <c r="N99" s="64">
        <v>70.7</v>
      </c>
      <c r="O99" s="64">
        <v>0</v>
      </c>
      <c r="P99" s="64">
        <v>1.1599999999999999</v>
      </c>
      <c r="Q99" s="64">
        <v>10.08</v>
      </c>
      <c r="S99" s="198"/>
      <c r="T99" s="198"/>
      <c r="U99" s="198"/>
    </row>
    <row r="100" spans="1:33" s="12" customFormat="1" x14ac:dyDescent="0.25">
      <c r="A100" s="213" t="s">
        <v>2447</v>
      </c>
      <c r="B100" s="64">
        <v>85.33</v>
      </c>
      <c r="C100" s="64">
        <v>69.92</v>
      </c>
      <c r="D100" s="64">
        <v>153.13999999999999</v>
      </c>
      <c r="E100" s="64">
        <v>9.52</v>
      </c>
      <c r="F100" s="64">
        <v>2.13</v>
      </c>
      <c r="G100" s="64">
        <v>143.71</v>
      </c>
      <c r="H100" s="64">
        <v>30.14</v>
      </c>
      <c r="I100" s="210" t="s">
        <v>43</v>
      </c>
      <c r="J100" s="64">
        <v>0.14000000000000001</v>
      </c>
      <c r="K100" s="64">
        <v>267.52</v>
      </c>
      <c r="L100" s="64">
        <v>16.940000000000001</v>
      </c>
      <c r="M100" s="64">
        <v>55.13</v>
      </c>
      <c r="N100" s="64">
        <v>70.599999999999994</v>
      </c>
      <c r="O100" s="64">
        <v>0</v>
      </c>
      <c r="P100" s="64">
        <v>1.34</v>
      </c>
      <c r="Q100" s="64">
        <v>10.050000000000001</v>
      </c>
      <c r="S100" s="198"/>
      <c r="T100" s="198"/>
      <c r="U100" s="198"/>
      <c r="AB100" s="110"/>
      <c r="AG100" s="109"/>
    </row>
    <row r="101" spans="1:33" s="12" customFormat="1" x14ac:dyDescent="0.25">
      <c r="A101" s="213" t="s">
        <v>2448</v>
      </c>
      <c r="B101" s="64">
        <v>90.67</v>
      </c>
      <c r="C101" s="64">
        <v>69.84</v>
      </c>
      <c r="D101" s="64">
        <v>158.41</v>
      </c>
      <c r="E101" s="64">
        <v>10.210000000000001</v>
      </c>
      <c r="F101" s="64">
        <v>2.13</v>
      </c>
      <c r="G101" s="64">
        <v>102.86</v>
      </c>
      <c r="H101" s="64">
        <v>30.48</v>
      </c>
      <c r="I101" s="210" t="s">
        <v>43</v>
      </c>
      <c r="J101" s="64">
        <v>0.52</v>
      </c>
      <c r="K101" s="64">
        <v>247.36</v>
      </c>
      <c r="L101" s="64">
        <v>17.059999999999999</v>
      </c>
      <c r="M101" s="64">
        <v>52.5</v>
      </c>
      <c r="N101" s="64">
        <v>70.3</v>
      </c>
      <c r="O101" s="64">
        <v>0</v>
      </c>
      <c r="P101" s="64">
        <v>1.21</v>
      </c>
      <c r="Q101" s="64">
        <v>10.06</v>
      </c>
      <c r="S101" s="198"/>
      <c r="T101" s="198"/>
      <c r="U101" s="198"/>
    </row>
    <row r="102" spans="1:33" s="12" customFormat="1" x14ac:dyDescent="0.25">
      <c r="A102" s="213" t="s">
        <v>2449</v>
      </c>
      <c r="B102" s="64">
        <v>94.73</v>
      </c>
      <c r="C102" s="64">
        <v>69.02</v>
      </c>
      <c r="D102" s="64">
        <v>161.63999999999999</v>
      </c>
      <c r="E102" s="64">
        <v>9.6199999999999992</v>
      </c>
      <c r="F102" s="64">
        <v>2.13</v>
      </c>
      <c r="G102" s="64">
        <v>102.4</v>
      </c>
      <c r="H102" s="64">
        <v>30.48</v>
      </c>
      <c r="I102" s="210" t="s">
        <v>43</v>
      </c>
      <c r="J102" s="64">
        <v>0.09</v>
      </c>
      <c r="K102" s="64">
        <v>4.8600000000000003</v>
      </c>
      <c r="L102" s="64">
        <v>17</v>
      </c>
      <c r="M102" s="64">
        <v>52.37</v>
      </c>
      <c r="N102" s="64">
        <v>70.599999999999994</v>
      </c>
      <c r="O102" s="64">
        <v>0</v>
      </c>
      <c r="P102" s="64">
        <v>1.25</v>
      </c>
      <c r="Q102" s="64">
        <v>10.11</v>
      </c>
      <c r="S102" s="198"/>
      <c r="T102" s="198"/>
      <c r="U102" s="198"/>
    </row>
    <row r="103" spans="1:33" s="12" customFormat="1" x14ac:dyDescent="0.25">
      <c r="A103" s="213" t="s">
        <v>2450</v>
      </c>
      <c r="B103" s="64">
        <v>96.69</v>
      </c>
      <c r="C103" s="64">
        <v>67.72</v>
      </c>
      <c r="D103" s="64">
        <v>162.31</v>
      </c>
      <c r="E103" s="64">
        <v>9.89</v>
      </c>
      <c r="F103" s="64">
        <v>2.13</v>
      </c>
      <c r="G103" s="64">
        <v>102.4</v>
      </c>
      <c r="H103" s="64">
        <v>30.48</v>
      </c>
      <c r="I103" s="210" t="s">
        <v>43</v>
      </c>
      <c r="J103" s="64">
        <v>0.31</v>
      </c>
      <c r="K103" s="64">
        <v>124.63</v>
      </c>
      <c r="L103" s="64">
        <v>16.760000000000002</v>
      </c>
      <c r="M103" s="64">
        <v>52.57</v>
      </c>
      <c r="N103" s="64">
        <v>70.599999999999994</v>
      </c>
      <c r="O103" s="64">
        <v>0</v>
      </c>
      <c r="P103" s="64">
        <v>1.23</v>
      </c>
      <c r="Q103" s="64">
        <v>10.16</v>
      </c>
      <c r="S103" s="198"/>
      <c r="T103" s="198"/>
      <c r="U103" s="198"/>
    </row>
    <row r="104" spans="1:33" s="12" customFormat="1" x14ac:dyDescent="0.25">
      <c r="A104" s="213" t="s">
        <v>2451</v>
      </c>
      <c r="B104" s="64">
        <v>96.82</v>
      </c>
      <c r="C104" s="64">
        <v>67.39</v>
      </c>
      <c r="D104" s="64">
        <v>162.1</v>
      </c>
      <c r="E104" s="64">
        <v>5.88</v>
      </c>
      <c r="F104" s="64">
        <v>2.13</v>
      </c>
      <c r="G104" s="64">
        <v>102.4</v>
      </c>
      <c r="H104" s="64">
        <v>30.48</v>
      </c>
      <c r="I104" s="210" t="s">
        <v>43</v>
      </c>
      <c r="J104" s="64">
        <v>0.23</v>
      </c>
      <c r="K104" s="64">
        <v>326.33999999999997</v>
      </c>
      <c r="L104" s="64">
        <v>16.53</v>
      </c>
      <c r="M104" s="64">
        <v>57.45</v>
      </c>
      <c r="N104" s="64">
        <v>70.7</v>
      </c>
      <c r="O104" s="64">
        <v>0</v>
      </c>
      <c r="P104" s="64">
        <v>1.23</v>
      </c>
      <c r="Q104" s="64">
        <v>10.19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7.54</v>
      </c>
      <c r="C106" s="67">
        <f>MIN(C9:C104)</f>
        <v>56.84</v>
      </c>
      <c r="D106" s="67">
        <f t="shared" ref="D106:Q106" si="0">MIN(D9:D104)</f>
        <v>65.03</v>
      </c>
      <c r="E106" s="67">
        <f t="shared" si="0"/>
        <v>5.37</v>
      </c>
      <c r="F106" s="67">
        <f t="shared" si="0"/>
        <v>2.13</v>
      </c>
      <c r="G106" s="67">
        <f t="shared" si="0"/>
        <v>37.619999999999997</v>
      </c>
      <c r="H106" s="67">
        <f t="shared" si="0"/>
        <v>12.38</v>
      </c>
      <c r="I106" s="67">
        <f t="shared" si="0"/>
        <v>0</v>
      </c>
      <c r="J106" s="67">
        <f t="shared" si="0"/>
        <v>0.09</v>
      </c>
      <c r="K106" s="67">
        <f t="shared" si="0"/>
        <v>1.45</v>
      </c>
      <c r="L106" s="67">
        <f t="shared" si="0"/>
        <v>15.7</v>
      </c>
      <c r="M106" s="67">
        <f t="shared" si="0"/>
        <v>15.09</v>
      </c>
      <c r="N106" s="67">
        <f t="shared" si="0"/>
        <v>66</v>
      </c>
      <c r="O106" s="67">
        <f t="shared" si="0"/>
        <v>0</v>
      </c>
      <c r="P106" s="67">
        <f t="shared" si="0"/>
        <v>0.41</v>
      </c>
      <c r="Q106" s="67">
        <f t="shared" si="0"/>
        <v>9.2899999999999991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96.82</v>
      </c>
      <c r="C107" s="66">
        <f t="shared" ref="C107:Q107" si="1">MAX(C9:C104)</f>
        <v>70.92</v>
      </c>
      <c r="D107" s="66">
        <f t="shared" si="1"/>
        <v>162.31</v>
      </c>
      <c r="E107" s="66">
        <f t="shared" si="1"/>
        <v>10.210000000000001</v>
      </c>
      <c r="F107" s="66">
        <f t="shared" si="1"/>
        <v>2.88</v>
      </c>
      <c r="G107" s="66">
        <f t="shared" si="1"/>
        <v>147.16</v>
      </c>
      <c r="H107" s="66">
        <f t="shared" si="1"/>
        <v>30.48</v>
      </c>
      <c r="I107" s="66">
        <f t="shared" si="1"/>
        <v>0</v>
      </c>
      <c r="J107" s="66">
        <f t="shared" si="1"/>
        <v>2.54</v>
      </c>
      <c r="K107" s="66">
        <f t="shared" si="1"/>
        <v>357.37</v>
      </c>
      <c r="L107" s="66">
        <f t="shared" si="1"/>
        <v>31.23</v>
      </c>
      <c r="M107" s="66">
        <f t="shared" si="1"/>
        <v>57.45</v>
      </c>
      <c r="N107" s="66">
        <f t="shared" si="1"/>
        <v>920.9</v>
      </c>
      <c r="O107" s="66">
        <f t="shared" si="1"/>
        <v>0</v>
      </c>
      <c r="P107" s="66">
        <f t="shared" si="1"/>
        <v>1.6</v>
      </c>
      <c r="Q107" s="66">
        <f t="shared" si="1"/>
        <v>10.19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22.105312499999997</v>
      </c>
      <c r="C108" s="67">
        <f t="shared" ref="C108:Q108" si="2">AVERAGE(C9:C104)</f>
        <v>64.610729166666644</v>
      </c>
      <c r="D108" s="67">
        <f t="shared" si="2"/>
        <v>84.615416666666647</v>
      </c>
      <c r="E108" s="67">
        <f t="shared" si="2"/>
        <v>7.260208333333332</v>
      </c>
      <c r="F108" s="67">
        <f t="shared" si="2"/>
        <v>2.1394791666666642</v>
      </c>
      <c r="G108" s="67">
        <f t="shared" si="2"/>
        <v>70.347500000000025</v>
      </c>
      <c r="H108" s="67">
        <f t="shared" si="2"/>
        <v>20.953020833333337</v>
      </c>
      <c r="I108" s="67" t="e">
        <f t="shared" si="2"/>
        <v>#DIV/0!</v>
      </c>
      <c r="J108" s="67">
        <f t="shared" si="2"/>
        <v>1.0203125000000002</v>
      </c>
      <c r="K108" s="67">
        <f t="shared" si="2"/>
        <v>137.18770833333335</v>
      </c>
      <c r="L108" s="67">
        <f t="shared" si="2"/>
        <v>21.859791666666677</v>
      </c>
      <c r="M108" s="67">
        <f t="shared" si="2"/>
        <v>35.22291666666667</v>
      </c>
      <c r="N108" s="67">
        <f t="shared" si="2"/>
        <v>280.00833333333316</v>
      </c>
      <c r="O108" s="67">
        <f t="shared" si="2"/>
        <v>0</v>
      </c>
      <c r="P108" s="67">
        <f t="shared" si="2"/>
        <v>0.69395833333333334</v>
      </c>
      <c r="Q108" s="67">
        <f t="shared" si="2"/>
        <v>9.5242708333333326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22.999195910572499</v>
      </c>
      <c r="C109" s="67">
        <f t="shared" ref="C109:Q109" si="3">STDEV(C9:C104)</f>
        <v>3.9520766679095534</v>
      </c>
      <c r="D109" s="67">
        <f t="shared" si="3"/>
        <v>25.155792381693693</v>
      </c>
      <c r="E109" s="67">
        <f t="shared" si="3"/>
        <v>1.0061704147453399</v>
      </c>
      <c r="F109" s="67">
        <f t="shared" si="3"/>
        <v>7.7722445334484608E-2</v>
      </c>
      <c r="G109" s="67">
        <f t="shared" si="3"/>
        <v>28.146439131610741</v>
      </c>
      <c r="H109" s="67">
        <f t="shared" si="3"/>
        <v>5.456008396310791</v>
      </c>
      <c r="I109" s="67" t="e">
        <f t="shared" si="3"/>
        <v>#DIV/0!</v>
      </c>
      <c r="J109" s="67">
        <f t="shared" si="3"/>
        <v>0.50231559198114462</v>
      </c>
      <c r="K109" s="67">
        <f t="shared" si="3"/>
        <v>143.00912248766861</v>
      </c>
      <c r="L109" s="67">
        <f t="shared" si="3"/>
        <v>5.0094432885704032</v>
      </c>
      <c r="M109" s="67">
        <f t="shared" si="3"/>
        <v>13.202166243036475</v>
      </c>
      <c r="N109" s="67">
        <f t="shared" si="3"/>
        <v>300.6993205903679</v>
      </c>
      <c r="O109" s="67">
        <f t="shared" si="3"/>
        <v>0</v>
      </c>
      <c r="P109" s="67">
        <f t="shared" si="3"/>
        <v>0.26516917804008788</v>
      </c>
      <c r="Q109" s="67">
        <f t="shared" si="3"/>
        <v>0.2227991533181809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COUNT(J9:J104)+1</f>
        <v>97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2452</v>
      </c>
      <c r="B9" s="64">
        <v>94.66</v>
      </c>
      <c r="C9" s="64">
        <v>66.63</v>
      </c>
      <c r="D9" s="64">
        <v>159.19</v>
      </c>
      <c r="E9" s="64">
        <v>6.76</v>
      </c>
      <c r="F9" s="64">
        <v>2.13</v>
      </c>
      <c r="G9" s="64">
        <v>131.41</v>
      </c>
      <c r="H9" s="64">
        <v>30.56</v>
      </c>
      <c r="I9" s="214" t="s">
        <v>43</v>
      </c>
      <c r="J9" s="64">
        <v>0.7</v>
      </c>
      <c r="K9" s="64">
        <v>358.19</v>
      </c>
      <c r="L9" s="64">
        <v>16.72</v>
      </c>
      <c r="M9" s="64">
        <v>55.11</v>
      </c>
      <c r="N9" s="64">
        <v>69.900000000000006</v>
      </c>
      <c r="O9" s="64">
        <v>0</v>
      </c>
      <c r="P9" s="64">
        <v>1.19</v>
      </c>
      <c r="Q9" s="64">
        <v>10.199999999999999</v>
      </c>
      <c r="R9" s="198"/>
      <c r="S9" s="198"/>
      <c r="T9" s="198"/>
      <c r="U9" s="198"/>
    </row>
    <row r="10" spans="1:21" s="12" customFormat="1" x14ac:dyDescent="0.25">
      <c r="A10" s="213" t="s">
        <v>2453</v>
      </c>
      <c r="B10" s="64">
        <v>91.56</v>
      </c>
      <c r="C10" s="64">
        <v>65.98</v>
      </c>
      <c r="D10" s="64">
        <v>155.43</v>
      </c>
      <c r="E10" s="64">
        <v>6.77</v>
      </c>
      <c r="F10" s="64">
        <v>2.13</v>
      </c>
      <c r="G10" s="64">
        <v>131.41</v>
      </c>
      <c r="H10" s="64">
        <v>30.56</v>
      </c>
      <c r="I10" s="214" t="s">
        <v>43</v>
      </c>
      <c r="J10" s="64">
        <v>0.89</v>
      </c>
      <c r="K10" s="64">
        <v>3.58</v>
      </c>
      <c r="L10" s="64">
        <v>16.98</v>
      </c>
      <c r="M10" s="64">
        <v>47.81</v>
      </c>
      <c r="N10" s="64">
        <v>70</v>
      </c>
      <c r="O10" s="64">
        <v>0</v>
      </c>
      <c r="P10" s="64">
        <v>1.24</v>
      </c>
      <c r="Q10" s="64">
        <v>10.220000000000001</v>
      </c>
      <c r="R10" s="198"/>
      <c r="S10" s="198"/>
      <c r="T10" s="198"/>
      <c r="U10" s="198"/>
    </row>
    <row r="11" spans="1:21" s="12" customFormat="1" x14ac:dyDescent="0.25">
      <c r="A11" s="213" t="s">
        <v>2454</v>
      </c>
      <c r="B11" s="64">
        <v>88.62</v>
      </c>
      <c r="C11" s="64">
        <v>66.040000000000006</v>
      </c>
      <c r="D11" s="64">
        <v>152.56</v>
      </c>
      <c r="E11" s="64">
        <v>7.41</v>
      </c>
      <c r="F11" s="64">
        <v>2.13</v>
      </c>
      <c r="G11" s="64">
        <v>131.41</v>
      </c>
      <c r="H11" s="64">
        <v>30.56</v>
      </c>
      <c r="I11" s="214" t="s">
        <v>43</v>
      </c>
      <c r="J11" s="64">
        <v>0.7</v>
      </c>
      <c r="K11" s="64">
        <v>38.049999999999997</v>
      </c>
      <c r="L11" s="64">
        <v>17.18</v>
      </c>
      <c r="M11" s="64">
        <v>45.1</v>
      </c>
      <c r="N11" s="64">
        <v>70.8</v>
      </c>
      <c r="O11" s="64">
        <v>0</v>
      </c>
      <c r="P11" s="64">
        <v>1.24</v>
      </c>
      <c r="Q11" s="64">
        <v>10.220000000000001</v>
      </c>
      <c r="R11" s="198"/>
      <c r="S11" s="198"/>
      <c r="T11" s="198"/>
      <c r="U11" s="198"/>
    </row>
    <row r="12" spans="1:21" s="12" customFormat="1" x14ac:dyDescent="0.25">
      <c r="A12" s="213" t="s">
        <v>2455</v>
      </c>
      <c r="B12" s="64">
        <v>86.03</v>
      </c>
      <c r="C12" s="64">
        <v>65.709999999999994</v>
      </c>
      <c r="D12" s="64">
        <v>149.63999999999999</v>
      </c>
      <c r="E12" s="64">
        <v>7.25</v>
      </c>
      <c r="F12" s="64">
        <v>2.13</v>
      </c>
      <c r="G12" s="64">
        <v>131.41</v>
      </c>
      <c r="H12" s="64">
        <v>30.56</v>
      </c>
      <c r="I12" s="214" t="s">
        <v>43</v>
      </c>
      <c r="J12" s="64">
        <v>0.62</v>
      </c>
      <c r="K12" s="64">
        <v>38.590000000000003</v>
      </c>
      <c r="L12" s="64">
        <v>16.829999999999998</v>
      </c>
      <c r="M12" s="64">
        <v>41.91</v>
      </c>
      <c r="N12" s="64">
        <v>71.099999999999994</v>
      </c>
      <c r="O12" s="64">
        <v>0</v>
      </c>
      <c r="P12" s="64">
        <v>1.24</v>
      </c>
      <c r="Q12" s="64">
        <v>10.210000000000001</v>
      </c>
      <c r="R12" s="198"/>
      <c r="S12" s="198"/>
      <c r="T12" s="198"/>
      <c r="U12" s="198"/>
    </row>
    <row r="13" spans="1:21" s="12" customFormat="1" x14ac:dyDescent="0.25">
      <c r="A13" s="213" t="s">
        <v>2456</v>
      </c>
      <c r="B13" s="64">
        <v>83.15</v>
      </c>
      <c r="C13" s="64">
        <v>65.22</v>
      </c>
      <c r="D13" s="64">
        <v>146.27000000000001</v>
      </c>
      <c r="E13" s="64">
        <v>6.75</v>
      </c>
      <c r="F13" s="64">
        <v>2.13</v>
      </c>
      <c r="G13" s="64">
        <v>138.58000000000001</v>
      </c>
      <c r="H13" s="64">
        <v>32.94</v>
      </c>
      <c r="I13" s="214" t="s">
        <v>43</v>
      </c>
      <c r="J13" s="64">
        <v>1.24</v>
      </c>
      <c r="K13" s="64">
        <v>4.03</v>
      </c>
      <c r="L13" s="64">
        <v>16.649999999999999</v>
      </c>
      <c r="M13" s="64">
        <v>43.09</v>
      </c>
      <c r="N13" s="64">
        <v>70.3</v>
      </c>
      <c r="O13" s="64">
        <v>0</v>
      </c>
      <c r="P13" s="64">
        <v>1.0900000000000001</v>
      </c>
      <c r="Q13" s="64">
        <v>10.220000000000001</v>
      </c>
      <c r="R13" s="198"/>
      <c r="S13" s="198"/>
      <c r="T13" s="198"/>
      <c r="U13" s="198"/>
    </row>
    <row r="14" spans="1:21" s="12" customFormat="1" x14ac:dyDescent="0.25">
      <c r="A14" s="213" t="s">
        <v>2457</v>
      </c>
      <c r="B14" s="64">
        <v>79.22</v>
      </c>
      <c r="C14" s="64">
        <v>64.790000000000006</v>
      </c>
      <c r="D14" s="64">
        <v>141.91</v>
      </c>
      <c r="E14" s="64">
        <v>6.73</v>
      </c>
      <c r="F14" s="64">
        <v>2.13</v>
      </c>
      <c r="G14" s="64">
        <v>138.58000000000001</v>
      </c>
      <c r="H14" s="64">
        <v>32.97</v>
      </c>
      <c r="I14" s="214" t="s">
        <v>43</v>
      </c>
      <c r="J14" s="64">
        <v>1.22</v>
      </c>
      <c r="K14" s="64">
        <v>6.51</v>
      </c>
      <c r="L14" s="64">
        <v>17</v>
      </c>
      <c r="M14" s="64">
        <v>41.76</v>
      </c>
      <c r="N14" s="64">
        <v>70.3</v>
      </c>
      <c r="O14" s="64">
        <v>0</v>
      </c>
      <c r="P14" s="64">
        <v>1.1399999999999999</v>
      </c>
      <c r="Q14" s="64">
        <v>10.25</v>
      </c>
      <c r="R14" s="198"/>
      <c r="S14" s="198"/>
      <c r="T14" s="198"/>
      <c r="U14" s="198"/>
    </row>
    <row r="15" spans="1:21" s="12" customFormat="1" x14ac:dyDescent="0.25">
      <c r="A15" s="213" t="s">
        <v>2458</v>
      </c>
      <c r="B15" s="64">
        <v>75.319999999999993</v>
      </c>
      <c r="C15" s="64">
        <v>64.81</v>
      </c>
      <c r="D15" s="64">
        <v>138.03</v>
      </c>
      <c r="E15" s="64">
        <v>6.97</v>
      </c>
      <c r="F15" s="64">
        <v>2.13</v>
      </c>
      <c r="G15" s="64">
        <v>138.58000000000001</v>
      </c>
      <c r="H15" s="64">
        <v>32.97</v>
      </c>
      <c r="I15" s="214" t="s">
        <v>43</v>
      </c>
      <c r="J15" s="64">
        <v>0.77</v>
      </c>
      <c r="K15" s="64">
        <v>21.22</v>
      </c>
      <c r="L15" s="64">
        <v>16.79</v>
      </c>
      <c r="M15" s="64">
        <v>43.46</v>
      </c>
      <c r="N15" s="64">
        <v>71</v>
      </c>
      <c r="O15" s="64">
        <v>0</v>
      </c>
      <c r="P15" s="64">
        <v>1.1299999999999999</v>
      </c>
      <c r="Q15" s="64">
        <v>10.24</v>
      </c>
      <c r="R15" s="198"/>
      <c r="S15" s="198"/>
      <c r="T15" s="198"/>
      <c r="U15" s="198"/>
    </row>
    <row r="16" spans="1:21" s="12" customFormat="1" x14ac:dyDescent="0.25">
      <c r="A16" s="213" t="s">
        <v>2459</v>
      </c>
      <c r="B16" s="64">
        <v>71.709999999999994</v>
      </c>
      <c r="C16" s="64">
        <v>64.650000000000006</v>
      </c>
      <c r="D16" s="64">
        <v>134.26</v>
      </c>
      <c r="E16" s="64">
        <v>6.62</v>
      </c>
      <c r="F16" s="64">
        <v>2.13</v>
      </c>
      <c r="G16" s="64">
        <v>138.58000000000001</v>
      </c>
      <c r="H16" s="64">
        <v>32.97</v>
      </c>
      <c r="I16" s="214" t="s">
        <v>43</v>
      </c>
      <c r="J16" s="64">
        <v>0.59</v>
      </c>
      <c r="K16" s="64">
        <v>27.63</v>
      </c>
      <c r="L16" s="64">
        <v>16.7</v>
      </c>
      <c r="M16" s="64">
        <v>42.87</v>
      </c>
      <c r="N16" s="64">
        <v>70.8</v>
      </c>
      <c r="O16" s="64">
        <v>0</v>
      </c>
      <c r="P16" s="64">
        <v>1.05</v>
      </c>
      <c r="Q16" s="64">
        <v>10.220000000000001</v>
      </c>
      <c r="R16" s="198"/>
      <c r="S16" s="198"/>
      <c r="T16" s="198"/>
      <c r="U16" s="198"/>
    </row>
    <row r="17" spans="1:21" s="12" customFormat="1" x14ac:dyDescent="0.25">
      <c r="A17" s="213" t="s">
        <v>2460</v>
      </c>
      <c r="B17" s="64">
        <v>68.5</v>
      </c>
      <c r="C17" s="64">
        <v>62.71</v>
      </c>
      <c r="D17" s="64">
        <v>129.1</v>
      </c>
      <c r="E17" s="64">
        <v>6.34</v>
      </c>
      <c r="F17" s="64">
        <v>2.13</v>
      </c>
      <c r="G17" s="64">
        <v>123.21</v>
      </c>
      <c r="H17" s="64">
        <v>30.22</v>
      </c>
      <c r="I17" s="214" t="s">
        <v>43</v>
      </c>
      <c r="J17" s="64">
        <v>0.67</v>
      </c>
      <c r="K17" s="64">
        <v>17.64</v>
      </c>
      <c r="L17" s="64">
        <v>16.989999999999998</v>
      </c>
      <c r="M17" s="64">
        <v>40.72</v>
      </c>
      <c r="N17" s="64">
        <v>70.400000000000006</v>
      </c>
      <c r="O17" s="64">
        <v>0</v>
      </c>
      <c r="P17" s="64">
        <v>0.95</v>
      </c>
      <c r="Q17" s="64">
        <v>10.199999999999999</v>
      </c>
      <c r="R17" s="198"/>
      <c r="S17" s="198"/>
      <c r="T17" s="198"/>
      <c r="U17" s="198"/>
    </row>
    <row r="18" spans="1:21" s="12" customFormat="1" x14ac:dyDescent="0.25">
      <c r="A18" s="213" t="s">
        <v>2461</v>
      </c>
      <c r="B18" s="64">
        <v>65.319999999999993</v>
      </c>
      <c r="C18" s="64">
        <v>62.81</v>
      </c>
      <c r="D18" s="64">
        <v>126.03</v>
      </c>
      <c r="E18" s="64">
        <v>5.58</v>
      </c>
      <c r="F18" s="64">
        <v>2.13</v>
      </c>
      <c r="G18" s="64">
        <v>123.04</v>
      </c>
      <c r="H18" s="64">
        <v>30.19</v>
      </c>
      <c r="I18" s="214" t="s">
        <v>43</v>
      </c>
      <c r="J18" s="64">
        <v>0.67</v>
      </c>
      <c r="K18" s="64">
        <v>33.44</v>
      </c>
      <c r="L18" s="64">
        <v>17.010000000000002</v>
      </c>
      <c r="M18" s="64">
        <v>40.92</v>
      </c>
      <c r="N18" s="64">
        <v>70.599999999999994</v>
      </c>
      <c r="O18" s="64">
        <v>0</v>
      </c>
      <c r="P18" s="64">
        <v>0.92</v>
      </c>
      <c r="Q18" s="64">
        <v>10.199999999999999</v>
      </c>
      <c r="R18" s="198"/>
      <c r="S18" s="198"/>
      <c r="T18" s="198"/>
      <c r="U18" s="198"/>
    </row>
    <row r="19" spans="1:21" s="12" customFormat="1" x14ac:dyDescent="0.25">
      <c r="A19" s="213" t="s">
        <v>2462</v>
      </c>
      <c r="B19" s="64">
        <v>62.21</v>
      </c>
      <c r="C19" s="64">
        <v>62.79</v>
      </c>
      <c r="D19" s="64">
        <v>122.9</v>
      </c>
      <c r="E19" s="64">
        <v>5.54</v>
      </c>
      <c r="F19" s="64">
        <v>2.13</v>
      </c>
      <c r="G19" s="64">
        <v>123.04</v>
      </c>
      <c r="H19" s="64">
        <v>30.19</v>
      </c>
      <c r="I19" s="214" t="s">
        <v>43</v>
      </c>
      <c r="J19" s="64">
        <v>0.74</v>
      </c>
      <c r="K19" s="64">
        <v>20.71</v>
      </c>
      <c r="L19" s="64">
        <v>16.760000000000002</v>
      </c>
      <c r="M19" s="64">
        <v>41.86</v>
      </c>
      <c r="N19" s="64">
        <v>70.900000000000006</v>
      </c>
      <c r="O19" s="64">
        <v>0</v>
      </c>
      <c r="P19" s="64">
        <v>0.9</v>
      </c>
      <c r="Q19" s="64">
        <v>10.17</v>
      </c>
      <c r="R19" s="198"/>
      <c r="S19" s="198"/>
      <c r="T19" s="198"/>
      <c r="U19" s="198"/>
    </row>
    <row r="20" spans="1:21" s="12" customFormat="1" x14ac:dyDescent="0.25">
      <c r="A20" s="213" t="s">
        <v>2463</v>
      </c>
      <c r="B20" s="64">
        <v>58.89</v>
      </c>
      <c r="C20" s="64">
        <v>62.68</v>
      </c>
      <c r="D20" s="64">
        <v>119.46</v>
      </c>
      <c r="E20" s="64">
        <v>5.48</v>
      </c>
      <c r="F20" s="64">
        <v>2.13</v>
      </c>
      <c r="G20" s="64">
        <v>123.04</v>
      </c>
      <c r="H20" s="64">
        <v>30.19</v>
      </c>
      <c r="I20" s="214" t="s">
        <v>43</v>
      </c>
      <c r="J20" s="64">
        <v>0.7</v>
      </c>
      <c r="K20" s="64">
        <v>10.97</v>
      </c>
      <c r="L20" s="64">
        <v>16.45</v>
      </c>
      <c r="M20" s="64">
        <v>42.57</v>
      </c>
      <c r="N20" s="64">
        <v>71.2</v>
      </c>
      <c r="O20" s="64">
        <v>0</v>
      </c>
      <c r="P20" s="64">
        <v>0.83</v>
      </c>
      <c r="Q20" s="64">
        <v>10.14</v>
      </c>
      <c r="R20" s="198"/>
      <c r="S20" s="198"/>
      <c r="T20" s="198"/>
      <c r="U20" s="198"/>
    </row>
    <row r="21" spans="1:21" s="12" customFormat="1" x14ac:dyDescent="0.25">
      <c r="A21" s="213" t="s">
        <v>2464</v>
      </c>
      <c r="B21" s="64">
        <v>56.23</v>
      </c>
      <c r="C21" s="64">
        <v>62.15</v>
      </c>
      <c r="D21" s="64">
        <v>116.28</v>
      </c>
      <c r="E21" s="64">
        <v>5.74</v>
      </c>
      <c r="F21" s="64">
        <v>2.13</v>
      </c>
      <c r="G21" s="64">
        <v>62.54</v>
      </c>
      <c r="H21" s="64">
        <v>31.22</v>
      </c>
      <c r="I21" s="214" t="s">
        <v>43</v>
      </c>
      <c r="J21" s="64">
        <v>0.6</v>
      </c>
      <c r="K21" s="64">
        <v>54.64</v>
      </c>
      <c r="L21" s="64">
        <v>16.38</v>
      </c>
      <c r="M21" s="64">
        <v>42.38</v>
      </c>
      <c r="N21" s="64">
        <v>70.5</v>
      </c>
      <c r="O21" s="64">
        <v>0</v>
      </c>
      <c r="P21" s="64">
        <v>0.87</v>
      </c>
      <c r="Q21" s="64">
        <v>10.11</v>
      </c>
      <c r="R21" s="198"/>
      <c r="S21" s="198"/>
      <c r="T21" s="198"/>
      <c r="U21" s="198"/>
    </row>
    <row r="22" spans="1:21" s="12" customFormat="1" x14ac:dyDescent="0.25">
      <c r="A22" s="213" t="s">
        <v>2465</v>
      </c>
      <c r="B22" s="64">
        <v>53.88</v>
      </c>
      <c r="C22" s="64">
        <v>61.43</v>
      </c>
      <c r="D22" s="64">
        <v>113.21</v>
      </c>
      <c r="E22" s="64">
        <v>5.56</v>
      </c>
      <c r="F22" s="64">
        <v>2.13</v>
      </c>
      <c r="G22" s="64">
        <v>61.86</v>
      </c>
      <c r="H22" s="64">
        <v>31.23</v>
      </c>
      <c r="I22" s="214" t="s">
        <v>43</v>
      </c>
      <c r="J22" s="64">
        <v>0.7</v>
      </c>
      <c r="K22" s="64">
        <v>62.22</v>
      </c>
      <c r="L22" s="64">
        <v>16.79</v>
      </c>
      <c r="M22" s="64">
        <v>40.340000000000003</v>
      </c>
      <c r="N22" s="64">
        <v>70.400000000000006</v>
      </c>
      <c r="O22" s="64">
        <v>0</v>
      </c>
      <c r="P22" s="64">
        <v>0.82</v>
      </c>
      <c r="Q22" s="64">
        <v>10.119999999999999</v>
      </c>
      <c r="R22" s="198"/>
      <c r="S22" s="198"/>
      <c r="T22" s="198"/>
      <c r="U22" s="198"/>
    </row>
    <row r="23" spans="1:21" s="12" customFormat="1" x14ac:dyDescent="0.25">
      <c r="A23" s="213" t="s">
        <v>2466</v>
      </c>
      <c r="B23" s="64">
        <v>51.46</v>
      </c>
      <c r="C23" s="64">
        <v>61.37</v>
      </c>
      <c r="D23" s="64">
        <v>110.73</v>
      </c>
      <c r="E23" s="64">
        <v>5.73</v>
      </c>
      <c r="F23" s="64">
        <v>2.13</v>
      </c>
      <c r="G23" s="64">
        <v>61.86</v>
      </c>
      <c r="H23" s="64">
        <v>31.23</v>
      </c>
      <c r="I23" s="214" t="s">
        <v>43</v>
      </c>
      <c r="J23" s="64">
        <v>1</v>
      </c>
      <c r="K23" s="64">
        <v>79.87</v>
      </c>
      <c r="L23" s="64">
        <v>16.91</v>
      </c>
      <c r="M23" s="64">
        <v>40.200000000000003</v>
      </c>
      <c r="N23" s="64">
        <v>70.400000000000006</v>
      </c>
      <c r="O23" s="64">
        <v>0</v>
      </c>
      <c r="P23" s="64">
        <v>0.81</v>
      </c>
      <c r="Q23" s="64">
        <v>10.11</v>
      </c>
      <c r="R23" s="198"/>
      <c r="S23" s="198"/>
      <c r="T23" s="198"/>
      <c r="U23" s="198"/>
    </row>
    <row r="24" spans="1:21" s="12" customFormat="1" x14ac:dyDescent="0.25">
      <c r="A24" s="213" t="s">
        <v>2467</v>
      </c>
      <c r="B24" s="64">
        <v>49.31</v>
      </c>
      <c r="C24" s="64">
        <v>61.01</v>
      </c>
      <c r="D24" s="64">
        <v>108.21</v>
      </c>
      <c r="E24" s="64">
        <v>5.46</v>
      </c>
      <c r="F24" s="64">
        <v>2.13</v>
      </c>
      <c r="G24" s="64">
        <v>61.86</v>
      </c>
      <c r="H24" s="64">
        <v>31.23</v>
      </c>
      <c r="I24" s="214" t="s">
        <v>43</v>
      </c>
      <c r="J24" s="64">
        <v>1.47</v>
      </c>
      <c r="K24" s="64">
        <v>97.59</v>
      </c>
      <c r="L24" s="64">
        <v>16.920000000000002</v>
      </c>
      <c r="M24" s="64">
        <v>40</v>
      </c>
      <c r="N24" s="64">
        <v>70.400000000000006</v>
      </c>
      <c r="O24" s="64">
        <v>0</v>
      </c>
      <c r="P24" s="64">
        <v>0.88</v>
      </c>
      <c r="Q24" s="64">
        <v>10.08</v>
      </c>
      <c r="R24" s="198"/>
      <c r="S24" s="198"/>
      <c r="T24" s="198"/>
      <c r="U24" s="198"/>
    </row>
    <row r="25" spans="1:21" s="12" customFormat="1" x14ac:dyDescent="0.25">
      <c r="A25" s="213" t="s">
        <v>2468</v>
      </c>
      <c r="B25" s="64">
        <v>47.13</v>
      </c>
      <c r="C25" s="64">
        <v>60.73</v>
      </c>
      <c r="D25" s="64">
        <v>105.76</v>
      </c>
      <c r="E25" s="64">
        <v>5.4</v>
      </c>
      <c r="F25" s="64">
        <v>2.13</v>
      </c>
      <c r="G25" s="64">
        <v>37.18</v>
      </c>
      <c r="H25" s="64">
        <v>22.74</v>
      </c>
      <c r="I25" s="214" t="s">
        <v>43</v>
      </c>
      <c r="J25" s="64">
        <v>1.23</v>
      </c>
      <c r="K25" s="64">
        <v>93.84</v>
      </c>
      <c r="L25" s="64">
        <v>16.91</v>
      </c>
      <c r="M25" s="64">
        <v>40.5</v>
      </c>
      <c r="N25" s="64">
        <v>70.8</v>
      </c>
      <c r="O25" s="64">
        <v>0</v>
      </c>
      <c r="P25" s="64">
        <v>0.86</v>
      </c>
      <c r="Q25" s="64">
        <v>10.07</v>
      </c>
      <c r="R25" s="198"/>
      <c r="S25" s="198"/>
      <c r="T25" s="198"/>
      <c r="U25" s="198"/>
    </row>
    <row r="26" spans="1:21" s="12" customFormat="1" x14ac:dyDescent="0.25">
      <c r="A26" s="213" t="s">
        <v>2469</v>
      </c>
      <c r="B26" s="64">
        <v>44.52</v>
      </c>
      <c r="C26" s="64">
        <v>60.22</v>
      </c>
      <c r="D26" s="64">
        <v>102.64</v>
      </c>
      <c r="E26" s="64">
        <v>5.39</v>
      </c>
      <c r="F26" s="64">
        <v>2.13</v>
      </c>
      <c r="G26" s="64">
        <v>36.9</v>
      </c>
      <c r="H26" s="64">
        <v>22.64</v>
      </c>
      <c r="I26" s="214" t="s">
        <v>43</v>
      </c>
      <c r="J26" s="64">
        <v>0.75</v>
      </c>
      <c r="K26" s="64">
        <v>60.56</v>
      </c>
      <c r="L26" s="64">
        <v>16.57</v>
      </c>
      <c r="M26" s="64">
        <v>41.64</v>
      </c>
      <c r="N26" s="64">
        <v>71.400000000000006</v>
      </c>
      <c r="O26" s="64">
        <v>0</v>
      </c>
      <c r="P26" s="64">
        <v>0.8</v>
      </c>
      <c r="Q26" s="64">
        <v>10.1</v>
      </c>
      <c r="R26" s="198"/>
      <c r="S26" s="198"/>
      <c r="T26" s="198"/>
      <c r="U26" s="198"/>
    </row>
    <row r="27" spans="1:21" s="12" customFormat="1" x14ac:dyDescent="0.25">
      <c r="A27" s="213" t="s">
        <v>2470</v>
      </c>
      <c r="B27" s="64">
        <v>42.05</v>
      </c>
      <c r="C27" s="64">
        <v>59.86</v>
      </c>
      <c r="D27" s="64">
        <v>99.81</v>
      </c>
      <c r="E27" s="64">
        <v>4.99</v>
      </c>
      <c r="F27" s="64">
        <v>2.13</v>
      </c>
      <c r="G27" s="64">
        <v>36.9</v>
      </c>
      <c r="H27" s="64">
        <v>22.64</v>
      </c>
      <c r="I27" s="214" t="s">
        <v>43</v>
      </c>
      <c r="J27" s="64">
        <v>0.56999999999999995</v>
      </c>
      <c r="K27" s="64">
        <v>31.46</v>
      </c>
      <c r="L27" s="64">
        <v>16.22</v>
      </c>
      <c r="M27" s="64">
        <v>42.46</v>
      </c>
      <c r="N27" s="64">
        <v>71.5</v>
      </c>
      <c r="O27" s="64">
        <v>0</v>
      </c>
      <c r="P27" s="64">
        <v>0.77</v>
      </c>
      <c r="Q27" s="64">
        <v>10.11</v>
      </c>
      <c r="R27" s="198"/>
      <c r="S27" s="198"/>
      <c r="T27" s="198"/>
      <c r="U27" s="198"/>
    </row>
    <row r="28" spans="1:21" s="12" customFormat="1" x14ac:dyDescent="0.25">
      <c r="A28" s="213" t="s">
        <v>2471</v>
      </c>
      <c r="B28" s="64">
        <v>40.03</v>
      </c>
      <c r="C28" s="64">
        <v>59.83</v>
      </c>
      <c r="D28" s="64">
        <v>97.76</v>
      </c>
      <c r="E28" s="64">
        <v>4.9000000000000004</v>
      </c>
      <c r="F28" s="64">
        <v>2.13</v>
      </c>
      <c r="G28" s="64">
        <v>36.9</v>
      </c>
      <c r="H28" s="64">
        <v>22.64</v>
      </c>
      <c r="I28" s="214" t="s">
        <v>43</v>
      </c>
      <c r="J28" s="64">
        <v>0.67</v>
      </c>
      <c r="K28" s="64">
        <v>7.65</v>
      </c>
      <c r="L28" s="64">
        <v>15.98</v>
      </c>
      <c r="M28" s="64">
        <v>42.87</v>
      </c>
      <c r="N28" s="64">
        <v>71.3</v>
      </c>
      <c r="O28" s="64">
        <v>0</v>
      </c>
      <c r="P28" s="64">
        <v>0.74</v>
      </c>
      <c r="Q28" s="64">
        <v>10.11</v>
      </c>
      <c r="R28" s="198"/>
      <c r="S28" s="198"/>
      <c r="T28" s="198"/>
      <c r="U28" s="198"/>
    </row>
    <row r="29" spans="1:21" s="12" customFormat="1" x14ac:dyDescent="0.25">
      <c r="A29" s="213" t="s">
        <v>2472</v>
      </c>
      <c r="B29" s="64">
        <v>38.24</v>
      </c>
      <c r="C29" s="64">
        <v>60.15</v>
      </c>
      <c r="D29" s="64">
        <v>96.29</v>
      </c>
      <c r="E29" s="64">
        <v>4.7699999999999996</v>
      </c>
      <c r="F29" s="64">
        <v>2.13</v>
      </c>
      <c r="G29" s="64">
        <v>41.49</v>
      </c>
      <c r="H29" s="64">
        <v>28.81</v>
      </c>
      <c r="I29" s="214" t="s">
        <v>43</v>
      </c>
      <c r="J29" s="64">
        <v>0.7</v>
      </c>
      <c r="K29" s="64">
        <v>15.03</v>
      </c>
      <c r="L29" s="64">
        <v>15.77</v>
      </c>
      <c r="M29" s="64">
        <v>43.85</v>
      </c>
      <c r="N29" s="64">
        <v>71.2</v>
      </c>
      <c r="O29" s="64">
        <v>0</v>
      </c>
      <c r="P29" s="64">
        <v>0.72</v>
      </c>
      <c r="Q29" s="64">
        <v>10.11</v>
      </c>
      <c r="R29" s="198"/>
      <c r="S29" s="198"/>
      <c r="T29" s="198"/>
      <c r="U29" s="198"/>
    </row>
    <row r="30" spans="1:21" s="12" customFormat="1" x14ac:dyDescent="0.25">
      <c r="A30" s="213" t="s">
        <v>2473</v>
      </c>
      <c r="B30" s="64">
        <v>36.39</v>
      </c>
      <c r="C30" s="64">
        <v>60.29</v>
      </c>
      <c r="D30" s="64">
        <v>94.59</v>
      </c>
      <c r="E30" s="64">
        <v>4.63</v>
      </c>
      <c r="F30" s="64">
        <v>2.13</v>
      </c>
      <c r="G30" s="64">
        <v>41.54</v>
      </c>
      <c r="H30" s="64">
        <v>28.88</v>
      </c>
      <c r="I30" s="214" t="s">
        <v>43</v>
      </c>
      <c r="J30" s="64">
        <v>0.63</v>
      </c>
      <c r="K30" s="64">
        <v>33.26</v>
      </c>
      <c r="L30" s="64">
        <v>15.56</v>
      </c>
      <c r="M30" s="64">
        <v>44.98</v>
      </c>
      <c r="N30" s="64">
        <v>70.8</v>
      </c>
      <c r="O30" s="64">
        <v>0</v>
      </c>
      <c r="P30" s="64">
        <v>0.7</v>
      </c>
      <c r="Q30" s="64">
        <v>10.119999999999999</v>
      </c>
      <c r="R30" s="198"/>
      <c r="S30" s="198"/>
      <c r="T30" s="198"/>
      <c r="U30" s="198"/>
    </row>
    <row r="31" spans="1:21" s="12" customFormat="1" x14ac:dyDescent="0.25">
      <c r="A31" s="213" t="s">
        <v>2474</v>
      </c>
      <c r="B31" s="64">
        <v>34.81</v>
      </c>
      <c r="C31" s="64">
        <v>60.46</v>
      </c>
      <c r="D31" s="64">
        <v>93.17</v>
      </c>
      <c r="E31" s="64">
        <v>4.38</v>
      </c>
      <c r="F31" s="64">
        <v>2.13</v>
      </c>
      <c r="G31" s="64">
        <v>41.54</v>
      </c>
      <c r="H31" s="64">
        <v>28.88</v>
      </c>
      <c r="I31" s="214" t="s">
        <v>43</v>
      </c>
      <c r="J31" s="64">
        <v>0.53</v>
      </c>
      <c r="K31" s="64">
        <v>18.66</v>
      </c>
      <c r="L31" s="64">
        <v>15.45</v>
      </c>
      <c r="M31" s="64">
        <v>45.93</v>
      </c>
      <c r="N31" s="64">
        <v>70.8</v>
      </c>
      <c r="O31" s="64">
        <v>0</v>
      </c>
      <c r="P31" s="64">
        <v>0.68</v>
      </c>
      <c r="Q31" s="64">
        <v>10.09</v>
      </c>
      <c r="R31" s="198"/>
      <c r="S31" s="198"/>
      <c r="T31" s="198"/>
      <c r="U31" s="198"/>
    </row>
    <row r="32" spans="1:21" s="12" customFormat="1" x14ac:dyDescent="0.25">
      <c r="A32" s="213" t="s">
        <v>2475</v>
      </c>
      <c r="B32" s="64">
        <v>33.729999999999997</v>
      </c>
      <c r="C32" s="64">
        <v>60.59</v>
      </c>
      <c r="D32" s="64">
        <v>92.22</v>
      </c>
      <c r="E32" s="64">
        <v>4.47</v>
      </c>
      <c r="F32" s="64">
        <v>2.13</v>
      </c>
      <c r="G32" s="64">
        <v>41.54</v>
      </c>
      <c r="H32" s="64">
        <v>28.88</v>
      </c>
      <c r="I32" s="214" t="s">
        <v>43</v>
      </c>
      <c r="J32" s="64">
        <v>1.43</v>
      </c>
      <c r="K32" s="64">
        <v>345.19</v>
      </c>
      <c r="L32" s="64">
        <v>15.1</v>
      </c>
      <c r="M32" s="64">
        <v>48.52</v>
      </c>
      <c r="N32" s="64">
        <v>70.599999999999994</v>
      </c>
      <c r="O32" s="64">
        <v>0</v>
      </c>
      <c r="P32" s="64">
        <v>0.66</v>
      </c>
      <c r="Q32" s="64">
        <v>10.07</v>
      </c>
      <c r="R32" s="198"/>
      <c r="S32" s="198"/>
      <c r="T32" s="198"/>
      <c r="U32" s="198"/>
    </row>
    <row r="33" spans="1:21" s="12" customFormat="1" x14ac:dyDescent="0.25">
      <c r="A33" s="213" t="s">
        <v>2476</v>
      </c>
      <c r="B33" s="64">
        <v>32.35</v>
      </c>
      <c r="C33" s="64">
        <v>60.79</v>
      </c>
      <c r="D33" s="64">
        <v>91.04</v>
      </c>
      <c r="E33" s="64">
        <v>4.3499999999999996</v>
      </c>
      <c r="F33" s="64">
        <v>2.13</v>
      </c>
      <c r="G33" s="64">
        <v>59.64</v>
      </c>
      <c r="H33" s="64">
        <v>16.739999999999998</v>
      </c>
      <c r="I33" s="214" t="s">
        <v>43</v>
      </c>
      <c r="J33" s="64">
        <v>1.51</v>
      </c>
      <c r="K33" s="64">
        <v>1.66</v>
      </c>
      <c r="L33" s="64">
        <v>14.79</v>
      </c>
      <c r="M33" s="64">
        <v>49.53</v>
      </c>
      <c r="N33" s="64">
        <v>71.599999999999994</v>
      </c>
      <c r="O33" s="64">
        <v>0</v>
      </c>
      <c r="P33" s="64">
        <v>0.64</v>
      </c>
      <c r="Q33" s="64">
        <v>10.06</v>
      </c>
      <c r="R33" s="198"/>
      <c r="S33" s="198"/>
      <c r="T33" s="198"/>
      <c r="U33" s="198"/>
    </row>
    <row r="34" spans="1:21" s="12" customFormat="1" x14ac:dyDescent="0.25">
      <c r="A34" s="213" t="s">
        <v>2477</v>
      </c>
      <c r="B34" s="64">
        <v>31.07</v>
      </c>
      <c r="C34" s="64">
        <v>60.36</v>
      </c>
      <c r="D34" s="64">
        <v>89.33</v>
      </c>
      <c r="E34" s="64">
        <v>4.6399999999999997</v>
      </c>
      <c r="F34" s="64">
        <v>2.13</v>
      </c>
      <c r="G34" s="64">
        <v>59.84</v>
      </c>
      <c r="H34" s="64">
        <v>16.600000000000001</v>
      </c>
      <c r="I34" s="214" t="s">
        <v>43</v>
      </c>
      <c r="J34" s="64">
        <v>0.9</v>
      </c>
      <c r="K34" s="64">
        <v>8.9499999999999993</v>
      </c>
      <c r="L34" s="64">
        <v>14.55</v>
      </c>
      <c r="M34" s="64">
        <v>51.22</v>
      </c>
      <c r="N34" s="64">
        <v>75.7</v>
      </c>
      <c r="O34" s="64">
        <v>0</v>
      </c>
      <c r="P34" s="64">
        <v>0.61</v>
      </c>
      <c r="Q34" s="64">
        <v>10.07</v>
      </c>
      <c r="R34" s="198"/>
      <c r="S34" s="198"/>
      <c r="T34" s="198"/>
      <c r="U34" s="198"/>
    </row>
    <row r="35" spans="1:21" s="12" customFormat="1" x14ac:dyDescent="0.25">
      <c r="A35" s="213" t="s">
        <v>2478</v>
      </c>
      <c r="B35" s="64">
        <v>30.66</v>
      </c>
      <c r="C35" s="64">
        <v>60.15</v>
      </c>
      <c r="D35" s="64">
        <v>88.7</v>
      </c>
      <c r="E35" s="64">
        <v>4.51</v>
      </c>
      <c r="F35" s="64">
        <v>2.13</v>
      </c>
      <c r="G35" s="64">
        <v>59.84</v>
      </c>
      <c r="H35" s="64">
        <v>16.600000000000001</v>
      </c>
      <c r="I35" s="214" t="s">
        <v>43</v>
      </c>
      <c r="J35" s="64">
        <v>0.6</v>
      </c>
      <c r="K35" s="64">
        <v>13.72</v>
      </c>
      <c r="L35" s="64">
        <v>14.68</v>
      </c>
      <c r="M35" s="64">
        <v>49.87</v>
      </c>
      <c r="N35" s="64">
        <v>87.3</v>
      </c>
      <c r="O35" s="64">
        <v>0</v>
      </c>
      <c r="P35" s="64">
        <v>0.61</v>
      </c>
      <c r="Q35" s="64">
        <v>10.029999999999999</v>
      </c>
      <c r="R35" s="198"/>
      <c r="S35" s="198"/>
      <c r="T35" s="198"/>
      <c r="U35" s="198"/>
    </row>
    <row r="36" spans="1:21" s="12" customFormat="1" x14ac:dyDescent="0.25">
      <c r="A36" s="213" t="s">
        <v>2479</v>
      </c>
      <c r="B36" s="64">
        <v>30.97</v>
      </c>
      <c r="C36" s="64">
        <v>61.11</v>
      </c>
      <c r="D36" s="64">
        <v>89.98</v>
      </c>
      <c r="E36" s="64">
        <v>4.6900000000000004</v>
      </c>
      <c r="F36" s="64">
        <v>2.13</v>
      </c>
      <c r="G36" s="64">
        <v>59.84</v>
      </c>
      <c r="H36" s="64">
        <v>16.600000000000001</v>
      </c>
      <c r="I36" s="214" t="s">
        <v>43</v>
      </c>
      <c r="J36" s="64">
        <v>0.69</v>
      </c>
      <c r="K36" s="64">
        <v>35.020000000000003</v>
      </c>
      <c r="L36" s="64">
        <v>14.99</v>
      </c>
      <c r="M36" s="64">
        <v>50.2</v>
      </c>
      <c r="N36" s="64">
        <v>105.5</v>
      </c>
      <c r="O36" s="64">
        <v>0</v>
      </c>
      <c r="P36" s="64">
        <v>0.68</v>
      </c>
      <c r="Q36" s="64">
        <v>10.01</v>
      </c>
      <c r="R36" s="198"/>
      <c r="S36" s="198"/>
      <c r="T36" s="198"/>
      <c r="U36" s="198"/>
    </row>
    <row r="37" spans="1:21" s="12" customFormat="1" x14ac:dyDescent="0.25">
      <c r="A37" s="213" t="s">
        <v>2480</v>
      </c>
      <c r="B37" s="64">
        <v>31.76</v>
      </c>
      <c r="C37" s="64">
        <v>62.01</v>
      </c>
      <c r="D37" s="64">
        <v>91.68</v>
      </c>
      <c r="E37" s="64">
        <v>5.33</v>
      </c>
      <c r="F37" s="64">
        <v>2.13</v>
      </c>
      <c r="G37" s="64">
        <v>80.61</v>
      </c>
      <c r="H37" s="64">
        <v>23.33</v>
      </c>
      <c r="I37" s="214" t="s">
        <v>43</v>
      </c>
      <c r="J37" s="64">
        <v>0.61</v>
      </c>
      <c r="K37" s="64">
        <v>37.840000000000003</v>
      </c>
      <c r="L37" s="64">
        <v>15.74</v>
      </c>
      <c r="M37" s="64">
        <v>49.68</v>
      </c>
      <c r="N37" s="64">
        <v>169.8</v>
      </c>
      <c r="O37" s="64">
        <v>0</v>
      </c>
      <c r="P37" s="64">
        <v>0.7</v>
      </c>
      <c r="Q37" s="64">
        <v>10.02</v>
      </c>
      <c r="R37" s="198"/>
      <c r="S37" s="198"/>
      <c r="T37" s="198"/>
      <c r="U37" s="198"/>
    </row>
    <row r="38" spans="1:21" s="12" customFormat="1" x14ac:dyDescent="0.25">
      <c r="A38" s="213" t="s">
        <v>2481</v>
      </c>
      <c r="B38" s="64">
        <v>32.49</v>
      </c>
      <c r="C38" s="64">
        <v>62.03</v>
      </c>
      <c r="D38" s="64">
        <v>92.42</v>
      </c>
      <c r="E38" s="64">
        <v>5.74</v>
      </c>
      <c r="F38" s="64">
        <v>2.13</v>
      </c>
      <c r="G38" s="64">
        <v>80.61</v>
      </c>
      <c r="H38" s="64">
        <v>23.4</v>
      </c>
      <c r="I38" s="214" t="s">
        <v>43</v>
      </c>
      <c r="J38" s="64">
        <v>0.72</v>
      </c>
      <c r="K38" s="64">
        <v>56.41</v>
      </c>
      <c r="L38" s="64">
        <v>17.05</v>
      </c>
      <c r="M38" s="64">
        <v>46.56</v>
      </c>
      <c r="N38" s="64">
        <v>229.2</v>
      </c>
      <c r="O38" s="64">
        <v>0</v>
      </c>
      <c r="P38" s="64">
        <v>0.74</v>
      </c>
      <c r="Q38" s="64">
        <v>9.99</v>
      </c>
      <c r="R38" s="198"/>
      <c r="S38" s="198"/>
      <c r="T38" s="198"/>
      <c r="U38" s="198"/>
    </row>
    <row r="39" spans="1:21" s="12" customFormat="1" x14ac:dyDescent="0.25">
      <c r="A39" s="213" t="s">
        <v>2482</v>
      </c>
      <c r="B39" s="64">
        <v>32.81</v>
      </c>
      <c r="C39" s="64">
        <v>62.16</v>
      </c>
      <c r="D39" s="64">
        <v>92.87</v>
      </c>
      <c r="E39" s="64">
        <v>5.28</v>
      </c>
      <c r="F39" s="64">
        <v>2.13</v>
      </c>
      <c r="G39" s="64">
        <v>80.61</v>
      </c>
      <c r="H39" s="64">
        <v>23.4</v>
      </c>
      <c r="I39" s="214" t="s">
        <v>43</v>
      </c>
      <c r="J39" s="64">
        <v>0.76</v>
      </c>
      <c r="K39" s="64">
        <v>63.59</v>
      </c>
      <c r="L39" s="64">
        <v>18.399999999999999</v>
      </c>
      <c r="M39" s="64">
        <v>42.88</v>
      </c>
      <c r="N39" s="64">
        <v>291.5</v>
      </c>
      <c r="O39" s="64">
        <v>0</v>
      </c>
      <c r="P39" s="64">
        <v>0.72</v>
      </c>
      <c r="Q39" s="64">
        <v>9.98</v>
      </c>
      <c r="R39" s="198"/>
      <c r="S39" s="198"/>
      <c r="T39" s="198"/>
      <c r="U39" s="198"/>
    </row>
    <row r="40" spans="1:21" s="12" customFormat="1" x14ac:dyDescent="0.25">
      <c r="A40" s="213" t="s">
        <v>2483</v>
      </c>
      <c r="B40" s="64">
        <v>32.57</v>
      </c>
      <c r="C40" s="64">
        <v>61.91</v>
      </c>
      <c r="D40" s="64">
        <v>92.38</v>
      </c>
      <c r="E40" s="64">
        <v>6.12</v>
      </c>
      <c r="F40" s="64">
        <v>2.13</v>
      </c>
      <c r="G40" s="64">
        <v>80.61</v>
      </c>
      <c r="H40" s="64">
        <v>23.4</v>
      </c>
      <c r="I40" s="214" t="s">
        <v>43</v>
      </c>
      <c r="J40" s="64">
        <v>1.59</v>
      </c>
      <c r="K40" s="64">
        <v>90.52</v>
      </c>
      <c r="L40" s="64">
        <v>18.52</v>
      </c>
      <c r="M40" s="64">
        <v>41.87</v>
      </c>
      <c r="N40" s="64">
        <v>356.6</v>
      </c>
      <c r="O40" s="64">
        <v>0</v>
      </c>
      <c r="P40" s="64">
        <v>0.7</v>
      </c>
      <c r="Q40" s="64">
        <v>10.01</v>
      </c>
      <c r="R40" s="198"/>
      <c r="S40" s="198"/>
      <c r="T40" s="198"/>
      <c r="U40" s="198"/>
    </row>
    <row r="41" spans="1:21" s="12" customFormat="1" x14ac:dyDescent="0.25">
      <c r="A41" s="213" t="s">
        <v>2484</v>
      </c>
      <c r="B41" s="64">
        <v>31.59</v>
      </c>
      <c r="C41" s="64">
        <v>61.13</v>
      </c>
      <c r="D41" s="64">
        <v>90.62</v>
      </c>
      <c r="E41" s="64">
        <v>6.93</v>
      </c>
      <c r="F41" s="64">
        <v>2.13</v>
      </c>
      <c r="G41" s="64">
        <v>85.28</v>
      </c>
      <c r="H41" s="64">
        <v>29.3</v>
      </c>
      <c r="I41" s="214" t="s">
        <v>43</v>
      </c>
      <c r="J41" s="64">
        <v>1.74</v>
      </c>
      <c r="K41" s="64">
        <v>91.99</v>
      </c>
      <c r="L41" s="64">
        <v>18.84</v>
      </c>
      <c r="M41" s="64">
        <v>41.04</v>
      </c>
      <c r="N41" s="64">
        <v>415.2</v>
      </c>
      <c r="O41" s="64">
        <v>0</v>
      </c>
      <c r="P41" s="64">
        <v>0.69</v>
      </c>
      <c r="Q41" s="64">
        <v>10.01</v>
      </c>
      <c r="R41" s="198"/>
      <c r="S41" s="198"/>
      <c r="T41" s="198"/>
      <c r="U41" s="198"/>
    </row>
    <row r="42" spans="1:21" s="12" customFormat="1" x14ac:dyDescent="0.25">
      <c r="A42" s="213" t="s">
        <v>2485</v>
      </c>
      <c r="B42" s="64">
        <v>30.14</v>
      </c>
      <c r="C42" s="64">
        <v>59.48</v>
      </c>
      <c r="D42" s="64">
        <v>87.52</v>
      </c>
      <c r="E42" s="64">
        <v>7.48</v>
      </c>
      <c r="F42" s="64">
        <v>2.13</v>
      </c>
      <c r="G42" s="64">
        <v>85.34</v>
      </c>
      <c r="H42" s="64">
        <v>29.36</v>
      </c>
      <c r="I42" s="214" t="s">
        <v>43</v>
      </c>
      <c r="J42" s="64">
        <v>1.42</v>
      </c>
      <c r="K42" s="64">
        <v>94.21</v>
      </c>
      <c r="L42" s="64">
        <v>19.850000000000001</v>
      </c>
      <c r="M42" s="64">
        <v>39.24</v>
      </c>
      <c r="N42" s="64">
        <v>468.3</v>
      </c>
      <c r="O42" s="64">
        <v>0</v>
      </c>
      <c r="P42" s="64">
        <v>0.69</v>
      </c>
      <c r="Q42" s="64">
        <v>10.02</v>
      </c>
      <c r="R42" s="198"/>
      <c r="S42" s="198"/>
      <c r="T42" s="198"/>
      <c r="U42" s="198"/>
    </row>
    <row r="43" spans="1:21" s="12" customFormat="1" x14ac:dyDescent="0.25">
      <c r="A43" s="213" t="s">
        <v>2486</v>
      </c>
      <c r="B43" s="64">
        <v>28.45</v>
      </c>
      <c r="C43" s="64">
        <v>60.26</v>
      </c>
      <c r="D43" s="64">
        <v>86.6</v>
      </c>
      <c r="E43" s="64">
        <v>7.24</v>
      </c>
      <c r="F43" s="64">
        <v>2.13</v>
      </c>
      <c r="G43" s="64">
        <v>85.34</v>
      </c>
      <c r="H43" s="64">
        <v>29.36</v>
      </c>
      <c r="I43" s="214" t="s">
        <v>43</v>
      </c>
      <c r="J43" s="64">
        <v>1.61</v>
      </c>
      <c r="K43" s="64">
        <v>100.26</v>
      </c>
      <c r="L43" s="64">
        <v>20.27</v>
      </c>
      <c r="M43" s="64">
        <v>38.36</v>
      </c>
      <c r="N43" s="64">
        <v>521.1</v>
      </c>
      <c r="O43" s="64">
        <v>0</v>
      </c>
      <c r="P43" s="64">
        <v>0.68</v>
      </c>
      <c r="Q43" s="64">
        <v>10.02</v>
      </c>
      <c r="R43" s="198"/>
      <c r="S43" s="198"/>
      <c r="T43" s="198"/>
      <c r="U43" s="198"/>
    </row>
    <row r="44" spans="1:21" s="12" customFormat="1" x14ac:dyDescent="0.25">
      <c r="A44" s="213" t="s">
        <v>2487</v>
      </c>
      <c r="B44" s="64">
        <v>26.88</v>
      </c>
      <c r="C44" s="64">
        <v>60.91</v>
      </c>
      <c r="D44" s="64">
        <v>85.68</v>
      </c>
      <c r="E44" s="64">
        <v>7.38</v>
      </c>
      <c r="F44" s="64">
        <v>2.13</v>
      </c>
      <c r="G44" s="64">
        <v>85.34</v>
      </c>
      <c r="H44" s="64">
        <v>29.36</v>
      </c>
      <c r="I44" s="214" t="s">
        <v>43</v>
      </c>
      <c r="J44" s="64">
        <v>0.88</v>
      </c>
      <c r="K44" s="64">
        <v>88.94</v>
      </c>
      <c r="L44" s="64">
        <v>22.02</v>
      </c>
      <c r="M44" s="64">
        <v>35.81</v>
      </c>
      <c r="N44" s="64">
        <v>566.20000000000005</v>
      </c>
      <c r="O44" s="64">
        <v>0</v>
      </c>
      <c r="P44" s="64">
        <v>0.68</v>
      </c>
      <c r="Q44" s="64">
        <v>10.01</v>
      </c>
      <c r="R44" s="198"/>
      <c r="S44" s="198"/>
      <c r="T44" s="198"/>
      <c r="U44" s="198"/>
    </row>
    <row r="45" spans="1:21" s="12" customFormat="1" x14ac:dyDescent="0.25">
      <c r="A45" s="213" t="s">
        <v>2488</v>
      </c>
      <c r="B45" s="64">
        <v>26.14</v>
      </c>
      <c r="C45" s="64">
        <v>61.67</v>
      </c>
      <c r="D45" s="64">
        <v>85.71</v>
      </c>
      <c r="E45" s="64">
        <v>7.28</v>
      </c>
      <c r="F45" s="64">
        <v>2.13</v>
      </c>
      <c r="G45" s="64">
        <v>77.290000000000006</v>
      </c>
      <c r="H45" s="64">
        <v>30.42</v>
      </c>
      <c r="I45" s="214" t="s">
        <v>43</v>
      </c>
      <c r="J45" s="64">
        <v>1.89</v>
      </c>
      <c r="K45" s="64">
        <v>102.72</v>
      </c>
      <c r="L45" s="64">
        <v>21.73</v>
      </c>
      <c r="M45" s="64">
        <v>35.71</v>
      </c>
      <c r="N45" s="64">
        <v>623.1</v>
      </c>
      <c r="O45" s="64">
        <v>0</v>
      </c>
      <c r="P45" s="64">
        <v>0.68</v>
      </c>
      <c r="Q45" s="64">
        <v>10.02</v>
      </c>
      <c r="R45" s="198"/>
      <c r="S45" s="198"/>
      <c r="T45" s="198"/>
      <c r="U45" s="198"/>
    </row>
    <row r="46" spans="1:21" s="12" customFormat="1" x14ac:dyDescent="0.25">
      <c r="A46" s="213" t="s">
        <v>2489</v>
      </c>
      <c r="B46" s="64">
        <v>24.72</v>
      </c>
      <c r="C46" s="64">
        <v>62.01</v>
      </c>
      <c r="D46" s="64">
        <v>84.63</v>
      </c>
      <c r="E46" s="64">
        <v>7.34</v>
      </c>
      <c r="F46" s="64">
        <v>2.13</v>
      </c>
      <c r="G46" s="64">
        <v>77.2</v>
      </c>
      <c r="H46" s="64">
        <v>30.42</v>
      </c>
      <c r="I46" s="214" t="s">
        <v>43</v>
      </c>
      <c r="J46" s="64">
        <v>1.02</v>
      </c>
      <c r="K46" s="64">
        <v>72.05</v>
      </c>
      <c r="L46" s="64">
        <v>22.92</v>
      </c>
      <c r="M46" s="64">
        <v>32.89</v>
      </c>
      <c r="N46" s="64">
        <v>659.3</v>
      </c>
      <c r="O46" s="64">
        <v>0</v>
      </c>
      <c r="P46" s="64">
        <v>0.66</v>
      </c>
      <c r="Q46" s="64">
        <v>10.029999999999999</v>
      </c>
      <c r="R46" s="198"/>
      <c r="S46" s="198"/>
      <c r="T46" s="198"/>
      <c r="U46" s="198"/>
    </row>
    <row r="47" spans="1:21" s="12" customFormat="1" x14ac:dyDescent="0.25">
      <c r="A47" s="213" t="s">
        <v>2490</v>
      </c>
      <c r="B47" s="64">
        <v>23.92</v>
      </c>
      <c r="C47" s="64">
        <v>63.08</v>
      </c>
      <c r="D47" s="64">
        <v>84.9</v>
      </c>
      <c r="E47" s="64">
        <v>7.46</v>
      </c>
      <c r="F47" s="64">
        <v>2.13</v>
      </c>
      <c r="G47" s="64">
        <v>77.2</v>
      </c>
      <c r="H47" s="64">
        <v>30.42</v>
      </c>
      <c r="I47" s="214" t="s">
        <v>43</v>
      </c>
      <c r="J47" s="64">
        <v>0.82</v>
      </c>
      <c r="K47" s="64">
        <v>26.52</v>
      </c>
      <c r="L47" s="64">
        <v>25.26</v>
      </c>
      <c r="M47" s="64">
        <v>28.56</v>
      </c>
      <c r="N47" s="64">
        <v>691.9</v>
      </c>
      <c r="O47" s="64">
        <v>0</v>
      </c>
      <c r="P47" s="64">
        <v>0.65</v>
      </c>
      <c r="Q47" s="64">
        <v>10.02</v>
      </c>
      <c r="R47" s="198"/>
      <c r="S47" s="198"/>
      <c r="T47" s="198"/>
      <c r="U47" s="198"/>
    </row>
    <row r="48" spans="1:21" s="12" customFormat="1" x14ac:dyDescent="0.25">
      <c r="A48" s="213" t="s">
        <v>2491</v>
      </c>
      <c r="B48" s="64">
        <v>22.89</v>
      </c>
      <c r="C48" s="64">
        <v>63.97</v>
      </c>
      <c r="D48" s="64">
        <v>84.76</v>
      </c>
      <c r="E48" s="64">
        <v>7.44</v>
      </c>
      <c r="F48" s="64">
        <v>2.13</v>
      </c>
      <c r="G48" s="64">
        <v>77.2</v>
      </c>
      <c r="H48" s="64">
        <v>30.42</v>
      </c>
      <c r="I48" s="214" t="s">
        <v>43</v>
      </c>
      <c r="J48" s="64">
        <v>1.3</v>
      </c>
      <c r="K48" s="64">
        <v>68.930000000000007</v>
      </c>
      <c r="L48" s="64">
        <v>25.3</v>
      </c>
      <c r="M48" s="64">
        <v>27.7</v>
      </c>
      <c r="N48" s="64">
        <v>739.4</v>
      </c>
      <c r="O48" s="64">
        <v>0</v>
      </c>
      <c r="P48" s="64">
        <v>0.64</v>
      </c>
      <c r="Q48" s="64">
        <v>10.01</v>
      </c>
      <c r="R48" s="198"/>
      <c r="S48" s="198"/>
      <c r="T48" s="198"/>
      <c r="U48" s="198"/>
    </row>
    <row r="49" spans="1:21" s="12" customFormat="1" x14ac:dyDescent="0.25">
      <c r="A49" s="213" t="s">
        <v>2492</v>
      </c>
      <c r="B49" s="64">
        <v>21.37</v>
      </c>
      <c r="C49" s="64">
        <v>64.61</v>
      </c>
      <c r="D49" s="64">
        <v>83.88</v>
      </c>
      <c r="E49" s="64">
        <v>6.89</v>
      </c>
      <c r="F49" s="64">
        <v>2.13</v>
      </c>
      <c r="G49" s="64">
        <v>54.06</v>
      </c>
      <c r="H49" s="64">
        <v>22.95</v>
      </c>
      <c r="I49" s="214" t="s">
        <v>43</v>
      </c>
      <c r="J49" s="64">
        <v>1.21</v>
      </c>
      <c r="K49" s="64">
        <v>79.52</v>
      </c>
      <c r="L49" s="64">
        <v>24.42</v>
      </c>
      <c r="M49" s="64">
        <v>28.8</v>
      </c>
      <c r="N49" s="64">
        <v>779.1</v>
      </c>
      <c r="O49" s="64">
        <v>0</v>
      </c>
      <c r="P49" s="64">
        <v>0.63</v>
      </c>
      <c r="Q49" s="64">
        <v>10.01</v>
      </c>
      <c r="R49" s="198"/>
      <c r="S49" s="198"/>
      <c r="T49" s="198"/>
      <c r="U49" s="198"/>
    </row>
    <row r="50" spans="1:21" s="12" customFormat="1" x14ac:dyDescent="0.25">
      <c r="A50" s="213" t="s">
        <v>2493</v>
      </c>
      <c r="B50" s="64">
        <v>19.86</v>
      </c>
      <c r="C50" s="64">
        <v>65.53</v>
      </c>
      <c r="D50" s="64">
        <v>83.28</v>
      </c>
      <c r="E50" s="64">
        <v>7.79</v>
      </c>
      <c r="F50" s="64">
        <v>2.13</v>
      </c>
      <c r="G50" s="64">
        <v>54.06</v>
      </c>
      <c r="H50" s="64">
        <v>22.87</v>
      </c>
      <c r="I50" s="214" t="s">
        <v>43</v>
      </c>
      <c r="J50" s="64">
        <v>1.24</v>
      </c>
      <c r="K50" s="64">
        <v>71.08</v>
      </c>
      <c r="L50" s="64">
        <v>25.74</v>
      </c>
      <c r="M50" s="64">
        <v>27.08</v>
      </c>
      <c r="N50" s="64">
        <v>817.9</v>
      </c>
      <c r="O50" s="64">
        <v>0</v>
      </c>
      <c r="P50" s="64">
        <v>0.6</v>
      </c>
      <c r="Q50" s="64">
        <v>10.02</v>
      </c>
      <c r="R50" s="198"/>
      <c r="S50" s="198"/>
      <c r="T50" s="198"/>
      <c r="U50" s="198"/>
    </row>
    <row r="51" spans="1:21" s="12" customFormat="1" x14ac:dyDescent="0.25">
      <c r="A51" s="213" t="s">
        <v>2494</v>
      </c>
      <c r="B51" s="64">
        <v>14.35</v>
      </c>
      <c r="C51" s="64">
        <v>68.8</v>
      </c>
      <c r="D51" s="64">
        <v>81.05</v>
      </c>
      <c r="E51" s="64">
        <v>11.07</v>
      </c>
      <c r="F51" s="64">
        <v>2.13</v>
      </c>
      <c r="G51" s="64">
        <v>54.06</v>
      </c>
      <c r="H51" s="64">
        <v>22.87</v>
      </c>
      <c r="I51" s="214" t="s">
        <v>43</v>
      </c>
      <c r="J51" s="64">
        <v>1.48</v>
      </c>
      <c r="K51" s="64">
        <v>93.88</v>
      </c>
      <c r="L51" s="64">
        <v>24.61</v>
      </c>
      <c r="M51" s="64">
        <v>28.3</v>
      </c>
      <c r="N51" s="64">
        <v>848.9</v>
      </c>
      <c r="O51" s="64">
        <v>0</v>
      </c>
      <c r="P51" s="64">
        <v>0.54</v>
      </c>
      <c r="Q51" s="64">
        <v>10.039999999999999</v>
      </c>
      <c r="R51" s="198"/>
      <c r="S51" s="198"/>
      <c r="T51" s="198"/>
      <c r="U51" s="198"/>
    </row>
    <row r="52" spans="1:21" s="12" customFormat="1" x14ac:dyDescent="0.25">
      <c r="A52" s="213" t="s">
        <v>2495</v>
      </c>
      <c r="B52" s="64">
        <v>10.35</v>
      </c>
      <c r="C52" s="64">
        <v>70.86</v>
      </c>
      <c r="D52" s="64">
        <v>79.11</v>
      </c>
      <c r="E52" s="64">
        <v>9.34</v>
      </c>
      <c r="F52" s="64">
        <v>2.13</v>
      </c>
      <c r="G52" s="64">
        <v>54.06</v>
      </c>
      <c r="H52" s="64">
        <v>22.87</v>
      </c>
      <c r="I52" s="214" t="s">
        <v>43</v>
      </c>
      <c r="J52" s="64">
        <v>2.4300000000000002</v>
      </c>
      <c r="K52" s="64">
        <v>102.47</v>
      </c>
      <c r="L52" s="64">
        <v>24.7</v>
      </c>
      <c r="M52" s="64">
        <v>27.95</v>
      </c>
      <c r="N52" s="64">
        <v>870.2</v>
      </c>
      <c r="O52" s="64">
        <v>0</v>
      </c>
      <c r="P52" s="64">
        <v>0.51</v>
      </c>
      <c r="Q52" s="64">
        <v>10.01</v>
      </c>
      <c r="R52" s="198"/>
      <c r="S52" s="198"/>
      <c r="T52" s="198"/>
      <c r="U52" s="198"/>
    </row>
    <row r="53" spans="1:21" s="12" customFormat="1" x14ac:dyDescent="0.25">
      <c r="A53" s="213" t="s">
        <v>2496</v>
      </c>
      <c r="B53" s="64">
        <v>7.85</v>
      </c>
      <c r="C53" s="64">
        <v>70.45</v>
      </c>
      <c r="D53" s="64">
        <v>76.2</v>
      </c>
      <c r="E53" s="64">
        <v>8.81</v>
      </c>
      <c r="F53" s="64">
        <v>3.04</v>
      </c>
      <c r="G53" s="64">
        <v>30.4</v>
      </c>
      <c r="H53" s="64">
        <v>16.23</v>
      </c>
      <c r="I53" s="214" t="s">
        <v>43</v>
      </c>
      <c r="J53" s="64">
        <v>2.2799999999999998</v>
      </c>
      <c r="K53" s="64">
        <v>97.72</v>
      </c>
      <c r="L53" s="64">
        <v>24.28</v>
      </c>
      <c r="M53" s="64">
        <v>28.33</v>
      </c>
      <c r="N53" s="64">
        <v>885.5</v>
      </c>
      <c r="O53" s="64">
        <v>0</v>
      </c>
      <c r="P53" s="64">
        <v>0.47</v>
      </c>
      <c r="Q53" s="64">
        <v>9.94</v>
      </c>
      <c r="R53" s="198"/>
      <c r="S53" s="198"/>
      <c r="T53" s="198"/>
      <c r="U53" s="198"/>
    </row>
    <row r="54" spans="1:21" s="12" customFormat="1" x14ac:dyDescent="0.25">
      <c r="A54" s="213" t="s">
        <v>2497</v>
      </c>
      <c r="B54" s="64">
        <v>5.86</v>
      </c>
      <c r="C54" s="64">
        <v>68.930000000000007</v>
      </c>
      <c r="D54" s="64">
        <v>72.69</v>
      </c>
      <c r="E54" s="64">
        <v>9.09</v>
      </c>
      <c r="F54" s="64">
        <v>5.04</v>
      </c>
      <c r="G54" s="64">
        <v>30.13</v>
      </c>
      <c r="H54" s="64">
        <v>16.16</v>
      </c>
      <c r="I54" s="214" t="s">
        <v>43</v>
      </c>
      <c r="J54" s="64">
        <v>1.75</v>
      </c>
      <c r="K54" s="64">
        <v>93.66</v>
      </c>
      <c r="L54" s="64">
        <v>25.26</v>
      </c>
      <c r="M54" s="64">
        <v>27.57</v>
      </c>
      <c r="N54" s="64">
        <v>876.1</v>
      </c>
      <c r="O54" s="64">
        <v>0</v>
      </c>
      <c r="P54" s="64">
        <v>0.45</v>
      </c>
      <c r="Q54" s="64">
        <v>9.9</v>
      </c>
      <c r="R54" s="198"/>
      <c r="S54" s="198"/>
      <c r="T54" s="198"/>
      <c r="U54" s="198"/>
    </row>
    <row r="55" spans="1:21" s="12" customFormat="1" x14ac:dyDescent="0.25">
      <c r="A55" s="213" t="s">
        <v>2498</v>
      </c>
      <c r="B55" s="64">
        <v>5.09</v>
      </c>
      <c r="C55" s="64">
        <v>67.349999999999994</v>
      </c>
      <c r="D55" s="64">
        <v>70.33</v>
      </c>
      <c r="E55" s="64">
        <v>8.99</v>
      </c>
      <c r="F55" s="64">
        <v>4.24</v>
      </c>
      <c r="G55" s="64">
        <v>30.13</v>
      </c>
      <c r="H55" s="64">
        <v>16.16</v>
      </c>
      <c r="I55" s="214" t="s">
        <v>43</v>
      </c>
      <c r="J55" s="64">
        <v>1.55</v>
      </c>
      <c r="K55" s="64">
        <v>99.33</v>
      </c>
      <c r="L55" s="64">
        <v>25.63</v>
      </c>
      <c r="M55" s="64">
        <v>26.49</v>
      </c>
      <c r="N55" s="64">
        <v>868.5</v>
      </c>
      <c r="O55" s="64">
        <v>0</v>
      </c>
      <c r="P55" s="64">
        <v>0.42</v>
      </c>
      <c r="Q55" s="64">
        <v>9.8699999999999992</v>
      </c>
      <c r="R55" s="198"/>
      <c r="S55" s="198"/>
      <c r="T55" s="198"/>
      <c r="U55" s="198"/>
    </row>
    <row r="56" spans="1:21" s="12" customFormat="1" x14ac:dyDescent="0.25">
      <c r="A56" s="213" t="s">
        <v>2499</v>
      </c>
      <c r="B56" s="64">
        <v>4.5999999999999996</v>
      </c>
      <c r="C56" s="64">
        <v>64.12</v>
      </c>
      <c r="D56" s="64">
        <v>66.62</v>
      </c>
      <c r="E56" s="64">
        <v>9.17</v>
      </c>
      <c r="F56" s="64">
        <v>6.06</v>
      </c>
      <c r="G56" s="64">
        <v>30.13</v>
      </c>
      <c r="H56" s="64">
        <v>16.16</v>
      </c>
      <c r="I56" s="214" t="s">
        <v>43</v>
      </c>
      <c r="J56" s="64">
        <v>1.52</v>
      </c>
      <c r="K56" s="64">
        <v>105.51</v>
      </c>
      <c r="L56" s="64">
        <v>25.97</v>
      </c>
      <c r="M56" s="64">
        <v>25.22</v>
      </c>
      <c r="N56" s="64">
        <v>860</v>
      </c>
      <c r="O56" s="64">
        <v>0</v>
      </c>
      <c r="P56" s="64">
        <v>0.39</v>
      </c>
      <c r="Q56" s="64">
        <v>9.8699999999999992</v>
      </c>
      <c r="R56" s="198"/>
      <c r="S56" s="198"/>
      <c r="T56" s="198"/>
      <c r="U56" s="198"/>
    </row>
    <row r="57" spans="1:21" s="12" customFormat="1" x14ac:dyDescent="0.25">
      <c r="A57" s="213" t="s">
        <v>2500</v>
      </c>
      <c r="B57" s="64">
        <v>4.33</v>
      </c>
      <c r="C57" s="64">
        <v>61.09</v>
      </c>
      <c r="D57" s="64">
        <v>63.32</v>
      </c>
      <c r="E57" s="64">
        <v>8.75</v>
      </c>
      <c r="F57" s="64">
        <v>5.91</v>
      </c>
      <c r="G57" s="64">
        <v>66.02</v>
      </c>
      <c r="H57" s="64">
        <v>16.84</v>
      </c>
      <c r="I57" s="214" t="s">
        <v>43</v>
      </c>
      <c r="J57" s="64">
        <v>1.6</v>
      </c>
      <c r="K57" s="64">
        <v>85.37</v>
      </c>
      <c r="L57" s="64">
        <v>25.71</v>
      </c>
      <c r="M57" s="64">
        <v>25.06</v>
      </c>
      <c r="N57" s="64">
        <v>839.9</v>
      </c>
      <c r="O57" s="64">
        <v>0</v>
      </c>
      <c r="P57" s="64">
        <v>0.37</v>
      </c>
      <c r="Q57" s="64">
        <v>9.8699999999999992</v>
      </c>
      <c r="R57" s="198"/>
      <c r="S57" s="198"/>
      <c r="T57" s="198"/>
      <c r="U57" s="198"/>
    </row>
    <row r="58" spans="1:21" s="12" customFormat="1" x14ac:dyDescent="0.25">
      <c r="A58" s="213" t="s">
        <v>2501</v>
      </c>
      <c r="B58" s="64">
        <v>4.42</v>
      </c>
      <c r="C58" s="64">
        <v>58.97</v>
      </c>
      <c r="D58" s="64">
        <v>61.29</v>
      </c>
      <c r="E58" s="64">
        <v>8.4</v>
      </c>
      <c r="F58" s="64">
        <v>5.53</v>
      </c>
      <c r="G58" s="64">
        <v>66.430000000000007</v>
      </c>
      <c r="H58" s="64">
        <v>16.84</v>
      </c>
      <c r="I58" s="214" t="s">
        <v>43</v>
      </c>
      <c r="J58" s="64">
        <v>1.23</v>
      </c>
      <c r="K58" s="64">
        <v>102.98</v>
      </c>
      <c r="L58" s="64">
        <v>26.66</v>
      </c>
      <c r="M58" s="64">
        <v>22.71</v>
      </c>
      <c r="N58" s="64">
        <v>826.7</v>
      </c>
      <c r="O58" s="64">
        <v>0</v>
      </c>
      <c r="P58" s="64">
        <v>0.38</v>
      </c>
      <c r="Q58" s="64">
        <v>9.8699999999999992</v>
      </c>
      <c r="R58" s="198"/>
      <c r="S58" s="198"/>
      <c r="T58" s="198"/>
      <c r="U58" s="198"/>
    </row>
    <row r="59" spans="1:21" s="12" customFormat="1" x14ac:dyDescent="0.25">
      <c r="A59" s="213" t="s">
        <v>2502</v>
      </c>
      <c r="B59" s="64">
        <v>4.1900000000000004</v>
      </c>
      <c r="C59" s="64">
        <v>56.46</v>
      </c>
      <c r="D59" s="64">
        <v>58.54</v>
      </c>
      <c r="E59" s="64">
        <v>9.6300000000000008</v>
      </c>
      <c r="F59" s="64">
        <v>8.3800000000000008</v>
      </c>
      <c r="G59" s="64">
        <v>66.430000000000007</v>
      </c>
      <c r="H59" s="64">
        <v>16.84</v>
      </c>
      <c r="I59" s="214" t="s">
        <v>43</v>
      </c>
      <c r="J59" s="64">
        <v>0.96</v>
      </c>
      <c r="K59" s="64">
        <v>124.84</v>
      </c>
      <c r="L59" s="64">
        <v>26.77</v>
      </c>
      <c r="M59" s="64">
        <v>22.34</v>
      </c>
      <c r="N59" s="64">
        <v>819.2</v>
      </c>
      <c r="O59" s="64">
        <v>0</v>
      </c>
      <c r="P59" s="64">
        <v>0.34</v>
      </c>
      <c r="Q59" s="64">
        <v>9.89</v>
      </c>
      <c r="R59" s="198"/>
      <c r="S59" s="198"/>
      <c r="T59" s="198"/>
      <c r="U59" s="198"/>
    </row>
    <row r="60" spans="1:21" s="12" customFormat="1" x14ac:dyDescent="0.25">
      <c r="A60" s="213" t="s">
        <v>2503</v>
      </c>
      <c r="B60" s="64">
        <v>4.78</v>
      </c>
      <c r="C60" s="64">
        <v>56.52</v>
      </c>
      <c r="D60" s="64">
        <v>59.2</v>
      </c>
      <c r="E60" s="64">
        <v>9.9499999999999993</v>
      </c>
      <c r="F60" s="64">
        <v>9.64</v>
      </c>
      <c r="G60" s="64">
        <v>66.430000000000007</v>
      </c>
      <c r="H60" s="64">
        <v>16.84</v>
      </c>
      <c r="I60" s="214" t="s">
        <v>43</v>
      </c>
      <c r="J60" s="64">
        <v>0.89</v>
      </c>
      <c r="K60" s="64">
        <v>333.43</v>
      </c>
      <c r="L60" s="64">
        <v>29.24</v>
      </c>
      <c r="M60" s="64">
        <v>19.95</v>
      </c>
      <c r="N60" s="64">
        <v>811.8</v>
      </c>
      <c r="O60" s="64">
        <v>0</v>
      </c>
      <c r="P60" s="64">
        <v>0.35</v>
      </c>
      <c r="Q60" s="64">
        <v>9.85</v>
      </c>
      <c r="R60" s="198"/>
      <c r="S60" s="198"/>
      <c r="T60" s="198"/>
      <c r="U60" s="198"/>
    </row>
    <row r="61" spans="1:21" s="12" customFormat="1" x14ac:dyDescent="0.25">
      <c r="A61" s="213" t="s">
        <v>2504</v>
      </c>
      <c r="B61" s="64">
        <v>5.0199999999999996</v>
      </c>
      <c r="C61" s="64">
        <v>62.68</v>
      </c>
      <c r="D61" s="64">
        <v>65.599999999999994</v>
      </c>
      <c r="E61" s="64">
        <v>8.8699999999999992</v>
      </c>
      <c r="F61" s="64">
        <v>7.32</v>
      </c>
      <c r="G61" s="64">
        <v>49.39</v>
      </c>
      <c r="H61" s="64">
        <v>19.43</v>
      </c>
      <c r="I61" s="214" t="s">
        <v>43</v>
      </c>
      <c r="J61" s="64">
        <v>0.84</v>
      </c>
      <c r="K61" s="64">
        <v>7.07</v>
      </c>
      <c r="L61" s="64">
        <v>30.51</v>
      </c>
      <c r="M61" s="64">
        <v>18.8</v>
      </c>
      <c r="N61" s="64">
        <v>802.9</v>
      </c>
      <c r="O61" s="64">
        <v>0</v>
      </c>
      <c r="P61" s="64">
        <v>0.38</v>
      </c>
      <c r="Q61" s="64">
        <v>9.83</v>
      </c>
      <c r="R61" s="198"/>
      <c r="S61" s="198"/>
      <c r="T61" s="198"/>
      <c r="U61" s="198"/>
    </row>
    <row r="62" spans="1:21" s="12" customFormat="1" x14ac:dyDescent="0.25">
      <c r="A62" s="213" t="s">
        <v>2505</v>
      </c>
      <c r="B62" s="64">
        <v>4.9800000000000004</v>
      </c>
      <c r="C62" s="64">
        <v>67.63</v>
      </c>
      <c r="D62" s="64">
        <v>70.510000000000005</v>
      </c>
      <c r="E62" s="64">
        <v>10.1</v>
      </c>
      <c r="F62" s="64">
        <v>6.68</v>
      </c>
      <c r="G62" s="64">
        <v>49.2</v>
      </c>
      <c r="H62" s="64">
        <v>19.46</v>
      </c>
      <c r="I62" s="214" t="s">
        <v>43</v>
      </c>
      <c r="J62" s="64">
        <v>1.25</v>
      </c>
      <c r="K62" s="64">
        <v>5.74</v>
      </c>
      <c r="L62" s="64">
        <v>30.61</v>
      </c>
      <c r="M62" s="64">
        <v>18.579999999999998</v>
      </c>
      <c r="N62" s="64">
        <v>626.79999999999995</v>
      </c>
      <c r="O62" s="64">
        <v>0</v>
      </c>
      <c r="P62" s="64">
        <v>0.41</v>
      </c>
      <c r="Q62" s="64">
        <v>9.85</v>
      </c>
      <c r="R62" s="198"/>
      <c r="S62" s="198"/>
      <c r="T62" s="198"/>
      <c r="U62" s="198"/>
    </row>
    <row r="63" spans="1:21" s="12" customFormat="1" x14ac:dyDescent="0.25">
      <c r="A63" s="213" t="s">
        <v>2506</v>
      </c>
      <c r="B63" s="64">
        <v>4.5199999999999996</v>
      </c>
      <c r="C63" s="64">
        <v>68.430000000000007</v>
      </c>
      <c r="D63" s="64">
        <v>70.849999999999994</v>
      </c>
      <c r="E63" s="64">
        <v>8.5299999999999994</v>
      </c>
      <c r="F63" s="64">
        <v>4.96</v>
      </c>
      <c r="G63" s="64">
        <v>49.2</v>
      </c>
      <c r="H63" s="64">
        <v>19.46</v>
      </c>
      <c r="I63" s="214" t="s">
        <v>43</v>
      </c>
      <c r="J63" s="64">
        <v>1.73</v>
      </c>
      <c r="K63" s="64">
        <v>353.07</v>
      </c>
      <c r="L63" s="64">
        <v>31.42</v>
      </c>
      <c r="M63" s="64">
        <v>17.010000000000002</v>
      </c>
      <c r="N63" s="64">
        <v>627.79999999999995</v>
      </c>
      <c r="O63" s="64">
        <v>0</v>
      </c>
      <c r="P63" s="64">
        <v>0.41</v>
      </c>
      <c r="Q63" s="64">
        <v>9.8699999999999992</v>
      </c>
      <c r="R63" s="198"/>
      <c r="S63" s="198"/>
      <c r="T63" s="198"/>
      <c r="U63" s="198"/>
    </row>
    <row r="64" spans="1:21" s="12" customFormat="1" x14ac:dyDescent="0.25">
      <c r="A64" s="213" t="s">
        <v>2507</v>
      </c>
      <c r="B64" s="64">
        <v>4.62</v>
      </c>
      <c r="C64" s="64">
        <v>67.12</v>
      </c>
      <c r="D64" s="64">
        <v>69.64</v>
      </c>
      <c r="E64" s="64">
        <v>7.93</v>
      </c>
      <c r="F64" s="64">
        <v>2.96</v>
      </c>
      <c r="G64" s="64">
        <v>49.2</v>
      </c>
      <c r="H64" s="64">
        <v>19.46</v>
      </c>
      <c r="I64" s="214" t="s">
        <v>43</v>
      </c>
      <c r="J64" s="64">
        <v>0.42</v>
      </c>
      <c r="K64" s="64">
        <v>93.56</v>
      </c>
      <c r="L64" s="64">
        <v>30.45</v>
      </c>
      <c r="M64" s="64">
        <v>18.64</v>
      </c>
      <c r="N64" s="64">
        <v>784.2</v>
      </c>
      <c r="O64" s="64">
        <v>0</v>
      </c>
      <c r="P64" s="64">
        <v>0.41</v>
      </c>
      <c r="Q64" s="64">
        <v>9.8699999999999992</v>
      </c>
      <c r="R64" s="198"/>
      <c r="S64" s="198"/>
      <c r="T64" s="198"/>
      <c r="U64" s="198"/>
    </row>
    <row r="65" spans="1:21" s="12" customFormat="1" x14ac:dyDescent="0.25">
      <c r="A65" s="213" t="s">
        <v>2508</v>
      </c>
      <c r="B65" s="64">
        <v>4.5199999999999996</v>
      </c>
      <c r="C65" s="64">
        <v>65</v>
      </c>
      <c r="D65" s="64">
        <v>67.42</v>
      </c>
      <c r="E65" s="64">
        <v>7.48</v>
      </c>
      <c r="F65" s="64">
        <v>2.33</v>
      </c>
      <c r="G65" s="64">
        <v>42.64</v>
      </c>
      <c r="H65" s="64">
        <v>16.670000000000002</v>
      </c>
      <c r="I65" s="214" t="s">
        <v>43</v>
      </c>
      <c r="J65" s="64">
        <v>1.63</v>
      </c>
      <c r="K65" s="64">
        <v>107.4</v>
      </c>
      <c r="L65" s="64">
        <v>27.58</v>
      </c>
      <c r="M65" s="64">
        <v>20.87</v>
      </c>
      <c r="N65" s="64">
        <v>611.4</v>
      </c>
      <c r="O65" s="64">
        <v>0</v>
      </c>
      <c r="P65" s="64">
        <v>0.4</v>
      </c>
      <c r="Q65" s="64">
        <v>9.8699999999999992</v>
      </c>
      <c r="R65" s="198"/>
      <c r="S65" s="198"/>
      <c r="T65" s="198"/>
      <c r="U65" s="198"/>
    </row>
    <row r="66" spans="1:21" s="12" customFormat="1" x14ac:dyDescent="0.25">
      <c r="A66" s="213" t="s">
        <v>2509</v>
      </c>
      <c r="B66" s="64">
        <v>4.33</v>
      </c>
      <c r="C66" s="64">
        <v>61.82</v>
      </c>
      <c r="D66" s="64">
        <v>64.05</v>
      </c>
      <c r="E66" s="64">
        <v>7.94</v>
      </c>
      <c r="F66" s="64">
        <v>4</v>
      </c>
      <c r="G66" s="64">
        <v>42.57</v>
      </c>
      <c r="H66" s="64">
        <v>16.63</v>
      </c>
      <c r="I66" s="214" t="s">
        <v>43</v>
      </c>
      <c r="J66" s="64">
        <v>0.56999999999999995</v>
      </c>
      <c r="K66" s="64">
        <v>7.11</v>
      </c>
      <c r="L66" s="64">
        <v>28.81</v>
      </c>
      <c r="M66" s="64">
        <v>19.149999999999999</v>
      </c>
      <c r="N66" s="64">
        <v>605.20000000000005</v>
      </c>
      <c r="O66" s="64">
        <v>0</v>
      </c>
      <c r="P66" s="64">
        <v>0.37</v>
      </c>
      <c r="Q66" s="64">
        <v>9.83</v>
      </c>
      <c r="R66" s="198"/>
      <c r="S66" s="198"/>
      <c r="T66" s="198"/>
      <c r="U66" s="198"/>
    </row>
    <row r="67" spans="1:21" s="12" customFormat="1" x14ac:dyDescent="0.25">
      <c r="A67" s="213" t="s">
        <v>2510</v>
      </c>
      <c r="B67" s="64">
        <v>4.2699999999999996</v>
      </c>
      <c r="C67" s="64">
        <v>61.46</v>
      </c>
      <c r="D67" s="64">
        <v>64.34</v>
      </c>
      <c r="E67" s="64">
        <v>8.92</v>
      </c>
      <c r="F67" s="64">
        <v>7.24</v>
      </c>
      <c r="G67" s="64">
        <v>42.57</v>
      </c>
      <c r="H67" s="64">
        <v>16.63</v>
      </c>
      <c r="I67" s="214" t="s">
        <v>43</v>
      </c>
      <c r="J67" s="64">
        <v>0.89</v>
      </c>
      <c r="K67" s="64">
        <v>317.11</v>
      </c>
      <c r="L67" s="64">
        <v>30.87</v>
      </c>
      <c r="M67" s="64">
        <v>16.989999999999998</v>
      </c>
      <c r="N67" s="64">
        <v>592.79999999999995</v>
      </c>
      <c r="O67" s="64">
        <v>0</v>
      </c>
      <c r="P67" s="64">
        <v>0.41</v>
      </c>
      <c r="Q67" s="64">
        <v>9.81</v>
      </c>
      <c r="R67" s="198"/>
      <c r="S67" s="198"/>
      <c r="T67" s="198"/>
      <c r="U67" s="198"/>
    </row>
    <row r="68" spans="1:21" s="12" customFormat="1" x14ac:dyDescent="0.25">
      <c r="A68" s="213" t="s">
        <v>2511</v>
      </c>
      <c r="B68" s="64">
        <v>4.17</v>
      </c>
      <c r="C68" s="64">
        <v>62.68</v>
      </c>
      <c r="D68" s="64">
        <v>64.739999999999995</v>
      </c>
      <c r="E68" s="64">
        <v>9.14</v>
      </c>
      <c r="F68" s="64">
        <v>7.72</v>
      </c>
      <c r="G68" s="64">
        <v>42.57</v>
      </c>
      <c r="H68" s="64">
        <v>16.63</v>
      </c>
      <c r="I68" s="214" t="s">
        <v>43</v>
      </c>
      <c r="J68" s="64">
        <v>0.59</v>
      </c>
      <c r="K68" s="64">
        <v>333.62</v>
      </c>
      <c r="L68" s="64">
        <v>30.95</v>
      </c>
      <c r="M68" s="64">
        <v>17.190000000000001</v>
      </c>
      <c r="N68" s="64">
        <v>400.3</v>
      </c>
      <c r="O68" s="64">
        <v>0</v>
      </c>
      <c r="P68" s="64">
        <v>0.41</v>
      </c>
      <c r="Q68" s="64">
        <v>9.81</v>
      </c>
      <c r="R68" s="198"/>
      <c r="S68" s="198"/>
      <c r="T68" s="198"/>
      <c r="U68" s="198"/>
    </row>
    <row r="69" spans="1:21" s="12" customFormat="1" x14ac:dyDescent="0.25">
      <c r="A69" s="213" t="s">
        <v>2512</v>
      </c>
      <c r="B69" s="64">
        <v>4.03</v>
      </c>
      <c r="C69" s="64">
        <v>62.95</v>
      </c>
      <c r="D69" s="64">
        <v>64.88</v>
      </c>
      <c r="E69" s="64">
        <v>8.1</v>
      </c>
      <c r="F69" s="64">
        <v>4.17</v>
      </c>
      <c r="G69" s="64">
        <v>33.9</v>
      </c>
      <c r="H69" s="64">
        <v>11.1</v>
      </c>
      <c r="I69" s="214" t="s">
        <v>43</v>
      </c>
      <c r="J69" s="64">
        <v>0.61</v>
      </c>
      <c r="K69" s="64">
        <v>357.4</v>
      </c>
      <c r="L69" s="64">
        <v>29.42</v>
      </c>
      <c r="M69" s="64">
        <v>18.3</v>
      </c>
      <c r="N69" s="64">
        <v>425.5</v>
      </c>
      <c r="O69" s="64">
        <v>0</v>
      </c>
      <c r="P69" s="64">
        <v>0.38</v>
      </c>
      <c r="Q69" s="64">
        <v>9.8000000000000007</v>
      </c>
      <c r="R69" s="198"/>
      <c r="S69" s="198"/>
      <c r="T69" s="198"/>
      <c r="U69" s="198"/>
    </row>
    <row r="70" spans="1:21" s="12" customFormat="1" x14ac:dyDescent="0.25">
      <c r="A70" s="213" t="s">
        <v>2513</v>
      </c>
      <c r="B70" s="64">
        <v>4.3</v>
      </c>
      <c r="C70" s="64">
        <v>62.89</v>
      </c>
      <c r="D70" s="64">
        <v>65.09</v>
      </c>
      <c r="E70" s="64">
        <v>7.74</v>
      </c>
      <c r="F70" s="64">
        <v>3.51</v>
      </c>
      <c r="G70" s="64">
        <v>33.81</v>
      </c>
      <c r="H70" s="64">
        <v>11.04</v>
      </c>
      <c r="I70" s="214" t="s">
        <v>43</v>
      </c>
      <c r="J70" s="64">
        <v>0.97</v>
      </c>
      <c r="K70" s="64">
        <v>111.23</v>
      </c>
      <c r="L70" s="64">
        <v>28.18</v>
      </c>
      <c r="M70" s="64">
        <v>19.350000000000001</v>
      </c>
      <c r="N70" s="64">
        <v>325.5</v>
      </c>
      <c r="O70" s="64">
        <v>0</v>
      </c>
      <c r="P70" s="64">
        <v>0.39</v>
      </c>
      <c r="Q70" s="64">
        <v>9.81</v>
      </c>
      <c r="R70" s="198"/>
      <c r="S70" s="198"/>
      <c r="T70" s="198"/>
      <c r="U70" s="198"/>
    </row>
    <row r="71" spans="1:21" s="12" customFormat="1" x14ac:dyDescent="0.25">
      <c r="A71" s="213" t="s">
        <v>2514</v>
      </c>
      <c r="B71" s="64">
        <v>4.01</v>
      </c>
      <c r="C71" s="64">
        <v>61.24</v>
      </c>
      <c r="D71" s="64">
        <v>63.14</v>
      </c>
      <c r="E71" s="64">
        <v>8.8000000000000007</v>
      </c>
      <c r="F71" s="64">
        <v>9.06</v>
      </c>
      <c r="G71" s="64">
        <v>33.81</v>
      </c>
      <c r="H71" s="64">
        <v>11.04</v>
      </c>
      <c r="I71" s="214" t="s">
        <v>43</v>
      </c>
      <c r="J71" s="64">
        <v>0.39</v>
      </c>
      <c r="K71" s="64">
        <v>291.13</v>
      </c>
      <c r="L71" s="64">
        <v>28.42</v>
      </c>
      <c r="M71" s="64">
        <v>19.23</v>
      </c>
      <c r="N71" s="64">
        <v>238.4</v>
      </c>
      <c r="O71" s="64">
        <v>0</v>
      </c>
      <c r="P71" s="64">
        <v>0.4</v>
      </c>
      <c r="Q71" s="64">
        <v>9.81</v>
      </c>
      <c r="R71" s="198"/>
      <c r="S71" s="198"/>
      <c r="T71" s="198"/>
      <c r="U71" s="198"/>
    </row>
    <row r="72" spans="1:21" s="12" customFormat="1" x14ac:dyDescent="0.25">
      <c r="A72" s="213" t="s">
        <v>2515</v>
      </c>
      <c r="B72" s="64">
        <v>3.85</v>
      </c>
      <c r="C72" s="64">
        <v>61.59</v>
      </c>
      <c r="D72" s="64">
        <v>63.34</v>
      </c>
      <c r="E72" s="64">
        <v>7.54</v>
      </c>
      <c r="F72" s="64">
        <v>10.19</v>
      </c>
      <c r="G72" s="64">
        <v>33.81</v>
      </c>
      <c r="H72" s="64">
        <v>11.04</v>
      </c>
      <c r="I72" s="214" t="s">
        <v>43</v>
      </c>
      <c r="J72" s="64">
        <v>0.84</v>
      </c>
      <c r="K72" s="64">
        <v>4.78</v>
      </c>
      <c r="L72" s="64">
        <v>27.8</v>
      </c>
      <c r="M72" s="64">
        <v>20.350000000000001</v>
      </c>
      <c r="N72" s="64">
        <v>219.9</v>
      </c>
      <c r="O72" s="64">
        <v>0</v>
      </c>
      <c r="P72" s="64">
        <v>0.38</v>
      </c>
      <c r="Q72" s="64">
        <v>9.76</v>
      </c>
      <c r="R72" s="198"/>
      <c r="S72" s="198"/>
      <c r="T72" s="198"/>
      <c r="U72" s="198"/>
    </row>
    <row r="73" spans="1:21" s="12" customFormat="1" x14ac:dyDescent="0.25">
      <c r="A73" s="213" t="s">
        <v>2516</v>
      </c>
      <c r="B73" s="64">
        <v>3.84</v>
      </c>
      <c r="C73" s="64">
        <v>63.27</v>
      </c>
      <c r="D73" s="64">
        <v>65.010000000000005</v>
      </c>
      <c r="E73" s="64">
        <v>9.27</v>
      </c>
      <c r="F73" s="64">
        <v>16.309999999999999</v>
      </c>
      <c r="G73" s="64">
        <v>39.36</v>
      </c>
      <c r="H73" s="64">
        <v>15.75</v>
      </c>
      <c r="I73" s="214" t="s">
        <v>43</v>
      </c>
      <c r="J73" s="64">
        <v>0.74</v>
      </c>
      <c r="K73" s="64">
        <v>30.95</v>
      </c>
      <c r="L73" s="64">
        <v>27.28</v>
      </c>
      <c r="M73" s="64">
        <v>21.55</v>
      </c>
      <c r="N73" s="64">
        <v>167.3</v>
      </c>
      <c r="O73" s="64">
        <v>0</v>
      </c>
      <c r="P73" s="64">
        <v>0.46</v>
      </c>
      <c r="Q73" s="64">
        <v>9.75</v>
      </c>
      <c r="R73" s="198"/>
      <c r="S73" s="198"/>
      <c r="T73" s="198"/>
      <c r="U73" s="198"/>
    </row>
    <row r="74" spans="1:21" s="12" customFormat="1" x14ac:dyDescent="0.25">
      <c r="A74" s="213" t="s">
        <v>2517</v>
      </c>
      <c r="B74" s="64">
        <v>3.98</v>
      </c>
      <c r="C74" s="64">
        <v>64.66</v>
      </c>
      <c r="D74" s="64">
        <v>66.53</v>
      </c>
      <c r="E74" s="64">
        <v>7.88</v>
      </c>
      <c r="F74" s="64">
        <v>6.86</v>
      </c>
      <c r="G74" s="64">
        <v>39.42</v>
      </c>
      <c r="H74" s="64">
        <v>15.81</v>
      </c>
      <c r="I74" s="214" t="s">
        <v>43</v>
      </c>
      <c r="J74" s="64">
        <v>1.47</v>
      </c>
      <c r="K74" s="64">
        <v>9.5500000000000007</v>
      </c>
      <c r="L74" s="64">
        <v>26.45</v>
      </c>
      <c r="M74" s="64">
        <v>23.26</v>
      </c>
      <c r="N74" s="64">
        <v>152.5</v>
      </c>
      <c r="O74" s="64">
        <v>0</v>
      </c>
      <c r="P74" s="64">
        <v>0.46</v>
      </c>
      <c r="Q74" s="64">
        <v>9.76</v>
      </c>
      <c r="R74" s="198"/>
      <c r="S74" s="198"/>
      <c r="T74" s="198"/>
      <c r="U74" s="198"/>
    </row>
    <row r="75" spans="1:21" s="12" customFormat="1" x14ac:dyDescent="0.25">
      <c r="A75" s="213" t="s">
        <v>2518</v>
      </c>
      <c r="B75" s="64">
        <v>4.63</v>
      </c>
      <c r="C75" s="64">
        <v>64.510000000000005</v>
      </c>
      <c r="D75" s="64">
        <v>67.040000000000006</v>
      </c>
      <c r="E75" s="64">
        <v>8</v>
      </c>
      <c r="F75" s="64">
        <v>3.46</v>
      </c>
      <c r="G75" s="64">
        <v>39.42</v>
      </c>
      <c r="H75" s="64">
        <v>15.81</v>
      </c>
      <c r="I75" s="214" t="s">
        <v>43</v>
      </c>
      <c r="J75" s="64">
        <v>1.3</v>
      </c>
      <c r="K75" s="64">
        <v>3.32</v>
      </c>
      <c r="L75" s="64">
        <v>26.52</v>
      </c>
      <c r="M75" s="64">
        <v>23.9</v>
      </c>
      <c r="N75" s="64">
        <v>137.30000000000001</v>
      </c>
      <c r="O75" s="64">
        <v>0</v>
      </c>
      <c r="P75" s="64">
        <v>0.53</v>
      </c>
      <c r="Q75" s="64">
        <v>9.77</v>
      </c>
      <c r="R75" s="198"/>
      <c r="S75" s="198"/>
      <c r="T75" s="198"/>
      <c r="U75" s="198"/>
    </row>
    <row r="76" spans="1:21" s="12" customFormat="1" x14ac:dyDescent="0.25">
      <c r="A76" s="213" t="s">
        <v>2519</v>
      </c>
      <c r="B76" s="64">
        <v>5.4</v>
      </c>
      <c r="C76" s="64">
        <v>64.900000000000006</v>
      </c>
      <c r="D76" s="64">
        <v>68.2</v>
      </c>
      <c r="E76" s="64">
        <v>7.86</v>
      </c>
      <c r="F76" s="64">
        <v>2.13</v>
      </c>
      <c r="G76" s="64">
        <v>39.42</v>
      </c>
      <c r="H76" s="64">
        <v>15.81</v>
      </c>
      <c r="I76" s="214" t="s">
        <v>43</v>
      </c>
      <c r="J76" s="64">
        <v>1.74</v>
      </c>
      <c r="K76" s="64">
        <v>0.03</v>
      </c>
      <c r="L76" s="64">
        <v>26.06</v>
      </c>
      <c r="M76" s="64">
        <v>24.45</v>
      </c>
      <c r="N76" s="64">
        <v>124.8</v>
      </c>
      <c r="O76" s="64">
        <v>0</v>
      </c>
      <c r="P76" s="64">
        <v>0.56000000000000005</v>
      </c>
      <c r="Q76" s="64">
        <v>9.77</v>
      </c>
      <c r="R76" s="198"/>
      <c r="S76" s="198"/>
      <c r="T76" s="198"/>
      <c r="U76" s="198"/>
    </row>
    <row r="77" spans="1:21" s="12" customFormat="1" x14ac:dyDescent="0.25">
      <c r="A77" s="213" t="s">
        <v>2520</v>
      </c>
      <c r="B77" s="64">
        <v>6.38</v>
      </c>
      <c r="C77" s="64">
        <v>66.75</v>
      </c>
      <c r="D77" s="64">
        <v>71.03</v>
      </c>
      <c r="E77" s="64">
        <v>8.5500000000000007</v>
      </c>
      <c r="F77" s="64">
        <v>2.13</v>
      </c>
      <c r="G77" s="64">
        <v>52.23</v>
      </c>
      <c r="H77" s="64">
        <v>21.56</v>
      </c>
      <c r="I77" s="214" t="s">
        <v>43</v>
      </c>
      <c r="J77" s="64">
        <v>2</v>
      </c>
      <c r="K77" s="64">
        <v>358.99</v>
      </c>
      <c r="L77" s="64">
        <v>25.62</v>
      </c>
      <c r="M77" s="64">
        <v>25.1</v>
      </c>
      <c r="N77" s="64">
        <v>112.5</v>
      </c>
      <c r="O77" s="64">
        <v>0</v>
      </c>
      <c r="P77" s="64">
        <v>0.5</v>
      </c>
      <c r="Q77" s="64">
        <v>9.7899999999999991</v>
      </c>
      <c r="R77" s="198"/>
      <c r="S77" s="198"/>
      <c r="T77" s="198"/>
      <c r="U77" s="198"/>
    </row>
    <row r="78" spans="1:21" s="12" customFormat="1" x14ac:dyDescent="0.25">
      <c r="A78" s="213" t="s">
        <v>2521</v>
      </c>
      <c r="B78" s="64">
        <v>6.95</v>
      </c>
      <c r="C78" s="64">
        <v>70.62</v>
      </c>
      <c r="D78" s="64">
        <v>75.47</v>
      </c>
      <c r="E78" s="64">
        <v>9.4</v>
      </c>
      <c r="F78" s="64">
        <v>3</v>
      </c>
      <c r="G78" s="64">
        <v>52.38</v>
      </c>
      <c r="H78" s="64">
        <v>21.63</v>
      </c>
      <c r="I78" s="214" t="s">
        <v>43</v>
      </c>
      <c r="J78" s="64">
        <v>2.11</v>
      </c>
      <c r="K78" s="64">
        <v>359.36</v>
      </c>
      <c r="L78" s="64">
        <v>25.14</v>
      </c>
      <c r="M78" s="64">
        <v>25.34</v>
      </c>
      <c r="N78" s="64">
        <v>100.8</v>
      </c>
      <c r="O78" s="64">
        <v>0</v>
      </c>
      <c r="P78" s="64">
        <v>0.53</v>
      </c>
      <c r="Q78" s="64">
        <v>9.81</v>
      </c>
      <c r="R78" s="198"/>
      <c r="S78" s="198"/>
      <c r="T78" s="198"/>
      <c r="U78" s="198"/>
    </row>
    <row r="79" spans="1:21" s="12" customFormat="1" x14ac:dyDescent="0.25">
      <c r="A79" s="213" t="s">
        <v>2522</v>
      </c>
      <c r="B79" s="64">
        <v>6.86</v>
      </c>
      <c r="C79" s="64">
        <v>75.260000000000005</v>
      </c>
      <c r="D79" s="64">
        <v>80.02</v>
      </c>
      <c r="E79" s="64">
        <v>8.44</v>
      </c>
      <c r="F79" s="64">
        <v>2.21</v>
      </c>
      <c r="G79" s="64">
        <v>52.38</v>
      </c>
      <c r="H79" s="64">
        <v>21.63</v>
      </c>
      <c r="I79" s="214" t="s">
        <v>43</v>
      </c>
      <c r="J79" s="64">
        <v>1.84</v>
      </c>
      <c r="K79" s="64">
        <v>0.85</v>
      </c>
      <c r="L79" s="64">
        <v>24.67</v>
      </c>
      <c r="M79" s="64">
        <v>26.33</v>
      </c>
      <c r="N79" s="64">
        <v>87.1</v>
      </c>
      <c r="O79" s="64">
        <v>0</v>
      </c>
      <c r="P79" s="64">
        <v>0.56000000000000005</v>
      </c>
      <c r="Q79" s="64">
        <v>9.85</v>
      </c>
      <c r="R79" s="198"/>
      <c r="S79" s="198"/>
      <c r="T79" s="198"/>
      <c r="U79" s="198"/>
    </row>
    <row r="80" spans="1:21" s="12" customFormat="1" x14ac:dyDescent="0.25">
      <c r="A80" s="213" t="s">
        <v>2523</v>
      </c>
      <c r="B80" s="64">
        <v>7.03</v>
      </c>
      <c r="C80" s="64">
        <v>76.150000000000006</v>
      </c>
      <c r="D80" s="64">
        <v>81.08</v>
      </c>
      <c r="E80" s="64">
        <v>7.09</v>
      </c>
      <c r="F80" s="64">
        <v>2.13</v>
      </c>
      <c r="G80" s="64">
        <v>52.38</v>
      </c>
      <c r="H80" s="64">
        <v>21.63</v>
      </c>
      <c r="I80" s="214" t="s">
        <v>43</v>
      </c>
      <c r="J80" s="64">
        <v>1.92</v>
      </c>
      <c r="K80" s="64">
        <v>0.57999999999999996</v>
      </c>
      <c r="L80" s="64">
        <v>24.14</v>
      </c>
      <c r="M80" s="64">
        <v>26.21</v>
      </c>
      <c r="N80" s="64">
        <v>76</v>
      </c>
      <c r="O80" s="64">
        <v>0</v>
      </c>
      <c r="P80" s="64">
        <v>0.56000000000000005</v>
      </c>
      <c r="Q80" s="64">
        <v>9.84</v>
      </c>
      <c r="R80" s="198"/>
      <c r="S80" s="198"/>
      <c r="T80" s="198"/>
      <c r="U80" s="198"/>
    </row>
    <row r="81" spans="1:26" s="12" customFormat="1" x14ac:dyDescent="0.25">
      <c r="A81" s="213" t="s">
        <v>2524</v>
      </c>
      <c r="B81" s="64">
        <v>7.64</v>
      </c>
      <c r="C81" s="64">
        <v>76.16</v>
      </c>
      <c r="D81" s="64">
        <v>81.7</v>
      </c>
      <c r="E81" s="64">
        <v>7.57</v>
      </c>
      <c r="F81" s="64">
        <v>2.13</v>
      </c>
      <c r="G81" s="64">
        <v>67.02</v>
      </c>
      <c r="H81" s="64">
        <v>18.399999999999999</v>
      </c>
      <c r="I81" s="214" t="s">
        <v>43</v>
      </c>
      <c r="J81" s="64">
        <v>1.8</v>
      </c>
      <c r="K81" s="64">
        <v>359.44</v>
      </c>
      <c r="L81" s="64">
        <v>23.64</v>
      </c>
      <c r="M81" s="64">
        <v>26.66</v>
      </c>
      <c r="N81" s="64">
        <v>72.400000000000006</v>
      </c>
      <c r="O81" s="64">
        <v>0</v>
      </c>
      <c r="P81" s="64">
        <v>0.57999999999999996</v>
      </c>
      <c r="Q81" s="64">
        <v>9.85</v>
      </c>
      <c r="R81" s="198"/>
      <c r="S81" s="198"/>
      <c r="T81" s="198"/>
      <c r="U81" s="198"/>
    </row>
    <row r="82" spans="1:26" s="12" customFormat="1" x14ac:dyDescent="0.25">
      <c r="A82" s="213" t="s">
        <v>2525</v>
      </c>
      <c r="B82" s="64">
        <v>8.52</v>
      </c>
      <c r="C82" s="64">
        <v>76.17</v>
      </c>
      <c r="D82" s="64">
        <v>82.59</v>
      </c>
      <c r="E82" s="64">
        <v>7.07</v>
      </c>
      <c r="F82" s="64">
        <v>2.13</v>
      </c>
      <c r="G82" s="64">
        <v>67.19</v>
      </c>
      <c r="H82" s="64">
        <v>18.37</v>
      </c>
      <c r="I82" s="214" t="s">
        <v>43</v>
      </c>
      <c r="J82" s="64">
        <v>1.49</v>
      </c>
      <c r="K82" s="64">
        <v>1.71</v>
      </c>
      <c r="L82" s="64">
        <v>23.21</v>
      </c>
      <c r="M82" s="64">
        <v>27.75</v>
      </c>
      <c r="N82" s="64">
        <v>71.599999999999994</v>
      </c>
      <c r="O82" s="64">
        <v>0</v>
      </c>
      <c r="P82" s="64">
        <v>0.62</v>
      </c>
      <c r="Q82" s="64">
        <v>9.85</v>
      </c>
      <c r="R82" s="198"/>
      <c r="S82" s="198"/>
      <c r="T82" s="198"/>
      <c r="U82" s="198"/>
    </row>
    <row r="83" spans="1:26" s="12" customFormat="1" x14ac:dyDescent="0.25">
      <c r="A83" s="213" t="s">
        <v>2526</v>
      </c>
      <c r="B83" s="64">
        <v>9.8699999999999992</v>
      </c>
      <c r="C83" s="64">
        <v>76.23</v>
      </c>
      <c r="D83" s="64">
        <v>84</v>
      </c>
      <c r="E83" s="64">
        <v>6.64</v>
      </c>
      <c r="F83" s="64">
        <v>2.13</v>
      </c>
      <c r="G83" s="64">
        <v>67.19</v>
      </c>
      <c r="H83" s="64">
        <v>18.37</v>
      </c>
      <c r="I83" s="214" t="s">
        <v>43</v>
      </c>
      <c r="J83" s="64">
        <v>1.35</v>
      </c>
      <c r="K83" s="64">
        <v>1.93</v>
      </c>
      <c r="L83" s="64">
        <v>22.96</v>
      </c>
      <c r="M83" s="64">
        <v>28.46</v>
      </c>
      <c r="N83" s="64">
        <v>71.400000000000006</v>
      </c>
      <c r="O83" s="64">
        <v>0</v>
      </c>
      <c r="P83" s="64">
        <v>0.69</v>
      </c>
      <c r="Q83" s="64">
        <v>9.83</v>
      </c>
      <c r="R83" s="198"/>
      <c r="S83" s="198"/>
      <c r="T83" s="198"/>
      <c r="U83" s="198"/>
    </row>
    <row r="84" spans="1:26" s="12" customFormat="1" x14ac:dyDescent="0.25">
      <c r="A84" s="213" t="s">
        <v>2527</v>
      </c>
      <c r="B84" s="64">
        <v>11.32</v>
      </c>
      <c r="C84" s="64">
        <v>76.45</v>
      </c>
      <c r="D84" s="64">
        <v>85.66</v>
      </c>
      <c r="E84" s="64">
        <v>6.66</v>
      </c>
      <c r="F84" s="64">
        <v>2.13</v>
      </c>
      <c r="G84" s="64">
        <v>67.19</v>
      </c>
      <c r="H84" s="64">
        <v>18.37</v>
      </c>
      <c r="I84" s="214" t="s">
        <v>43</v>
      </c>
      <c r="J84" s="64">
        <v>1.54</v>
      </c>
      <c r="K84" s="64">
        <v>1.07</v>
      </c>
      <c r="L84" s="64">
        <v>22.56</v>
      </c>
      <c r="M84" s="64">
        <v>29.62</v>
      </c>
      <c r="N84" s="64">
        <v>71.5</v>
      </c>
      <c r="O84" s="64">
        <v>0</v>
      </c>
      <c r="P84" s="64">
        <v>0.75</v>
      </c>
      <c r="Q84" s="64">
        <v>9.83</v>
      </c>
      <c r="R84" s="198"/>
      <c r="S84" s="198"/>
      <c r="T84" s="198"/>
      <c r="U84" s="198"/>
    </row>
    <row r="85" spans="1:26" s="12" customFormat="1" x14ac:dyDescent="0.25">
      <c r="A85" s="213" t="s">
        <v>2528</v>
      </c>
      <c r="B85" s="64">
        <v>12.81</v>
      </c>
      <c r="C85" s="64">
        <v>76.66</v>
      </c>
      <c r="D85" s="64">
        <v>87.36</v>
      </c>
      <c r="E85" s="64">
        <v>6.66</v>
      </c>
      <c r="F85" s="64">
        <v>2.19</v>
      </c>
      <c r="G85" s="64">
        <v>79.180000000000007</v>
      </c>
      <c r="H85" s="64">
        <v>20.239999999999998</v>
      </c>
      <c r="I85" s="214" t="s">
        <v>43</v>
      </c>
      <c r="J85" s="64">
        <v>1.45</v>
      </c>
      <c r="K85" s="64">
        <v>0.27</v>
      </c>
      <c r="L85" s="64">
        <v>22.27</v>
      </c>
      <c r="M85" s="64">
        <v>30.68</v>
      </c>
      <c r="N85" s="64">
        <v>71.400000000000006</v>
      </c>
      <c r="O85" s="64">
        <v>0</v>
      </c>
      <c r="P85" s="64">
        <v>0.75</v>
      </c>
      <c r="Q85" s="64">
        <v>9.82</v>
      </c>
      <c r="R85" s="198"/>
      <c r="S85" s="198"/>
      <c r="T85" s="198"/>
      <c r="U85" s="198"/>
    </row>
    <row r="86" spans="1:26" s="12" customFormat="1" x14ac:dyDescent="0.25">
      <c r="A86" s="213" t="s">
        <v>2529</v>
      </c>
      <c r="B86" s="64">
        <v>14.4</v>
      </c>
      <c r="C86" s="64">
        <v>76.75</v>
      </c>
      <c r="D86" s="64">
        <v>89.05</v>
      </c>
      <c r="E86" s="64">
        <v>6.8</v>
      </c>
      <c r="F86" s="64">
        <v>2.13</v>
      </c>
      <c r="G86" s="64">
        <v>79.31</v>
      </c>
      <c r="H86" s="64">
        <v>20.260000000000002</v>
      </c>
      <c r="I86" s="214" t="s">
        <v>43</v>
      </c>
      <c r="J86" s="64">
        <v>1.51</v>
      </c>
      <c r="K86" s="64">
        <v>1.87</v>
      </c>
      <c r="L86" s="64">
        <v>22.02</v>
      </c>
      <c r="M86" s="64">
        <v>31.16</v>
      </c>
      <c r="N86" s="64">
        <v>70.900000000000006</v>
      </c>
      <c r="O86" s="64">
        <v>0</v>
      </c>
      <c r="P86" s="64">
        <v>0.79</v>
      </c>
      <c r="Q86" s="64">
        <v>9.7899999999999991</v>
      </c>
      <c r="R86" s="198"/>
      <c r="S86" s="198"/>
      <c r="T86" s="198"/>
      <c r="U86" s="198"/>
    </row>
    <row r="87" spans="1:26" s="12" customFormat="1" x14ac:dyDescent="0.25">
      <c r="A87" s="213" t="s">
        <v>2530</v>
      </c>
      <c r="B87" s="64">
        <v>15.99</v>
      </c>
      <c r="C87" s="64">
        <v>76.59</v>
      </c>
      <c r="D87" s="64">
        <v>90.48</v>
      </c>
      <c r="E87" s="64">
        <v>6.68</v>
      </c>
      <c r="F87" s="64">
        <v>2.13</v>
      </c>
      <c r="G87" s="64">
        <v>79.31</v>
      </c>
      <c r="H87" s="64">
        <v>20.260000000000002</v>
      </c>
      <c r="I87" s="214" t="s">
        <v>43</v>
      </c>
      <c r="J87" s="64">
        <v>1.32</v>
      </c>
      <c r="K87" s="64">
        <v>4</v>
      </c>
      <c r="L87" s="64">
        <v>21.83</v>
      </c>
      <c r="M87" s="64">
        <v>31.81</v>
      </c>
      <c r="N87" s="64">
        <v>71.099999999999994</v>
      </c>
      <c r="O87" s="64">
        <v>0</v>
      </c>
      <c r="P87" s="64">
        <v>1.1399999999999999</v>
      </c>
      <c r="Q87" s="64">
        <v>9.81</v>
      </c>
      <c r="R87" s="198"/>
      <c r="S87" s="198"/>
      <c r="T87" s="198"/>
      <c r="U87" s="198"/>
    </row>
    <row r="88" spans="1:26" s="12" customFormat="1" x14ac:dyDescent="0.25">
      <c r="A88" s="213" t="s">
        <v>2531</v>
      </c>
      <c r="B88" s="64">
        <v>18.21</v>
      </c>
      <c r="C88" s="64">
        <v>76.66</v>
      </c>
      <c r="D88" s="64">
        <v>92.77</v>
      </c>
      <c r="E88" s="64">
        <v>6.63</v>
      </c>
      <c r="F88" s="64">
        <v>2.13</v>
      </c>
      <c r="G88" s="64">
        <v>79.31</v>
      </c>
      <c r="H88" s="64">
        <v>20.260000000000002</v>
      </c>
      <c r="I88" s="214" t="s">
        <v>43</v>
      </c>
      <c r="J88" s="64">
        <v>0.81</v>
      </c>
      <c r="K88" s="64">
        <v>358.47</v>
      </c>
      <c r="L88" s="64">
        <v>21.49</v>
      </c>
      <c r="M88" s="64">
        <v>32.6</v>
      </c>
      <c r="N88" s="64">
        <v>71.5</v>
      </c>
      <c r="O88" s="64">
        <v>0</v>
      </c>
      <c r="P88" s="64">
        <v>1.38</v>
      </c>
      <c r="Q88" s="64">
        <v>9.8000000000000007</v>
      </c>
      <c r="R88" s="198"/>
      <c r="S88" s="198"/>
      <c r="T88" s="198"/>
      <c r="U88" s="198"/>
    </row>
    <row r="89" spans="1:26" s="12" customFormat="1" x14ac:dyDescent="0.25">
      <c r="A89" s="213" t="s">
        <v>2532</v>
      </c>
      <c r="B89" s="64">
        <v>20.69</v>
      </c>
      <c r="C89" s="64">
        <v>76.78</v>
      </c>
      <c r="D89" s="64">
        <v>95.36</v>
      </c>
      <c r="E89" s="64">
        <v>6.94</v>
      </c>
      <c r="F89" s="64">
        <v>2.13</v>
      </c>
      <c r="G89" s="64">
        <v>92.04</v>
      </c>
      <c r="H89" s="64">
        <v>16.77</v>
      </c>
      <c r="I89" s="214" t="s">
        <v>43</v>
      </c>
      <c r="J89" s="64">
        <v>0.5</v>
      </c>
      <c r="K89" s="64">
        <v>46.53</v>
      </c>
      <c r="L89" s="64">
        <v>20.96</v>
      </c>
      <c r="M89" s="64">
        <v>33.380000000000003</v>
      </c>
      <c r="N89" s="64">
        <v>71.8</v>
      </c>
      <c r="O89" s="64">
        <v>0</v>
      </c>
      <c r="P89" s="64">
        <v>1.62</v>
      </c>
      <c r="Q89" s="64">
        <v>9.77</v>
      </c>
      <c r="R89" s="198"/>
      <c r="S89" s="198"/>
      <c r="T89" s="198"/>
      <c r="U89" s="198"/>
    </row>
    <row r="90" spans="1:26" s="12" customFormat="1" x14ac:dyDescent="0.25">
      <c r="A90" s="213" t="s">
        <v>2533</v>
      </c>
      <c r="B90" s="64">
        <v>23.12</v>
      </c>
      <c r="C90" s="64">
        <v>77.31</v>
      </c>
      <c r="D90" s="64">
        <v>98.33</v>
      </c>
      <c r="E90" s="64">
        <v>7.39</v>
      </c>
      <c r="F90" s="64">
        <v>2.13</v>
      </c>
      <c r="G90" s="64">
        <v>92.19</v>
      </c>
      <c r="H90" s="64">
        <v>16.73</v>
      </c>
      <c r="I90" s="214" t="s">
        <v>43</v>
      </c>
      <c r="J90" s="64">
        <v>0.7</v>
      </c>
      <c r="K90" s="64">
        <v>67.64</v>
      </c>
      <c r="L90" s="64">
        <v>20.88</v>
      </c>
      <c r="M90" s="64">
        <v>34.56</v>
      </c>
      <c r="N90" s="64">
        <v>71.5</v>
      </c>
      <c r="O90" s="64">
        <v>0</v>
      </c>
      <c r="P90" s="64">
        <v>1.38</v>
      </c>
      <c r="Q90" s="64">
        <v>9.77</v>
      </c>
      <c r="R90" s="198"/>
      <c r="S90" s="198"/>
      <c r="T90" s="198"/>
      <c r="U90" s="198"/>
    </row>
    <row r="91" spans="1:26" s="12" customFormat="1" x14ac:dyDescent="0.25">
      <c r="A91" s="213" t="s">
        <v>2534</v>
      </c>
      <c r="B91" s="64">
        <v>25.31</v>
      </c>
      <c r="C91" s="64">
        <v>77.17</v>
      </c>
      <c r="D91" s="64">
        <v>100.38</v>
      </c>
      <c r="E91" s="64">
        <v>7.91</v>
      </c>
      <c r="F91" s="64">
        <v>2.13</v>
      </c>
      <c r="G91" s="64">
        <v>92.19</v>
      </c>
      <c r="H91" s="64">
        <v>16.73</v>
      </c>
      <c r="I91" s="214" t="s">
        <v>43</v>
      </c>
      <c r="J91" s="64">
        <v>0.57999999999999996</v>
      </c>
      <c r="K91" s="64">
        <v>60.4</v>
      </c>
      <c r="L91" s="64">
        <v>20.29</v>
      </c>
      <c r="M91" s="64">
        <v>37.299999999999997</v>
      </c>
      <c r="N91" s="64">
        <v>71.5</v>
      </c>
      <c r="O91" s="64">
        <v>0</v>
      </c>
      <c r="P91" s="64">
        <v>1.71</v>
      </c>
      <c r="Q91" s="64">
        <v>9.7799999999999994</v>
      </c>
      <c r="R91" s="198"/>
      <c r="S91" s="198"/>
      <c r="T91" s="198"/>
      <c r="U91" s="198"/>
    </row>
    <row r="92" spans="1:26" s="12" customFormat="1" x14ac:dyDescent="0.25">
      <c r="A92" s="213" t="s">
        <v>2535</v>
      </c>
      <c r="B92" s="64">
        <v>29.09</v>
      </c>
      <c r="C92" s="64">
        <v>77.02</v>
      </c>
      <c r="D92" s="64">
        <v>104.01</v>
      </c>
      <c r="E92" s="64">
        <v>8.06</v>
      </c>
      <c r="F92" s="64">
        <v>2.13</v>
      </c>
      <c r="G92" s="64">
        <v>92.19</v>
      </c>
      <c r="H92" s="64">
        <v>16.73</v>
      </c>
      <c r="I92" s="214" t="s">
        <v>43</v>
      </c>
      <c r="J92" s="64">
        <v>0.66</v>
      </c>
      <c r="K92" s="64">
        <v>29.16</v>
      </c>
      <c r="L92" s="64">
        <v>20.18</v>
      </c>
      <c r="M92" s="64">
        <v>39.72</v>
      </c>
      <c r="N92" s="64">
        <v>71</v>
      </c>
      <c r="O92" s="64">
        <v>0</v>
      </c>
      <c r="P92" s="64">
        <v>1.75</v>
      </c>
      <c r="Q92" s="64">
        <v>9.76</v>
      </c>
      <c r="R92" s="198"/>
      <c r="S92" s="198"/>
      <c r="T92" s="198"/>
      <c r="U92" s="198"/>
    </row>
    <row r="93" spans="1:26" s="12" customFormat="1" x14ac:dyDescent="0.25">
      <c r="A93" s="213" t="s">
        <v>2536</v>
      </c>
      <c r="B93" s="64">
        <v>33.99</v>
      </c>
      <c r="C93" s="64">
        <v>77.39</v>
      </c>
      <c r="D93" s="64">
        <v>109.28</v>
      </c>
      <c r="E93" s="64">
        <v>8.02</v>
      </c>
      <c r="F93" s="64">
        <v>2.13</v>
      </c>
      <c r="G93" s="64">
        <v>124.18</v>
      </c>
      <c r="H93" s="64">
        <v>10.94</v>
      </c>
      <c r="I93" s="214" t="s">
        <v>43</v>
      </c>
      <c r="J93" s="64">
        <v>0.65</v>
      </c>
      <c r="K93" s="64">
        <v>323.8</v>
      </c>
      <c r="L93" s="64">
        <v>19.53</v>
      </c>
      <c r="M93" s="64">
        <v>45.7</v>
      </c>
      <c r="N93" s="64">
        <v>71.599999999999994</v>
      </c>
      <c r="O93" s="64">
        <v>0</v>
      </c>
      <c r="P93" s="64">
        <v>2.0299999999999998</v>
      </c>
      <c r="Q93" s="64">
        <v>9.76</v>
      </c>
      <c r="R93" s="198"/>
      <c r="S93" s="198"/>
      <c r="T93" s="198"/>
      <c r="U93" s="198"/>
    </row>
    <row r="94" spans="1:26" s="12" customFormat="1" x14ac:dyDescent="0.25">
      <c r="A94" s="213" t="s">
        <v>2537</v>
      </c>
      <c r="B94" s="64">
        <v>40.630000000000003</v>
      </c>
      <c r="C94" s="64">
        <v>76.95</v>
      </c>
      <c r="D94" s="64">
        <v>115.48</v>
      </c>
      <c r="E94" s="64">
        <v>8.18</v>
      </c>
      <c r="F94" s="64">
        <v>2.13</v>
      </c>
      <c r="G94" s="64">
        <v>124.54</v>
      </c>
      <c r="H94" s="64">
        <v>10.87</v>
      </c>
      <c r="I94" s="214" t="s">
        <v>43</v>
      </c>
      <c r="J94" s="64">
        <v>0.59</v>
      </c>
      <c r="K94" s="64">
        <v>346.41</v>
      </c>
      <c r="L94" s="64">
        <v>18.78</v>
      </c>
      <c r="M94" s="64">
        <v>46.81</v>
      </c>
      <c r="N94" s="64">
        <v>71.599999999999994</v>
      </c>
      <c r="O94" s="64">
        <v>0</v>
      </c>
      <c r="P94" s="64">
        <v>1.68</v>
      </c>
      <c r="Q94" s="64">
        <v>9.74</v>
      </c>
      <c r="R94" s="198"/>
      <c r="S94" s="198"/>
      <c r="T94" s="198"/>
      <c r="U94" s="198"/>
    </row>
    <row r="95" spans="1:26" s="12" customFormat="1" x14ac:dyDescent="0.25">
      <c r="A95" s="213" t="s">
        <v>2538</v>
      </c>
      <c r="B95" s="64">
        <v>44.46</v>
      </c>
      <c r="C95" s="64">
        <v>76.05</v>
      </c>
      <c r="D95" s="64">
        <v>118.4</v>
      </c>
      <c r="E95" s="64">
        <v>8.5</v>
      </c>
      <c r="F95" s="64">
        <v>2.13</v>
      </c>
      <c r="G95" s="64">
        <v>124.54</v>
      </c>
      <c r="H95" s="64">
        <v>10.87</v>
      </c>
      <c r="I95" s="214" t="s">
        <v>43</v>
      </c>
      <c r="J95" s="64">
        <v>0.48</v>
      </c>
      <c r="K95" s="64">
        <v>269.66000000000003</v>
      </c>
      <c r="L95" s="64">
        <v>18.78</v>
      </c>
      <c r="M95" s="64">
        <v>44.47</v>
      </c>
      <c r="N95" s="64">
        <v>71.3</v>
      </c>
      <c r="O95" s="64">
        <v>0</v>
      </c>
      <c r="P95" s="64">
        <v>1.33</v>
      </c>
      <c r="Q95" s="64">
        <v>9.8000000000000007</v>
      </c>
      <c r="R95" s="198"/>
      <c r="S95" s="198"/>
      <c r="T95" s="198"/>
      <c r="U95" s="198"/>
    </row>
    <row r="96" spans="1:26" s="12" customFormat="1" x14ac:dyDescent="0.25">
      <c r="A96" s="213" t="s">
        <v>2539</v>
      </c>
      <c r="B96" s="64">
        <v>48.23</v>
      </c>
      <c r="C96" s="64">
        <v>76.900000000000006</v>
      </c>
      <c r="D96" s="64">
        <v>123.02</v>
      </c>
      <c r="E96" s="64">
        <v>8.31</v>
      </c>
      <c r="F96" s="64">
        <v>2.13</v>
      </c>
      <c r="G96" s="64">
        <v>124.54</v>
      </c>
      <c r="H96" s="64">
        <v>10.87</v>
      </c>
      <c r="I96" s="214" t="s">
        <v>43</v>
      </c>
      <c r="J96" s="64">
        <v>0.14000000000000001</v>
      </c>
      <c r="K96" s="64">
        <v>356.31</v>
      </c>
      <c r="L96" s="64">
        <v>18.62</v>
      </c>
      <c r="M96" s="64">
        <v>46.06</v>
      </c>
      <c r="N96" s="64">
        <v>71.3</v>
      </c>
      <c r="O96" s="64">
        <v>0</v>
      </c>
      <c r="P96" s="64">
        <v>1.5</v>
      </c>
      <c r="Q96" s="64">
        <v>9.82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2540</v>
      </c>
      <c r="B97" s="64">
        <v>54.04</v>
      </c>
      <c r="C97" s="64">
        <v>77.44</v>
      </c>
      <c r="D97" s="64">
        <v>129.38</v>
      </c>
      <c r="E97" s="64">
        <v>8.43</v>
      </c>
      <c r="F97" s="64">
        <v>2.13</v>
      </c>
      <c r="G97" s="64">
        <v>146.91999999999999</v>
      </c>
      <c r="H97" s="64">
        <v>83.01</v>
      </c>
      <c r="I97" s="214" t="s">
        <v>43</v>
      </c>
      <c r="J97" s="64">
        <v>0.65</v>
      </c>
      <c r="K97" s="64">
        <v>323.12</v>
      </c>
      <c r="L97" s="64">
        <v>18.3</v>
      </c>
      <c r="M97" s="64">
        <v>49.08</v>
      </c>
      <c r="N97" s="64">
        <v>71.099999999999994</v>
      </c>
      <c r="O97" s="64">
        <v>0</v>
      </c>
      <c r="P97" s="64">
        <v>1.59</v>
      </c>
      <c r="Q97" s="64">
        <v>9.82</v>
      </c>
      <c r="R97" s="198"/>
      <c r="S97" s="198"/>
      <c r="T97" s="198"/>
      <c r="U97" s="198"/>
    </row>
    <row r="98" spans="1:33" s="12" customFormat="1" x14ac:dyDescent="0.25">
      <c r="A98" s="213" t="s">
        <v>2541</v>
      </c>
      <c r="B98" s="64">
        <v>60.18</v>
      </c>
      <c r="C98" s="64">
        <v>78.17</v>
      </c>
      <c r="D98" s="64">
        <v>136.25</v>
      </c>
      <c r="E98" s="64">
        <v>8.49</v>
      </c>
      <c r="F98" s="64">
        <v>2.13</v>
      </c>
      <c r="G98" s="64">
        <v>147.18</v>
      </c>
      <c r="H98" s="64">
        <v>83.82</v>
      </c>
      <c r="I98" s="214" t="s">
        <v>43</v>
      </c>
      <c r="J98" s="64">
        <v>0.55000000000000004</v>
      </c>
      <c r="K98" s="64">
        <v>317.89</v>
      </c>
      <c r="L98" s="64">
        <v>18.07</v>
      </c>
      <c r="M98" s="64">
        <v>49.91</v>
      </c>
      <c r="N98" s="64">
        <v>71.5</v>
      </c>
      <c r="O98" s="64">
        <v>0</v>
      </c>
      <c r="P98" s="64">
        <v>1.66</v>
      </c>
      <c r="Q98" s="64">
        <v>9.84</v>
      </c>
      <c r="R98" s="198"/>
      <c r="S98" s="198"/>
      <c r="T98" s="198"/>
      <c r="U98" s="198"/>
    </row>
    <row r="99" spans="1:33" s="12" customFormat="1" x14ac:dyDescent="0.25">
      <c r="A99" s="213" t="s">
        <v>2542</v>
      </c>
      <c r="B99" s="64">
        <v>66.849999999999994</v>
      </c>
      <c r="C99" s="64">
        <v>79.39</v>
      </c>
      <c r="D99" s="64">
        <v>144.13999999999999</v>
      </c>
      <c r="E99" s="64">
        <v>9.3000000000000007</v>
      </c>
      <c r="F99" s="64">
        <v>2.13</v>
      </c>
      <c r="G99" s="64">
        <v>147.18</v>
      </c>
      <c r="H99" s="64">
        <v>83.82</v>
      </c>
      <c r="I99" s="214" t="s">
        <v>43</v>
      </c>
      <c r="J99" s="64">
        <v>0.65</v>
      </c>
      <c r="K99" s="64">
        <v>303.43</v>
      </c>
      <c r="L99" s="64">
        <v>18.12</v>
      </c>
      <c r="M99" s="64">
        <v>48.55</v>
      </c>
      <c r="N99" s="64">
        <v>71.400000000000006</v>
      </c>
      <c r="O99" s="64">
        <v>0</v>
      </c>
      <c r="P99" s="64">
        <v>1.72</v>
      </c>
      <c r="Q99" s="64">
        <v>9.8800000000000008</v>
      </c>
      <c r="R99" s="198"/>
      <c r="S99" s="198"/>
      <c r="T99" s="198"/>
      <c r="U99" s="198"/>
    </row>
    <row r="100" spans="1:33" s="12" customFormat="1" x14ac:dyDescent="0.25">
      <c r="A100" s="213" t="s">
        <v>2543</v>
      </c>
      <c r="B100" s="64">
        <v>74.2</v>
      </c>
      <c r="C100" s="64">
        <v>80.34</v>
      </c>
      <c r="D100" s="64">
        <v>152.44</v>
      </c>
      <c r="E100" s="64">
        <v>9.5500000000000007</v>
      </c>
      <c r="F100" s="64">
        <v>2.13</v>
      </c>
      <c r="G100" s="64">
        <v>147.18</v>
      </c>
      <c r="H100" s="64">
        <v>83.82</v>
      </c>
      <c r="I100" s="214" t="s">
        <v>43</v>
      </c>
      <c r="J100" s="64">
        <v>0.65</v>
      </c>
      <c r="K100" s="64">
        <v>267.14</v>
      </c>
      <c r="L100" s="64">
        <v>18.12</v>
      </c>
      <c r="M100" s="64">
        <v>50.14</v>
      </c>
      <c r="N100" s="64">
        <v>71.5</v>
      </c>
      <c r="O100" s="64">
        <v>0</v>
      </c>
      <c r="P100" s="64">
        <v>1.75</v>
      </c>
      <c r="Q100" s="64">
        <v>9.89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2544</v>
      </c>
      <c r="B101" s="64">
        <v>78.010000000000005</v>
      </c>
      <c r="C101" s="64">
        <v>80.81</v>
      </c>
      <c r="D101" s="64">
        <v>156.72</v>
      </c>
      <c r="E101" s="64">
        <v>9.59</v>
      </c>
      <c r="F101" s="64">
        <v>2.13</v>
      </c>
      <c r="G101" s="64">
        <v>150.5</v>
      </c>
      <c r="H101" s="64">
        <v>74.87</v>
      </c>
      <c r="I101" s="214" t="s">
        <v>43</v>
      </c>
      <c r="J101" s="64">
        <v>0.77</v>
      </c>
      <c r="K101" s="64">
        <v>93.72</v>
      </c>
      <c r="L101" s="64">
        <v>18.25</v>
      </c>
      <c r="M101" s="64">
        <v>48.15</v>
      </c>
      <c r="N101" s="64">
        <v>69.8</v>
      </c>
      <c r="O101" s="64">
        <v>0</v>
      </c>
      <c r="P101" s="64">
        <v>1.75</v>
      </c>
      <c r="Q101" s="64">
        <v>9.9600000000000009</v>
      </c>
      <c r="R101" s="198"/>
      <c r="S101" s="198"/>
      <c r="T101" s="198"/>
      <c r="U101" s="198"/>
    </row>
    <row r="102" spans="1:33" s="12" customFormat="1" x14ac:dyDescent="0.25">
      <c r="A102" s="213" t="s">
        <v>2545</v>
      </c>
      <c r="B102" s="64">
        <v>80.930000000000007</v>
      </c>
      <c r="C102" s="64">
        <v>81.08</v>
      </c>
      <c r="D102" s="64">
        <v>159.91</v>
      </c>
      <c r="E102" s="64">
        <v>9.58</v>
      </c>
      <c r="F102" s="64">
        <v>2.13</v>
      </c>
      <c r="G102" s="64">
        <v>150.54</v>
      </c>
      <c r="H102" s="64">
        <v>74.77</v>
      </c>
      <c r="I102" s="214" t="s">
        <v>43</v>
      </c>
      <c r="J102" s="64">
        <v>0.68</v>
      </c>
      <c r="K102" s="64">
        <v>60.58</v>
      </c>
      <c r="L102" s="64">
        <v>19.03</v>
      </c>
      <c r="M102" s="64">
        <v>43.57</v>
      </c>
      <c r="N102" s="64">
        <v>70.8</v>
      </c>
      <c r="O102" s="64">
        <v>0</v>
      </c>
      <c r="P102" s="64">
        <v>1.75</v>
      </c>
      <c r="Q102" s="64">
        <v>9.98</v>
      </c>
      <c r="R102" s="198"/>
      <c r="S102" s="198"/>
      <c r="T102" s="198"/>
      <c r="U102" s="198"/>
    </row>
    <row r="103" spans="1:33" s="12" customFormat="1" x14ac:dyDescent="0.25">
      <c r="A103" s="213" t="s">
        <v>2546</v>
      </c>
      <c r="B103" s="64">
        <v>80.900000000000006</v>
      </c>
      <c r="C103" s="64">
        <v>80.959999999999994</v>
      </c>
      <c r="D103" s="64">
        <v>159.76</v>
      </c>
      <c r="E103" s="64">
        <v>9.0299999999999994</v>
      </c>
      <c r="F103" s="64">
        <v>2.13</v>
      </c>
      <c r="G103" s="64">
        <v>150.54</v>
      </c>
      <c r="H103" s="64">
        <v>74.77</v>
      </c>
      <c r="I103" s="214" t="s">
        <v>43</v>
      </c>
      <c r="J103" s="64">
        <v>0.5</v>
      </c>
      <c r="K103" s="64">
        <v>40.96</v>
      </c>
      <c r="L103" s="64">
        <v>18.53</v>
      </c>
      <c r="M103" s="64">
        <v>45.43</v>
      </c>
      <c r="N103" s="64">
        <v>72</v>
      </c>
      <c r="O103" s="64">
        <v>0</v>
      </c>
      <c r="P103" s="64">
        <v>1.73</v>
      </c>
      <c r="Q103" s="64">
        <v>10.029999999999999</v>
      </c>
      <c r="R103" s="198"/>
      <c r="S103" s="198"/>
      <c r="T103" s="198"/>
      <c r="U103" s="198"/>
    </row>
    <row r="104" spans="1:33" s="12" customFormat="1" x14ac:dyDescent="0.25">
      <c r="A104" s="213" t="s">
        <v>2547</v>
      </c>
      <c r="B104" s="64">
        <v>79.81</v>
      </c>
      <c r="C104" s="64">
        <v>80.3</v>
      </c>
      <c r="D104" s="64">
        <v>158.01</v>
      </c>
      <c r="E104" s="64">
        <v>7.47</v>
      </c>
      <c r="F104" s="64">
        <v>2.13</v>
      </c>
      <c r="G104" s="64">
        <v>150.54</v>
      </c>
      <c r="H104" s="64">
        <v>74.77</v>
      </c>
      <c r="I104" s="214" t="s">
        <v>43</v>
      </c>
      <c r="J104" s="64">
        <v>0.25</v>
      </c>
      <c r="K104" s="64">
        <v>30.41</v>
      </c>
      <c r="L104" s="64">
        <v>18.149999999999999</v>
      </c>
      <c r="M104" s="64">
        <v>46.67</v>
      </c>
      <c r="N104" s="64">
        <v>71.3</v>
      </c>
      <c r="O104" s="64">
        <v>0</v>
      </c>
      <c r="P104" s="64">
        <v>1.61</v>
      </c>
      <c r="Q104" s="64">
        <v>10.039999999999999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3.84</v>
      </c>
      <c r="C106" s="67">
        <f>MIN(C9:C104)</f>
        <v>56.46</v>
      </c>
      <c r="D106" s="67">
        <f t="shared" ref="D106:Q106" si="0">MIN(D9:D104)</f>
        <v>58.54</v>
      </c>
      <c r="E106" s="67">
        <f t="shared" si="0"/>
        <v>4.3499999999999996</v>
      </c>
      <c r="F106" s="67">
        <f t="shared" si="0"/>
        <v>2.13</v>
      </c>
      <c r="G106" s="67">
        <f t="shared" si="0"/>
        <v>30.13</v>
      </c>
      <c r="H106" s="67">
        <f t="shared" si="0"/>
        <v>10.87</v>
      </c>
      <c r="I106" s="67">
        <f t="shared" si="0"/>
        <v>0</v>
      </c>
      <c r="J106" s="67">
        <f t="shared" si="0"/>
        <v>0.14000000000000001</v>
      </c>
      <c r="K106" s="67">
        <f t="shared" si="0"/>
        <v>0.03</v>
      </c>
      <c r="L106" s="67">
        <f t="shared" si="0"/>
        <v>14.55</v>
      </c>
      <c r="M106" s="67">
        <f t="shared" si="0"/>
        <v>16.989999999999998</v>
      </c>
      <c r="N106" s="67">
        <f t="shared" si="0"/>
        <v>69.8</v>
      </c>
      <c r="O106" s="67">
        <f t="shared" si="0"/>
        <v>0</v>
      </c>
      <c r="P106" s="67">
        <f t="shared" si="0"/>
        <v>0.34</v>
      </c>
      <c r="Q106" s="67">
        <f t="shared" si="0"/>
        <v>9.74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94.66</v>
      </c>
      <c r="C107" s="66">
        <f t="shared" ref="C107:Q107" si="1">MAX(C9:C104)</f>
        <v>81.08</v>
      </c>
      <c r="D107" s="66">
        <f t="shared" si="1"/>
        <v>159.91</v>
      </c>
      <c r="E107" s="66">
        <f t="shared" si="1"/>
        <v>11.07</v>
      </c>
      <c r="F107" s="66">
        <f t="shared" si="1"/>
        <v>16.309999999999999</v>
      </c>
      <c r="G107" s="66">
        <f t="shared" si="1"/>
        <v>150.54</v>
      </c>
      <c r="H107" s="66">
        <f t="shared" si="1"/>
        <v>83.82</v>
      </c>
      <c r="I107" s="66">
        <f t="shared" si="1"/>
        <v>0</v>
      </c>
      <c r="J107" s="66">
        <f t="shared" si="1"/>
        <v>2.4300000000000002</v>
      </c>
      <c r="K107" s="66">
        <f t="shared" si="1"/>
        <v>359.44</v>
      </c>
      <c r="L107" s="66">
        <f t="shared" si="1"/>
        <v>31.42</v>
      </c>
      <c r="M107" s="66">
        <f t="shared" si="1"/>
        <v>55.11</v>
      </c>
      <c r="N107" s="66">
        <f t="shared" si="1"/>
        <v>885.5</v>
      </c>
      <c r="O107" s="66">
        <f t="shared" si="1"/>
        <v>0</v>
      </c>
      <c r="P107" s="66">
        <f t="shared" si="1"/>
        <v>2.0299999999999998</v>
      </c>
      <c r="Q107" s="66">
        <f t="shared" si="1"/>
        <v>10.25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31.940833333333334</v>
      </c>
      <c r="C108" s="67">
        <f t="shared" ref="C108:Q108" si="2">AVERAGE(C9:C104)</f>
        <v>67.051770833333322</v>
      </c>
      <c r="D108" s="67">
        <f t="shared" si="2"/>
        <v>96.898333333333312</v>
      </c>
      <c r="E108" s="67">
        <f t="shared" si="2"/>
        <v>7.3307291666666634</v>
      </c>
      <c r="F108" s="67">
        <f t="shared" si="2"/>
        <v>3.1365624999999997</v>
      </c>
      <c r="G108" s="67">
        <f t="shared" si="2"/>
        <v>77.717500000000015</v>
      </c>
      <c r="H108" s="67">
        <f t="shared" si="2"/>
        <v>26.724687500000002</v>
      </c>
      <c r="I108" s="67" t="e">
        <f t="shared" si="2"/>
        <v>#DIV/0!</v>
      </c>
      <c r="J108" s="67">
        <f t="shared" si="2"/>
        <v>1.0428125000000004</v>
      </c>
      <c r="K108" s="67">
        <f t="shared" si="2"/>
        <v>106.69187499999994</v>
      </c>
      <c r="L108" s="67">
        <f t="shared" si="2"/>
        <v>21.416562499999998</v>
      </c>
      <c r="M108" s="67">
        <f t="shared" si="2"/>
        <v>35.214687499999989</v>
      </c>
      <c r="N108" s="67">
        <f t="shared" si="2"/>
        <v>279.21562499999993</v>
      </c>
      <c r="O108" s="67">
        <f t="shared" si="2"/>
        <v>0</v>
      </c>
      <c r="P108" s="67">
        <f t="shared" si="2"/>
        <v>0.83979166666666671</v>
      </c>
      <c r="Q108" s="67">
        <f t="shared" si="2"/>
        <v>9.9543749999999971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26.671518010463071</v>
      </c>
      <c r="C109" s="67">
        <f t="shared" ref="C109:Q109" si="3">STDEV(C9:C104)</f>
        <v>7.0275487970058714</v>
      </c>
      <c r="D109" s="67">
        <f t="shared" si="3"/>
        <v>28.573273182309418</v>
      </c>
      <c r="E109" s="67">
        <f t="shared" si="3"/>
        <v>1.5463268836634778</v>
      </c>
      <c r="F109" s="67">
        <f t="shared" si="3"/>
        <v>2.3294660911326575</v>
      </c>
      <c r="G109" s="67">
        <f t="shared" si="3"/>
        <v>37.782406376234768</v>
      </c>
      <c r="H109" s="67">
        <f t="shared" si="3"/>
        <v>17.19192251905865</v>
      </c>
      <c r="I109" s="67" t="e">
        <f t="shared" si="3"/>
        <v>#DIV/0!</v>
      </c>
      <c r="J109" s="67">
        <f t="shared" si="3"/>
        <v>0.49722324357110259</v>
      </c>
      <c r="K109" s="67">
        <f t="shared" si="3"/>
        <v>121.68471285998007</v>
      </c>
      <c r="L109" s="67">
        <f t="shared" si="3"/>
        <v>4.8276204944214491</v>
      </c>
      <c r="M109" s="67">
        <f t="shared" si="3"/>
        <v>10.639044471649616</v>
      </c>
      <c r="N109" s="67">
        <f t="shared" si="3"/>
        <v>294.58387719061949</v>
      </c>
      <c r="O109" s="67">
        <f t="shared" si="3"/>
        <v>0</v>
      </c>
      <c r="P109" s="67">
        <f t="shared" si="3"/>
        <v>0.4386101953999379</v>
      </c>
      <c r="Q109" s="67">
        <f t="shared" si="3"/>
        <v>0.14734001135933317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2548</v>
      </c>
      <c r="B9" s="64">
        <v>77.86</v>
      </c>
      <c r="C9" s="64">
        <v>77.52</v>
      </c>
      <c r="D9" s="64">
        <v>153.28</v>
      </c>
      <c r="E9" s="64">
        <v>7.69</v>
      </c>
      <c r="F9" s="64">
        <v>2.13</v>
      </c>
      <c r="G9" s="64">
        <v>137.04</v>
      </c>
      <c r="H9" s="64">
        <v>39.659999999999997</v>
      </c>
      <c r="I9" s="210" t="s">
        <v>43</v>
      </c>
      <c r="J9" s="64">
        <v>0.71</v>
      </c>
      <c r="K9" s="64">
        <v>8.1199999999999992</v>
      </c>
      <c r="L9" s="64">
        <v>17.37</v>
      </c>
      <c r="M9" s="64">
        <v>56.68</v>
      </c>
      <c r="N9" s="64">
        <v>72</v>
      </c>
      <c r="O9" s="64">
        <v>0</v>
      </c>
      <c r="P9" s="64">
        <v>1.49</v>
      </c>
      <c r="Q9" s="64">
        <v>10.050000000000001</v>
      </c>
      <c r="R9" s="198"/>
      <c r="S9" s="198"/>
      <c r="T9" s="198"/>
      <c r="U9" s="198"/>
    </row>
    <row r="10" spans="1:21" s="12" customFormat="1" x14ac:dyDescent="0.25">
      <c r="A10" s="213" t="s">
        <v>2549</v>
      </c>
      <c r="B10" s="64">
        <v>75.650000000000006</v>
      </c>
      <c r="C10" s="64">
        <v>77.02</v>
      </c>
      <c r="D10" s="64">
        <v>150.57</v>
      </c>
      <c r="E10" s="64">
        <v>8.07</v>
      </c>
      <c r="F10" s="64">
        <v>2.13</v>
      </c>
      <c r="G10" s="64">
        <v>136.88999999999999</v>
      </c>
      <c r="H10" s="64">
        <v>39.270000000000003</v>
      </c>
      <c r="I10" s="210" t="s">
        <v>43</v>
      </c>
      <c r="J10" s="64">
        <v>0.78</v>
      </c>
      <c r="K10" s="64">
        <v>22.36</v>
      </c>
      <c r="L10" s="64">
        <v>17.53</v>
      </c>
      <c r="M10" s="64">
        <v>47.18</v>
      </c>
      <c r="N10" s="64">
        <v>70.7</v>
      </c>
      <c r="O10" s="64">
        <v>0</v>
      </c>
      <c r="P10" s="64">
        <v>1.42</v>
      </c>
      <c r="Q10" s="64">
        <v>10.029999999999999</v>
      </c>
      <c r="R10" s="198"/>
      <c r="S10" s="198"/>
      <c r="T10" s="198"/>
      <c r="U10" s="198"/>
    </row>
    <row r="11" spans="1:21" s="12" customFormat="1" x14ac:dyDescent="0.25">
      <c r="A11" s="213" t="s">
        <v>2550</v>
      </c>
      <c r="B11" s="64">
        <v>73.34</v>
      </c>
      <c r="C11" s="64">
        <v>76.14</v>
      </c>
      <c r="D11" s="64">
        <v>147.38</v>
      </c>
      <c r="E11" s="64">
        <v>8.23</v>
      </c>
      <c r="F11" s="64">
        <v>2.13</v>
      </c>
      <c r="G11" s="64">
        <v>136.88999999999999</v>
      </c>
      <c r="H11" s="64">
        <v>39.270000000000003</v>
      </c>
      <c r="I11" s="210" t="s">
        <v>43</v>
      </c>
      <c r="J11" s="64">
        <v>0.66</v>
      </c>
      <c r="K11" s="64">
        <v>54.74</v>
      </c>
      <c r="L11" s="64">
        <v>17.86</v>
      </c>
      <c r="M11" s="64">
        <v>44.19</v>
      </c>
      <c r="N11" s="64">
        <v>71.3</v>
      </c>
      <c r="O11" s="64">
        <v>0</v>
      </c>
      <c r="P11" s="64">
        <v>1.41</v>
      </c>
      <c r="Q11" s="64">
        <v>10.01</v>
      </c>
      <c r="R11" s="198"/>
      <c r="S11" s="198"/>
      <c r="T11" s="198"/>
      <c r="U11" s="198"/>
    </row>
    <row r="12" spans="1:21" s="12" customFormat="1" x14ac:dyDescent="0.25">
      <c r="A12" s="213" t="s">
        <v>2551</v>
      </c>
      <c r="B12" s="64">
        <v>70.67</v>
      </c>
      <c r="C12" s="64">
        <v>74.98</v>
      </c>
      <c r="D12" s="64">
        <v>143.55000000000001</v>
      </c>
      <c r="E12" s="64">
        <v>7.54</v>
      </c>
      <c r="F12" s="64">
        <v>2.13</v>
      </c>
      <c r="G12" s="64">
        <v>136.88999999999999</v>
      </c>
      <c r="H12" s="64">
        <v>39.270000000000003</v>
      </c>
      <c r="I12" s="210" t="s">
        <v>43</v>
      </c>
      <c r="J12" s="64">
        <v>0.65</v>
      </c>
      <c r="K12" s="64">
        <v>33.409999999999997</v>
      </c>
      <c r="L12" s="64">
        <v>17.86</v>
      </c>
      <c r="M12" s="64">
        <v>44.11</v>
      </c>
      <c r="N12" s="64">
        <v>71</v>
      </c>
      <c r="O12" s="64">
        <v>0</v>
      </c>
      <c r="P12" s="64">
        <v>1.39</v>
      </c>
      <c r="Q12" s="64">
        <v>10</v>
      </c>
      <c r="R12" s="198"/>
      <c r="S12" s="198"/>
      <c r="T12" s="198"/>
      <c r="U12" s="198"/>
    </row>
    <row r="13" spans="1:21" s="12" customFormat="1" x14ac:dyDescent="0.25">
      <c r="A13" s="213" t="s">
        <v>2552</v>
      </c>
      <c r="B13" s="64">
        <v>67.900000000000006</v>
      </c>
      <c r="C13" s="64">
        <v>73.73</v>
      </c>
      <c r="D13" s="64">
        <v>139.53</v>
      </c>
      <c r="E13" s="64">
        <v>7.9</v>
      </c>
      <c r="F13" s="64">
        <v>2.13</v>
      </c>
      <c r="G13" s="64">
        <v>120.87</v>
      </c>
      <c r="H13" s="64">
        <v>35.72</v>
      </c>
      <c r="I13" s="210" t="s">
        <v>43</v>
      </c>
      <c r="J13" s="64">
        <v>0.67</v>
      </c>
      <c r="K13" s="64">
        <v>27.06</v>
      </c>
      <c r="L13" s="64">
        <v>17.91</v>
      </c>
      <c r="M13" s="64">
        <v>44.74</v>
      </c>
      <c r="N13" s="64">
        <v>71</v>
      </c>
      <c r="O13" s="64">
        <v>0</v>
      </c>
      <c r="P13" s="64">
        <v>1.1499999999999999</v>
      </c>
      <c r="Q13" s="64">
        <v>10</v>
      </c>
      <c r="R13" s="198"/>
      <c r="S13" s="198"/>
      <c r="T13" s="198"/>
      <c r="U13" s="198"/>
    </row>
    <row r="14" spans="1:21" s="12" customFormat="1" x14ac:dyDescent="0.25">
      <c r="A14" s="213" t="s">
        <v>2553</v>
      </c>
      <c r="B14" s="64">
        <v>64.59</v>
      </c>
      <c r="C14" s="64">
        <v>71.97</v>
      </c>
      <c r="D14" s="64">
        <v>134.47</v>
      </c>
      <c r="E14" s="64">
        <v>7.61</v>
      </c>
      <c r="F14" s="64">
        <v>2.13</v>
      </c>
      <c r="G14" s="64">
        <v>120.69</v>
      </c>
      <c r="H14" s="64">
        <v>35.68</v>
      </c>
      <c r="I14" s="210" t="s">
        <v>43</v>
      </c>
      <c r="J14" s="64">
        <v>0.65</v>
      </c>
      <c r="K14" s="64">
        <v>28.89</v>
      </c>
      <c r="L14" s="64">
        <v>17.79</v>
      </c>
      <c r="M14" s="64">
        <v>45.52</v>
      </c>
      <c r="N14" s="64">
        <v>71.3</v>
      </c>
      <c r="O14" s="64">
        <v>0</v>
      </c>
      <c r="P14" s="64">
        <v>1.1499999999999999</v>
      </c>
      <c r="Q14" s="64">
        <v>9.9600000000000009</v>
      </c>
      <c r="R14" s="198"/>
      <c r="S14" s="198"/>
      <c r="T14" s="198"/>
      <c r="U14" s="198"/>
    </row>
    <row r="15" spans="1:21" s="12" customFormat="1" x14ac:dyDescent="0.25">
      <c r="A15" s="213" t="s">
        <v>2554</v>
      </c>
      <c r="B15" s="64">
        <v>61.09</v>
      </c>
      <c r="C15" s="64">
        <v>70.349999999999994</v>
      </c>
      <c r="D15" s="64">
        <v>129.35</v>
      </c>
      <c r="E15" s="64">
        <v>7.24</v>
      </c>
      <c r="F15" s="64">
        <v>2.13</v>
      </c>
      <c r="G15" s="64">
        <v>120.69</v>
      </c>
      <c r="H15" s="64">
        <v>35.68</v>
      </c>
      <c r="I15" s="210" t="s">
        <v>43</v>
      </c>
      <c r="J15" s="64">
        <v>0.73</v>
      </c>
      <c r="K15" s="64">
        <v>21.59</v>
      </c>
      <c r="L15" s="64">
        <v>17.809999999999999</v>
      </c>
      <c r="M15" s="64">
        <v>44.21</v>
      </c>
      <c r="N15" s="64">
        <v>71.2</v>
      </c>
      <c r="O15" s="64">
        <v>0</v>
      </c>
      <c r="P15" s="64">
        <v>1.05</v>
      </c>
      <c r="Q15" s="64">
        <v>9.94</v>
      </c>
      <c r="R15" s="198"/>
      <c r="S15" s="198"/>
      <c r="T15" s="198"/>
      <c r="U15" s="198"/>
    </row>
    <row r="16" spans="1:21" s="12" customFormat="1" x14ac:dyDescent="0.25">
      <c r="A16" s="213" t="s">
        <v>2555</v>
      </c>
      <c r="B16" s="64">
        <v>57.68</v>
      </c>
      <c r="C16" s="64">
        <v>69.72</v>
      </c>
      <c r="D16" s="64">
        <v>125.3</v>
      </c>
      <c r="E16" s="64">
        <v>7.32</v>
      </c>
      <c r="F16" s="64">
        <v>2.13</v>
      </c>
      <c r="G16" s="64">
        <v>120.69</v>
      </c>
      <c r="H16" s="64">
        <v>35.68</v>
      </c>
      <c r="I16" s="210" t="s">
        <v>43</v>
      </c>
      <c r="J16" s="64">
        <v>0.89</v>
      </c>
      <c r="K16" s="64">
        <v>62.61</v>
      </c>
      <c r="L16" s="64">
        <v>17.920000000000002</v>
      </c>
      <c r="M16" s="64">
        <v>44.1</v>
      </c>
      <c r="N16" s="64">
        <v>70.900000000000006</v>
      </c>
      <c r="O16" s="64">
        <v>0</v>
      </c>
      <c r="P16" s="64">
        <v>1.23</v>
      </c>
      <c r="Q16" s="64">
        <v>9.94</v>
      </c>
      <c r="R16" s="198"/>
      <c r="S16" s="198"/>
      <c r="T16" s="198"/>
      <c r="U16" s="198"/>
    </row>
    <row r="17" spans="1:21" s="12" customFormat="1" x14ac:dyDescent="0.25">
      <c r="A17" s="213" t="s">
        <v>2556</v>
      </c>
      <c r="B17" s="64">
        <v>54.05</v>
      </c>
      <c r="C17" s="64">
        <v>68.7</v>
      </c>
      <c r="D17" s="64">
        <v>120.65</v>
      </c>
      <c r="E17" s="64">
        <v>6.79</v>
      </c>
      <c r="F17" s="64">
        <v>2.13</v>
      </c>
      <c r="G17" s="64">
        <v>88.58</v>
      </c>
      <c r="H17" s="64">
        <v>27.02</v>
      </c>
      <c r="I17" s="210" t="s">
        <v>43</v>
      </c>
      <c r="J17" s="64">
        <v>1.31</v>
      </c>
      <c r="K17" s="64">
        <v>82.31</v>
      </c>
      <c r="L17" s="64">
        <v>17.899999999999999</v>
      </c>
      <c r="M17" s="64">
        <v>44.67</v>
      </c>
      <c r="N17" s="64">
        <v>71.3</v>
      </c>
      <c r="O17" s="64">
        <v>0</v>
      </c>
      <c r="P17" s="64">
        <v>1.2</v>
      </c>
      <c r="Q17" s="64">
        <v>9.93</v>
      </c>
      <c r="R17" s="198"/>
      <c r="S17" s="198"/>
      <c r="T17" s="198"/>
      <c r="U17" s="198"/>
    </row>
    <row r="18" spans="1:21" s="12" customFormat="1" x14ac:dyDescent="0.25">
      <c r="A18" s="213" t="s">
        <v>2557</v>
      </c>
      <c r="B18" s="64">
        <v>49.85</v>
      </c>
      <c r="C18" s="64">
        <v>67.260000000000005</v>
      </c>
      <c r="D18" s="64">
        <v>115.01</v>
      </c>
      <c r="E18" s="64">
        <v>6.76</v>
      </c>
      <c r="F18" s="64">
        <v>2.13</v>
      </c>
      <c r="G18" s="64">
        <v>88.21</v>
      </c>
      <c r="H18" s="64">
        <v>26.93</v>
      </c>
      <c r="I18" s="210" t="s">
        <v>43</v>
      </c>
      <c r="J18" s="64">
        <v>1.17</v>
      </c>
      <c r="K18" s="64">
        <v>87.66</v>
      </c>
      <c r="L18" s="64">
        <v>17.600000000000001</v>
      </c>
      <c r="M18" s="64">
        <v>46.29</v>
      </c>
      <c r="N18" s="64">
        <v>71.599999999999994</v>
      </c>
      <c r="O18" s="64">
        <v>0</v>
      </c>
      <c r="P18" s="64">
        <v>1.1499999999999999</v>
      </c>
      <c r="Q18" s="64">
        <v>9.9499999999999993</v>
      </c>
      <c r="R18" s="198"/>
      <c r="S18" s="198"/>
      <c r="T18" s="198"/>
      <c r="U18" s="198"/>
    </row>
    <row r="19" spans="1:21" s="12" customFormat="1" x14ac:dyDescent="0.25">
      <c r="A19" s="213" t="s">
        <v>2558</v>
      </c>
      <c r="B19" s="64">
        <v>45.79</v>
      </c>
      <c r="C19" s="64">
        <v>66.12</v>
      </c>
      <c r="D19" s="64">
        <v>109.8</v>
      </c>
      <c r="E19" s="64">
        <v>6.17</v>
      </c>
      <c r="F19" s="64">
        <v>2.13</v>
      </c>
      <c r="G19" s="64">
        <v>88.21</v>
      </c>
      <c r="H19" s="64">
        <v>26.93</v>
      </c>
      <c r="I19" s="210" t="s">
        <v>43</v>
      </c>
      <c r="J19" s="64">
        <v>1.48</v>
      </c>
      <c r="K19" s="64">
        <v>89.99</v>
      </c>
      <c r="L19" s="64">
        <v>17.57</v>
      </c>
      <c r="M19" s="64">
        <v>44.26</v>
      </c>
      <c r="N19" s="64">
        <v>71.400000000000006</v>
      </c>
      <c r="O19" s="64">
        <v>0</v>
      </c>
      <c r="P19" s="64">
        <v>1.0900000000000001</v>
      </c>
      <c r="Q19" s="64">
        <v>9.93</v>
      </c>
      <c r="R19" s="198"/>
      <c r="S19" s="198"/>
      <c r="T19" s="198"/>
      <c r="U19" s="198"/>
    </row>
    <row r="20" spans="1:21" s="12" customFormat="1" x14ac:dyDescent="0.25">
      <c r="A20" s="213" t="s">
        <v>2559</v>
      </c>
      <c r="B20" s="64">
        <v>42.37</v>
      </c>
      <c r="C20" s="64">
        <v>65.48</v>
      </c>
      <c r="D20" s="64">
        <v>105.75</v>
      </c>
      <c r="E20" s="64">
        <v>6.45</v>
      </c>
      <c r="F20" s="64">
        <v>2.13</v>
      </c>
      <c r="G20" s="64">
        <v>88.21</v>
      </c>
      <c r="H20" s="64">
        <v>26.93</v>
      </c>
      <c r="I20" s="210" t="s">
        <v>43</v>
      </c>
      <c r="J20" s="64">
        <v>1.46</v>
      </c>
      <c r="K20" s="64">
        <v>94.02</v>
      </c>
      <c r="L20" s="64">
        <v>17.52</v>
      </c>
      <c r="M20" s="64">
        <v>44.47</v>
      </c>
      <c r="N20" s="64">
        <v>71.5</v>
      </c>
      <c r="O20" s="64">
        <v>0</v>
      </c>
      <c r="P20" s="64">
        <v>1.04</v>
      </c>
      <c r="Q20" s="64">
        <v>9.93</v>
      </c>
      <c r="R20" s="198"/>
      <c r="S20" s="198"/>
      <c r="T20" s="198"/>
      <c r="U20" s="198"/>
    </row>
    <row r="21" spans="1:21" s="12" customFormat="1" x14ac:dyDescent="0.25">
      <c r="A21" s="213" t="s">
        <v>2560</v>
      </c>
      <c r="B21" s="64">
        <v>39.57</v>
      </c>
      <c r="C21" s="64">
        <v>64.81</v>
      </c>
      <c r="D21" s="64">
        <v>102.28</v>
      </c>
      <c r="E21" s="64">
        <v>5.49</v>
      </c>
      <c r="F21" s="64">
        <v>2.13</v>
      </c>
      <c r="G21" s="64">
        <v>66.290000000000006</v>
      </c>
      <c r="H21" s="64">
        <v>3.38</v>
      </c>
      <c r="I21" s="210" t="s">
        <v>43</v>
      </c>
      <c r="J21" s="64">
        <v>2.62</v>
      </c>
      <c r="K21" s="64">
        <v>103.33</v>
      </c>
      <c r="L21" s="64">
        <v>17.690000000000001</v>
      </c>
      <c r="M21" s="64">
        <v>42.96</v>
      </c>
      <c r="N21" s="64">
        <v>70.7</v>
      </c>
      <c r="O21" s="64">
        <v>0</v>
      </c>
      <c r="P21" s="64">
        <v>0.99</v>
      </c>
      <c r="Q21" s="64">
        <v>9.94</v>
      </c>
      <c r="R21" s="198"/>
      <c r="S21" s="198"/>
      <c r="T21" s="198"/>
      <c r="U21" s="198"/>
    </row>
    <row r="22" spans="1:21" s="12" customFormat="1" x14ac:dyDescent="0.25">
      <c r="A22" s="213" t="s">
        <v>2561</v>
      </c>
      <c r="B22" s="64">
        <v>36.270000000000003</v>
      </c>
      <c r="C22" s="64">
        <v>64.39</v>
      </c>
      <c r="D22" s="64">
        <v>98.57</v>
      </c>
      <c r="E22" s="64">
        <v>5.96</v>
      </c>
      <c r="F22" s="64">
        <v>2.13</v>
      </c>
      <c r="G22" s="64">
        <v>66.040000000000006</v>
      </c>
      <c r="H22" s="64">
        <v>3.11</v>
      </c>
      <c r="I22" s="210" t="s">
        <v>43</v>
      </c>
      <c r="J22" s="64">
        <v>2.34</v>
      </c>
      <c r="K22" s="64">
        <v>106.15</v>
      </c>
      <c r="L22" s="64">
        <v>17.61</v>
      </c>
      <c r="M22" s="64">
        <v>43.29</v>
      </c>
      <c r="N22" s="64">
        <v>71.599999999999994</v>
      </c>
      <c r="O22" s="64">
        <v>0</v>
      </c>
      <c r="P22" s="64">
        <v>0.92</v>
      </c>
      <c r="Q22" s="64">
        <v>9.94</v>
      </c>
      <c r="R22" s="198"/>
      <c r="S22" s="198"/>
      <c r="T22" s="198"/>
      <c r="U22" s="198"/>
    </row>
    <row r="23" spans="1:21" s="12" customFormat="1" x14ac:dyDescent="0.25">
      <c r="A23" s="213" t="s">
        <v>2562</v>
      </c>
      <c r="B23" s="64">
        <v>33.08</v>
      </c>
      <c r="C23" s="64">
        <v>64.39</v>
      </c>
      <c r="D23" s="64">
        <v>95.37</v>
      </c>
      <c r="E23" s="64">
        <v>5.76</v>
      </c>
      <c r="F23" s="64">
        <v>2.13</v>
      </c>
      <c r="G23" s="64">
        <v>66.040000000000006</v>
      </c>
      <c r="H23" s="64">
        <v>3.11</v>
      </c>
      <c r="I23" s="210" t="s">
        <v>43</v>
      </c>
      <c r="J23" s="64">
        <v>1.32</v>
      </c>
      <c r="K23" s="64">
        <v>101.16</v>
      </c>
      <c r="L23" s="64">
        <v>17.38</v>
      </c>
      <c r="M23" s="64">
        <v>44.84</v>
      </c>
      <c r="N23" s="64">
        <v>72.099999999999994</v>
      </c>
      <c r="O23" s="64">
        <v>0</v>
      </c>
      <c r="P23" s="64">
        <v>0.88</v>
      </c>
      <c r="Q23" s="64">
        <v>9.9</v>
      </c>
      <c r="R23" s="198"/>
      <c r="S23" s="198"/>
      <c r="T23" s="198"/>
      <c r="U23" s="198"/>
    </row>
    <row r="24" spans="1:21" s="12" customFormat="1" x14ac:dyDescent="0.25">
      <c r="A24" s="213" t="s">
        <v>2563</v>
      </c>
      <c r="B24" s="64">
        <v>30.31</v>
      </c>
      <c r="C24" s="64">
        <v>64.28</v>
      </c>
      <c r="D24" s="64">
        <v>92.49</v>
      </c>
      <c r="E24" s="64">
        <v>5.79</v>
      </c>
      <c r="F24" s="64">
        <v>2.13</v>
      </c>
      <c r="G24" s="64">
        <v>66.040000000000006</v>
      </c>
      <c r="H24" s="64">
        <v>3.11</v>
      </c>
      <c r="I24" s="210" t="s">
        <v>43</v>
      </c>
      <c r="J24" s="64">
        <v>0.72</v>
      </c>
      <c r="K24" s="64">
        <v>9.07</v>
      </c>
      <c r="L24" s="64">
        <v>16.940000000000001</v>
      </c>
      <c r="M24" s="64">
        <v>46.59</v>
      </c>
      <c r="N24" s="64">
        <v>72.3</v>
      </c>
      <c r="O24" s="64">
        <v>0</v>
      </c>
      <c r="P24" s="64">
        <v>0.82</v>
      </c>
      <c r="Q24" s="64">
        <v>9.8800000000000008</v>
      </c>
      <c r="R24" s="198"/>
      <c r="S24" s="198"/>
      <c r="T24" s="198"/>
      <c r="U24" s="198"/>
    </row>
    <row r="25" spans="1:21" s="12" customFormat="1" x14ac:dyDescent="0.25">
      <c r="A25" s="213" t="s">
        <v>2564</v>
      </c>
      <c r="B25" s="64">
        <v>28.19</v>
      </c>
      <c r="C25" s="64">
        <v>64.41</v>
      </c>
      <c r="D25" s="64">
        <v>90.5</v>
      </c>
      <c r="E25" s="64">
        <v>6.17</v>
      </c>
      <c r="F25" s="64">
        <v>2.13</v>
      </c>
      <c r="G25" s="64">
        <v>55.62</v>
      </c>
      <c r="H25" s="64">
        <v>0.7</v>
      </c>
      <c r="I25" s="210" t="s">
        <v>43</v>
      </c>
      <c r="J25" s="64">
        <v>0.73</v>
      </c>
      <c r="K25" s="64">
        <v>1.97</v>
      </c>
      <c r="L25" s="64">
        <v>16.239999999999998</v>
      </c>
      <c r="M25" s="64">
        <v>48.94</v>
      </c>
      <c r="N25" s="64">
        <v>72.2</v>
      </c>
      <c r="O25" s="64">
        <v>0</v>
      </c>
      <c r="P25" s="64">
        <v>0.79</v>
      </c>
      <c r="Q25" s="64">
        <v>9.8699999999999992</v>
      </c>
      <c r="R25" s="198"/>
      <c r="S25" s="198"/>
      <c r="T25" s="198"/>
      <c r="U25" s="198"/>
    </row>
    <row r="26" spans="1:21" s="12" customFormat="1" x14ac:dyDescent="0.25">
      <c r="A26" s="213" t="s">
        <v>2565</v>
      </c>
      <c r="B26" s="64">
        <v>26.23</v>
      </c>
      <c r="C26" s="64">
        <v>63.68</v>
      </c>
      <c r="D26" s="64">
        <v>87.81</v>
      </c>
      <c r="E26" s="64">
        <v>5.98</v>
      </c>
      <c r="F26" s="64">
        <v>2.13</v>
      </c>
      <c r="G26" s="64">
        <v>55.5</v>
      </c>
      <c r="H26" s="64">
        <v>0.67</v>
      </c>
      <c r="I26" s="210" t="s">
        <v>43</v>
      </c>
      <c r="J26" s="64">
        <v>0.66</v>
      </c>
      <c r="K26" s="64">
        <v>11.37</v>
      </c>
      <c r="L26" s="64">
        <v>16.059999999999999</v>
      </c>
      <c r="M26" s="64">
        <v>48.85</v>
      </c>
      <c r="N26" s="64">
        <v>71.900000000000006</v>
      </c>
      <c r="O26" s="64">
        <v>0</v>
      </c>
      <c r="P26" s="64">
        <v>0.66</v>
      </c>
      <c r="Q26" s="64">
        <v>9.84</v>
      </c>
      <c r="R26" s="198"/>
      <c r="S26" s="198"/>
      <c r="T26" s="198"/>
      <c r="U26" s="198"/>
    </row>
    <row r="27" spans="1:21" s="12" customFormat="1" x14ac:dyDescent="0.25">
      <c r="A27" s="213" t="s">
        <v>2566</v>
      </c>
      <c r="B27" s="64">
        <v>24.97</v>
      </c>
      <c r="C27" s="64">
        <v>62.87</v>
      </c>
      <c r="D27" s="64">
        <v>85.74</v>
      </c>
      <c r="E27" s="64">
        <v>4.99</v>
      </c>
      <c r="F27" s="64">
        <v>2.13</v>
      </c>
      <c r="G27" s="64">
        <v>55.5</v>
      </c>
      <c r="H27" s="64">
        <v>0.67</v>
      </c>
      <c r="I27" s="210" t="s">
        <v>43</v>
      </c>
      <c r="J27" s="64">
        <v>0.48</v>
      </c>
      <c r="K27" s="64">
        <v>51.45</v>
      </c>
      <c r="L27" s="64">
        <v>15.91</v>
      </c>
      <c r="M27" s="64">
        <v>49.49</v>
      </c>
      <c r="N27" s="64">
        <v>71.900000000000006</v>
      </c>
      <c r="O27" s="64">
        <v>0</v>
      </c>
      <c r="P27" s="64">
        <v>0.6</v>
      </c>
      <c r="Q27" s="64">
        <v>9.84</v>
      </c>
      <c r="R27" s="198"/>
      <c r="S27" s="198"/>
      <c r="T27" s="198"/>
      <c r="U27" s="198"/>
    </row>
    <row r="28" spans="1:21" s="12" customFormat="1" x14ac:dyDescent="0.25">
      <c r="A28" s="213" t="s">
        <v>2567</v>
      </c>
      <c r="B28" s="64">
        <v>24.24</v>
      </c>
      <c r="C28" s="64">
        <v>63.5</v>
      </c>
      <c r="D28" s="64">
        <v>85.64</v>
      </c>
      <c r="E28" s="64">
        <v>5.56</v>
      </c>
      <c r="F28" s="64">
        <v>2.13</v>
      </c>
      <c r="G28" s="64">
        <v>55.5</v>
      </c>
      <c r="H28" s="64">
        <v>0.67</v>
      </c>
      <c r="I28" s="210" t="s">
        <v>43</v>
      </c>
      <c r="J28" s="64">
        <v>0.63</v>
      </c>
      <c r="K28" s="64">
        <v>3.01</v>
      </c>
      <c r="L28" s="64">
        <v>15.66</v>
      </c>
      <c r="M28" s="64">
        <v>51.36</v>
      </c>
      <c r="N28" s="64">
        <v>71.8</v>
      </c>
      <c r="O28" s="64">
        <v>0</v>
      </c>
      <c r="P28" s="64">
        <v>0.62</v>
      </c>
      <c r="Q28" s="64">
        <v>9.82</v>
      </c>
      <c r="R28" s="198"/>
      <c r="S28" s="198"/>
      <c r="T28" s="198"/>
      <c r="U28" s="198"/>
    </row>
    <row r="29" spans="1:21" s="12" customFormat="1" x14ac:dyDescent="0.25">
      <c r="A29" s="213" t="s">
        <v>2568</v>
      </c>
      <c r="B29" s="64">
        <v>23.98</v>
      </c>
      <c r="C29" s="64">
        <v>63.39</v>
      </c>
      <c r="D29" s="64">
        <v>85.27</v>
      </c>
      <c r="E29" s="64">
        <v>5.42</v>
      </c>
      <c r="F29" s="64">
        <v>2.13</v>
      </c>
      <c r="G29" s="64">
        <v>51.58</v>
      </c>
      <c r="H29" s="64">
        <v>6.95</v>
      </c>
      <c r="I29" s="210" t="s">
        <v>43</v>
      </c>
      <c r="J29" s="64">
        <v>0.56999999999999995</v>
      </c>
      <c r="K29" s="64">
        <v>46.8</v>
      </c>
      <c r="L29" s="64">
        <v>15.47</v>
      </c>
      <c r="M29" s="64">
        <v>51.55</v>
      </c>
      <c r="N29" s="64">
        <v>71.400000000000006</v>
      </c>
      <c r="O29" s="64">
        <v>0</v>
      </c>
      <c r="P29" s="64">
        <v>0.63</v>
      </c>
      <c r="Q29" s="64">
        <v>9.77</v>
      </c>
      <c r="R29" s="198"/>
      <c r="S29" s="198"/>
      <c r="T29" s="198"/>
      <c r="U29" s="198"/>
    </row>
    <row r="30" spans="1:21" s="12" customFormat="1" x14ac:dyDescent="0.25">
      <c r="A30" s="213" t="s">
        <v>2569</v>
      </c>
      <c r="B30" s="64">
        <v>23.46</v>
      </c>
      <c r="C30" s="64">
        <v>62.85</v>
      </c>
      <c r="D30" s="64">
        <v>84.21</v>
      </c>
      <c r="E30" s="64">
        <v>5.64</v>
      </c>
      <c r="F30" s="64">
        <v>2.13</v>
      </c>
      <c r="G30" s="64">
        <v>51.53</v>
      </c>
      <c r="H30" s="64">
        <v>7.02</v>
      </c>
      <c r="I30" s="210" t="s">
        <v>43</v>
      </c>
      <c r="J30" s="64">
        <v>0.63</v>
      </c>
      <c r="K30" s="64">
        <v>2.96</v>
      </c>
      <c r="L30" s="64">
        <v>15.37</v>
      </c>
      <c r="M30" s="64">
        <v>53.13</v>
      </c>
      <c r="N30" s="64">
        <v>71.5</v>
      </c>
      <c r="O30" s="64">
        <v>0</v>
      </c>
      <c r="P30" s="64">
        <v>0.61</v>
      </c>
      <c r="Q30" s="64">
        <v>9.7799999999999994</v>
      </c>
      <c r="R30" s="198"/>
      <c r="S30" s="198"/>
      <c r="T30" s="198"/>
      <c r="U30" s="198"/>
    </row>
    <row r="31" spans="1:21" s="12" customFormat="1" x14ac:dyDescent="0.25">
      <c r="A31" s="213" t="s">
        <v>2570</v>
      </c>
      <c r="B31" s="64">
        <v>22.91</v>
      </c>
      <c r="C31" s="64">
        <v>62.57</v>
      </c>
      <c r="D31" s="64">
        <v>83.38</v>
      </c>
      <c r="E31" s="64">
        <v>6.04</v>
      </c>
      <c r="F31" s="64">
        <v>2.13</v>
      </c>
      <c r="G31" s="64">
        <v>51.53</v>
      </c>
      <c r="H31" s="64">
        <v>7.02</v>
      </c>
      <c r="I31" s="210" t="s">
        <v>43</v>
      </c>
      <c r="J31" s="64">
        <v>0.69</v>
      </c>
      <c r="K31" s="64">
        <v>10.35</v>
      </c>
      <c r="L31" s="64">
        <v>15.15</v>
      </c>
      <c r="M31" s="64">
        <v>54.53</v>
      </c>
      <c r="N31" s="64">
        <v>71.5</v>
      </c>
      <c r="O31" s="64">
        <v>0</v>
      </c>
      <c r="P31" s="64">
        <v>0.61</v>
      </c>
      <c r="Q31" s="64">
        <v>9.75</v>
      </c>
      <c r="R31" s="198"/>
      <c r="S31" s="198"/>
      <c r="T31" s="198"/>
      <c r="U31" s="198"/>
    </row>
    <row r="32" spans="1:21" s="12" customFormat="1" x14ac:dyDescent="0.25">
      <c r="A32" s="213" t="s">
        <v>2571</v>
      </c>
      <c r="B32" s="64">
        <v>22.72</v>
      </c>
      <c r="C32" s="64">
        <v>62.11</v>
      </c>
      <c r="D32" s="64">
        <v>82.73</v>
      </c>
      <c r="E32" s="64">
        <v>5.7</v>
      </c>
      <c r="F32" s="64">
        <v>2.13</v>
      </c>
      <c r="G32" s="64">
        <v>51.53</v>
      </c>
      <c r="H32" s="64">
        <v>7.02</v>
      </c>
      <c r="I32" s="210" t="s">
        <v>43</v>
      </c>
      <c r="J32" s="64">
        <v>1.1000000000000001</v>
      </c>
      <c r="K32" s="64">
        <v>6.3</v>
      </c>
      <c r="L32" s="64">
        <v>15.12</v>
      </c>
      <c r="M32" s="64">
        <v>56</v>
      </c>
      <c r="N32" s="64">
        <v>71</v>
      </c>
      <c r="O32" s="64">
        <v>0</v>
      </c>
      <c r="P32" s="64">
        <v>0.59</v>
      </c>
      <c r="Q32" s="64">
        <v>9.74</v>
      </c>
      <c r="R32" s="198"/>
      <c r="S32" s="198"/>
      <c r="T32" s="198"/>
      <c r="U32" s="198"/>
    </row>
    <row r="33" spans="1:21" s="12" customFormat="1" x14ac:dyDescent="0.25">
      <c r="A33" s="213" t="s">
        <v>2572</v>
      </c>
      <c r="B33" s="64">
        <v>22.27</v>
      </c>
      <c r="C33" s="64">
        <v>61.5</v>
      </c>
      <c r="D33" s="64">
        <v>81.66</v>
      </c>
      <c r="E33" s="64">
        <v>5.54</v>
      </c>
      <c r="F33" s="64">
        <v>2.13</v>
      </c>
      <c r="G33" s="64">
        <v>57.31</v>
      </c>
      <c r="H33" s="64">
        <v>19.45</v>
      </c>
      <c r="I33" s="210" t="s">
        <v>43</v>
      </c>
      <c r="J33" s="64">
        <v>1.1100000000000001</v>
      </c>
      <c r="K33" s="64">
        <v>4.9800000000000004</v>
      </c>
      <c r="L33" s="64">
        <v>15.28</v>
      </c>
      <c r="M33" s="64">
        <v>54.67</v>
      </c>
      <c r="N33" s="64">
        <v>71.599999999999994</v>
      </c>
      <c r="O33" s="64">
        <v>0</v>
      </c>
      <c r="P33" s="64">
        <v>0.61</v>
      </c>
      <c r="Q33" s="64">
        <v>9.75</v>
      </c>
      <c r="R33" s="198"/>
      <c r="S33" s="198"/>
      <c r="T33" s="198"/>
      <c r="U33" s="198"/>
    </row>
    <row r="34" spans="1:21" s="12" customFormat="1" x14ac:dyDescent="0.25">
      <c r="A34" s="213" t="s">
        <v>2573</v>
      </c>
      <c r="B34" s="64">
        <v>21.81</v>
      </c>
      <c r="C34" s="64">
        <v>61.38</v>
      </c>
      <c r="D34" s="64">
        <v>81.099999999999994</v>
      </c>
      <c r="E34" s="64">
        <v>5.74</v>
      </c>
      <c r="F34" s="64">
        <v>2.13</v>
      </c>
      <c r="G34" s="64">
        <v>57.37</v>
      </c>
      <c r="H34" s="64">
        <v>19.59</v>
      </c>
      <c r="I34" s="210" t="s">
        <v>43</v>
      </c>
      <c r="J34" s="64">
        <v>1.1299999999999999</v>
      </c>
      <c r="K34" s="64">
        <v>6.84</v>
      </c>
      <c r="L34" s="64">
        <v>15.25</v>
      </c>
      <c r="M34" s="64">
        <v>54.19</v>
      </c>
      <c r="N34" s="64">
        <v>75.8</v>
      </c>
      <c r="O34" s="64">
        <v>0</v>
      </c>
      <c r="P34" s="64">
        <v>0.63</v>
      </c>
      <c r="Q34" s="64">
        <v>9.73</v>
      </c>
      <c r="R34" s="198"/>
      <c r="S34" s="198"/>
      <c r="T34" s="198"/>
      <c r="U34" s="198"/>
    </row>
    <row r="35" spans="1:21" s="12" customFormat="1" x14ac:dyDescent="0.25">
      <c r="A35" s="213" t="s">
        <v>2574</v>
      </c>
      <c r="B35" s="64">
        <v>21.69</v>
      </c>
      <c r="C35" s="64">
        <v>61.78</v>
      </c>
      <c r="D35" s="64">
        <v>81.37</v>
      </c>
      <c r="E35" s="64">
        <v>6.57</v>
      </c>
      <c r="F35" s="64">
        <v>2.13</v>
      </c>
      <c r="G35" s="64">
        <v>57.37</v>
      </c>
      <c r="H35" s="64">
        <v>19.59</v>
      </c>
      <c r="I35" s="210" t="s">
        <v>43</v>
      </c>
      <c r="J35" s="64">
        <v>1.04</v>
      </c>
      <c r="K35" s="64">
        <v>8.77</v>
      </c>
      <c r="L35" s="64">
        <v>15.37</v>
      </c>
      <c r="M35" s="64">
        <v>54.04</v>
      </c>
      <c r="N35" s="64">
        <v>88.4</v>
      </c>
      <c r="O35" s="64">
        <v>0</v>
      </c>
      <c r="P35" s="64">
        <v>0.61</v>
      </c>
      <c r="Q35" s="64">
        <v>9.75</v>
      </c>
      <c r="R35" s="198"/>
      <c r="S35" s="198"/>
      <c r="T35" s="198"/>
      <c r="U35" s="198"/>
    </row>
    <row r="36" spans="1:21" s="12" customFormat="1" x14ac:dyDescent="0.25">
      <c r="A36" s="213" t="s">
        <v>2575</v>
      </c>
      <c r="B36" s="64">
        <v>21.96</v>
      </c>
      <c r="C36" s="64">
        <v>62.27</v>
      </c>
      <c r="D36" s="64">
        <v>82.14</v>
      </c>
      <c r="E36" s="64">
        <v>5.85</v>
      </c>
      <c r="F36" s="64">
        <v>2.13</v>
      </c>
      <c r="G36" s="64">
        <v>57.37</v>
      </c>
      <c r="H36" s="64">
        <v>19.59</v>
      </c>
      <c r="I36" s="210" t="s">
        <v>43</v>
      </c>
      <c r="J36" s="64">
        <v>1</v>
      </c>
      <c r="K36" s="64">
        <v>8.18</v>
      </c>
      <c r="L36" s="64">
        <v>15.74</v>
      </c>
      <c r="M36" s="64">
        <v>53.89</v>
      </c>
      <c r="N36" s="64">
        <v>107.4</v>
      </c>
      <c r="O36" s="64">
        <v>0</v>
      </c>
      <c r="P36" s="64">
        <v>0.62</v>
      </c>
      <c r="Q36" s="64">
        <v>9.75</v>
      </c>
      <c r="R36" s="198"/>
      <c r="S36" s="198"/>
      <c r="T36" s="198"/>
      <c r="U36" s="198"/>
    </row>
    <row r="37" spans="1:21" s="12" customFormat="1" x14ac:dyDescent="0.25">
      <c r="A37" s="213" t="s">
        <v>2576</v>
      </c>
      <c r="B37" s="64">
        <v>22.44</v>
      </c>
      <c r="C37" s="64">
        <v>62.88</v>
      </c>
      <c r="D37" s="64">
        <v>83.21</v>
      </c>
      <c r="E37" s="64">
        <v>6.22</v>
      </c>
      <c r="F37" s="64">
        <v>2.13</v>
      </c>
      <c r="G37" s="64">
        <v>71.069999999999993</v>
      </c>
      <c r="H37" s="64">
        <v>25.68</v>
      </c>
      <c r="I37" s="210" t="s">
        <v>43</v>
      </c>
      <c r="J37" s="64">
        <v>0.96</v>
      </c>
      <c r="K37" s="64">
        <v>4.32</v>
      </c>
      <c r="L37" s="64">
        <v>16.55</v>
      </c>
      <c r="M37" s="64">
        <v>51.54</v>
      </c>
      <c r="N37" s="64">
        <v>162</v>
      </c>
      <c r="O37" s="64">
        <v>0</v>
      </c>
      <c r="P37" s="64">
        <v>0.72</v>
      </c>
      <c r="Q37" s="64">
        <v>9.77</v>
      </c>
      <c r="R37" s="198"/>
      <c r="S37" s="198"/>
      <c r="T37" s="198"/>
      <c r="U37" s="198"/>
    </row>
    <row r="38" spans="1:21" s="12" customFormat="1" x14ac:dyDescent="0.25">
      <c r="A38" s="213" t="s">
        <v>2577</v>
      </c>
      <c r="B38" s="64">
        <v>23.3</v>
      </c>
      <c r="C38" s="64">
        <v>63.93</v>
      </c>
      <c r="D38" s="64">
        <v>85.13</v>
      </c>
      <c r="E38" s="64">
        <v>7.01</v>
      </c>
      <c r="F38" s="64">
        <v>2.13</v>
      </c>
      <c r="G38" s="64">
        <v>71.22</v>
      </c>
      <c r="H38" s="64">
        <v>25.75</v>
      </c>
      <c r="I38" s="210" t="s">
        <v>43</v>
      </c>
      <c r="J38" s="64">
        <v>1.22</v>
      </c>
      <c r="K38" s="64">
        <v>4.4000000000000004</v>
      </c>
      <c r="L38" s="64">
        <v>18.170000000000002</v>
      </c>
      <c r="M38" s="64">
        <v>46.57</v>
      </c>
      <c r="N38" s="64">
        <v>214.4</v>
      </c>
      <c r="O38" s="64">
        <v>0</v>
      </c>
      <c r="P38" s="64">
        <v>0.77</v>
      </c>
      <c r="Q38" s="64">
        <v>9.77</v>
      </c>
      <c r="R38" s="198"/>
      <c r="S38" s="198"/>
      <c r="T38" s="198"/>
      <c r="U38" s="198"/>
    </row>
    <row r="39" spans="1:21" s="12" customFormat="1" x14ac:dyDescent="0.25">
      <c r="A39" s="213" t="s">
        <v>2578</v>
      </c>
      <c r="B39" s="64">
        <v>24</v>
      </c>
      <c r="C39" s="64">
        <v>65.27</v>
      </c>
      <c r="D39" s="64">
        <v>87.16</v>
      </c>
      <c r="E39" s="64">
        <v>6.54</v>
      </c>
      <c r="F39" s="64">
        <v>2.13</v>
      </c>
      <c r="G39" s="64">
        <v>71.22</v>
      </c>
      <c r="H39" s="64">
        <v>25.75</v>
      </c>
      <c r="I39" s="210" t="s">
        <v>43</v>
      </c>
      <c r="J39" s="64">
        <v>1.33</v>
      </c>
      <c r="K39" s="64">
        <v>5.72</v>
      </c>
      <c r="L39" s="64">
        <v>19.579999999999998</v>
      </c>
      <c r="M39" s="64">
        <v>42.38</v>
      </c>
      <c r="N39" s="64">
        <v>270.89999999999998</v>
      </c>
      <c r="O39" s="64">
        <v>0</v>
      </c>
      <c r="P39" s="64">
        <v>0.77</v>
      </c>
      <c r="Q39" s="64">
        <v>9.76</v>
      </c>
      <c r="R39" s="198"/>
      <c r="S39" s="198"/>
      <c r="T39" s="198"/>
      <c r="U39" s="198"/>
    </row>
    <row r="40" spans="1:21" s="12" customFormat="1" x14ac:dyDescent="0.25">
      <c r="A40" s="213" t="s">
        <v>2579</v>
      </c>
      <c r="B40" s="64">
        <v>24.66</v>
      </c>
      <c r="C40" s="64">
        <v>66.540000000000006</v>
      </c>
      <c r="D40" s="64">
        <v>89.1</v>
      </c>
      <c r="E40" s="64">
        <v>7.29</v>
      </c>
      <c r="F40" s="64">
        <v>2.13</v>
      </c>
      <c r="G40" s="64">
        <v>71.22</v>
      </c>
      <c r="H40" s="64">
        <v>25.75</v>
      </c>
      <c r="I40" s="210" t="s">
        <v>43</v>
      </c>
      <c r="J40" s="64">
        <v>1.2</v>
      </c>
      <c r="K40" s="64">
        <v>7.11</v>
      </c>
      <c r="L40" s="64">
        <v>20.71</v>
      </c>
      <c r="M40" s="64">
        <v>39.82</v>
      </c>
      <c r="N40" s="64">
        <v>327.3</v>
      </c>
      <c r="O40" s="64">
        <v>0</v>
      </c>
      <c r="P40" s="64">
        <v>0.78</v>
      </c>
      <c r="Q40" s="64">
        <v>9.76</v>
      </c>
      <c r="R40" s="198"/>
      <c r="S40" s="198"/>
      <c r="T40" s="198"/>
      <c r="U40" s="198"/>
    </row>
    <row r="41" spans="1:21" s="12" customFormat="1" x14ac:dyDescent="0.25">
      <c r="A41" s="213" t="s">
        <v>2580</v>
      </c>
      <c r="B41" s="64">
        <v>26.13</v>
      </c>
      <c r="C41" s="64">
        <v>68.239999999999995</v>
      </c>
      <c r="D41" s="64">
        <v>92.27</v>
      </c>
      <c r="E41" s="64">
        <v>7.96</v>
      </c>
      <c r="F41" s="64">
        <v>2.13</v>
      </c>
      <c r="G41" s="64">
        <v>89.55</v>
      </c>
      <c r="H41" s="64">
        <v>46.4</v>
      </c>
      <c r="I41" s="210" t="s">
        <v>43</v>
      </c>
      <c r="J41" s="64">
        <v>1.28</v>
      </c>
      <c r="K41" s="64">
        <v>7.51</v>
      </c>
      <c r="L41" s="64">
        <v>21.57</v>
      </c>
      <c r="M41" s="64">
        <v>38.06</v>
      </c>
      <c r="N41" s="64">
        <v>384.7</v>
      </c>
      <c r="O41" s="64">
        <v>0</v>
      </c>
      <c r="P41" s="64">
        <v>0.78</v>
      </c>
      <c r="Q41" s="64">
        <v>9.77</v>
      </c>
      <c r="R41" s="198"/>
      <c r="S41" s="198"/>
      <c r="T41" s="198"/>
      <c r="U41" s="198"/>
    </row>
    <row r="42" spans="1:21" s="12" customFormat="1" x14ac:dyDescent="0.25">
      <c r="A42" s="213" t="s">
        <v>2581</v>
      </c>
      <c r="B42" s="64">
        <v>28.73</v>
      </c>
      <c r="C42" s="64">
        <v>70.41</v>
      </c>
      <c r="D42" s="64">
        <v>97.04</v>
      </c>
      <c r="E42" s="64">
        <v>7.96</v>
      </c>
      <c r="F42" s="64">
        <v>2.13</v>
      </c>
      <c r="G42" s="64">
        <v>89.76</v>
      </c>
      <c r="H42" s="64">
        <v>46.63</v>
      </c>
      <c r="I42" s="210" t="s">
        <v>43</v>
      </c>
      <c r="J42" s="64">
        <v>1.17</v>
      </c>
      <c r="K42" s="64">
        <v>17.16</v>
      </c>
      <c r="L42" s="64">
        <v>21.85</v>
      </c>
      <c r="M42" s="64">
        <v>36.54</v>
      </c>
      <c r="N42" s="64">
        <v>438.9</v>
      </c>
      <c r="O42" s="64">
        <v>0</v>
      </c>
      <c r="P42" s="64">
        <v>0.78</v>
      </c>
      <c r="Q42" s="64">
        <v>9.76</v>
      </c>
      <c r="R42" s="198"/>
      <c r="S42" s="198"/>
      <c r="T42" s="198"/>
      <c r="U42" s="198"/>
    </row>
    <row r="43" spans="1:21" s="12" customFormat="1" x14ac:dyDescent="0.25">
      <c r="A43" s="213" t="s">
        <v>2582</v>
      </c>
      <c r="B43" s="64">
        <v>31.2</v>
      </c>
      <c r="C43" s="64">
        <v>72.319999999999993</v>
      </c>
      <c r="D43" s="64">
        <v>101.42</v>
      </c>
      <c r="E43" s="64">
        <v>8.3000000000000007</v>
      </c>
      <c r="F43" s="64">
        <v>2.13</v>
      </c>
      <c r="G43" s="64">
        <v>89.76</v>
      </c>
      <c r="H43" s="64">
        <v>46.63</v>
      </c>
      <c r="I43" s="210" t="s">
        <v>43</v>
      </c>
      <c r="J43" s="64">
        <v>1.25</v>
      </c>
      <c r="K43" s="64">
        <v>19.600000000000001</v>
      </c>
      <c r="L43" s="64">
        <v>22.16</v>
      </c>
      <c r="M43" s="64">
        <v>35.479999999999997</v>
      </c>
      <c r="N43" s="64">
        <v>493.9</v>
      </c>
      <c r="O43" s="64">
        <v>0</v>
      </c>
      <c r="P43" s="64">
        <v>0.78</v>
      </c>
      <c r="Q43" s="64">
        <v>9.75</v>
      </c>
      <c r="R43" s="198"/>
      <c r="S43" s="198"/>
      <c r="T43" s="198"/>
      <c r="U43" s="198"/>
    </row>
    <row r="44" spans="1:21" s="12" customFormat="1" x14ac:dyDescent="0.25">
      <c r="A44" s="213" t="s">
        <v>2583</v>
      </c>
      <c r="B44" s="64">
        <v>32.94</v>
      </c>
      <c r="C44" s="64">
        <v>72.760000000000005</v>
      </c>
      <c r="D44" s="64">
        <v>103.6</v>
      </c>
      <c r="E44" s="64">
        <v>7.57</v>
      </c>
      <c r="F44" s="64">
        <v>2.13</v>
      </c>
      <c r="G44" s="64">
        <v>89.76</v>
      </c>
      <c r="H44" s="64">
        <v>46.63</v>
      </c>
      <c r="I44" s="210" t="s">
        <v>43</v>
      </c>
      <c r="J44" s="64">
        <v>1.1000000000000001</v>
      </c>
      <c r="K44" s="64">
        <v>45.06</v>
      </c>
      <c r="L44" s="64">
        <v>23.05</v>
      </c>
      <c r="M44" s="64">
        <v>34.340000000000003</v>
      </c>
      <c r="N44" s="64">
        <v>549.29999999999995</v>
      </c>
      <c r="O44" s="64">
        <v>0</v>
      </c>
      <c r="P44" s="64">
        <v>0.76</v>
      </c>
      <c r="Q44" s="64">
        <v>9.77</v>
      </c>
      <c r="R44" s="198"/>
      <c r="S44" s="198"/>
      <c r="T44" s="198"/>
      <c r="U44" s="198"/>
    </row>
    <row r="45" spans="1:21" s="12" customFormat="1" x14ac:dyDescent="0.25">
      <c r="A45" s="213" t="s">
        <v>2584</v>
      </c>
      <c r="B45" s="64">
        <v>34.04</v>
      </c>
      <c r="C45" s="64">
        <v>73.8</v>
      </c>
      <c r="D45" s="64">
        <v>105.74</v>
      </c>
      <c r="E45" s="64">
        <v>7.07</v>
      </c>
      <c r="F45" s="64">
        <v>2.13</v>
      </c>
      <c r="G45" s="64">
        <v>92.54</v>
      </c>
      <c r="H45" s="64">
        <v>30.09</v>
      </c>
      <c r="I45" s="210" t="s">
        <v>43</v>
      </c>
      <c r="J45" s="64">
        <v>1.34</v>
      </c>
      <c r="K45" s="64">
        <v>359.74</v>
      </c>
      <c r="L45" s="64">
        <v>24.11</v>
      </c>
      <c r="M45" s="64">
        <v>32.82</v>
      </c>
      <c r="N45" s="64">
        <v>594.5</v>
      </c>
      <c r="O45" s="64">
        <v>0</v>
      </c>
      <c r="P45" s="64">
        <v>0.73</v>
      </c>
      <c r="Q45" s="64">
        <v>9.74</v>
      </c>
      <c r="R45" s="198"/>
      <c r="S45" s="198"/>
      <c r="T45" s="198"/>
      <c r="U45" s="198"/>
    </row>
    <row r="46" spans="1:21" s="12" customFormat="1" x14ac:dyDescent="0.25">
      <c r="A46" s="213" t="s">
        <v>2585</v>
      </c>
      <c r="B46" s="64">
        <v>34.36</v>
      </c>
      <c r="C46" s="64">
        <v>74.61</v>
      </c>
      <c r="D46" s="64">
        <v>106.86</v>
      </c>
      <c r="E46" s="64">
        <v>7.12</v>
      </c>
      <c r="F46" s="64">
        <v>2.13</v>
      </c>
      <c r="G46" s="64">
        <v>92.57</v>
      </c>
      <c r="H46" s="64">
        <v>29.9</v>
      </c>
      <c r="I46" s="210" t="s">
        <v>43</v>
      </c>
      <c r="J46" s="64">
        <v>1.02</v>
      </c>
      <c r="K46" s="64">
        <v>72.08</v>
      </c>
      <c r="L46" s="64">
        <v>24.29</v>
      </c>
      <c r="M46" s="64">
        <v>32.49</v>
      </c>
      <c r="N46" s="64">
        <v>637.9</v>
      </c>
      <c r="O46" s="64">
        <v>0</v>
      </c>
      <c r="P46" s="64">
        <v>0.75</v>
      </c>
      <c r="Q46" s="64">
        <v>9.74</v>
      </c>
      <c r="R46" s="198"/>
      <c r="S46" s="198"/>
      <c r="T46" s="198"/>
      <c r="U46" s="198"/>
    </row>
    <row r="47" spans="1:21" s="12" customFormat="1" x14ac:dyDescent="0.25">
      <c r="A47" s="213" t="s">
        <v>2586</v>
      </c>
      <c r="B47" s="64">
        <v>34.21</v>
      </c>
      <c r="C47" s="64">
        <v>74.569999999999993</v>
      </c>
      <c r="D47" s="64">
        <v>106.67</v>
      </c>
      <c r="E47" s="64">
        <v>7.13</v>
      </c>
      <c r="F47" s="64">
        <v>2.13</v>
      </c>
      <c r="G47" s="64">
        <v>92.57</v>
      </c>
      <c r="H47" s="64">
        <v>29.9</v>
      </c>
      <c r="I47" s="210" t="s">
        <v>43</v>
      </c>
      <c r="J47" s="64">
        <v>0.96</v>
      </c>
      <c r="K47" s="64">
        <v>69.150000000000006</v>
      </c>
      <c r="L47" s="64">
        <v>24.24</v>
      </c>
      <c r="M47" s="64">
        <v>32.47</v>
      </c>
      <c r="N47" s="64">
        <v>670.9</v>
      </c>
      <c r="O47" s="64">
        <v>0</v>
      </c>
      <c r="P47" s="64">
        <v>0.72</v>
      </c>
      <c r="Q47" s="64">
        <v>9.74</v>
      </c>
      <c r="R47" s="198"/>
      <c r="S47" s="198"/>
      <c r="T47" s="198"/>
      <c r="U47" s="198"/>
    </row>
    <row r="48" spans="1:21" s="12" customFormat="1" x14ac:dyDescent="0.25">
      <c r="A48" s="213" t="s">
        <v>2587</v>
      </c>
      <c r="B48" s="64">
        <v>33.4</v>
      </c>
      <c r="C48" s="64">
        <v>74.09</v>
      </c>
      <c r="D48" s="64">
        <v>105.39</v>
      </c>
      <c r="E48" s="64">
        <v>7.08</v>
      </c>
      <c r="F48" s="64">
        <v>2.13</v>
      </c>
      <c r="G48" s="64">
        <v>92.57</v>
      </c>
      <c r="H48" s="64">
        <v>29.9</v>
      </c>
      <c r="I48" s="210" t="s">
        <v>43</v>
      </c>
      <c r="J48" s="64">
        <v>1.36</v>
      </c>
      <c r="K48" s="64">
        <v>86.14</v>
      </c>
      <c r="L48" s="64">
        <v>23.67</v>
      </c>
      <c r="M48" s="64">
        <v>32.729999999999997</v>
      </c>
      <c r="N48" s="64">
        <v>717.6</v>
      </c>
      <c r="O48" s="64">
        <v>0</v>
      </c>
      <c r="P48" s="64">
        <v>0.7</v>
      </c>
      <c r="Q48" s="64">
        <v>9.75</v>
      </c>
      <c r="R48" s="198"/>
      <c r="S48" s="198"/>
      <c r="T48" s="198"/>
      <c r="U48" s="198"/>
    </row>
    <row r="49" spans="1:21" s="12" customFormat="1" x14ac:dyDescent="0.25">
      <c r="A49" s="213" t="s">
        <v>2588</v>
      </c>
      <c r="B49" s="64">
        <v>32.25</v>
      </c>
      <c r="C49" s="64">
        <v>73.66</v>
      </c>
      <c r="D49" s="64">
        <v>103.82</v>
      </c>
      <c r="E49" s="64">
        <v>7.04</v>
      </c>
      <c r="F49" s="64">
        <v>2.13</v>
      </c>
      <c r="G49" s="64">
        <v>85.94</v>
      </c>
      <c r="H49" s="64">
        <v>18.260000000000002</v>
      </c>
      <c r="I49" s="210" t="s">
        <v>43</v>
      </c>
      <c r="J49" s="64">
        <v>1.33</v>
      </c>
      <c r="K49" s="64">
        <v>80.459999999999994</v>
      </c>
      <c r="L49" s="64">
        <v>24.28</v>
      </c>
      <c r="M49" s="64">
        <v>30.92</v>
      </c>
      <c r="N49" s="64">
        <v>749.2</v>
      </c>
      <c r="O49" s="64">
        <v>0</v>
      </c>
      <c r="P49" s="64">
        <v>0.71</v>
      </c>
      <c r="Q49" s="64">
        <v>9.76</v>
      </c>
      <c r="R49" s="198"/>
      <c r="S49" s="198"/>
      <c r="T49" s="198"/>
      <c r="U49" s="198"/>
    </row>
    <row r="50" spans="1:21" s="12" customFormat="1" x14ac:dyDescent="0.25">
      <c r="A50" s="213" t="s">
        <v>2589</v>
      </c>
      <c r="B50" s="64">
        <v>29.15</v>
      </c>
      <c r="C50" s="64">
        <v>73.709999999999994</v>
      </c>
      <c r="D50" s="64">
        <v>100.76</v>
      </c>
      <c r="E50" s="64">
        <v>7.68</v>
      </c>
      <c r="F50" s="64">
        <v>2.13</v>
      </c>
      <c r="G50" s="64">
        <v>85.86</v>
      </c>
      <c r="H50" s="64">
        <v>18.13</v>
      </c>
      <c r="I50" s="210" t="s">
        <v>43</v>
      </c>
      <c r="J50" s="64">
        <v>1.32</v>
      </c>
      <c r="K50" s="64">
        <v>87.3</v>
      </c>
      <c r="L50" s="64">
        <v>24.34</v>
      </c>
      <c r="M50" s="64">
        <v>30.09</v>
      </c>
      <c r="N50" s="64">
        <v>784.6</v>
      </c>
      <c r="O50" s="64">
        <v>0</v>
      </c>
      <c r="P50" s="64">
        <v>0.66</v>
      </c>
      <c r="Q50" s="64">
        <v>9.75</v>
      </c>
      <c r="R50" s="198"/>
      <c r="S50" s="198"/>
      <c r="T50" s="198"/>
      <c r="U50" s="198"/>
    </row>
    <row r="51" spans="1:21" s="12" customFormat="1" x14ac:dyDescent="0.25">
      <c r="A51" s="213" t="s">
        <v>2590</v>
      </c>
      <c r="B51" s="64">
        <v>23.58</v>
      </c>
      <c r="C51" s="64">
        <v>75.739999999999995</v>
      </c>
      <c r="D51" s="64">
        <v>97.22</v>
      </c>
      <c r="E51" s="64">
        <v>8.7100000000000009</v>
      </c>
      <c r="F51" s="64">
        <v>2.13</v>
      </c>
      <c r="G51" s="64">
        <v>85.86</v>
      </c>
      <c r="H51" s="64">
        <v>18.13</v>
      </c>
      <c r="I51" s="210" t="s">
        <v>43</v>
      </c>
      <c r="J51" s="64">
        <v>0.88</v>
      </c>
      <c r="K51" s="64">
        <v>60.54</v>
      </c>
      <c r="L51" s="64">
        <v>25.48</v>
      </c>
      <c r="M51" s="64">
        <v>28.79</v>
      </c>
      <c r="N51" s="64">
        <v>805.8</v>
      </c>
      <c r="O51" s="64">
        <v>0</v>
      </c>
      <c r="P51" s="64">
        <v>0.62</v>
      </c>
      <c r="Q51" s="64">
        <v>9.75</v>
      </c>
      <c r="R51" s="198"/>
      <c r="S51" s="198"/>
      <c r="T51" s="198"/>
      <c r="U51" s="198"/>
    </row>
    <row r="52" spans="1:21" s="12" customFormat="1" x14ac:dyDescent="0.25">
      <c r="A52" s="213" t="s">
        <v>2591</v>
      </c>
      <c r="B52" s="64">
        <v>18.18</v>
      </c>
      <c r="C52" s="64">
        <v>79.61</v>
      </c>
      <c r="D52" s="64">
        <v>95.69</v>
      </c>
      <c r="E52" s="64">
        <v>9.8800000000000008</v>
      </c>
      <c r="F52" s="64">
        <v>2.13</v>
      </c>
      <c r="G52" s="64">
        <v>85.86</v>
      </c>
      <c r="H52" s="64">
        <v>18.13</v>
      </c>
      <c r="I52" s="210" t="s">
        <v>43</v>
      </c>
      <c r="J52" s="64">
        <v>1.88</v>
      </c>
      <c r="K52" s="64">
        <v>96.74</v>
      </c>
      <c r="L52" s="64">
        <v>25.86</v>
      </c>
      <c r="M52" s="64">
        <v>27.25</v>
      </c>
      <c r="N52" s="64">
        <v>841.2</v>
      </c>
      <c r="O52" s="64">
        <v>0</v>
      </c>
      <c r="P52" s="64">
        <v>0.61</v>
      </c>
      <c r="Q52" s="64">
        <v>9.74</v>
      </c>
      <c r="R52" s="198"/>
      <c r="S52" s="198"/>
      <c r="T52" s="198"/>
      <c r="U52" s="198"/>
    </row>
    <row r="53" spans="1:21" s="12" customFormat="1" x14ac:dyDescent="0.25">
      <c r="A53" s="213" t="s">
        <v>2592</v>
      </c>
      <c r="B53" s="64">
        <v>11.86</v>
      </c>
      <c r="C53" s="64">
        <v>80.239999999999995</v>
      </c>
      <c r="D53" s="64">
        <v>90</v>
      </c>
      <c r="E53" s="64">
        <v>9.6</v>
      </c>
      <c r="F53" s="64">
        <v>2.23</v>
      </c>
      <c r="G53" s="64">
        <v>70.42</v>
      </c>
      <c r="H53" s="64">
        <v>5.04</v>
      </c>
      <c r="I53" s="210" t="s">
        <v>43</v>
      </c>
      <c r="J53" s="64">
        <v>2.19</v>
      </c>
      <c r="K53" s="64">
        <v>102.79</v>
      </c>
      <c r="L53" s="64">
        <v>24.29</v>
      </c>
      <c r="M53" s="64">
        <v>29.04</v>
      </c>
      <c r="N53" s="64">
        <v>850.9</v>
      </c>
      <c r="O53" s="64">
        <v>0</v>
      </c>
      <c r="P53" s="64">
        <v>0.55000000000000004</v>
      </c>
      <c r="Q53" s="64">
        <v>9.73</v>
      </c>
      <c r="R53" s="198"/>
      <c r="S53" s="198"/>
      <c r="T53" s="198"/>
      <c r="U53" s="198"/>
    </row>
    <row r="54" spans="1:21" s="12" customFormat="1" x14ac:dyDescent="0.25">
      <c r="A54" s="213" t="s">
        <v>2593</v>
      </c>
      <c r="B54" s="64">
        <v>7.48</v>
      </c>
      <c r="C54" s="64">
        <v>78.19</v>
      </c>
      <c r="D54" s="64">
        <v>83.57</v>
      </c>
      <c r="E54" s="64">
        <v>9.7899999999999991</v>
      </c>
      <c r="F54" s="64">
        <v>3.04</v>
      </c>
      <c r="G54" s="64">
        <v>70.25</v>
      </c>
      <c r="H54" s="64">
        <v>4.8899999999999997</v>
      </c>
      <c r="I54" s="210" t="s">
        <v>43</v>
      </c>
      <c r="J54" s="64">
        <v>1.68</v>
      </c>
      <c r="K54" s="64">
        <v>93.98</v>
      </c>
      <c r="L54" s="64">
        <v>25.3</v>
      </c>
      <c r="M54" s="64">
        <v>27.39</v>
      </c>
      <c r="N54" s="64">
        <v>839.5</v>
      </c>
      <c r="O54" s="64">
        <v>0</v>
      </c>
      <c r="P54" s="64">
        <v>0.51</v>
      </c>
      <c r="Q54" s="64">
        <v>9.69</v>
      </c>
      <c r="R54" s="198"/>
      <c r="S54" s="198"/>
      <c r="T54" s="198"/>
      <c r="U54" s="198"/>
    </row>
    <row r="55" spans="1:21" s="12" customFormat="1" x14ac:dyDescent="0.25">
      <c r="A55" s="213" t="s">
        <v>2594</v>
      </c>
      <c r="B55" s="64">
        <v>5.25</v>
      </c>
      <c r="C55" s="64">
        <v>74.459999999999994</v>
      </c>
      <c r="D55" s="64">
        <v>77.61</v>
      </c>
      <c r="E55" s="64">
        <v>9.4700000000000006</v>
      </c>
      <c r="F55" s="64">
        <v>5.31</v>
      </c>
      <c r="G55" s="64">
        <v>70.25</v>
      </c>
      <c r="H55" s="64">
        <v>4.8899999999999997</v>
      </c>
      <c r="I55" s="210" t="s">
        <v>43</v>
      </c>
      <c r="J55" s="64">
        <v>1.48</v>
      </c>
      <c r="K55" s="64">
        <v>98.31</v>
      </c>
      <c r="L55" s="64">
        <v>26.08</v>
      </c>
      <c r="M55" s="64">
        <v>26.51</v>
      </c>
      <c r="N55" s="64">
        <v>825.8</v>
      </c>
      <c r="O55" s="64">
        <v>0</v>
      </c>
      <c r="P55" s="64">
        <v>0.48</v>
      </c>
      <c r="Q55" s="64">
        <v>9.69</v>
      </c>
      <c r="R55" s="198"/>
      <c r="S55" s="198"/>
      <c r="T55" s="198"/>
      <c r="U55" s="198"/>
    </row>
    <row r="56" spans="1:21" s="12" customFormat="1" x14ac:dyDescent="0.25">
      <c r="A56" s="213" t="s">
        <v>2595</v>
      </c>
      <c r="B56" s="64">
        <v>4.34</v>
      </c>
      <c r="C56" s="64">
        <v>70.52</v>
      </c>
      <c r="D56" s="64">
        <v>71.540000000000006</v>
      </c>
      <c r="E56" s="64">
        <v>10.35</v>
      </c>
      <c r="F56" s="64">
        <v>5.7</v>
      </c>
      <c r="G56" s="64">
        <v>70.25</v>
      </c>
      <c r="H56" s="64">
        <v>4.8899999999999997</v>
      </c>
      <c r="I56" s="210" t="s">
        <v>43</v>
      </c>
      <c r="J56" s="64">
        <v>1.02</v>
      </c>
      <c r="K56" s="64">
        <v>80.63</v>
      </c>
      <c r="L56" s="64">
        <v>27.88</v>
      </c>
      <c r="M56" s="64">
        <v>24.07</v>
      </c>
      <c r="N56" s="64">
        <v>812.1</v>
      </c>
      <c r="O56" s="64">
        <v>0</v>
      </c>
      <c r="P56" s="64">
        <v>0.46</v>
      </c>
      <c r="Q56" s="64">
        <v>9.68</v>
      </c>
      <c r="R56" s="198"/>
      <c r="S56" s="198"/>
      <c r="T56" s="198"/>
      <c r="U56" s="198"/>
    </row>
    <row r="57" spans="1:21" s="12" customFormat="1" x14ac:dyDescent="0.25">
      <c r="A57" s="213" t="s">
        <v>2596</v>
      </c>
      <c r="B57" s="64">
        <v>4.22</v>
      </c>
      <c r="C57" s="64">
        <v>68.16</v>
      </c>
      <c r="D57" s="64">
        <v>70.290000000000006</v>
      </c>
      <c r="E57" s="64">
        <v>9.89</v>
      </c>
      <c r="F57" s="64">
        <v>6.6</v>
      </c>
      <c r="G57" s="64">
        <v>39.950000000000003</v>
      </c>
      <c r="H57" s="64">
        <v>12.6</v>
      </c>
      <c r="I57" s="210" t="s">
        <v>43</v>
      </c>
      <c r="J57" s="64">
        <v>1.1200000000000001</v>
      </c>
      <c r="K57" s="64">
        <v>83.21</v>
      </c>
      <c r="L57" s="64">
        <v>26.4</v>
      </c>
      <c r="M57" s="64">
        <v>26.55</v>
      </c>
      <c r="N57" s="64">
        <v>806.5</v>
      </c>
      <c r="O57" s="64">
        <v>0</v>
      </c>
      <c r="P57" s="64">
        <v>0.44</v>
      </c>
      <c r="Q57" s="64">
        <v>9.66</v>
      </c>
      <c r="R57" s="198"/>
      <c r="S57" s="198"/>
      <c r="T57" s="198"/>
      <c r="U57" s="198"/>
    </row>
    <row r="58" spans="1:21" s="12" customFormat="1" x14ac:dyDescent="0.25">
      <c r="A58" s="213" t="s">
        <v>2597</v>
      </c>
      <c r="B58" s="64">
        <v>4.07</v>
      </c>
      <c r="C58" s="64">
        <v>65.510000000000005</v>
      </c>
      <c r="D58" s="64">
        <v>67.48</v>
      </c>
      <c r="E58" s="64">
        <v>9.83</v>
      </c>
      <c r="F58" s="64">
        <v>7.78</v>
      </c>
      <c r="G58" s="64">
        <v>39.61</v>
      </c>
      <c r="H58" s="64">
        <v>12.6</v>
      </c>
      <c r="I58" s="210" t="s">
        <v>43</v>
      </c>
      <c r="J58" s="64">
        <v>0.67</v>
      </c>
      <c r="K58" s="64">
        <v>122.05</v>
      </c>
      <c r="L58" s="64">
        <v>27.35</v>
      </c>
      <c r="M58" s="64">
        <v>24.82</v>
      </c>
      <c r="N58" s="64">
        <v>788.4</v>
      </c>
      <c r="O58" s="64">
        <v>0</v>
      </c>
      <c r="P58" s="64">
        <v>0.43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3" t="s">
        <v>2598</v>
      </c>
      <c r="B59" s="64">
        <v>3.95</v>
      </c>
      <c r="C59" s="64">
        <v>64.02</v>
      </c>
      <c r="D59" s="64">
        <v>65.88</v>
      </c>
      <c r="E59" s="64">
        <v>10.51</v>
      </c>
      <c r="F59" s="64">
        <v>8.9700000000000006</v>
      </c>
      <c r="G59" s="64">
        <v>39.61</v>
      </c>
      <c r="H59" s="64">
        <v>12.6</v>
      </c>
      <c r="I59" s="210" t="s">
        <v>43</v>
      </c>
      <c r="J59" s="64">
        <v>0.84</v>
      </c>
      <c r="K59" s="64">
        <v>24.83</v>
      </c>
      <c r="L59" s="64">
        <v>28.21</v>
      </c>
      <c r="M59" s="64">
        <v>24.36</v>
      </c>
      <c r="N59" s="64">
        <v>778.7</v>
      </c>
      <c r="O59" s="64">
        <v>0</v>
      </c>
      <c r="P59" s="64">
        <v>0.43</v>
      </c>
      <c r="Q59" s="64">
        <v>9.66</v>
      </c>
      <c r="R59" s="198"/>
      <c r="S59" s="198"/>
      <c r="T59" s="198"/>
      <c r="U59" s="198"/>
    </row>
    <row r="60" spans="1:21" s="12" customFormat="1" x14ac:dyDescent="0.25">
      <c r="A60" s="213" t="s">
        <v>2599</v>
      </c>
      <c r="B60" s="64">
        <v>3.99</v>
      </c>
      <c r="C60" s="64">
        <v>63.2</v>
      </c>
      <c r="D60" s="64">
        <v>65.09</v>
      </c>
      <c r="E60" s="64">
        <v>10.79</v>
      </c>
      <c r="F60" s="64">
        <v>9.14</v>
      </c>
      <c r="G60" s="64">
        <v>39.61</v>
      </c>
      <c r="H60" s="64">
        <v>12.6</v>
      </c>
      <c r="I60" s="210" t="s">
        <v>43</v>
      </c>
      <c r="J60" s="64">
        <v>0.66</v>
      </c>
      <c r="K60" s="64">
        <v>42.63</v>
      </c>
      <c r="L60" s="64">
        <v>29.13</v>
      </c>
      <c r="M60" s="64">
        <v>22.65</v>
      </c>
      <c r="N60" s="64">
        <v>769.5</v>
      </c>
      <c r="O60" s="64">
        <v>0</v>
      </c>
      <c r="P60" s="64">
        <v>0.44</v>
      </c>
      <c r="Q60" s="64">
        <v>9.66</v>
      </c>
      <c r="R60" s="198"/>
      <c r="S60" s="198"/>
      <c r="T60" s="198"/>
      <c r="U60" s="198"/>
    </row>
    <row r="61" spans="1:21" s="12" customFormat="1" x14ac:dyDescent="0.25">
      <c r="A61" s="213" t="s">
        <v>2600</v>
      </c>
      <c r="B61" s="64">
        <v>3.9</v>
      </c>
      <c r="C61" s="64">
        <v>62.83</v>
      </c>
      <c r="D61" s="64">
        <v>64.63</v>
      </c>
      <c r="E61" s="64">
        <v>13.04</v>
      </c>
      <c r="F61" s="64">
        <v>15</v>
      </c>
      <c r="G61" s="64">
        <v>52.81</v>
      </c>
      <c r="H61" s="64">
        <v>16.649999999999999</v>
      </c>
      <c r="I61" s="210" t="s">
        <v>43</v>
      </c>
      <c r="J61" s="64">
        <v>0.43</v>
      </c>
      <c r="K61" s="64">
        <v>114.45</v>
      </c>
      <c r="L61" s="64">
        <v>28.66</v>
      </c>
      <c r="M61" s="64">
        <v>22.76</v>
      </c>
      <c r="N61" s="64">
        <v>774.1</v>
      </c>
      <c r="O61" s="64">
        <v>0</v>
      </c>
      <c r="P61" s="64">
        <v>0.44</v>
      </c>
      <c r="Q61" s="64">
        <v>9.64</v>
      </c>
      <c r="R61" s="198"/>
      <c r="S61" s="198"/>
      <c r="T61" s="198"/>
      <c r="U61" s="198"/>
    </row>
    <row r="62" spans="1:21" s="12" customFormat="1" x14ac:dyDescent="0.25">
      <c r="A62" s="213" t="s">
        <v>2601</v>
      </c>
      <c r="B62" s="64">
        <v>3.72</v>
      </c>
      <c r="C62" s="64">
        <v>62.17</v>
      </c>
      <c r="D62" s="64">
        <v>63.79</v>
      </c>
      <c r="E62" s="64">
        <v>10.93</v>
      </c>
      <c r="F62" s="64">
        <v>12.33</v>
      </c>
      <c r="G62" s="64">
        <v>52.96</v>
      </c>
      <c r="H62" s="64">
        <v>16.7</v>
      </c>
      <c r="I62" s="210" t="s">
        <v>43</v>
      </c>
      <c r="J62" s="64">
        <v>0.94</v>
      </c>
      <c r="K62" s="64">
        <v>62.47</v>
      </c>
      <c r="L62" s="64">
        <v>27.89</v>
      </c>
      <c r="M62" s="64">
        <v>24.07</v>
      </c>
      <c r="N62" s="64">
        <v>773.2</v>
      </c>
      <c r="O62" s="64">
        <v>0</v>
      </c>
      <c r="P62" s="64">
        <v>0.44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3" t="s">
        <v>2602</v>
      </c>
      <c r="B63" s="64">
        <v>4.01</v>
      </c>
      <c r="C63" s="64">
        <v>62.64</v>
      </c>
      <c r="D63" s="64">
        <v>64.56</v>
      </c>
      <c r="E63" s="64">
        <v>9.52</v>
      </c>
      <c r="F63" s="64">
        <v>8.4</v>
      </c>
      <c r="G63" s="64">
        <v>52.96</v>
      </c>
      <c r="H63" s="64">
        <v>16.7</v>
      </c>
      <c r="I63" s="210" t="s">
        <v>43</v>
      </c>
      <c r="J63" s="64">
        <v>0.74</v>
      </c>
      <c r="K63" s="64">
        <v>83.57</v>
      </c>
      <c r="L63" s="64">
        <v>28.61</v>
      </c>
      <c r="M63" s="64">
        <v>23.37</v>
      </c>
      <c r="N63" s="64">
        <v>520.4</v>
      </c>
      <c r="O63" s="64">
        <v>0</v>
      </c>
      <c r="P63" s="64">
        <v>0.47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3" t="s">
        <v>2603</v>
      </c>
      <c r="B64" s="64">
        <v>4.13</v>
      </c>
      <c r="C64" s="64">
        <v>62.12</v>
      </c>
      <c r="D64" s="64">
        <v>64.16</v>
      </c>
      <c r="E64" s="64">
        <v>9.89</v>
      </c>
      <c r="F64" s="64">
        <v>9.2200000000000006</v>
      </c>
      <c r="G64" s="64">
        <v>52.96</v>
      </c>
      <c r="H64" s="64">
        <v>16.7</v>
      </c>
      <c r="I64" s="210" t="s">
        <v>43</v>
      </c>
      <c r="J64" s="64">
        <v>0.85</v>
      </c>
      <c r="K64" s="64">
        <v>32.03</v>
      </c>
      <c r="L64" s="64">
        <v>28.16</v>
      </c>
      <c r="M64" s="64">
        <v>22.94</v>
      </c>
      <c r="N64" s="64">
        <v>628.4</v>
      </c>
      <c r="O64" s="64">
        <v>0</v>
      </c>
      <c r="P64" s="64">
        <v>0.47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3" t="s">
        <v>2604</v>
      </c>
      <c r="B65" s="64">
        <v>4.01</v>
      </c>
      <c r="C65" s="64">
        <v>61.28</v>
      </c>
      <c r="D65" s="64">
        <v>63.19</v>
      </c>
      <c r="E65" s="64">
        <v>9.18</v>
      </c>
      <c r="F65" s="64">
        <v>8.3699999999999992</v>
      </c>
      <c r="G65" s="64">
        <v>53.06</v>
      </c>
      <c r="H65" s="64">
        <v>13.15</v>
      </c>
      <c r="I65" s="210" t="s">
        <v>43</v>
      </c>
      <c r="J65" s="64">
        <v>1.31</v>
      </c>
      <c r="K65" s="64">
        <v>102.33</v>
      </c>
      <c r="L65" s="64">
        <v>28.04</v>
      </c>
      <c r="M65" s="64">
        <v>23.6</v>
      </c>
      <c r="N65" s="64">
        <v>645.4</v>
      </c>
      <c r="O65" s="64">
        <v>0</v>
      </c>
      <c r="P65" s="64">
        <v>0.45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3" t="s">
        <v>2605</v>
      </c>
      <c r="B66" s="64">
        <v>4.13</v>
      </c>
      <c r="C66" s="64">
        <v>61.17</v>
      </c>
      <c r="D66" s="64">
        <v>63.2</v>
      </c>
      <c r="E66" s="64">
        <v>8.81</v>
      </c>
      <c r="F66" s="64">
        <v>4.6399999999999997</v>
      </c>
      <c r="G66" s="64">
        <v>53.06</v>
      </c>
      <c r="H66" s="64">
        <v>13.11</v>
      </c>
      <c r="I66" s="210" t="s">
        <v>43</v>
      </c>
      <c r="J66" s="64">
        <v>0.85</v>
      </c>
      <c r="K66" s="64">
        <v>350.88</v>
      </c>
      <c r="L66" s="64">
        <v>29.15</v>
      </c>
      <c r="M66" s="64">
        <v>21.85</v>
      </c>
      <c r="N66" s="64">
        <v>590</v>
      </c>
      <c r="O66" s="64">
        <v>0</v>
      </c>
      <c r="P66" s="64">
        <v>0.5</v>
      </c>
      <c r="Q66" s="64">
        <v>9.58</v>
      </c>
      <c r="R66" s="198"/>
      <c r="S66" s="198"/>
      <c r="T66" s="198"/>
      <c r="U66" s="198"/>
    </row>
    <row r="67" spans="1:21" s="12" customFormat="1" x14ac:dyDescent="0.25">
      <c r="A67" s="213" t="s">
        <v>2606</v>
      </c>
      <c r="B67" s="64">
        <v>4.54</v>
      </c>
      <c r="C67" s="64">
        <v>61.99</v>
      </c>
      <c r="D67" s="64">
        <v>64.430000000000007</v>
      </c>
      <c r="E67" s="64">
        <v>8.3699999999999992</v>
      </c>
      <c r="F67" s="64">
        <v>3.29</v>
      </c>
      <c r="G67" s="64">
        <v>53.06</v>
      </c>
      <c r="H67" s="64">
        <v>13.11</v>
      </c>
      <c r="I67" s="210" t="s">
        <v>43</v>
      </c>
      <c r="J67" s="64">
        <v>1.22</v>
      </c>
      <c r="K67" s="64">
        <v>336.66</v>
      </c>
      <c r="L67" s="64">
        <v>31.32</v>
      </c>
      <c r="M67" s="64">
        <v>19.239999999999998</v>
      </c>
      <c r="N67" s="64">
        <v>596.9</v>
      </c>
      <c r="O67" s="64">
        <v>0</v>
      </c>
      <c r="P67" s="64">
        <v>0.47</v>
      </c>
      <c r="Q67" s="64">
        <v>9.58</v>
      </c>
      <c r="R67" s="198"/>
      <c r="S67" s="198"/>
      <c r="T67" s="198"/>
      <c r="U67" s="198"/>
    </row>
    <row r="68" spans="1:21" s="12" customFormat="1" x14ac:dyDescent="0.25">
      <c r="A68" s="213" t="s">
        <v>2607</v>
      </c>
      <c r="B68" s="64">
        <v>4.8</v>
      </c>
      <c r="C68" s="64">
        <v>62.88</v>
      </c>
      <c r="D68" s="64">
        <v>65.58</v>
      </c>
      <c r="E68" s="64">
        <v>8.07</v>
      </c>
      <c r="F68" s="64">
        <v>3.14</v>
      </c>
      <c r="G68" s="64">
        <v>53.06</v>
      </c>
      <c r="H68" s="64">
        <v>13.11</v>
      </c>
      <c r="I68" s="210" t="s">
        <v>43</v>
      </c>
      <c r="J68" s="64">
        <v>1.51</v>
      </c>
      <c r="K68" s="64">
        <v>343.39</v>
      </c>
      <c r="L68" s="64">
        <v>31.43</v>
      </c>
      <c r="M68" s="64">
        <v>19.47</v>
      </c>
      <c r="N68" s="64">
        <v>346.1</v>
      </c>
      <c r="O68" s="64">
        <v>0</v>
      </c>
      <c r="P68" s="64">
        <v>0.48</v>
      </c>
      <c r="Q68" s="64">
        <v>9.58</v>
      </c>
      <c r="R68" s="198"/>
      <c r="S68" s="198"/>
      <c r="T68" s="198"/>
      <c r="U68" s="198"/>
    </row>
    <row r="69" spans="1:21" s="12" customFormat="1" x14ac:dyDescent="0.25">
      <c r="A69" s="213" t="s">
        <v>2608</v>
      </c>
      <c r="B69" s="64">
        <v>4.8</v>
      </c>
      <c r="C69" s="64">
        <v>62.6</v>
      </c>
      <c r="D69" s="64">
        <v>65.3</v>
      </c>
      <c r="E69" s="64">
        <v>7.87</v>
      </c>
      <c r="F69" s="64">
        <v>2.4900000000000002</v>
      </c>
      <c r="G69" s="64">
        <v>61.71</v>
      </c>
      <c r="H69" s="64">
        <v>23.72</v>
      </c>
      <c r="I69" s="210" t="s">
        <v>43</v>
      </c>
      <c r="J69" s="64">
        <v>0.81</v>
      </c>
      <c r="K69" s="64">
        <v>288.63</v>
      </c>
      <c r="L69" s="64">
        <v>30.74</v>
      </c>
      <c r="M69" s="64">
        <v>20.170000000000002</v>
      </c>
      <c r="N69" s="64">
        <v>370.6</v>
      </c>
      <c r="O69" s="64">
        <v>0</v>
      </c>
      <c r="P69" s="64">
        <v>0.48</v>
      </c>
      <c r="Q69" s="64">
        <v>9.59</v>
      </c>
      <c r="R69" s="198"/>
      <c r="S69" s="198"/>
      <c r="T69" s="198"/>
      <c r="U69" s="198"/>
    </row>
    <row r="70" spans="1:21" s="12" customFormat="1" x14ac:dyDescent="0.25">
      <c r="A70" s="213" t="s">
        <v>2609</v>
      </c>
      <c r="B70" s="64">
        <v>4.5</v>
      </c>
      <c r="C70" s="64">
        <v>62.36</v>
      </c>
      <c r="D70" s="64">
        <v>64.75</v>
      </c>
      <c r="E70" s="64">
        <v>8.33</v>
      </c>
      <c r="F70" s="64">
        <v>3.25</v>
      </c>
      <c r="G70" s="64">
        <v>61.81</v>
      </c>
      <c r="H70" s="64">
        <v>23.84</v>
      </c>
      <c r="I70" s="210" t="s">
        <v>43</v>
      </c>
      <c r="J70" s="64">
        <v>0.9</v>
      </c>
      <c r="K70" s="64">
        <v>312.14</v>
      </c>
      <c r="L70" s="64">
        <v>30.01</v>
      </c>
      <c r="M70" s="64">
        <v>20.72</v>
      </c>
      <c r="N70" s="64">
        <v>337.4</v>
      </c>
      <c r="O70" s="64">
        <v>0</v>
      </c>
      <c r="P70" s="64">
        <v>0.49</v>
      </c>
      <c r="Q70" s="64">
        <v>9.58</v>
      </c>
      <c r="R70" s="198"/>
      <c r="S70" s="198"/>
      <c r="T70" s="198"/>
      <c r="U70" s="198"/>
    </row>
    <row r="71" spans="1:21" s="12" customFormat="1" x14ac:dyDescent="0.25">
      <c r="A71" s="213" t="s">
        <v>2610</v>
      </c>
      <c r="B71" s="64">
        <v>4.32</v>
      </c>
      <c r="C71" s="64">
        <v>62.88</v>
      </c>
      <c r="D71" s="64">
        <v>65.099999999999994</v>
      </c>
      <c r="E71" s="64">
        <v>8</v>
      </c>
      <c r="F71" s="64">
        <v>3.76</v>
      </c>
      <c r="G71" s="64">
        <v>61.81</v>
      </c>
      <c r="H71" s="64">
        <v>23.84</v>
      </c>
      <c r="I71" s="210" t="s">
        <v>43</v>
      </c>
      <c r="J71" s="64">
        <v>0.2</v>
      </c>
      <c r="K71" s="64">
        <v>200.29</v>
      </c>
      <c r="L71" s="64">
        <v>29.27</v>
      </c>
      <c r="M71" s="64">
        <v>20.62</v>
      </c>
      <c r="N71" s="64">
        <v>259</v>
      </c>
      <c r="O71" s="64">
        <v>0</v>
      </c>
      <c r="P71" s="64">
        <v>0.46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3" t="s">
        <v>2611</v>
      </c>
      <c r="B72" s="64">
        <v>4.08</v>
      </c>
      <c r="C72" s="64">
        <v>62.34</v>
      </c>
      <c r="D72" s="64">
        <v>64.31</v>
      </c>
      <c r="E72" s="64">
        <v>7.22</v>
      </c>
      <c r="F72" s="64">
        <v>3.99</v>
      </c>
      <c r="G72" s="64">
        <v>61.81</v>
      </c>
      <c r="H72" s="64">
        <v>23.84</v>
      </c>
      <c r="I72" s="210" t="s">
        <v>43</v>
      </c>
      <c r="J72" s="64">
        <v>0.43</v>
      </c>
      <c r="K72" s="64">
        <v>103.07</v>
      </c>
      <c r="L72" s="64">
        <v>27.52</v>
      </c>
      <c r="M72" s="64">
        <v>22.37</v>
      </c>
      <c r="N72" s="64">
        <v>234.5</v>
      </c>
      <c r="O72" s="64">
        <v>0</v>
      </c>
      <c r="P72" s="64">
        <v>0.43</v>
      </c>
      <c r="Q72" s="64">
        <v>9.51</v>
      </c>
      <c r="R72" s="198"/>
      <c r="S72" s="198"/>
      <c r="T72" s="198"/>
      <c r="U72" s="198"/>
    </row>
    <row r="73" spans="1:21" s="12" customFormat="1" x14ac:dyDescent="0.25">
      <c r="A73" s="213" t="s">
        <v>2612</v>
      </c>
      <c r="B73" s="64">
        <v>4</v>
      </c>
      <c r="C73" s="64">
        <v>61.44</v>
      </c>
      <c r="D73" s="64">
        <v>63.34</v>
      </c>
      <c r="E73" s="64">
        <v>7.61</v>
      </c>
      <c r="F73" s="64">
        <v>3.87</v>
      </c>
      <c r="G73" s="64">
        <v>59.79</v>
      </c>
      <c r="H73" s="64">
        <v>8.7899999999999991</v>
      </c>
      <c r="I73" s="210" t="s">
        <v>43</v>
      </c>
      <c r="J73" s="64">
        <v>1.01</v>
      </c>
      <c r="K73" s="64">
        <v>329.49</v>
      </c>
      <c r="L73" s="64">
        <v>27.64</v>
      </c>
      <c r="M73" s="64">
        <v>23.58</v>
      </c>
      <c r="N73" s="64">
        <v>162.30000000000001</v>
      </c>
      <c r="O73" s="64">
        <v>0</v>
      </c>
      <c r="P73" s="64">
        <v>0.52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13" t="s">
        <v>2613</v>
      </c>
      <c r="B74" s="64">
        <v>4.18</v>
      </c>
      <c r="C74" s="64">
        <v>62.3</v>
      </c>
      <c r="D74" s="64">
        <v>64.37</v>
      </c>
      <c r="E74" s="64">
        <v>7.94</v>
      </c>
      <c r="F74" s="64">
        <v>3.46</v>
      </c>
      <c r="G74" s="64">
        <v>59.77</v>
      </c>
      <c r="H74" s="64">
        <v>8.6199999999999992</v>
      </c>
      <c r="I74" s="210" t="s">
        <v>43</v>
      </c>
      <c r="J74" s="64">
        <v>1.49</v>
      </c>
      <c r="K74" s="64">
        <v>324.76</v>
      </c>
      <c r="L74" s="64">
        <v>27.65</v>
      </c>
      <c r="M74" s="64">
        <v>23.03</v>
      </c>
      <c r="N74" s="64">
        <v>152.5</v>
      </c>
      <c r="O74" s="64">
        <v>0</v>
      </c>
      <c r="P74" s="64">
        <v>0.54</v>
      </c>
      <c r="Q74" s="64">
        <v>9.48</v>
      </c>
      <c r="R74" s="198"/>
      <c r="S74" s="198"/>
      <c r="T74" s="198"/>
      <c r="U74" s="198"/>
    </row>
    <row r="75" spans="1:21" s="12" customFormat="1" x14ac:dyDescent="0.25">
      <c r="A75" s="213" t="s">
        <v>2614</v>
      </c>
      <c r="B75" s="64">
        <v>4.26</v>
      </c>
      <c r="C75" s="64">
        <v>63.17</v>
      </c>
      <c r="D75" s="64">
        <v>65.33</v>
      </c>
      <c r="E75" s="64">
        <v>7.48</v>
      </c>
      <c r="F75" s="64">
        <v>3.34</v>
      </c>
      <c r="G75" s="64">
        <v>59.77</v>
      </c>
      <c r="H75" s="64">
        <v>8.6199999999999992</v>
      </c>
      <c r="I75" s="210" t="s">
        <v>43</v>
      </c>
      <c r="J75" s="64">
        <v>1.75</v>
      </c>
      <c r="K75" s="64">
        <v>318.73</v>
      </c>
      <c r="L75" s="64">
        <v>27.36</v>
      </c>
      <c r="M75" s="64">
        <v>23.65</v>
      </c>
      <c r="N75" s="64">
        <v>141</v>
      </c>
      <c r="O75" s="64">
        <v>0</v>
      </c>
      <c r="P75" s="64">
        <v>0.5</v>
      </c>
      <c r="Q75" s="64">
        <v>9.4499999999999993</v>
      </c>
      <c r="R75" s="198"/>
      <c r="S75" s="198"/>
      <c r="T75" s="198"/>
      <c r="U75" s="198"/>
    </row>
    <row r="76" spans="1:21" s="12" customFormat="1" x14ac:dyDescent="0.25">
      <c r="A76" s="213" t="s">
        <v>2615</v>
      </c>
      <c r="B76" s="64">
        <v>4.2300000000000004</v>
      </c>
      <c r="C76" s="64">
        <v>63.37</v>
      </c>
      <c r="D76" s="64">
        <v>65.5</v>
      </c>
      <c r="E76" s="64">
        <v>7.59</v>
      </c>
      <c r="F76" s="64">
        <v>3.35</v>
      </c>
      <c r="G76" s="64">
        <v>59.77</v>
      </c>
      <c r="H76" s="64">
        <v>8.6199999999999992</v>
      </c>
      <c r="I76" s="210" t="s">
        <v>43</v>
      </c>
      <c r="J76" s="64">
        <v>1.1200000000000001</v>
      </c>
      <c r="K76" s="64">
        <v>318.14999999999998</v>
      </c>
      <c r="L76" s="64">
        <v>26.9</v>
      </c>
      <c r="M76" s="64">
        <v>24.42</v>
      </c>
      <c r="N76" s="64">
        <v>124.1</v>
      </c>
      <c r="O76" s="64">
        <v>0</v>
      </c>
      <c r="P76" s="64">
        <v>0.51</v>
      </c>
      <c r="Q76" s="64">
        <v>9.4499999999999993</v>
      </c>
      <c r="R76" s="198"/>
      <c r="S76" s="198"/>
      <c r="T76" s="198"/>
      <c r="U76" s="198"/>
    </row>
    <row r="77" spans="1:21" s="12" customFormat="1" x14ac:dyDescent="0.25">
      <c r="A77" s="213" t="s">
        <v>2616</v>
      </c>
      <c r="B77" s="64">
        <v>4.4400000000000004</v>
      </c>
      <c r="C77" s="64">
        <v>64.09</v>
      </c>
      <c r="D77" s="64">
        <v>66.44</v>
      </c>
      <c r="E77" s="64">
        <v>7.81</v>
      </c>
      <c r="F77" s="64">
        <v>2.64</v>
      </c>
      <c r="G77" s="64">
        <v>61.11</v>
      </c>
      <c r="H77" s="64">
        <v>16.61</v>
      </c>
      <c r="I77" s="210" t="s">
        <v>43</v>
      </c>
      <c r="J77" s="64">
        <v>1.8</v>
      </c>
      <c r="K77" s="64">
        <v>352.17</v>
      </c>
      <c r="L77" s="64">
        <v>26.34</v>
      </c>
      <c r="M77" s="64">
        <v>26.42</v>
      </c>
      <c r="N77" s="64">
        <v>107.9</v>
      </c>
      <c r="O77" s="64">
        <v>0</v>
      </c>
      <c r="P77" s="64">
        <v>0.53</v>
      </c>
      <c r="Q77" s="64">
        <v>9.4499999999999993</v>
      </c>
      <c r="R77" s="198"/>
      <c r="S77" s="198"/>
      <c r="T77" s="198"/>
      <c r="U77" s="198"/>
    </row>
    <row r="78" spans="1:21" s="12" customFormat="1" x14ac:dyDescent="0.25">
      <c r="A78" s="213" t="s">
        <v>2617</v>
      </c>
      <c r="B78" s="64">
        <v>5.0199999999999996</v>
      </c>
      <c r="C78" s="64">
        <v>66.36</v>
      </c>
      <c r="D78" s="64">
        <v>69.28</v>
      </c>
      <c r="E78" s="64">
        <v>8.0399999999999991</v>
      </c>
      <c r="F78" s="64">
        <v>2.13</v>
      </c>
      <c r="G78" s="64">
        <v>61.12</v>
      </c>
      <c r="H78" s="64">
        <v>16.7</v>
      </c>
      <c r="I78" s="210" t="s">
        <v>43</v>
      </c>
      <c r="J78" s="64">
        <v>1.59</v>
      </c>
      <c r="K78" s="64">
        <v>351.47</v>
      </c>
      <c r="L78" s="64">
        <v>25.85</v>
      </c>
      <c r="M78" s="64">
        <v>27.49</v>
      </c>
      <c r="N78" s="64">
        <v>97.7</v>
      </c>
      <c r="O78" s="64">
        <v>0</v>
      </c>
      <c r="P78" s="64">
        <v>0.6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13" t="s">
        <v>2618</v>
      </c>
      <c r="B79" s="64">
        <v>5.69</v>
      </c>
      <c r="C79" s="64">
        <v>68.41</v>
      </c>
      <c r="D79" s="64">
        <v>72.010000000000005</v>
      </c>
      <c r="E79" s="64">
        <v>7.64</v>
      </c>
      <c r="F79" s="64">
        <v>2.13</v>
      </c>
      <c r="G79" s="64">
        <v>61.12</v>
      </c>
      <c r="H79" s="64">
        <v>16.7</v>
      </c>
      <c r="I79" s="210" t="s">
        <v>43</v>
      </c>
      <c r="J79" s="64">
        <v>1.41</v>
      </c>
      <c r="K79" s="64">
        <v>358.67</v>
      </c>
      <c r="L79" s="64">
        <v>25.29</v>
      </c>
      <c r="M79" s="64">
        <v>28.03</v>
      </c>
      <c r="N79" s="64">
        <v>84</v>
      </c>
      <c r="O79" s="64">
        <v>0</v>
      </c>
      <c r="P79" s="64">
        <v>0.69</v>
      </c>
      <c r="Q79" s="64">
        <v>9.5</v>
      </c>
      <c r="R79" s="198"/>
      <c r="S79" s="198"/>
      <c r="T79" s="198"/>
      <c r="U79" s="198"/>
    </row>
    <row r="80" spans="1:21" s="12" customFormat="1" x14ac:dyDescent="0.25">
      <c r="A80" s="213" t="s">
        <v>2619</v>
      </c>
      <c r="B80" s="64">
        <v>6.33</v>
      </c>
      <c r="C80" s="64">
        <v>69.98</v>
      </c>
      <c r="D80" s="64">
        <v>74.209999999999994</v>
      </c>
      <c r="E80" s="64">
        <v>7.25</v>
      </c>
      <c r="F80" s="64">
        <v>2.13</v>
      </c>
      <c r="G80" s="64">
        <v>61.12</v>
      </c>
      <c r="H80" s="64">
        <v>16.7</v>
      </c>
      <c r="I80" s="210" t="s">
        <v>43</v>
      </c>
      <c r="J80" s="64">
        <v>1.2</v>
      </c>
      <c r="K80" s="64">
        <v>359.39</v>
      </c>
      <c r="L80" s="64">
        <v>24.52</v>
      </c>
      <c r="M80" s="64">
        <v>30.5</v>
      </c>
      <c r="N80" s="64">
        <v>73.3</v>
      </c>
      <c r="O80" s="64">
        <v>0</v>
      </c>
      <c r="P80" s="64">
        <v>0.78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3" t="s">
        <v>2620</v>
      </c>
      <c r="B81" s="64">
        <v>7.62</v>
      </c>
      <c r="C81" s="64">
        <v>71.64</v>
      </c>
      <c r="D81" s="64">
        <v>77.16</v>
      </c>
      <c r="E81" s="64">
        <v>7.32</v>
      </c>
      <c r="F81" s="64">
        <v>2.13</v>
      </c>
      <c r="G81" s="64">
        <v>70.27</v>
      </c>
      <c r="H81" s="64">
        <v>27.59</v>
      </c>
      <c r="I81" s="210" t="s">
        <v>43</v>
      </c>
      <c r="J81" s="64">
        <v>1.18</v>
      </c>
      <c r="K81" s="64">
        <v>358.15</v>
      </c>
      <c r="L81" s="64">
        <v>23.79</v>
      </c>
      <c r="M81" s="64">
        <v>32.86</v>
      </c>
      <c r="N81" s="64">
        <v>68</v>
      </c>
      <c r="O81" s="64">
        <v>0</v>
      </c>
      <c r="P81" s="64">
        <v>0.89</v>
      </c>
      <c r="Q81" s="64">
        <v>9.59</v>
      </c>
      <c r="R81" s="198"/>
      <c r="S81" s="198"/>
      <c r="T81" s="198"/>
      <c r="U81" s="198"/>
    </row>
    <row r="82" spans="1:26" s="12" customFormat="1" x14ac:dyDescent="0.25">
      <c r="A82" s="213" t="s">
        <v>2621</v>
      </c>
      <c r="B82" s="64">
        <v>9.73</v>
      </c>
      <c r="C82" s="64">
        <v>73.290000000000006</v>
      </c>
      <c r="D82" s="64">
        <v>80.91</v>
      </c>
      <c r="E82" s="64">
        <v>7.26</v>
      </c>
      <c r="F82" s="64">
        <v>2.13</v>
      </c>
      <c r="G82" s="64">
        <v>70.37</v>
      </c>
      <c r="H82" s="64">
        <v>27.71</v>
      </c>
      <c r="I82" s="210" t="s">
        <v>43</v>
      </c>
      <c r="J82" s="64">
        <v>0.52</v>
      </c>
      <c r="K82" s="64">
        <v>331.45</v>
      </c>
      <c r="L82" s="64">
        <v>23.06</v>
      </c>
      <c r="M82" s="64">
        <v>34.979999999999997</v>
      </c>
      <c r="N82" s="64">
        <v>67.3</v>
      </c>
      <c r="O82" s="64">
        <v>0</v>
      </c>
      <c r="P82" s="64">
        <v>1.1000000000000001</v>
      </c>
      <c r="Q82" s="64">
        <v>9.59</v>
      </c>
      <c r="R82" s="198"/>
      <c r="S82" s="198"/>
      <c r="T82" s="198"/>
      <c r="U82" s="198"/>
    </row>
    <row r="83" spans="1:26" s="12" customFormat="1" x14ac:dyDescent="0.25">
      <c r="A83" s="213" t="s">
        <v>2622</v>
      </c>
      <c r="B83" s="64">
        <v>12.23</v>
      </c>
      <c r="C83" s="64">
        <v>75.36</v>
      </c>
      <c r="D83" s="64">
        <v>85.5</v>
      </c>
      <c r="E83" s="64">
        <v>7.6</v>
      </c>
      <c r="F83" s="64">
        <v>2.13</v>
      </c>
      <c r="G83" s="64">
        <v>70.37</v>
      </c>
      <c r="H83" s="64">
        <v>27.71</v>
      </c>
      <c r="I83" s="210" t="s">
        <v>43</v>
      </c>
      <c r="J83" s="64">
        <v>0.6</v>
      </c>
      <c r="K83" s="64">
        <v>335.3</v>
      </c>
      <c r="L83" s="64">
        <v>22.35</v>
      </c>
      <c r="M83" s="64">
        <v>37.869999999999997</v>
      </c>
      <c r="N83" s="64">
        <v>67.3</v>
      </c>
      <c r="O83" s="64">
        <v>0</v>
      </c>
      <c r="P83" s="64">
        <v>1.31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3" t="s">
        <v>2623</v>
      </c>
      <c r="B84" s="64">
        <v>15.13</v>
      </c>
      <c r="C84" s="64">
        <v>76.989999999999995</v>
      </c>
      <c r="D84" s="64">
        <v>90.02</v>
      </c>
      <c r="E84" s="64">
        <v>7.91</v>
      </c>
      <c r="F84" s="64">
        <v>2.13</v>
      </c>
      <c r="G84" s="64">
        <v>70.37</v>
      </c>
      <c r="H84" s="64">
        <v>27.71</v>
      </c>
      <c r="I84" s="210" t="s">
        <v>43</v>
      </c>
      <c r="J84" s="64">
        <v>0.25</v>
      </c>
      <c r="K84" s="64">
        <v>301.08</v>
      </c>
      <c r="L84" s="64">
        <v>21.86</v>
      </c>
      <c r="M84" s="64">
        <v>40.25</v>
      </c>
      <c r="N84" s="64">
        <v>67</v>
      </c>
      <c r="O84" s="64">
        <v>0</v>
      </c>
      <c r="P84" s="64">
        <v>1.35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3" t="s">
        <v>2624</v>
      </c>
      <c r="B85" s="64">
        <v>17.739999999999998</v>
      </c>
      <c r="C85" s="64">
        <v>78.14</v>
      </c>
      <c r="D85" s="64">
        <v>93.78</v>
      </c>
      <c r="E85" s="64">
        <v>7.91</v>
      </c>
      <c r="F85" s="64">
        <v>2.13</v>
      </c>
      <c r="G85" s="64">
        <v>92.35</v>
      </c>
      <c r="H85" s="64">
        <v>34.31</v>
      </c>
      <c r="I85" s="210" t="s">
        <v>43</v>
      </c>
      <c r="J85" s="64">
        <v>0.09</v>
      </c>
      <c r="K85" s="64">
        <v>326.11</v>
      </c>
      <c r="L85" s="64">
        <v>21.54</v>
      </c>
      <c r="M85" s="64">
        <v>42.53</v>
      </c>
      <c r="N85" s="64">
        <v>66.900000000000006</v>
      </c>
      <c r="O85" s="64">
        <v>0</v>
      </c>
      <c r="P85" s="64">
        <v>1.62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3" t="s">
        <v>2625</v>
      </c>
      <c r="B86" s="64">
        <v>22.69</v>
      </c>
      <c r="C86" s="64">
        <v>78.5</v>
      </c>
      <c r="D86" s="64">
        <v>99.09</v>
      </c>
      <c r="E86" s="64">
        <v>7.97</v>
      </c>
      <c r="F86" s="64">
        <v>2.13</v>
      </c>
      <c r="G86" s="64">
        <v>92.35</v>
      </c>
      <c r="H86" s="64">
        <v>34.39</v>
      </c>
      <c r="I86" s="210" t="s">
        <v>43</v>
      </c>
      <c r="J86" s="64">
        <v>0.17</v>
      </c>
      <c r="K86" s="64">
        <v>40.78</v>
      </c>
      <c r="L86" s="64">
        <v>21.03</v>
      </c>
      <c r="M86" s="64">
        <v>45.07</v>
      </c>
      <c r="N86" s="64">
        <v>66.8</v>
      </c>
      <c r="O86" s="64">
        <v>0</v>
      </c>
      <c r="P86" s="64">
        <v>1.52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3" t="s">
        <v>2626</v>
      </c>
      <c r="B87" s="64">
        <v>31.81</v>
      </c>
      <c r="C87" s="64">
        <v>78.959999999999994</v>
      </c>
      <c r="D87" s="64">
        <v>108.67</v>
      </c>
      <c r="E87" s="64">
        <v>9.19</v>
      </c>
      <c r="F87" s="64">
        <v>2.13</v>
      </c>
      <c r="G87" s="64">
        <v>92.35</v>
      </c>
      <c r="H87" s="64">
        <v>34.39</v>
      </c>
      <c r="I87" s="210" t="s">
        <v>43</v>
      </c>
      <c r="J87" s="64">
        <v>0.34</v>
      </c>
      <c r="K87" s="64">
        <v>355.92</v>
      </c>
      <c r="L87" s="64">
        <v>20.61</v>
      </c>
      <c r="M87" s="64">
        <v>47.47</v>
      </c>
      <c r="N87" s="64">
        <v>67.099999999999994</v>
      </c>
      <c r="O87" s="64">
        <v>0</v>
      </c>
      <c r="P87" s="64">
        <v>0.99</v>
      </c>
      <c r="Q87" s="64">
        <v>9.52</v>
      </c>
      <c r="R87" s="198"/>
      <c r="S87" s="198"/>
      <c r="T87" s="198"/>
      <c r="U87" s="198"/>
    </row>
    <row r="88" spans="1:26" s="12" customFormat="1" x14ac:dyDescent="0.25">
      <c r="A88" s="213" t="s">
        <v>2627</v>
      </c>
      <c r="B88" s="64">
        <v>46.47</v>
      </c>
      <c r="C88" s="64">
        <v>82.53</v>
      </c>
      <c r="D88" s="64">
        <v>126.9</v>
      </c>
      <c r="E88" s="64">
        <v>9.59</v>
      </c>
      <c r="F88" s="64">
        <v>2.13</v>
      </c>
      <c r="G88" s="64">
        <v>92.35</v>
      </c>
      <c r="H88" s="64">
        <v>34.39</v>
      </c>
      <c r="I88" s="210" t="s">
        <v>43</v>
      </c>
      <c r="J88" s="64">
        <v>0.37</v>
      </c>
      <c r="K88" s="64">
        <v>299.58</v>
      </c>
      <c r="L88" s="64">
        <v>20.29</v>
      </c>
      <c r="M88" s="64">
        <v>50.25</v>
      </c>
      <c r="N88" s="64">
        <v>66.900000000000006</v>
      </c>
      <c r="O88" s="64">
        <v>0</v>
      </c>
      <c r="P88" s="64">
        <v>1.82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3" t="s">
        <v>2628</v>
      </c>
      <c r="B89" s="64">
        <v>59.37</v>
      </c>
      <c r="C89" s="64">
        <v>85.11</v>
      </c>
      <c r="D89" s="64">
        <v>142.38</v>
      </c>
      <c r="E89" s="64">
        <v>9.75</v>
      </c>
      <c r="F89" s="64">
        <v>2.13</v>
      </c>
      <c r="G89" s="64">
        <v>257.54000000000002</v>
      </c>
      <c r="H89" s="64">
        <v>46.33</v>
      </c>
      <c r="I89" s="210" t="s">
        <v>43</v>
      </c>
      <c r="J89" s="64">
        <v>0.54</v>
      </c>
      <c r="K89" s="64">
        <v>259.47000000000003</v>
      </c>
      <c r="L89" s="64">
        <v>20.079999999999998</v>
      </c>
      <c r="M89" s="64">
        <v>50.43</v>
      </c>
      <c r="N89" s="64">
        <v>66.900000000000006</v>
      </c>
      <c r="O89" s="64">
        <v>0</v>
      </c>
      <c r="P89" s="64">
        <v>1.55</v>
      </c>
      <c r="Q89" s="64">
        <v>9.58</v>
      </c>
      <c r="R89" s="198"/>
      <c r="S89" s="198"/>
      <c r="T89" s="198"/>
      <c r="U89" s="198"/>
    </row>
    <row r="90" spans="1:26" s="12" customFormat="1" x14ac:dyDescent="0.25">
      <c r="A90" s="213" t="s">
        <v>2629</v>
      </c>
      <c r="B90" s="64">
        <v>67.92</v>
      </c>
      <c r="C90" s="64">
        <v>86.87</v>
      </c>
      <c r="D90" s="64">
        <v>152.69</v>
      </c>
      <c r="E90" s="64">
        <v>9.66</v>
      </c>
      <c r="F90" s="64">
        <v>2.13</v>
      </c>
      <c r="G90" s="64">
        <v>259.39999999999998</v>
      </c>
      <c r="H90" s="64">
        <v>46.47</v>
      </c>
      <c r="I90" s="210" t="s">
        <v>43</v>
      </c>
      <c r="J90" s="64">
        <v>0.27</v>
      </c>
      <c r="K90" s="64">
        <v>4.8099999999999996</v>
      </c>
      <c r="L90" s="64">
        <v>19.89</v>
      </c>
      <c r="M90" s="64">
        <v>53.22</v>
      </c>
      <c r="N90" s="64">
        <v>66.7</v>
      </c>
      <c r="O90" s="64">
        <v>0</v>
      </c>
      <c r="P90" s="64">
        <v>2.0499999999999998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3" t="s">
        <v>2630</v>
      </c>
      <c r="B91" s="64">
        <v>73.7</v>
      </c>
      <c r="C91" s="64">
        <v>87.5</v>
      </c>
      <c r="D91" s="64">
        <v>159.11000000000001</v>
      </c>
      <c r="E91" s="64">
        <v>10.41</v>
      </c>
      <c r="F91" s="64">
        <v>2.13</v>
      </c>
      <c r="G91" s="64">
        <v>259.39999999999998</v>
      </c>
      <c r="H91" s="64">
        <v>46.47</v>
      </c>
      <c r="I91" s="210" t="s">
        <v>43</v>
      </c>
      <c r="J91" s="64">
        <v>0.16</v>
      </c>
      <c r="K91" s="64">
        <v>55.12</v>
      </c>
      <c r="L91" s="64">
        <v>19.760000000000002</v>
      </c>
      <c r="M91" s="64">
        <v>55.55</v>
      </c>
      <c r="N91" s="64">
        <v>66.8</v>
      </c>
      <c r="O91" s="64">
        <v>0</v>
      </c>
      <c r="P91" s="64">
        <v>2.04</v>
      </c>
      <c r="Q91" s="64">
        <v>9.7100000000000009</v>
      </c>
      <c r="R91" s="198"/>
      <c r="S91" s="198"/>
      <c r="T91" s="198"/>
      <c r="U91" s="198"/>
    </row>
    <row r="92" spans="1:26" s="12" customFormat="1" x14ac:dyDescent="0.25">
      <c r="A92" s="213" t="s">
        <v>2631</v>
      </c>
      <c r="B92" s="64">
        <v>79.989999999999995</v>
      </c>
      <c r="C92" s="64">
        <v>88.44</v>
      </c>
      <c r="D92" s="64">
        <v>166.33</v>
      </c>
      <c r="E92" s="64">
        <v>10.28</v>
      </c>
      <c r="F92" s="64">
        <v>2.13</v>
      </c>
      <c r="G92" s="64">
        <v>259.39999999999998</v>
      </c>
      <c r="H92" s="64">
        <v>46.47</v>
      </c>
      <c r="I92" s="210" t="s">
        <v>43</v>
      </c>
      <c r="J92" s="64">
        <v>0.45</v>
      </c>
      <c r="K92" s="64">
        <v>0.64</v>
      </c>
      <c r="L92" s="64">
        <v>19.61</v>
      </c>
      <c r="M92" s="64">
        <v>52.48</v>
      </c>
      <c r="N92" s="64">
        <v>66.8</v>
      </c>
      <c r="O92" s="64">
        <v>0</v>
      </c>
      <c r="P92" s="64">
        <v>1.95</v>
      </c>
      <c r="Q92" s="64">
        <v>9.74</v>
      </c>
      <c r="R92" s="198"/>
      <c r="S92" s="198"/>
      <c r="T92" s="198"/>
      <c r="U92" s="198"/>
    </row>
    <row r="93" spans="1:26" s="12" customFormat="1" x14ac:dyDescent="0.25">
      <c r="A93" s="213" t="s">
        <v>2632</v>
      </c>
      <c r="B93" s="64">
        <v>90.11</v>
      </c>
      <c r="C93" s="64">
        <v>89.88</v>
      </c>
      <c r="D93" s="64">
        <v>177.89</v>
      </c>
      <c r="E93" s="64">
        <v>10.48</v>
      </c>
      <c r="F93" s="64">
        <v>2.13</v>
      </c>
      <c r="G93" s="64">
        <v>182.76</v>
      </c>
      <c r="H93" s="64">
        <v>48.42</v>
      </c>
      <c r="I93" s="210" t="s">
        <v>43</v>
      </c>
      <c r="J93" s="64">
        <v>0.65</v>
      </c>
      <c r="K93" s="64">
        <v>20.57</v>
      </c>
      <c r="L93" s="64">
        <v>19.41</v>
      </c>
      <c r="M93" s="64">
        <v>55.52</v>
      </c>
      <c r="N93" s="64">
        <v>66.900000000000006</v>
      </c>
      <c r="O93" s="64">
        <v>0</v>
      </c>
      <c r="P93" s="64">
        <v>2.12</v>
      </c>
      <c r="Q93" s="64">
        <v>9.74</v>
      </c>
      <c r="R93" s="198"/>
      <c r="S93" s="198"/>
      <c r="T93" s="198"/>
      <c r="U93" s="198"/>
    </row>
    <row r="94" spans="1:26" s="12" customFormat="1" x14ac:dyDescent="0.25">
      <c r="A94" s="213" t="s">
        <v>2633</v>
      </c>
      <c r="B94" s="64">
        <v>99.84</v>
      </c>
      <c r="C94" s="64">
        <v>91.1</v>
      </c>
      <c r="D94" s="64">
        <v>188.84</v>
      </c>
      <c r="E94" s="64">
        <v>11.01</v>
      </c>
      <c r="F94" s="64">
        <v>2.13</v>
      </c>
      <c r="G94" s="64">
        <v>181.9</v>
      </c>
      <c r="H94" s="64">
        <v>48.44</v>
      </c>
      <c r="I94" s="210" t="s">
        <v>43</v>
      </c>
      <c r="J94" s="64">
        <v>0.77</v>
      </c>
      <c r="K94" s="64">
        <v>356.14</v>
      </c>
      <c r="L94" s="64">
        <v>19.16</v>
      </c>
      <c r="M94" s="64">
        <v>58.52</v>
      </c>
      <c r="N94" s="64">
        <v>66.8</v>
      </c>
      <c r="O94" s="64">
        <v>0</v>
      </c>
      <c r="P94" s="64">
        <v>2.46</v>
      </c>
      <c r="Q94" s="64">
        <v>9.76</v>
      </c>
      <c r="R94" s="198"/>
      <c r="S94" s="198"/>
      <c r="T94" s="198"/>
      <c r="U94" s="198"/>
    </row>
    <row r="95" spans="1:26" s="12" customFormat="1" x14ac:dyDescent="0.25">
      <c r="A95" s="213" t="s">
        <v>2634</v>
      </c>
      <c r="B95" s="64">
        <v>107.22</v>
      </c>
      <c r="C95" s="64">
        <v>92.28</v>
      </c>
      <c r="D95" s="64">
        <v>197.4</v>
      </c>
      <c r="E95" s="64">
        <v>11.13</v>
      </c>
      <c r="F95" s="64">
        <v>2.13</v>
      </c>
      <c r="G95" s="64">
        <v>181.9</v>
      </c>
      <c r="H95" s="64">
        <v>48.44</v>
      </c>
      <c r="I95" s="210" t="s">
        <v>43</v>
      </c>
      <c r="J95" s="64">
        <v>0.63</v>
      </c>
      <c r="K95" s="64">
        <v>266.45</v>
      </c>
      <c r="L95" s="64">
        <v>19.09</v>
      </c>
      <c r="M95" s="64">
        <v>56.61</v>
      </c>
      <c r="N95" s="64">
        <v>66.8</v>
      </c>
      <c r="O95" s="64">
        <v>0</v>
      </c>
      <c r="P95" s="64">
        <v>2.23</v>
      </c>
      <c r="Q95" s="64">
        <v>9.83</v>
      </c>
      <c r="R95" s="198"/>
      <c r="S95" s="198"/>
      <c r="T95" s="198"/>
      <c r="U95" s="198"/>
    </row>
    <row r="96" spans="1:26" s="12" customFormat="1" x14ac:dyDescent="0.25">
      <c r="A96" s="213" t="s">
        <v>2635</v>
      </c>
      <c r="B96" s="64">
        <v>113.2</v>
      </c>
      <c r="C96" s="64">
        <v>93.24</v>
      </c>
      <c r="D96" s="64">
        <v>204.34</v>
      </c>
      <c r="E96" s="64">
        <v>10.87</v>
      </c>
      <c r="F96" s="64">
        <v>2.13</v>
      </c>
      <c r="G96" s="64">
        <v>181.9</v>
      </c>
      <c r="H96" s="64">
        <v>48.44</v>
      </c>
      <c r="I96" s="210" t="s">
        <v>43</v>
      </c>
      <c r="J96" s="64">
        <v>0.59</v>
      </c>
      <c r="K96" s="64">
        <v>240.92</v>
      </c>
      <c r="L96" s="64">
        <v>19.100000000000001</v>
      </c>
      <c r="M96" s="64">
        <v>53.58</v>
      </c>
      <c r="N96" s="64">
        <v>66.5</v>
      </c>
      <c r="O96" s="64">
        <v>0</v>
      </c>
      <c r="P96" s="64">
        <v>2.42</v>
      </c>
      <c r="Q96" s="64">
        <v>9.8699999999999992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2636</v>
      </c>
      <c r="B97" s="64">
        <v>115.76</v>
      </c>
      <c r="C97" s="64">
        <v>91.66</v>
      </c>
      <c r="D97" s="64">
        <v>205.32</v>
      </c>
      <c r="E97" s="64">
        <v>10.96</v>
      </c>
      <c r="F97" s="64">
        <v>2.13</v>
      </c>
      <c r="G97" s="64">
        <v>180.6</v>
      </c>
      <c r="H97" s="64">
        <v>47.13</v>
      </c>
      <c r="I97" s="210" t="s">
        <v>43</v>
      </c>
      <c r="J97" s="64">
        <v>0.1</v>
      </c>
      <c r="K97" s="64">
        <v>44.38</v>
      </c>
      <c r="L97" s="64">
        <v>18.93</v>
      </c>
      <c r="M97" s="64">
        <v>54.76</v>
      </c>
      <c r="N97" s="64">
        <v>66.900000000000006</v>
      </c>
      <c r="O97" s="64">
        <v>0</v>
      </c>
      <c r="P97" s="64">
        <v>2.5299999999999998</v>
      </c>
      <c r="Q97" s="64">
        <v>9.9499999999999993</v>
      </c>
      <c r="R97" s="198"/>
      <c r="S97" s="198"/>
      <c r="T97" s="198"/>
      <c r="U97" s="198"/>
    </row>
    <row r="98" spans="1:33" s="12" customFormat="1" x14ac:dyDescent="0.25">
      <c r="A98" s="213" t="s">
        <v>2637</v>
      </c>
      <c r="B98" s="64">
        <v>117.55</v>
      </c>
      <c r="C98" s="64">
        <v>92.03</v>
      </c>
      <c r="D98" s="64">
        <v>207.48</v>
      </c>
      <c r="E98" s="64">
        <v>11.01</v>
      </c>
      <c r="F98" s="64">
        <v>2.13</v>
      </c>
      <c r="G98" s="64">
        <v>180.58</v>
      </c>
      <c r="H98" s="64">
        <v>47.13</v>
      </c>
      <c r="I98" s="210" t="s">
        <v>43</v>
      </c>
      <c r="J98" s="64">
        <v>0.42</v>
      </c>
      <c r="K98" s="64">
        <v>280.10000000000002</v>
      </c>
      <c r="L98" s="64">
        <v>18.79</v>
      </c>
      <c r="M98" s="64">
        <v>59.07</v>
      </c>
      <c r="N98" s="64">
        <v>66.8</v>
      </c>
      <c r="O98" s="64">
        <v>0</v>
      </c>
      <c r="P98" s="64">
        <v>2.63</v>
      </c>
      <c r="Q98" s="64">
        <v>9.9600000000000009</v>
      </c>
      <c r="R98" s="198"/>
      <c r="S98" s="198"/>
      <c r="T98" s="198"/>
      <c r="U98" s="198"/>
    </row>
    <row r="99" spans="1:33" s="12" customFormat="1" x14ac:dyDescent="0.25">
      <c r="A99" s="213" t="s">
        <v>2638</v>
      </c>
      <c r="B99" s="64">
        <v>123.29</v>
      </c>
      <c r="C99" s="64">
        <v>92.34</v>
      </c>
      <c r="D99" s="64">
        <v>213.53</v>
      </c>
      <c r="E99" s="64">
        <v>10.65</v>
      </c>
      <c r="F99" s="64">
        <v>2.13</v>
      </c>
      <c r="G99" s="64">
        <v>180.58</v>
      </c>
      <c r="H99" s="64">
        <v>47.13</v>
      </c>
      <c r="I99" s="210" t="s">
        <v>43</v>
      </c>
      <c r="J99" s="64">
        <v>0.68</v>
      </c>
      <c r="K99" s="64">
        <v>351.21</v>
      </c>
      <c r="L99" s="64">
        <v>18.239999999999998</v>
      </c>
      <c r="M99" s="64">
        <v>63.33</v>
      </c>
      <c r="N99" s="64">
        <v>67</v>
      </c>
      <c r="O99" s="64">
        <v>0</v>
      </c>
      <c r="P99" s="64">
        <v>3.04</v>
      </c>
      <c r="Q99" s="64">
        <v>9.92</v>
      </c>
      <c r="R99" s="198"/>
      <c r="S99" s="198"/>
      <c r="T99" s="198"/>
      <c r="U99" s="198"/>
    </row>
    <row r="100" spans="1:33" s="12" customFormat="1" x14ac:dyDescent="0.25">
      <c r="A100" s="213" t="s">
        <v>2639</v>
      </c>
      <c r="B100" s="64">
        <v>138.16999999999999</v>
      </c>
      <c r="C100" s="64">
        <v>92.92</v>
      </c>
      <c r="D100" s="64">
        <v>229</v>
      </c>
      <c r="E100" s="64">
        <v>10.89</v>
      </c>
      <c r="F100" s="64">
        <v>2.13</v>
      </c>
      <c r="G100" s="64">
        <v>180.58</v>
      </c>
      <c r="H100" s="64">
        <v>47.13</v>
      </c>
      <c r="I100" s="210" t="s">
        <v>43</v>
      </c>
      <c r="J100" s="64">
        <v>0.49</v>
      </c>
      <c r="K100" s="64">
        <v>256</v>
      </c>
      <c r="L100" s="64">
        <v>18.13</v>
      </c>
      <c r="M100" s="64">
        <v>65.08</v>
      </c>
      <c r="N100" s="64">
        <v>66.7</v>
      </c>
      <c r="O100" s="64">
        <v>0</v>
      </c>
      <c r="P100" s="64">
        <v>2.83</v>
      </c>
      <c r="Q100" s="64">
        <v>9.84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2640</v>
      </c>
      <c r="B101" s="64">
        <v>146.35</v>
      </c>
      <c r="C101" s="64">
        <v>93.43</v>
      </c>
      <c r="D101" s="64">
        <v>237.68</v>
      </c>
      <c r="E101" s="64">
        <v>11.48</v>
      </c>
      <c r="F101" s="64">
        <v>2.13</v>
      </c>
      <c r="G101" s="64">
        <v>207.57</v>
      </c>
      <c r="H101" s="64">
        <v>56.41</v>
      </c>
      <c r="I101" s="210" t="s">
        <v>43</v>
      </c>
      <c r="J101" s="64">
        <v>0.57999999999999996</v>
      </c>
      <c r="K101" s="64">
        <v>305.2</v>
      </c>
      <c r="L101" s="64">
        <v>17.87</v>
      </c>
      <c r="M101" s="64">
        <v>67.709999999999994</v>
      </c>
      <c r="N101" s="64">
        <v>66.900000000000006</v>
      </c>
      <c r="O101" s="64">
        <v>0</v>
      </c>
      <c r="P101" s="64">
        <v>2.91</v>
      </c>
      <c r="Q101" s="64">
        <v>9.9</v>
      </c>
      <c r="R101" s="198"/>
      <c r="S101" s="198"/>
      <c r="T101" s="198"/>
      <c r="U101" s="198"/>
    </row>
    <row r="102" spans="1:33" s="12" customFormat="1" x14ac:dyDescent="0.25">
      <c r="A102" s="213" t="s">
        <v>2641</v>
      </c>
      <c r="B102" s="64">
        <v>151.43</v>
      </c>
      <c r="C102" s="64">
        <v>92.45</v>
      </c>
      <c r="D102" s="64">
        <v>241.78</v>
      </c>
      <c r="E102" s="64">
        <v>11.58</v>
      </c>
      <c r="F102" s="64">
        <v>2.13</v>
      </c>
      <c r="G102" s="64">
        <v>207.88</v>
      </c>
      <c r="H102" s="64">
        <v>56.41</v>
      </c>
      <c r="I102" s="210" t="s">
        <v>43</v>
      </c>
      <c r="J102" s="64">
        <v>0.57999999999999996</v>
      </c>
      <c r="K102" s="64">
        <v>292.47000000000003</v>
      </c>
      <c r="L102" s="64">
        <v>17.59</v>
      </c>
      <c r="M102" s="64">
        <v>71.84</v>
      </c>
      <c r="N102" s="64">
        <v>66.8</v>
      </c>
      <c r="O102" s="64">
        <v>0</v>
      </c>
      <c r="P102" s="64">
        <v>2.73</v>
      </c>
      <c r="Q102" s="64">
        <v>9.9700000000000006</v>
      </c>
      <c r="R102" s="198"/>
      <c r="S102" s="198"/>
      <c r="T102" s="198"/>
      <c r="U102" s="198"/>
    </row>
    <row r="103" spans="1:33" s="12" customFormat="1" x14ac:dyDescent="0.25">
      <c r="A103" s="213" t="s">
        <v>2642</v>
      </c>
      <c r="B103" s="64">
        <v>155.80000000000001</v>
      </c>
      <c r="C103" s="64">
        <v>91.06</v>
      </c>
      <c r="D103" s="64">
        <v>244.76</v>
      </c>
      <c r="E103" s="64">
        <v>11.04</v>
      </c>
      <c r="F103" s="64">
        <v>2.13</v>
      </c>
      <c r="G103" s="64">
        <v>207.88</v>
      </c>
      <c r="H103" s="64">
        <v>56.41</v>
      </c>
      <c r="I103" s="210" t="s">
        <v>43</v>
      </c>
      <c r="J103" s="64">
        <v>0.23</v>
      </c>
      <c r="K103" s="64">
        <v>14.24</v>
      </c>
      <c r="L103" s="64">
        <v>17.54</v>
      </c>
      <c r="M103" s="64">
        <v>74.38</v>
      </c>
      <c r="N103" s="64">
        <v>66.599999999999994</v>
      </c>
      <c r="O103" s="64">
        <v>0</v>
      </c>
      <c r="P103" s="64">
        <v>2.81</v>
      </c>
      <c r="Q103" s="64">
        <v>9.98</v>
      </c>
      <c r="R103" s="198"/>
      <c r="S103" s="198"/>
      <c r="T103" s="198"/>
      <c r="U103" s="198"/>
    </row>
    <row r="104" spans="1:33" s="12" customFormat="1" x14ac:dyDescent="0.25">
      <c r="A104" s="213" t="s">
        <v>2643</v>
      </c>
      <c r="B104" s="64">
        <v>159.11000000000001</v>
      </c>
      <c r="C104" s="64">
        <v>89.36</v>
      </c>
      <c r="D104" s="64">
        <v>246.37</v>
      </c>
      <c r="E104" s="64">
        <v>8.99</v>
      </c>
      <c r="F104" s="64">
        <v>2.13</v>
      </c>
      <c r="G104" s="64">
        <v>207.88</v>
      </c>
      <c r="H104" s="64">
        <v>56.41</v>
      </c>
      <c r="I104" s="210" t="s">
        <v>43</v>
      </c>
      <c r="J104" s="64">
        <v>0.45</v>
      </c>
      <c r="K104" s="64">
        <v>329.66</v>
      </c>
      <c r="L104" s="64">
        <v>17.54</v>
      </c>
      <c r="M104" s="64">
        <v>70.989999999999995</v>
      </c>
      <c r="N104" s="64">
        <v>66.900000000000006</v>
      </c>
      <c r="O104" s="64">
        <v>0</v>
      </c>
      <c r="P104" s="64">
        <v>2.59</v>
      </c>
      <c r="Q104" s="64">
        <v>10.039999999999999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3.72</v>
      </c>
      <c r="C106" s="67">
        <f>MIN(C9:C104)</f>
        <v>61.17</v>
      </c>
      <c r="D106" s="67">
        <f t="shared" ref="D106:Q106" si="0">MIN(D9:D104)</f>
        <v>63.19</v>
      </c>
      <c r="E106" s="67">
        <f t="shared" si="0"/>
        <v>4.99</v>
      </c>
      <c r="F106" s="67">
        <f t="shared" si="0"/>
        <v>2.13</v>
      </c>
      <c r="G106" s="67">
        <f t="shared" si="0"/>
        <v>39.61</v>
      </c>
      <c r="H106" s="67">
        <f t="shared" si="0"/>
        <v>0.67</v>
      </c>
      <c r="I106" s="67">
        <f t="shared" si="0"/>
        <v>0</v>
      </c>
      <c r="J106" s="67">
        <f t="shared" si="0"/>
        <v>0.09</v>
      </c>
      <c r="K106" s="67">
        <f t="shared" si="0"/>
        <v>0.64</v>
      </c>
      <c r="L106" s="67">
        <f t="shared" si="0"/>
        <v>15.12</v>
      </c>
      <c r="M106" s="67">
        <f t="shared" si="0"/>
        <v>19.239999999999998</v>
      </c>
      <c r="N106" s="67">
        <f t="shared" si="0"/>
        <v>66.5</v>
      </c>
      <c r="O106" s="67">
        <f t="shared" si="0"/>
        <v>0</v>
      </c>
      <c r="P106" s="67">
        <f t="shared" si="0"/>
        <v>0.43</v>
      </c>
      <c r="Q106" s="67">
        <f t="shared" si="0"/>
        <v>9.4499999999999993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159.11000000000001</v>
      </c>
      <c r="C107" s="66">
        <f t="shared" ref="C107:Q107" si="1">MAX(C9:C104)</f>
        <v>93.43</v>
      </c>
      <c r="D107" s="66">
        <f t="shared" si="1"/>
        <v>246.37</v>
      </c>
      <c r="E107" s="66">
        <f t="shared" si="1"/>
        <v>13.04</v>
      </c>
      <c r="F107" s="66">
        <f t="shared" si="1"/>
        <v>15</v>
      </c>
      <c r="G107" s="66">
        <f t="shared" si="1"/>
        <v>259.39999999999998</v>
      </c>
      <c r="H107" s="66">
        <f t="shared" si="1"/>
        <v>56.41</v>
      </c>
      <c r="I107" s="66">
        <f t="shared" si="1"/>
        <v>0</v>
      </c>
      <c r="J107" s="66">
        <f t="shared" si="1"/>
        <v>2.62</v>
      </c>
      <c r="K107" s="66">
        <f t="shared" si="1"/>
        <v>359.74</v>
      </c>
      <c r="L107" s="66">
        <f t="shared" si="1"/>
        <v>31.43</v>
      </c>
      <c r="M107" s="66">
        <f t="shared" si="1"/>
        <v>74.38</v>
      </c>
      <c r="N107" s="66">
        <f t="shared" si="1"/>
        <v>850.9</v>
      </c>
      <c r="O107" s="66">
        <f t="shared" si="1"/>
        <v>0</v>
      </c>
      <c r="P107" s="66">
        <f t="shared" si="1"/>
        <v>3.04</v>
      </c>
      <c r="Q107" s="66">
        <f t="shared" si="1"/>
        <v>10.050000000000001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38.682812500000004</v>
      </c>
      <c r="C108" s="67">
        <f t="shared" ref="C108:Q108" si="2">AVERAGE(C9:C104)</f>
        <v>71.948645833333316</v>
      </c>
      <c r="D108" s="67">
        <f t="shared" si="2"/>
        <v>108.51927083333334</v>
      </c>
      <c r="E108" s="67">
        <f t="shared" si="2"/>
        <v>8.1905208333333324</v>
      </c>
      <c r="F108" s="67">
        <f t="shared" si="2"/>
        <v>3.0681249999999989</v>
      </c>
      <c r="G108" s="67">
        <f t="shared" si="2"/>
        <v>96.108645833333355</v>
      </c>
      <c r="H108" s="67">
        <f t="shared" si="2"/>
        <v>25.407604166666658</v>
      </c>
      <c r="I108" s="67" t="e">
        <f t="shared" si="2"/>
        <v>#DIV/0!</v>
      </c>
      <c r="J108" s="67">
        <f t="shared" si="2"/>
        <v>0.93604166666666722</v>
      </c>
      <c r="K108" s="67">
        <f t="shared" si="2"/>
        <v>137.86875000000001</v>
      </c>
      <c r="L108" s="67">
        <f t="shared" si="2"/>
        <v>21.677499999999995</v>
      </c>
      <c r="M108" s="67">
        <f t="shared" si="2"/>
        <v>40.615312500000009</v>
      </c>
      <c r="N108" s="67">
        <f t="shared" si="2"/>
        <v>268.72604166666673</v>
      </c>
      <c r="O108" s="67">
        <f t="shared" si="2"/>
        <v>0</v>
      </c>
      <c r="P108" s="67">
        <f t="shared" si="2"/>
        <v>1.0529166666666667</v>
      </c>
      <c r="Q108" s="67">
        <f t="shared" si="2"/>
        <v>9.7404166666666736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39.945384575050504</v>
      </c>
      <c r="C109" s="67">
        <f t="shared" ref="C109:Q109" si="3">STDEV(C9:C104)</f>
        <v>10.077834105213073</v>
      </c>
      <c r="D109" s="67">
        <f t="shared" si="3"/>
        <v>48.555526201719651</v>
      </c>
      <c r="E109" s="67">
        <f t="shared" si="3"/>
        <v>1.7956358614512677</v>
      </c>
      <c r="F109" s="67">
        <f t="shared" si="3"/>
        <v>2.3156398740555098</v>
      </c>
      <c r="G109" s="67">
        <f t="shared" si="3"/>
        <v>56.059350177802195</v>
      </c>
      <c r="H109" s="67">
        <f t="shared" si="3"/>
        <v>15.846067335116159</v>
      </c>
      <c r="I109" s="67" t="e">
        <f t="shared" si="3"/>
        <v>#DIV/0!</v>
      </c>
      <c r="J109" s="67">
        <f t="shared" si="3"/>
        <v>0.48894188475386846</v>
      </c>
      <c r="K109" s="67">
        <f t="shared" si="3"/>
        <v>133.15057926430904</v>
      </c>
      <c r="L109" s="67">
        <f t="shared" si="3"/>
        <v>4.7128362228235856</v>
      </c>
      <c r="M109" s="67">
        <f t="shared" si="3"/>
        <v>13.957591479238674</v>
      </c>
      <c r="N109" s="67">
        <f t="shared" si="3"/>
        <v>282.13497749343173</v>
      </c>
      <c r="O109" s="67">
        <f t="shared" si="3"/>
        <v>0</v>
      </c>
      <c r="P109" s="67">
        <f t="shared" si="3"/>
        <v>0.70779705189176001</v>
      </c>
      <c r="Q109" s="67">
        <f t="shared" si="3"/>
        <v>0.15900292394972301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2644</v>
      </c>
      <c r="B9" s="64">
        <v>157.57</v>
      </c>
      <c r="C9" s="64">
        <v>87.64</v>
      </c>
      <c r="D9" s="64">
        <v>243.11</v>
      </c>
      <c r="E9" s="64">
        <v>9.7100000000000009</v>
      </c>
      <c r="F9" s="64">
        <v>2.13</v>
      </c>
      <c r="G9" s="64">
        <v>219.23</v>
      </c>
      <c r="H9" s="64">
        <v>53.57</v>
      </c>
      <c r="I9" s="210" t="s">
        <v>43</v>
      </c>
      <c r="J9" s="64">
        <v>2.2400000000000002</v>
      </c>
      <c r="K9" s="64">
        <v>1.37</v>
      </c>
      <c r="L9" s="64">
        <v>18.100000000000001</v>
      </c>
      <c r="M9" s="64">
        <v>56.18</v>
      </c>
      <c r="N9" s="64">
        <v>64.5</v>
      </c>
      <c r="O9" s="64">
        <v>0</v>
      </c>
      <c r="P9" s="64">
        <v>2.4900000000000002</v>
      </c>
      <c r="Q9" s="64">
        <v>10.11</v>
      </c>
      <c r="R9" s="198"/>
      <c r="S9" s="198"/>
      <c r="T9" s="198"/>
      <c r="U9" s="198"/>
    </row>
    <row r="10" spans="1:21" s="12" customFormat="1" x14ac:dyDescent="0.25">
      <c r="A10" s="213" t="s">
        <v>2645</v>
      </c>
      <c r="B10" s="64">
        <v>147.97999999999999</v>
      </c>
      <c r="C10" s="64">
        <v>87.19</v>
      </c>
      <c r="D10" s="64">
        <v>233.07</v>
      </c>
      <c r="E10" s="64">
        <v>9.48</v>
      </c>
      <c r="F10" s="64">
        <v>2.13</v>
      </c>
      <c r="G10" s="64">
        <v>219.36</v>
      </c>
      <c r="H10" s="64">
        <v>53.54</v>
      </c>
      <c r="I10" s="210" t="s">
        <v>43</v>
      </c>
      <c r="J10" s="64">
        <v>1.1100000000000001</v>
      </c>
      <c r="K10" s="64">
        <v>6.38</v>
      </c>
      <c r="L10" s="64">
        <v>18.57</v>
      </c>
      <c r="M10" s="64">
        <v>52.7</v>
      </c>
      <c r="N10" s="64">
        <v>66.7</v>
      </c>
      <c r="O10" s="64">
        <v>0</v>
      </c>
      <c r="P10" s="64">
        <v>2.31</v>
      </c>
      <c r="Q10" s="64">
        <v>10.16</v>
      </c>
      <c r="R10" s="198"/>
      <c r="S10" s="198"/>
      <c r="T10" s="198"/>
      <c r="U10" s="198"/>
    </row>
    <row r="11" spans="1:21" s="12" customFormat="1" x14ac:dyDescent="0.25">
      <c r="A11" s="213" t="s">
        <v>2646</v>
      </c>
      <c r="B11" s="64">
        <v>139.02000000000001</v>
      </c>
      <c r="C11" s="64">
        <v>86.85</v>
      </c>
      <c r="D11" s="64">
        <v>223.77</v>
      </c>
      <c r="E11" s="64">
        <v>9.2200000000000006</v>
      </c>
      <c r="F11" s="64">
        <v>2.13</v>
      </c>
      <c r="G11" s="64">
        <v>219.36</v>
      </c>
      <c r="H11" s="64">
        <v>53.54</v>
      </c>
      <c r="I11" s="210" t="s">
        <v>43</v>
      </c>
      <c r="J11" s="64">
        <v>0.53</v>
      </c>
      <c r="K11" s="64">
        <v>21.9</v>
      </c>
      <c r="L11" s="64">
        <v>18.13</v>
      </c>
      <c r="M11" s="64">
        <v>54.4</v>
      </c>
      <c r="N11" s="64">
        <v>67.2</v>
      </c>
      <c r="O11" s="64">
        <v>0</v>
      </c>
      <c r="P11" s="64">
        <v>2.27</v>
      </c>
      <c r="Q11" s="64">
        <v>10.130000000000001</v>
      </c>
      <c r="R11" s="198"/>
      <c r="S11" s="198"/>
      <c r="T11" s="198"/>
      <c r="U11" s="198"/>
    </row>
    <row r="12" spans="1:21" s="12" customFormat="1" x14ac:dyDescent="0.25">
      <c r="A12" s="213" t="s">
        <v>2647</v>
      </c>
      <c r="B12" s="64">
        <v>131.22</v>
      </c>
      <c r="C12" s="64">
        <v>85.52</v>
      </c>
      <c r="D12" s="64">
        <v>214.63</v>
      </c>
      <c r="E12" s="64">
        <v>8.82</v>
      </c>
      <c r="F12" s="64">
        <v>2.13</v>
      </c>
      <c r="G12" s="64">
        <v>219.36</v>
      </c>
      <c r="H12" s="64">
        <v>53.54</v>
      </c>
      <c r="I12" s="210" t="s">
        <v>43</v>
      </c>
      <c r="J12" s="64">
        <v>0.68</v>
      </c>
      <c r="K12" s="64">
        <v>36.369999999999997</v>
      </c>
      <c r="L12" s="64">
        <v>17.84</v>
      </c>
      <c r="M12" s="64">
        <v>55.18</v>
      </c>
      <c r="N12" s="64">
        <v>66.900000000000006</v>
      </c>
      <c r="O12" s="64">
        <v>0</v>
      </c>
      <c r="P12" s="64">
        <v>2.15</v>
      </c>
      <c r="Q12" s="64">
        <v>10.130000000000001</v>
      </c>
      <c r="R12" s="198"/>
      <c r="S12" s="198"/>
      <c r="T12" s="198"/>
      <c r="U12" s="198"/>
    </row>
    <row r="13" spans="1:21" s="12" customFormat="1" x14ac:dyDescent="0.25">
      <c r="A13" s="213" t="s">
        <v>2648</v>
      </c>
      <c r="B13" s="64">
        <v>124.24</v>
      </c>
      <c r="C13" s="64">
        <v>84.18</v>
      </c>
      <c r="D13" s="64">
        <v>206.32</v>
      </c>
      <c r="E13" s="64">
        <v>8.7799999999999994</v>
      </c>
      <c r="F13" s="64">
        <v>2.13</v>
      </c>
      <c r="G13" s="64">
        <v>159.66</v>
      </c>
      <c r="H13" s="64">
        <v>46.14</v>
      </c>
      <c r="I13" s="210" t="s">
        <v>43</v>
      </c>
      <c r="J13" s="64">
        <v>0.89</v>
      </c>
      <c r="K13" s="64">
        <v>2.2799999999999998</v>
      </c>
      <c r="L13" s="64">
        <v>17.77</v>
      </c>
      <c r="M13" s="64">
        <v>54.88</v>
      </c>
      <c r="N13" s="64">
        <v>66.5</v>
      </c>
      <c r="O13" s="64">
        <v>0</v>
      </c>
      <c r="P13" s="64">
        <v>1.85</v>
      </c>
      <c r="Q13" s="64">
        <v>10.11</v>
      </c>
      <c r="R13" s="198"/>
      <c r="S13" s="198"/>
      <c r="T13" s="198"/>
      <c r="U13" s="198"/>
    </row>
    <row r="14" spans="1:21" s="12" customFormat="1" x14ac:dyDescent="0.25">
      <c r="A14" s="213" t="s">
        <v>2649</v>
      </c>
      <c r="B14" s="64">
        <v>117.08</v>
      </c>
      <c r="C14" s="64">
        <v>83.43</v>
      </c>
      <c r="D14" s="64">
        <v>198.41</v>
      </c>
      <c r="E14" s="64">
        <v>8.3800000000000008</v>
      </c>
      <c r="F14" s="64">
        <v>2.13</v>
      </c>
      <c r="G14" s="64">
        <v>159.66</v>
      </c>
      <c r="H14" s="64">
        <v>46.06</v>
      </c>
      <c r="I14" s="210" t="s">
        <v>43</v>
      </c>
      <c r="J14" s="64">
        <v>0.74</v>
      </c>
      <c r="K14" s="64">
        <v>8.7899999999999991</v>
      </c>
      <c r="L14" s="64">
        <v>17.57</v>
      </c>
      <c r="M14" s="64">
        <v>54.03</v>
      </c>
      <c r="N14" s="64">
        <v>66.900000000000006</v>
      </c>
      <c r="O14" s="64">
        <v>0</v>
      </c>
      <c r="P14" s="64">
        <v>1.84</v>
      </c>
      <c r="Q14" s="64">
        <v>10.08</v>
      </c>
      <c r="R14" s="198"/>
      <c r="S14" s="198"/>
      <c r="T14" s="198"/>
      <c r="U14" s="198"/>
    </row>
    <row r="15" spans="1:21" s="12" customFormat="1" x14ac:dyDescent="0.25">
      <c r="A15" s="213" t="s">
        <v>2650</v>
      </c>
      <c r="B15" s="64">
        <v>109.82</v>
      </c>
      <c r="C15" s="64">
        <v>81.94</v>
      </c>
      <c r="D15" s="64">
        <v>189.66</v>
      </c>
      <c r="E15" s="64">
        <v>7.8</v>
      </c>
      <c r="F15" s="64">
        <v>2.13</v>
      </c>
      <c r="G15" s="64">
        <v>159.66</v>
      </c>
      <c r="H15" s="64">
        <v>46.06</v>
      </c>
      <c r="I15" s="210" t="s">
        <v>43</v>
      </c>
      <c r="J15" s="64">
        <v>0.64</v>
      </c>
      <c r="K15" s="64">
        <v>12.54</v>
      </c>
      <c r="L15" s="64">
        <v>17.72</v>
      </c>
      <c r="M15" s="64">
        <v>50.84</v>
      </c>
      <c r="N15" s="64">
        <v>66.5</v>
      </c>
      <c r="O15" s="64">
        <v>0</v>
      </c>
      <c r="P15" s="64">
        <v>1.78</v>
      </c>
      <c r="Q15" s="64">
        <v>10.050000000000001</v>
      </c>
      <c r="R15" s="198"/>
      <c r="S15" s="198"/>
      <c r="T15" s="198"/>
      <c r="U15" s="198"/>
    </row>
    <row r="16" spans="1:21" s="12" customFormat="1" x14ac:dyDescent="0.25">
      <c r="A16" s="213" t="s">
        <v>2651</v>
      </c>
      <c r="B16" s="64">
        <v>102.4</v>
      </c>
      <c r="C16" s="64">
        <v>80.69</v>
      </c>
      <c r="D16" s="64">
        <v>180.98</v>
      </c>
      <c r="E16" s="64">
        <v>7.58</v>
      </c>
      <c r="F16" s="64">
        <v>2.13</v>
      </c>
      <c r="G16" s="64">
        <v>159.66</v>
      </c>
      <c r="H16" s="64">
        <v>46.06</v>
      </c>
      <c r="I16" s="210" t="s">
        <v>43</v>
      </c>
      <c r="J16" s="64">
        <v>0.87</v>
      </c>
      <c r="K16" s="64">
        <v>9.36</v>
      </c>
      <c r="L16" s="64">
        <v>17.850000000000001</v>
      </c>
      <c r="M16" s="64">
        <v>46.94</v>
      </c>
      <c r="N16" s="64">
        <v>66.400000000000006</v>
      </c>
      <c r="O16" s="64">
        <v>0</v>
      </c>
      <c r="P16" s="64">
        <v>1.69</v>
      </c>
      <c r="Q16" s="64">
        <v>10.050000000000001</v>
      </c>
      <c r="R16" s="198"/>
      <c r="S16" s="198"/>
      <c r="T16" s="198"/>
      <c r="U16" s="198"/>
    </row>
    <row r="17" spans="1:21" s="12" customFormat="1" x14ac:dyDescent="0.25">
      <c r="A17" s="213" t="s">
        <v>2652</v>
      </c>
      <c r="B17" s="64">
        <v>95.17</v>
      </c>
      <c r="C17" s="64">
        <v>79.38</v>
      </c>
      <c r="D17" s="64">
        <v>172.45</v>
      </c>
      <c r="E17" s="64">
        <v>6.96</v>
      </c>
      <c r="F17" s="64">
        <v>2.13</v>
      </c>
      <c r="G17" s="64">
        <v>113.58</v>
      </c>
      <c r="H17" s="64">
        <v>43.01</v>
      </c>
      <c r="I17" s="210" t="s">
        <v>43</v>
      </c>
      <c r="J17" s="64">
        <v>0.85</v>
      </c>
      <c r="K17" s="64">
        <v>19.22</v>
      </c>
      <c r="L17" s="64">
        <v>17.920000000000002</v>
      </c>
      <c r="M17" s="64">
        <v>44.62</v>
      </c>
      <c r="N17" s="64">
        <v>66.2</v>
      </c>
      <c r="O17" s="64">
        <v>0</v>
      </c>
      <c r="P17" s="64">
        <v>1.61</v>
      </c>
      <c r="Q17" s="64">
        <v>10.01</v>
      </c>
      <c r="R17" s="198"/>
      <c r="S17" s="198"/>
      <c r="T17" s="198"/>
      <c r="U17" s="198"/>
    </row>
    <row r="18" spans="1:21" s="12" customFormat="1" x14ac:dyDescent="0.25">
      <c r="A18" s="213" t="s">
        <v>2653</v>
      </c>
      <c r="B18" s="64">
        <v>88.01</v>
      </c>
      <c r="C18" s="64">
        <v>77.069999999999993</v>
      </c>
      <c r="D18" s="64">
        <v>162.99</v>
      </c>
      <c r="E18" s="64">
        <v>6.38</v>
      </c>
      <c r="F18" s="64">
        <v>2.13</v>
      </c>
      <c r="G18" s="64">
        <v>113.06</v>
      </c>
      <c r="H18" s="64">
        <v>42.98</v>
      </c>
      <c r="I18" s="210" t="s">
        <v>43</v>
      </c>
      <c r="J18" s="64">
        <v>1.23</v>
      </c>
      <c r="K18" s="64">
        <v>5.31</v>
      </c>
      <c r="L18" s="64">
        <v>17.86</v>
      </c>
      <c r="M18" s="64">
        <v>43.02</v>
      </c>
      <c r="N18" s="64">
        <v>66.5</v>
      </c>
      <c r="O18" s="64">
        <v>0</v>
      </c>
      <c r="P18" s="64">
        <v>1.27</v>
      </c>
      <c r="Q18" s="64">
        <v>9.98</v>
      </c>
      <c r="R18" s="198"/>
      <c r="S18" s="198"/>
      <c r="T18" s="198"/>
      <c r="U18" s="198"/>
    </row>
    <row r="19" spans="1:21" s="12" customFormat="1" x14ac:dyDescent="0.25">
      <c r="A19" s="213" t="s">
        <v>2654</v>
      </c>
      <c r="B19" s="64">
        <v>81.14</v>
      </c>
      <c r="C19" s="64">
        <v>75.09</v>
      </c>
      <c r="D19" s="64">
        <v>154.13</v>
      </c>
      <c r="E19" s="64">
        <v>6.22</v>
      </c>
      <c r="F19" s="64">
        <v>2.13</v>
      </c>
      <c r="G19" s="64">
        <v>113.06</v>
      </c>
      <c r="H19" s="64">
        <v>42.98</v>
      </c>
      <c r="I19" s="210" t="s">
        <v>43</v>
      </c>
      <c r="J19" s="64">
        <v>1.56</v>
      </c>
      <c r="K19" s="64">
        <v>3.11</v>
      </c>
      <c r="L19" s="64">
        <v>17.600000000000001</v>
      </c>
      <c r="M19" s="64">
        <v>44.5</v>
      </c>
      <c r="N19" s="64">
        <v>66.599999999999994</v>
      </c>
      <c r="O19" s="64">
        <v>0</v>
      </c>
      <c r="P19" s="64">
        <v>1.19</v>
      </c>
      <c r="Q19" s="64">
        <v>9.9700000000000006</v>
      </c>
      <c r="R19" s="198"/>
      <c r="S19" s="198"/>
      <c r="T19" s="198"/>
      <c r="U19" s="198"/>
    </row>
    <row r="20" spans="1:21" s="12" customFormat="1" x14ac:dyDescent="0.25">
      <c r="A20" s="213" t="s">
        <v>2655</v>
      </c>
      <c r="B20" s="64">
        <v>74.94</v>
      </c>
      <c r="C20" s="64">
        <v>75.03</v>
      </c>
      <c r="D20" s="64">
        <v>147.87</v>
      </c>
      <c r="E20" s="64">
        <v>6.18</v>
      </c>
      <c r="F20" s="64">
        <v>2.13</v>
      </c>
      <c r="G20" s="64">
        <v>113.06</v>
      </c>
      <c r="H20" s="64">
        <v>42.98</v>
      </c>
      <c r="I20" s="210" t="s">
        <v>43</v>
      </c>
      <c r="J20" s="64">
        <v>1.28</v>
      </c>
      <c r="K20" s="64">
        <v>1.89</v>
      </c>
      <c r="L20" s="64">
        <v>17.21</v>
      </c>
      <c r="M20" s="64">
        <v>46.47</v>
      </c>
      <c r="N20" s="64">
        <v>67</v>
      </c>
      <c r="O20" s="64">
        <v>0</v>
      </c>
      <c r="P20" s="64">
        <v>1.1599999999999999</v>
      </c>
      <c r="Q20" s="64">
        <v>9.91</v>
      </c>
      <c r="R20" s="198"/>
      <c r="S20" s="198"/>
      <c r="T20" s="198"/>
      <c r="U20" s="198"/>
    </row>
    <row r="21" spans="1:21" s="12" customFormat="1" x14ac:dyDescent="0.25">
      <c r="A21" s="213" t="s">
        <v>2656</v>
      </c>
      <c r="B21" s="64">
        <v>69.88</v>
      </c>
      <c r="C21" s="64">
        <v>74.38</v>
      </c>
      <c r="D21" s="64">
        <v>142.16</v>
      </c>
      <c r="E21" s="64">
        <v>6.26</v>
      </c>
      <c r="F21" s="64">
        <v>2.13</v>
      </c>
      <c r="G21" s="64">
        <v>82.32</v>
      </c>
      <c r="H21" s="64">
        <v>26.94</v>
      </c>
      <c r="I21" s="210" t="s">
        <v>43</v>
      </c>
      <c r="J21" s="64">
        <v>1.37</v>
      </c>
      <c r="K21" s="64">
        <v>4.51</v>
      </c>
      <c r="L21" s="64">
        <v>16.88</v>
      </c>
      <c r="M21" s="64">
        <v>46.97</v>
      </c>
      <c r="N21" s="64">
        <v>66.900000000000006</v>
      </c>
      <c r="O21" s="64">
        <v>0</v>
      </c>
      <c r="P21" s="64">
        <v>1.19</v>
      </c>
      <c r="Q21" s="64">
        <v>9.86</v>
      </c>
      <c r="R21" s="198"/>
      <c r="S21" s="198"/>
      <c r="T21" s="198"/>
      <c r="U21" s="198"/>
    </row>
    <row r="22" spans="1:21" s="12" customFormat="1" x14ac:dyDescent="0.25">
      <c r="A22" s="213" t="s">
        <v>2657</v>
      </c>
      <c r="B22" s="64">
        <v>64.760000000000005</v>
      </c>
      <c r="C22" s="64">
        <v>73.55</v>
      </c>
      <c r="D22" s="64">
        <v>136.21</v>
      </c>
      <c r="E22" s="64">
        <v>5.94</v>
      </c>
      <c r="F22" s="64">
        <v>2.13</v>
      </c>
      <c r="G22" s="64">
        <v>81.98</v>
      </c>
      <c r="H22" s="64">
        <v>26.76</v>
      </c>
      <c r="I22" s="210" t="s">
        <v>43</v>
      </c>
      <c r="J22" s="64">
        <v>1.42</v>
      </c>
      <c r="K22" s="64">
        <v>4.1399999999999997</v>
      </c>
      <c r="L22" s="64">
        <v>16.73</v>
      </c>
      <c r="M22" s="64">
        <v>46.13</v>
      </c>
      <c r="N22" s="64">
        <v>66.7</v>
      </c>
      <c r="O22" s="64">
        <v>0</v>
      </c>
      <c r="P22" s="64">
        <v>1.06</v>
      </c>
      <c r="Q22" s="64">
        <v>9.84</v>
      </c>
      <c r="R22" s="198"/>
      <c r="S22" s="198"/>
      <c r="T22" s="198"/>
      <c r="U22" s="198"/>
    </row>
    <row r="23" spans="1:21" s="12" customFormat="1" x14ac:dyDescent="0.25">
      <c r="A23" s="213" t="s">
        <v>2658</v>
      </c>
      <c r="B23" s="64">
        <v>59.9</v>
      </c>
      <c r="C23" s="64">
        <v>73.3</v>
      </c>
      <c r="D23" s="64">
        <v>131.1</v>
      </c>
      <c r="E23" s="64">
        <v>6.22</v>
      </c>
      <c r="F23" s="64">
        <v>2.13</v>
      </c>
      <c r="G23" s="64">
        <v>81.98</v>
      </c>
      <c r="H23" s="64">
        <v>26.76</v>
      </c>
      <c r="I23" s="210" t="s">
        <v>43</v>
      </c>
      <c r="J23" s="64">
        <v>1.37</v>
      </c>
      <c r="K23" s="64">
        <v>2.91</v>
      </c>
      <c r="L23" s="64">
        <v>16.579999999999998</v>
      </c>
      <c r="M23" s="64">
        <v>46.06</v>
      </c>
      <c r="N23" s="64">
        <v>66.7</v>
      </c>
      <c r="O23" s="64">
        <v>0</v>
      </c>
      <c r="P23" s="64">
        <v>1.04</v>
      </c>
      <c r="Q23" s="64">
        <v>9.8000000000000007</v>
      </c>
      <c r="R23" s="198"/>
      <c r="S23" s="198"/>
      <c r="T23" s="198"/>
      <c r="U23" s="198"/>
    </row>
    <row r="24" spans="1:21" s="12" customFormat="1" x14ac:dyDescent="0.25">
      <c r="A24" s="213" t="s">
        <v>2659</v>
      </c>
      <c r="B24" s="64">
        <v>56</v>
      </c>
      <c r="C24" s="64">
        <v>72.48</v>
      </c>
      <c r="D24" s="64">
        <v>126.38</v>
      </c>
      <c r="E24" s="64">
        <v>6.74</v>
      </c>
      <c r="F24" s="64">
        <v>2.13</v>
      </c>
      <c r="G24" s="64">
        <v>81.98</v>
      </c>
      <c r="H24" s="64">
        <v>26.76</v>
      </c>
      <c r="I24" s="210" t="s">
        <v>43</v>
      </c>
      <c r="J24" s="64">
        <v>1.34</v>
      </c>
      <c r="K24" s="64">
        <v>0.56999999999999995</v>
      </c>
      <c r="L24" s="64">
        <v>16.309999999999999</v>
      </c>
      <c r="M24" s="64">
        <v>47.91</v>
      </c>
      <c r="N24" s="64">
        <v>66.7</v>
      </c>
      <c r="O24" s="64">
        <v>0</v>
      </c>
      <c r="P24" s="64">
        <v>1.1200000000000001</v>
      </c>
      <c r="Q24" s="64">
        <v>9.77</v>
      </c>
      <c r="R24" s="198"/>
      <c r="S24" s="198"/>
      <c r="T24" s="198"/>
      <c r="U24" s="198"/>
    </row>
    <row r="25" spans="1:21" s="12" customFormat="1" x14ac:dyDescent="0.25">
      <c r="A25" s="213" t="s">
        <v>2660</v>
      </c>
      <c r="B25" s="64">
        <v>53.23</v>
      </c>
      <c r="C25" s="64">
        <v>71.88</v>
      </c>
      <c r="D25" s="64">
        <v>123.01</v>
      </c>
      <c r="E25" s="64">
        <v>6.3</v>
      </c>
      <c r="F25" s="64">
        <v>2.13</v>
      </c>
      <c r="G25" s="64">
        <v>90.71</v>
      </c>
      <c r="H25" s="64">
        <v>27.76</v>
      </c>
      <c r="I25" s="210" t="s">
        <v>43</v>
      </c>
      <c r="J25" s="64">
        <v>1.1599999999999999</v>
      </c>
      <c r="K25" s="64">
        <v>355.2</v>
      </c>
      <c r="L25" s="64">
        <v>15.92</v>
      </c>
      <c r="M25" s="64">
        <v>51.44</v>
      </c>
      <c r="N25" s="64">
        <v>67</v>
      </c>
      <c r="O25" s="64">
        <v>0</v>
      </c>
      <c r="P25" s="64">
        <v>1.03</v>
      </c>
      <c r="Q25" s="64">
        <v>9.75</v>
      </c>
      <c r="R25" s="198"/>
      <c r="S25" s="198"/>
      <c r="T25" s="198"/>
      <c r="U25" s="198"/>
    </row>
    <row r="26" spans="1:21" s="12" customFormat="1" x14ac:dyDescent="0.25">
      <c r="A26" s="213" t="s">
        <v>2661</v>
      </c>
      <c r="B26" s="64">
        <v>51.55</v>
      </c>
      <c r="C26" s="64">
        <v>69.58</v>
      </c>
      <c r="D26" s="64">
        <v>119.03</v>
      </c>
      <c r="E26" s="64">
        <v>6.77</v>
      </c>
      <c r="F26" s="64">
        <v>2.13</v>
      </c>
      <c r="G26" s="64">
        <v>90.81</v>
      </c>
      <c r="H26" s="64">
        <v>27.77</v>
      </c>
      <c r="I26" s="210" t="s">
        <v>43</v>
      </c>
      <c r="J26" s="64">
        <v>1.1299999999999999</v>
      </c>
      <c r="K26" s="64">
        <v>1.84</v>
      </c>
      <c r="L26" s="64">
        <v>15.61</v>
      </c>
      <c r="M26" s="64">
        <v>52.55</v>
      </c>
      <c r="N26" s="64">
        <v>66.900000000000006</v>
      </c>
      <c r="O26" s="64">
        <v>0</v>
      </c>
      <c r="P26" s="64">
        <v>1.1200000000000001</v>
      </c>
      <c r="Q26" s="64">
        <v>9.74</v>
      </c>
      <c r="R26" s="198"/>
      <c r="S26" s="198"/>
      <c r="T26" s="198"/>
      <c r="U26" s="198"/>
    </row>
    <row r="27" spans="1:21" s="12" customFormat="1" x14ac:dyDescent="0.25">
      <c r="A27" s="213" t="s">
        <v>2662</v>
      </c>
      <c r="B27" s="64">
        <v>49.72</v>
      </c>
      <c r="C27" s="64">
        <v>69.63</v>
      </c>
      <c r="D27" s="64">
        <v>117.25</v>
      </c>
      <c r="E27" s="64">
        <v>7.79</v>
      </c>
      <c r="F27" s="64">
        <v>2.13</v>
      </c>
      <c r="G27" s="64">
        <v>90.81</v>
      </c>
      <c r="H27" s="64">
        <v>27.77</v>
      </c>
      <c r="I27" s="210" t="s">
        <v>43</v>
      </c>
      <c r="J27" s="64">
        <v>0.63</v>
      </c>
      <c r="K27" s="64">
        <v>44.29</v>
      </c>
      <c r="L27" s="64">
        <v>15.53</v>
      </c>
      <c r="M27" s="64">
        <v>52.08</v>
      </c>
      <c r="N27" s="64">
        <v>67</v>
      </c>
      <c r="O27" s="64">
        <v>0</v>
      </c>
      <c r="P27" s="64">
        <v>1.08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13" t="s">
        <v>2663</v>
      </c>
      <c r="B28" s="64">
        <v>47.72</v>
      </c>
      <c r="C28" s="64">
        <v>69.739999999999995</v>
      </c>
      <c r="D28" s="64">
        <v>115.35</v>
      </c>
      <c r="E28" s="64">
        <v>6.95</v>
      </c>
      <c r="F28" s="64">
        <v>2.13</v>
      </c>
      <c r="G28" s="64">
        <v>90.81</v>
      </c>
      <c r="H28" s="64">
        <v>27.77</v>
      </c>
      <c r="I28" s="210" t="s">
        <v>43</v>
      </c>
      <c r="J28" s="64">
        <v>0.84</v>
      </c>
      <c r="K28" s="64">
        <v>16.010000000000002</v>
      </c>
      <c r="L28" s="64">
        <v>15.5</v>
      </c>
      <c r="M28" s="64">
        <v>51.96</v>
      </c>
      <c r="N28" s="64">
        <v>66.7</v>
      </c>
      <c r="O28" s="64">
        <v>0</v>
      </c>
      <c r="P28" s="64">
        <v>1.06</v>
      </c>
      <c r="Q28" s="64">
        <v>9.69</v>
      </c>
      <c r="R28" s="198"/>
      <c r="S28" s="198"/>
      <c r="T28" s="198"/>
      <c r="U28" s="198"/>
    </row>
    <row r="29" spans="1:21" s="12" customFormat="1" x14ac:dyDescent="0.25">
      <c r="A29" s="213" t="s">
        <v>2664</v>
      </c>
      <c r="B29" s="64">
        <v>46.37</v>
      </c>
      <c r="C29" s="64">
        <v>69.38</v>
      </c>
      <c r="D29" s="64">
        <v>113.65</v>
      </c>
      <c r="E29" s="64">
        <v>6.92</v>
      </c>
      <c r="F29" s="64">
        <v>2.13</v>
      </c>
      <c r="G29" s="64">
        <v>109.16</v>
      </c>
      <c r="H29" s="64">
        <v>33.4</v>
      </c>
      <c r="I29" s="210" t="s">
        <v>43</v>
      </c>
      <c r="J29" s="64">
        <v>1.03</v>
      </c>
      <c r="K29" s="64">
        <v>1.03</v>
      </c>
      <c r="L29" s="64">
        <v>15.44</v>
      </c>
      <c r="M29" s="64">
        <v>52.12</v>
      </c>
      <c r="N29" s="64">
        <v>66.7</v>
      </c>
      <c r="O29" s="64">
        <v>0</v>
      </c>
      <c r="P29" s="64">
        <v>1.04</v>
      </c>
      <c r="Q29" s="64">
        <v>9.7200000000000006</v>
      </c>
      <c r="R29" s="198"/>
      <c r="S29" s="198"/>
      <c r="T29" s="198"/>
      <c r="U29" s="198"/>
    </row>
    <row r="30" spans="1:21" s="12" customFormat="1" x14ac:dyDescent="0.25">
      <c r="A30" s="213" t="s">
        <v>2665</v>
      </c>
      <c r="B30" s="64">
        <v>45.21</v>
      </c>
      <c r="C30" s="64">
        <v>69.22</v>
      </c>
      <c r="D30" s="64">
        <v>112.32</v>
      </c>
      <c r="E30" s="64">
        <v>6.76</v>
      </c>
      <c r="F30" s="64">
        <v>2.13</v>
      </c>
      <c r="G30" s="64">
        <v>109.37</v>
      </c>
      <c r="H30" s="64">
        <v>33.46</v>
      </c>
      <c r="I30" s="210" t="s">
        <v>43</v>
      </c>
      <c r="J30" s="64">
        <v>0.95</v>
      </c>
      <c r="K30" s="64">
        <v>5.36</v>
      </c>
      <c r="L30" s="64">
        <v>15.33</v>
      </c>
      <c r="M30" s="64">
        <v>51.56</v>
      </c>
      <c r="N30" s="64">
        <v>66.7</v>
      </c>
      <c r="O30" s="64">
        <v>0</v>
      </c>
      <c r="P30" s="64">
        <v>1.04</v>
      </c>
      <c r="Q30" s="64">
        <v>9.74</v>
      </c>
      <c r="R30" s="198"/>
      <c r="S30" s="198"/>
      <c r="T30" s="198"/>
      <c r="U30" s="198"/>
    </row>
    <row r="31" spans="1:21" s="12" customFormat="1" x14ac:dyDescent="0.25">
      <c r="A31" s="213" t="s">
        <v>2666</v>
      </c>
      <c r="B31" s="64">
        <v>43.92</v>
      </c>
      <c r="C31" s="64">
        <v>69.34</v>
      </c>
      <c r="D31" s="64">
        <v>111.16</v>
      </c>
      <c r="E31" s="64">
        <v>6.47</v>
      </c>
      <c r="F31" s="64">
        <v>2.13</v>
      </c>
      <c r="G31" s="64">
        <v>109.37</v>
      </c>
      <c r="H31" s="64">
        <v>33.46</v>
      </c>
      <c r="I31" s="210" t="s">
        <v>43</v>
      </c>
      <c r="J31" s="64">
        <v>0.71</v>
      </c>
      <c r="K31" s="64">
        <v>7</v>
      </c>
      <c r="L31" s="64">
        <v>15.16</v>
      </c>
      <c r="M31" s="64">
        <v>50.91</v>
      </c>
      <c r="N31" s="64">
        <v>66.900000000000006</v>
      </c>
      <c r="O31" s="64">
        <v>0</v>
      </c>
      <c r="P31" s="64">
        <v>1.02</v>
      </c>
      <c r="Q31" s="64">
        <v>9.7100000000000009</v>
      </c>
      <c r="R31" s="198"/>
      <c r="S31" s="198"/>
      <c r="T31" s="198"/>
      <c r="U31" s="198"/>
    </row>
    <row r="32" spans="1:21" s="12" customFormat="1" x14ac:dyDescent="0.25">
      <c r="A32" s="213" t="s">
        <v>2667</v>
      </c>
      <c r="B32" s="64">
        <v>42.94</v>
      </c>
      <c r="C32" s="64">
        <v>69.38</v>
      </c>
      <c r="D32" s="64">
        <v>110.22</v>
      </c>
      <c r="E32" s="64">
        <v>6.9</v>
      </c>
      <c r="F32" s="64">
        <v>2.13</v>
      </c>
      <c r="G32" s="64">
        <v>109.37</v>
      </c>
      <c r="H32" s="64">
        <v>33.46</v>
      </c>
      <c r="I32" s="210" t="s">
        <v>43</v>
      </c>
      <c r="J32" s="64">
        <v>0.78</v>
      </c>
      <c r="K32" s="64">
        <v>5.69</v>
      </c>
      <c r="L32" s="64">
        <v>15.02</v>
      </c>
      <c r="M32" s="64">
        <v>50.86</v>
      </c>
      <c r="N32" s="64">
        <v>66.8</v>
      </c>
      <c r="O32" s="64">
        <v>0</v>
      </c>
      <c r="P32" s="64">
        <v>1</v>
      </c>
      <c r="Q32" s="64">
        <v>9.68</v>
      </c>
      <c r="R32" s="198"/>
      <c r="S32" s="198"/>
      <c r="T32" s="198"/>
      <c r="U32" s="198"/>
    </row>
    <row r="33" spans="1:21" s="12" customFormat="1" x14ac:dyDescent="0.25">
      <c r="A33" s="213" t="s">
        <v>2668</v>
      </c>
      <c r="B33" s="64">
        <v>41.94</v>
      </c>
      <c r="C33" s="64">
        <v>69.540000000000006</v>
      </c>
      <c r="D33" s="64">
        <v>109.38</v>
      </c>
      <c r="E33" s="64">
        <v>6.57</v>
      </c>
      <c r="F33" s="64">
        <v>2.13</v>
      </c>
      <c r="G33" s="64">
        <v>113.1</v>
      </c>
      <c r="H33" s="64">
        <v>31.83</v>
      </c>
      <c r="I33" s="210" t="s">
        <v>43</v>
      </c>
      <c r="J33" s="64">
        <v>0.79</v>
      </c>
      <c r="K33" s="64">
        <v>12.58</v>
      </c>
      <c r="L33" s="64">
        <v>14.96</v>
      </c>
      <c r="M33" s="64">
        <v>50.58</v>
      </c>
      <c r="N33" s="64">
        <v>67.400000000000006</v>
      </c>
      <c r="O33" s="64">
        <v>0</v>
      </c>
      <c r="P33" s="64">
        <v>0.99</v>
      </c>
      <c r="Q33" s="64">
        <v>9.69</v>
      </c>
      <c r="R33" s="198"/>
      <c r="S33" s="198"/>
      <c r="T33" s="198"/>
      <c r="U33" s="198"/>
    </row>
    <row r="34" spans="1:21" s="12" customFormat="1" x14ac:dyDescent="0.25">
      <c r="A34" s="213" t="s">
        <v>2669</v>
      </c>
      <c r="B34" s="64">
        <v>41.37</v>
      </c>
      <c r="C34" s="64">
        <v>69.48</v>
      </c>
      <c r="D34" s="64">
        <v>108.75</v>
      </c>
      <c r="E34" s="64">
        <v>6.17</v>
      </c>
      <c r="F34" s="64">
        <v>2.13</v>
      </c>
      <c r="G34" s="64">
        <v>113.14</v>
      </c>
      <c r="H34" s="64">
        <v>31.81</v>
      </c>
      <c r="I34" s="210" t="s">
        <v>43</v>
      </c>
      <c r="J34" s="64">
        <v>0.69</v>
      </c>
      <c r="K34" s="64">
        <v>33.130000000000003</v>
      </c>
      <c r="L34" s="64">
        <v>14.89</v>
      </c>
      <c r="M34" s="64">
        <v>50.34</v>
      </c>
      <c r="N34" s="64">
        <v>71.7</v>
      </c>
      <c r="O34" s="64">
        <v>0</v>
      </c>
      <c r="P34" s="64">
        <v>0.98</v>
      </c>
      <c r="Q34" s="64">
        <v>9.69</v>
      </c>
      <c r="R34" s="198"/>
      <c r="S34" s="198"/>
      <c r="T34" s="198"/>
      <c r="U34" s="198"/>
    </row>
    <row r="35" spans="1:21" s="12" customFormat="1" x14ac:dyDescent="0.25">
      <c r="A35" s="213" t="s">
        <v>2670</v>
      </c>
      <c r="B35" s="64">
        <v>41</v>
      </c>
      <c r="C35" s="64">
        <v>69.849999999999994</v>
      </c>
      <c r="D35" s="64">
        <v>108.75</v>
      </c>
      <c r="E35" s="64">
        <v>6.27</v>
      </c>
      <c r="F35" s="64">
        <v>2.13</v>
      </c>
      <c r="G35" s="64">
        <v>113.14</v>
      </c>
      <c r="H35" s="64">
        <v>31.81</v>
      </c>
      <c r="I35" s="210" t="s">
        <v>43</v>
      </c>
      <c r="J35" s="64">
        <v>0.64</v>
      </c>
      <c r="K35" s="64">
        <v>32.08</v>
      </c>
      <c r="L35" s="64">
        <v>14.85</v>
      </c>
      <c r="M35" s="64">
        <v>51.01</v>
      </c>
      <c r="N35" s="64">
        <v>83.7</v>
      </c>
      <c r="O35" s="64">
        <v>0</v>
      </c>
      <c r="P35" s="64">
        <v>0.95</v>
      </c>
      <c r="Q35" s="64">
        <v>9.68</v>
      </c>
      <c r="R35" s="198"/>
      <c r="S35" s="198"/>
      <c r="T35" s="198"/>
      <c r="U35" s="198"/>
    </row>
    <row r="36" spans="1:21" s="12" customFormat="1" x14ac:dyDescent="0.25">
      <c r="A36" s="213" t="s">
        <v>2671</v>
      </c>
      <c r="B36" s="64">
        <v>41.79</v>
      </c>
      <c r="C36" s="64">
        <v>68.790000000000006</v>
      </c>
      <c r="D36" s="64">
        <v>108.47</v>
      </c>
      <c r="E36" s="64">
        <v>5.74</v>
      </c>
      <c r="F36" s="64">
        <v>2.13</v>
      </c>
      <c r="G36" s="64">
        <v>113.14</v>
      </c>
      <c r="H36" s="64">
        <v>31.81</v>
      </c>
      <c r="I36" s="210" t="s">
        <v>43</v>
      </c>
      <c r="J36" s="64">
        <v>0.53</v>
      </c>
      <c r="K36" s="64">
        <v>24.89</v>
      </c>
      <c r="L36" s="64">
        <v>15.19</v>
      </c>
      <c r="M36" s="64">
        <v>49.95</v>
      </c>
      <c r="N36" s="64">
        <v>104.7</v>
      </c>
      <c r="O36" s="64">
        <v>0</v>
      </c>
      <c r="P36" s="64">
        <v>0.93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13" t="s">
        <v>2672</v>
      </c>
      <c r="B37" s="64">
        <v>42.83</v>
      </c>
      <c r="C37" s="64">
        <v>69.459999999999994</v>
      </c>
      <c r="D37" s="64">
        <v>110.19</v>
      </c>
      <c r="E37" s="64">
        <v>5.29</v>
      </c>
      <c r="F37" s="64">
        <v>2.13</v>
      </c>
      <c r="G37" s="64">
        <v>101.49</v>
      </c>
      <c r="H37" s="64">
        <v>20.8</v>
      </c>
      <c r="I37" s="210" t="s">
        <v>43</v>
      </c>
      <c r="J37" s="64">
        <v>0.5</v>
      </c>
      <c r="K37" s="64">
        <v>41.78</v>
      </c>
      <c r="L37" s="64">
        <v>16.260000000000002</v>
      </c>
      <c r="M37" s="64">
        <v>47.2</v>
      </c>
      <c r="N37" s="64">
        <v>171.7</v>
      </c>
      <c r="O37" s="64">
        <v>0</v>
      </c>
      <c r="P37" s="64">
        <v>0.98</v>
      </c>
      <c r="Q37" s="64">
        <v>9.69</v>
      </c>
      <c r="R37" s="198"/>
      <c r="S37" s="198"/>
      <c r="T37" s="198"/>
      <c r="U37" s="198"/>
    </row>
    <row r="38" spans="1:21" s="12" customFormat="1" x14ac:dyDescent="0.25">
      <c r="A38" s="213" t="s">
        <v>2673</v>
      </c>
      <c r="B38" s="64">
        <v>43.4</v>
      </c>
      <c r="C38" s="64">
        <v>69.69</v>
      </c>
      <c r="D38" s="64">
        <v>110.99</v>
      </c>
      <c r="E38" s="64">
        <v>5.62</v>
      </c>
      <c r="F38" s="64">
        <v>2.13</v>
      </c>
      <c r="G38" s="64">
        <v>101.35</v>
      </c>
      <c r="H38" s="64">
        <v>20.68</v>
      </c>
      <c r="I38" s="210" t="s">
        <v>43</v>
      </c>
      <c r="J38" s="64">
        <v>0.72</v>
      </c>
      <c r="K38" s="64">
        <v>17.62</v>
      </c>
      <c r="L38" s="64">
        <v>18.22</v>
      </c>
      <c r="M38" s="64">
        <v>42.83</v>
      </c>
      <c r="N38" s="64">
        <v>227.1</v>
      </c>
      <c r="O38" s="64">
        <v>0</v>
      </c>
      <c r="P38" s="64">
        <v>1.03</v>
      </c>
      <c r="Q38" s="64">
        <v>9.68</v>
      </c>
      <c r="R38" s="198"/>
      <c r="S38" s="198"/>
      <c r="T38" s="198"/>
      <c r="U38" s="198"/>
    </row>
    <row r="39" spans="1:21" s="12" customFormat="1" x14ac:dyDescent="0.25">
      <c r="A39" s="213" t="s">
        <v>2674</v>
      </c>
      <c r="B39" s="64">
        <v>42.84</v>
      </c>
      <c r="C39" s="64">
        <v>69.849999999999994</v>
      </c>
      <c r="D39" s="64">
        <v>110.59</v>
      </c>
      <c r="E39" s="64">
        <v>5.74</v>
      </c>
      <c r="F39" s="64">
        <v>2.13</v>
      </c>
      <c r="G39" s="64">
        <v>101.35</v>
      </c>
      <c r="H39" s="64">
        <v>20.68</v>
      </c>
      <c r="I39" s="210" t="s">
        <v>43</v>
      </c>
      <c r="J39" s="64">
        <v>0.92</v>
      </c>
      <c r="K39" s="64">
        <v>8.16</v>
      </c>
      <c r="L39" s="64">
        <v>19.98</v>
      </c>
      <c r="M39" s="64">
        <v>39.22</v>
      </c>
      <c r="N39" s="64">
        <v>284.8</v>
      </c>
      <c r="O39" s="64">
        <v>0</v>
      </c>
      <c r="P39" s="64">
        <v>0.97</v>
      </c>
      <c r="Q39" s="64">
        <v>9.67</v>
      </c>
      <c r="R39" s="198"/>
      <c r="S39" s="198"/>
      <c r="T39" s="198"/>
      <c r="U39" s="198"/>
    </row>
    <row r="40" spans="1:21" s="12" customFormat="1" x14ac:dyDescent="0.25">
      <c r="A40" s="213" t="s">
        <v>2675</v>
      </c>
      <c r="B40" s="64">
        <v>42.2</v>
      </c>
      <c r="C40" s="64">
        <v>70.16</v>
      </c>
      <c r="D40" s="64">
        <v>110.26</v>
      </c>
      <c r="E40" s="64">
        <v>7.23</v>
      </c>
      <c r="F40" s="64">
        <v>2.13</v>
      </c>
      <c r="G40" s="64">
        <v>101.35</v>
      </c>
      <c r="H40" s="64">
        <v>20.68</v>
      </c>
      <c r="I40" s="210" t="s">
        <v>43</v>
      </c>
      <c r="J40" s="64">
        <v>1.1200000000000001</v>
      </c>
      <c r="K40" s="64">
        <v>3.86</v>
      </c>
      <c r="L40" s="64">
        <v>21.89</v>
      </c>
      <c r="M40" s="64">
        <v>35</v>
      </c>
      <c r="N40" s="64">
        <v>343.2</v>
      </c>
      <c r="O40" s="64">
        <v>0</v>
      </c>
      <c r="P40" s="64">
        <v>0.93</v>
      </c>
      <c r="Q40" s="64">
        <v>9.68</v>
      </c>
      <c r="R40" s="198"/>
      <c r="S40" s="198"/>
      <c r="T40" s="198"/>
      <c r="U40" s="198"/>
    </row>
    <row r="41" spans="1:21" s="12" customFormat="1" x14ac:dyDescent="0.25">
      <c r="A41" s="213" t="s">
        <v>2676</v>
      </c>
      <c r="B41" s="64">
        <v>41.2</v>
      </c>
      <c r="C41" s="64">
        <v>70.319999999999993</v>
      </c>
      <c r="D41" s="64">
        <v>109.43</v>
      </c>
      <c r="E41" s="64">
        <v>8.6999999999999993</v>
      </c>
      <c r="F41" s="64">
        <v>2.13</v>
      </c>
      <c r="G41" s="64">
        <v>82.72</v>
      </c>
      <c r="H41" s="64">
        <v>20.399999999999999</v>
      </c>
      <c r="I41" s="210" t="s">
        <v>43</v>
      </c>
      <c r="J41" s="64">
        <v>1.05</v>
      </c>
      <c r="K41" s="64">
        <v>9.59</v>
      </c>
      <c r="L41" s="64">
        <v>23.1</v>
      </c>
      <c r="M41" s="64">
        <v>32.89</v>
      </c>
      <c r="N41" s="64">
        <v>403.9</v>
      </c>
      <c r="O41" s="64">
        <v>0</v>
      </c>
      <c r="P41" s="64">
        <v>0.95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13" t="s">
        <v>2677</v>
      </c>
      <c r="B42" s="64">
        <v>39.96</v>
      </c>
      <c r="C42" s="64">
        <v>70.47</v>
      </c>
      <c r="D42" s="64">
        <v>108.33</v>
      </c>
      <c r="E42" s="64">
        <v>8.08</v>
      </c>
      <c r="F42" s="64">
        <v>2.13</v>
      </c>
      <c r="G42" s="64">
        <v>82.51</v>
      </c>
      <c r="H42" s="64">
        <v>20.399999999999999</v>
      </c>
      <c r="I42" s="210" t="s">
        <v>43</v>
      </c>
      <c r="J42" s="64">
        <v>1.17</v>
      </c>
      <c r="K42" s="64">
        <v>4</v>
      </c>
      <c r="L42" s="64">
        <v>22.94</v>
      </c>
      <c r="M42" s="64">
        <v>32.47</v>
      </c>
      <c r="N42" s="64">
        <v>456.9</v>
      </c>
      <c r="O42" s="64">
        <v>0</v>
      </c>
      <c r="P42" s="64">
        <v>0.92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13" t="s">
        <v>2678</v>
      </c>
      <c r="B43" s="64">
        <v>38.64</v>
      </c>
      <c r="C43" s="64">
        <v>70.959999999999994</v>
      </c>
      <c r="D43" s="64">
        <v>107.5</v>
      </c>
      <c r="E43" s="64">
        <v>7.95</v>
      </c>
      <c r="F43" s="64">
        <v>2.13</v>
      </c>
      <c r="G43" s="64">
        <v>82.51</v>
      </c>
      <c r="H43" s="64">
        <v>20.399999999999999</v>
      </c>
      <c r="I43" s="210" t="s">
        <v>43</v>
      </c>
      <c r="J43" s="64">
        <v>1.01</v>
      </c>
      <c r="K43" s="64">
        <v>78.52</v>
      </c>
      <c r="L43" s="64">
        <v>22.71</v>
      </c>
      <c r="M43" s="64">
        <v>33.93</v>
      </c>
      <c r="N43" s="64">
        <v>516.70000000000005</v>
      </c>
      <c r="O43" s="64">
        <v>0</v>
      </c>
      <c r="P43" s="64">
        <v>0.94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3" t="s">
        <v>2679</v>
      </c>
      <c r="B44" s="64">
        <v>37.340000000000003</v>
      </c>
      <c r="C44" s="64">
        <v>71.56</v>
      </c>
      <c r="D44" s="64">
        <v>106.81</v>
      </c>
      <c r="E44" s="64">
        <v>9.2799999999999994</v>
      </c>
      <c r="F44" s="64">
        <v>2.13</v>
      </c>
      <c r="G44" s="64">
        <v>82.51</v>
      </c>
      <c r="H44" s="64">
        <v>20.399999999999999</v>
      </c>
      <c r="I44" s="210" t="s">
        <v>43</v>
      </c>
      <c r="J44" s="64">
        <v>0.84</v>
      </c>
      <c r="K44" s="64">
        <v>69.069999999999993</v>
      </c>
      <c r="L44" s="64">
        <v>22.32</v>
      </c>
      <c r="M44" s="64">
        <v>34.700000000000003</v>
      </c>
      <c r="N44" s="64">
        <v>564.9</v>
      </c>
      <c r="O44" s="64">
        <v>0</v>
      </c>
      <c r="P44" s="64">
        <v>0.93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3" t="s">
        <v>2680</v>
      </c>
      <c r="B45" s="64">
        <v>36.020000000000003</v>
      </c>
      <c r="C45" s="64">
        <v>71.97</v>
      </c>
      <c r="D45" s="64">
        <v>105.9</v>
      </c>
      <c r="E45" s="64">
        <v>8.61</v>
      </c>
      <c r="F45" s="64">
        <v>2.13</v>
      </c>
      <c r="G45" s="64">
        <v>85.4</v>
      </c>
      <c r="H45" s="64">
        <v>22.32</v>
      </c>
      <c r="I45" s="210" t="s">
        <v>43</v>
      </c>
      <c r="J45" s="64">
        <v>0.72</v>
      </c>
      <c r="K45" s="64">
        <v>46.86</v>
      </c>
      <c r="L45" s="64">
        <v>23.34</v>
      </c>
      <c r="M45" s="64">
        <v>33.31</v>
      </c>
      <c r="N45" s="64">
        <v>610.4</v>
      </c>
      <c r="O45" s="64">
        <v>0</v>
      </c>
      <c r="P45" s="64">
        <v>0.92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3" t="s">
        <v>2681</v>
      </c>
      <c r="B46" s="64">
        <v>34.659999999999997</v>
      </c>
      <c r="C46" s="64">
        <v>72.64</v>
      </c>
      <c r="D46" s="64">
        <v>105.2</v>
      </c>
      <c r="E46" s="64">
        <v>8.44</v>
      </c>
      <c r="F46" s="64">
        <v>2.13</v>
      </c>
      <c r="G46" s="64">
        <v>85.44</v>
      </c>
      <c r="H46" s="64">
        <v>22.34</v>
      </c>
      <c r="I46" s="210" t="s">
        <v>43</v>
      </c>
      <c r="J46" s="64">
        <v>0.94</v>
      </c>
      <c r="K46" s="64">
        <v>14.45</v>
      </c>
      <c r="L46" s="64">
        <v>25.15</v>
      </c>
      <c r="M46" s="64">
        <v>30.34</v>
      </c>
      <c r="N46" s="64">
        <v>653.5</v>
      </c>
      <c r="O46" s="64">
        <v>0</v>
      </c>
      <c r="P46" s="64">
        <v>0.89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3" t="s">
        <v>2682</v>
      </c>
      <c r="B47" s="64">
        <v>32.94</v>
      </c>
      <c r="C47" s="64">
        <v>73.64</v>
      </c>
      <c r="D47" s="64">
        <v>104.48</v>
      </c>
      <c r="E47" s="64">
        <v>7.91</v>
      </c>
      <c r="F47" s="64">
        <v>2.13</v>
      </c>
      <c r="G47" s="64">
        <v>85.44</v>
      </c>
      <c r="H47" s="64">
        <v>22.34</v>
      </c>
      <c r="I47" s="210" t="s">
        <v>43</v>
      </c>
      <c r="J47" s="64">
        <v>1.43</v>
      </c>
      <c r="K47" s="64">
        <v>0.53</v>
      </c>
      <c r="L47" s="64">
        <v>27.46</v>
      </c>
      <c r="M47" s="64">
        <v>26.86</v>
      </c>
      <c r="N47" s="64">
        <v>683.6</v>
      </c>
      <c r="O47" s="64">
        <v>0</v>
      </c>
      <c r="P47" s="64">
        <v>0.88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3" t="s">
        <v>2683</v>
      </c>
      <c r="B48" s="211" t="s">
        <v>40</v>
      </c>
      <c r="C48" s="211" t="s">
        <v>40</v>
      </c>
      <c r="D48" s="211" t="s">
        <v>40</v>
      </c>
      <c r="E48" s="64">
        <v>8.25</v>
      </c>
      <c r="F48" s="64">
        <v>2.13</v>
      </c>
      <c r="G48" s="64">
        <v>85.44</v>
      </c>
      <c r="H48" s="64">
        <v>22.34</v>
      </c>
      <c r="I48" s="210" t="s">
        <v>43</v>
      </c>
      <c r="J48" s="64">
        <v>1.64</v>
      </c>
      <c r="K48" s="64">
        <v>355.99</v>
      </c>
      <c r="L48" s="64">
        <v>28.98</v>
      </c>
      <c r="M48" s="64">
        <v>24.8</v>
      </c>
      <c r="N48" s="64">
        <v>725.3</v>
      </c>
      <c r="O48" s="64">
        <v>0</v>
      </c>
      <c r="P48" s="64">
        <v>0.86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3" t="s">
        <v>2684</v>
      </c>
      <c r="B49" s="211" t="s">
        <v>40</v>
      </c>
      <c r="C49" s="211" t="s">
        <v>40</v>
      </c>
      <c r="D49" s="211" t="s">
        <v>40</v>
      </c>
      <c r="E49" s="64">
        <v>8.39</v>
      </c>
      <c r="F49" s="64">
        <v>2.13</v>
      </c>
      <c r="G49" s="64">
        <v>80.8</v>
      </c>
      <c r="H49" s="64">
        <v>21.57</v>
      </c>
      <c r="I49" s="210" t="s">
        <v>43</v>
      </c>
      <c r="J49" s="64">
        <v>1.33</v>
      </c>
      <c r="K49" s="64">
        <v>8.9700000000000006</v>
      </c>
      <c r="L49" s="64">
        <v>29.22</v>
      </c>
      <c r="M49" s="64">
        <v>23.92</v>
      </c>
      <c r="N49" s="64">
        <v>766.3</v>
      </c>
      <c r="O49" s="64">
        <v>0</v>
      </c>
      <c r="P49" s="64">
        <v>0.85</v>
      </c>
      <c r="Q49" s="64">
        <v>9.66</v>
      </c>
      <c r="R49" s="198"/>
      <c r="S49" s="198"/>
      <c r="T49" s="198"/>
      <c r="U49" s="198"/>
    </row>
    <row r="50" spans="1:21" s="12" customFormat="1" x14ac:dyDescent="0.25">
      <c r="A50" s="213" t="s">
        <v>2685</v>
      </c>
      <c r="B50" s="211" t="s">
        <v>40</v>
      </c>
      <c r="C50" s="211" t="s">
        <v>40</v>
      </c>
      <c r="D50" s="211" t="s">
        <v>40</v>
      </c>
      <c r="E50" s="64">
        <v>8.2799999999999994</v>
      </c>
      <c r="F50" s="64">
        <v>2.13</v>
      </c>
      <c r="G50" s="64">
        <v>80.75</v>
      </c>
      <c r="H50" s="64">
        <v>21.56</v>
      </c>
      <c r="I50" s="210" t="s">
        <v>43</v>
      </c>
      <c r="J50" s="64">
        <v>1.07</v>
      </c>
      <c r="K50" s="64">
        <v>14.5</v>
      </c>
      <c r="L50" s="64">
        <v>27.15</v>
      </c>
      <c r="M50" s="64">
        <v>27.9</v>
      </c>
      <c r="N50" s="64">
        <v>801.5</v>
      </c>
      <c r="O50" s="64">
        <v>0</v>
      </c>
      <c r="P50" s="64">
        <v>0.84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3" t="s">
        <v>2686</v>
      </c>
      <c r="B51" s="211" t="s">
        <v>40</v>
      </c>
      <c r="C51" s="211" t="s">
        <v>40</v>
      </c>
      <c r="D51" s="211" t="s">
        <v>40</v>
      </c>
      <c r="E51" s="64">
        <v>13.96</v>
      </c>
      <c r="F51" s="64">
        <v>2.33</v>
      </c>
      <c r="G51" s="64">
        <v>80.75</v>
      </c>
      <c r="H51" s="64">
        <v>21.56</v>
      </c>
      <c r="I51" s="64">
        <v>4.04</v>
      </c>
      <c r="J51" s="64">
        <v>0.64</v>
      </c>
      <c r="K51" s="64">
        <v>36.74</v>
      </c>
      <c r="L51" s="64">
        <v>27.96</v>
      </c>
      <c r="M51" s="64">
        <v>25.89</v>
      </c>
      <c r="N51" s="64">
        <v>829.5</v>
      </c>
      <c r="O51" s="64">
        <v>0</v>
      </c>
      <c r="P51" s="64">
        <v>0.77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13" t="s">
        <v>2687</v>
      </c>
      <c r="B52" s="211" t="s">
        <v>40</v>
      </c>
      <c r="C52" s="211" t="s">
        <v>40</v>
      </c>
      <c r="D52" s="211" t="s">
        <v>40</v>
      </c>
      <c r="E52" s="64">
        <v>11.52</v>
      </c>
      <c r="F52" s="64">
        <v>2.25</v>
      </c>
      <c r="G52" s="64">
        <v>80.75</v>
      </c>
      <c r="H52" s="64">
        <v>21.56</v>
      </c>
      <c r="I52" s="64">
        <v>3.83</v>
      </c>
      <c r="J52" s="64">
        <v>1.06</v>
      </c>
      <c r="K52" s="64">
        <v>45.33</v>
      </c>
      <c r="L52" s="64">
        <v>26.45</v>
      </c>
      <c r="M52" s="64">
        <v>26.59</v>
      </c>
      <c r="N52" s="64">
        <v>849.8</v>
      </c>
      <c r="O52" s="64">
        <v>0</v>
      </c>
      <c r="P52" s="64">
        <v>0.68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13" t="s">
        <v>2688</v>
      </c>
      <c r="B53" s="64">
        <v>16.739999999999998</v>
      </c>
      <c r="C53" s="64">
        <v>98.31</v>
      </c>
      <c r="D53" s="64">
        <v>83.85</v>
      </c>
      <c r="E53" s="64">
        <v>10.23</v>
      </c>
      <c r="F53" s="64">
        <v>20.81</v>
      </c>
      <c r="G53" s="211" t="s">
        <v>40</v>
      </c>
      <c r="H53" s="211" t="s">
        <v>40</v>
      </c>
      <c r="I53" s="64">
        <v>3.94</v>
      </c>
      <c r="J53" s="64">
        <v>1.67</v>
      </c>
      <c r="K53" s="64">
        <v>351.66</v>
      </c>
      <c r="L53" s="64">
        <v>29.91</v>
      </c>
      <c r="M53" s="64">
        <v>20.71</v>
      </c>
      <c r="N53" s="64">
        <v>860.8</v>
      </c>
      <c r="O53" s="64">
        <v>0</v>
      </c>
      <c r="P53" s="64">
        <v>0.65</v>
      </c>
      <c r="Q53" s="64">
        <v>9.5500000000000007</v>
      </c>
      <c r="R53" s="198"/>
      <c r="S53" s="198"/>
      <c r="T53" s="198"/>
      <c r="U53" s="198"/>
    </row>
    <row r="54" spans="1:21" s="12" customFormat="1" x14ac:dyDescent="0.25">
      <c r="A54" s="213" t="s">
        <v>2689</v>
      </c>
      <c r="B54" s="64">
        <v>16.96</v>
      </c>
      <c r="C54" s="64">
        <v>97.58</v>
      </c>
      <c r="D54" s="64">
        <v>63.21</v>
      </c>
      <c r="E54" s="64">
        <v>32.89</v>
      </c>
      <c r="F54" s="64">
        <v>463.73</v>
      </c>
      <c r="G54" s="211" t="s">
        <v>40</v>
      </c>
      <c r="H54" s="211" t="s">
        <v>40</v>
      </c>
      <c r="I54" s="64">
        <v>4.09</v>
      </c>
      <c r="J54" s="64">
        <v>0.9</v>
      </c>
      <c r="K54" s="64">
        <v>21.23</v>
      </c>
      <c r="L54" s="64">
        <v>30.21</v>
      </c>
      <c r="M54" s="64">
        <v>20.440000000000001</v>
      </c>
      <c r="N54" s="64">
        <v>837.5</v>
      </c>
      <c r="O54" s="64">
        <v>0</v>
      </c>
      <c r="P54" s="64">
        <v>0.66</v>
      </c>
      <c r="Q54" s="64">
        <v>9.52</v>
      </c>
      <c r="R54" s="198"/>
      <c r="S54" s="198"/>
      <c r="T54" s="198"/>
      <c r="U54" s="198"/>
    </row>
    <row r="55" spans="1:21" s="12" customFormat="1" x14ac:dyDescent="0.25">
      <c r="A55" s="213" t="s">
        <v>2690</v>
      </c>
      <c r="B55" s="64">
        <v>16.93</v>
      </c>
      <c r="C55" s="64">
        <v>96.67</v>
      </c>
      <c r="D55" s="64">
        <v>62.71</v>
      </c>
      <c r="E55" s="211" t="s">
        <v>40</v>
      </c>
      <c r="F55" s="64">
        <v>3.95</v>
      </c>
      <c r="G55" s="211" t="s">
        <v>40</v>
      </c>
      <c r="H55" s="211" t="s">
        <v>40</v>
      </c>
      <c r="I55" s="64">
        <v>3.97</v>
      </c>
      <c r="J55" s="64">
        <v>1.78</v>
      </c>
      <c r="K55" s="64">
        <v>348.22</v>
      </c>
      <c r="L55" s="64">
        <v>29.39</v>
      </c>
      <c r="M55" s="64">
        <v>21.18</v>
      </c>
      <c r="N55" s="64">
        <v>816.3</v>
      </c>
      <c r="O55" s="64">
        <v>0</v>
      </c>
      <c r="P55" s="64">
        <v>0.64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13" t="s">
        <v>2691</v>
      </c>
      <c r="B56" s="64">
        <v>15.17</v>
      </c>
      <c r="C56" s="64">
        <v>97.96</v>
      </c>
      <c r="D56" s="64">
        <v>61.97</v>
      </c>
      <c r="E56" s="211" t="s">
        <v>40</v>
      </c>
      <c r="F56" s="64">
        <v>4.32</v>
      </c>
      <c r="G56" s="211" t="s">
        <v>40</v>
      </c>
      <c r="H56" s="211" t="s">
        <v>40</v>
      </c>
      <c r="I56" s="64">
        <v>4.03</v>
      </c>
      <c r="J56" s="64">
        <v>1.86</v>
      </c>
      <c r="K56" s="64">
        <v>336.76</v>
      </c>
      <c r="L56" s="64">
        <v>31.13</v>
      </c>
      <c r="M56" s="64">
        <v>19.350000000000001</v>
      </c>
      <c r="N56" s="64">
        <v>783.6</v>
      </c>
      <c r="O56" s="64">
        <v>0</v>
      </c>
      <c r="P56" s="64">
        <v>0.62</v>
      </c>
      <c r="Q56" s="64">
        <v>9.5399999999999991</v>
      </c>
      <c r="R56" s="198"/>
      <c r="S56" s="198"/>
      <c r="T56" s="198"/>
      <c r="U56" s="198"/>
    </row>
    <row r="57" spans="1:21" s="12" customFormat="1" x14ac:dyDescent="0.25">
      <c r="A57" s="213" t="s">
        <v>2692</v>
      </c>
      <c r="B57" s="64">
        <v>12.4</v>
      </c>
      <c r="C57" s="64">
        <v>96.9</v>
      </c>
      <c r="D57" s="64">
        <v>59.19</v>
      </c>
      <c r="E57" s="211" t="s">
        <v>40</v>
      </c>
      <c r="F57" s="64">
        <v>3.19</v>
      </c>
      <c r="G57" s="64">
        <v>30.66</v>
      </c>
      <c r="H57" s="64">
        <v>8.64</v>
      </c>
      <c r="I57" s="64">
        <v>4.09</v>
      </c>
      <c r="J57" s="64">
        <v>1.81</v>
      </c>
      <c r="K57" s="64">
        <v>348.99</v>
      </c>
      <c r="L57" s="64">
        <v>30.91</v>
      </c>
      <c r="M57" s="64">
        <v>19.75</v>
      </c>
      <c r="N57" s="64">
        <v>768.2</v>
      </c>
      <c r="O57" s="64">
        <v>0</v>
      </c>
      <c r="P57" s="64">
        <v>0.57999999999999996</v>
      </c>
      <c r="Q57" s="64">
        <v>9.52</v>
      </c>
      <c r="R57" s="198"/>
      <c r="S57" s="198"/>
      <c r="T57" s="198"/>
      <c r="U57" s="198"/>
    </row>
    <row r="58" spans="1:21" s="12" customFormat="1" x14ac:dyDescent="0.25">
      <c r="A58" s="213" t="s">
        <v>2693</v>
      </c>
      <c r="B58" s="64">
        <v>8.5500000000000007</v>
      </c>
      <c r="C58" s="64">
        <v>96.28</v>
      </c>
      <c r="D58" s="64">
        <v>55.79</v>
      </c>
      <c r="E58" s="64">
        <v>19.96</v>
      </c>
      <c r="F58" s="64">
        <v>125.25</v>
      </c>
      <c r="G58" s="64">
        <v>83.61</v>
      </c>
      <c r="H58" s="64">
        <v>23.56</v>
      </c>
      <c r="I58" s="64">
        <v>4.01</v>
      </c>
      <c r="J58" s="64">
        <v>1.5</v>
      </c>
      <c r="K58" s="64">
        <v>352.92</v>
      </c>
      <c r="L58" s="64">
        <v>30.62</v>
      </c>
      <c r="M58" s="64">
        <v>19.61</v>
      </c>
      <c r="N58" s="64">
        <v>753.3</v>
      </c>
      <c r="O58" s="64">
        <v>0</v>
      </c>
      <c r="P58" s="64">
        <v>0.6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3" t="s">
        <v>2694</v>
      </c>
      <c r="B59" s="64">
        <v>7.21</v>
      </c>
      <c r="C59" s="64">
        <v>92.16</v>
      </c>
      <c r="D59" s="64">
        <v>52.55</v>
      </c>
      <c r="E59" s="64">
        <v>40.369999999999997</v>
      </c>
      <c r="F59" s="64">
        <v>290.7</v>
      </c>
      <c r="G59" s="64">
        <v>83.61</v>
      </c>
      <c r="H59" s="64">
        <v>23.56</v>
      </c>
      <c r="I59" s="64">
        <v>4.07</v>
      </c>
      <c r="J59" s="64">
        <v>1.43</v>
      </c>
      <c r="K59" s="64">
        <v>356.92</v>
      </c>
      <c r="L59" s="64">
        <v>30.96</v>
      </c>
      <c r="M59" s="64">
        <v>17.73</v>
      </c>
      <c r="N59" s="64">
        <v>760.9</v>
      </c>
      <c r="O59" s="64">
        <v>0</v>
      </c>
      <c r="P59" s="64">
        <v>0.56999999999999995</v>
      </c>
      <c r="Q59" s="64">
        <v>9.5</v>
      </c>
      <c r="R59" s="198"/>
      <c r="S59" s="198"/>
      <c r="T59" s="198"/>
      <c r="U59" s="198"/>
    </row>
    <row r="60" spans="1:21" s="12" customFormat="1" x14ac:dyDescent="0.25">
      <c r="A60" s="213" t="s">
        <v>2695</v>
      </c>
      <c r="B60" s="64">
        <v>5.42</v>
      </c>
      <c r="C60" s="64">
        <v>90.21</v>
      </c>
      <c r="D60" s="64">
        <v>50.1</v>
      </c>
      <c r="E60" s="64">
        <v>9.4</v>
      </c>
      <c r="F60" s="64">
        <v>240.48</v>
      </c>
      <c r="G60" s="64">
        <v>83.61</v>
      </c>
      <c r="H60" s="64">
        <v>23.56</v>
      </c>
      <c r="I60" s="64">
        <v>4.21</v>
      </c>
      <c r="J60" s="64">
        <v>1.45</v>
      </c>
      <c r="K60" s="64">
        <v>333.66</v>
      </c>
      <c r="L60" s="64">
        <v>30.82</v>
      </c>
      <c r="M60" s="64">
        <v>17.22</v>
      </c>
      <c r="N60" s="64">
        <v>800.4</v>
      </c>
      <c r="O60" s="64">
        <v>0</v>
      </c>
      <c r="P60" s="64">
        <v>0.55000000000000004</v>
      </c>
      <c r="Q60" s="64">
        <v>9.4700000000000006</v>
      </c>
      <c r="R60" s="198"/>
      <c r="S60" s="198"/>
      <c r="T60" s="198"/>
      <c r="U60" s="198"/>
    </row>
    <row r="61" spans="1:21" s="12" customFormat="1" x14ac:dyDescent="0.25">
      <c r="A61" s="213" t="s">
        <v>2696</v>
      </c>
      <c r="B61" s="64">
        <v>4.68</v>
      </c>
      <c r="C61" s="64">
        <v>87.4</v>
      </c>
      <c r="D61" s="64">
        <v>48.04</v>
      </c>
      <c r="E61" s="64">
        <v>8.32</v>
      </c>
      <c r="F61" s="64">
        <v>10.44</v>
      </c>
      <c r="G61" s="64">
        <v>85.58</v>
      </c>
      <c r="H61" s="64">
        <v>24.59</v>
      </c>
      <c r="I61" s="64">
        <v>3.98</v>
      </c>
      <c r="J61" s="64">
        <v>1.42</v>
      </c>
      <c r="K61" s="64">
        <v>342.68</v>
      </c>
      <c r="L61" s="64">
        <v>31.12</v>
      </c>
      <c r="M61" s="64">
        <v>16.440000000000001</v>
      </c>
      <c r="N61" s="64">
        <v>767.5</v>
      </c>
      <c r="O61" s="64">
        <v>0</v>
      </c>
      <c r="P61" s="64">
        <v>0.52</v>
      </c>
      <c r="Q61" s="64">
        <v>9.49</v>
      </c>
      <c r="R61" s="198"/>
      <c r="S61" s="198"/>
      <c r="T61" s="198"/>
      <c r="U61" s="198"/>
    </row>
    <row r="62" spans="1:21" s="12" customFormat="1" x14ac:dyDescent="0.25">
      <c r="A62" s="213" t="s">
        <v>2697</v>
      </c>
      <c r="B62" s="64">
        <v>4.6900000000000004</v>
      </c>
      <c r="C62" s="64">
        <v>82.75</v>
      </c>
      <c r="D62" s="64">
        <v>45.61</v>
      </c>
      <c r="E62" s="64">
        <v>8.02</v>
      </c>
      <c r="F62" s="64">
        <v>11.33</v>
      </c>
      <c r="G62" s="64">
        <v>88.98</v>
      </c>
      <c r="H62" s="64">
        <v>26.37</v>
      </c>
      <c r="I62" s="64">
        <v>4.07</v>
      </c>
      <c r="J62" s="64">
        <v>1.57</v>
      </c>
      <c r="K62" s="64">
        <v>342.58</v>
      </c>
      <c r="L62" s="64">
        <v>32.01</v>
      </c>
      <c r="M62" s="64">
        <v>14.72</v>
      </c>
      <c r="N62" s="64">
        <v>767.9</v>
      </c>
      <c r="O62" s="64">
        <v>0</v>
      </c>
      <c r="P62" s="64">
        <v>0.56999999999999995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3" t="s">
        <v>2698</v>
      </c>
      <c r="B63" s="64">
        <v>4.37</v>
      </c>
      <c r="C63" s="64">
        <v>80.239999999999995</v>
      </c>
      <c r="D63" s="64">
        <v>44.05</v>
      </c>
      <c r="E63" s="64">
        <v>8.23</v>
      </c>
      <c r="F63" s="64">
        <v>10.55</v>
      </c>
      <c r="G63" s="64">
        <v>88.98</v>
      </c>
      <c r="H63" s="64">
        <v>26.37</v>
      </c>
      <c r="I63" s="64">
        <v>4.16</v>
      </c>
      <c r="J63" s="64">
        <v>1.85</v>
      </c>
      <c r="K63" s="64">
        <v>334.08</v>
      </c>
      <c r="L63" s="64">
        <v>31.46</v>
      </c>
      <c r="M63" s="64">
        <v>14.31</v>
      </c>
      <c r="N63" s="64">
        <v>685.2</v>
      </c>
      <c r="O63" s="64">
        <v>0</v>
      </c>
      <c r="P63" s="64">
        <v>0.56000000000000005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3" t="s">
        <v>2699</v>
      </c>
      <c r="B64" s="64">
        <v>4.59</v>
      </c>
      <c r="C64" s="64">
        <v>78.73</v>
      </c>
      <c r="D64" s="64">
        <v>43.43</v>
      </c>
      <c r="E64" s="64">
        <v>5.92</v>
      </c>
      <c r="F64" s="64">
        <v>8.9600000000000009</v>
      </c>
      <c r="G64" s="64">
        <v>88.98</v>
      </c>
      <c r="H64" s="64">
        <v>26.37</v>
      </c>
      <c r="I64" s="64">
        <v>4.1500000000000004</v>
      </c>
      <c r="J64" s="64">
        <v>1.8</v>
      </c>
      <c r="K64" s="64">
        <v>315.2</v>
      </c>
      <c r="L64" s="64">
        <v>31.42</v>
      </c>
      <c r="M64" s="64">
        <v>13.12</v>
      </c>
      <c r="N64" s="64">
        <v>510.9</v>
      </c>
      <c r="O64" s="64">
        <v>0</v>
      </c>
      <c r="P64" s="64">
        <v>0.56000000000000005</v>
      </c>
      <c r="Q64" s="64">
        <v>9.5299999999999994</v>
      </c>
      <c r="R64" s="198"/>
      <c r="S64" s="198"/>
      <c r="T64" s="198"/>
      <c r="U64" s="198"/>
    </row>
    <row r="65" spans="1:21" s="12" customFormat="1" x14ac:dyDescent="0.25">
      <c r="A65" s="213" t="s">
        <v>2700</v>
      </c>
      <c r="B65" s="64">
        <v>5.08</v>
      </c>
      <c r="C65" s="64">
        <v>75.930000000000007</v>
      </c>
      <c r="D65" s="64">
        <v>42.37</v>
      </c>
      <c r="E65" s="64">
        <v>5.98</v>
      </c>
      <c r="F65" s="64">
        <v>8.2899999999999991</v>
      </c>
      <c r="G65" s="64">
        <v>83.2</v>
      </c>
      <c r="H65" s="64">
        <v>25.38</v>
      </c>
      <c r="I65" s="64">
        <v>4.05</v>
      </c>
      <c r="J65" s="64">
        <v>1.76</v>
      </c>
      <c r="K65" s="64">
        <v>336.59</v>
      </c>
      <c r="L65" s="64">
        <v>31.94</v>
      </c>
      <c r="M65" s="64">
        <v>12.49</v>
      </c>
      <c r="N65" s="64">
        <v>602.70000000000005</v>
      </c>
      <c r="O65" s="64">
        <v>0</v>
      </c>
      <c r="P65" s="64">
        <v>0.55000000000000004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3" t="s">
        <v>2701</v>
      </c>
      <c r="B66" s="64">
        <v>5.66</v>
      </c>
      <c r="C66" s="64">
        <v>74.260000000000005</v>
      </c>
      <c r="D66" s="64">
        <v>41.96</v>
      </c>
      <c r="E66" s="64">
        <v>5.89</v>
      </c>
      <c r="F66" s="64">
        <v>7.8</v>
      </c>
      <c r="G66" s="64">
        <v>73.209999999999994</v>
      </c>
      <c r="H66" s="64">
        <v>23.68</v>
      </c>
      <c r="I66" s="64">
        <v>4.05</v>
      </c>
      <c r="J66" s="64">
        <v>1.32</v>
      </c>
      <c r="K66" s="64">
        <v>4.97</v>
      </c>
      <c r="L66" s="64">
        <v>30.71</v>
      </c>
      <c r="M66" s="64">
        <v>11.03</v>
      </c>
      <c r="N66" s="64">
        <v>578.29999999999995</v>
      </c>
      <c r="O66" s="64">
        <v>0</v>
      </c>
      <c r="P66" s="64">
        <v>0.51</v>
      </c>
      <c r="Q66" s="64">
        <v>9.51</v>
      </c>
      <c r="R66" s="198"/>
      <c r="S66" s="198"/>
      <c r="T66" s="198"/>
      <c r="U66" s="198"/>
    </row>
    <row r="67" spans="1:21" s="12" customFormat="1" x14ac:dyDescent="0.25">
      <c r="A67" s="213" t="s">
        <v>2702</v>
      </c>
      <c r="B67" s="64">
        <v>6.37</v>
      </c>
      <c r="C67" s="64">
        <v>72.48</v>
      </c>
      <c r="D67" s="64">
        <v>41.6</v>
      </c>
      <c r="E67" s="64">
        <v>6.09</v>
      </c>
      <c r="F67" s="64">
        <v>6.89</v>
      </c>
      <c r="G67" s="64">
        <v>73.209999999999994</v>
      </c>
      <c r="H67" s="64">
        <v>23.68</v>
      </c>
      <c r="I67" s="64">
        <v>3.97</v>
      </c>
      <c r="J67" s="64">
        <v>1.47</v>
      </c>
      <c r="K67" s="64">
        <v>342.49</v>
      </c>
      <c r="L67" s="64">
        <v>30.03</v>
      </c>
      <c r="M67" s="64">
        <v>9.7799999999999994</v>
      </c>
      <c r="N67" s="64">
        <v>671.6</v>
      </c>
      <c r="O67" s="64">
        <v>0</v>
      </c>
      <c r="P67" s="64">
        <v>0.52</v>
      </c>
      <c r="Q67" s="64">
        <v>9.5299999999999994</v>
      </c>
      <c r="R67" s="198"/>
      <c r="S67" s="198"/>
      <c r="T67" s="198"/>
      <c r="U67" s="198"/>
    </row>
    <row r="68" spans="1:21" s="12" customFormat="1" x14ac:dyDescent="0.25">
      <c r="A68" s="213" t="s">
        <v>2703</v>
      </c>
      <c r="B68" s="64">
        <v>6.43</v>
      </c>
      <c r="C68" s="64">
        <v>68.22</v>
      </c>
      <c r="D68" s="64">
        <v>39.43</v>
      </c>
      <c r="E68" s="64">
        <v>7.6</v>
      </c>
      <c r="F68" s="64">
        <v>11.43</v>
      </c>
      <c r="G68" s="64">
        <v>73.209999999999994</v>
      </c>
      <c r="H68" s="64">
        <v>23.68</v>
      </c>
      <c r="I68" s="64">
        <v>4.07</v>
      </c>
      <c r="J68" s="64">
        <v>2.1800000000000002</v>
      </c>
      <c r="K68" s="64">
        <v>358.67</v>
      </c>
      <c r="L68" s="64">
        <v>29.94</v>
      </c>
      <c r="M68" s="64">
        <v>8.74</v>
      </c>
      <c r="N68" s="64">
        <v>372</v>
      </c>
      <c r="O68" s="64">
        <v>0</v>
      </c>
      <c r="P68" s="64">
        <v>0.45</v>
      </c>
      <c r="Q68" s="64">
        <v>9.48</v>
      </c>
      <c r="R68" s="198"/>
      <c r="S68" s="198"/>
      <c r="T68" s="198"/>
      <c r="U68" s="198"/>
    </row>
    <row r="69" spans="1:21" s="12" customFormat="1" x14ac:dyDescent="0.25">
      <c r="A69" s="213" t="s">
        <v>2704</v>
      </c>
      <c r="B69" s="64">
        <v>7.94</v>
      </c>
      <c r="C69" s="64">
        <v>61.98</v>
      </c>
      <c r="D69" s="64">
        <v>37.369999999999997</v>
      </c>
      <c r="E69" s="64">
        <v>9.23</v>
      </c>
      <c r="F69" s="64">
        <v>10.37</v>
      </c>
      <c r="G69" s="64">
        <v>63.11</v>
      </c>
      <c r="H69" s="64">
        <v>21.69</v>
      </c>
      <c r="I69" s="64">
        <v>3.98</v>
      </c>
      <c r="J69" s="64">
        <v>2.34</v>
      </c>
      <c r="K69" s="64">
        <v>346.14</v>
      </c>
      <c r="L69" s="64">
        <v>29.89</v>
      </c>
      <c r="M69" s="64">
        <v>8.42</v>
      </c>
      <c r="N69" s="64">
        <v>444.4</v>
      </c>
      <c r="O69" s="64">
        <v>0</v>
      </c>
      <c r="P69" s="64">
        <v>0.43</v>
      </c>
      <c r="Q69" s="64">
        <v>9.4</v>
      </c>
      <c r="R69" s="198"/>
      <c r="S69" s="198"/>
      <c r="T69" s="198"/>
      <c r="U69" s="198"/>
    </row>
    <row r="70" spans="1:21" s="12" customFormat="1" x14ac:dyDescent="0.25">
      <c r="A70" s="213" t="s">
        <v>2705</v>
      </c>
      <c r="B70" s="64">
        <v>11.56</v>
      </c>
      <c r="C70" s="64">
        <v>58.7</v>
      </c>
      <c r="D70" s="64">
        <v>38.56</v>
      </c>
      <c r="E70" s="64">
        <v>9.3699999999999992</v>
      </c>
      <c r="F70" s="64">
        <v>15.54</v>
      </c>
      <c r="G70" s="64">
        <v>45.65</v>
      </c>
      <c r="H70" s="64">
        <v>18.260000000000002</v>
      </c>
      <c r="I70" s="64">
        <v>4.07</v>
      </c>
      <c r="J70" s="64">
        <v>2.31</v>
      </c>
      <c r="K70" s="64">
        <v>354.34</v>
      </c>
      <c r="L70" s="64">
        <v>30.05</v>
      </c>
      <c r="M70" s="64">
        <v>9.34</v>
      </c>
      <c r="N70" s="64">
        <v>388.2</v>
      </c>
      <c r="O70" s="64">
        <v>0</v>
      </c>
      <c r="P70" s="64">
        <v>0.43</v>
      </c>
      <c r="Q70" s="64">
        <v>9.3800000000000008</v>
      </c>
      <c r="R70" s="198"/>
      <c r="S70" s="198"/>
      <c r="T70" s="198"/>
      <c r="U70" s="198"/>
    </row>
    <row r="71" spans="1:21" s="12" customFormat="1" x14ac:dyDescent="0.25">
      <c r="A71" s="213" t="s">
        <v>2706</v>
      </c>
      <c r="B71" s="64">
        <v>11.48</v>
      </c>
      <c r="C71" s="64">
        <v>58.15</v>
      </c>
      <c r="D71" s="64">
        <v>38.21</v>
      </c>
      <c r="E71" s="64">
        <v>8.6999999999999993</v>
      </c>
      <c r="F71" s="64">
        <v>20.239999999999998</v>
      </c>
      <c r="G71" s="64">
        <v>45.65</v>
      </c>
      <c r="H71" s="64">
        <v>18.260000000000002</v>
      </c>
      <c r="I71" s="64">
        <v>4.04</v>
      </c>
      <c r="J71" s="64">
        <v>1.7</v>
      </c>
      <c r="K71" s="64">
        <v>345.6</v>
      </c>
      <c r="L71" s="64">
        <v>29.31</v>
      </c>
      <c r="M71" s="64">
        <v>10.31</v>
      </c>
      <c r="N71" s="64">
        <v>234.5</v>
      </c>
      <c r="O71" s="64">
        <v>0</v>
      </c>
      <c r="P71" s="64">
        <v>0.41</v>
      </c>
      <c r="Q71" s="64">
        <v>9.4499999999999993</v>
      </c>
      <c r="R71" s="198"/>
      <c r="S71" s="198"/>
      <c r="T71" s="198"/>
      <c r="U71" s="198"/>
    </row>
    <row r="72" spans="1:21" s="12" customFormat="1" x14ac:dyDescent="0.25">
      <c r="A72" s="213" t="s">
        <v>2707</v>
      </c>
      <c r="B72" s="64">
        <v>12.44</v>
      </c>
      <c r="C72" s="64">
        <v>52.52</v>
      </c>
      <c r="D72" s="64">
        <v>36.04</v>
      </c>
      <c r="E72" s="64">
        <v>15</v>
      </c>
      <c r="F72" s="64">
        <v>21.08</v>
      </c>
      <c r="G72" s="64">
        <v>45.65</v>
      </c>
      <c r="H72" s="64">
        <v>18.260000000000002</v>
      </c>
      <c r="I72" s="64">
        <v>3.97</v>
      </c>
      <c r="J72" s="64">
        <v>1.8</v>
      </c>
      <c r="K72" s="64">
        <v>346.37</v>
      </c>
      <c r="L72" s="64">
        <v>28.24</v>
      </c>
      <c r="M72" s="64">
        <v>11.22</v>
      </c>
      <c r="N72" s="64">
        <v>252.7</v>
      </c>
      <c r="O72" s="64">
        <v>0</v>
      </c>
      <c r="P72" s="64">
        <v>0.44</v>
      </c>
      <c r="Q72" s="64">
        <v>9.51</v>
      </c>
      <c r="R72" s="198"/>
      <c r="S72" s="198"/>
      <c r="T72" s="198"/>
      <c r="U72" s="198"/>
    </row>
    <row r="73" spans="1:21" s="12" customFormat="1" x14ac:dyDescent="0.25">
      <c r="A73" s="213" t="s">
        <v>2708</v>
      </c>
      <c r="B73" s="64">
        <v>12.51</v>
      </c>
      <c r="C73" s="64">
        <v>59.81</v>
      </c>
      <c r="D73" s="64">
        <v>39.9</v>
      </c>
      <c r="E73" s="64">
        <v>20.71</v>
      </c>
      <c r="F73" s="64">
        <v>23.23</v>
      </c>
      <c r="G73" s="64">
        <v>43.56</v>
      </c>
      <c r="H73" s="64">
        <v>17.22</v>
      </c>
      <c r="I73" s="64">
        <v>3.93</v>
      </c>
      <c r="J73" s="64">
        <v>1.86</v>
      </c>
      <c r="K73" s="64">
        <v>349.89</v>
      </c>
      <c r="L73" s="64">
        <v>27.36</v>
      </c>
      <c r="M73" s="64">
        <v>10.81</v>
      </c>
      <c r="N73" s="64">
        <v>135.80000000000001</v>
      </c>
      <c r="O73" s="64">
        <v>0</v>
      </c>
      <c r="P73" s="64">
        <v>0.45</v>
      </c>
      <c r="Q73" s="64">
        <v>9.56</v>
      </c>
      <c r="R73" s="198"/>
      <c r="S73" s="198"/>
      <c r="T73" s="198"/>
      <c r="U73" s="198"/>
    </row>
    <row r="74" spans="1:21" s="12" customFormat="1" x14ac:dyDescent="0.25">
      <c r="A74" s="213" t="s">
        <v>2709</v>
      </c>
      <c r="B74" s="64">
        <v>12.48</v>
      </c>
      <c r="C74" s="64">
        <v>56.8</v>
      </c>
      <c r="D74" s="64">
        <v>38.31</v>
      </c>
      <c r="E74" s="64">
        <v>21.56</v>
      </c>
      <c r="F74" s="64">
        <v>22.13</v>
      </c>
      <c r="G74" s="64">
        <v>39.94</v>
      </c>
      <c r="H74" s="64">
        <v>15.41</v>
      </c>
      <c r="I74" s="64">
        <v>4.0999999999999996</v>
      </c>
      <c r="J74" s="64">
        <v>2.2000000000000002</v>
      </c>
      <c r="K74" s="64">
        <v>355.74</v>
      </c>
      <c r="L74" s="64">
        <v>26.82</v>
      </c>
      <c r="M74" s="64">
        <v>10.69</v>
      </c>
      <c r="N74" s="64">
        <v>155.9</v>
      </c>
      <c r="O74" s="64">
        <v>0</v>
      </c>
      <c r="P74" s="64">
        <v>0.44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3" t="s">
        <v>2710</v>
      </c>
      <c r="B75" s="64">
        <v>12.79</v>
      </c>
      <c r="C75" s="64">
        <v>63.45</v>
      </c>
      <c r="D75" s="64">
        <v>42.03</v>
      </c>
      <c r="E75" s="64">
        <v>22.34</v>
      </c>
      <c r="F75" s="64">
        <v>26.9</v>
      </c>
      <c r="G75" s="64">
        <v>39.94</v>
      </c>
      <c r="H75" s="64">
        <v>15.41</v>
      </c>
      <c r="I75" s="64">
        <v>4.04</v>
      </c>
      <c r="J75" s="64">
        <v>1.64</v>
      </c>
      <c r="K75" s="64">
        <v>359.27</v>
      </c>
      <c r="L75" s="64">
        <v>26.5</v>
      </c>
      <c r="M75" s="64">
        <v>11.11</v>
      </c>
      <c r="N75" s="64">
        <v>136.30000000000001</v>
      </c>
      <c r="O75" s="64">
        <v>0</v>
      </c>
      <c r="P75" s="64">
        <v>0.48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3" t="s">
        <v>2711</v>
      </c>
      <c r="B76" s="64">
        <v>11.41</v>
      </c>
      <c r="C76" s="64">
        <v>68.53</v>
      </c>
      <c r="D76" s="64">
        <v>43.58</v>
      </c>
      <c r="E76" s="64">
        <v>20.45</v>
      </c>
      <c r="F76" s="64">
        <v>18.79</v>
      </c>
      <c r="G76" s="64">
        <v>39.94</v>
      </c>
      <c r="H76" s="64">
        <v>15.41</v>
      </c>
      <c r="I76" s="64">
        <v>4.01</v>
      </c>
      <c r="J76" s="64">
        <v>1.57</v>
      </c>
      <c r="K76" s="64">
        <v>352.57</v>
      </c>
      <c r="L76" s="64">
        <v>26.4</v>
      </c>
      <c r="M76" s="64">
        <v>12.68</v>
      </c>
      <c r="N76" s="64">
        <v>136.1</v>
      </c>
      <c r="O76" s="64">
        <v>0</v>
      </c>
      <c r="P76" s="64">
        <v>0.49</v>
      </c>
      <c r="Q76" s="64">
        <v>9.3800000000000008</v>
      </c>
      <c r="R76" s="198"/>
      <c r="S76" s="198"/>
      <c r="T76" s="198"/>
      <c r="U76" s="198"/>
    </row>
    <row r="77" spans="1:21" s="12" customFormat="1" x14ac:dyDescent="0.25">
      <c r="A77" s="213" t="s">
        <v>2712</v>
      </c>
      <c r="B77" s="64">
        <v>25.45</v>
      </c>
      <c r="C77" s="64">
        <v>76.569999999999993</v>
      </c>
      <c r="D77" s="64">
        <v>59.04</v>
      </c>
      <c r="E77" s="64">
        <v>27.54</v>
      </c>
      <c r="F77" s="64">
        <v>19.399999999999999</v>
      </c>
      <c r="G77" s="64">
        <v>46.73</v>
      </c>
      <c r="H77" s="64">
        <v>15.51</v>
      </c>
      <c r="I77" s="64">
        <v>4.05</v>
      </c>
      <c r="J77" s="64">
        <v>1.24</v>
      </c>
      <c r="K77" s="64">
        <v>4.7</v>
      </c>
      <c r="L77" s="64">
        <v>25.88</v>
      </c>
      <c r="M77" s="64">
        <v>12.49</v>
      </c>
      <c r="N77" s="64">
        <v>102.8</v>
      </c>
      <c r="O77" s="64">
        <v>0</v>
      </c>
      <c r="P77" s="64">
        <v>0.57999999999999996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13" t="s">
        <v>2713</v>
      </c>
      <c r="B78" s="64">
        <v>12.81</v>
      </c>
      <c r="C78" s="64">
        <v>74.37</v>
      </c>
      <c r="D78" s="64">
        <v>47.75</v>
      </c>
      <c r="E78" s="64">
        <v>20.74</v>
      </c>
      <c r="F78" s="64">
        <v>13.94</v>
      </c>
      <c r="G78" s="64">
        <v>58.45</v>
      </c>
      <c r="H78" s="64">
        <v>15.67</v>
      </c>
      <c r="I78" s="64">
        <v>4.07</v>
      </c>
      <c r="J78" s="64">
        <v>0.87</v>
      </c>
      <c r="K78" s="64">
        <v>9.82</v>
      </c>
      <c r="L78" s="64">
        <v>25.34</v>
      </c>
      <c r="M78" s="64">
        <v>14.22</v>
      </c>
      <c r="N78" s="64">
        <v>94.2</v>
      </c>
      <c r="O78" s="64">
        <v>0</v>
      </c>
      <c r="P78" s="64">
        <v>0.56999999999999995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3" t="s">
        <v>2714</v>
      </c>
      <c r="B79" s="64">
        <v>8.98</v>
      </c>
      <c r="C79" s="64">
        <v>68.239999999999995</v>
      </c>
      <c r="D79" s="64">
        <v>41.48</v>
      </c>
      <c r="E79" s="64">
        <v>15.9</v>
      </c>
      <c r="F79" s="64">
        <v>15.04</v>
      </c>
      <c r="G79" s="64">
        <v>58.45</v>
      </c>
      <c r="H79" s="64">
        <v>15.67</v>
      </c>
      <c r="I79" s="64">
        <v>4.0199999999999996</v>
      </c>
      <c r="J79" s="64">
        <v>0.97</v>
      </c>
      <c r="K79" s="64">
        <v>77.150000000000006</v>
      </c>
      <c r="L79" s="64">
        <v>24.69</v>
      </c>
      <c r="M79" s="64">
        <v>14.34</v>
      </c>
      <c r="N79" s="64">
        <v>82.2</v>
      </c>
      <c r="O79" s="64">
        <v>0</v>
      </c>
      <c r="P79" s="64">
        <v>0.54</v>
      </c>
      <c r="Q79" s="64">
        <v>9.36</v>
      </c>
      <c r="R79" s="198"/>
      <c r="S79" s="198"/>
      <c r="T79" s="198"/>
      <c r="U79" s="198"/>
    </row>
    <row r="80" spans="1:21" s="12" customFormat="1" x14ac:dyDescent="0.25">
      <c r="A80" s="213" t="s">
        <v>2715</v>
      </c>
      <c r="B80" s="64">
        <v>15.61</v>
      </c>
      <c r="C80" s="64">
        <v>83.37</v>
      </c>
      <c r="D80" s="64">
        <v>54.7</v>
      </c>
      <c r="E80" s="64">
        <v>21.09</v>
      </c>
      <c r="F80" s="64">
        <v>12.88</v>
      </c>
      <c r="G80" s="64">
        <v>58.45</v>
      </c>
      <c r="H80" s="64">
        <v>15.67</v>
      </c>
      <c r="I80" s="64">
        <v>4.1399999999999997</v>
      </c>
      <c r="J80" s="64">
        <v>0.45</v>
      </c>
      <c r="K80" s="64">
        <v>56.19</v>
      </c>
      <c r="L80" s="64">
        <v>24.01</v>
      </c>
      <c r="M80" s="64">
        <v>15.77</v>
      </c>
      <c r="N80" s="64">
        <v>71.599999999999994</v>
      </c>
      <c r="O80" s="64">
        <v>0</v>
      </c>
      <c r="P80" s="64">
        <v>0.7</v>
      </c>
      <c r="Q80" s="64">
        <v>9.42</v>
      </c>
      <c r="R80" s="198"/>
      <c r="S80" s="198"/>
      <c r="T80" s="198"/>
      <c r="U80" s="198"/>
    </row>
    <row r="81" spans="1:26" s="12" customFormat="1" x14ac:dyDescent="0.25">
      <c r="A81" s="213" t="s">
        <v>2716</v>
      </c>
      <c r="B81" s="64">
        <v>32.89</v>
      </c>
      <c r="C81" s="64">
        <v>90.8</v>
      </c>
      <c r="D81" s="64">
        <v>72.44</v>
      </c>
      <c r="E81" s="64">
        <v>15.34</v>
      </c>
      <c r="F81" s="64">
        <v>9.02</v>
      </c>
      <c r="G81" s="64">
        <v>57.47</v>
      </c>
      <c r="H81" s="64">
        <v>15.67</v>
      </c>
      <c r="I81" s="64">
        <v>3.97</v>
      </c>
      <c r="J81" s="64">
        <v>0.62</v>
      </c>
      <c r="K81" s="64">
        <v>350.68</v>
      </c>
      <c r="L81" s="64">
        <v>23.08</v>
      </c>
      <c r="M81" s="64">
        <v>23.13</v>
      </c>
      <c r="N81" s="64">
        <v>66.2</v>
      </c>
      <c r="O81" s="64">
        <v>0</v>
      </c>
      <c r="P81" s="64">
        <v>1.1399999999999999</v>
      </c>
      <c r="Q81" s="64">
        <v>9.49</v>
      </c>
      <c r="R81" s="198"/>
      <c r="S81" s="198"/>
      <c r="T81" s="198"/>
      <c r="U81" s="198"/>
    </row>
    <row r="82" spans="1:26" s="12" customFormat="1" x14ac:dyDescent="0.25">
      <c r="A82" s="213" t="s">
        <v>2717</v>
      </c>
      <c r="B82" s="64">
        <v>40.450000000000003</v>
      </c>
      <c r="C82" s="64">
        <v>82.29</v>
      </c>
      <c r="D82" s="64">
        <v>74.06</v>
      </c>
      <c r="E82" s="64">
        <v>9.61</v>
      </c>
      <c r="F82" s="64">
        <v>7.68</v>
      </c>
      <c r="G82" s="64">
        <v>55.77</v>
      </c>
      <c r="H82" s="64">
        <v>15.67</v>
      </c>
      <c r="I82" s="64">
        <v>3.9</v>
      </c>
      <c r="J82" s="64">
        <v>0.57999999999999996</v>
      </c>
      <c r="K82" s="64">
        <v>316.45999999999998</v>
      </c>
      <c r="L82" s="64">
        <v>22.01</v>
      </c>
      <c r="M82" s="64">
        <v>23.91</v>
      </c>
      <c r="N82" s="64">
        <v>65</v>
      </c>
      <c r="O82" s="64">
        <v>0</v>
      </c>
      <c r="P82" s="64">
        <v>1.04</v>
      </c>
      <c r="Q82" s="64">
        <v>9.5500000000000007</v>
      </c>
      <c r="R82" s="198"/>
      <c r="S82" s="198"/>
      <c r="T82" s="198"/>
      <c r="U82" s="198"/>
    </row>
    <row r="83" spans="1:26" s="12" customFormat="1" x14ac:dyDescent="0.25">
      <c r="A83" s="213" t="s">
        <v>2718</v>
      </c>
      <c r="B83" s="64">
        <v>40.450000000000003</v>
      </c>
      <c r="C83" s="64">
        <v>85.62</v>
      </c>
      <c r="D83" s="64">
        <v>75.790000000000006</v>
      </c>
      <c r="E83" s="64">
        <v>10.95</v>
      </c>
      <c r="F83" s="64">
        <v>7.94</v>
      </c>
      <c r="G83" s="64">
        <v>55.77</v>
      </c>
      <c r="H83" s="64">
        <v>15.67</v>
      </c>
      <c r="I83" s="64">
        <v>4.04</v>
      </c>
      <c r="J83" s="64">
        <v>0.54</v>
      </c>
      <c r="K83" s="64">
        <v>18.86</v>
      </c>
      <c r="L83" s="64">
        <v>21.21</v>
      </c>
      <c r="M83" s="64">
        <v>27.61</v>
      </c>
      <c r="N83" s="64">
        <v>64.8</v>
      </c>
      <c r="O83" s="64">
        <v>0</v>
      </c>
      <c r="P83" s="64">
        <v>1.2</v>
      </c>
      <c r="Q83" s="64">
        <v>9.5399999999999991</v>
      </c>
      <c r="R83" s="198"/>
      <c r="S83" s="198"/>
      <c r="T83" s="198"/>
      <c r="U83" s="198"/>
    </row>
    <row r="84" spans="1:26" s="12" customFormat="1" x14ac:dyDescent="0.25">
      <c r="A84" s="213" t="s">
        <v>2719</v>
      </c>
      <c r="B84" s="64">
        <v>36.9</v>
      </c>
      <c r="C84" s="64">
        <v>81.37</v>
      </c>
      <c r="D84" s="64">
        <v>70.73</v>
      </c>
      <c r="E84" s="64">
        <v>8.6999999999999993</v>
      </c>
      <c r="F84" s="64">
        <v>6.51</v>
      </c>
      <c r="G84" s="64">
        <v>55.77</v>
      </c>
      <c r="H84" s="64">
        <v>15.67</v>
      </c>
      <c r="I84" s="64">
        <v>4.0999999999999996</v>
      </c>
      <c r="J84" s="64">
        <v>0.36</v>
      </c>
      <c r="K84" s="64">
        <v>283.27999999999997</v>
      </c>
      <c r="L84" s="64">
        <v>20.89</v>
      </c>
      <c r="M84" s="64">
        <v>28.69</v>
      </c>
      <c r="N84" s="64">
        <v>64.3</v>
      </c>
      <c r="O84" s="64">
        <v>0</v>
      </c>
      <c r="P84" s="64">
        <v>1.06</v>
      </c>
      <c r="Q84" s="64">
        <v>9.56</v>
      </c>
      <c r="R84" s="198"/>
      <c r="S84" s="198"/>
      <c r="T84" s="198"/>
      <c r="U84" s="198"/>
    </row>
    <row r="85" spans="1:26" s="12" customFormat="1" x14ac:dyDescent="0.25">
      <c r="A85" s="213" t="s">
        <v>2720</v>
      </c>
      <c r="B85" s="64">
        <v>46.5</v>
      </c>
      <c r="C85" s="64">
        <v>81.540000000000006</v>
      </c>
      <c r="D85" s="64">
        <v>78.510000000000005</v>
      </c>
      <c r="E85" s="64">
        <v>8.6999999999999993</v>
      </c>
      <c r="F85" s="64">
        <v>6.82</v>
      </c>
      <c r="G85" s="64">
        <v>61.63</v>
      </c>
      <c r="H85" s="64">
        <v>15.2</v>
      </c>
      <c r="I85" s="64">
        <v>3.97</v>
      </c>
      <c r="J85" s="64">
        <v>0.53</v>
      </c>
      <c r="K85" s="64">
        <v>327.56</v>
      </c>
      <c r="L85" s="64">
        <v>20.79</v>
      </c>
      <c r="M85" s="64">
        <v>32.64</v>
      </c>
      <c r="N85" s="64">
        <v>64.3</v>
      </c>
      <c r="O85" s="64">
        <v>0</v>
      </c>
      <c r="P85" s="64">
        <v>1.1499999999999999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3" t="s">
        <v>2721</v>
      </c>
      <c r="B86" s="64">
        <v>69.12</v>
      </c>
      <c r="C86" s="64">
        <v>87.82</v>
      </c>
      <c r="D86" s="64">
        <v>99.94</v>
      </c>
      <c r="E86" s="64">
        <v>8.86</v>
      </c>
      <c r="F86" s="64">
        <v>7.29</v>
      </c>
      <c r="G86" s="64">
        <v>71.739999999999995</v>
      </c>
      <c r="H86" s="64">
        <v>14.39</v>
      </c>
      <c r="I86" s="64">
        <v>3.99</v>
      </c>
      <c r="J86" s="64">
        <v>0.52</v>
      </c>
      <c r="K86" s="64">
        <v>292.66000000000003</v>
      </c>
      <c r="L86" s="64">
        <v>20.11</v>
      </c>
      <c r="M86" s="64">
        <v>32</v>
      </c>
      <c r="N86" s="64">
        <v>64.2</v>
      </c>
      <c r="O86" s="64">
        <v>0</v>
      </c>
      <c r="P86" s="64">
        <v>1.58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3" t="s">
        <v>2722</v>
      </c>
      <c r="B87" s="64">
        <v>77.13</v>
      </c>
      <c r="C87" s="64">
        <v>88.96</v>
      </c>
      <c r="D87" s="64">
        <v>106.95</v>
      </c>
      <c r="E87" s="64">
        <v>8.19</v>
      </c>
      <c r="F87" s="64">
        <v>7.43</v>
      </c>
      <c r="G87" s="64">
        <v>71.739999999999995</v>
      </c>
      <c r="H87" s="64">
        <v>14.39</v>
      </c>
      <c r="I87" s="64">
        <v>4.01</v>
      </c>
      <c r="J87" s="64">
        <v>0.57999999999999996</v>
      </c>
      <c r="K87" s="64">
        <v>329.22</v>
      </c>
      <c r="L87" s="64">
        <v>19.8</v>
      </c>
      <c r="M87" s="64">
        <v>34.130000000000003</v>
      </c>
      <c r="N87" s="64">
        <v>64.400000000000006</v>
      </c>
      <c r="O87" s="64">
        <v>0</v>
      </c>
      <c r="P87" s="64">
        <v>1.66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3" t="s">
        <v>2723</v>
      </c>
      <c r="B88" s="64">
        <v>102.77</v>
      </c>
      <c r="C88" s="64">
        <v>105.54</v>
      </c>
      <c r="D88" s="64">
        <v>136.18</v>
      </c>
      <c r="E88" s="64">
        <v>9.66</v>
      </c>
      <c r="F88" s="64">
        <v>7.17</v>
      </c>
      <c r="G88" s="64">
        <v>71.739999999999995</v>
      </c>
      <c r="H88" s="64">
        <v>14.39</v>
      </c>
      <c r="I88" s="64">
        <v>3.99</v>
      </c>
      <c r="J88" s="64">
        <v>0.62</v>
      </c>
      <c r="K88" s="64">
        <v>24</v>
      </c>
      <c r="L88" s="64">
        <v>19.57</v>
      </c>
      <c r="M88" s="64">
        <v>32.67</v>
      </c>
      <c r="N88" s="64">
        <v>64.3</v>
      </c>
      <c r="O88" s="64">
        <v>0</v>
      </c>
      <c r="P88" s="64">
        <v>2.6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3" t="s">
        <v>2724</v>
      </c>
      <c r="B89" s="64">
        <v>98.15</v>
      </c>
      <c r="C89" s="64">
        <v>110.42</v>
      </c>
      <c r="D89" s="64">
        <v>135.02000000000001</v>
      </c>
      <c r="E89" s="64">
        <v>12.19</v>
      </c>
      <c r="F89" s="64">
        <v>7.28</v>
      </c>
      <c r="G89" s="64">
        <v>83</v>
      </c>
      <c r="H89" s="64">
        <v>14.42</v>
      </c>
      <c r="I89" s="64">
        <v>3.97</v>
      </c>
      <c r="J89" s="64">
        <v>0.63</v>
      </c>
      <c r="K89" s="64">
        <v>263.72000000000003</v>
      </c>
      <c r="L89" s="64">
        <v>19.57</v>
      </c>
      <c r="M89" s="64">
        <v>35.54</v>
      </c>
      <c r="N89" s="64">
        <v>64.3</v>
      </c>
      <c r="O89" s="64">
        <v>0</v>
      </c>
      <c r="P89" s="64">
        <v>3.07</v>
      </c>
      <c r="Q89" s="64">
        <v>9.67</v>
      </c>
      <c r="R89" s="198"/>
      <c r="S89" s="198"/>
      <c r="T89" s="198"/>
      <c r="U89" s="198"/>
    </row>
    <row r="90" spans="1:26" s="12" customFormat="1" x14ac:dyDescent="0.25">
      <c r="A90" s="213" t="s">
        <v>2725</v>
      </c>
      <c r="B90" s="64">
        <v>119.34</v>
      </c>
      <c r="C90" s="64">
        <v>104.11</v>
      </c>
      <c r="D90" s="64">
        <v>148.72</v>
      </c>
      <c r="E90" s="64">
        <v>12.6</v>
      </c>
      <c r="F90" s="64">
        <v>7.5</v>
      </c>
      <c r="G90" s="64">
        <v>102.45</v>
      </c>
      <c r="H90" s="64">
        <v>14.45</v>
      </c>
      <c r="I90" s="64">
        <v>4.1900000000000004</v>
      </c>
      <c r="J90" s="64">
        <v>0.53</v>
      </c>
      <c r="K90" s="64">
        <v>329.18</v>
      </c>
      <c r="L90" s="64">
        <v>19.37</v>
      </c>
      <c r="M90" s="64">
        <v>41.63</v>
      </c>
      <c r="N90" s="64">
        <v>64.2</v>
      </c>
      <c r="O90" s="64">
        <v>0</v>
      </c>
      <c r="P90" s="64">
        <v>3.54</v>
      </c>
      <c r="Q90" s="64">
        <v>9.74</v>
      </c>
      <c r="R90" s="198"/>
      <c r="S90" s="198"/>
      <c r="T90" s="198"/>
      <c r="U90" s="198"/>
    </row>
    <row r="91" spans="1:26" s="12" customFormat="1" x14ac:dyDescent="0.25">
      <c r="A91" s="213" t="s">
        <v>2726</v>
      </c>
      <c r="B91" s="64">
        <v>119.57</v>
      </c>
      <c r="C91" s="64">
        <v>108.05</v>
      </c>
      <c r="D91" s="64">
        <v>150.96</v>
      </c>
      <c r="E91" s="64">
        <v>13.75</v>
      </c>
      <c r="F91" s="64">
        <v>7.43</v>
      </c>
      <c r="G91" s="64">
        <v>102.45</v>
      </c>
      <c r="H91" s="64">
        <v>14.45</v>
      </c>
      <c r="I91" s="64">
        <v>3.86</v>
      </c>
      <c r="J91" s="64">
        <v>0.27</v>
      </c>
      <c r="K91" s="64">
        <v>76.2</v>
      </c>
      <c r="L91" s="64">
        <v>19.25</v>
      </c>
      <c r="M91" s="64">
        <v>38.26</v>
      </c>
      <c r="N91" s="64">
        <v>64.099999999999994</v>
      </c>
      <c r="O91" s="64">
        <v>0</v>
      </c>
      <c r="P91" s="64">
        <v>3.57</v>
      </c>
      <c r="Q91" s="64">
        <v>9.7799999999999994</v>
      </c>
      <c r="R91" s="198"/>
      <c r="S91" s="198"/>
      <c r="T91" s="198"/>
      <c r="U91" s="198"/>
    </row>
    <row r="92" spans="1:26" s="12" customFormat="1" x14ac:dyDescent="0.25">
      <c r="A92" s="213" t="s">
        <v>2727</v>
      </c>
      <c r="B92" s="64">
        <v>153.22999999999999</v>
      </c>
      <c r="C92" s="64">
        <v>115.23</v>
      </c>
      <c r="D92" s="64">
        <v>181.7</v>
      </c>
      <c r="E92" s="64">
        <v>17.239999999999998</v>
      </c>
      <c r="F92" s="64">
        <v>8.32</v>
      </c>
      <c r="G92" s="64">
        <v>102.45</v>
      </c>
      <c r="H92" s="64">
        <v>14.45</v>
      </c>
      <c r="I92" s="64">
        <v>3.98</v>
      </c>
      <c r="J92" s="64">
        <v>0.28999999999999998</v>
      </c>
      <c r="K92" s="64">
        <v>186.45</v>
      </c>
      <c r="L92" s="64">
        <v>19.600000000000001</v>
      </c>
      <c r="M92" s="64">
        <v>35.22</v>
      </c>
      <c r="N92" s="64">
        <v>64.2</v>
      </c>
      <c r="O92" s="64">
        <v>0</v>
      </c>
      <c r="P92" s="64">
        <v>3.78</v>
      </c>
      <c r="Q92" s="64">
        <v>9.81</v>
      </c>
      <c r="R92" s="198"/>
      <c r="S92" s="198"/>
      <c r="T92" s="198"/>
      <c r="U92" s="198"/>
    </row>
    <row r="93" spans="1:26" s="12" customFormat="1" x14ac:dyDescent="0.25">
      <c r="A93" s="213" t="s">
        <v>2728</v>
      </c>
      <c r="B93" s="64">
        <v>204.29</v>
      </c>
      <c r="C93" s="64">
        <v>130.88</v>
      </c>
      <c r="D93" s="64">
        <v>230.83</v>
      </c>
      <c r="E93" s="64">
        <v>20.03</v>
      </c>
      <c r="F93" s="64">
        <v>8.06</v>
      </c>
      <c r="G93" s="64">
        <v>114.67</v>
      </c>
      <c r="H93" s="64">
        <v>20.7</v>
      </c>
      <c r="I93" s="64">
        <v>4.0199999999999996</v>
      </c>
      <c r="J93" s="64">
        <v>0.37</v>
      </c>
      <c r="K93" s="64">
        <v>351.96</v>
      </c>
      <c r="L93" s="64">
        <v>19.329999999999998</v>
      </c>
      <c r="M93" s="64">
        <v>37.21</v>
      </c>
      <c r="N93" s="64">
        <v>64.2</v>
      </c>
      <c r="O93" s="64">
        <v>0</v>
      </c>
      <c r="P93" s="64">
        <v>3.52</v>
      </c>
      <c r="Q93" s="64">
        <v>9.82</v>
      </c>
      <c r="R93" s="198"/>
      <c r="S93" s="198"/>
      <c r="T93" s="198"/>
      <c r="U93" s="198"/>
    </row>
    <row r="94" spans="1:26" s="12" customFormat="1" x14ac:dyDescent="0.25">
      <c r="A94" s="213" t="s">
        <v>2729</v>
      </c>
      <c r="B94" s="64">
        <v>174.33</v>
      </c>
      <c r="C94" s="64">
        <v>113.16</v>
      </c>
      <c r="D94" s="64">
        <v>197.55</v>
      </c>
      <c r="E94" s="64">
        <v>16.739999999999998</v>
      </c>
      <c r="F94" s="64">
        <v>8.0500000000000007</v>
      </c>
      <c r="G94" s="64">
        <v>135.77000000000001</v>
      </c>
      <c r="H94" s="64">
        <v>31.49</v>
      </c>
      <c r="I94" s="64">
        <v>3.88</v>
      </c>
      <c r="J94" s="64">
        <v>0.69</v>
      </c>
      <c r="K94" s="64">
        <v>353.35</v>
      </c>
      <c r="L94" s="64">
        <v>18.66</v>
      </c>
      <c r="M94" s="64">
        <v>44.5</v>
      </c>
      <c r="N94" s="64">
        <v>64.400000000000006</v>
      </c>
      <c r="O94" s="64">
        <v>0</v>
      </c>
      <c r="P94" s="64">
        <v>3.68</v>
      </c>
      <c r="Q94" s="64">
        <v>9.85</v>
      </c>
      <c r="R94" s="198"/>
      <c r="S94" s="198"/>
      <c r="T94" s="198"/>
      <c r="U94" s="198"/>
    </row>
    <row r="95" spans="1:26" s="12" customFormat="1" x14ac:dyDescent="0.25">
      <c r="A95" s="213" t="s">
        <v>2730</v>
      </c>
      <c r="B95" s="64">
        <v>194</v>
      </c>
      <c r="C95" s="64">
        <v>120.48</v>
      </c>
      <c r="D95" s="64">
        <v>217.14</v>
      </c>
      <c r="E95" s="64">
        <v>16.54</v>
      </c>
      <c r="F95" s="64">
        <v>8.16</v>
      </c>
      <c r="G95" s="64">
        <v>135.77000000000001</v>
      </c>
      <c r="H95" s="64">
        <v>31.49</v>
      </c>
      <c r="I95" s="64">
        <v>4.0599999999999996</v>
      </c>
      <c r="J95" s="64">
        <v>0.62</v>
      </c>
      <c r="K95" s="64">
        <v>330.34</v>
      </c>
      <c r="L95" s="64">
        <v>18.3</v>
      </c>
      <c r="M95" s="64">
        <v>42.23</v>
      </c>
      <c r="N95" s="64">
        <v>64.2</v>
      </c>
      <c r="O95" s="64">
        <v>0</v>
      </c>
      <c r="P95" s="64">
        <v>3.8</v>
      </c>
      <c r="Q95" s="64">
        <v>9.86</v>
      </c>
      <c r="R95" s="198"/>
      <c r="S95" s="198"/>
      <c r="T95" s="198"/>
      <c r="U95" s="198"/>
    </row>
    <row r="96" spans="1:26" s="12" customFormat="1" x14ac:dyDescent="0.25">
      <c r="A96" s="213" t="s">
        <v>2731</v>
      </c>
      <c r="B96" s="64">
        <v>133.93</v>
      </c>
      <c r="C96" s="64">
        <v>90.97</v>
      </c>
      <c r="D96" s="64">
        <v>153.55000000000001</v>
      </c>
      <c r="E96" s="64">
        <v>12.52</v>
      </c>
      <c r="F96" s="64">
        <v>7.05</v>
      </c>
      <c r="G96" s="64">
        <v>135.77000000000001</v>
      </c>
      <c r="H96" s="64">
        <v>31.49</v>
      </c>
      <c r="I96" s="64">
        <v>4.07</v>
      </c>
      <c r="J96" s="64">
        <v>0.63</v>
      </c>
      <c r="K96" s="64">
        <v>267.27</v>
      </c>
      <c r="L96" s="64">
        <v>18.36</v>
      </c>
      <c r="M96" s="64">
        <v>42.85</v>
      </c>
      <c r="N96" s="64">
        <v>64.099999999999994</v>
      </c>
      <c r="O96" s="64">
        <v>0</v>
      </c>
      <c r="P96" s="64">
        <v>2.89</v>
      </c>
      <c r="Q96" s="64">
        <v>9.89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2732</v>
      </c>
      <c r="B97" s="64">
        <v>134.07</v>
      </c>
      <c r="C97" s="64">
        <v>90.1</v>
      </c>
      <c r="D97" s="64">
        <v>153.21</v>
      </c>
      <c r="E97" s="64">
        <v>10.65</v>
      </c>
      <c r="F97" s="64">
        <v>7.17</v>
      </c>
      <c r="G97" s="64">
        <v>177.44</v>
      </c>
      <c r="H97" s="64">
        <v>35.92</v>
      </c>
      <c r="I97" s="64">
        <v>3.97</v>
      </c>
      <c r="J97" s="64">
        <v>0.65</v>
      </c>
      <c r="K97" s="64">
        <v>243.34</v>
      </c>
      <c r="L97" s="64">
        <v>18.260000000000002</v>
      </c>
      <c r="M97" s="64">
        <v>41.79</v>
      </c>
      <c r="N97" s="64">
        <v>64</v>
      </c>
      <c r="O97" s="64">
        <v>0</v>
      </c>
      <c r="P97" s="64">
        <v>2.81</v>
      </c>
      <c r="Q97" s="64">
        <v>9.93</v>
      </c>
      <c r="R97" s="198"/>
      <c r="S97" s="198"/>
      <c r="T97" s="198"/>
      <c r="U97" s="198"/>
    </row>
    <row r="98" spans="1:33" s="12" customFormat="1" x14ac:dyDescent="0.25">
      <c r="A98" s="213" t="s">
        <v>2733</v>
      </c>
      <c r="B98" s="64">
        <v>151.24</v>
      </c>
      <c r="C98" s="64">
        <v>91.77</v>
      </c>
      <c r="D98" s="64">
        <v>167.86</v>
      </c>
      <c r="E98" s="64">
        <v>9.81</v>
      </c>
      <c r="F98" s="64">
        <v>7.24</v>
      </c>
      <c r="G98" s="64">
        <v>249.41</v>
      </c>
      <c r="H98" s="64">
        <v>43.58</v>
      </c>
      <c r="I98" s="64">
        <v>4.09</v>
      </c>
      <c r="J98" s="64">
        <v>0.5</v>
      </c>
      <c r="K98" s="64">
        <v>339.29</v>
      </c>
      <c r="L98" s="64">
        <v>17.93</v>
      </c>
      <c r="M98" s="64">
        <v>47.86</v>
      </c>
      <c r="N98" s="64">
        <v>64.3</v>
      </c>
      <c r="O98" s="64">
        <v>0</v>
      </c>
      <c r="P98" s="64">
        <v>2.94</v>
      </c>
      <c r="Q98" s="64">
        <v>9.9700000000000006</v>
      </c>
      <c r="R98" s="198"/>
      <c r="S98" s="198"/>
      <c r="T98" s="198"/>
      <c r="U98" s="198"/>
    </row>
    <row r="99" spans="1:33" s="12" customFormat="1" x14ac:dyDescent="0.25">
      <c r="A99" s="213" t="s">
        <v>2734</v>
      </c>
      <c r="B99" s="64">
        <v>158.22</v>
      </c>
      <c r="C99" s="64">
        <v>90.43</v>
      </c>
      <c r="D99" s="64">
        <v>172.75</v>
      </c>
      <c r="E99" s="64">
        <v>10.28</v>
      </c>
      <c r="F99" s="64">
        <v>7.3</v>
      </c>
      <c r="G99" s="64">
        <v>249.41</v>
      </c>
      <c r="H99" s="64">
        <v>43.58</v>
      </c>
      <c r="I99" s="64">
        <v>4.0599999999999996</v>
      </c>
      <c r="J99" s="64">
        <v>0.64</v>
      </c>
      <c r="K99" s="64">
        <v>347.53</v>
      </c>
      <c r="L99" s="64">
        <v>17.41</v>
      </c>
      <c r="M99" s="64">
        <v>49.82</v>
      </c>
      <c r="N99" s="64">
        <v>64.400000000000006</v>
      </c>
      <c r="O99" s="64">
        <v>0</v>
      </c>
      <c r="P99" s="64">
        <v>3.03</v>
      </c>
      <c r="Q99" s="64">
        <v>10</v>
      </c>
      <c r="R99" s="198"/>
      <c r="S99" s="198"/>
      <c r="T99" s="198"/>
      <c r="U99" s="198"/>
    </row>
    <row r="100" spans="1:33" s="12" customFormat="1" x14ac:dyDescent="0.25">
      <c r="A100" s="213" t="s">
        <v>2735</v>
      </c>
      <c r="B100" s="64">
        <v>177.37</v>
      </c>
      <c r="C100" s="64">
        <v>92.05</v>
      </c>
      <c r="D100" s="64">
        <v>188.96</v>
      </c>
      <c r="E100" s="64">
        <v>10.119999999999999</v>
      </c>
      <c r="F100" s="64">
        <v>7.42</v>
      </c>
      <c r="G100" s="64">
        <v>249.41</v>
      </c>
      <c r="H100" s="64">
        <v>43.58</v>
      </c>
      <c r="I100" s="64">
        <v>4</v>
      </c>
      <c r="J100" s="64">
        <v>0.33</v>
      </c>
      <c r="K100" s="64">
        <v>359.95</v>
      </c>
      <c r="L100" s="64">
        <v>17.04</v>
      </c>
      <c r="M100" s="64">
        <v>53.29</v>
      </c>
      <c r="N100" s="64">
        <v>64.599999999999994</v>
      </c>
      <c r="O100" s="64">
        <v>0</v>
      </c>
      <c r="P100" s="64">
        <v>3.2</v>
      </c>
      <c r="Q100" s="64">
        <v>10.01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2736</v>
      </c>
      <c r="B101" s="64">
        <v>206.47</v>
      </c>
      <c r="C101" s="64">
        <v>99.46</v>
      </c>
      <c r="D101" s="64">
        <v>216.16</v>
      </c>
      <c r="E101" s="64">
        <v>10.63</v>
      </c>
      <c r="F101" s="64">
        <v>7.23</v>
      </c>
      <c r="G101" s="64">
        <v>257.13</v>
      </c>
      <c r="H101" s="64">
        <v>50.06</v>
      </c>
      <c r="I101" s="64">
        <v>4.0199999999999996</v>
      </c>
      <c r="J101" s="64">
        <v>0.27</v>
      </c>
      <c r="K101" s="64">
        <v>128.87</v>
      </c>
      <c r="L101" s="64">
        <v>17.04</v>
      </c>
      <c r="M101" s="64">
        <v>51.12</v>
      </c>
      <c r="N101" s="64">
        <v>64.2</v>
      </c>
      <c r="O101" s="64">
        <v>0</v>
      </c>
      <c r="P101" s="64">
        <v>3.26</v>
      </c>
      <c r="Q101" s="64">
        <v>10.09</v>
      </c>
      <c r="R101" s="198"/>
      <c r="S101" s="198"/>
      <c r="T101" s="198"/>
      <c r="U101" s="198"/>
    </row>
    <row r="102" spans="1:33" s="12" customFormat="1" x14ac:dyDescent="0.25">
      <c r="A102" s="213" t="s">
        <v>2737</v>
      </c>
      <c r="B102" s="64">
        <v>212.19</v>
      </c>
      <c r="C102" s="64">
        <v>96.66</v>
      </c>
      <c r="D102" s="64">
        <v>219.28</v>
      </c>
      <c r="E102" s="64">
        <v>10.48</v>
      </c>
      <c r="F102" s="64">
        <v>7.16</v>
      </c>
      <c r="G102" s="64">
        <v>270.45999999999998</v>
      </c>
      <c r="H102" s="64">
        <v>61.24</v>
      </c>
      <c r="I102" s="64">
        <v>4.08</v>
      </c>
      <c r="J102" s="64">
        <v>0.56999999999999995</v>
      </c>
      <c r="K102" s="64">
        <v>301.8</v>
      </c>
      <c r="L102" s="64">
        <v>16.940000000000001</v>
      </c>
      <c r="M102" s="64">
        <v>53.1</v>
      </c>
      <c r="N102" s="64">
        <v>64.2</v>
      </c>
      <c r="O102" s="64">
        <v>0</v>
      </c>
      <c r="P102" s="64">
        <v>3.33</v>
      </c>
      <c r="Q102" s="64">
        <v>10.11</v>
      </c>
      <c r="R102" s="198"/>
      <c r="S102" s="198"/>
      <c r="T102" s="198"/>
      <c r="U102" s="198"/>
    </row>
    <row r="103" spans="1:33" s="12" customFormat="1" x14ac:dyDescent="0.25">
      <c r="A103" s="213" t="s">
        <v>2738</v>
      </c>
      <c r="B103" s="64">
        <v>216.69</v>
      </c>
      <c r="C103" s="64">
        <v>96.42</v>
      </c>
      <c r="D103" s="64">
        <v>222.76</v>
      </c>
      <c r="E103" s="64">
        <v>10.59</v>
      </c>
      <c r="F103" s="64">
        <v>7.03</v>
      </c>
      <c r="G103" s="64">
        <v>270.45999999999998</v>
      </c>
      <c r="H103" s="64">
        <v>61.24</v>
      </c>
      <c r="I103" s="64">
        <v>4.2</v>
      </c>
      <c r="J103" s="64">
        <v>0.59</v>
      </c>
      <c r="K103" s="64">
        <v>313.75</v>
      </c>
      <c r="L103" s="64">
        <v>16.97</v>
      </c>
      <c r="M103" s="64">
        <v>54.16</v>
      </c>
      <c r="N103" s="64">
        <v>64.099999999999994</v>
      </c>
      <c r="O103" s="64">
        <v>0</v>
      </c>
      <c r="P103" s="64">
        <v>3.37</v>
      </c>
      <c r="Q103" s="64">
        <v>10.19</v>
      </c>
      <c r="R103" s="198"/>
      <c r="S103" s="198"/>
      <c r="T103" s="198"/>
      <c r="U103" s="198"/>
    </row>
    <row r="104" spans="1:33" s="12" customFormat="1" x14ac:dyDescent="0.25">
      <c r="A104" s="213" t="s">
        <v>2739</v>
      </c>
      <c r="B104" s="64">
        <v>223.37</v>
      </c>
      <c r="C104" s="64">
        <v>98.88</v>
      </c>
      <c r="D104" s="64">
        <v>229.41</v>
      </c>
      <c r="E104" s="64">
        <v>6.91</v>
      </c>
      <c r="F104" s="64">
        <v>6.94</v>
      </c>
      <c r="G104" s="64">
        <v>270.45999999999998</v>
      </c>
      <c r="H104" s="64">
        <v>61.24</v>
      </c>
      <c r="I104" s="64">
        <v>3.99</v>
      </c>
      <c r="J104" s="64">
        <v>0.43</v>
      </c>
      <c r="K104" s="64">
        <v>10.86</v>
      </c>
      <c r="L104" s="64">
        <v>16.399999999999999</v>
      </c>
      <c r="M104" s="64">
        <v>56.26</v>
      </c>
      <c r="N104" s="64">
        <v>64.599999999999994</v>
      </c>
      <c r="O104" s="64">
        <v>0</v>
      </c>
      <c r="P104" s="64">
        <v>3.4</v>
      </c>
      <c r="Q104" s="64">
        <v>10.29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4.37</v>
      </c>
      <c r="C106" s="67">
        <f>MIN(C9:C104)</f>
        <v>52.52</v>
      </c>
      <c r="D106" s="67">
        <f t="shared" ref="D106:Q106" si="0">MIN(D9:D104)</f>
        <v>36.04</v>
      </c>
      <c r="E106" s="67">
        <f t="shared" si="0"/>
        <v>5.29</v>
      </c>
      <c r="F106" s="67">
        <f t="shared" si="0"/>
        <v>2.13</v>
      </c>
      <c r="G106" s="67">
        <f t="shared" si="0"/>
        <v>30.66</v>
      </c>
      <c r="H106" s="67">
        <f t="shared" si="0"/>
        <v>8.64</v>
      </c>
      <c r="I106" s="67">
        <f t="shared" si="0"/>
        <v>3.83</v>
      </c>
      <c r="J106" s="67">
        <f t="shared" si="0"/>
        <v>0.27</v>
      </c>
      <c r="K106" s="67">
        <f t="shared" si="0"/>
        <v>0.53</v>
      </c>
      <c r="L106" s="67">
        <f t="shared" si="0"/>
        <v>14.85</v>
      </c>
      <c r="M106" s="67">
        <f t="shared" si="0"/>
        <v>8.42</v>
      </c>
      <c r="N106" s="67">
        <f t="shared" si="0"/>
        <v>64</v>
      </c>
      <c r="O106" s="67">
        <f t="shared" si="0"/>
        <v>0</v>
      </c>
      <c r="P106" s="67">
        <f t="shared" si="0"/>
        <v>0.41</v>
      </c>
      <c r="Q106" s="67">
        <f t="shared" si="0"/>
        <v>9.2799999999999994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223.37</v>
      </c>
      <c r="C107" s="66">
        <f t="shared" ref="C107:Q107" si="1">MAX(C9:C104)</f>
        <v>130.88</v>
      </c>
      <c r="D107" s="66">
        <f t="shared" si="1"/>
        <v>243.11</v>
      </c>
      <c r="E107" s="66">
        <f t="shared" si="1"/>
        <v>40.369999999999997</v>
      </c>
      <c r="F107" s="66">
        <f t="shared" si="1"/>
        <v>463.73</v>
      </c>
      <c r="G107" s="66">
        <f t="shared" si="1"/>
        <v>270.45999999999998</v>
      </c>
      <c r="H107" s="66">
        <f t="shared" si="1"/>
        <v>61.24</v>
      </c>
      <c r="I107" s="66">
        <f t="shared" si="1"/>
        <v>4.21</v>
      </c>
      <c r="J107" s="66">
        <f t="shared" si="1"/>
        <v>2.34</v>
      </c>
      <c r="K107" s="66">
        <f t="shared" si="1"/>
        <v>359.95</v>
      </c>
      <c r="L107" s="66">
        <f t="shared" si="1"/>
        <v>32.01</v>
      </c>
      <c r="M107" s="66">
        <f t="shared" si="1"/>
        <v>56.26</v>
      </c>
      <c r="N107" s="66">
        <f t="shared" si="1"/>
        <v>860.8</v>
      </c>
      <c r="O107" s="66">
        <f t="shared" si="1"/>
        <v>0</v>
      </c>
      <c r="P107" s="66">
        <f t="shared" si="1"/>
        <v>3.8</v>
      </c>
      <c r="Q107" s="66">
        <f t="shared" si="1"/>
        <v>10.29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66.124175824175822</v>
      </c>
      <c r="C108" s="67">
        <f t="shared" ref="C108:Q108" si="2">AVERAGE(C9:C104)</f>
        <v>81.492637362637339</v>
      </c>
      <c r="D108" s="67">
        <f t="shared" si="2"/>
        <v>114.98406593406592</v>
      </c>
      <c r="E108" s="67">
        <f t="shared" si="2"/>
        <v>10.711290322580647</v>
      </c>
      <c r="F108" s="67">
        <f t="shared" si="2"/>
        <v>17.926041666666674</v>
      </c>
      <c r="G108" s="67">
        <f t="shared" si="2"/>
        <v>107.40173913043468</v>
      </c>
      <c r="H108" s="67">
        <f t="shared" si="2"/>
        <v>27.892717391304338</v>
      </c>
      <c r="I108" s="67">
        <f t="shared" si="2"/>
        <v>4.0298148148148156</v>
      </c>
      <c r="J108" s="67">
        <f t="shared" si="2"/>
        <v>1.0545833333333337</v>
      </c>
      <c r="K108" s="67">
        <f t="shared" si="2"/>
        <v>160.08020833333339</v>
      </c>
      <c r="L108" s="67">
        <f t="shared" si="2"/>
        <v>22.10552083333333</v>
      </c>
      <c r="M108" s="67">
        <f t="shared" si="2"/>
        <v>34.184166666666663</v>
      </c>
      <c r="N108" s="67">
        <f t="shared" si="2"/>
        <v>270.14166666666671</v>
      </c>
      <c r="O108" s="67">
        <f t="shared" si="2"/>
        <v>0</v>
      </c>
      <c r="P108" s="67">
        <f t="shared" si="2"/>
        <v>1.3780208333333335</v>
      </c>
      <c r="Q108" s="67">
        <f t="shared" si="2"/>
        <v>9.7090624999999982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60.395390866557861</v>
      </c>
      <c r="C109" s="67">
        <f t="shared" ref="C109:Q109" si="3">STDEV(C9:C104)</f>
        <v>14.936137373287067</v>
      </c>
      <c r="D109" s="67">
        <f t="shared" si="3"/>
        <v>59.913992540752801</v>
      </c>
      <c r="E109" s="67">
        <f t="shared" si="3"/>
        <v>6.0746556935542788</v>
      </c>
      <c r="F109" s="67">
        <f t="shared" si="3"/>
        <v>60.632922731000761</v>
      </c>
      <c r="G109" s="67">
        <f t="shared" si="3"/>
        <v>58.80377211135886</v>
      </c>
      <c r="H109" s="67">
        <f t="shared" si="3"/>
        <v>12.634262077736322</v>
      </c>
      <c r="I109" s="67">
        <f t="shared" si="3"/>
        <v>7.9229562348690677E-2</v>
      </c>
      <c r="J109" s="67">
        <f t="shared" si="3"/>
        <v>0.52559723756917731</v>
      </c>
      <c r="K109" s="67">
        <f t="shared" si="3"/>
        <v>157.26361342448081</v>
      </c>
      <c r="L109" s="67">
        <f t="shared" si="3"/>
        <v>5.6280597516357993</v>
      </c>
      <c r="M109" s="67">
        <f t="shared" si="3"/>
        <v>15.511403117276899</v>
      </c>
      <c r="N109" s="67">
        <f t="shared" si="3"/>
        <v>286.0510133623269</v>
      </c>
      <c r="O109" s="67">
        <f t="shared" si="3"/>
        <v>0</v>
      </c>
      <c r="P109" s="67">
        <f t="shared" si="3"/>
        <v>0.99487277133327445</v>
      </c>
      <c r="Q109" s="67">
        <f t="shared" si="3"/>
        <v>0.22250761370769928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COUNT(B9:B104)+5</f>
        <v>96</v>
      </c>
      <c r="C110" s="66">
        <f t="shared" ref="C110:D110" si="4">COUNT(C9:C104)+5</f>
        <v>96</v>
      </c>
      <c r="D110" s="66">
        <f t="shared" si="4"/>
        <v>96</v>
      </c>
      <c r="E110" s="66">
        <f>COUNT(E9:E104)+3</f>
        <v>96</v>
      </c>
      <c r="F110" s="66">
        <f t="shared" ref="F110:Q110" si="5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54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&lt;90%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LESS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2740</v>
      </c>
      <c r="B9" s="64">
        <v>225.71</v>
      </c>
      <c r="C9" s="64">
        <v>96.46</v>
      </c>
      <c r="D9" s="64">
        <v>230.02</v>
      </c>
      <c r="E9" s="64">
        <v>8.16</v>
      </c>
      <c r="F9" s="64">
        <v>6.77</v>
      </c>
      <c r="G9" s="64">
        <v>273.27999999999997</v>
      </c>
      <c r="H9" s="64">
        <v>63.06</v>
      </c>
      <c r="I9" s="64">
        <v>3.91</v>
      </c>
      <c r="J9" s="64">
        <v>0.65</v>
      </c>
      <c r="K9" s="64">
        <v>232.26</v>
      </c>
      <c r="L9" s="64">
        <v>16.440000000000001</v>
      </c>
      <c r="M9" s="64">
        <v>55.27</v>
      </c>
      <c r="N9" s="64">
        <v>64.099999999999994</v>
      </c>
      <c r="O9" s="64">
        <v>0</v>
      </c>
      <c r="P9" s="64">
        <v>3.43</v>
      </c>
      <c r="Q9" s="64">
        <v>10.33</v>
      </c>
      <c r="R9" s="198"/>
      <c r="S9" s="198"/>
      <c r="T9" s="198"/>
      <c r="U9" s="198"/>
    </row>
    <row r="10" spans="1:21" s="12" customFormat="1" x14ac:dyDescent="0.25">
      <c r="A10" s="213" t="s">
        <v>2741</v>
      </c>
      <c r="B10" s="64">
        <v>206.67</v>
      </c>
      <c r="C10" s="64">
        <v>103.55</v>
      </c>
      <c r="D10" s="64">
        <v>218.46</v>
      </c>
      <c r="E10" s="64">
        <v>9.33</v>
      </c>
      <c r="F10" s="64">
        <v>7.41</v>
      </c>
      <c r="G10" s="64">
        <v>278.14999999999998</v>
      </c>
      <c r="H10" s="64">
        <v>66.2</v>
      </c>
      <c r="I10" s="64">
        <v>3.91</v>
      </c>
      <c r="J10" s="64">
        <v>0.69</v>
      </c>
      <c r="K10" s="64">
        <v>247.15</v>
      </c>
      <c r="L10" s="64">
        <v>16.649999999999999</v>
      </c>
      <c r="M10" s="64">
        <v>54.18</v>
      </c>
      <c r="N10" s="64">
        <v>63.9</v>
      </c>
      <c r="O10" s="64">
        <v>0</v>
      </c>
      <c r="P10" s="64">
        <v>3.27</v>
      </c>
      <c r="Q10" s="64">
        <v>10.39</v>
      </c>
      <c r="R10" s="198"/>
      <c r="S10" s="198"/>
      <c r="T10" s="198"/>
      <c r="U10" s="198"/>
    </row>
    <row r="11" spans="1:21" s="12" customFormat="1" x14ac:dyDescent="0.25">
      <c r="A11" s="213" t="s">
        <v>2742</v>
      </c>
      <c r="B11" s="64">
        <v>245.65</v>
      </c>
      <c r="C11" s="64">
        <v>104.17</v>
      </c>
      <c r="D11" s="64">
        <v>250.04</v>
      </c>
      <c r="E11" s="64">
        <v>9.73</v>
      </c>
      <c r="F11" s="64">
        <v>7.36</v>
      </c>
      <c r="G11" s="64">
        <v>278.14999999999998</v>
      </c>
      <c r="H11" s="64">
        <v>66.2</v>
      </c>
      <c r="I11" s="64">
        <v>3.85</v>
      </c>
      <c r="J11" s="64">
        <v>0.75</v>
      </c>
      <c r="K11" s="64">
        <v>345.6</v>
      </c>
      <c r="L11" s="64">
        <v>16.12</v>
      </c>
      <c r="M11" s="64">
        <v>60.28</v>
      </c>
      <c r="N11" s="64">
        <v>64.599999999999994</v>
      </c>
      <c r="O11" s="64">
        <v>0</v>
      </c>
      <c r="P11" s="64">
        <v>3.51</v>
      </c>
      <c r="Q11" s="64">
        <v>10.45</v>
      </c>
      <c r="R11" s="198"/>
      <c r="S11" s="198"/>
      <c r="T11" s="198"/>
      <c r="U11" s="198"/>
    </row>
    <row r="12" spans="1:21" s="12" customFormat="1" x14ac:dyDescent="0.25">
      <c r="A12" s="213" t="s">
        <v>2743</v>
      </c>
      <c r="B12" s="64">
        <v>216.2</v>
      </c>
      <c r="C12" s="64">
        <v>101.18</v>
      </c>
      <c r="D12" s="64">
        <v>224.86</v>
      </c>
      <c r="E12" s="64">
        <v>9.0500000000000007</v>
      </c>
      <c r="F12" s="64">
        <v>7.79</v>
      </c>
      <c r="G12" s="64">
        <v>278.14999999999998</v>
      </c>
      <c r="H12" s="64">
        <v>66.2</v>
      </c>
      <c r="I12" s="64">
        <v>3.95</v>
      </c>
      <c r="J12" s="64">
        <v>0.22</v>
      </c>
      <c r="K12" s="64">
        <v>285.38</v>
      </c>
      <c r="L12" s="64">
        <v>15.77</v>
      </c>
      <c r="M12" s="64">
        <v>59.23</v>
      </c>
      <c r="N12" s="64">
        <v>64.3</v>
      </c>
      <c r="O12" s="64">
        <v>0</v>
      </c>
      <c r="P12" s="64">
        <v>3.28</v>
      </c>
      <c r="Q12" s="64">
        <v>10.47</v>
      </c>
      <c r="R12" s="198"/>
      <c r="S12" s="198"/>
      <c r="T12" s="198"/>
      <c r="U12" s="198"/>
    </row>
    <row r="13" spans="1:21" s="12" customFormat="1" x14ac:dyDescent="0.25">
      <c r="A13" s="213" t="s">
        <v>2744</v>
      </c>
      <c r="B13" s="64">
        <v>193.17</v>
      </c>
      <c r="C13" s="64">
        <v>95.41</v>
      </c>
      <c r="D13" s="64">
        <v>203.38</v>
      </c>
      <c r="E13" s="64">
        <v>9.7799999999999994</v>
      </c>
      <c r="F13" s="64">
        <v>8.07</v>
      </c>
      <c r="G13" s="64">
        <v>250.47</v>
      </c>
      <c r="H13" s="64">
        <v>67.17</v>
      </c>
      <c r="I13" s="64">
        <v>4.0599999999999996</v>
      </c>
      <c r="J13" s="64">
        <v>0.26</v>
      </c>
      <c r="K13" s="64">
        <v>198.77</v>
      </c>
      <c r="L13" s="64">
        <v>15.97</v>
      </c>
      <c r="M13" s="64">
        <v>53.3</v>
      </c>
      <c r="N13" s="64">
        <v>64.099999999999994</v>
      </c>
      <c r="O13" s="64">
        <v>0</v>
      </c>
      <c r="P13" s="64">
        <v>2.56</v>
      </c>
      <c r="Q13" s="64">
        <v>10.51</v>
      </c>
      <c r="R13" s="198"/>
      <c r="S13" s="198"/>
      <c r="T13" s="198"/>
      <c r="U13" s="198"/>
    </row>
    <row r="14" spans="1:21" s="12" customFormat="1" x14ac:dyDescent="0.25">
      <c r="A14" s="213" t="s">
        <v>2745</v>
      </c>
      <c r="B14" s="64">
        <v>191.79</v>
      </c>
      <c r="C14" s="64">
        <v>92.72</v>
      </c>
      <c r="D14" s="64">
        <v>200.87</v>
      </c>
      <c r="E14" s="64">
        <v>9.64</v>
      </c>
      <c r="F14" s="64">
        <v>7.62</v>
      </c>
      <c r="G14" s="64">
        <v>202.65</v>
      </c>
      <c r="H14" s="64">
        <v>68.86</v>
      </c>
      <c r="I14" s="64">
        <v>4.03</v>
      </c>
      <c r="J14" s="64">
        <v>0.38</v>
      </c>
      <c r="K14" s="64">
        <v>231.42</v>
      </c>
      <c r="L14" s="64">
        <v>16.09</v>
      </c>
      <c r="M14" s="64">
        <v>50.63</v>
      </c>
      <c r="N14" s="64">
        <v>64.3</v>
      </c>
      <c r="O14" s="64">
        <v>0</v>
      </c>
      <c r="P14" s="64">
        <v>2.66</v>
      </c>
      <c r="Q14" s="64">
        <v>10.51</v>
      </c>
      <c r="R14" s="198"/>
      <c r="S14" s="198"/>
      <c r="T14" s="198"/>
      <c r="U14" s="198"/>
    </row>
    <row r="15" spans="1:21" s="12" customFormat="1" x14ac:dyDescent="0.25">
      <c r="A15" s="213" t="s">
        <v>2746</v>
      </c>
      <c r="B15" s="64">
        <v>179.6</v>
      </c>
      <c r="C15" s="64">
        <v>89.71</v>
      </c>
      <c r="D15" s="64">
        <v>189.52</v>
      </c>
      <c r="E15" s="64">
        <v>9.5500000000000007</v>
      </c>
      <c r="F15" s="64">
        <v>8.1199999999999992</v>
      </c>
      <c r="G15" s="64">
        <v>202.65</v>
      </c>
      <c r="H15" s="64">
        <v>68.86</v>
      </c>
      <c r="I15" s="64">
        <v>4.05</v>
      </c>
      <c r="J15" s="64">
        <v>0.59</v>
      </c>
      <c r="K15" s="64">
        <v>337.12</v>
      </c>
      <c r="L15" s="64">
        <v>15.91</v>
      </c>
      <c r="M15" s="64">
        <v>49.19</v>
      </c>
      <c r="N15" s="64">
        <v>64.2</v>
      </c>
      <c r="O15" s="64">
        <v>0</v>
      </c>
      <c r="P15" s="64">
        <v>2.4900000000000002</v>
      </c>
      <c r="Q15" s="64">
        <v>10.53</v>
      </c>
      <c r="R15" s="198"/>
      <c r="S15" s="198"/>
      <c r="T15" s="198"/>
      <c r="U15" s="198"/>
    </row>
    <row r="16" spans="1:21" s="12" customFormat="1" x14ac:dyDescent="0.25">
      <c r="A16" s="213" t="s">
        <v>2747</v>
      </c>
      <c r="B16" s="64">
        <v>162.5</v>
      </c>
      <c r="C16" s="64">
        <v>83.42</v>
      </c>
      <c r="D16" s="64">
        <v>172.52</v>
      </c>
      <c r="E16" s="64">
        <v>9.0500000000000007</v>
      </c>
      <c r="F16" s="64">
        <v>9.25</v>
      </c>
      <c r="G16" s="64">
        <v>202.65</v>
      </c>
      <c r="H16" s="64">
        <v>68.86</v>
      </c>
      <c r="I16" s="64">
        <v>3.95</v>
      </c>
      <c r="J16" s="64">
        <v>1.1399999999999999</v>
      </c>
      <c r="K16" s="64">
        <v>351.49</v>
      </c>
      <c r="L16" s="64">
        <v>15.76</v>
      </c>
      <c r="M16" s="64">
        <v>47.88</v>
      </c>
      <c r="N16" s="64">
        <v>63.3</v>
      </c>
      <c r="O16" s="64">
        <v>0</v>
      </c>
      <c r="P16" s="64">
        <v>2.25</v>
      </c>
      <c r="Q16" s="64">
        <v>10.55</v>
      </c>
      <c r="R16" s="198"/>
      <c r="S16" s="198"/>
      <c r="T16" s="198"/>
      <c r="U16" s="198"/>
    </row>
    <row r="17" spans="1:21" s="12" customFormat="1" x14ac:dyDescent="0.25">
      <c r="A17" s="213" t="s">
        <v>2748</v>
      </c>
      <c r="B17" s="64">
        <v>169.89</v>
      </c>
      <c r="C17" s="64">
        <v>83.63</v>
      </c>
      <c r="D17" s="64">
        <v>178.56</v>
      </c>
      <c r="E17" s="64">
        <v>8.4600000000000009</v>
      </c>
      <c r="F17" s="64">
        <v>8.7100000000000009</v>
      </c>
      <c r="G17" s="64">
        <v>172.27</v>
      </c>
      <c r="H17" s="64">
        <v>63.72</v>
      </c>
      <c r="I17" s="64">
        <v>4.01</v>
      </c>
      <c r="J17" s="64">
        <v>0.82</v>
      </c>
      <c r="K17" s="64">
        <v>356.97</v>
      </c>
      <c r="L17" s="64">
        <v>15.68</v>
      </c>
      <c r="M17" s="64">
        <v>46.97</v>
      </c>
      <c r="N17" s="64">
        <v>64.400000000000006</v>
      </c>
      <c r="O17" s="64">
        <v>0</v>
      </c>
      <c r="P17" s="64">
        <v>2.37</v>
      </c>
      <c r="Q17" s="64">
        <v>10.53</v>
      </c>
      <c r="R17" s="198"/>
      <c r="S17" s="198"/>
      <c r="T17" s="198"/>
      <c r="U17" s="198"/>
    </row>
    <row r="18" spans="1:21" s="12" customFormat="1" x14ac:dyDescent="0.25">
      <c r="A18" s="213" t="s">
        <v>2749</v>
      </c>
      <c r="B18" s="64">
        <v>191.21</v>
      </c>
      <c r="C18" s="64">
        <v>85.43</v>
      </c>
      <c r="D18" s="64">
        <v>196.59</v>
      </c>
      <c r="E18" s="64">
        <v>8.07</v>
      </c>
      <c r="F18" s="64">
        <v>7.34</v>
      </c>
      <c r="G18" s="64">
        <v>119.79</v>
      </c>
      <c r="H18" s="64">
        <v>54.84</v>
      </c>
      <c r="I18" s="64">
        <v>3.96</v>
      </c>
      <c r="J18" s="64">
        <v>0.88</v>
      </c>
      <c r="K18" s="64">
        <v>11.2</v>
      </c>
      <c r="L18" s="64">
        <v>15.57</v>
      </c>
      <c r="M18" s="64">
        <v>46.63</v>
      </c>
      <c r="N18" s="64">
        <v>64.2</v>
      </c>
      <c r="O18" s="64">
        <v>0</v>
      </c>
      <c r="P18" s="64">
        <v>2.58</v>
      </c>
      <c r="Q18" s="64">
        <v>10.5</v>
      </c>
      <c r="R18" s="198"/>
      <c r="S18" s="198"/>
      <c r="T18" s="198"/>
      <c r="U18" s="198"/>
    </row>
    <row r="19" spans="1:21" s="12" customFormat="1" x14ac:dyDescent="0.25">
      <c r="A19" s="213" t="s">
        <v>2750</v>
      </c>
      <c r="B19" s="64">
        <v>175.91</v>
      </c>
      <c r="C19" s="64">
        <v>83.34</v>
      </c>
      <c r="D19" s="64">
        <v>183.23</v>
      </c>
      <c r="E19" s="64">
        <v>8.48</v>
      </c>
      <c r="F19" s="64">
        <v>7.38</v>
      </c>
      <c r="G19" s="64">
        <v>119.79</v>
      </c>
      <c r="H19" s="64">
        <v>54.84</v>
      </c>
      <c r="I19" s="64">
        <v>4.03</v>
      </c>
      <c r="J19" s="64">
        <v>0.15</v>
      </c>
      <c r="K19" s="64">
        <v>49.03</v>
      </c>
      <c r="L19" s="64">
        <v>15.91</v>
      </c>
      <c r="M19" s="64">
        <v>43.64</v>
      </c>
      <c r="N19" s="64">
        <v>63.8</v>
      </c>
      <c r="O19" s="64">
        <v>0</v>
      </c>
      <c r="P19" s="64">
        <v>2.42</v>
      </c>
      <c r="Q19" s="64">
        <v>10.48</v>
      </c>
      <c r="R19" s="198"/>
      <c r="S19" s="198"/>
      <c r="T19" s="198"/>
      <c r="U19" s="198"/>
    </row>
    <row r="20" spans="1:21" s="12" customFormat="1" x14ac:dyDescent="0.25">
      <c r="A20" s="213" t="s">
        <v>2751</v>
      </c>
      <c r="B20" s="64">
        <v>170.63</v>
      </c>
      <c r="C20" s="64">
        <v>81.8</v>
      </c>
      <c r="D20" s="64">
        <v>178.2</v>
      </c>
      <c r="E20" s="64">
        <v>7.97</v>
      </c>
      <c r="F20" s="64">
        <v>6.86</v>
      </c>
      <c r="G20" s="64">
        <v>119.79</v>
      </c>
      <c r="H20" s="64">
        <v>54.84</v>
      </c>
      <c r="I20" s="64">
        <v>3.91</v>
      </c>
      <c r="J20" s="64">
        <v>0.78</v>
      </c>
      <c r="K20" s="64">
        <v>222.72</v>
      </c>
      <c r="L20" s="64">
        <v>16.41</v>
      </c>
      <c r="M20" s="64">
        <v>44.84</v>
      </c>
      <c r="N20" s="64">
        <v>64</v>
      </c>
      <c r="O20" s="64">
        <v>0</v>
      </c>
      <c r="P20" s="64">
        <v>2.34</v>
      </c>
      <c r="Q20" s="64">
        <v>10.44</v>
      </c>
      <c r="R20" s="198"/>
      <c r="S20" s="198"/>
      <c r="T20" s="198"/>
      <c r="U20" s="198"/>
    </row>
    <row r="21" spans="1:21" s="12" customFormat="1" x14ac:dyDescent="0.25">
      <c r="A21" s="213" t="s">
        <v>2752</v>
      </c>
      <c r="B21" s="64">
        <v>158.59</v>
      </c>
      <c r="C21" s="64">
        <v>80.180000000000007</v>
      </c>
      <c r="D21" s="64">
        <v>167.69</v>
      </c>
      <c r="E21" s="64">
        <v>7.94</v>
      </c>
      <c r="F21" s="64">
        <v>6.69</v>
      </c>
      <c r="G21" s="64">
        <v>115.39</v>
      </c>
      <c r="H21" s="64">
        <v>54.39</v>
      </c>
      <c r="I21" s="64">
        <v>4.03</v>
      </c>
      <c r="J21" s="64">
        <v>0.65</v>
      </c>
      <c r="K21" s="64">
        <v>298.25</v>
      </c>
      <c r="L21" s="64">
        <v>15.67</v>
      </c>
      <c r="M21" s="64">
        <v>49.24</v>
      </c>
      <c r="N21" s="64">
        <v>64.900000000000006</v>
      </c>
      <c r="O21" s="64">
        <v>0</v>
      </c>
      <c r="P21" s="64">
        <v>2.21</v>
      </c>
      <c r="Q21" s="64">
        <v>10.38</v>
      </c>
      <c r="R21" s="198"/>
      <c r="S21" s="198"/>
      <c r="T21" s="198"/>
      <c r="U21" s="198"/>
    </row>
    <row r="22" spans="1:21" s="12" customFormat="1" x14ac:dyDescent="0.25">
      <c r="A22" s="213" t="s">
        <v>2753</v>
      </c>
      <c r="B22" s="64">
        <v>153.11000000000001</v>
      </c>
      <c r="C22" s="64">
        <v>77.489999999999995</v>
      </c>
      <c r="D22" s="64">
        <v>161.88999999999999</v>
      </c>
      <c r="E22" s="64">
        <v>7.48</v>
      </c>
      <c r="F22" s="64">
        <v>6.6</v>
      </c>
      <c r="G22" s="64">
        <v>107.79</v>
      </c>
      <c r="H22" s="64">
        <v>53.61</v>
      </c>
      <c r="I22" s="64">
        <v>4.08</v>
      </c>
      <c r="J22" s="64">
        <v>0.71</v>
      </c>
      <c r="K22" s="64">
        <v>236.74</v>
      </c>
      <c r="L22" s="64">
        <v>15.2</v>
      </c>
      <c r="M22" s="64">
        <v>51.32</v>
      </c>
      <c r="N22" s="64">
        <v>64.400000000000006</v>
      </c>
      <c r="O22" s="64">
        <v>0</v>
      </c>
      <c r="P22" s="64">
        <v>2.13</v>
      </c>
      <c r="Q22" s="64">
        <v>10.33</v>
      </c>
      <c r="R22" s="198"/>
      <c r="S22" s="198"/>
      <c r="T22" s="198"/>
      <c r="U22" s="198"/>
    </row>
    <row r="23" spans="1:21" s="12" customFormat="1" x14ac:dyDescent="0.25">
      <c r="A23" s="213" t="s">
        <v>2754</v>
      </c>
      <c r="B23" s="64">
        <v>145.22</v>
      </c>
      <c r="C23" s="64">
        <v>76.180000000000007</v>
      </c>
      <c r="D23" s="64">
        <v>154.88</v>
      </c>
      <c r="E23" s="64">
        <v>7.4</v>
      </c>
      <c r="F23" s="64">
        <v>6.76</v>
      </c>
      <c r="G23" s="64">
        <v>107.79</v>
      </c>
      <c r="H23" s="64">
        <v>53.61</v>
      </c>
      <c r="I23" s="64">
        <v>3.98</v>
      </c>
      <c r="J23" s="64">
        <v>0.32</v>
      </c>
      <c r="K23" s="64">
        <v>286.02</v>
      </c>
      <c r="L23" s="64">
        <v>14.95</v>
      </c>
      <c r="M23" s="64">
        <v>57.24</v>
      </c>
      <c r="N23" s="64">
        <v>64.599999999999994</v>
      </c>
      <c r="O23" s="64">
        <v>0</v>
      </c>
      <c r="P23" s="64">
        <v>2.0299999999999998</v>
      </c>
      <c r="Q23" s="64">
        <v>10.32</v>
      </c>
      <c r="R23" s="198"/>
      <c r="S23" s="198"/>
      <c r="T23" s="198"/>
      <c r="U23" s="198"/>
    </row>
    <row r="24" spans="1:21" s="12" customFormat="1" x14ac:dyDescent="0.25">
      <c r="A24" s="213" t="s">
        <v>2755</v>
      </c>
      <c r="B24" s="64">
        <v>140.84</v>
      </c>
      <c r="C24" s="64">
        <v>76.099999999999994</v>
      </c>
      <c r="D24" s="64">
        <v>151.32</v>
      </c>
      <c r="E24" s="64">
        <v>7.41</v>
      </c>
      <c r="F24" s="64">
        <v>6.62</v>
      </c>
      <c r="G24" s="64">
        <v>107.79</v>
      </c>
      <c r="H24" s="64">
        <v>53.61</v>
      </c>
      <c r="I24" s="64">
        <v>4.01</v>
      </c>
      <c r="J24" s="64">
        <v>0.18</v>
      </c>
      <c r="K24" s="64">
        <v>62.3</v>
      </c>
      <c r="L24" s="64">
        <v>14.49</v>
      </c>
      <c r="M24" s="64">
        <v>60.25</v>
      </c>
      <c r="N24" s="64">
        <v>64.400000000000006</v>
      </c>
      <c r="O24" s="64">
        <v>0</v>
      </c>
      <c r="P24" s="64">
        <v>1.93</v>
      </c>
      <c r="Q24" s="64">
        <v>10.26</v>
      </c>
      <c r="R24" s="198"/>
      <c r="S24" s="198"/>
      <c r="T24" s="198"/>
      <c r="U24" s="198"/>
    </row>
    <row r="25" spans="1:21" s="12" customFormat="1" x14ac:dyDescent="0.25">
      <c r="A25" s="213" t="s">
        <v>2756</v>
      </c>
      <c r="B25" s="64">
        <v>135.63999999999999</v>
      </c>
      <c r="C25" s="64">
        <v>75.39</v>
      </c>
      <c r="D25" s="64">
        <v>146.79</v>
      </c>
      <c r="E25" s="64">
        <v>6.8</v>
      </c>
      <c r="F25" s="64">
        <v>6.79</v>
      </c>
      <c r="G25" s="64">
        <v>110.75</v>
      </c>
      <c r="H25" s="64">
        <v>55.77</v>
      </c>
      <c r="I25" s="64">
        <v>4.1500000000000004</v>
      </c>
      <c r="J25" s="64">
        <v>0.4</v>
      </c>
      <c r="K25" s="64">
        <v>234.96</v>
      </c>
      <c r="L25" s="64">
        <v>14.34</v>
      </c>
      <c r="M25" s="64">
        <v>62.83</v>
      </c>
      <c r="N25" s="64">
        <v>64.400000000000006</v>
      </c>
      <c r="O25" s="64">
        <v>0</v>
      </c>
      <c r="P25" s="64">
        <v>1.84</v>
      </c>
      <c r="Q25" s="64">
        <v>10.19</v>
      </c>
      <c r="R25" s="198"/>
      <c r="S25" s="198"/>
      <c r="T25" s="198"/>
      <c r="U25" s="198"/>
    </row>
    <row r="26" spans="1:21" s="12" customFormat="1" x14ac:dyDescent="0.25">
      <c r="A26" s="213" t="s">
        <v>2757</v>
      </c>
      <c r="B26" s="64">
        <v>133.83000000000001</v>
      </c>
      <c r="C26" s="64">
        <v>75.06</v>
      </c>
      <c r="D26" s="64">
        <v>145.16</v>
      </c>
      <c r="E26" s="64">
        <v>6.91</v>
      </c>
      <c r="F26" s="64">
        <v>6.92</v>
      </c>
      <c r="G26" s="64">
        <v>115.86</v>
      </c>
      <c r="H26" s="64">
        <v>59.51</v>
      </c>
      <c r="I26" s="64">
        <v>4.1500000000000004</v>
      </c>
      <c r="J26" s="64">
        <v>0.23</v>
      </c>
      <c r="K26" s="64">
        <v>1.08</v>
      </c>
      <c r="L26" s="64">
        <v>14.24</v>
      </c>
      <c r="M26" s="64">
        <v>66.88</v>
      </c>
      <c r="N26" s="64">
        <v>64.400000000000006</v>
      </c>
      <c r="O26" s="64">
        <v>0</v>
      </c>
      <c r="P26" s="64">
        <v>1.77</v>
      </c>
      <c r="Q26" s="64">
        <v>10.16</v>
      </c>
      <c r="R26" s="198"/>
      <c r="S26" s="198"/>
      <c r="T26" s="198"/>
      <c r="U26" s="198"/>
    </row>
    <row r="27" spans="1:21" s="12" customFormat="1" x14ac:dyDescent="0.25">
      <c r="A27" s="213" t="s">
        <v>2758</v>
      </c>
      <c r="B27" s="64">
        <v>131.66999999999999</v>
      </c>
      <c r="C27" s="64">
        <v>77.16</v>
      </c>
      <c r="D27" s="64">
        <v>144.53</v>
      </c>
      <c r="E27" s="64">
        <v>7.53</v>
      </c>
      <c r="F27" s="64">
        <v>6.65</v>
      </c>
      <c r="G27" s="64">
        <v>115.86</v>
      </c>
      <c r="H27" s="64">
        <v>59.51</v>
      </c>
      <c r="I27" s="64">
        <v>4.04</v>
      </c>
      <c r="J27" s="64">
        <v>0.62</v>
      </c>
      <c r="K27" s="64">
        <v>282.62</v>
      </c>
      <c r="L27" s="64">
        <v>14.73</v>
      </c>
      <c r="M27" s="64">
        <v>62.26</v>
      </c>
      <c r="N27" s="64">
        <v>63.9</v>
      </c>
      <c r="O27" s="64">
        <v>0</v>
      </c>
      <c r="P27" s="64">
        <v>1.66</v>
      </c>
      <c r="Q27" s="64">
        <v>10.14</v>
      </c>
      <c r="R27" s="198"/>
      <c r="S27" s="198"/>
      <c r="T27" s="198"/>
      <c r="U27" s="198"/>
    </row>
    <row r="28" spans="1:21" s="12" customFormat="1" x14ac:dyDescent="0.25">
      <c r="A28" s="213" t="s">
        <v>2759</v>
      </c>
      <c r="B28" s="64">
        <v>127.9</v>
      </c>
      <c r="C28" s="64">
        <v>75.17</v>
      </c>
      <c r="D28" s="64">
        <v>140.46</v>
      </c>
      <c r="E28" s="64">
        <v>7.45</v>
      </c>
      <c r="F28" s="64">
        <v>7.19</v>
      </c>
      <c r="G28" s="64">
        <v>115.86</v>
      </c>
      <c r="H28" s="64">
        <v>59.51</v>
      </c>
      <c r="I28" s="64">
        <v>4.0599999999999996</v>
      </c>
      <c r="J28" s="64">
        <v>0.62</v>
      </c>
      <c r="K28" s="64">
        <v>337.99</v>
      </c>
      <c r="L28" s="64">
        <v>14.26</v>
      </c>
      <c r="M28" s="64">
        <v>66.099999999999994</v>
      </c>
      <c r="N28" s="64">
        <v>64.599999999999994</v>
      </c>
      <c r="O28" s="64">
        <v>0</v>
      </c>
      <c r="P28" s="64">
        <v>1.48</v>
      </c>
      <c r="Q28" s="64">
        <v>10.119999999999999</v>
      </c>
      <c r="R28" s="198"/>
      <c r="S28" s="198"/>
      <c r="T28" s="198"/>
      <c r="U28" s="198"/>
    </row>
    <row r="29" spans="1:21" s="12" customFormat="1" x14ac:dyDescent="0.25">
      <c r="A29" s="213" t="s">
        <v>2760</v>
      </c>
      <c r="B29" s="64">
        <v>114.89</v>
      </c>
      <c r="C29" s="64">
        <v>74.2</v>
      </c>
      <c r="D29" s="64">
        <v>129.52000000000001</v>
      </c>
      <c r="E29" s="64">
        <v>7.69</v>
      </c>
      <c r="F29" s="64">
        <v>7.2</v>
      </c>
      <c r="G29" s="64">
        <v>142.61000000000001</v>
      </c>
      <c r="H29" s="64">
        <v>58.4</v>
      </c>
      <c r="I29" s="64">
        <v>4.1399999999999997</v>
      </c>
      <c r="J29" s="64">
        <v>0.15</v>
      </c>
      <c r="K29" s="64">
        <v>303.16000000000003</v>
      </c>
      <c r="L29" s="64">
        <v>14.05</v>
      </c>
      <c r="M29" s="64">
        <v>62.21</v>
      </c>
      <c r="N29" s="64">
        <v>64.2</v>
      </c>
      <c r="O29" s="64">
        <v>0</v>
      </c>
      <c r="P29" s="64">
        <v>1.44</v>
      </c>
      <c r="Q29" s="64">
        <v>10.11</v>
      </c>
      <c r="R29" s="198"/>
      <c r="S29" s="198"/>
      <c r="T29" s="198"/>
      <c r="U29" s="198"/>
    </row>
    <row r="30" spans="1:21" s="12" customFormat="1" x14ac:dyDescent="0.25">
      <c r="A30" s="213" t="s">
        <v>2761</v>
      </c>
      <c r="B30" s="64">
        <v>105.24</v>
      </c>
      <c r="C30" s="64">
        <v>70.59</v>
      </c>
      <c r="D30" s="64">
        <v>119.9</v>
      </c>
      <c r="E30" s="64">
        <v>7.21</v>
      </c>
      <c r="F30" s="64">
        <v>8.4</v>
      </c>
      <c r="G30" s="64">
        <v>188.81</v>
      </c>
      <c r="H30" s="64">
        <v>56.48</v>
      </c>
      <c r="I30" s="64">
        <v>3.92</v>
      </c>
      <c r="J30" s="64">
        <v>0.41</v>
      </c>
      <c r="K30" s="64">
        <v>56.76</v>
      </c>
      <c r="L30" s="64">
        <v>14.64</v>
      </c>
      <c r="M30" s="64">
        <v>53.75</v>
      </c>
      <c r="N30" s="64">
        <v>63.1</v>
      </c>
      <c r="O30" s="64">
        <v>0</v>
      </c>
      <c r="P30" s="64">
        <v>1.35</v>
      </c>
      <c r="Q30" s="64">
        <v>10.119999999999999</v>
      </c>
      <c r="R30" s="198"/>
      <c r="S30" s="198"/>
      <c r="T30" s="198"/>
      <c r="U30" s="198"/>
    </row>
    <row r="31" spans="1:21" s="12" customFormat="1" x14ac:dyDescent="0.25">
      <c r="A31" s="213" t="s">
        <v>2762</v>
      </c>
      <c r="B31" s="64">
        <v>106.18</v>
      </c>
      <c r="C31" s="64">
        <v>68.16</v>
      </c>
      <c r="D31" s="64">
        <v>119.38</v>
      </c>
      <c r="E31" s="64">
        <v>7.09</v>
      </c>
      <c r="F31" s="64">
        <v>8.8800000000000008</v>
      </c>
      <c r="G31" s="64">
        <v>188.81</v>
      </c>
      <c r="H31" s="64">
        <v>56.48</v>
      </c>
      <c r="I31" s="64">
        <v>3.94</v>
      </c>
      <c r="J31" s="64">
        <v>0.81</v>
      </c>
      <c r="K31" s="64">
        <v>63.69</v>
      </c>
      <c r="L31" s="64">
        <v>15.64</v>
      </c>
      <c r="M31" s="64">
        <v>48.95</v>
      </c>
      <c r="N31" s="64">
        <v>62.7</v>
      </c>
      <c r="O31" s="64">
        <v>0</v>
      </c>
      <c r="P31" s="64">
        <v>1.37</v>
      </c>
      <c r="Q31" s="64">
        <v>10.1</v>
      </c>
      <c r="R31" s="198"/>
      <c r="S31" s="198"/>
      <c r="T31" s="198"/>
      <c r="U31" s="198"/>
    </row>
    <row r="32" spans="1:21" s="12" customFormat="1" x14ac:dyDescent="0.25">
      <c r="A32" s="213" t="s">
        <v>2763</v>
      </c>
      <c r="B32" s="64">
        <v>106.35</v>
      </c>
      <c r="C32" s="64">
        <v>69.31</v>
      </c>
      <c r="D32" s="64">
        <v>120.12</v>
      </c>
      <c r="E32" s="64">
        <v>7.16</v>
      </c>
      <c r="F32" s="64">
        <v>9.32</v>
      </c>
      <c r="G32" s="64">
        <v>188.81</v>
      </c>
      <c r="H32" s="64">
        <v>56.48</v>
      </c>
      <c r="I32" s="64">
        <v>4</v>
      </c>
      <c r="J32" s="64">
        <v>0.87</v>
      </c>
      <c r="K32" s="64">
        <v>77.88</v>
      </c>
      <c r="L32" s="64">
        <v>15.97</v>
      </c>
      <c r="M32" s="64">
        <v>48.22</v>
      </c>
      <c r="N32" s="64">
        <v>63.3</v>
      </c>
      <c r="O32" s="64">
        <v>0</v>
      </c>
      <c r="P32" s="64">
        <v>1.33</v>
      </c>
      <c r="Q32" s="64">
        <v>10.11</v>
      </c>
      <c r="R32" s="198"/>
      <c r="S32" s="198"/>
      <c r="T32" s="198"/>
      <c r="U32" s="198"/>
    </row>
    <row r="33" spans="1:21" s="12" customFormat="1" x14ac:dyDescent="0.25">
      <c r="A33" s="213" t="s">
        <v>2764</v>
      </c>
      <c r="B33" s="64">
        <v>99.52</v>
      </c>
      <c r="C33" s="64">
        <v>68.14</v>
      </c>
      <c r="D33" s="64">
        <v>114.03</v>
      </c>
      <c r="E33" s="64">
        <v>6.91</v>
      </c>
      <c r="F33" s="64">
        <v>8.3699999999999992</v>
      </c>
      <c r="G33" s="64">
        <v>158.85</v>
      </c>
      <c r="H33" s="64">
        <v>54.97</v>
      </c>
      <c r="I33" s="64">
        <v>4.1100000000000003</v>
      </c>
      <c r="J33" s="64">
        <v>1.41</v>
      </c>
      <c r="K33" s="64">
        <v>96.4</v>
      </c>
      <c r="L33" s="64">
        <v>15.89</v>
      </c>
      <c r="M33" s="64">
        <v>48.53</v>
      </c>
      <c r="N33" s="64">
        <v>64.099999999999994</v>
      </c>
      <c r="O33" s="64">
        <v>0</v>
      </c>
      <c r="P33" s="64">
        <v>1.29</v>
      </c>
      <c r="Q33" s="64">
        <v>10.11</v>
      </c>
      <c r="R33" s="198"/>
      <c r="S33" s="198"/>
      <c r="T33" s="198"/>
      <c r="U33" s="198"/>
    </row>
    <row r="34" spans="1:21" s="12" customFormat="1" x14ac:dyDescent="0.25">
      <c r="A34" s="213" t="s">
        <v>2765</v>
      </c>
      <c r="B34" s="64">
        <v>100.06</v>
      </c>
      <c r="C34" s="64">
        <v>67.83</v>
      </c>
      <c r="D34" s="64">
        <v>114.3</v>
      </c>
      <c r="E34" s="64">
        <v>6.39</v>
      </c>
      <c r="F34" s="64">
        <v>7.09</v>
      </c>
      <c r="G34" s="64">
        <v>107.11</v>
      </c>
      <c r="H34" s="64">
        <v>52.36</v>
      </c>
      <c r="I34" s="64">
        <v>3.92</v>
      </c>
      <c r="J34" s="64">
        <v>1.49</v>
      </c>
      <c r="K34" s="64">
        <v>96.55</v>
      </c>
      <c r="L34" s="64">
        <v>15.86</v>
      </c>
      <c r="M34" s="64">
        <v>48.31</v>
      </c>
      <c r="N34" s="64">
        <v>69.2</v>
      </c>
      <c r="O34" s="64">
        <v>0</v>
      </c>
      <c r="P34" s="64">
        <v>1.27</v>
      </c>
      <c r="Q34" s="64">
        <v>10.08</v>
      </c>
      <c r="R34" s="198"/>
      <c r="S34" s="198"/>
      <c r="T34" s="198"/>
      <c r="U34" s="198"/>
    </row>
    <row r="35" spans="1:21" s="12" customFormat="1" x14ac:dyDescent="0.25">
      <c r="A35" s="213" t="s">
        <v>2766</v>
      </c>
      <c r="B35" s="64">
        <v>96.55</v>
      </c>
      <c r="C35" s="64">
        <v>68.62</v>
      </c>
      <c r="D35" s="64">
        <v>111.9</v>
      </c>
      <c r="E35" s="64">
        <v>6.39</v>
      </c>
      <c r="F35" s="64">
        <v>6.89</v>
      </c>
      <c r="G35" s="64">
        <v>107.11</v>
      </c>
      <c r="H35" s="64">
        <v>52.36</v>
      </c>
      <c r="I35" s="64">
        <v>3.94</v>
      </c>
      <c r="J35" s="64">
        <v>1.43</v>
      </c>
      <c r="K35" s="64">
        <v>93.74</v>
      </c>
      <c r="L35" s="64">
        <v>15.77</v>
      </c>
      <c r="M35" s="64">
        <v>48.07</v>
      </c>
      <c r="N35" s="64">
        <v>82.1</v>
      </c>
      <c r="O35" s="64">
        <v>0</v>
      </c>
      <c r="P35" s="64">
        <v>1.23</v>
      </c>
      <c r="Q35" s="64">
        <v>10.050000000000001</v>
      </c>
      <c r="R35" s="198"/>
      <c r="S35" s="198"/>
      <c r="T35" s="198"/>
      <c r="U35" s="198"/>
    </row>
    <row r="36" spans="1:21" s="12" customFormat="1" x14ac:dyDescent="0.25">
      <c r="A36" s="213" t="s">
        <v>2767</v>
      </c>
      <c r="B36" s="64">
        <v>94.55</v>
      </c>
      <c r="C36" s="64">
        <v>69.47</v>
      </c>
      <c r="D36" s="64">
        <v>110.75</v>
      </c>
      <c r="E36" s="64">
        <v>6.42</v>
      </c>
      <c r="F36" s="64">
        <v>6.71</v>
      </c>
      <c r="G36" s="64">
        <v>107.11</v>
      </c>
      <c r="H36" s="64">
        <v>52.36</v>
      </c>
      <c r="I36" s="64">
        <v>3.84</v>
      </c>
      <c r="J36" s="64">
        <v>1.3</v>
      </c>
      <c r="K36" s="64">
        <v>91.68</v>
      </c>
      <c r="L36" s="64">
        <v>15.93</v>
      </c>
      <c r="M36" s="64">
        <v>47.83</v>
      </c>
      <c r="N36" s="64">
        <v>105.5</v>
      </c>
      <c r="O36" s="64">
        <v>0</v>
      </c>
      <c r="P36" s="64">
        <v>1.19</v>
      </c>
      <c r="Q36" s="64">
        <v>10.039999999999999</v>
      </c>
      <c r="R36" s="198"/>
      <c r="S36" s="198"/>
      <c r="T36" s="198"/>
      <c r="U36" s="198"/>
    </row>
    <row r="37" spans="1:21" s="12" customFormat="1" x14ac:dyDescent="0.25">
      <c r="A37" s="213" t="s">
        <v>2768</v>
      </c>
      <c r="B37" s="64">
        <v>87.39</v>
      </c>
      <c r="C37" s="64">
        <v>70.25</v>
      </c>
      <c r="D37" s="64">
        <v>105.41</v>
      </c>
      <c r="E37" s="64">
        <v>6.65</v>
      </c>
      <c r="F37" s="64">
        <v>6.88</v>
      </c>
      <c r="G37" s="64">
        <v>94.34</v>
      </c>
      <c r="H37" s="64">
        <v>48.4</v>
      </c>
      <c r="I37" s="64">
        <v>4.0999999999999996</v>
      </c>
      <c r="J37" s="64">
        <v>1.02</v>
      </c>
      <c r="K37" s="64">
        <v>87.41</v>
      </c>
      <c r="L37" s="64">
        <v>16.57</v>
      </c>
      <c r="M37" s="64">
        <v>45.8</v>
      </c>
      <c r="N37" s="64">
        <v>168.9</v>
      </c>
      <c r="O37" s="64">
        <v>0</v>
      </c>
      <c r="P37" s="64">
        <v>1.33</v>
      </c>
      <c r="Q37" s="64">
        <v>10.01</v>
      </c>
      <c r="R37" s="198"/>
      <c r="S37" s="198"/>
      <c r="T37" s="198"/>
      <c r="U37" s="198"/>
    </row>
    <row r="38" spans="1:21" s="12" customFormat="1" x14ac:dyDescent="0.25">
      <c r="A38" s="213" t="s">
        <v>2769</v>
      </c>
      <c r="B38" s="64">
        <v>84.84</v>
      </c>
      <c r="C38" s="64">
        <v>69.23</v>
      </c>
      <c r="D38" s="64">
        <v>102.83</v>
      </c>
      <c r="E38" s="64">
        <v>6.31</v>
      </c>
      <c r="F38" s="64">
        <v>6.61</v>
      </c>
      <c r="G38" s="64">
        <v>72.290000000000006</v>
      </c>
      <c r="H38" s="64">
        <v>41.57</v>
      </c>
      <c r="I38" s="64">
        <v>3.96</v>
      </c>
      <c r="J38" s="64">
        <v>0.83</v>
      </c>
      <c r="K38" s="64">
        <v>65.55</v>
      </c>
      <c r="L38" s="64">
        <v>17.670000000000002</v>
      </c>
      <c r="M38" s="64">
        <v>43.76</v>
      </c>
      <c r="N38" s="64">
        <v>223.3</v>
      </c>
      <c r="O38" s="64">
        <v>0</v>
      </c>
      <c r="P38" s="64">
        <v>1.37</v>
      </c>
      <c r="Q38" s="64">
        <v>10</v>
      </c>
      <c r="R38" s="198"/>
      <c r="S38" s="198"/>
      <c r="T38" s="198"/>
      <c r="U38" s="198"/>
    </row>
    <row r="39" spans="1:21" s="12" customFormat="1" x14ac:dyDescent="0.25">
      <c r="A39" s="213" t="s">
        <v>2770</v>
      </c>
      <c r="B39" s="64">
        <v>80.739999999999995</v>
      </c>
      <c r="C39" s="64">
        <v>69.92</v>
      </c>
      <c r="D39" s="64">
        <v>99.9</v>
      </c>
      <c r="E39" s="64">
        <v>6.03</v>
      </c>
      <c r="F39" s="64">
        <v>6.7</v>
      </c>
      <c r="G39" s="64">
        <v>72.290000000000006</v>
      </c>
      <c r="H39" s="64">
        <v>41.57</v>
      </c>
      <c r="I39" s="64">
        <v>4.0199999999999996</v>
      </c>
      <c r="J39" s="64">
        <v>0.53</v>
      </c>
      <c r="K39" s="64">
        <v>42.1</v>
      </c>
      <c r="L39" s="64">
        <v>19.36</v>
      </c>
      <c r="M39" s="64">
        <v>40.049999999999997</v>
      </c>
      <c r="N39" s="64">
        <v>279.10000000000002</v>
      </c>
      <c r="O39" s="64">
        <v>0</v>
      </c>
      <c r="P39" s="64">
        <v>1.32</v>
      </c>
      <c r="Q39" s="64">
        <v>9.9600000000000009</v>
      </c>
      <c r="R39" s="198"/>
      <c r="S39" s="198"/>
      <c r="T39" s="198"/>
      <c r="U39" s="198"/>
    </row>
    <row r="40" spans="1:21" s="12" customFormat="1" x14ac:dyDescent="0.25">
      <c r="A40" s="213" t="s">
        <v>2771</v>
      </c>
      <c r="B40" s="64">
        <v>77.28</v>
      </c>
      <c r="C40" s="64">
        <v>69.95</v>
      </c>
      <c r="D40" s="64">
        <v>97.14</v>
      </c>
      <c r="E40" s="64">
        <v>5.37</v>
      </c>
      <c r="F40" s="64">
        <v>6.62</v>
      </c>
      <c r="G40" s="64">
        <v>72.290000000000006</v>
      </c>
      <c r="H40" s="64">
        <v>41.57</v>
      </c>
      <c r="I40" s="64">
        <v>4.01</v>
      </c>
      <c r="J40" s="64">
        <v>0.83</v>
      </c>
      <c r="K40" s="64">
        <v>11.96</v>
      </c>
      <c r="L40" s="64">
        <v>21.09</v>
      </c>
      <c r="M40" s="64">
        <v>35.32</v>
      </c>
      <c r="N40" s="64">
        <v>337</v>
      </c>
      <c r="O40" s="64">
        <v>0</v>
      </c>
      <c r="P40" s="64">
        <v>1.28</v>
      </c>
      <c r="Q40" s="64">
        <v>9.94</v>
      </c>
      <c r="R40" s="198"/>
      <c r="S40" s="198"/>
      <c r="T40" s="198"/>
      <c r="U40" s="198"/>
    </row>
    <row r="41" spans="1:21" s="12" customFormat="1" x14ac:dyDescent="0.25">
      <c r="A41" s="213" t="s">
        <v>2772</v>
      </c>
      <c r="B41" s="64">
        <v>71.41</v>
      </c>
      <c r="C41" s="64">
        <v>72.12</v>
      </c>
      <c r="D41" s="64">
        <v>93.57</v>
      </c>
      <c r="E41" s="64">
        <v>5.84</v>
      </c>
      <c r="F41" s="64">
        <v>7.73</v>
      </c>
      <c r="G41" s="64">
        <v>73.61</v>
      </c>
      <c r="H41" s="64">
        <v>35.32</v>
      </c>
      <c r="I41" s="64">
        <v>4.08</v>
      </c>
      <c r="J41" s="64">
        <v>0.84</v>
      </c>
      <c r="K41" s="64">
        <v>1.68</v>
      </c>
      <c r="L41" s="64">
        <v>22.65</v>
      </c>
      <c r="M41" s="64">
        <v>32.340000000000003</v>
      </c>
      <c r="N41" s="64">
        <v>390.2</v>
      </c>
      <c r="O41" s="64">
        <v>0</v>
      </c>
      <c r="P41" s="64">
        <v>1.21</v>
      </c>
      <c r="Q41" s="64">
        <v>9.93</v>
      </c>
      <c r="R41" s="198"/>
      <c r="S41" s="198"/>
      <c r="T41" s="198"/>
      <c r="U41" s="198"/>
    </row>
    <row r="42" spans="1:21" s="12" customFormat="1" x14ac:dyDescent="0.25">
      <c r="A42" s="213" t="s">
        <v>2773</v>
      </c>
      <c r="B42" s="64">
        <v>69.680000000000007</v>
      </c>
      <c r="C42" s="64">
        <v>73.95</v>
      </c>
      <c r="D42" s="64">
        <v>93.14</v>
      </c>
      <c r="E42" s="64">
        <v>5.8</v>
      </c>
      <c r="F42" s="64">
        <v>7.24</v>
      </c>
      <c r="G42" s="64">
        <v>75.900000000000006</v>
      </c>
      <c r="H42" s="64">
        <v>24.53</v>
      </c>
      <c r="I42" s="64">
        <v>4.08</v>
      </c>
      <c r="J42" s="64">
        <v>1.33</v>
      </c>
      <c r="K42" s="64">
        <v>5.23</v>
      </c>
      <c r="L42" s="64">
        <v>23.93</v>
      </c>
      <c r="M42" s="64">
        <v>29.77</v>
      </c>
      <c r="N42" s="64">
        <v>447.9</v>
      </c>
      <c r="O42" s="64">
        <v>0</v>
      </c>
      <c r="P42" s="64">
        <v>1.17</v>
      </c>
      <c r="Q42" s="64">
        <v>9.91</v>
      </c>
      <c r="R42" s="198"/>
      <c r="S42" s="198"/>
      <c r="T42" s="198"/>
      <c r="U42" s="198"/>
    </row>
    <row r="43" spans="1:21" s="12" customFormat="1" x14ac:dyDescent="0.25">
      <c r="A43" s="213" t="s">
        <v>2774</v>
      </c>
      <c r="B43" s="64">
        <v>68.56</v>
      </c>
      <c r="C43" s="64">
        <v>75.55</v>
      </c>
      <c r="D43" s="64">
        <v>93.07</v>
      </c>
      <c r="E43" s="64">
        <v>5.94</v>
      </c>
      <c r="F43" s="64">
        <v>6.45</v>
      </c>
      <c r="G43" s="64">
        <v>75.900000000000006</v>
      </c>
      <c r="H43" s="64">
        <v>24.53</v>
      </c>
      <c r="I43" s="64">
        <v>4.07</v>
      </c>
      <c r="J43" s="64">
        <v>1.39</v>
      </c>
      <c r="K43" s="64">
        <v>356.92</v>
      </c>
      <c r="L43" s="64">
        <v>25.3</v>
      </c>
      <c r="M43" s="64">
        <v>28.23</v>
      </c>
      <c r="N43" s="64">
        <v>501.7</v>
      </c>
      <c r="O43" s="64">
        <v>0</v>
      </c>
      <c r="P43" s="64">
        <v>1.1299999999999999</v>
      </c>
      <c r="Q43" s="64">
        <v>9.86</v>
      </c>
      <c r="R43" s="198"/>
      <c r="S43" s="198"/>
      <c r="T43" s="198"/>
      <c r="U43" s="198"/>
    </row>
    <row r="44" spans="1:21" s="12" customFormat="1" x14ac:dyDescent="0.25">
      <c r="A44" s="213" t="s">
        <v>2775</v>
      </c>
      <c r="B44" s="64">
        <v>66.87</v>
      </c>
      <c r="C44" s="64">
        <v>77.73</v>
      </c>
      <c r="D44" s="64">
        <v>92.86</v>
      </c>
      <c r="E44" s="64">
        <v>6.59</v>
      </c>
      <c r="F44" s="64">
        <v>7.04</v>
      </c>
      <c r="G44" s="64">
        <v>75.900000000000006</v>
      </c>
      <c r="H44" s="64">
        <v>24.53</v>
      </c>
      <c r="I44" s="64">
        <v>3.96</v>
      </c>
      <c r="J44" s="64">
        <v>1.58</v>
      </c>
      <c r="K44" s="64">
        <v>2.2599999999999998</v>
      </c>
      <c r="L44" s="64">
        <v>26.15</v>
      </c>
      <c r="M44" s="64">
        <v>26.93</v>
      </c>
      <c r="N44" s="64">
        <v>555.20000000000005</v>
      </c>
      <c r="O44" s="64">
        <v>0</v>
      </c>
      <c r="P44" s="64">
        <v>1.0900000000000001</v>
      </c>
      <c r="Q44" s="64">
        <v>9.84</v>
      </c>
      <c r="R44" s="198"/>
      <c r="S44" s="198"/>
      <c r="T44" s="198"/>
      <c r="U44" s="198"/>
    </row>
    <row r="45" spans="1:21" s="12" customFormat="1" x14ac:dyDescent="0.25">
      <c r="A45" s="213" t="s">
        <v>2776</v>
      </c>
      <c r="B45" s="64">
        <v>62.8</v>
      </c>
      <c r="C45" s="64">
        <v>82.85</v>
      </c>
      <c r="D45" s="64">
        <v>92.27</v>
      </c>
      <c r="E45" s="64">
        <v>7.73</v>
      </c>
      <c r="F45" s="64">
        <v>7.8</v>
      </c>
      <c r="G45" s="64">
        <v>77.11</v>
      </c>
      <c r="H45" s="64">
        <v>20.76</v>
      </c>
      <c r="I45" s="64">
        <v>3.77</v>
      </c>
      <c r="J45" s="64">
        <v>1.49</v>
      </c>
      <c r="K45" s="64">
        <v>5.26</v>
      </c>
      <c r="L45" s="64">
        <v>26.12</v>
      </c>
      <c r="M45" s="64">
        <v>26.77</v>
      </c>
      <c r="N45" s="64">
        <v>602.9</v>
      </c>
      <c r="O45" s="64">
        <v>0</v>
      </c>
      <c r="P45" s="64">
        <v>1.01</v>
      </c>
      <c r="Q45" s="64">
        <v>9.8000000000000007</v>
      </c>
      <c r="R45" s="198"/>
      <c r="S45" s="198"/>
      <c r="T45" s="198"/>
      <c r="U45" s="198"/>
    </row>
    <row r="46" spans="1:21" s="12" customFormat="1" x14ac:dyDescent="0.25">
      <c r="A46" s="213" t="s">
        <v>2777</v>
      </c>
      <c r="B46" s="64">
        <v>60.78</v>
      </c>
      <c r="C46" s="64">
        <v>89.74</v>
      </c>
      <c r="D46" s="64">
        <v>94.25</v>
      </c>
      <c r="E46" s="64">
        <v>10.78</v>
      </c>
      <c r="F46" s="64">
        <v>8.67</v>
      </c>
      <c r="G46" s="64">
        <v>79.209999999999994</v>
      </c>
      <c r="H46" s="64">
        <v>14.27</v>
      </c>
      <c r="I46" s="64">
        <v>3.98</v>
      </c>
      <c r="J46" s="64">
        <v>1.38</v>
      </c>
      <c r="K46" s="64">
        <v>11.14</v>
      </c>
      <c r="L46" s="64">
        <v>26.05</v>
      </c>
      <c r="M46" s="64">
        <v>26.75</v>
      </c>
      <c r="N46" s="64">
        <v>650.79999999999995</v>
      </c>
      <c r="O46" s="64">
        <v>0</v>
      </c>
      <c r="P46" s="64">
        <v>0.94</v>
      </c>
      <c r="Q46" s="64">
        <v>9.82</v>
      </c>
      <c r="R46" s="198"/>
      <c r="S46" s="198"/>
      <c r="T46" s="198"/>
      <c r="U46" s="198"/>
    </row>
    <row r="47" spans="1:21" s="12" customFormat="1" x14ac:dyDescent="0.25">
      <c r="A47" s="213" t="s">
        <v>2778</v>
      </c>
      <c r="B47" s="64">
        <v>59.34</v>
      </c>
      <c r="C47" s="64">
        <v>82.83</v>
      </c>
      <c r="D47" s="64">
        <v>89.48</v>
      </c>
      <c r="E47" s="64">
        <v>7.84</v>
      </c>
      <c r="F47" s="64">
        <v>8.36</v>
      </c>
      <c r="G47" s="64">
        <v>79.209999999999994</v>
      </c>
      <c r="H47" s="64">
        <v>14.27</v>
      </c>
      <c r="I47" s="64">
        <v>3.94</v>
      </c>
      <c r="J47" s="64">
        <v>1.32</v>
      </c>
      <c r="K47" s="64">
        <v>83.73</v>
      </c>
      <c r="L47" s="64">
        <v>24.45</v>
      </c>
      <c r="M47" s="64">
        <v>29.31</v>
      </c>
      <c r="N47" s="64">
        <v>709.3</v>
      </c>
      <c r="O47" s="64">
        <v>0</v>
      </c>
      <c r="P47" s="64">
        <v>0.95</v>
      </c>
      <c r="Q47" s="64">
        <v>9.82</v>
      </c>
      <c r="R47" s="198"/>
      <c r="S47" s="198"/>
      <c r="T47" s="198"/>
      <c r="U47" s="198"/>
    </row>
    <row r="48" spans="1:21" s="12" customFormat="1" x14ac:dyDescent="0.25">
      <c r="A48" s="213" t="s">
        <v>2779</v>
      </c>
      <c r="B48" s="64">
        <v>52.37</v>
      </c>
      <c r="C48" s="64">
        <v>81.23</v>
      </c>
      <c r="D48" s="64">
        <v>83.06</v>
      </c>
      <c r="E48" s="64">
        <v>8.84</v>
      </c>
      <c r="F48" s="64">
        <v>11.06</v>
      </c>
      <c r="G48" s="64">
        <v>79.209999999999994</v>
      </c>
      <c r="H48" s="64">
        <v>14.27</v>
      </c>
      <c r="I48" s="64">
        <v>4.0999999999999996</v>
      </c>
      <c r="J48" s="64">
        <v>1.1499999999999999</v>
      </c>
      <c r="K48" s="64">
        <v>27.96</v>
      </c>
      <c r="L48" s="64">
        <v>24.83</v>
      </c>
      <c r="M48" s="64">
        <v>28.01</v>
      </c>
      <c r="N48" s="64">
        <v>751.5</v>
      </c>
      <c r="O48" s="64">
        <v>0</v>
      </c>
      <c r="P48" s="64">
        <v>0.88</v>
      </c>
      <c r="Q48" s="64">
        <v>9.82</v>
      </c>
      <c r="R48" s="198"/>
      <c r="S48" s="198"/>
      <c r="T48" s="198"/>
      <c r="U48" s="198"/>
    </row>
    <row r="49" spans="1:21" s="12" customFormat="1" x14ac:dyDescent="0.25">
      <c r="A49" s="213" t="s">
        <v>2780</v>
      </c>
      <c r="B49" s="64">
        <v>47.92</v>
      </c>
      <c r="C49" s="64">
        <v>82.69</v>
      </c>
      <c r="D49" s="64">
        <v>80.260000000000005</v>
      </c>
      <c r="E49" s="64">
        <v>10.39</v>
      </c>
      <c r="F49" s="64">
        <v>11.47</v>
      </c>
      <c r="G49" s="64">
        <v>78.239999999999995</v>
      </c>
      <c r="H49" s="64">
        <v>22.12</v>
      </c>
      <c r="I49" s="64">
        <v>4</v>
      </c>
      <c r="J49" s="64">
        <v>1.31</v>
      </c>
      <c r="K49" s="64">
        <v>10.07</v>
      </c>
      <c r="L49" s="64">
        <v>26.73</v>
      </c>
      <c r="M49" s="64">
        <v>26.07</v>
      </c>
      <c r="N49" s="64">
        <v>795.9</v>
      </c>
      <c r="O49" s="64">
        <v>0</v>
      </c>
      <c r="P49" s="64">
        <v>0.85</v>
      </c>
      <c r="Q49" s="64">
        <v>9.83</v>
      </c>
      <c r="R49" s="198"/>
      <c r="S49" s="198"/>
      <c r="T49" s="198"/>
      <c r="U49" s="198"/>
    </row>
    <row r="50" spans="1:21" s="12" customFormat="1" x14ac:dyDescent="0.25">
      <c r="A50" s="213" t="s">
        <v>2781</v>
      </c>
      <c r="B50" s="64">
        <v>49.3</v>
      </c>
      <c r="C50" s="64">
        <v>80.72</v>
      </c>
      <c r="D50" s="64">
        <v>80.33</v>
      </c>
      <c r="E50" s="64">
        <v>9.92</v>
      </c>
      <c r="F50" s="64">
        <v>10.5</v>
      </c>
      <c r="G50" s="64">
        <v>76.569999999999993</v>
      </c>
      <c r="H50" s="64">
        <v>35.69</v>
      </c>
      <c r="I50" s="64">
        <v>4.0199999999999996</v>
      </c>
      <c r="J50" s="64">
        <v>1.07</v>
      </c>
      <c r="K50" s="64">
        <v>31.1</v>
      </c>
      <c r="L50" s="64">
        <v>27.34</v>
      </c>
      <c r="M50" s="64">
        <v>26.35</v>
      </c>
      <c r="N50" s="64">
        <v>841.9</v>
      </c>
      <c r="O50" s="64">
        <v>0</v>
      </c>
      <c r="P50" s="64">
        <v>0.81</v>
      </c>
      <c r="Q50" s="64">
        <v>9.81</v>
      </c>
      <c r="R50" s="198"/>
      <c r="S50" s="198"/>
      <c r="T50" s="198"/>
      <c r="U50" s="198"/>
    </row>
    <row r="51" spans="1:21" s="12" customFormat="1" x14ac:dyDescent="0.25">
      <c r="A51" s="213" t="s">
        <v>2782</v>
      </c>
      <c r="B51" s="64">
        <v>42.48</v>
      </c>
      <c r="C51" s="64">
        <v>80.05</v>
      </c>
      <c r="D51" s="64">
        <v>74.510000000000005</v>
      </c>
      <c r="E51" s="64">
        <v>9.43</v>
      </c>
      <c r="F51" s="64">
        <v>11.49</v>
      </c>
      <c r="G51" s="64">
        <v>76.569999999999993</v>
      </c>
      <c r="H51" s="64">
        <v>35.69</v>
      </c>
      <c r="I51" s="64">
        <v>3.9</v>
      </c>
      <c r="J51" s="64">
        <v>1.1000000000000001</v>
      </c>
      <c r="K51" s="64">
        <v>75.69</v>
      </c>
      <c r="L51" s="64">
        <v>26.57</v>
      </c>
      <c r="M51" s="64">
        <v>26.76</v>
      </c>
      <c r="N51" s="64">
        <v>881.5</v>
      </c>
      <c r="O51" s="64">
        <v>0</v>
      </c>
      <c r="P51" s="64">
        <v>0.77</v>
      </c>
      <c r="Q51" s="64">
        <v>9.7899999999999991</v>
      </c>
      <c r="R51" s="198"/>
      <c r="S51" s="198"/>
      <c r="T51" s="198"/>
      <c r="U51" s="198"/>
    </row>
    <row r="52" spans="1:21" s="12" customFormat="1" x14ac:dyDescent="0.25">
      <c r="A52" s="213" t="s">
        <v>2783</v>
      </c>
      <c r="B52" s="64">
        <v>39.61</v>
      </c>
      <c r="C52" s="64">
        <v>78.75</v>
      </c>
      <c r="D52" s="64">
        <v>71.540000000000006</v>
      </c>
      <c r="E52" s="64">
        <v>8.85</v>
      </c>
      <c r="F52" s="64">
        <v>11.08</v>
      </c>
      <c r="G52" s="64">
        <v>76.569999999999993</v>
      </c>
      <c r="H52" s="64">
        <v>35.69</v>
      </c>
      <c r="I52" s="64">
        <v>3.96</v>
      </c>
      <c r="J52" s="64">
        <v>1.22</v>
      </c>
      <c r="K52" s="64">
        <v>6.26</v>
      </c>
      <c r="L52" s="64">
        <v>27.39</v>
      </c>
      <c r="M52" s="64">
        <v>25.56</v>
      </c>
      <c r="N52" s="64">
        <v>903.1</v>
      </c>
      <c r="O52" s="64">
        <v>0</v>
      </c>
      <c r="P52" s="64">
        <v>0.76</v>
      </c>
      <c r="Q52" s="64">
        <v>9.77</v>
      </c>
      <c r="R52" s="198"/>
      <c r="S52" s="198"/>
      <c r="T52" s="198"/>
      <c r="U52" s="198"/>
    </row>
    <row r="53" spans="1:21" s="12" customFormat="1" x14ac:dyDescent="0.25">
      <c r="A53" s="213" t="s">
        <v>2784</v>
      </c>
      <c r="B53" s="64">
        <v>39.36</v>
      </c>
      <c r="C53" s="64">
        <v>78.97</v>
      </c>
      <c r="D53" s="64">
        <v>71.44</v>
      </c>
      <c r="E53" s="64">
        <v>6.79</v>
      </c>
      <c r="F53" s="64">
        <v>7.27</v>
      </c>
      <c r="G53" s="64">
        <v>72.34</v>
      </c>
      <c r="H53" s="64">
        <v>34.29</v>
      </c>
      <c r="I53" s="64">
        <v>3.95</v>
      </c>
      <c r="J53" s="64">
        <v>1.1000000000000001</v>
      </c>
      <c r="K53" s="64">
        <v>19.45</v>
      </c>
      <c r="L53" s="64">
        <v>28.41</v>
      </c>
      <c r="M53" s="64">
        <v>23.8</v>
      </c>
      <c r="N53" s="64">
        <v>913.7</v>
      </c>
      <c r="O53" s="64">
        <v>0</v>
      </c>
      <c r="P53" s="64">
        <v>0.77</v>
      </c>
      <c r="Q53" s="64">
        <v>9.77</v>
      </c>
      <c r="R53" s="198"/>
      <c r="S53" s="198"/>
      <c r="T53" s="198"/>
      <c r="U53" s="198"/>
    </row>
    <row r="54" spans="1:21" s="12" customFormat="1" x14ac:dyDescent="0.25">
      <c r="A54" s="213" t="s">
        <v>2785</v>
      </c>
      <c r="B54" s="64">
        <v>34.51</v>
      </c>
      <c r="C54" s="64">
        <v>80.13</v>
      </c>
      <c r="D54" s="64">
        <v>68.17</v>
      </c>
      <c r="E54" s="64">
        <v>7.93</v>
      </c>
      <c r="F54" s="64">
        <v>8.8800000000000008</v>
      </c>
      <c r="G54" s="64">
        <v>65.02</v>
      </c>
      <c r="H54" s="64">
        <v>31.88</v>
      </c>
      <c r="I54" s="64">
        <v>3.96</v>
      </c>
      <c r="J54" s="64">
        <v>0.93</v>
      </c>
      <c r="K54" s="64">
        <v>25.99</v>
      </c>
      <c r="L54" s="64">
        <v>28.96</v>
      </c>
      <c r="M54" s="64">
        <v>21.05</v>
      </c>
      <c r="N54" s="64">
        <v>898.8</v>
      </c>
      <c r="O54" s="64">
        <v>0</v>
      </c>
      <c r="P54" s="64">
        <v>0.72</v>
      </c>
      <c r="Q54" s="64">
        <v>9.74</v>
      </c>
      <c r="R54" s="198"/>
      <c r="S54" s="198"/>
      <c r="T54" s="198"/>
      <c r="U54" s="198"/>
    </row>
    <row r="55" spans="1:21" s="12" customFormat="1" x14ac:dyDescent="0.25">
      <c r="A55" s="213" t="s">
        <v>2786</v>
      </c>
      <c r="B55" s="64">
        <v>32.869999999999997</v>
      </c>
      <c r="C55" s="64">
        <v>79.39</v>
      </c>
      <c r="D55" s="64">
        <v>66.459999999999994</v>
      </c>
      <c r="E55" s="64">
        <v>7.36</v>
      </c>
      <c r="F55" s="64">
        <v>9.36</v>
      </c>
      <c r="G55" s="64">
        <v>65.02</v>
      </c>
      <c r="H55" s="64">
        <v>31.88</v>
      </c>
      <c r="I55" s="64">
        <v>4.0199999999999996</v>
      </c>
      <c r="J55" s="64">
        <v>0.92</v>
      </c>
      <c r="K55" s="64">
        <v>54.37</v>
      </c>
      <c r="L55" s="64">
        <v>29.19</v>
      </c>
      <c r="M55" s="64">
        <v>20.8</v>
      </c>
      <c r="N55" s="64">
        <v>886</v>
      </c>
      <c r="O55" s="64">
        <v>0</v>
      </c>
      <c r="P55" s="64">
        <v>0.7</v>
      </c>
      <c r="Q55" s="64">
        <v>9.75</v>
      </c>
      <c r="R55" s="198"/>
      <c r="S55" s="198"/>
      <c r="T55" s="198"/>
      <c r="U55" s="198"/>
    </row>
    <row r="56" spans="1:21" s="12" customFormat="1" x14ac:dyDescent="0.25">
      <c r="A56" s="213" t="s">
        <v>2787</v>
      </c>
      <c r="B56" s="64">
        <v>30.2</v>
      </c>
      <c r="C56" s="64">
        <v>79.87</v>
      </c>
      <c r="D56" s="64">
        <v>64.58</v>
      </c>
      <c r="E56" s="64">
        <v>7.78</v>
      </c>
      <c r="F56" s="64">
        <v>9.5399999999999991</v>
      </c>
      <c r="G56" s="64">
        <v>65.02</v>
      </c>
      <c r="H56" s="64">
        <v>31.88</v>
      </c>
      <c r="I56" s="64">
        <v>3.93</v>
      </c>
      <c r="J56" s="64">
        <v>0.75</v>
      </c>
      <c r="K56" s="64">
        <v>41</v>
      </c>
      <c r="L56" s="64">
        <v>29.03</v>
      </c>
      <c r="M56" s="64">
        <v>20.74</v>
      </c>
      <c r="N56" s="64">
        <v>866.8</v>
      </c>
      <c r="O56" s="64">
        <v>0</v>
      </c>
      <c r="P56" s="64">
        <v>0.67</v>
      </c>
      <c r="Q56" s="64">
        <v>9.73</v>
      </c>
      <c r="R56" s="198"/>
      <c r="S56" s="198"/>
      <c r="T56" s="198"/>
      <c r="U56" s="198"/>
    </row>
    <row r="57" spans="1:21" s="12" customFormat="1" x14ac:dyDescent="0.25">
      <c r="A57" s="213" t="s">
        <v>2788</v>
      </c>
      <c r="B57" s="64">
        <v>26.21</v>
      </c>
      <c r="C57" s="64">
        <v>77.209999999999994</v>
      </c>
      <c r="D57" s="64">
        <v>59.98</v>
      </c>
      <c r="E57" s="64">
        <v>6.98</v>
      </c>
      <c r="F57" s="64">
        <v>8.5299999999999994</v>
      </c>
      <c r="G57" s="64">
        <v>62.78</v>
      </c>
      <c r="H57" s="64">
        <v>29.85</v>
      </c>
      <c r="I57" s="64">
        <v>3.75</v>
      </c>
      <c r="J57" s="64">
        <v>1</v>
      </c>
      <c r="K57" s="64">
        <v>99.94</v>
      </c>
      <c r="L57" s="64">
        <v>27.85</v>
      </c>
      <c r="M57" s="64">
        <v>24.34</v>
      </c>
      <c r="N57" s="64">
        <v>854.7</v>
      </c>
      <c r="O57" s="64">
        <v>0</v>
      </c>
      <c r="P57" s="64">
        <v>0.65</v>
      </c>
      <c r="Q57" s="64">
        <v>9.7200000000000006</v>
      </c>
      <c r="R57" s="198"/>
      <c r="S57" s="198"/>
      <c r="T57" s="198"/>
      <c r="U57" s="198"/>
    </row>
    <row r="58" spans="1:21" s="12" customFormat="1" x14ac:dyDescent="0.25">
      <c r="A58" s="213" t="s">
        <v>2789</v>
      </c>
      <c r="B58" s="64">
        <v>23.89</v>
      </c>
      <c r="C58" s="64">
        <v>77.510000000000005</v>
      </c>
      <c r="D58" s="64">
        <v>58.27</v>
      </c>
      <c r="E58" s="64">
        <v>8.2799999999999994</v>
      </c>
      <c r="F58" s="64">
        <v>10.44</v>
      </c>
      <c r="G58" s="64">
        <v>58.92</v>
      </c>
      <c r="H58" s="64">
        <v>26.35</v>
      </c>
      <c r="I58" s="64">
        <v>4.05</v>
      </c>
      <c r="J58" s="64">
        <v>0.97</v>
      </c>
      <c r="K58" s="64">
        <v>74.150000000000006</v>
      </c>
      <c r="L58" s="64">
        <v>28.04</v>
      </c>
      <c r="M58" s="64">
        <v>21.61</v>
      </c>
      <c r="N58" s="64">
        <v>847</v>
      </c>
      <c r="O58" s="64">
        <v>0</v>
      </c>
      <c r="P58" s="64">
        <v>0.61</v>
      </c>
      <c r="Q58" s="64">
        <v>9.6999999999999993</v>
      </c>
      <c r="R58" s="198"/>
      <c r="S58" s="198"/>
      <c r="T58" s="198"/>
      <c r="U58" s="198"/>
    </row>
    <row r="59" spans="1:21" s="12" customFormat="1" x14ac:dyDescent="0.25">
      <c r="A59" s="213" t="s">
        <v>2790</v>
      </c>
      <c r="B59" s="64">
        <v>21.43</v>
      </c>
      <c r="C59" s="64">
        <v>77.540000000000006</v>
      </c>
      <c r="D59" s="64">
        <v>56.32</v>
      </c>
      <c r="E59" s="64">
        <v>8.16</v>
      </c>
      <c r="F59" s="64">
        <v>10.37</v>
      </c>
      <c r="G59" s="64">
        <v>58.92</v>
      </c>
      <c r="H59" s="64">
        <v>26.35</v>
      </c>
      <c r="I59" s="64">
        <v>3.92</v>
      </c>
      <c r="J59" s="64">
        <v>0.74</v>
      </c>
      <c r="K59" s="64">
        <v>28.57</v>
      </c>
      <c r="L59" s="64">
        <v>29.9</v>
      </c>
      <c r="M59" s="64">
        <v>19.100000000000001</v>
      </c>
      <c r="N59" s="64">
        <v>842.7</v>
      </c>
      <c r="O59" s="64">
        <v>0</v>
      </c>
      <c r="P59" s="64">
        <v>0.6</v>
      </c>
      <c r="Q59" s="64">
        <v>9.68</v>
      </c>
      <c r="R59" s="198"/>
      <c r="S59" s="198"/>
      <c r="T59" s="198"/>
      <c r="U59" s="198"/>
    </row>
    <row r="60" spans="1:21" s="12" customFormat="1" x14ac:dyDescent="0.25">
      <c r="A60" s="213" t="s">
        <v>2791</v>
      </c>
      <c r="B60" s="64">
        <v>19.77</v>
      </c>
      <c r="C60" s="64">
        <v>75.739999999999995</v>
      </c>
      <c r="D60" s="64">
        <v>54.05</v>
      </c>
      <c r="E60" s="64">
        <v>7.84</v>
      </c>
      <c r="F60" s="64">
        <v>11.35</v>
      </c>
      <c r="G60" s="64">
        <v>58.92</v>
      </c>
      <c r="H60" s="64">
        <v>26.35</v>
      </c>
      <c r="I60" s="64">
        <v>4.18</v>
      </c>
      <c r="J60" s="64">
        <v>0.87</v>
      </c>
      <c r="K60" s="64">
        <v>347.05</v>
      </c>
      <c r="L60" s="64">
        <v>31.62</v>
      </c>
      <c r="M60" s="64">
        <v>16.809999999999999</v>
      </c>
      <c r="N60" s="64">
        <v>841.3</v>
      </c>
      <c r="O60" s="64">
        <v>0</v>
      </c>
      <c r="P60" s="64">
        <v>0.56999999999999995</v>
      </c>
      <c r="Q60" s="64">
        <v>9.67</v>
      </c>
      <c r="R60" s="198"/>
      <c r="S60" s="198"/>
      <c r="T60" s="198"/>
      <c r="U60" s="198"/>
    </row>
    <row r="61" spans="1:21" s="12" customFormat="1" x14ac:dyDescent="0.25">
      <c r="A61" s="213" t="s">
        <v>2792</v>
      </c>
      <c r="B61" s="64">
        <v>16.510000000000002</v>
      </c>
      <c r="C61" s="64">
        <v>77</v>
      </c>
      <c r="D61" s="64">
        <v>52.1</v>
      </c>
      <c r="E61" s="64">
        <v>6.7</v>
      </c>
      <c r="F61" s="64">
        <v>9.0399999999999991</v>
      </c>
      <c r="G61" s="64">
        <v>55.48</v>
      </c>
      <c r="H61" s="64">
        <v>24.07</v>
      </c>
      <c r="I61" s="64">
        <v>4.2</v>
      </c>
      <c r="J61" s="64">
        <v>1.22</v>
      </c>
      <c r="K61" s="64">
        <v>118.38</v>
      </c>
      <c r="L61" s="64">
        <v>28.82</v>
      </c>
      <c r="M61" s="64">
        <v>19.88</v>
      </c>
      <c r="N61" s="64">
        <v>839.8</v>
      </c>
      <c r="O61" s="64">
        <v>0</v>
      </c>
      <c r="P61" s="64">
        <v>0.64</v>
      </c>
      <c r="Q61" s="64">
        <v>9.66</v>
      </c>
      <c r="R61" s="198"/>
      <c r="S61" s="198"/>
      <c r="T61" s="198"/>
      <c r="U61" s="198"/>
    </row>
    <row r="62" spans="1:21" s="12" customFormat="1" x14ac:dyDescent="0.25">
      <c r="A62" s="213" t="s">
        <v>2793</v>
      </c>
      <c r="B62" s="64">
        <v>13.7</v>
      </c>
      <c r="C62" s="64">
        <v>77.069999999999993</v>
      </c>
      <c r="D62" s="64">
        <v>49.88</v>
      </c>
      <c r="E62" s="64">
        <v>6.19</v>
      </c>
      <c r="F62" s="64">
        <v>9.3699999999999992</v>
      </c>
      <c r="G62" s="64">
        <v>49.54</v>
      </c>
      <c r="H62" s="64">
        <v>20.149999999999999</v>
      </c>
      <c r="I62" s="64">
        <v>4.01</v>
      </c>
      <c r="J62" s="64">
        <v>2.2400000000000002</v>
      </c>
      <c r="K62" s="64">
        <v>105.97</v>
      </c>
      <c r="L62" s="64">
        <v>27.57</v>
      </c>
      <c r="M62" s="64">
        <v>21.98</v>
      </c>
      <c r="N62" s="64">
        <v>829.8</v>
      </c>
      <c r="O62" s="64">
        <v>0</v>
      </c>
      <c r="P62" s="64">
        <v>0.65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3" t="s">
        <v>2794</v>
      </c>
      <c r="B63" s="64">
        <v>12.29</v>
      </c>
      <c r="C63" s="64">
        <v>67.14</v>
      </c>
      <c r="D63" s="64">
        <v>43.56</v>
      </c>
      <c r="E63" s="64">
        <v>7.66</v>
      </c>
      <c r="F63" s="64">
        <v>19.399999999999999</v>
      </c>
      <c r="G63" s="64">
        <v>49.54</v>
      </c>
      <c r="H63" s="64">
        <v>20.149999999999999</v>
      </c>
      <c r="I63" s="64">
        <v>3.97</v>
      </c>
      <c r="J63" s="64">
        <v>1.0900000000000001</v>
      </c>
      <c r="K63" s="64">
        <v>330.32</v>
      </c>
      <c r="L63" s="64">
        <v>29.51</v>
      </c>
      <c r="M63" s="64">
        <v>20.010000000000002</v>
      </c>
      <c r="N63" s="64">
        <v>699.9</v>
      </c>
      <c r="O63" s="64">
        <v>0</v>
      </c>
      <c r="P63" s="64">
        <v>0.6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3" t="s">
        <v>2795</v>
      </c>
      <c r="B64" s="64">
        <v>10.210000000000001</v>
      </c>
      <c r="C64" s="64">
        <v>64.37</v>
      </c>
      <c r="D64" s="64">
        <v>40.44</v>
      </c>
      <c r="E64" s="64">
        <v>21.17</v>
      </c>
      <c r="F64" s="64">
        <v>25.66</v>
      </c>
      <c r="G64" s="64">
        <v>49.54</v>
      </c>
      <c r="H64" s="64">
        <v>20.149999999999999</v>
      </c>
      <c r="I64" s="64">
        <v>3.97</v>
      </c>
      <c r="J64" s="64">
        <v>0.81</v>
      </c>
      <c r="K64" s="64">
        <v>20.92</v>
      </c>
      <c r="L64" s="64">
        <v>31.09</v>
      </c>
      <c r="M64" s="64">
        <v>18.57</v>
      </c>
      <c r="N64" s="64">
        <v>635.20000000000005</v>
      </c>
      <c r="O64" s="64">
        <v>0</v>
      </c>
      <c r="P64" s="64">
        <v>0.55000000000000004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3" t="s">
        <v>2796</v>
      </c>
      <c r="B65" s="64">
        <v>11.49</v>
      </c>
      <c r="C65" s="64">
        <v>71</v>
      </c>
      <c r="D65" s="64">
        <v>44.93</v>
      </c>
      <c r="E65" s="64">
        <v>18.55</v>
      </c>
      <c r="F65" s="64">
        <v>24.74</v>
      </c>
      <c r="G65" s="64">
        <v>49.66</v>
      </c>
      <c r="H65" s="64">
        <v>19.760000000000002</v>
      </c>
      <c r="I65" s="64">
        <v>3.91</v>
      </c>
      <c r="J65" s="64">
        <v>0.71</v>
      </c>
      <c r="K65" s="64">
        <v>39.68</v>
      </c>
      <c r="L65" s="64">
        <v>30.25</v>
      </c>
      <c r="M65" s="64">
        <v>17.29</v>
      </c>
      <c r="N65" s="64">
        <v>523</v>
      </c>
      <c r="O65" s="64">
        <v>0</v>
      </c>
      <c r="P65" s="64">
        <v>0.55000000000000004</v>
      </c>
      <c r="Q65" s="64">
        <v>9.59</v>
      </c>
      <c r="R65" s="198"/>
      <c r="S65" s="198"/>
      <c r="T65" s="198"/>
      <c r="U65" s="198"/>
    </row>
    <row r="66" spans="1:21" s="12" customFormat="1" x14ac:dyDescent="0.25">
      <c r="A66" s="213" t="s">
        <v>2797</v>
      </c>
      <c r="B66" s="64">
        <v>11.92</v>
      </c>
      <c r="C66" s="64">
        <v>68.819999999999993</v>
      </c>
      <c r="D66" s="64">
        <v>44.14</v>
      </c>
      <c r="E66" s="64">
        <v>17.63</v>
      </c>
      <c r="F66" s="64">
        <v>21.43</v>
      </c>
      <c r="G66" s="64">
        <v>49.88</v>
      </c>
      <c r="H66" s="64">
        <v>19.11</v>
      </c>
      <c r="I66" s="64">
        <v>3.87</v>
      </c>
      <c r="J66" s="64">
        <v>1.47</v>
      </c>
      <c r="K66" s="64">
        <v>339.75</v>
      </c>
      <c r="L66" s="64">
        <v>32.14</v>
      </c>
      <c r="M66" s="64">
        <v>15.99</v>
      </c>
      <c r="N66" s="64">
        <v>445.5</v>
      </c>
      <c r="O66" s="64">
        <v>0</v>
      </c>
      <c r="P66" s="64">
        <v>0.56000000000000005</v>
      </c>
      <c r="Q66" s="64">
        <v>9.58</v>
      </c>
      <c r="R66" s="198"/>
      <c r="S66" s="198"/>
      <c r="T66" s="198"/>
      <c r="U66" s="198"/>
    </row>
    <row r="67" spans="1:21" s="12" customFormat="1" x14ac:dyDescent="0.25">
      <c r="A67" s="213" t="s">
        <v>2798</v>
      </c>
      <c r="B67" s="64">
        <v>9.3800000000000008</v>
      </c>
      <c r="C67" s="64">
        <v>66.36</v>
      </c>
      <c r="D67" s="64">
        <v>40.82</v>
      </c>
      <c r="E67" s="64">
        <v>14.68</v>
      </c>
      <c r="F67" s="64">
        <v>26.88</v>
      </c>
      <c r="G67" s="64">
        <v>49.88</v>
      </c>
      <c r="H67" s="64">
        <v>19.11</v>
      </c>
      <c r="I67" s="64">
        <v>4.0199999999999996</v>
      </c>
      <c r="J67" s="64">
        <v>0.7</v>
      </c>
      <c r="K67" s="64">
        <v>14.29</v>
      </c>
      <c r="L67" s="64">
        <v>31.5</v>
      </c>
      <c r="M67" s="64">
        <v>16.68</v>
      </c>
      <c r="N67" s="64">
        <v>611.20000000000005</v>
      </c>
      <c r="O67" s="64">
        <v>0</v>
      </c>
      <c r="P67" s="64">
        <v>0.53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3" t="s">
        <v>2799</v>
      </c>
      <c r="B68" s="64">
        <v>9.43</v>
      </c>
      <c r="C68" s="64">
        <v>68.819999999999993</v>
      </c>
      <c r="D68" s="64">
        <v>42.15</v>
      </c>
      <c r="E68" s="64">
        <v>17.53</v>
      </c>
      <c r="F68" s="64">
        <v>21.23</v>
      </c>
      <c r="G68" s="64">
        <v>49.88</v>
      </c>
      <c r="H68" s="64">
        <v>19.11</v>
      </c>
      <c r="I68" s="64">
        <v>3.96</v>
      </c>
      <c r="J68" s="64">
        <v>0.77</v>
      </c>
      <c r="K68" s="64">
        <v>349.5</v>
      </c>
      <c r="L68" s="64">
        <v>30.18</v>
      </c>
      <c r="M68" s="64">
        <v>17.75</v>
      </c>
      <c r="N68" s="64">
        <v>397.3</v>
      </c>
      <c r="O68" s="64">
        <v>0</v>
      </c>
      <c r="P68" s="64">
        <v>0.53</v>
      </c>
      <c r="Q68" s="64">
        <v>9.59</v>
      </c>
      <c r="R68" s="198"/>
      <c r="S68" s="198"/>
      <c r="T68" s="198"/>
      <c r="U68" s="198"/>
    </row>
    <row r="69" spans="1:21" s="12" customFormat="1" x14ac:dyDescent="0.25">
      <c r="A69" s="213" t="s">
        <v>2800</v>
      </c>
      <c r="B69" s="64">
        <v>10.26</v>
      </c>
      <c r="C69" s="64">
        <v>68.39</v>
      </c>
      <c r="D69" s="64">
        <v>42.59</v>
      </c>
      <c r="E69" s="64">
        <v>21.2</v>
      </c>
      <c r="F69" s="64">
        <v>30.92</v>
      </c>
      <c r="G69" s="64">
        <v>58.8</v>
      </c>
      <c r="H69" s="64">
        <v>19.36</v>
      </c>
      <c r="I69" s="64">
        <v>4.1100000000000003</v>
      </c>
      <c r="J69" s="64">
        <v>1.02</v>
      </c>
      <c r="K69" s="64">
        <v>2.46</v>
      </c>
      <c r="L69" s="64">
        <v>30.79</v>
      </c>
      <c r="M69" s="64">
        <v>16.87</v>
      </c>
      <c r="N69" s="64">
        <v>330.5</v>
      </c>
      <c r="O69" s="64">
        <v>0</v>
      </c>
      <c r="P69" s="64">
        <v>0.52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3" t="s">
        <v>2801</v>
      </c>
      <c r="B70" s="64">
        <v>12.3</v>
      </c>
      <c r="C70" s="64">
        <v>72.099999999999994</v>
      </c>
      <c r="D70" s="64">
        <v>46.16</v>
      </c>
      <c r="E70" s="64">
        <v>15.99</v>
      </c>
      <c r="F70" s="64">
        <v>16.190000000000001</v>
      </c>
      <c r="G70" s="64">
        <v>74.209999999999994</v>
      </c>
      <c r="H70" s="64">
        <v>19.79</v>
      </c>
      <c r="I70" s="64">
        <v>4.09</v>
      </c>
      <c r="J70" s="64">
        <v>1.69</v>
      </c>
      <c r="K70" s="64">
        <v>354.43</v>
      </c>
      <c r="L70" s="64">
        <v>30.58</v>
      </c>
      <c r="M70" s="64">
        <v>17.61</v>
      </c>
      <c r="N70" s="64">
        <v>356.9</v>
      </c>
      <c r="O70" s="64">
        <v>0</v>
      </c>
      <c r="P70" s="64">
        <v>0.56000000000000005</v>
      </c>
      <c r="Q70" s="64">
        <v>9.58</v>
      </c>
      <c r="R70" s="198"/>
      <c r="S70" s="198"/>
      <c r="T70" s="198"/>
      <c r="U70" s="198"/>
    </row>
    <row r="71" spans="1:21" s="12" customFormat="1" x14ac:dyDescent="0.25">
      <c r="A71" s="213" t="s">
        <v>2802</v>
      </c>
      <c r="B71" s="64">
        <v>10.93</v>
      </c>
      <c r="C71" s="64">
        <v>75.09</v>
      </c>
      <c r="D71" s="64">
        <v>46.62</v>
      </c>
      <c r="E71" s="64">
        <v>12.01</v>
      </c>
      <c r="F71" s="64">
        <v>15.07</v>
      </c>
      <c r="G71" s="64">
        <v>74.209999999999994</v>
      </c>
      <c r="H71" s="64">
        <v>19.79</v>
      </c>
      <c r="I71" s="64">
        <v>4.08</v>
      </c>
      <c r="J71" s="64">
        <v>1.87</v>
      </c>
      <c r="K71" s="64">
        <v>351.91</v>
      </c>
      <c r="L71" s="64">
        <v>30.09</v>
      </c>
      <c r="M71" s="64">
        <v>18.989999999999998</v>
      </c>
      <c r="N71" s="64">
        <v>227.3</v>
      </c>
      <c r="O71" s="64">
        <v>0</v>
      </c>
      <c r="P71" s="64">
        <v>0.56999999999999995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3" t="s">
        <v>2803</v>
      </c>
      <c r="B72" s="64">
        <v>11.61</v>
      </c>
      <c r="C72" s="64">
        <v>73.739999999999995</v>
      </c>
      <c r="D72" s="64">
        <v>46.46</v>
      </c>
      <c r="E72" s="64">
        <v>12.41</v>
      </c>
      <c r="F72" s="64">
        <v>16.36</v>
      </c>
      <c r="G72" s="64">
        <v>74.209999999999994</v>
      </c>
      <c r="H72" s="64">
        <v>19.79</v>
      </c>
      <c r="I72" s="64">
        <v>4.03</v>
      </c>
      <c r="J72" s="64">
        <v>1.42</v>
      </c>
      <c r="K72" s="64">
        <v>348.77</v>
      </c>
      <c r="L72" s="64">
        <v>29.7</v>
      </c>
      <c r="M72" s="64">
        <v>19.760000000000002</v>
      </c>
      <c r="N72" s="64">
        <v>197.2</v>
      </c>
      <c r="O72" s="64">
        <v>0</v>
      </c>
      <c r="P72" s="64">
        <v>0.56000000000000005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3" t="s">
        <v>2804</v>
      </c>
      <c r="B73" s="64">
        <v>10.7</v>
      </c>
      <c r="C73" s="64">
        <v>73.72</v>
      </c>
      <c r="D73" s="64">
        <v>45.72</v>
      </c>
      <c r="E73" s="64">
        <v>11.97</v>
      </c>
      <c r="F73" s="64">
        <v>13.71</v>
      </c>
      <c r="G73" s="64">
        <v>70.540000000000006</v>
      </c>
      <c r="H73" s="64">
        <v>19.66</v>
      </c>
      <c r="I73" s="64">
        <v>3.97</v>
      </c>
      <c r="J73" s="64">
        <v>1.81</v>
      </c>
      <c r="K73" s="64">
        <v>354.32</v>
      </c>
      <c r="L73" s="64">
        <v>29.01</v>
      </c>
      <c r="M73" s="64">
        <v>20.76</v>
      </c>
      <c r="N73" s="64">
        <v>160.1</v>
      </c>
      <c r="O73" s="64">
        <v>0</v>
      </c>
      <c r="P73" s="64">
        <v>0.56999999999999995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3" t="s">
        <v>2805</v>
      </c>
      <c r="B74" s="64">
        <v>9.59</v>
      </c>
      <c r="C74" s="64">
        <v>74.67</v>
      </c>
      <c r="D74" s="64">
        <v>45.33</v>
      </c>
      <c r="E74" s="64">
        <v>11.26</v>
      </c>
      <c r="F74" s="64">
        <v>13.23</v>
      </c>
      <c r="G74" s="64">
        <v>64.209999999999994</v>
      </c>
      <c r="H74" s="64">
        <v>19.45</v>
      </c>
      <c r="I74" s="64">
        <v>4</v>
      </c>
      <c r="J74" s="64">
        <v>1.87</v>
      </c>
      <c r="K74" s="64">
        <v>352.43</v>
      </c>
      <c r="L74" s="64">
        <v>28.36</v>
      </c>
      <c r="M74" s="64">
        <v>22.01</v>
      </c>
      <c r="N74" s="64">
        <v>140.80000000000001</v>
      </c>
      <c r="O74" s="64">
        <v>0</v>
      </c>
      <c r="P74" s="64">
        <v>0.57999999999999996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3" t="s">
        <v>2806</v>
      </c>
      <c r="B75" s="64">
        <v>9.7899999999999991</v>
      </c>
      <c r="C75" s="64">
        <v>75.48</v>
      </c>
      <c r="D75" s="64">
        <v>45.91</v>
      </c>
      <c r="E75" s="64">
        <v>9.73</v>
      </c>
      <c r="F75" s="64">
        <v>11.79</v>
      </c>
      <c r="G75" s="64">
        <v>64.209999999999994</v>
      </c>
      <c r="H75" s="64">
        <v>19.45</v>
      </c>
      <c r="I75" s="64">
        <v>3.85</v>
      </c>
      <c r="J75" s="64">
        <v>2.08</v>
      </c>
      <c r="K75" s="64">
        <v>353.91</v>
      </c>
      <c r="L75" s="64">
        <v>27.94</v>
      </c>
      <c r="M75" s="64">
        <v>21.94</v>
      </c>
      <c r="N75" s="64">
        <v>126.6</v>
      </c>
      <c r="O75" s="64">
        <v>0</v>
      </c>
      <c r="P75" s="64">
        <v>0.57999999999999996</v>
      </c>
      <c r="Q75" s="64">
        <v>9.58</v>
      </c>
      <c r="R75" s="198"/>
      <c r="S75" s="198"/>
      <c r="T75" s="198"/>
      <c r="U75" s="198"/>
    </row>
    <row r="76" spans="1:21" s="12" customFormat="1" x14ac:dyDescent="0.25">
      <c r="A76" s="213" t="s">
        <v>2807</v>
      </c>
      <c r="B76" s="64">
        <v>9.75</v>
      </c>
      <c r="C76" s="64">
        <v>71.77</v>
      </c>
      <c r="D76" s="64">
        <v>43.94</v>
      </c>
      <c r="E76" s="64">
        <v>8.7200000000000006</v>
      </c>
      <c r="F76" s="64">
        <v>11.67</v>
      </c>
      <c r="G76" s="64">
        <v>64.209999999999994</v>
      </c>
      <c r="H76" s="64">
        <v>19.45</v>
      </c>
      <c r="I76" s="64">
        <v>4.04</v>
      </c>
      <c r="J76" s="64">
        <v>2.09</v>
      </c>
      <c r="K76" s="64">
        <v>355.52</v>
      </c>
      <c r="L76" s="64">
        <v>27.33</v>
      </c>
      <c r="M76" s="64">
        <v>22.27</v>
      </c>
      <c r="N76" s="64">
        <v>117.4</v>
      </c>
      <c r="O76" s="64">
        <v>0</v>
      </c>
      <c r="P76" s="64">
        <v>0.57999999999999996</v>
      </c>
      <c r="Q76" s="64">
        <v>9.58</v>
      </c>
      <c r="R76" s="198"/>
      <c r="S76" s="198"/>
      <c r="T76" s="198"/>
      <c r="U76" s="198"/>
    </row>
    <row r="77" spans="1:21" s="12" customFormat="1" x14ac:dyDescent="0.25">
      <c r="A77" s="213" t="s">
        <v>2808</v>
      </c>
      <c r="B77" s="64">
        <v>9.11</v>
      </c>
      <c r="C77" s="64">
        <v>74.319999999999993</v>
      </c>
      <c r="D77" s="64">
        <v>44.76</v>
      </c>
      <c r="E77" s="64">
        <v>7.66</v>
      </c>
      <c r="F77" s="64">
        <v>10.16</v>
      </c>
      <c r="G77" s="64">
        <v>67.150000000000006</v>
      </c>
      <c r="H77" s="64">
        <v>17.2</v>
      </c>
      <c r="I77" s="64">
        <v>3.97</v>
      </c>
      <c r="J77" s="64">
        <v>1.98</v>
      </c>
      <c r="K77" s="64">
        <v>349.4</v>
      </c>
      <c r="L77" s="64">
        <v>26.78</v>
      </c>
      <c r="M77" s="64">
        <v>23.12</v>
      </c>
      <c r="N77" s="64">
        <v>98.1</v>
      </c>
      <c r="O77" s="64">
        <v>0</v>
      </c>
      <c r="P77" s="64">
        <v>0.57999999999999996</v>
      </c>
      <c r="Q77" s="64">
        <v>9.59</v>
      </c>
      <c r="R77" s="198"/>
      <c r="S77" s="198"/>
      <c r="T77" s="198"/>
      <c r="U77" s="198"/>
    </row>
    <row r="78" spans="1:21" s="12" customFormat="1" x14ac:dyDescent="0.25">
      <c r="A78" s="213" t="s">
        <v>2809</v>
      </c>
      <c r="B78" s="64">
        <v>13.47</v>
      </c>
      <c r="C78" s="64">
        <v>78.48</v>
      </c>
      <c r="D78" s="64">
        <v>50.43</v>
      </c>
      <c r="E78" s="64">
        <v>10.26</v>
      </c>
      <c r="F78" s="64">
        <v>12.87</v>
      </c>
      <c r="G78" s="64">
        <v>72.22</v>
      </c>
      <c r="H78" s="64">
        <v>13.5</v>
      </c>
      <c r="I78" s="64">
        <v>4.17</v>
      </c>
      <c r="J78" s="64">
        <v>1.54</v>
      </c>
      <c r="K78" s="64">
        <v>356.92</v>
      </c>
      <c r="L78" s="64">
        <v>26.11</v>
      </c>
      <c r="M78" s="64">
        <v>23.88</v>
      </c>
      <c r="N78" s="64">
        <v>89.9</v>
      </c>
      <c r="O78" s="64">
        <v>0</v>
      </c>
      <c r="P78" s="64">
        <v>0.61</v>
      </c>
      <c r="Q78" s="64">
        <v>9.58</v>
      </c>
      <c r="R78" s="198"/>
      <c r="S78" s="198"/>
      <c r="T78" s="198"/>
      <c r="U78" s="198"/>
    </row>
    <row r="79" spans="1:21" s="12" customFormat="1" x14ac:dyDescent="0.25">
      <c r="A79" s="213" t="s">
        <v>2810</v>
      </c>
      <c r="B79" s="64">
        <v>13.69</v>
      </c>
      <c r="C79" s="64">
        <v>77.040000000000006</v>
      </c>
      <c r="D79" s="64">
        <v>49.85</v>
      </c>
      <c r="E79" s="64">
        <v>10.35</v>
      </c>
      <c r="F79" s="64">
        <v>11.86</v>
      </c>
      <c r="G79" s="64">
        <v>72.22</v>
      </c>
      <c r="H79" s="64">
        <v>13.5</v>
      </c>
      <c r="I79" s="64">
        <v>4.03</v>
      </c>
      <c r="J79" s="64">
        <v>1.44</v>
      </c>
      <c r="K79" s="64">
        <v>2.37</v>
      </c>
      <c r="L79" s="64">
        <v>25.51</v>
      </c>
      <c r="M79" s="64">
        <v>23.4</v>
      </c>
      <c r="N79" s="64">
        <v>79.8</v>
      </c>
      <c r="O79" s="64">
        <v>0</v>
      </c>
      <c r="P79" s="64">
        <v>0.65</v>
      </c>
      <c r="Q79" s="64">
        <v>9.59</v>
      </c>
      <c r="R79" s="198"/>
      <c r="S79" s="198"/>
      <c r="T79" s="198"/>
      <c r="U79" s="198"/>
    </row>
    <row r="80" spans="1:21" s="12" customFormat="1" x14ac:dyDescent="0.25">
      <c r="A80" s="213" t="s">
        <v>2811</v>
      </c>
      <c r="B80" s="64">
        <v>30.3</v>
      </c>
      <c r="C80" s="64">
        <v>82.08</v>
      </c>
      <c r="D80" s="64">
        <v>65.81</v>
      </c>
      <c r="E80" s="64">
        <v>9.9600000000000009</v>
      </c>
      <c r="F80" s="64">
        <v>12.05</v>
      </c>
      <c r="G80" s="64">
        <v>72.22</v>
      </c>
      <c r="H80" s="64">
        <v>13.5</v>
      </c>
      <c r="I80" s="64">
        <v>3.93</v>
      </c>
      <c r="J80" s="64">
        <v>1.28</v>
      </c>
      <c r="K80" s="64">
        <v>2.84</v>
      </c>
      <c r="L80" s="64">
        <v>25</v>
      </c>
      <c r="M80" s="64">
        <v>23.62</v>
      </c>
      <c r="N80" s="64">
        <v>71.2</v>
      </c>
      <c r="O80" s="64">
        <v>0</v>
      </c>
      <c r="P80" s="64">
        <v>0.73</v>
      </c>
      <c r="Q80" s="64">
        <v>9.59</v>
      </c>
      <c r="R80" s="198"/>
      <c r="S80" s="198"/>
      <c r="T80" s="198"/>
      <c r="U80" s="198"/>
    </row>
    <row r="81" spans="1:26" s="12" customFormat="1" x14ac:dyDescent="0.25">
      <c r="A81" s="213" t="s">
        <v>2812</v>
      </c>
      <c r="B81" s="64">
        <v>50.48</v>
      </c>
      <c r="C81" s="64">
        <v>98.63</v>
      </c>
      <c r="D81" s="64">
        <v>90.63</v>
      </c>
      <c r="E81" s="64">
        <v>14.35</v>
      </c>
      <c r="F81" s="64">
        <v>10</v>
      </c>
      <c r="G81" s="64">
        <v>73.010000000000005</v>
      </c>
      <c r="H81" s="64">
        <v>14.66</v>
      </c>
      <c r="I81" s="64">
        <v>4.1500000000000004</v>
      </c>
      <c r="J81" s="64">
        <v>0.61</v>
      </c>
      <c r="K81" s="64">
        <v>40.08</v>
      </c>
      <c r="L81" s="64">
        <v>24.06</v>
      </c>
      <c r="M81" s="64">
        <v>25.24</v>
      </c>
      <c r="N81" s="64">
        <v>68.2</v>
      </c>
      <c r="O81" s="64">
        <v>0</v>
      </c>
      <c r="P81" s="64">
        <v>1.1299999999999999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3" t="s">
        <v>2813</v>
      </c>
      <c r="B82" s="64">
        <v>62.28</v>
      </c>
      <c r="C82" s="64">
        <v>97.81</v>
      </c>
      <c r="D82" s="64">
        <v>99.66</v>
      </c>
      <c r="E82" s="64">
        <v>14.63</v>
      </c>
      <c r="F82" s="64">
        <v>7.8</v>
      </c>
      <c r="G82" s="64">
        <v>74.37</v>
      </c>
      <c r="H82" s="64">
        <v>16.559999999999999</v>
      </c>
      <c r="I82" s="64">
        <v>3.95</v>
      </c>
      <c r="J82" s="64">
        <v>0.53</v>
      </c>
      <c r="K82" s="64">
        <v>62.56</v>
      </c>
      <c r="L82" s="64">
        <v>23.58</v>
      </c>
      <c r="M82" s="64">
        <v>26.27</v>
      </c>
      <c r="N82" s="64">
        <v>66.900000000000006</v>
      </c>
      <c r="O82" s="64">
        <v>0</v>
      </c>
      <c r="P82" s="64">
        <v>1.45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3" t="s">
        <v>2814</v>
      </c>
      <c r="B83" s="64">
        <v>27.31</v>
      </c>
      <c r="C83" s="64">
        <v>92.79</v>
      </c>
      <c r="D83" s="64">
        <v>69.010000000000005</v>
      </c>
      <c r="E83" s="64">
        <v>14.63</v>
      </c>
      <c r="F83" s="64">
        <v>7.82</v>
      </c>
      <c r="G83" s="64">
        <v>74.37</v>
      </c>
      <c r="H83" s="64">
        <v>16.559999999999999</v>
      </c>
      <c r="I83" s="64">
        <v>4.08</v>
      </c>
      <c r="J83" s="64">
        <v>0.42</v>
      </c>
      <c r="K83" s="64">
        <v>106.88</v>
      </c>
      <c r="L83" s="64">
        <v>23.02</v>
      </c>
      <c r="M83" s="64">
        <v>27.49</v>
      </c>
      <c r="N83" s="64">
        <v>66.599999999999994</v>
      </c>
      <c r="O83" s="64">
        <v>0</v>
      </c>
      <c r="P83" s="64">
        <v>1.1299999999999999</v>
      </c>
      <c r="Q83" s="64">
        <v>9.58</v>
      </c>
      <c r="R83" s="198"/>
      <c r="S83" s="198"/>
      <c r="T83" s="198"/>
      <c r="U83" s="198"/>
    </row>
    <row r="84" spans="1:26" s="12" customFormat="1" x14ac:dyDescent="0.25">
      <c r="A84" s="213" t="s">
        <v>2815</v>
      </c>
      <c r="B84" s="64">
        <v>97.38</v>
      </c>
      <c r="C84" s="64">
        <v>113.5</v>
      </c>
      <c r="D84" s="64">
        <v>136.01</v>
      </c>
      <c r="E84" s="64">
        <v>14.21</v>
      </c>
      <c r="F84" s="64">
        <v>8.0299999999999994</v>
      </c>
      <c r="G84" s="64">
        <v>74.37</v>
      </c>
      <c r="H84" s="64">
        <v>16.559999999999999</v>
      </c>
      <c r="I84" s="64">
        <v>4.01</v>
      </c>
      <c r="J84" s="64">
        <v>0.68</v>
      </c>
      <c r="K84" s="64">
        <v>250.69</v>
      </c>
      <c r="L84" s="64">
        <v>22.82</v>
      </c>
      <c r="M84" s="64">
        <v>31.01</v>
      </c>
      <c r="N84" s="64">
        <v>66.599999999999994</v>
      </c>
      <c r="O84" s="64">
        <v>0</v>
      </c>
      <c r="P84" s="64">
        <v>1.25</v>
      </c>
      <c r="Q84" s="64">
        <v>9.58</v>
      </c>
      <c r="R84" s="198"/>
      <c r="S84" s="198"/>
      <c r="T84" s="198"/>
      <c r="U84" s="198"/>
    </row>
    <row r="85" spans="1:26" s="12" customFormat="1" x14ac:dyDescent="0.25">
      <c r="A85" s="213" t="s">
        <v>2816</v>
      </c>
      <c r="B85" s="64">
        <v>132.4</v>
      </c>
      <c r="C85" s="64">
        <v>112.14</v>
      </c>
      <c r="D85" s="64">
        <v>163.38</v>
      </c>
      <c r="E85" s="64">
        <v>13.15</v>
      </c>
      <c r="F85" s="64">
        <v>7.99</v>
      </c>
      <c r="G85" s="64">
        <v>88.1</v>
      </c>
      <c r="H85" s="64">
        <v>19.59</v>
      </c>
      <c r="I85" s="64">
        <v>3.98</v>
      </c>
      <c r="J85" s="64">
        <v>0.59</v>
      </c>
      <c r="K85" s="64">
        <v>337.28</v>
      </c>
      <c r="L85" s="64">
        <v>22.12</v>
      </c>
      <c r="M85" s="64">
        <v>35.380000000000003</v>
      </c>
      <c r="N85" s="64">
        <v>66.599999999999994</v>
      </c>
      <c r="O85" s="64">
        <v>0</v>
      </c>
      <c r="P85" s="64">
        <v>2.27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3" t="s">
        <v>2817</v>
      </c>
      <c r="B86" s="64">
        <v>167.75</v>
      </c>
      <c r="C86" s="64">
        <v>110.72</v>
      </c>
      <c r="D86" s="64">
        <v>190.99</v>
      </c>
      <c r="E86" s="64">
        <v>12.93</v>
      </c>
      <c r="F86" s="64">
        <v>8.08</v>
      </c>
      <c r="G86" s="64">
        <v>111.81</v>
      </c>
      <c r="H86" s="64">
        <v>24.57</v>
      </c>
      <c r="I86" s="64">
        <v>4.04</v>
      </c>
      <c r="J86" s="64">
        <v>0.73</v>
      </c>
      <c r="K86" s="64">
        <v>351.36</v>
      </c>
      <c r="L86" s="64">
        <v>21.36</v>
      </c>
      <c r="M86" s="64">
        <v>40.5</v>
      </c>
      <c r="N86" s="64">
        <v>66.599999999999994</v>
      </c>
      <c r="O86" s="64">
        <v>0</v>
      </c>
      <c r="P86" s="64">
        <v>2.78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3" t="s">
        <v>2818</v>
      </c>
      <c r="B87" s="64">
        <v>167.12</v>
      </c>
      <c r="C87" s="64">
        <v>115.49</v>
      </c>
      <c r="D87" s="64">
        <v>192.99</v>
      </c>
      <c r="E87" s="64">
        <v>12.45</v>
      </c>
      <c r="F87" s="64">
        <v>8.77</v>
      </c>
      <c r="G87" s="64">
        <v>111.81</v>
      </c>
      <c r="H87" s="64">
        <v>24.57</v>
      </c>
      <c r="I87" s="64">
        <v>3.84</v>
      </c>
      <c r="J87" s="64">
        <v>0.65</v>
      </c>
      <c r="K87" s="64">
        <v>352.35</v>
      </c>
      <c r="L87" s="64">
        <v>20.79</v>
      </c>
      <c r="M87" s="64">
        <v>41.97</v>
      </c>
      <c r="N87" s="64">
        <v>66.599999999999994</v>
      </c>
      <c r="O87" s="64">
        <v>0</v>
      </c>
      <c r="P87" s="64">
        <v>2.79</v>
      </c>
      <c r="Q87" s="64">
        <v>9.59</v>
      </c>
      <c r="R87" s="198"/>
      <c r="S87" s="198"/>
      <c r="T87" s="198"/>
      <c r="U87" s="198"/>
    </row>
    <row r="88" spans="1:26" s="12" customFormat="1" x14ac:dyDescent="0.25">
      <c r="A88" s="213" t="s">
        <v>2819</v>
      </c>
      <c r="B88" s="64">
        <v>87.08</v>
      </c>
      <c r="C88" s="64">
        <v>87.7</v>
      </c>
      <c r="D88" s="64">
        <v>114.27</v>
      </c>
      <c r="E88" s="64">
        <v>9.16</v>
      </c>
      <c r="F88" s="64">
        <v>6.54</v>
      </c>
      <c r="G88" s="64">
        <v>111.81</v>
      </c>
      <c r="H88" s="64">
        <v>24.57</v>
      </c>
      <c r="I88" s="64">
        <v>3.94</v>
      </c>
      <c r="J88" s="64">
        <v>0.71</v>
      </c>
      <c r="K88" s="64">
        <v>358.17</v>
      </c>
      <c r="L88" s="64">
        <v>20.39</v>
      </c>
      <c r="M88" s="64">
        <v>46.78</v>
      </c>
      <c r="N88" s="64">
        <v>66.7</v>
      </c>
      <c r="O88" s="64">
        <v>0</v>
      </c>
      <c r="P88" s="64">
        <v>1.85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3" t="s">
        <v>2820</v>
      </c>
      <c r="B89" s="64">
        <v>105.95</v>
      </c>
      <c r="C89" s="64">
        <v>93.02</v>
      </c>
      <c r="D89" s="64">
        <v>132.18</v>
      </c>
      <c r="E89" s="64">
        <v>8.59</v>
      </c>
      <c r="F89" s="64">
        <v>7.41</v>
      </c>
      <c r="G89" s="64">
        <v>136.83000000000001</v>
      </c>
      <c r="H89" s="64">
        <v>50.91</v>
      </c>
      <c r="I89" s="64">
        <v>3.95</v>
      </c>
      <c r="J89" s="64">
        <v>0.44</v>
      </c>
      <c r="K89" s="64">
        <v>45.41</v>
      </c>
      <c r="L89" s="64">
        <v>20.11</v>
      </c>
      <c r="M89" s="64">
        <v>45.06</v>
      </c>
      <c r="N89" s="64">
        <v>66.7</v>
      </c>
      <c r="O89" s="64">
        <v>0</v>
      </c>
      <c r="P89" s="64">
        <v>2.13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3" t="s">
        <v>2821</v>
      </c>
      <c r="B90" s="64">
        <v>107.47</v>
      </c>
      <c r="C90" s="64">
        <v>90.82</v>
      </c>
      <c r="D90" s="64">
        <v>132.26</v>
      </c>
      <c r="E90" s="64">
        <v>8.11</v>
      </c>
      <c r="F90" s="64">
        <v>6.92</v>
      </c>
      <c r="G90" s="64">
        <v>178.04</v>
      </c>
      <c r="H90" s="64">
        <v>94.3</v>
      </c>
      <c r="I90" s="64">
        <v>4.0599999999999996</v>
      </c>
      <c r="J90" s="64">
        <v>0.46</v>
      </c>
      <c r="K90" s="64">
        <v>350.96</v>
      </c>
      <c r="L90" s="64">
        <v>20.12</v>
      </c>
      <c r="M90" s="64">
        <v>45.6</v>
      </c>
      <c r="N90" s="64">
        <v>66.5</v>
      </c>
      <c r="O90" s="64">
        <v>0</v>
      </c>
      <c r="P90" s="64">
        <v>1.96</v>
      </c>
      <c r="Q90" s="64">
        <v>9.7100000000000009</v>
      </c>
      <c r="R90" s="198"/>
      <c r="S90" s="198"/>
      <c r="T90" s="198"/>
      <c r="U90" s="198"/>
    </row>
    <row r="91" spans="1:26" s="12" customFormat="1" x14ac:dyDescent="0.25">
      <c r="A91" s="213" t="s">
        <v>2822</v>
      </c>
      <c r="B91" s="64">
        <v>104.27</v>
      </c>
      <c r="C91" s="64">
        <v>86.48</v>
      </c>
      <c r="D91" s="64">
        <v>127.42</v>
      </c>
      <c r="E91" s="64">
        <v>7.5</v>
      </c>
      <c r="F91" s="64">
        <v>6.21</v>
      </c>
      <c r="G91" s="64">
        <v>178.04</v>
      </c>
      <c r="H91" s="64">
        <v>94.3</v>
      </c>
      <c r="I91" s="64">
        <v>3.99</v>
      </c>
      <c r="J91" s="64">
        <v>0.68</v>
      </c>
      <c r="K91" s="64">
        <v>224.57</v>
      </c>
      <c r="L91" s="64">
        <v>20.3</v>
      </c>
      <c r="M91" s="64">
        <v>42.23</v>
      </c>
      <c r="N91" s="64">
        <v>65.599999999999994</v>
      </c>
      <c r="O91" s="64">
        <v>0</v>
      </c>
      <c r="P91" s="64">
        <v>1.93</v>
      </c>
      <c r="Q91" s="64">
        <v>9.7200000000000006</v>
      </c>
      <c r="R91" s="198"/>
      <c r="S91" s="198"/>
      <c r="T91" s="198"/>
      <c r="U91" s="198"/>
    </row>
    <row r="92" spans="1:26" s="12" customFormat="1" x14ac:dyDescent="0.25">
      <c r="A92" s="213" t="s">
        <v>2823</v>
      </c>
      <c r="B92" s="64">
        <v>96.4</v>
      </c>
      <c r="C92" s="64">
        <v>83.07</v>
      </c>
      <c r="D92" s="64">
        <v>119.33</v>
      </c>
      <c r="E92" s="64">
        <v>7.09</v>
      </c>
      <c r="F92" s="64">
        <v>6.44</v>
      </c>
      <c r="G92" s="64">
        <v>178.04</v>
      </c>
      <c r="H92" s="64">
        <v>94.3</v>
      </c>
      <c r="I92" s="64">
        <v>3.91</v>
      </c>
      <c r="J92" s="64">
        <v>0.76</v>
      </c>
      <c r="K92" s="64">
        <v>213.29</v>
      </c>
      <c r="L92" s="64">
        <v>20.9</v>
      </c>
      <c r="M92" s="64">
        <v>38.42</v>
      </c>
      <c r="N92" s="64">
        <v>65.599999999999994</v>
      </c>
      <c r="O92" s="64">
        <v>0</v>
      </c>
      <c r="P92" s="64">
        <v>1.8</v>
      </c>
      <c r="Q92" s="64">
        <v>9.8000000000000007</v>
      </c>
      <c r="R92" s="198"/>
      <c r="S92" s="198"/>
      <c r="T92" s="198"/>
      <c r="U92" s="198"/>
    </row>
    <row r="93" spans="1:26" s="12" customFormat="1" x14ac:dyDescent="0.25">
      <c r="A93" s="213" t="s">
        <v>2824</v>
      </c>
      <c r="B93" s="64">
        <v>102.54</v>
      </c>
      <c r="C93" s="64">
        <v>84.28</v>
      </c>
      <c r="D93" s="64">
        <v>124.88</v>
      </c>
      <c r="E93" s="64">
        <v>7.3</v>
      </c>
      <c r="F93" s="64">
        <v>7.28</v>
      </c>
      <c r="G93" s="64">
        <v>179.09</v>
      </c>
      <c r="H93" s="64">
        <v>93.52</v>
      </c>
      <c r="I93" s="64">
        <v>3.93</v>
      </c>
      <c r="J93" s="64">
        <v>0.72</v>
      </c>
      <c r="K93" s="64">
        <v>240.12</v>
      </c>
      <c r="L93" s="64">
        <v>20.41</v>
      </c>
      <c r="M93" s="64">
        <v>40.57</v>
      </c>
      <c r="N93" s="64">
        <v>66.599999999999994</v>
      </c>
      <c r="O93" s="64">
        <v>0</v>
      </c>
      <c r="P93" s="64">
        <v>1.85</v>
      </c>
      <c r="Q93" s="64">
        <v>9.8800000000000008</v>
      </c>
      <c r="R93" s="198"/>
      <c r="S93" s="198"/>
      <c r="T93" s="198"/>
      <c r="U93" s="198"/>
    </row>
    <row r="94" spans="1:26" s="12" customFormat="1" x14ac:dyDescent="0.25">
      <c r="A94" s="213" t="s">
        <v>2825</v>
      </c>
      <c r="B94" s="64">
        <v>108.08</v>
      </c>
      <c r="C94" s="64">
        <v>83.49</v>
      </c>
      <c r="D94" s="64">
        <v>128.91</v>
      </c>
      <c r="E94" s="64">
        <v>7.12</v>
      </c>
      <c r="F94" s="64">
        <v>6.79</v>
      </c>
      <c r="G94" s="64">
        <v>180.9</v>
      </c>
      <c r="H94" s="64">
        <v>92.19</v>
      </c>
      <c r="I94" s="64">
        <v>3.84</v>
      </c>
      <c r="J94" s="64">
        <v>0.57999999999999996</v>
      </c>
      <c r="K94" s="64">
        <v>327.75</v>
      </c>
      <c r="L94" s="64">
        <v>19.75</v>
      </c>
      <c r="M94" s="64">
        <v>47.68</v>
      </c>
      <c r="N94" s="64">
        <v>66.900000000000006</v>
      </c>
      <c r="O94" s="64">
        <v>0</v>
      </c>
      <c r="P94" s="64">
        <v>1.95</v>
      </c>
      <c r="Q94" s="64">
        <v>9.91</v>
      </c>
      <c r="R94" s="198"/>
      <c r="S94" s="198"/>
      <c r="T94" s="198"/>
      <c r="U94" s="198"/>
    </row>
    <row r="95" spans="1:26" s="12" customFormat="1" x14ac:dyDescent="0.25">
      <c r="A95" s="213" t="s">
        <v>2826</v>
      </c>
      <c r="B95" s="64">
        <v>108.55</v>
      </c>
      <c r="C95" s="64">
        <v>81.849999999999994</v>
      </c>
      <c r="D95" s="64">
        <v>128.44</v>
      </c>
      <c r="E95" s="64">
        <v>6.87</v>
      </c>
      <c r="F95" s="64">
        <v>6.72</v>
      </c>
      <c r="G95" s="64">
        <v>180.9</v>
      </c>
      <c r="H95" s="64">
        <v>92.19</v>
      </c>
      <c r="I95" s="64">
        <v>4.18</v>
      </c>
      <c r="J95" s="64">
        <v>0.28999999999999998</v>
      </c>
      <c r="K95" s="64">
        <v>324.60000000000002</v>
      </c>
      <c r="L95" s="64">
        <v>18.96</v>
      </c>
      <c r="M95" s="64">
        <v>47.57</v>
      </c>
      <c r="N95" s="64">
        <v>66.7</v>
      </c>
      <c r="O95" s="64">
        <v>0</v>
      </c>
      <c r="P95" s="64">
        <v>1.96</v>
      </c>
      <c r="Q95" s="64">
        <v>9.91</v>
      </c>
      <c r="R95" s="198"/>
      <c r="S95" s="198"/>
      <c r="T95" s="198"/>
      <c r="U95" s="198"/>
    </row>
    <row r="96" spans="1:26" s="12" customFormat="1" x14ac:dyDescent="0.25">
      <c r="A96" s="213" t="s">
        <v>2827</v>
      </c>
      <c r="B96" s="64">
        <v>112.26</v>
      </c>
      <c r="C96" s="64">
        <v>81.11</v>
      </c>
      <c r="D96" s="64">
        <v>131.02000000000001</v>
      </c>
      <c r="E96" s="64">
        <v>7.12</v>
      </c>
      <c r="F96" s="64">
        <v>7.07</v>
      </c>
      <c r="G96" s="64">
        <v>180.9</v>
      </c>
      <c r="H96" s="64">
        <v>92.19</v>
      </c>
      <c r="I96" s="64">
        <v>3.92</v>
      </c>
      <c r="J96" s="64">
        <v>0.51</v>
      </c>
      <c r="K96" s="64">
        <v>272.41000000000003</v>
      </c>
      <c r="L96" s="64">
        <v>18.82</v>
      </c>
      <c r="M96" s="64">
        <v>48.13</v>
      </c>
      <c r="N96" s="64">
        <v>66.5</v>
      </c>
      <c r="O96" s="64">
        <v>0</v>
      </c>
      <c r="P96" s="64">
        <v>2</v>
      </c>
      <c r="Q96" s="64">
        <v>9.92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2828</v>
      </c>
      <c r="B97" s="64">
        <v>116.39</v>
      </c>
      <c r="C97" s="64">
        <v>78.62</v>
      </c>
      <c r="D97" s="64">
        <v>133.04</v>
      </c>
      <c r="E97" s="64">
        <v>6.85</v>
      </c>
      <c r="F97" s="64">
        <v>6.99</v>
      </c>
      <c r="G97" s="64">
        <v>184.17</v>
      </c>
      <c r="H97" s="64">
        <v>80.290000000000006</v>
      </c>
      <c r="I97" s="64">
        <v>4.03</v>
      </c>
      <c r="J97" s="64">
        <v>0.56999999999999995</v>
      </c>
      <c r="K97" s="64">
        <v>323.41000000000003</v>
      </c>
      <c r="L97" s="64">
        <v>18.78</v>
      </c>
      <c r="M97" s="64">
        <v>47.18</v>
      </c>
      <c r="N97" s="64">
        <v>66.599999999999994</v>
      </c>
      <c r="O97" s="64">
        <v>0</v>
      </c>
      <c r="P97" s="64">
        <v>2.04</v>
      </c>
      <c r="Q97" s="64">
        <v>9.91</v>
      </c>
      <c r="R97" s="198"/>
      <c r="S97" s="198"/>
      <c r="T97" s="198"/>
      <c r="U97" s="198"/>
    </row>
    <row r="98" spans="1:33" s="12" customFormat="1" x14ac:dyDescent="0.25">
      <c r="A98" s="213" t="s">
        <v>2829</v>
      </c>
      <c r="B98" s="64">
        <v>118.67</v>
      </c>
      <c r="C98" s="64">
        <v>88.63</v>
      </c>
      <c r="D98" s="64">
        <v>140.09</v>
      </c>
      <c r="E98" s="64">
        <v>7.53</v>
      </c>
      <c r="F98" s="64">
        <v>7.67</v>
      </c>
      <c r="G98" s="64">
        <v>189.83</v>
      </c>
      <c r="H98" s="64">
        <v>59.74</v>
      </c>
      <c r="I98" s="64">
        <v>3.97</v>
      </c>
      <c r="J98" s="64">
        <v>0.18</v>
      </c>
      <c r="K98" s="64">
        <v>1.17</v>
      </c>
      <c r="L98" s="64">
        <v>18.29</v>
      </c>
      <c r="M98" s="64">
        <v>49.25</v>
      </c>
      <c r="N98" s="64">
        <v>66.599999999999994</v>
      </c>
      <c r="O98" s="64">
        <v>0</v>
      </c>
      <c r="P98" s="64">
        <v>2.06</v>
      </c>
      <c r="Q98" s="64">
        <v>9.94</v>
      </c>
      <c r="R98" s="198"/>
      <c r="S98" s="198"/>
      <c r="T98" s="198"/>
      <c r="U98" s="198"/>
    </row>
    <row r="99" spans="1:33" s="12" customFormat="1" x14ac:dyDescent="0.25">
      <c r="A99" s="213" t="s">
        <v>2830</v>
      </c>
      <c r="B99" s="64">
        <v>208.31</v>
      </c>
      <c r="C99" s="64">
        <v>95.68</v>
      </c>
      <c r="D99" s="64">
        <v>215.66</v>
      </c>
      <c r="E99" s="64">
        <v>8.81</v>
      </c>
      <c r="F99" s="64">
        <v>8.0399999999999991</v>
      </c>
      <c r="G99" s="64">
        <v>189.83</v>
      </c>
      <c r="H99" s="64">
        <v>59.74</v>
      </c>
      <c r="I99" s="64">
        <v>4.01</v>
      </c>
      <c r="J99" s="64">
        <v>0.39</v>
      </c>
      <c r="K99" s="64">
        <v>25.37</v>
      </c>
      <c r="L99" s="64">
        <v>18.13</v>
      </c>
      <c r="M99" s="64">
        <v>53.81</v>
      </c>
      <c r="N99" s="64">
        <v>66.599999999999994</v>
      </c>
      <c r="O99" s="64">
        <v>0</v>
      </c>
      <c r="P99" s="64">
        <v>2.2999999999999998</v>
      </c>
      <c r="Q99" s="64">
        <v>9.9700000000000006</v>
      </c>
      <c r="R99" s="198"/>
      <c r="S99" s="198"/>
      <c r="T99" s="198"/>
      <c r="U99" s="198"/>
    </row>
    <row r="100" spans="1:33" s="12" customFormat="1" x14ac:dyDescent="0.25">
      <c r="A100" s="213" t="s">
        <v>2831</v>
      </c>
      <c r="B100" s="64">
        <v>289.58999999999997</v>
      </c>
      <c r="C100" s="64">
        <v>120.58</v>
      </c>
      <c r="D100" s="64">
        <v>293.85000000000002</v>
      </c>
      <c r="E100" s="64">
        <v>9.65</v>
      </c>
      <c r="F100" s="64">
        <v>7.91</v>
      </c>
      <c r="G100" s="64">
        <v>189.83</v>
      </c>
      <c r="H100" s="64">
        <v>59.74</v>
      </c>
      <c r="I100" s="64">
        <v>3.91</v>
      </c>
      <c r="J100" s="64">
        <v>0.27</v>
      </c>
      <c r="K100" s="64">
        <v>331.4</v>
      </c>
      <c r="L100" s="64">
        <v>17.84</v>
      </c>
      <c r="M100" s="64">
        <v>55.47</v>
      </c>
      <c r="N100" s="64">
        <v>66.7</v>
      </c>
      <c r="O100" s="64">
        <v>0</v>
      </c>
      <c r="P100" s="64">
        <v>2.33</v>
      </c>
      <c r="Q100" s="64">
        <v>9.94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2832</v>
      </c>
      <c r="B101" s="64">
        <v>192.64</v>
      </c>
      <c r="C101" s="64">
        <v>96.5</v>
      </c>
      <c r="D101" s="64">
        <v>203.52</v>
      </c>
      <c r="E101" s="64">
        <v>9.26</v>
      </c>
      <c r="F101" s="64">
        <v>7.72</v>
      </c>
      <c r="G101" s="64">
        <v>189.73</v>
      </c>
      <c r="H101" s="64">
        <v>53.91</v>
      </c>
      <c r="I101" s="64">
        <v>4.0199999999999996</v>
      </c>
      <c r="J101" s="64">
        <v>0.44</v>
      </c>
      <c r="K101" s="64">
        <v>305.52999999999997</v>
      </c>
      <c r="L101" s="64">
        <v>17.75</v>
      </c>
      <c r="M101" s="64">
        <v>56</v>
      </c>
      <c r="N101" s="64">
        <v>66.400000000000006</v>
      </c>
      <c r="O101" s="64">
        <v>0</v>
      </c>
      <c r="P101" s="64">
        <v>2.11</v>
      </c>
      <c r="Q101" s="64">
        <v>9.9499999999999993</v>
      </c>
      <c r="R101" s="198"/>
      <c r="S101" s="198"/>
      <c r="T101" s="198"/>
      <c r="U101" s="198"/>
    </row>
    <row r="102" spans="1:33" s="12" customFormat="1" x14ac:dyDescent="0.25">
      <c r="A102" s="213" t="s">
        <v>2833</v>
      </c>
      <c r="B102" s="64">
        <v>199.99</v>
      </c>
      <c r="C102" s="64">
        <v>93.31</v>
      </c>
      <c r="D102" s="64">
        <v>207.75</v>
      </c>
      <c r="E102" s="64">
        <v>8.5</v>
      </c>
      <c r="F102" s="64">
        <v>7.62</v>
      </c>
      <c r="G102" s="64">
        <v>189.55</v>
      </c>
      <c r="H102" s="64">
        <v>44.32</v>
      </c>
      <c r="I102" s="64">
        <v>3.95</v>
      </c>
      <c r="J102" s="64">
        <v>0.42</v>
      </c>
      <c r="K102" s="64">
        <v>331.64</v>
      </c>
      <c r="L102" s="64">
        <v>17.46</v>
      </c>
      <c r="M102" s="64">
        <v>60.79</v>
      </c>
      <c r="N102" s="64">
        <v>66.599999999999994</v>
      </c>
      <c r="O102" s="64">
        <v>0</v>
      </c>
      <c r="P102" s="64">
        <v>2.19</v>
      </c>
      <c r="Q102" s="64">
        <v>10.01</v>
      </c>
      <c r="R102" s="198"/>
      <c r="S102" s="198"/>
      <c r="T102" s="198"/>
      <c r="U102" s="198"/>
    </row>
    <row r="103" spans="1:33" s="12" customFormat="1" x14ac:dyDescent="0.25">
      <c r="A103" s="213" t="s">
        <v>2834</v>
      </c>
      <c r="B103" s="64">
        <v>197.73</v>
      </c>
      <c r="C103" s="64">
        <v>90.09</v>
      </c>
      <c r="D103" s="64">
        <v>204.26</v>
      </c>
      <c r="E103" s="64">
        <v>8.3699999999999992</v>
      </c>
      <c r="F103" s="64">
        <v>7.97</v>
      </c>
      <c r="G103" s="64">
        <v>189.55</v>
      </c>
      <c r="H103" s="64">
        <v>44.32</v>
      </c>
      <c r="I103" s="64">
        <v>4.01</v>
      </c>
      <c r="J103" s="64">
        <v>0.51</v>
      </c>
      <c r="K103" s="64">
        <v>335.84</v>
      </c>
      <c r="L103" s="64">
        <v>17.39</v>
      </c>
      <c r="M103" s="64">
        <v>58.83</v>
      </c>
      <c r="N103" s="64">
        <v>66.599999999999994</v>
      </c>
      <c r="O103" s="64">
        <v>0</v>
      </c>
      <c r="P103" s="64">
        <v>2.2000000000000002</v>
      </c>
      <c r="Q103" s="64">
        <v>10.039999999999999</v>
      </c>
      <c r="R103" s="198"/>
      <c r="S103" s="198"/>
      <c r="T103" s="198"/>
      <c r="U103" s="198"/>
    </row>
    <row r="104" spans="1:33" s="12" customFormat="1" x14ac:dyDescent="0.25">
      <c r="A104" s="213" t="s">
        <v>2835</v>
      </c>
      <c r="B104" s="64">
        <v>187.87</v>
      </c>
      <c r="C104" s="64">
        <v>89.82</v>
      </c>
      <c r="D104" s="64">
        <v>196.21</v>
      </c>
      <c r="E104" s="64">
        <v>8.17</v>
      </c>
      <c r="F104" s="64">
        <v>7.55</v>
      </c>
      <c r="G104" s="64">
        <v>189.55</v>
      </c>
      <c r="H104" s="64">
        <v>44.32</v>
      </c>
      <c r="I104" s="64">
        <v>4.13</v>
      </c>
      <c r="J104" s="64">
        <v>0.49</v>
      </c>
      <c r="K104" s="64">
        <v>102.17</v>
      </c>
      <c r="L104" s="64">
        <v>17.149999999999999</v>
      </c>
      <c r="M104" s="64">
        <v>58.33</v>
      </c>
      <c r="N104" s="64">
        <v>66.7</v>
      </c>
      <c r="O104" s="64">
        <v>0</v>
      </c>
      <c r="P104" s="64">
        <v>2.08</v>
      </c>
      <c r="Q104" s="64">
        <v>10.1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9.11</v>
      </c>
      <c r="C106" s="67">
        <f>MIN(C9:C104)</f>
        <v>64.37</v>
      </c>
      <c r="D106" s="67">
        <f t="shared" ref="D106:Q106" si="0">MIN(D9:D104)</f>
        <v>40.44</v>
      </c>
      <c r="E106" s="67">
        <f t="shared" si="0"/>
        <v>5.37</v>
      </c>
      <c r="F106" s="67">
        <f t="shared" si="0"/>
        <v>6.21</v>
      </c>
      <c r="G106" s="67">
        <f t="shared" si="0"/>
        <v>49.54</v>
      </c>
      <c r="H106" s="67">
        <f t="shared" si="0"/>
        <v>13.5</v>
      </c>
      <c r="I106" s="67">
        <f t="shared" si="0"/>
        <v>3.75</v>
      </c>
      <c r="J106" s="67">
        <f t="shared" si="0"/>
        <v>0.15</v>
      </c>
      <c r="K106" s="67">
        <f t="shared" si="0"/>
        <v>1.08</v>
      </c>
      <c r="L106" s="67">
        <f t="shared" si="0"/>
        <v>14.05</v>
      </c>
      <c r="M106" s="67">
        <f t="shared" si="0"/>
        <v>15.99</v>
      </c>
      <c r="N106" s="67">
        <f t="shared" si="0"/>
        <v>62.7</v>
      </c>
      <c r="O106" s="67">
        <f t="shared" si="0"/>
        <v>0</v>
      </c>
      <c r="P106" s="67">
        <f t="shared" si="0"/>
        <v>0.52</v>
      </c>
      <c r="Q106" s="67">
        <f t="shared" si="0"/>
        <v>9.58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289.58999999999997</v>
      </c>
      <c r="C107" s="66">
        <f t="shared" ref="C107:Q107" si="1">MAX(C9:C104)</f>
        <v>120.58</v>
      </c>
      <c r="D107" s="66">
        <f t="shared" si="1"/>
        <v>293.85000000000002</v>
      </c>
      <c r="E107" s="66">
        <f t="shared" si="1"/>
        <v>21.2</v>
      </c>
      <c r="F107" s="66">
        <f t="shared" si="1"/>
        <v>30.92</v>
      </c>
      <c r="G107" s="66">
        <f t="shared" si="1"/>
        <v>278.14999999999998</v>
      </c>
      <c r="H107" s="66">
        <f t="shared" si="1"/>
        <v>94.3</v>
      </c>
      <c r="I107" s="66">
        <f t="shared" si="1"/>
        <v>4.2</v>
      </c>
      <c r="J107" s="66">
        <f t="shared" si="1"/>
        <v>2.2400000000000002</v>
      </c>
      <c r="K107" s="66">
        <f t="shared" si="1"/>
        <v>358.17</v>
      </c>
      <c r="L107" s="66">
        <f t="shared" si="1"/>
        <v>32.14</v>
      </c>
      <c r="M107" s="66">
        <f t="shared" si="1"/>
        <v>66.88</v>
      </c>
      <c r="N107" s="66">
        <f t="shared" si="1"/>
        <v>913.7</v>
      </c>
      <c r="O107" s="66">
        <f t="shared" si="1"/>
        <v>0</v>
      </c>
      <c r="P107" s="66">
        <f t="shared" si="1"/>
        <v>3.51</v>
      </c>
      <c r="Q107" s="66">
        <f t="shared" si="1"/>
        <v>10.55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92.954375000000013</v>
      </c>
      <c r="C108" s="67">
        <f t="shared" ref="C108:Q108" si="2">AVERAGE(C9:C104)</f>
        <v>81.847708333333316</v>
      </c>
      <c r="D108" s="67">
        <f t="shared" si="2"/>
        <v>115.92833333333336</v>
      </c>
      <c r="E108" s="67">
        <f t="shared" si="2"/>
        <v>9.2589583333333341</v>
      </c>
      <c r="F108" s="67">
        <f t="shared" si="2"/>
        <v>9.7517708333333335</v>
      </c>
      <c r="G108" s="67">
        <f t="shared" si="2"/>
        <v>116.48427083333333</v>
      </c>
      <c r="H108" s="67">
        <f t="shared" si="2"/>
        <v>42.194166666666668</v>
      </c>
      <c r="I108" s="67">
        <f t="shared" si="2"/>
        <v>3.996041666666668</v>
      </c>
      <c r="J108" s="67">
        <f t="shared" si="2"/>
        <v>0.89906250000000043</v>
      </c>
      <c r="K108" s="67">
        <f t="shared" si="2"/>
        <v>178.36322916666666</v>
      </c>
      <c r="L108" s="67">
        <f t="shared" si="2"/>
        <v>21.954895833333325</v>
      </c>
      <c r="M108" s="67">
        <f t="shared" si="2"/>
        <v>37.833333333333329</v>
      </c>
      <c r="N108" s="67">
        <f t="shared" si="2"/>
        <v>275.27499999999992</v>
      </c>
      <c r="O108" s="67">
        <f t="shared" si="2"/>
        <v>0</v>
      </c>
      <c r="P108" s="67">
        <f t="shared" si="2"/>
        <v>1.4591666666666665</v>
      </c>
      <c r="Q108" s="67">
        <f t="shared" si="2"/>
        <v>9.9068750000000065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68.559593314099672</v>
      </c>
      <c r="C109" s="67">
        <f t="shared" ref="C109:Q109" si="3">STDEV(C9:C104)</f>
        <v>11.900706876764655</v>
      </c>
      <c r="D109" s="67">
        <f t="shared" si="3"/>
        <v>58.954067198949367</v>
      </c>
      <c r="E109" s="67">
        <f t="shared" si="3"/>
        <v>3.2773100263435415</v>
      </c>
      <c r="F109" s="67">
        <f t="shared" si="3"/>
        <v>4.7433106348318317</v>
      </c>
      <c r="G109" s="67">
        <f t="shared" si="3"/>
        <v>60.9960711891787</v>
      </c>
      <c r="H109" s="67">
        <f t="shared" si="3"/>
        <v>23.078051850036697</v>
      </c>
      <c r="I109" s="67">
        <f t="shared" si="3"/>
        <v>8.8964560261129463E-2</v>
      </c>
      <c r="J109" s="67">
        <f t="shared" si="3"/>
        <v>0.48876014594395611</v>
      </c>
      <c r="K109" s="67">
        <f t="shared" si="3"/>
        <v>140.08321416023665</v>
      </c>
      <c r="L109" s="67">
        <f t="shared" si="3"/>
        <v>5.6911132931396846</v>
      </c>
      <c r="M109" s="67">
        <f t="shared" si="3"/>
        <v>15.058561381393416</v>
      </c>
      <c r="N109" s="67">
        <f t="shared" si="3"/>
        <v>302.56445020245826</v>
      </c>
      <c r="O109" s="67">
        <f t="shared" si="3"/>
        <v>0</v>
      </c>
      <c r="P109" s="67">
        <f t="shared" si="3"/>
        <v>0.7897030310141806</v>
      </c>
      <c r="Q109" s="67">
        <f t="shared" si="3"/>
        <v>0.29821684974810569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2836</v>
      </c>
      <c r="B9" s="64">
        <v>225.4</v>
      </c>
      <c r="C9" s="64">
        <v>96.49</v>
      </c>
      <c r="D9" s="64">
        <v>229.79</v>
      </c>
      <c r="E9" s="64">
        <v>8.41</v>
      </c>
      <c r="F9" s="64">
        <v>7.55</v>
      </c>
      <c r="G9" s="64">
        <v>199.37</v>
      </c>
      <c r="H9" s="64">
        <v>44.1</v>
      </c>
      <c r="I9" s="64">
        <v>4.1900000000000004</v>
      </c>
      <c r="J9" s="64">
        <v>7.0000000000000007E-2</v>
      </c>
      <c r="K9" s="64">
        <v>165.57</v>
      </c>
      <c r="L9" s="64">
        <v>17.149999999999999</v>
      </c>
      <c r="M9" s="64">
        <v>58.86</v>
      </c>
      <c r="N9" s="64">
        <v>66.599999999999994</v>
      </c>
      <c r="O9" s="64">
        <v>0</v>
      </c>
      <c r="P9" s="64">
        <v>1.97</v>
      </c>
      <c r="Q9" s="64">
        <v>10.15</v>
      </c>
      <c r="R9" s="198"/>
      <c r="S9" s="198"/>
      <c r="T9" s="198"/>
      <c r="U9" s="198"/>
    </row>
    <row r="10" spans="1:21" s="12" customFormat="1" x14ac:dyDescent="0.25">
      <c r="A10" s="213" t="s">
        <v>2837</v>
      </c>
      <c r="B10" s="64">
        <v>180.94</v>
      </c>
      <c r="C10" s="64">
        <v>80.56</v>
      </c>
      <c r="D10" s="64">
        <v>185.81</v>
      </c>
      <c r="E10" s="64">
        <v>7.09</v>
      </c>
      <c r="F10" s="64">
        <v>6.99</v>
      </c>
      <c r="G10" s="64">
        <v>215.54</v>
      </c>
      <c r="H10" s="64">
        <v>43.73</v>
      </c>
      <c r="I10" s="64">
        <v>4.09</v>
      </c>
      <c r="J10" s="64">
        <v>0.32</v>
      </c>
      <c r="K10" s="64">
        <v>56.89</v>
      </c>
      <c r="L10" s="64">
        <v>16.97</v>
      </c>
      <c r="M10" s="64">
        <v>61.79</v>
      </c>
      <c r="N10" s="64">
        <v>66.7</v>
      </c>
      <c r="O10" s="64">
        <v>0</v>
      </c>
      <c r="P10" s="64">
        <v>2.13</v>
      </c>
      <c r="Q10" s="64">
        <v>10.17</v>
      </c>
      <c r="R10" s="198"/>
      <c r="S10" s="198"/>
      <c r="T10" s="198"/>
      <c r="U10" s="198"/>
    </row>
    <row r="11" spans="1:21" s="12" customFormat="1" x14ac:dyDescent="0.25">
      <c r="A11" s="213" t="s">
        <v>2838</v>
      </c>
      <c r="B11" s="64">
        <v>183.14</v>
      </c>
      <c r="C11" s="64">
        <v>81.09</v>
      </c>
      <c r="D11" s="64">
        <v>187.85</v>
      </c>
      <c r="E11" s="64">
        <v>7.14</v>
      </c>
      <c r="F11" s="64">
        <v>6.92</v>
      </c>
      <c r="G11" s="64">
        <v>215.54</v>
      </c>
      <c r="H11" s="64">
        <v>43.73</v>
      </c>
      <c r="I11" s="64">
        <v>4.04</v>
      </c>
      <c r="J11" s="64">
        <v>0.55000000000000004</v>
      </c>
      <c r="K11" s="64">
        <v>241.99</v>
      </c>
      <c r="L11" s="64">
        <v>16.79</v>
      </c>
      <c r="M11" s="64">
        <v>64.19</v>
      </c>
      <c r="N11" s="64">
        <v>66.3</v>
      </c>
      <c r="O11" s="64">
        <v>0</v>
      </c>
      <c r="P11" s="64">
        <v>2.09</v>
      </c>
      <c r="Q11" s="64">
        <v>10.199999999999999</v>
      </c>
      <c r="R11" s="198"/>
      <c r="S11" s="198"/>
      <c r="T11" s="198"/>
      <c r="U11" s="198"/>
    </row>
    <row r="12" spans="1:21" s="12" customFormat="1" x14ac:dyDescent="0.25">
      <c r="A12" s="213" t="s">
        <v>2839</v>
      </c>
      <c r="B12" s="64">
        <v>181.92</v>
      </c>
      <c r="C12" s="64">
        <v>80.12</v>
      </c>
      <c r="D12" s="64">
        <v>186.37</v>
      </c>
      <c r="E12" s="64">
        <v>7.16</v>
      </c>
      <c r="F12" s="64">
        <v>6.85</v>
      </c>
      <c r="G12" s="64">
        <v>215.54</v>
      </c>
      <c r="H12" s="64">
        <v>43.73</v>
      </c>
      <c r="I12" s="64">
        <v>4.16</v>
      </c>
      <c r="J12" s="64">
        <v>0.35</v>
      </c>
      <c r="K12" s="64">
        <v>326.07</v>
      </c>
      <c r="L12" s="64">
        <v>17.41</v>
      </c>
      <c r="M12" s="64">
        <v>63.53</v>
      </c>
      <c r="N12" s="64">
        <v>66.099999999999994</v>
      </c>
      <c r="O12" s="64">
        <v>0</v>
      </c>
      <c r="P12" s="64">
        <v>2.0699999999999998</v>
      </c>
      <c r="Q12" s="64">
        <v>10.23</v>
      </c>
      <c r="R12" s="198"/>
      <c r="S12" s="198"/>
      <c r="T12" s="198"/>
      <c r="U12" s="198"/>
    </row>
    <row r="13" spans="1:21" s="12" customFormat="1" x14ac:dyDescent="0.25">
      <c r="A13" s="213" t="s">
        <v>2840</v>
      </c>
      <c r="B13" s="64">
        <v>177.38</v>
      </c>
      <c r="C13" s="64">
        <v>78.930000000000007</v>
      </c>
      <c r="D13" s="64">
        <v>182.11</v>
      </c>
      <c r="E13" s="64">
        <v>7.04</v>
      </c>
      <c r="F13" s="64">
        <v>6.94</v>
      </c>
      <c r="G13" s="64">
        <v>183.03</v>
      </c>
      <c r="H13" s="64">
        <v>30.48</v>
      </c>
      <c r="I13" s="64">
        <v>4.1500000000000004</v>
      </c>
      <c r="J13" s="64">
        <v>0.54</v>
      </c>
      <c r="K13" s="64">
        <v>253.28</v>
      </c>
      <c r="L13" s="64">
        <v>16.940000000000001</v>
      </c>
      <c r="M13" s="64">
        <v>66.75</v>
      </c>
      <c r="N13" s="64">
        <v>66.7</v>
      </c>
      <c r="O13" s="64">
        <v>0</v>
      </c>
      <c r="P13" s="64">
        <v>1.76</v>
      </c>
      <c r="Q13" s="64">
        <v>10.27</v>
      </c>
      <c r="R13" s="198"/>
      <c r="S13" s="198"/>
      <c r="T13" s="198"/>
      <c r="U13" s="198"/>
    </row>
    <row r="14" spans="1:21" s="12" customFormat="1" x14ac:dyDescent="0.25">
      <c r="A14" s="213" t="s">
        <v>2841</v>
      </c>
      <c r="B14" s="64">
        <v>176.58</v>
      </c>
      <c r="C14" s="64">
        <v>77.81</v>
      </c>
      <c r="D14" s="64">
        <v>180.88</v>
      </c>
      <c r="E14" s="64">
        <v>6.78</v>
      </c>
      <c r="F14" s="64">
        <v>6.48</v>
      </c>
      <c r="G14" s="64">
        <v>126.88</v>
      </c>
      <c r="H14" s="64">
        <v>7.59</v>
      </c>
      <c r="I14" s="64">
        <v>4.0599999999999996</v>
      </c>
      <c r="J14" s="64">
        <v>0.14000000000000001</v>
      </c>
      <c r="K14" s="64">
        <v>139.77000000000001</v>
      </c>
      <c r="L14" s="64">
        <v>16.760000000000002</v>
      </c>
      <c r="M14" s="64">
        <v>67.61</v>
      </c>
      <c r="N14" s="64">
        <v>66.7</v>
      </c>
      <c r="O14" s="64">
        <v>0</v>
      </c>
      <c r="P14" s="64">
        <v>1.83</v>
      </c>
      <c r="Q14" s="64">
        <v>10.31</v>
      </c>
      <c r="R14" s="198"/>
      <c r="S14" s="198"/>
      <c r="T14" s="198"/>
      <c r="U14" s="198"/>
    </row>
    <row r="15" spans="1:21" s="12" customFormat="1" x14ac:dyDescent="0.25">
      <c r="A15" s="213" t="s">
        <v>2842</v>
      </c>
      <c r="B15" s="64">
        <v>172.13</v>
      </c>
      <c r="C15" s="64">
        <v>77.010000000000005</v>
      </c>
      <c r="D15" s="64">
        <v>176.89</v>
      </c>
      <c r="E15" s="64">
        <v>6.92</v>
      </c>
      <c r="F15" s="64">
        <v>6.89</v>
      </c>
      <c r="G15" s="64">
        <v>126.88</v>
      </c>
      <c r="H15" s="64">
        <v>7.59</v>
      </c>
      <c r="I15" s="64">
        <v>3.86</v>
      </c>
      <c r="J15" s="64">
        <v>0.3</v>
      </c>
      <c r="K15" s="64">
        <v>351.59</v>
      </c>
      <c r="L15" s="64">
        <v>16.399999999999999</v>
      </c>
      <c r="M15" s="64">
        <v>71.88</v>
      </c>
      <c r="N15" s="64">
        <v>66.8</v>
      </c>
      <c r="O15" s="64">
        <v>0</v>
      </c>
      <c r="P15" s="64">
        <v>1.82</v>
      </c>
      <c r="Q15" s="64">
        <v>10.29</v>
      </c>
      <c r="R15" s="198"/>
      <c r="S15" s="198"/>
      <c r="T15" s="198"/>
      <c r="U15" s="198"/>
    </row>
    <row r="16" spans="1:21" s="12" customFormat="1" x14ac:dyDescent="0.25">
      <c r="A16" s="213" t="s">
        <v>2843</v>
      </c>
      <c r="B16" s="64">
        <v>168.75</v>
      </c>
      <c r="C16" s="64">
        <v>76.63</v>
      </c>
      <c r="D16" s="64">
        <v>173.99</v>
      </c>
      <c r="E16" s="64">
        <v>6.43</v>
      </c>
      <c r="F16" s="64">
        <v>6.71</v>
      </c>
      <c r="G16" s="64">
        <v>126.88</v>
      </c>
      <c r="H16" s="64">
        <v>7.59</v>
      </c>
      <c r="I16" s="64">
        <v>3.93</v>
      </c>
      <c r="J16" s="64">
        <v>0.42</v>
      </c>
      <c r="K16" s="64">
        <v>107.32</v>
      </c>
      <c r="L16" s="64">
        <v>16.28</v>
      </c>
      <c r="M16" s="64">
        <v>70.430000000000007</v>
      </c>
      <c r="N16" s="64">
        <v>66.599999999999994</v>
      </c>
      <c r="O16" s="64">
        <v>0</v>
      </c>
      <c r="P16" s="64">
        <v>1.8</v>
      </c>
      <c r="Q16" s="64">
        <v>10.28</v>
      </c>
      <c r="R16" s="198"/>
      <c r="S16" s="198"/>
      <c r="T16" s="198"/>
      <c r="U16" s="198"/>
    </row>
    <row r="17" spans="1:21" s="12" customFormat="1" x14ac:dyDescent="0.25">
      <c r="A17" s="213" t="s">
        <v>2844</v>
      </c>
      <c r="B17" s="64">
        <v>164.83</v>
      </c>
      <c r="C17" s="64">
        <v>76.13</v>
      </c>
      <c r="D17" s="64">
        <v>170.58</v>
      </c>
      <c r="E17" s="64">
        <v>6.4</v>
      </c>
      <c r="F17" s="64">
        <v>6.82</v>
      </c>
      <c r="G17" s="64">
        <v>120.68</v>
      </c>
      <c r="H17" s="64">
        <v>25.43</v>
      </c>
      <c r="I17" s="64">
        <v>4.17</v>
      </c>
      <c r="J17" s="64">
        <v>0.38</v>
      </c>
      <c r="K17" s="64">
        <v>307.35000000000002</v>
      </c>
      <c r="L17" s="64">
        <v>16.02</v>
      </c>
      <c r="M17" s="64">
        <v>75.36</v>
      </c>
      <c r="N17" s="64">
        <v>66.8</v>
      </c>
      <c r="O17" s="64">
        <v>0</v>
      </c>
      <c r="P17" s="64">
        <v>1.78</v>
      </c>
      <c r="Q17" s="64">
        <v>10.24</v>
      </c>
      <c r="R17" s="198"/>
      <c r="S17" s="198"/>
      <c r="T17" s="198"/>
      <c r="U17" s="198"/>
    </row>
    <row r="18" spans="1:21" s="12" customFormat="1" x14ac:dyDescent="0.25">
      <c r="A18" s="213" t="s">
        <v>2845</v>
      </c>
      <c r="B18" s="64">
        <v>161.47999999999999</v>
      </c>
      <c r="C18" s="64">
        <v>73.66</v>
      </c>
      <c r="D18" s="64">
        <v>166.61</v>
      </c>
      <c r="E18" s="64">
        <v>6.53</v>
      </c>
      <c r="F18" s="64">
        <v>6.9</v>
      </c>
      <c r="G18" s="64">
        <v>109.95</v>
      </c>
      <c r="H18" s="64">
        <v>56.23</v>
      </c>
      <c r="I18" s="64">
        <v>4.1100000000000003</v>
      </c>
      <c r="J18" s="64">
        <v>0.75</v>
      </c>
      <c r="K18" s="64">
        <v>237.09</v>
      </c>
      <c r="L18" s="64">
        <v>16.29</v>
      </c>
      <c r="M18" s="64">
        <v>71.19</v>
      </c>
      <c r="N18" s="64">
        <v>66.099999999999994</v>
      </c>
      <c r="O18" s="64">
        <v>0</v>
      </c>
      <c r="P18" s="64">
        <v>1.76</v>
      </c>
      <c r="Q18" s="64">
        <v>10.220000000000001</v>
      </c>
      <c r="R18" s="198"/>
      <c r="S18" s="198"/>
      <c r="T18" s="198"/>
      <c r="U18" s="198"/>
    </row>
    <row r="19" spans="1:21" s="12" customFormat="1" x14ac:dyDescent="0.25">
      <c r="A19" s="213" t="s">
        <v>2846</v>
      </c>
      <c r="B19" s="64">
        <v>152.59</v>
      </c>
      <c r="C19" s="64">
        <v>73.989999999999995</v>
      </c>
      <c r="D19" s="64">
        <v>159.65</v>
      </c>
      <c r="E19" s="64">
        <v>6.63</v>
      </c>
      <c r="F19" s="64">
        <v>6.68</v>
      </c>
      <c r="G19" s="64">
        <v>109.95</v>
      </c>
      <c r="H19" s="64">
        <v>56.23</v>
      </c>
      <c r="I19" s="64">
        <v>3.92</v>
      </c>
      <c r="J19" s="64">
        <v>0.62</v>
      </c>
      <c r="K19" s="64">
        <v>237.1</v>
      </c>
      <c r="L19" s="64">
        <v>16.649999999999999</v>
      </c>
      <c r="M19" s="64">
        <v>70.849999999999994</v>
      </c>
      <c r="N19" s="64">
        <v>66.099999999999994</v>
      </c>
      <c r="O19" s="64">
        <v>0</v>
      </c>
      <c r="P19" s="64">
        <v>1.73</v>
      </c>
      <c r="Q19" s="64">
        <v>10.23</v>
      </c>
      <c r="R19" s="198"/>
      <c r="S19" s="198"/>
      <c r="T19" s="198"/>
      <c r="U19" s="198"/>
    </row>
    <row r="20" spans="1:21" s="12" customFormat="1" x14ac:dyDescent="0.25">
      <c r="A20" s="213" t="s">
        <v>2847</v>
      </c>
      <c r="B20" s="64">
        <v>135.5</v>
      </c>
      <c r="C20" s="64">
        <v>70.2</v>
      </c>
      <c r="D20" s="64">
        <v>143.96</v>
      </c>
      <c r="E20" s="64">
        <v>6.94</v>
      </c>
      <c r="F20" s="64">
        <v>7.27</v>
      </c>
      <c r="G20" s="64">
        <v>109.95</v>
      </c>
      <c r="H20" s="64">
        <v>56.23</v>
      </c>
      <c r="I20" s="64">
        <v>4.01</v>
      </c>
      <c r="J20" s="64">
        <v>0.67</v>
      </c>
      <c r="K20" s="64">
        <v>312.51</v>
      </c>
      <c r="L20" s="64">
        <v>16.190000000000001</v>
      </c>
      <c r="M20" s="64">
        <v>70.95</v>
      </c>
      <c r="N20" s="64">
        <v>67</v>
      </c>
      <c r="O20" s="64">
        <v>0</v>
      </c>
      <c r="P20" s="64">
        <v>1.65</v>
      </c>
      <c r="Q20" s="64">
        <v>10.210000000000001</v>
      </c>
      <c r="R20" s="198"/>
      <c r="S20" s="198"/>
      <c r="T20" s="198"/>
      <c r="U20" s="198"/>
    </row>
    <row r="21" spans="1:21" s="12" customFormat="1" x14ac:dyDescent="0.25">
      <c r="A21" s="213" t="s">
        <v>2848</v>
      </c>
      <c r="B21" s="64">
        <v>128.94</v>
      </c>
      <c r="C21" s="64">
        <v>67.7</v>
      </c>
      <c r="D21" s="64">
        <v>137.38999999999999</v>
      </c>
      <c r="E21" s="64">
        <v>6.98</v>
      </c>
      <c r="F21" s="64">
        <v>7.14</v>
      </c>
      <c r="G21" s="64">
        <v>111.8</v>
      </c>
      <c r="H21" s="64">
        <v>52.81</v>
      </c>
      <c r="I21" s="64">
        <v>3.92</v>
      </c>
      <c r="J21" s="64">
        <v>0.56999999999999995</v>
      </c>
      <c r="K21" s="64">
        <v>258.13</v>
      </c>
      <c r="L21" s="64">
        <v>15.58</v>
      </c>
      <c r="M21" s="64">
        <v>74.31</v>
      </c>
      <c r="N21" s="64">
        <v>67</v>
      </c>
      <c r="O21" s="64">
        <v>0</v>
      </c>
      <c r="P21" s="64">
        <v>1.53</v>
      </c>
      <c r="Q21" s="64">
        <v>10.199999999999999</v>
      </c>
      <c r="R21" s="198"/>
      <c r="S21" s="198"/>
      <c r="T21" s="198"/>
      <c r="U21" s="198"/>
    </row>
    <row r="22" spans="1:21" s="12" customFormat="1" x14ac:dyDescent="0.25">
      <c r="A22" s="213" t="s">
        <v>2849</v>
      </c>
      <c r="B22" s="64">
        <v>130.6</v>
      </c>
      <c r="C22" s="64">
        <v>65.67</v>
      </c>
      <c r="D22" s="64">
        <v>137.66</v>
      </c>
      <c r="E22" s="64">
        <v>6.43</v>
      </c>
      <c r="F22" s="64">
        <v>6.85</v>
      </c>
      <c r="G22" s="64">
        <v>114.98</v>
      </c>
      <c r="H22" s="64">
        <v>46.89</v>
      </c>
      <c r="I22" s="64">
        <v>4</v>
      </c>
      <c r="J22" s="64">
        <v>0.63</v>
      </c>
      <c r="K22" s="64">
        <v>277.27</v>
      </c>
      <c r="L22" s="64">
        <v>15.33</v>
      </c>
      <c r="M22" s="64">
        <v>77.180000000000007</v>
      </c>
      <c r="N22" s="64">
        <v>67</v>
      </c>
      <c r="O22" s="64">
        <v>0</v>
      </c>
      <c r="P22" s="64">
        <v>1.52</v>
      </c>
      <c r="Q22" s="64">
        <v>10.18</v>
      </c>
      <c r="R22" s="198"/>
      <c r="S22" s="198"/>
      <c r="T22" s="198"/>
      <c r="U22" s="198"/>
    </row>
    <row r="23" spans="1:21" s="12" customFormat="1" x14ac:dyDescent="0.25">
      <c r="A23" s="213" t="s">
        <v>2850</v>
      </c>
      <c r="B23" s="64">
        <v>123.09</v>
      </c>
      <c r="C23" s="64">
        <v>66.48</v>
      </c>
      <c r="D23" s="64">
        <v>132.07</v>
      </c>
      <c r="E23" s="64">
        <v>6.18</v>
      </c>
      <c r="F23" s="64">
        <v>6.69</v>
      </c>
      <c r="G23" s="64">
        <v>114.98</v>
      </c>
      <c r="H23" s="64">
        <v>46.89</v>
      </c>
      <c r="I23" s="64">
        <v>4.07</v>
      </c>
      <c r="J23" s="64">
        <v>0.79</v>
      </c>
      <c r="K23" s="64">
        <v>245.6</v>
      </c>
      <c r="L23" s="64">
        <v>15.61</v>
      </c>
      <c r="M23" s="64">
        <v>75.53</v>
      </c>
      <c r="N23" s="64">
        <v>66.400000000000006</v>
      </c>
      <c r="O23" s="64">
        <v>0</v>
      </c>
      <c r="P23" s="64">
        <v>1.45</v>
      </c>
      <c r="Q23" s="64">
        <v>10.16</v>
      </c>
      <c r="R23" s="198"/>
      <c r="S23" s="198"/>
      <c r="T23" s="198"/>
      <c r="U23" s="198"/>
    </row>
    <row r="24" spans="1:21" s="12" customFormat="1" x14ac:dyDescent="0.25">
      <c r="A24" s="213" t="s">
        <v>2851</v>
      </c>
      <c r="B24" s="64">
        <v>135.46</v>
      </c>
      <c r="C24" s="64">
        <v>68.73</v>
      </c>
      <c r="D24" s="64">
        <v>143.16</v>
      </c>
      <c r="E24" s="64">
        <v>6.85</v>
      </c>
      <c r="F24" s="64">
        <v>7.33</v>
      </c>
      <c r="G24" s="64">
        <v>114.98</v>
      </c>
      <c r="H24" s="64">
        <v>46.89</v>
      </c>
      <c r="I24" s="64">
        <v>4.0999999999999996</v>
      </c>
      <c r="J24" s="64">
        <v>0.24</v>
      </c>
      <c r="K24" s="64">
        <v>223.03</v>
      </c>
      <c r="L24" s="64">
        <v>15.57</v>
      </c>
      <c r="M24" s="64">
        <v>77.06</v>
      </c>
      <c r="N24" s="64">
        <v>67</v>
      </c>
      <c r="O24" s="64">
        <v>0</v>
      </c>
      <c r="P24" s="64">
        <v>1.51</v>
      </c>
      <c r="Q24" s="64">
        <v>10.14</v>
      </c>
      <c r="R24" s="198"/>
      <c r="S24" s="198"/>
      <c r="T24" s="198"/>
      <c r="U24" s="198"/>
    </row>
    <row r="25" spans="1:21" s="12" customFormat="1" x14ac:dyDescent="0.25">
      <c r="A25" s="213" t="s">
        <v>2852</v>
      </c>
      <c r="B25" s="64">
        <v>135.38</v>
      </c>
      <c r="C25" s="64">
        <v>65.239999999999995</v>
      </c>
      <c r="D25" s="64">
        <v>141.27000000000001</v>
      </c>
      <c r="E25" s="64">
        <v>6.49</v>
      </c>
      <c r="F25" s="64">
        <v>6.8</v>
      </c>
      <c r="G25" s="64">
        <v>115.89</v>
      </c>
      <c r="H25" s="64">
        <v>39.049999999999997</v>
      </c>
      <c r="I25" s="64">
        <v>4.07</v>
      </c>
      <c r="J25" s="64">
        <v>0.54</v>
      </c>
      <c r="K25" s="64">
        <v>251.21</v>
      </c>
      <c r="L25" s="64">
        <v>15.32</v>
      </c>
      <c r="M25" s="64">
        <v>79.540000000000006</v>
      </c>
      <c r="N25" s="64">
        <v>66.900000000000006</v>
      </c>
      <c r="O25" s="64">
        <v>0</v>
      </c>
      <c r="P25" s="64">
        <v>1.48</v>
      </c>
      <c r="Q25" s="64">
        <v>10.14</v>
      </c>
      <c r="R25" s="198"/>
      <c r="S25" s="198"/>
      <c r="T25" s="198"/>
      <c r="U25" s="198"/>
    </row>
    <row r="26" spans="1:21" s="12" customFormat="1" x14ac:dyDescent="0.25">
      <c r="A26" s="213" t="s">
        <v>2853</v>
      </c>
      <c r="B26" s="64">
        <v>138.94999999999999</v>
      </c>
      <c r="C26" s="64">
        <v>67.819999999999993</v>
      </c>
      <c r="D26" s="64">
        <v>145.49</v>
      </c>
      <c r="E26" s="64">
        <v>6.81</v>
      </c>
      <c r="F26" s="64">
        <v>7.18</v>
      </c>
      <c r="G26" s="64">
        <v>117.47</v>
      </c>
      <c r="H26" s="64">
        <v>25.5</v>
      </c>
      <c r="I26" s="64">
        <v>3.91</v>
      </c>
      <c r="J26" s="64">
        <v>0.32</v>
      </c>
      <c r="K26" s="64">
        <v>27.16</v>
      </c>
      <c r="L26" s="64">
        <v>15.18</v>
      </c>
      <c r="M26" s="64">
        <v>82.69</v>
      </c>
      <c r="N26" s="64">
        <v>66.7</v>
      </c>
      <c r="O26" s="64">
        <v>0</v>
      </c>
      <c r="P26" s="64">
        <v>1.46</v>
      </c>
      <c r="Q26" s="64">
        <v>10.119999999999999</v>
      </c>
      <c r="R26" s="198"/>
      <c r="S26" s="198"/>
      <c r="T26" s="198"/>
      <c r="U26" s="198"/>
    </row>
    <row r="27" spans="1:21" s="12" customFormat="1" x14ac:dyDescent="0.25">
      <c r="A27" s="213" t="s">
        <v>2854</v>
      </c>
      <c r="B27" s="64">
        <v>147.13</v>
      </c>
      <c r="C27" s="64">
        <v>69.11</v>
      </c>
      <c r="D27" s="64">
        <v>152.72</v>
      </c>
      <c r="E27" s="64">
        <v>6.62</v>
      </c>
      <c r="F27" s="64">
        <v>6.68</v>
      </c>
      <c r="G27" s="64">
        <v>117.47</v>
      </c>
      <c r="H27" s="64">
        <v>25.5</v>
      </c>
      <c r="I27" s="64">
        <v>4.0199999999999996</v>
      </c>
      <c r="J27" s="64">
        <v>0.33</v>
      </c>
      <c r="K27" s="64">
        <v>261.69</v>
      </c>
      <c r="L27" s="64">
        <v>15.19</v>
      </c>
      <c r="M27" s="64">
        <v>81.209999999999994</v>
      </c>
      <c r="N27" s="64">
        <v>66.400000000000006</v>
      </c>
      <c r="O27" s="64">
        <v>0</v>
      </c>
      <c r="P27" s="64">
        <v>1.53</v>
      </c>
      <c r="Q27" s="64">
        <v>10.11</v>
      </c>
      <c r="R27" s="198"/>
      <c r="S27" s="198"/>
      <c r="T27" s="198"/>
      <c r="U27" s="198"/>
    </row>
    <row r="28" spans="1:21" s="12" customFormat="1" x14ac:dyDescent="0.25">
      <c r="A28" s="213" t="s">
        <v>2855</v>
      </c>
      <c r="B28" s="64">
        <v>144.1</v>
      </c>
      <c r="C28" s="64">
        <v>67.16</v>
      </c>
      <c r="D28" s="64">
        <v>149.27000000000001</v>
      </c>
      <c r="E28" s="64">
        <v>6.77</v>
      </c>
      <c r="F28" s="64">
        <v>7.09</v>
      </c>
      <c r="G28" s="64">
        <v>117.47</v>
      </c>
      <c r="H28" s="64">
        <v>25.5</v>
      </c>
      <c r="I28" s="64">
        <v>3.81</v>
      </c>
      <c r="J28" s="64">
        <v>0.35</v>
      </c>
      <c r="K28" s="64">
        <v>247.66</v>
      </c>
      <c r="L28" s="64">
        <v>15.53</v>
      </c>
      <c r="M28" s="64">
        <v>73.27</v>
      </c>
      <c r="N28" s="64">
        <v>66.5</v>
      </c>
      <c r="O28" s="64">
        <v>0</v>
      </c>
      <c r="P28" s="64">
        <v>1.54</v>
      </c>
      <c r="Q28" s="64">
        <v>10.11</v>
      </c>
      <c r="R28" s="198"/>
      <c r="S28" s="198"/>
      <c r="T28" s="198"/>
      <c r="U28" s="198"/>
    </row>
    <row r="29" spans="1:21" s="12" customFormat="1" x14ac:dyDescent="0.25">
      <c r="A29" s="213" t="s">
        <v>2856</v>
      </c>
      <c r="B29" s="64">
        <v>141.07</v>
      </c>
      <c r="C29" s="64">
        <v>67.75</v>
      </c>
      <c r="D29" s="64">
        <v>147.15</v>
      </c>
      <c r="E29" s="64">
        <v>6.06</v>
      </c>
      <c r="F29" s="64">
        <v>7.06</v>
      </c>
      <c r="G29" s="64">
        <v>116.9</v>
      </c>
      <c r="H29" s="64">
        <v>30.64</v>
      </c>
      <c r="I29" s="64">
        <v>3.92</v>
      </c>
      <c r="J29" s="64">
        <v>0.13</v>
      </c>
      <c r="K29" s="64">
        <v>21.68</v>
      </c>
      <c r="L29" s="64">
        <v>15.41</v>
      </c>
      <c r="M29" s="64">
        <v>70.33</v>
      </c>
      <c r="N29" s="64">
        <v>66.900000000000006</v>
      </c>
      <c r="O29" s="64">
        <v>0</v>
      </c>
      <c r="P29" s="64">
        <v>1.52</v>
      </c>
      <c r="Q29" s="64">
        <v>10.06</v>
      </c>
      <c r="R29" s="198"/>
      <c r="S29" s="198"/>
      <c r="T29" s="198"/>
      <c r="U29" s="198"/>
    </row>
    <row r="30" spans="1:21" s="12" customFormat="1" x14ac:dyDescent="0.25">
      <c r="A30" s="213" t="s">
        <v>2857</v>
      </c>
      <c r="B30" s="64">
        <v>141.72999999999999</v>
      </c>
      <c r="C30" s="64">
        <v>67.92</v>
      </c>
      <c r="D30" s="64">
        <v>147.77000000000001</v>
      </c>
      <c r="E30" s="64">
        <v>7.05</v>
      </c>
      <c r="F30" s="64">
        <v>7.24</v>
      </c>
      <c r="G30" s="64">
        <v>115.91</v>
      </c>
      <c r="H30" s="64">
        <v>39.51</v>
      </c>
      <c r="I30" s="64">
        <v>4.0599999999999996</v>
      </c>
      <c r="J30" s="64">
        <v>0.13</v>
      </c>
      <c r="K30" s="64">
        <v>213.71</v>
      </c>
      <c r="L30" s="64">
        <v>15.15</v>
      </c>
      <c r="M30" s="64">
        <v>71.17</v>
      </c>
      <c r="N30" s="64">
        <v>66.599999999999994</v>
      </c>
      <c r="O30" s="64">
        <v>0</v>
      </c>
      <c r="P30" s="64">
        <v>1.53</v>
      </c>
      <c r="Q30" s="64">
        <v>10.050000000000001</v>
      </c>
      <c r="R30" s="198"/>
      <c r="S30" s="198"/>
      <c r="T30" s="198"/>
      <c r="U30" s="198"/>
    </row>
    <row r="31" spans="1:21" s="12" customFormat="1" x14ac:dyDescent="0.25">
      <c r="A31" s="213" t="s">
        <v>2858</v>
      </c>
      <c r="B31" s="64">
        <v>140.87</v>
      </c>
      <c r="C31" s="64">
        <v>67.42</v>
      </c>
      <c r="D31" s="64">
        <v>146.82</v>
      </c>
      <c r="E31" s="64">
        <v>6.74</v>
      </c>
      <c r="F31" s="64">
        <v>6.99</v>
      </c>
      <c r="G31" s="64">
        <v>115.91</v>
      </c>
      <c r="H31" s="64">
        <v>39.51</v>
      </c>
      <c r="I31" s="64">
        <v>3.91</v>
      </c>
      <c r="J31" s="64">
        <v>0.49</v>
      </c>
      <c r="K31" s="64">
        <v>246.73</v>
      </c>
      <c r="L31" s="64">
        <v>15.5</v>
      </c>
      <c r="M31" s="64">
        <v>69.22</v>
      </c>
      <c r="N31" s="64">
        <v>66.2</v>
      </c>
      <c r="O31" s="64">
        <v>0</v>
      </c>
      <c r="P31" s="64">
        <v>1.54</v>
      </c>
      <c r="Q31" s="64">
        <v>10.07</v>
      </c>
      <c r="R31" s="198"/>
      <c r="S31" s="198"/>
      <c r="T31" s="198"/>
      <c r="U31" s="198"/>
    </row>
    <row r="32" spans="1:21" s="12" customFormat="1" x14ac:dyDescent="0.25">
      <c r="A32" s="213" t="s">
        <v>2859</v>
      </c>
      <c r="B32" s="64">
        <v>141.82</v>
      </c>
      <c r="C32" s="64">
        <v>67.23</v>
      </c>
      <c r="D32" s="64">
        <v>147.47999999999999</v>
      </c>
      <c r="E32" s="64">
        <v>6.62</v>
      </c>
      <c r="F32" s="64">
        <v>6.65</v>
      </c>
      <c r="G32" s="64">
        <v>115.91</v>
      </c>
      <c r="H32" s="64">
        <v>39.51</v>
      </c>
      <c r="I32" s="64">
        <v>4.01</v>
      </c>
      <c r="J32" s="64">
        <v>0.54</v>
      </c>
      <c r="K32" s="64">
        <v>254.29</v>
      </c>
      <c r="L32" s="64">
        <v>15.34</v>
      </c>
      <c r="M32" s="64">
        <v>72.23</v>
      </c>
      <c r="N32" s="64">
        <v>66.8</v>
      </c>
      <c r="O32" s="64">
        <v>0</v>
      </c>
      <c r="P32" s="64">
        <v>1.54</v>
      </c>
      <c r="Q32" s="64">
        <v>10.08</v>
      </c>
      <c r="R32" s="198"/>
      <c r="S32" s="198"/>
      <c r="T32" s="198"/>
      <c r="U32" s="198"/>
    </row>
    <row r="33" spans="1:21" s="12" customFormat="1" x14ac:dyDescent="0.25">
      <c r="A33" s="213" t="s">
        <v>2860</v>
      </c>
      <c r="B33" s="64">
        <v>140.75</v>
      </c>
      <c r="C33" s="64">
        <v>66.760000000000005</v>
      </c>
      <c r="D33" s="64">
        <v>146.38</v>
      </c>
      <c r="E33" s="64">
        <v>6.79</v>
      </c>
      <c r="F33" s="64">
        <v>6.95</v>
      </c>
      <c r="G33" s="64">
        <v>122.1</v>
      </c>
      <c r="H33" s="64">
        <v>41.19</v>
      </c>
      <c r="I33" s="64">
        <v>4.01</v>
      </c>
      <c r="J33" s="64">
        <v>0.48</v>
      </c>
      <c r="K33" s="64">
        <v>300.63</v>
      </c>
      <c r="L33" s="64">
        <v>14.59</v>
      </c>
      <c r="M33" s="64">
        <v>79.56</v>
      </c>
      <c r="N33" s="64">
        <v>68</v>
      </c>
      <c r="O33" s="64">
        <v>0</v>
      </c>
      <c r="P33" s="64">
        <v>1.52</v>
      </c>
      <c r="Q33" s="64">
        <v>10.08</v>
      </c>
      <c r="R33" s="198"/>
      <c r="S33" s="198"/>
      <c r="T33" s="198"/>
      <c r="U33" s="198"/>
    </row>
    <row r="34" spans="1:21" s="12" customFormat="1" x14ac:dyDescent="0.25">
      <c r="A34" s="213" t="s">
        <v>2861</v>
      </c>
      <c r="B34" s="64">
        <v>140.43</v>
      </c>
      <c r="C34" s="64">
        <v>66.510000000000005</v>
      </c>
      <c r="D34" s="64">
        <v>145.99</v>
      </c>
      <c r="E34" s="64">
        <v>6.86</v>
      </c>
      <c r="F34" s="64">
        <v>6.83</v>
      </c>
      <c r="G34" s="64">
        <v>132.79</v>
      </c>
      <c r="H34" s="64">
        <v>44.09</v>
      </c>
      <c r="I34" s="64">
        <v>3.98</v>
      </c>
      <c r="J34" s="64">
        <v>0.66</v>
      </c>
      <c r="K34" s="64">
        <v>237.98</v>
      </c>
      <c r="L34" s="64">
        <v>14.51</v>
      </c>
      <c r="M34" s="64">
        <v>78.180000000000007</v>
      </c>
      <c r="N34" s="64">
        <v>73.599999999999994</v>
      </c>
      <c r="O34" s="64">
        <v>0</v>
      </c>
      <c r="P34" s="64">
        <v>1.5</v>
      </c>
      <c r="Q34" s="64">
        <v>10.050000000000001</v>
      </c>
      <c r="R34" s="198"/>
      <c r="S34" s="198"/>
      <c r="T34" s="198"/>
      <c r="U34" s="198"/>
    </row>
    <row r="35" spans="1:21" s="12" customFormat="1" x14ac:dyDescent="0.25">
      <c r="A35" s="213" t="s">
        <v>2862</v>
      </c>
      <c r="B35" s="64">
        <v>139.25</v>
      </c>
      <c r="C35" s="64">
        <v>66.22</v>
      </c>
      <c r="D35" s="64">
        <v>144.88999999999999</v>
      </c>
      <c r="E35" s="64">
        <v>6.52</v>
      </c>
      <c r="F35" s="64">
        <v>6.75</v>
      </c>
      <c r="G35" s="64">
        <v>132.79</v>
      </c>
      <c r="H35" s="64">
        <v>44.09</v>
      </c>
      <c r="I35" s="64">
        <v>3.88</v>
      </c>
      <c r="J35" s="64">
        <v>0.46</v>
      </c>
      <c r="K35" s="64">
        <v>237.48</v>
      </c>
      <c r="L35" s="64">
        <v>14.6</v>
      </c>
      <c r="M35" s="64">
        <v>78.010000000000005</v>
      </c>
      <c r="N35" s="64">
        <v>86.3</v>
      </c>
      <c r="O35" s="64">
        <v>0</v>
      </c>
      <c r="P35" s="64">
        <v>1.47</v>
      </c>
      <c r="Q35" s="64">
        <v>10.050000000000001</v>
      </c>
      <c r="R35" s="198"/>
      <c r="S35" s="198"/>
      <c r="T35" s="198"/>
      <c r="U35" s="198"/>
    </row>
    <row r="36" spans="1:21" s="12" customFormat="1" x14ac:dyDescent="0.25">
      <c r="A36" s="213" t="s">
        <v>2863</v>
      </c>
      <c r="B36" s="64">
        <v>137.56</v>
      </c>
      <c r="C36" s="64">
        <v>66.36</v>
      </c>
      <c r="D36" s="64">
        <v>143.6</v>
      </c>
      <c r="E36" s="64">
        <v>6.25</v>
      </c>
      <c r="F36" s="64">
        <v>6.41</v>
      </c>
      <c r="G36" s="64">
        <v>132.79</v>
      </c>
      <c r="H36" s="64">
        <v>44.09</v>
      </c>
      <c r="I36" s="64">
        <v>3.96</v>
      </c>
      <c r="J36" s="64">
        <v>0.86</v>
      </c>
      <c r="K36" s="64">
        <v>196.16</v>
      </c>
      <c r="L36" s="64">
        <v>14.97</v>
      </c>
      <c r="M36" s="64">
        <v>74.27</v>
      </c>
      <c r="N36" s="64">
        <v>115.9</v>
      </c>
      <c r="O36" s="64">
        <v>0</v>
      </c>
      <c r="P36" s="64">
        <v>1.44</v>
      </c>
      <c r="Q36" s="64">
        <v>10.050000000000001</v>
      </c>
      <c r="R36" s="198"/>
      <c r="S36" s="198"/>
      <c r="T36" s="198"/>
      <c r="U36" s="198"/>
    </row>
    <row r="37" spans="1:21" s="12" customFormat="1" x14ac:dyDescent="0.25">
      <c r="A37" s="213" t="s">
        <v>2864</v>
      </c>
      <c r="B37" s="64">
        <v>122.78</v>
      </c>
      <c r="C37" s="64">
        <v>63.13</v>
      </c>
      <c r="D37" s="64">
        <v>130.07</v>
      </c>
      <c r="E37" s="64">
        <v>6.59</v>
      </c>
      <c r="F37" s="64">
        <v>6.73</v>
      </c>
      <c r="G37" s="64">
        <v>122</v>
      </c>
      <c r="H37" s="64">
        <v>39.57</v>
      </c>
      <c r="I37" s="64">
        <v>3.89</v>
      </c>
      <c r="J37" s="64">
        <v>0.84</v>
      </c>
      <c r="K37" s="64">
        <v>201.15</v>
      </c>
      <c r="L37" s="64">
        <v>15.97</v>
      </c>
      <c r="M37" s="64">
        <v>68.53</v>
      </c>
      <c r="N37" s="64">
        <v>173.1</v>
      </c>
      <c r="O37" s="64">
        <v>0</v>
      </c>
      <c r="P37" s="64">
        <v>1.36</v>
      </c>
      <c r="Q37" s="64">
        <v>10.029999999999999</v>
      </c>
      <c r="R37" s="198"/>
      <c r="S37" s="198"/>
      <c r="T37" s="198"/>
      <c r="U37" s="198"/>
    </row>
    <row r="38" spans="1:21" s="12" customFormat="1" x14ac:dyDescent="0.25">
      <c r="A38" s="213" t="s">
        <v>2865</v>
      </c>
      <c r="B38" s="64">
        <v>114.73</v>
      </c>
      <c r="C38" s="64">
        <v>65.66</v>
      </c>
      <c r="D38" s="64">
        <v>124.93</v>
      </c>
      <c r="E38" s="64">
        <v>6.37</v>
      </c>
      <c r="F38" s="64">
        <v>7.14</v>
      </c>
      <c r="G38" s="64">
        <v>103.36</v>
      </c>
      <c r="H38" s="64">
        <v>31.77</v>
      </c>
      <c r="I38" s="64">
        <v>3.96</v>
      </c>
      <c r="J38" s="64">
        <v>0.64</v>
      </c>
      <c r="K38" s="64">
        <v>227.04</v>
      </c>
      <c r="L38" s="64">
        <v>17.670000000000002</v>
      </c>
      <c r="M38" s="64">
        <v>62.41</v>
      </c>
      <c r="N38" s="64">
        <v>213.6</v>
      </c>
      <c r="O38" s="64">
        <v>0</v>
      </c>
      <c r="P38" s="64">
        <v>1.4</v>
      </c>
      <c r="Q38" s="64">
        <v>10.02</v>
      </c>
      <c r="R38" s="198"/>
      <c r="S38" s="198"/>
      <c r="T38" s="198"/>
      <c r="U38" s="198"/>
    </row>
    <row r="39" spans="1:21" s="12" customFormat="1" x14ac:dyDescent="0.25">
      <c r="A39" s="213" t="s">
        <v>2866</v>
      </c>
      <c r="B39" s="64">
        <v>112.81</v>
      </c>
      <c r="C39" s="64">
        <v>70.17</v>
      </c>
      <c r="D39" s="64">
        <v>125.75</v>
      </c>
      <c r="E39" s="64">
        <v>6.1</v>
      </c>
      <c r="F39" s="64">
        <v>7.22</v>
      </c>
      <c r="G39" s="64">
        <v>103.36</v>
      </c>
      <c r="H39" s="64">
        <v>31.77</v>
      </c>
      <c r="I39" s="64">
        <v>4.07</v>
      </c>
      <c r="J39" s="64">
        <v>0.82</v>
      </c>
      <c r="K39" s="64">
        <v>144.96</v>
      </c>
      <c r="L39" s="64">
        <v>18.670000000000002</v>
      </c>
      <c r="M39" s="64">
        <v>52.78</v>
      </c>
      <c r="N39" s="64">
        <v>269.2</v>
      </c>
      <c r="O39" s="64">
        <v>0</v>
      </c>
      <c r="P39" s="64">
        <v>1.39</v>
      </c>
      <c r="Q39" s="64">
        <v>10.07</v>
      </c>
      <c r="R39" s="198"/>
      <c r="S39" s="198"/>
      <c r="T39" s="198"/>
      <c r="U39" s="198"/>
    </row>
    <row r="40" spans="1:21" s="12" customFormat="1" x14ac:dyDescent="0.25">
      <c r="A40" s="213" t="s">
        <v>2867</v>
      </c>
      <c r="B40" s="64">
        <v>100.59</v>
      </c>
      <c r="C40" s="64">
        <v>71.790000000000006</v>
      </c>
      <c r="D40" s="64">
        <v>116.8</v>
      </c>
      <c r="E40" s="64">
        <v>6.68</v>
      </c>
      <c r="F40" s="64">
        <v>8.92</v>
      </c>
      <c r="G40" s="64">
        <v>103.36</v>
      </c>
      <c r="H40" s="64">
        <v>31.77</v>
      </c>
      <c r="I40" s="64">
        <v>4.03</v>
      </c>
      <c r="J40" s="64">
        <v>0.92</v>
      </c>
      <c r="K40" s="64">
        <v>92.94</v>
      </c>
      <c r="L40" s="64">
        <v>19.64</v>
      </c>
      <c r="M40" s="64">
        <v>45.53</v>
      </c>
      <c r="N40" s="64">
        <v>295.8</v>
      </c>
      <c r="O40" s="64">
        <v>0</v>
      </c>
      <c r="P40" s="64">
        <v>1.29</v>
      </c>
      <c r="Q40" s="64">
        <v>10.050000000000001</v>
      </c>
      <c r="R40" s="198"/>
      <c r="S40" s="198"/>
      <c r="T40" s="198"/>
      <c r="U40" s="198"/>
    </row>
    <row r="41" spans="1:21" s="12" customFormat="1" x14ac:dyDescent="0.25">
      <c r="A41" s="213" t="s">
        <v>2868</v>
      </c>
      <c r="B41" s="64">
        <v>101.5</v>
      </c>
      <c r="C41" s="64">
        <v>75.44</v>
      </c>
      <c r="D41" s="64">
        <v>119.44</v>
      </c>
      <c r="E41" s="64">
        <v>6.93</v>
      </c>
      <c r="F41" s="64">
        <v>9.24</v>
      </c>
      <c r="G41" s="64">
        <v>97.98</v>
      </c>
      <c r="H41" s="64">
        <v>28.67</v>
      </c>
      <c r="I41" s="64">
        <v>3.81</v>
      </c>
      <c r="J41" s="64">
        <v>0.63</v>
      </c>
      <c r="K41" s="64">
        <v>116.72</v>
      </c>
      <c r="L41" s="64">
        <v>21.44</v>
      </c>
      <c r="M41" s="64">
        <v>40.81</v>
      </c>
      <c r="N41" s="64">
        <v>361.3</v>
      </c>
      <c r="O41" s="64">
        <v>0</v>
      </c>
      <c r="P41" s="64">
        <v>1.3</v>
      </c>
      <c r="Q41" s="64">
        <v>10.029999999999999</v>
      </c>
      <c r="R41" s="198"/>
      <c r="S41" s="198"/>
      <c r="T41" s="198"/>
      <c r="U41" s="198"/>
    </row>
    <row r="42" spans="1:21" s="12" customFormat="1" x14ac:dyDescent="0.25">
      <c r="A42" s="213" t="s">
        <v>2869</v>
      </c>
      <c r="B42" s="64">
        <v>101.4</v>
      </c>
      <c r="C42" s="64">
        <v>75.510000000000005</v>
      </c>
      <c r="D42" s="64">
        <v>119.39</v>
      </c>
      <c r="E42" s="64">
        <v>7.24</v>
      </c>
      <c r="F42" s="64">
        <v>9.32</v>
      </c>
      <c r="G42" s="64">
        <v>88.68</v>
      </c>
      <c r="H42" s="64">
        <v>23.3</v>
      </c>
      <c r="I42" s="64">
        <v>3.96</v>
      </c>
      <c r="J42" s="64">
        <v>0.55000000000000004</v>
      </c>
      <c r="K42" s="64">
        <v>344.26</v>
      </c>
      <c r="L42" s="64">
        <v>24.3</v>
      </c>
      <c r="M42" s="64">
        <v>35.770000000000003</v>
      </c>
      <c r="N42" s="64">
        <v>414.6</v>
      </c>
      <c r="O42" s="64">
        <v>0</v>
      </c>
      <c r="P42" s="64">
        <v>1.31</v>
      </c>
      <c r="Q42" s="64">
        <v>10.01</v>
      </c>
      <c r="R42" s="198"/>
      <c r="S42" s="198"/>
      <c r="T42" s="198"/>
      <c r="U42" s="198"/>
    </row>
    <row r="43" spans="1:21" s="12" customFormat="1" x14ac:dyDescent="0.25">
      <c r="A43" s="213" t="s">
        <v>2870</v>
      </c>
      <c r="B43" s="64">
        <v>93.92</v>
      </c>
      <c r="C43" s="64">
        <v>80.59</v>
      </c>
      <c r="D43" s="64">
        <v>116.04</v>
      </c>
      <c r="E43" s="64">
        <v>7.58</v>
      </c>
      <c r="F43" s="64">
        <v>9.7899999999999991</v>
      </c>
      <c r="G43" s="64">
        <v>88.68</v>
      </c>
      <c r="H43" s="64">
        <v>23.3</v>
      </c>
      <c r="I43" s="64">
        <v>4.05</v>
      </c>
      <c r="J43" s="64">
        <v>0.44</v>
      </c>
      <c r="K43" s="64">
        <v>166.19</v>
      </c>
      <c r="L43" s="64">
        <v>25.21</v>
      </c>
      <c r="M43" s="64">
        <v>32.1</v>
      </c>
      <c r="N43" s="64">
        <v>477.3</v>
      </c>
      <c r="O43" s="64">
        <v>0</v>
      </c>
      <c r="P43" s="64">
        <v>1.25</v>
      </c>
      <c r="Q43" s="64">
        <v>9.99</v>
      </c>
      <c r="R43" s="198"/>
      <c r="S43" s="198"/>
      <c r="T43" s="198"/>
      <c r="U43" s="198"/>
    </row>
    <row r="44" spans="1:21" s="12" customFormat="1" x14ac:dyDescent="0.25">
      <c r="A44" s="213" t="s">
        <v>2871</v>
      </c>
      <c r="B44" s="64">
        <v>91.42</v>
      </c>
      <c r="C44" s="64">
        <v>72.650000000000006</v>
      </c>
      <c r="D44" s="64">
        <v>109.89</v>
      </c>
      <c r="E44" s="64">
        <v>7.31</v>
      </c>
      <c r="F44" s="64">
        <v>10.26</v>
      </c>
      <c r="G44" s="64">
        <v>88.68</v>
      </c>
      <c r="H44" s="64">
        <v>23.3</v>
      </c>
      <c r="I44" s="64">
        <v>4.01</v>
      </c>
      <c r="J44" s="64">
        <v>1.27</v>
      </c>
      <c r="K44" s="64">
        <v>166.81</v>
      </c>
      <c r="L44" s="64">
        <v>23.75</v>
      </c>
      <c r="M44" s="64">
        <v>32.92</v>
      </c>
      <c r="N44" s="64">
        <v>522.1</v>
      </c>
      <c r="O44" s="64">
        <v>0</v>
      </c>
      <c r="P44" s="64">
        <v>1.23</v>
      </c>
      <c r="Q44" s="64">
        <v>9.9600000000000009</v>
      </c>
      <c r="R44" s="198"/>
      <c r="S44" s="198"/>
      <c r="T44" s="198"/>
      <c r="U44" s="198"/>
    </row>
    <row r="45" spans="1:21" s="12" customFormat="1" x14ac:dyDescent="0.25">
      <c r="A45" s="213" t="s">
        <v>2872</v>
      </c>
      <c r="B45" s="64">
        <v>93.82</v>
      </c>
      <c r="C45" s="64">
        <v>76.099999999999994</v>
      </c>
      <c r="D45" s="64">
        <v>113.61</v>
      </c>
      <c r="E45" s="64">
        <v>7.31</v>
      </c>
      <c r="F45" s="64">
        <v>8</v>
      </c>
      <c r="G45" s="64">
        <v>83.76</v>
      </c>
      <c r="H45" s="64">
        <v>16.98</v>
      </c>
      <c r="I45" s="64">
        <v>3.91</v>
      </c>
      <c r="J45" s="64">
        <v>1.0900000000000001</v>
      </c>
      <c r="K45" s="64">
        <v>190.73</v>
      </c>
      <c r="L45" s="64">
        <v>23.02</v>
      </c>
      <c r="M45" s="64">
        <v>35.619999999999997</v>
      </c>
      <c r="N45" s="64">
        <v>558</v>
      </c>
      <c r="O45" s="64">
        <v>0</v>
      </c>
      <c r="P45" s="64">
        <v>1.26</v>
      </c>
      <c r="Q45" s="64">
        <v>9.93</v>
      </c>
      <c r="R45" s="198"/>
      <c r="S45" s="198"/>
      <c r="T45" s="198"/>
      <c r="U45" s="198"/>
    </row>
    <row r="46" spans="1:21" s="12" customFormat="1" x14ac:dyDescent="0.25">
      <c r="A46" s="213" t="s">
        <v>2873</v>
      </c>
      <c r="B46" s="64">
        <v>84.32</v>
      </c>
      <c r="C46" s="64">
        <v>79.540000000000006</v>
      </c>
      <c r="D46" s="64">
        <v>107.8</v>
      </c>
      <c r="E46" s="64">
        <v>6.64</v>
      </c>
      <c r="F46" s="64">
        <v>7.29</v>
      </c>
      <c r="G46" s="64">
        <v>75.25</v>
      </c>
      <c r="H46" s="64">
        <v>6.06</v>
      </c>
      <c r="I46" s="64">
        <v>3.99</v>
      </c>
      <c r="J46" s="64">
        <v>1.05</v>
      </c>
      <c r="K46" s="64">
        <v>186.96</v>
      </c>
      <c r="L46" s="64">
        <v>23.6</v>
      </c>
      <c r="M46" s="64">
        <v>33.64</v>
      </c>
      <c r="N46" s="64">
        <v>616.5</v>
      </c>
      <c r="O46" s="64">
        <v>0</v>
      </c>
      <c r="P46" s="64">
        <v>1.21</v>
      </c>
      <c r="Q46" s="64">
        <v>9.91</v>
      </c>
      <c r="R46" s="198"/>
      <c r="S46" s="198"/>
      <c r="T46" s="198"/>
      <c r="U46" s="198"/>
    </row>
    <row r="47" spans="1:21" s="12" customFormat="1" x14ac:dyDescent="0.25">
      <c r="A47" s="213" t="s">
        <v>2874</v>
      </c>
      <c r="B47" s="64">
        <v>76.739999999999995</v>
      </c>
      <c r="C47" s="64">
        <v>80.09</v>
      </c>
      <c r="D47" s="64">
        <v>102.01</v>
      </c>
      <c r="E47" s="64">
        <v>6.41</v>
      </c>
      <c r="F47" s="64">
        <v>6.77</v>
      </c>
      <c r="G47" s="64">
        <v>75.25</v>
      </c>
      <c r="H47" s="64">
        <v>6.06</v>
      </c>
      <c r="I47" s="64">
        <v>3.96</v>
      </c>
      <c r="J47" s="64">
        <v>1.65</v>
      </c>
      <c r="K47" s="64">
        <v>163.61000000000001</v>
      </c>
      <c r="L47" s="64">
        <v>24.33</v>
      </c>
      <c r="M47" s="64">
        <v>33.200000000000003</v>
      </c>
      <c r="N47" s="64">
        <v>627.9</v>
      </c>
      <c r="O47" s="64">
        <v>0</v>
      </c>
      <c r="P47" s="64">
        <v>1.1599999999999999</v>
      </c>
      <c r="Q47" s="64">
        <v>9.9</v>
      </c>
      <c r="R47" s="198"/>
      <c r="S47" s="198"/>
      <c r="T47" s="198"/>
      <c r="U47" s="198"/>
    </row>
    <row r="48" spans="1:21" s="12" customFormat="1" x14ac:dyDescent="0.25">
      <c r="A48" s="213" t="s">
        <v>2875</v>
      </c>
      <c r="B48" s="64">
        <v>68.19</v>
      </c>
      <c r="C48" s="64">
        <v>81</v>
      </c>
      <c r="D48" s="64">
        <v>95.62</v>
      </c>
      <c r="E48" s="64">
        <v>6.28</v>
      </c>
      <c r="F48" s="64">
        <v>7.13</v>
      </c>
      <c r="G48" s="64">
        <v>75.25</v>
      </c>
      <c r="H48" s="64">
        <v>6.06</v>
      </c>
      <c r="I48" s="64">
        <v>4.01</v>
      </c>
      <c r="J48" s="64">
        <v>2.27</v>
      </c>
      <c r="K48" s="64">
        <v>159.03</v>
      </c>
      <c r="L48" s="64">
        <v>24.19</v>
      </c>
      <c r="M48" s="64">
        <v>33.869999999999997</v>
      </c>
      <c r="N48" s="64">
        <v>699</v>
      </c>
      <c r="O48" s="64">
        <v>0</v>
      </c>
      <c r="P48" s="64">
        <v>1.1000000000000001</v>
      </c>
      <c r="Q48" s="64">
        <v>9.8800000000000008</v>
      </c>
      <c r="R48" s="198"/>
      <c r="S48" s="198"/>
      <c r="T48" s="198"/>
      <c r="U48" s="198"/>
    </row>
    <row r="49" spans="1:21" s="12" customFormat="1" x14ac:dyDescent="0.25">
      <c r="A49" s="213" t="s">
        <v>2876</v>
      </c>
      <c r="B49" s="64">
        <v>55.56</v>
      </c>
      <c r="C49" s="64">
        <v>81.459999999999994</v>
      </c>
      <c r="D49" s="64">
        <v>85.74</v>
      </c>
      <c r="E49" s="64">
        <v>6.03</v>
      </c>
      <c r="F49" s="64">
        <v>8.33</v>
      </c>
      <c r="G49" s="64">
        <v>71.709999999999994</v>
      </c>
      <c r="H49" s="64">
        <v>5.35</v>
      </c>
      <c r="I49" s="64">
        <v>4.24</v>
      </c>
      <c r="J49" s="64">
        <v>1.2</v>
      </c>
      <c r="K49" s="64">
        <v>168.37</v>
      </c>
      <c r="L49" s="64">
        <v>25.21</v>
      </c>
      <c r="M49" s="64">
        <v>33.47</v>
      </c>
      <c r="N49" s="64">
        <v>721.9</v>
      </c>
      <c r="O49" s="64">
        <v>0</v>
      </c>
      <c r="P49" s="64">
        <v>1.04</v>
      </c>
      <c r="Q49" s="64">
        <v>9.81</v>
      </c>
      <c r="R49" s="198"/>
      <c r="S49" s="198"/>
      <c r="T49" s="198"/>
      <c r="U49" s="198"/>
    </row>
    <row r="50" spans="1:21" s="12" customFormat="1" x14ac:dyDescent="0.25">
      <c r="A50" s="213" t="s">
        <v>2877</v>
      </c>
      <c r="B50" s="64">
        <v>48.99</v>
      </c>
      <c r="C50" s="64">
        <v>83.12</v>
      </c>
      <c r="D50" s="64">
        <v>81.34</v>
      </c>
      <c r="E50" s="64">
        <v>6.04</v>
      </c>
      <c r="F50" s="64">
        <v>7.62</v>
      </c>
      <c r="G50" s="64">
        <v>65.59</v>
      </c>
      <c r="H50" s="64">
        <v>4.12</v>
      </c>
      <c r="I50" s="64">
        <v>3.93</v>
      </c>
      <c r="J50" s="64">
        <v>0.79</v>
      </c>
      <c r="K50" s="64">
        <v>228.13</v>
      </c>
      <c r="L50" s="64">
        <v>26.55</v>
      </c>
      <c r="M50" s="64">
        <v>32.119999999999997</v>
      </c>
      <c r="N50" s="64">
        <v>790.3</v>
      </c>
      <c r="O50" s="64">
        <v>0</v>
      </c>
      <c r="P50" s="64">
        <v>1</v>
      </c>
      <c r="Q50" s="64">
        <v>9.7799999999999994</v>
      </c>
      <c r="R50" s="198"/>
      <c r="S50" s="198"/>
      <c r="T50" s="198"/>
      <c r="U50" s="198"/>
    </row>
    <row r="51" spans="1:21" s="12" customFormat="1" x14ac:dyDescent="0.25">
      <c r="A51" s="213" t="s">
        <v>2878</v>
      </c>
      <c r="B51" s="64">
        <v>38.299999999999997</v>
      </c>
      <c r="C51" s="64">
        <v>84</v>
      </c>
      <c r="D51" s="64">
        <v>73.22</v>
      </c>
      <c r="E51" s="64">
        <v>6.16</v>
      </c>
      <c r="F51" s="64">
        <v>7.81</v>
      </c>
      <c r="G51" s="64">
        <v>65.59</v>
      </c>
      <c r="H51" s="64">
        <v>4.12</v>
      </c>
      <c r="I51" s="64">
        <v>4.0999999999999996</v>
      </c>
      <c r="J51" s="64">
        <v>0.96</v>
      </c>
      <c r="K51" s="64">
        <v>223.45</v>
      </c>
      <c r="L51" s="64">
        <v>27.13</v>
      </c>
      <c r="M51" s="64">
        <v>30.97</v>
      </c>
      <c r="N51" s="64">
        <v>826.7</v>
      </c>
      <c r="O51" s="64">
        <v>0</v>
      </c>
      <c r="P51" s="64">
        <v>0.94</v>
      </c>
      <c r="Q51" s="64">
        <v>9.75</v>
      </c>
      <c r="R51" s="198"/>
      <c r="S51" s="198"/>
      <c r="T51" s="198"/>
      <c r="U51" s="198"/>
    </row>
    <row r="52" spans="1:21" s="12" customFormat="1" x14ac:dyDescent="0.25">
      <c r="A52" s="213" t="s">
        <v>2879</v>
      </c>
      <c r="B52" s="64">
        <v>18.350000000000001</v>
      </c>
      <c r="C52" s="64">
        <v>88.51</v>
      </c>
      <c r="D52" s="64">
        <v>59.58</v>
      </c>
      <c r="E52" s="64">
        <v>6.6</v>
      </c>
      <c r="F52" s="64">
        <v>11.04</v>
      </c>
      <c r="G52" s="64">
        <v>65.59</v>
      </c>
      <c r="H52" s="64">
        <v>4.12</v>
      </c>
      <c r="I52" s="64">
        <v>4.07</v>
      </c>
      <c r="J52" s="64">
        <v>1.22</v>
      </c>
      <c r="K52" s="64">
        <v>183.33</v>
      </c>
      <c r="L52" s="64">
        <v>26.6</v>
      </c>
      <c r="M52" s="64">
        <v>30.84</v>
      </c>
      <c r="N52" s="64">
        <v>860.8</v>
      </c>
      <c r="O52" s="64">
        <v>0</v>
      </c>
      <c r="P52" s="64">
        <v>0.78</v>
      </c>
      <c r="Q52" s="64">
        <v>9.7799999999999994</v>
      </c>
      <c r="R52" s="198"/>
      <c r="S52" s="198"/>
      <c r="T52" s="198"/>
      <c r="U52" s="198"/>
    </row>
    <row r="53" spans="1:21" s="12" customFormat="1" x14ac:dyDescent="0.25">
      <c r="A53" s="213" t="s">
        <v>2880</v>
      </c>
      <c r="B53" s="64">
        <v>6.7</v>
      </c>
      <c r="C53" s="64">
        <v>82.81</v>
      </c>
      <c r="D53" s="64">
        <v>47.26</v>
      </c>
      <c r="E53" s="64">
        <v>6.45</v>
      </c>
      <c r="F53" s="64">
        <v>15.44</v>
      </c>
      <c r="G53" s="64">
        <v>62.35</v>
      </c>
      <c r="H53" s="64">
        <v>34.01</v>
      </c>
      <c r="I53" s="64">
        <v>4.1399999999999997</v>
      </c>
      <c r="J53" s="64">
        <v>1.6</v>
      </c>
      <c r="K53" s="64">
        <v>166.87</v>
      </c>
      <c r="L53" s="64">
        <v>26.9</v>
      </c>
      <c r="M53" s="64">
        <v>29.14</v>
      </c>
      <c r="N53" s="64">
        <v>839.6</v>
      </c>
      <c r="O53" s="64">
        <v>0</v>
      </c>
      <c r="P53" s="64">
        <v>0.65</v>
      </c>
      <c r="Q53" s="64">
        <v>9.67</v>
      </c>
      <c r="R53" s="198"/>
      <c r="S53" s="198"/>
      <c r="T53" s="198"/>
      <c r="U53" s="198"/>
    </row>
    <row r="54" spans="1:21" s="12" customFormat="1" x14ac:dyDescent="0.25">
      <c r="A54" s="213" t="s">
        <v>2881</v>
      </c>
      <c r="B54" s="64">
        <v>3.98</v>
      </c>
      <c r="C54" s="64">
        <v>73.52</v>
      </c>
      <c r="D54" s="64">
        <v>40.229999999999997</v>
      </c>
      <c r="E54" s="64">
        <v>6.77</v>
      </c>
      <c r="F54" s="64">
        <v>17.54</v>
      </c>
      <c r="G54" s="64">
        <v>56.76</v>
      </c>
      <c r="H54" s="212" t="s">
        <v>42</v>
      </c>
      <c r="I54" s="64">
        <v>3.86</v>
      </c>
      <c r="J54" s="64">
        <v>1.24</v>
      </c>
      <c r="K54" s="64">
        <v>175.6</v>
      </c>
      <c r="L54" s="64">
        <v>27.74</v>
      </c>
      <c r="M54" s="64">
        <v>25.53</v>
      </c>
      <c r="N54" s="64">
        <v>859.4</v>
      </c>
      <c r="O54" s="64">
        <v>0</v>
      </c>
      <c r="P54" s="64">
        <v>0.56000000000000005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3" t="s">
        <v>2882</v>
      </c>
      <c r="B55" s="64">
        <v>3.63</v>
      </c>
      <c r="C55" s="64">
        <v>63.43</v>
      </c>
      <c r="D55" s="64">
        <v>34.67</v>
      </c>
      <c r="E55" s="64">
        <v>8.86</v>
      </c>
      <c r="F55" s="64">
        <v>31.55</v>
      </c>
      <c r="G55" s="64">
        <v>56.76</v>
      </c>
      <c r="H55" s="212" t="s">
        <v>42</v>
      </c>
      <c r="I55" s="64">
        <v>3.92</v>
      </c>
      <c r="J55" s="64">
        <v>0.85</v>
      </c>
      <c r="K55" s="64">
        <v>229.79</v>
      </c>
      <c r="L55" s="64">
        <v>29.16</v>
      </c>
      <c r="M55" s="64">
        <v>23.17</v>
      </c>
      <c r="N55" s="64">
        <v>815.5</v>
      </c>
      <c r="O55" s="64">
        <v>0</v>
      </c>
      <c r="P55" s="64">
        <v>0.46</v>
      </c>
      <c r="Q55" s="64">
        <v>9.56</v>
      </c>
      <c r="R55" s="198"/>
      <c r="S55" s="198"/>
      <c r="T55" s="198"/>
      <c r="U55" s="198"/>
    </row>
    <row r="56" spans="1:21" s="12" customFormat="1" x14ac:dyDescent="0.25">
      <c r="A56" s="213" t="s">
        <v>2883</v>
      </c>
      <c r="B56" s="64">
        <v>3.63</v>
      </c>
      <c r="C56" s="64">
        <v>54.3</v>
      </c>
      <c r="D56" s="64">
        <v>29.9</v>
      </c>
      <c r="E56" s="64">
        <v>8.08</v>
      </c>
      <c r="F56" s="64">
        <v>27.44</v>
      </c>
      <c r="G56" s="64">
        <v>56.76</v>
      </c>
      <c r="H56" s="212" t="s">
        <v>42</v>
      </c>
      <c r="I56" s="64">
        <v>3.83</v>
      </c>
      <c r="J56" s="64">
        <v>0.51</v>
      </c>
      <c r="K56" s="64">
        <v>224.25</v>
      </c>
      <c r="L56" s="64">
        <v>29.13</v>
      </c>
      <c r="M56" s="64">
        <v>23.21</v>
      </c>
      <c r="N56" s="64">
        <v>803.8</v>
      </c>
      <c r="O56" s="64">
        <v>0</v>
      </c>
      <c r="P56" s="64">
        <v>0.4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3" t="s">
        <v>2884</v>
      </c>
      <c r="B57" s="64">
        <v>5</v>
      </c>
      <c r="C57" s="64">
        <v>52.99</v>
      </c>
      <c r="D57" s="64">
        <v>30.32</v>
      </c>
      <c r="E57" s="64">
        <v>9.0500000000000007</v>
      </c>
      <c r="F57" s="64">
        <v>25.72</v>
      </c>
      <c r="G57" s="64">
        <v>67.739999999999995</v>
      </c>
      <c r="H57" s="212" t="s">
        <v>42</v>
      </c>
      <c r="I57" s="64">
        <v>3.9</v>
      </c>
      <c r="J57" s="64">
        <v>0.72</v>
      </c>
      <c r="K57" s="64">
        <v>202.14</v>
      </c>
      <c r="L57" s="64">
        <v>29.75</v>
      </c>
      <c r="M57" s="64">
        <v>22.46</v>
      </c>
      <c r="N57" s="64">
        <v>835.5</v>
      </c>
      <c r="O57" s="64">
        <v>0</v>
      </c>
      <c r="P57" s="64">
        <v>0.39</v>
      </c>
      <c r="Q57" s="64">
        <v>9.42</v>
      </c>
      <c r="R57" s="198"/>
      <c r="S57" s="198"/>
      <c r="T57" s="198"/>
      <c r="U57" s="198"/>
    </row>
    <row r="58" spans="1:21" s="12" customFormat="1" x14ac:dyDescent="0.25">
      <c r="A58" s="213" t="s">
        <v>2885</v>
      </c>
      <c r="B58" s="64">
        <v>3.94</v>
      </c>
      <c r="C58" s="64">
        <v>50.2</v>
      </c>
      <c r="D58" s="64">
        <v>28.01</v>
      </c>
      <c r="E58" s="64">
        <v>9.2899999999999991</v>
      </c>
      <c r="F58" s="64">
        <v>25.09</v>
      </c>
      <c r="G58" s="64">
        <v>86.7</v>
      </c>
      <c r="H58" s="212" t="s">
        <v>42</v>
      </c>
      <c r="I58" s="64">
        <v>3.9</v>
      </c>
      <c r="J58" s="64">
        <v>1.41</v>
      </c>
      <c r="K58" s="64">
        <v>168.28</v>
      </c>
      <c r="L58" s="64">
        <v>29.11</v>
      </c>
      <c r="M58" s="64">
        <v>19.32</v>
      </c>
      <c r="N58" s="64">
        <v>843.9</v>
      </c>
      <c r="O58" s="64">
        <v>0</v>
      </c>
      <c r="P58" s="64">
        <v>0.34</v>
      </c>
      <c r="Q58" s="64">
        <v>9.4</v>
      </c>
      <c r="R58" s="198"/>
      <c r="S58" s="198"/>
      <c r="T58" s="198"/>
      <c r="U58" s="198"/>
    </row>
    <row r="59" spans="1:21" s="12" customFormat="1" x14ac:dyDescent="0.25">
      <c r="A59" s="213" t="s">
        <v>2886</v>
      </c>
      <c r="B59" s="64">
        <v>3.92</v>
      </c>
      <c r="C59" s="64">
        <v>47.67</v>
      </c>
      <c r="D59" s="64">
        <v>26.67</v>
      </c>
      <c r="E59" s="64">
        <v>9.57</v>
      </c>
      <c r="F59" s="64">
        <v>26.74</v>
      </c>
      <c r="G59" s="64">
        <v>86.7</v>
      </c>
      <c r="H59" s="212" t="s">
        <v>42</v>
      </c>
      <c r="I59" s="64">
        <v>4</v>
      </c>
      <c r="J59" s="64">
        <v>0.9</v>
      </c>
      <c r="K59" s="64">
        <v>162.84</v>
      </c>
      <c r="L59" s="64">
        <v>29.27</v>
      </c>
      <c r="M59" s="64">
        <v>20.94</v>
      </c>
      <c r="N59" s="64">
        <v>812.5</v>
      </c>
      <c r="O59" s="64">
        <v>0</v>
      </c>
      <c r="P59" s="64">
        <v>0.31</v>
      </c>
      <c r="Q59" s="64">
        <v>9.3699999999999992</v>
      </c>
      <c r="R59" s="198"/>
      <c r="S59" s="198"/>
      <c r="T59" s="198"/>
      <c r="U59" s="198"/>
    </row>
    <row r="60" spans="1:21" s="12" customFormat="1" x14ac:dyDescent="0.25">
      <c r="A60" s="213" t="s">
        <v>2887</v>
      </c>
      <c r="B60" s="64">
        <v>5.91</v>
      </c>
      <c r="C60" s="64">
        <v>49.29</v>
      </c>
      <c r="D60" s="64">
        <v>29.12</v>
      </c>
      <c r="E60" s="64">
        <v>9.26</v>
      </c>
      <c r="F60" s="64">
        <v>23.74</v>
      </c>
      <c r="G60" s="64">
        <v>86.7</v>
      </c>
      <c r="H60" s="212" t="s">
        <v>42</v>
      </c>
      <c r="I60" s="64">
        <v>4.01</v>
      </c>
      <c r="J60" s="64">
        <v>0.59</v>
      </c>
      <c r="K60" s="64">
        <v>256.62</v>
      </c>
      <c r="L60" s="64">
        <v>31.46</v>
      </c>
      <c r="M60" s="64">
        <v>18.829999999999998</v>
      </c>
      <c r="N60" s="64">
        <v>798.1</v>
      </c>
      <c r="O60" s="64">
        <v>0</v>
      </c>
      <c r="P60" s="64">
        <v>0.33</v>
      </c>
      <c r="Q60" s="64">
        <v>9.36</v>
      </c>
      <c r="R60" s="198"/>
      <c r="S60" s="198"/>
      <c r="T60" s="198"/>
      <c r="U60" s="198"/>
    </row>
    <row r="61" spans="1:21" s="12" customFormat="1" x14ac:dyDescent="0.25">
      <c r="A61" s="213" t="s">
        <v>2888</v>
      </c>
      <c r="B61" s="64">
        <v>5.72</v>
      </c>
      <c r="C61" s="64">
        <v>53.8</v>
      </c>
      <c r="D61" s="64">
        <v>31.32</v>
      </c>
      <c r="E61" s="64">
        <v>9.64</v>
      </c>
      <c r="F61" s="64">
        <v>22.38</v>
      </c>
      <c r="G61" s="64">
        <v>68.34</v>
      </c>
      <c r="H61" s="212" t="s">
        <v>42</v>
      </c>
      <c r="I61" s="64">
        <v>3.86</v>
      </c>
      <c r="J61" s="64">
        <v>0.12</v>
      </c>
      <c r="K61" s="64">
        <v>248.94</v>
      </c>
      <c r="L61" s="64">
        <v>31.44</v>
      </c>
      <c r="M61" s="64">
        <v>19.399999999999999</v>
      </c>
      <c r="N61" s="64">
        <v>784.6</v>
      </c>
      <c r="O61" s="64">
        <v>0</v>
      </c>
      <c r="P61" s="64">
        <v>0.42</v>
      </c>
      <c r="Q61" s="64">
        <v>9.35</v>
      </c>
      <c r="R61" s="198"/>
      <c r="S61" s="198"/>
      <c r="T61" s="198"/>
      <c r="U61" s="198"/>
    </row>
    <row r="62" spans="1:21" s="12" customFormat="1" x14ac:dyDescent="0.25">
      <c r="A62" s="213" t="s">
        <v>2889</v>
      </c>
      <c r="B62" s="64">
        <v>5.42</v>
      </c>
      <c r="C62" s="64">
        <v>52.86</v>
      </c>
      <c r="D62" s="64">
        <v>30.59</v>
      </c>
      <c r="E62" s="64">
        <v>10.4</v>
      </c>
      <c r="F62" s="64">
        <v>35.54</v>
      </c>
      <c r="G62" s="64">
        <v>36.630000000000003</v>
      </c>
      <c r="H62" s="212" t="s">
        <v>42</v>
      </c>
      <c r="I62" s="64">
        <v>3.89</v>
      </c>
      <c r="J62" s="64">
        <v>0.31</v>
      </c>
      <c r="K62" s="64">
        <v>89.63</v>
      </c>
      <c r="L62" s="64">
        <v>31.08</v>
      </c>
      <c r="M62" s="64">
        <v>20.85</v>
      </c>
      <c r="N62" s="64">
        <v>782.1</v>
      </c>
      <c r="O62" s="64">
        <v>0</v>
      </c>
      <c r="P62" s="64">
        <v>0.44</v>
      </c>
      <c r="Q62" s="64">
        <v>9.3800000000000008</v>
      </c>
      <c r="R62" s="198"/>
      <c r="S62" s="198"/>
      <c r="T62" s="198"/>
      <c r="U62" s="198"/>
    </row>
    <row r="63" spans="1:21" s="12" customFormat="1" x14ac:dyDescent="0.25">
      <c r="A63" s="213" t="s">
        <v>2890</v>
      </c>
      <c r="B63" s="64">
        <v>6.87</v>
      </c>
      <c r="C63" s="64">
        <v>52.43</v>
      </c>
      <c r="D63" s="64">
        <v>31.52</v>
      </c>
      <c r="E63" s="64">
        <v>13.25</v>
      </c>
      <c r="F63" s="64">
        <v>50.78</v>
      </c>
      <c r="G63" s="64">
        <v>36.630000000000003</v>
      </c>
      <c r="H63" s="212" t="s">
        <v>42</v>
      </c>
      <c r="I63" s="64">
        <v>4.08</v>
      </c>
      <c r="J63" s="64">
        <v>1.06</v>
      </c>
      <c r="K63" s="64">
        <v>358.6</v>
      </c>
      <c r="L63" s="64">
        <v>32.32</v>
      </c>
      <c r="M63" s="64">
        <v>19.12</v>
      </c>
      <c r="N63" s="64">
        <v>671.2</v>
      </c>
      <c r="O63" s="64">
        <v>0</v>
      </c>
      <c r="P63" s="64">
        <v>0.47</v>
      </c>
      <c r="Q63" s="64">
        <v>9.39</v>
      </c>
      <c r="R63" s="198"/>
      <c r="S63" s="198"/>
      <c r="T63" s="198"/>
      <c r="U63" s="198"/>
    </row>
    <row r="64" spans="1:21" s="12" customFormat="1" x14ac:dyDescent="0.25">
      <c r="A64" s="213" t="s">
        <v>2891</v>
      </c>
      <c r="B64" s="64">
        <v>7.34</v>
      </c>
      <c r="C64" s="64">
        <v>58.65</v>
      </c>
      <c r="D64" s="64">
        <v>35.15</v>
      </c>
      <c r="E64" s="64">
        <v>13.14</v>
      </c>
      <c r="F64" s="64">
        <v>36.68</v>
      </c>
      <c r="G64" s="64">
        <v>36.630000000000003</v>
      </c>
      <c r="H64" s="212" t="s">
        <v>42</v>
      </c>
      <c r="I64" s="64">
        <v>3.94</v>
      </c>
      <c r="J64" s="64">
        <v>0.97</v>
      </c>
      <c r="K64" s="64">
        <v>16.98</v>
      </c>
      <c r="L64" s="64">
        <v>32.76</v>
      </c>
      <c r="M64" s="64">
        <v>18.670000000000002</v>
      </c>
      <c r="N64" s="64">
        <v>667.1</v>
      </c>
      <c r="O64" s="64">
        <v>0</v>
      </c>
      <c r="P64" s="64">
        <v>0.51</v>
      </c>
      <c r="Q64" s="64">
        <v>9.3800000000000008</v>
      </c>
      <c r="R64" s="198"/>
      <c r="S64" s="198"/>
      <c r="T64" s="198"/>
      <c r="U64" s="198"/>
    </row>
    <row r="65" spans="1:21" s="12" customFormat="1" x14ac:dyDescent="0.25">
      <c r="A65" s="213" t="s">
        <v>2892</v>
      </c>
      <c r="B65" s="64">
        <v>4.8</v>
      </c>
      <c r="C65" s="64">
        <v>55.34</v>
      </c>
      <c r="D65" s="64">
        <v>31.38</v>
      </c>
      <c r="E65" s="64">
        <v>10.61</v>
      </c>
      <c r="F65" s="64">
        <v>30.7</v>
      </c>
      <c r="G65" s="64">
        <v>35.15</v>
      </c>
      <c r="H65" s="212" t="s">
        <v>42</v>
      </c>
      <c r="I65" s="64">
        <v>4.01</v>
      </c>
      <c r="J65" s="64">
        <v>0.9</v>
      </c>
      <c r="K65" s="64">
        <v>86.27</v>
      </c>
      <c r="L65" s="64">
        <v>30.77</v>
      </c>
      <c r="M65" s="64">
        <v>20.64</v>
      </c>
      <c r="N65" s="64">
        <v>700.4</v>
      </c>
      <c r="O65" s="64">
        <v>0</v>
      </c>
      <c r="P65" s="64">
        <v>0.48</v>
      </c>
      <c r="Q65" s="64">
        <v>9.3699999999999992</v>
      </c>
      <c r="R65" s="198"/>
      <c r="S65" s="198"/>
      <c r="T65" s="198"/>
      <c r="U65" s="198"/>
    </row>
    <row r="66" spans="1:21" s="12" customFormat="1" x14ac:dyDescent="0.25">
      <c r="A66" s="213" t="s">
        <v>2893</v>
      </c>
      <c r="B66" s="64">
        <v>6.27</v>
      </c>
      <c r="C66" s="64">
        <v>52.93</v>
      </c>
      <c r="D66" s="64">
        <v>31.31</v>
      </c>
      <c r="E66" s="64">
        <v>10.7</v>
      </c>
      <c r="F66" s="64">
        <v>32.799999999999997</v>
      </c>
      <c r="G66" s="64">
        <v>32.590000000000003</v>
      </c>
      <c r="H66" s="212" t="s">
        <v>42</v>
      </c>
      <c r="I66" s="64">
        <v>4.07</v>
      </c>
      <c r="J66" s="64">
        <v>0.8</v>
      </c>
      <c r="K66" s="64">
        <v>35.22</v>
      </c>
      <c r="L66" s="64">
        <v>31.37</v>
      </c>
      <c r="M66" s="64">
        <v>19.649999999999999</v>
      </c>
      <c r="N66" s="64">
        <v>441.7</v>
      </c>
      <c r="O66" s="64">
        <v>0</v>
      </c>
      <c r="P66" s="64">
        <v>0.48</v>
      </c>
      <c r="Q66" s="64">
        <v>9.41</v>
      </c>
      <c r="R66" s="198"/>
      <c r="S66" s="198"/>
      <c r="T66" s="198"/>
      <c r="U66" s="198"/>
    </row>
    <row r="67" spans="1:21" s="12" customFormat="1" x14ac:dyDescent="0.25">
      <c r="A67" s="213" t="s">
        <v>2894</v>
      </c>
      <c r="B67" s="64">
        <v>5.51</v>
      </c>
      <c r="C67" s="64">
        <v>50</v>
      </c>
      <c r="D67" s="64">
        <v>29.16</v>
      </c>
      <c r="E67" s="64">
        <v>12.5</v>
      </c>
      <c r="F67" s="64">
        <v>45.16</v>
      </c>
      <c r="G67" s="64">
        <v>32.590000000000003</v>
      </c>
      <c r="H67" s="212" t="s">
        <v>42</v>
      </c>
      <c r="I67" s="64">
        <v>4.01</v>
      </c>
      <c r="J67" s="64">
        <v>0.96</v>
      </c>
      <c r="K67" s="64">
        <v>76.86</v>
      </c>
      <c r="L67" s="64">
        <v>30.3</v>
      </c>
      <c r="M67" s="64">
        <v>19.88</v>
      </c>
      <c r="N67" s="64">
        <v>588.4</v>
      </c>
      <c r="O67" s="64">
        <v>0</v>
      </c>
      <c r="P67" s="64">
        <v>0.45</v>
      </c>
      <c r="Q67" s="64">
        <v>9.44</v>
      </c>
      <c r="R67" s="198"/>
      <c r="S67" s="198"/>
      <c r="T67" s="198"/>
      <c r="U67" s="198"/>
    </row>
    <row r="68" spans="1:21" s="12" customFormat="1" x14ac:dyDescent="0.25">
      <c r="A68" s="213" t="s">
        <v>2895</v>
      </c>
      <c r="B68" s="64">
        <v>7.75</v>
      </c>
      <c r="C68" s="64">
        <v>57.85</v>
      </c>
      <c r="D68" s="64">
        <v>35.06</v>
      </c>
      <c r="E68" s="64">
        <v>15.48</v>
      </c>
      <c r="F68" s="64">
        <v>40.549999999999997</v>
      </c>
      <c r="G68" s="64">
        <v>32.590000000000003</v>
      </c>
      <c r="H68" s="212" t="s">
        <v>42</v>
      </c>
      <c r="I68" s="64">
        <v>3.95</v>
      </c>
      <c r="J68" s="64">
        <v>0.93</v>
      </c>
      <c r="K68" s="64">
        <v>332.35</v>
      </c>
      <c r="L68" s="64">
        <v>32.72</v>
      </c>
      <c r="M68" s="64">
        <v>16.64</v>
      </c>
      <c r="N68" s="64">
        <v>389.7</v>
      </c>
      <c r="O68" s="64">
        <v>0</v>
      </c>
      <c r="P68" s="64">
        <v>0.48</v>
      </c>
      <c r="Q68" s="64">
        <v>9.44</v>
      </c>
      <c r="R68" s="198"/>
      <c r="S68" s="198"/>
      <c r="T68" s="198"/>
      <c r="U68" s="198"/>
    </row>
    <row r="69" spans="1:21" s="12" customFormat="1" x14ac:dyDescent="0.25">
      <c r="A69" s="213" t="s">
        <v>2896</v>
      </c>
      <c r="B69" s="64">
        <v>8.26</v>
      </c>
      <c r="C69" s="64">
        <v>61.51</v>
      </c>
      <c r="D69" s="64">
        <v>37.39</v>
      </c>
      <c r="E69" s="64">
        <v>13.44</v>
      </c>
      <c r="F69" s="64">
        <v>43.61</v>
      </c>
      <c r="G69" s="64">
        <v>40.19</v>
      </c>
      <c r="H69" s="212" t="s">
        <v>42</v>
      </c>
      <c r="I69" s="64">
        <v>3.97</v>
      </c>
      <c r="J69" s="64">
        <v>1.35</v>
      </c>
      <c r="K69" s="64">
        <v>340.27</v>
      </c>
      <c r="L69" s="64">
        <v>32.96</v>
      </c>
      <c r="M69" s="64">
        <v>16.5</v>
      </c>
      <c r="N69" s="64">
        <v>291.3</v>
      </c>
      <c r="O69" s="64">
        <v>0</v>
      </c>
      <c r="P69" s="64">
        <v>0.51</v>
      </c>
      <c r="Q69" s="64">
        <v>9.4700000000000006</v>
      </c>
      <c r="R69" s="198"/>
      <c r="S69" s="198"/>
      <c r="T69" s="198"/>
      <c r="U69" s="198"/>
    </row>
    <row r="70" spans="1:21" s="12" customFormat="1" x14ac:dyDescent="0.25">
      <c r="A70" s="213" t="s">
        <v>2897</v>
      </c>
      <c r="B70" s="64">
        <v>7.22</v>
      </c>
      <c r="C70" s="64">
        <v>65.77</v>
      </c>
      <c r="D70" s="64">
        <v>38.770000000000003</v>
      </c>
      <c r="E70" s="64">
        <v>14.79</v>
      </c>
      <c r="F70" s="64">
        <v>37.56</v>
      </c>
      <c r="G70" s="64">
        <v>53.31</v>
      </c>
      <c r="H70" s="64">
        <v>19.739999999999998</v>
      </c>
      <c r="I70" s="64">
        <v>3.77</v>
      </c>
      <c r="J70" s="64">
        <v>0.5</v>
      </c>
      <c r="K70" s="64">
        <v>339.71</v>
      </c>
      <c r="L70" s="64">
        <v>32.22</v>
      </c>
      <c r="M70" s="64">
        <v>16.82</v>
      </c>
      <c r="N70" s="64">
        <v>352.9</v>
      </c>
      <c r="O70" s="64">
        <v>0</v>
      </c>
      <c r="P70" s="64">
        <v>0.49</v>
      </c>
      <c r="Q70" s="64">
        <v>9.4700000000000006</v>
      </c>
      <c r="R70" s="198"/>
      <c r="S70" s="198"/>
      <c r="T70" s="198"/>
      <c r="U70" s="198"/>
    </row>
    <row r="71" spans="1:21" s="12" customFormat="1" x14ac:dyDescent="0.25">
      <c r="A71" s="213" t="s">
        <v>2898</v>
      </c>
      <c r="B71" s="64">
        <v>9.1300000000000008</v>
      </c>
      <c r="C71" s="64">
        <v>74.209999999999994</v>
      </c>
      <c r="D71" s="64">
        <v>44.72</v>
      </c>
      <c r="E71" s="64">
        <v>15.98</v>
      </c>
      <c r="F71" s="64">
        <v>40.01</v>
      </c>
      <c r="G71" s="64">
        <v>53.31</v>
      </c>
      <c r="H71" s="64">
        <v>19.739999999999998</v>
      </c>
      <c r="I71" s="64">
        <v>3.9</v>
      </c>
      <c r="J71" s="64">
        <v>1.04</v>
      </c>
      <c r="K71" s="64">
        <v>327.88</v>
      </c>
      <c r="L71" s="64">
        <v>32.11</v>
      </c>
      <c r="M71" s="64">
        <v>17.95</v>
      </c>
      <c r="N71" s="64">
        <v>217.8</v>
      </c>
      <c r="O71" s="64">
        <v>0</v>
      </c>
      <c r="P71" s="64">
        <v>0.62</v>
      </c>
      <c r="Q71" s="64">
        <v>9.4700000000000006</v>
      </c>
      <c r="R71" s="198"/>
      <c r="S71" s="198"/>
      <c r="T71" s="198"/>
      <c r="U71" s="198"/>
    </row>
    <row r="72" spans="1:21" s="12" customFormat="1" x14ac:dyDescent="0.25">
      <c r="A72" s="213" t="s">
        <v>2899</v>
      </c>
      <c r="B72" s="64">
        <v>7.84</v>
      </c>
      <c r="C72" s="64">
        <v>77.03</v>
      </c>
      <c r="D72" s="64">
        <v>45.16</v>
      </c>
      <c r="E72" s="64">
        <v>16.13</v>
      </c>
      <c r="F72" s="64">
        <v>56.25</v>
      </c>
      <c r="G72" s="64">
        <v>53.31</v>
      </c>
      <c r="H72" s="64">
        <v>19.739999999999998</v>
      </c>
      <c r="I72" s="64">
        <v>4.05</v>
      </c>
      <c r="J72" s="64">
        <v>0.42</v>
      </c>
      <c r="K72" s="64">
        <v>299.11</v>
      </c>
      <c r="L72" s="64">
        <v>31.54</v>
      </c>
      <c r="M72" s="64">
        <v>18.37</v>
      </c>
      <c r="N72" s="64">
        <v>183.9</v>
      </c>
      <c r="O72" s="64">
        <v>0</v>
      </c>
      <c r="P72" s="64">
        <v>0.68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13" t="s">
        <v>2900</v>
      </c>
      <c r="B73" s="64">
        <v>6.11</v>
      </c>
      <c r="C73" s="64">
        <v>66.94</v>
      </c>
      <c r="D73" s="64">
        <v>38.5</v>
      </c>
      <c r="E73" s="64">
        <v>22.01</v>
      </c>
      <c r="F73" s="64">
        <v>53.26</v>
      </c>
      <c r="G73" s="64">
        <v>53.72</v>
      </c>
      <c r="H73" s="64">
        <v>30.66</v>
      </c>
      <c r="I73" s="64">
        <v>4.13</v>
      </c>
      <c r="J73" s="64">
        <v>0.57999999999999996</v>
      </c>
      <c r="K73" s="64">
        <v>304.95</v>
      </c>
      <c r="L73" s="64">
        <v>30.06</v>
      </c>
      <c r="M73" s="64">
        <v>19.73</v>
      </c>
      <c r="N73" s="64">
        <v>176.4</v>
      </c>
      <c r="O73" s="64">
        <v>0</v>
      </c>
      <c r="P73" s="64">
        <v>0.69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13" t="s">
        <v>2901</v>
      </c>
      <c r="B74" s="64">
        <v>24.2</v>
      </c>
      <c r="C74" s="64">
        <v>94.49</v>
      </c>
      <c r="D74" s="64">
        <v>67.400000000000006</v>
      </c>
      <c r="E74" s="64">
        <v>24.25</v>
      </c>
      <c r="F74" s="64">
        <v>49.32</v>
      </c>
      <c r="G74" s="64">
        <v>54.42</v>
      </c>
      <c r="H74" s="64">
        <v>49.54</v>
      </c>
      <c r="I74" s="64">
        <v>3.96</v>
      </c>
      <c r="J74" s="64">
        <v>1.03</v>
      </c>
      <c r="K74" s="64">
        <v>324.56</v>
      </c>
      <c r="L74" s="64">
        <v>30.05</v>
      </c>
      <c r="M74" s="64">
        <v>20.77</v>
      </c>
      <c r="N74" s="64">
        <v>145.69999999999999</v>
      </c>
      <c r="O74" s="64">
        <v>0</v>
      </c>
      <c r="P74" s="64">
        <v>0.78</v>
      </c>
      <c r="Q74" s="64">
        <v>9.4700000000000006</v>
      </c>
      <c r="R74" s="198"/>
      <c r="S74" s="198"/>
      <c r="T74" s="198"/>
      <c r="U74" s="198"/>
    </row>
    <row r="75" spans="1:21" s="12" customFormat="1" x14ac:dyDescent="0.25">
      <c r="A75" s="213" t="s">
        <v>2902</v>
      </c>
      <c r="B75" s="64">
        <v>27.24</v>
      </c>
      <c r="C75" s="64">
        <v>99.37</v>
      </c>
      <c r="D75" s="64">
        <v>72.39</v>
      </c>
      <c r="E75" s="64">
        <v>23.94</v>
      </c>
      <c r="F75" s="64">
        <v>54.28</v>
      </c>
      <c r="G75" s="64">
        <v>54.42</v>
      </c>
      <c r="H75" s="64">
        <v>49.54</v>
      </c>
      <c r="I75" s="64">
        <v>3.9</v>
      </c>
      <c r="J75" s="64">
        <v>1.04</v>
      </c>
      <c r="K75" s="64">
        <v>348.22</v>
      </c>
      <c r="L75" s="64">
        <v>29.7</v>
      </c>
      <c r="M75" s="64">
        <v>21.09</v>
      </c>
      <c r="N75" s="64">
        <v>136.69999999999999</v>
      </c>
      <c r="O75" s="64">
        <v>0</v>
      </c>
      <c r="P75" s="64">
        <v>0.79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3" t="s">
        <v>2903</v>
      </c>
      <c r="B76" s="64">
        <v>14.23</v>
      </c>
      <c r="C76" s="64">
        <v>82.17</v>
      </c>
      <c r="D76" s="64">
        <v>52.97</v>
      </c>
      <c r="E76" s="64">
        <v>18.88</v>
      </c>
      <c r="F76" s="64">
        <v>52.46</v>
      </c>
      <c r="G76" s="64">
        <v>54.42</v>
      </c>
      <c r="H76" s="64">
        <v>49.54</v>
      </c>
      <c r="I76" s="64">
        <v>4.07</v>
      </c>
      <c r="J76" s="64">
        <v>1.28</v>
      </c>
      <c r="K76" s="64">
        <v>346.39</v>
      </c>
      <c r="L76" s="64">
        <v>29.25</v>
      </c>
      <c r="M76" s="64">
        <v>21.53</v>
      </c>
      <c r="N76" s="64">
        <v>122.2</v>
      </c>
      <c r="O76" s="64">
        <v>0</v>
      </c>
      <c r="P76" s="64">
        <v>0.76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13" t="s">
        <v>2904</v>
      </c>
      <c r="B77" s="64">
        <v>16.48</v>
      </c>
      <c r="C77" s="64">
        <v>102.32</v>
      </c>
      <c r="D77" s="64">
        <v>65.290000000000006</v>
      </c>
      <c r="E77" s="64">
        <v>19.88</v>
      </c>
      <c r="F77" s="64">
        <v>47.53</v>
      </c>
      <c r="G77" s="64">
        <v>66.31</v>
      </c>
      <c r="H77" s="64">
        <v>39.89</v>
      </c>
      <c r="I77" s="64">
        <v>4.1100000000000003</v>
      </c>
      <c r="J77" s="64">
        <v>0.96</v>
      </c>
      <c r="K77" s="64">
        <v>334.21</v>
      </c>
      <c r="L77" s="64">
        <v>28.7</v>
      </c>
      <c r="M77" s="64">
        <v>22.77</v>
      </c>
      <c r="N77" s="64">
        <v>105.3</v>
      </c>
      <c r="O77" s="64">
        <v>0</v>
      </c>
      <c r="P77" s="64">
        <v>0.94</v>
      </c>
      <c r="Q77" s="64">
        <v>9.56</v>
      </c>
      <c r="R77" s="198"/>
      <c r="S77" s="198"/>
      <c r="T77" s="198"/>
      <c r="U77" s="198"/>
    </row>
    <row r="78" spans="1:21" s="12" customFormat="1" x14ac:dyDescent="0.25">
      <c r="A78" s="213" t="s">
        <v>2905</v>
      </c>
      <c r="B78" s="64">
        <v>20.350000000000001</v>
      </c>
      <c r="C78" s="64">
        <v>100.92</v>
      </c>
      <c r="D78" s="64">
        <v>67.67</v>
      </c>
      <c r="E78" s="64">
        <v>14.4</v>
      </c>
      <c r="F78" s="64">
        <v>40.42</v>
      </c>
      <c r="G78" s="64">
        <v>86.84</v>
      </c>
      <c r="H78" s="64">
        <v>23.23</v>
      </c>
      <c r="I78" s="64">
        <v>3.8</v>
      </c>
      <c r="J78" s="64">
        <v>0.99</v>
      </c>
      <c r="K78" s="64">
        <v>339.55</v>
      </c>
      <c r="L78" s="64">
        <v>27.83</v>
      </c>
      <c r="M78" s="64">
        <v>25.53</v>
      </c>
      <c r="N78" s="64">
        <v>100.1</v>
      </c>
      <c r="O78" s="64">
        <v>0</v>
      </c>
      <c r="P78" s="64">
        <v>0.93</v>
      </c>
      <c r="Q78" s="64">
        <v>9.5500000000000007</v>
      </c>
      <c r="R78" s="198"/>
      <c r="S78" s="198"/>
      <c r="T78" s="198"/>
      <c r="U78" s="198"/>
    </row>
    <row r="79" spans="1:21" s="12" customFormat="1" x14ac:dyDescent="0.25">
      <c r="A79" s="213" t="s">
        <v>2906</v>
      </c>
      <c r="B79" s="64">
        <v>22.35</v>
      </c>
      <c r="C79" s="64">
        <v>110.31</v>
      </c>
      <c r="D79" s="64">
        <v>74.180000000000007</v>
      </c>
      <c r="E79" s="64">
        <v>12.96</v>
      </c>
      <c r="F79" s="64">
        <v>34.9</v>
      </c>
      <c r="G79" s="64">
        <v>86.84</v>
      </c>
      <c r="H79" s="64">
        <v>23.23</v>
      </c>
      <c r="I79" s="64">
        <v>4.17</v>
      </c>
      <c r="J79" s="64">
        <v>1.01</v>
      </c>
      <c r="K79" s="64">
        <v>358.87</v>
      </c>
      <c r="L79" s="64">
        <v>27.21</v>
      </c>
      <c r="M79" s="64">
        <v>25.45</v>
      </c>
      <c r="N79" s="64">
        <v>84</v>
      </c>
      <c r="O79" s="64">
        <v>0</v>
      </c>
      <c r="P79" s="64">
        <v>1.1000000000000001</v>
      </c>
      <c r="Q79" s="64">
        <v>9.56</v>
      </c>
      <c r="R79" s="198"/>
      <c r="S79" s="198"/>
      <c r="T79" s="198"/>
      <c r="U79" s="198"/>
    </row>
    <row r="80" spans="1:21" s="12" customFormat="1" x14ac:dyDescent="0.25">
      <c r="A80" s="213" t="s">
        <v>2907</v>
      </c>
      <c r="B80" s="64">
        <v>17.82</v>
      </c>
      <c r="C80" s="64">
        <v>116</v>
      </c>
      <c r="D80" s="64">
        <v>73.52</v>
      </c>
      <c r="E80" s="64">
        <v>11.13</v>
      </c>
      <c r="F80" s="64">
        <v>22.54</v>
      </c>
      <c r="G80" s="64">
        <v>86.84</v>
      </c>
      <c r="H80" s="64">
        <v>23.23</v>
      </c>
      <c r="I80" s="64">
        <v>4.03</v>
      </c>
      <c r="J80" s="64">
        <v>0.37</v>
      </c>
      <c r="K80" s="64">
        <v>8.91</v>
      </c>
      <c r="L80" s="64">
        <v>26.3</v>
      </c>
      <c r="M80" s="64">
        <v>24.95</v>
      </c>
      <c r="N80" s="64">
        <v>71.3</v>
      </c>
      <c r="O80" s="64">
        <v>0</v>
      </c>
      <c r="P80" s="64">
        <v>1.1499999999999999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3" t="s">
        <v>2908</v>
      </c>
      <c r="B81" s="64">
        <v>40.700000000000003</v>
      </c>
      <c r="C81" s="64">
        <v>156.05000000000001</v>
      </c>
      <c r="D81" s="64">
        <v>112.79</v>
      </c>
      <c r="E81" s="64">
        <v>11.33</v>
      </c>
      <c r="F81" s="64">
        <v>14.28</v>
      </c>
      <c r="G81" s="64">
        <v>83.59</v>
      </c>
      <c r="H81" s="64">
        <v>23.09</v>
      </c>
      <c r="I81" s="64">
        <v>4.09</v>
      </c>
      <c r="J81" s="64">
        <v>0.48</v>
      </c>
      <c r="K81" s="64">
        <v>271.05</v>
      </c>
      <c r="L81" s="64">
        <v>25.5</v>
      </c>
      <c r="M81" s="64">
        <v>27.96</v>
      </c>
      <c r="N81" s="64">
        <v>66.400000000000006</v>
      </c>
      <c r="O81" s="64">
        <v>0</v>
      </c>
      <c r="P81" s="64">
        <v>1.1100000000000001</v>
      </c>
      <c r="Q81" s="64">
        <v>9.5500000000000007</v>
      </c>
      <c r="R81" s="198"/>
      <c r="S81" s="198"/>
      <c r="T81" s="198"/>
      <c r="U81" s="198"/>
    </row>
    <row r="82" spans="1:26" s="12" customFormat="1" x14ac:dyDescent="0.25">
      <c r="A82" s="213" t="s">
        <v>2909</v>
      </c>
      <c r="B82" s="64">
        <v>54.13</v>
      </c>
      <c r="C82" s="64">
        <v>149.65</v>
      </c>
      <c r="D82" s="64">
        <v>120.22</v>
      </c>
      <c r="E82" s="64">
        <v>9.24</v>
      </c>
      <c r="F82" s="64">
        <v>8.3699999999999992</v>
      </c>
      <c r="G82" s="64">
        <v>77.97</v>
      </c>
      <c r="H82" s="64">
        <v>22.85</v>
      </c>
      <c r="I82" s="64">
        <v>4.05</v>
      </c>
      <c r="J82" s="64">
        <v>0.64</v>
      </c>
      <c r="K82" s="64">
        <v>80.75</v>
      </c>
      <c r="L82" s="64">
        <v>24.51</v>
      </c>
      <c r="M82" s="64">
        <v>30.87</v>
      </c>
      <c r="N82" s="64">
        <v>65.400000000000006</v>
      </c>
      <c r="O82" s="64">
        <v>0</v>
      </c>
      <c r="P82" s="64">
        <v>1.1599999999999999</v>
      </c>
      <c r="Q82" s="64">
        <v>9.52</v>
      </c>
      <c r="R82" s="198"/>
      <c r="S82" s="198"/>
      <c r="T82" s="198"/>
      <c r="U82" s="198"/>
    </row>
    <row r="83" spans="1:26" s="12" customFormat="1" x14ac:dyDescent="0.25">
      <c r="A83" s="213" t="s">
        <v>2910</v>
      </c>
      <c r="B83" s="64">
        <v>137.13999999999999</v>
      </c>
      <c r="C83" s="64">
        <v>156.91</v>
      </c>
      <c r="D83" s="64">
        <v>190.58</v>
      </c>
      <c r="E83" s="64">
        <v>9.8699999999999992</v>
      </c>
      <c r="F83" s="64">
        <v>8.5299999999999994</v>
      </c>
      <c r="G83" s="64">
        <v>77.97</v>
      </c>
      <c r="H83" s="64">
        <v>22.85</v>
      </c>
      <c r="I83" s="64">
        <v>3.92</v>
      </c>
      <c r="J83" s="64">
        <v>0.3</v>
      </c>
      <c r="K83" s="64">
        <v>290.29000000000002</v>
      </c>
      <c r="L83" s="64">
        <v>23.96</v>
      </c>
      <c r="M83" s="64">
        <v>35</v>
      </c>
      <c r="N83" s="64">
        <v>65</v>
      </c>
      <c r="O83" s="64">
        <v>0</v>
      </c>
      <c r="P83" s="64">
        <v>1.8</v>
      </c>
      <c r="Q83" s="64">
        <v>9.51</v>
      </c>
      <c r="R83" s="198"/>
      <c r="S83" s="198"/>
      <c r="T83" s="198"/>
      <c r="U83" s="198"/>
    </row>
    <row r="84" spans="1:26" s="12" customFormat="1" x14ac:dyDescent="0.25">
      <c r="A84" s="213" t="s">
        <v>2911</v>
      </c>
      <c r="B84" s="64">
        <v>136.38999999999999</v>
      </c>
      <c r="C84" s="64">
        <v>150.18</v>
      </c>
      <c r="D84" s="64">
        <v>186.46</v>
      </c>
      <c r="E84" s="64">
        <v>8.92</v>
      </c>
      <c r="F84" s="64">
        <v>8.52</v>
      </c>
      <c r="G84" s="64">
        <v>77.97</v>
      </c>
      <c r="H84" s="64">
        <v>22.85</v>
      </c>
      <c r="I84" s="64">
        <v>4</v>
      </c>
      <c r="J84" s="64">
        <v>0.34</v>
      </c>
      <c r="K84" s="64">
        <v>309.74</v>
      </c>
      <c r="L84" s="64">
        <v>23.39</v>
      </c>
      <c r="M84" s="64">
        <v>40.18</v>
      </c>
      <c r="N84" s="64">
        <v>64.8</v>
      </c>
      <c r="O84" s="64">
        <v>0</v>
      </c>
      <c r="P84" s="64">
        <v>2.29</v>
      </c>
      <c r="Q84" s="64">
        <v>9.4600000000000009</v>
      </c>
      <c r="R84" s="198"/>
      <c r="S84" s="198"/>
      <c r="T84" s="198"/>
      <c r="U84" s="198"/>
    </row>
    <row r="85" spans="1:26" s="12" customFormat="1" x14ac:dyDescent="0.25">
      <c r="A85" s="213" t="s">
        <v>2912</v>
      </c>
      <c r="B85" s="64">
        <v>156.83000000000001</v>
      </c>
      <c r="C85" s="64">
        <v>158.51</v>
      </c>
      <c r="D85" s="64">
        <v>207.21</v>
      </c>
      <c r="E85" s="64">
        <v>9.23</v>
      </c>
      <c r="F85" s="64">
        <v>8.15</v>
      </c>
      <c r="G85" s="64">
        <v>108.8</v>
      </c>
      <c r="H85" s="64">
        <v>24.3</v>
      </c>
      <c r="I85" s="64">
        <v>4.0599999999999996</v>
      </c>
      <c r="J85" s="64">
        <v>0.54</v>
      </c>
      <c r="K85" s="64">
        <v>15.69</v>
      </c>
      <c r="L85" s="64">
        <v>22.89</v>
      </c>
      <c r="M85" s="64">
        <v>41.12</v>
      </c>
      <c r="N85" s="64">
        <v>65.099999999999994</v>
      </c>
      <c r="O85" s="64">
        <v>0</v>
      </c>
      <c r="P85" s="64">
        <v>2.33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13" t="s">
        <v>2913</v>
      </c>
      <c r="B86" s="64">
        <v>282.45</v>
      </c>
      <c r="C86" s="64">
        <v>183.27</v>
      </c>
      <c r="D86" s="64">
        <v>320.88</v>
      </c>
      <c r="E86" s="64">
        <v>10.220000000000001</v>
      </c>
      <c r="F86" s="64">
        <v>8.57</v>
      </c>
      <c r="G86" s="64">
        <v>162.06</v>
      </c>
      <c r="H86" s="64">
        <v>26.8</v>
      </c>
      <c r="I86" s="64">
        <v>4</v>
      </c>
      <c r="J86" s="64">
        <v>0.34</v>
      </c>
      <c r="K86" s="64">
        <v>1.37</v>
      </c>
      <c r="L86" s="64">
        <v>22.5</v>
      </c>
      <c r="M86" s="64">
        <v>40.630000000000003</v>
      </c>
      <c r="N86" s="64">
        <v>65.099999999999994</v>
      </c>
      <c r="O86" s="64">
        <v>0</v>
      </c>
      <c r="P86" s="64">
        <v>2.2400000000000002</v>
      </c>
      <c r="Q86" s="64">
        <v>9.51</v>
      </c>
      <c r="R86" s="198"/>
      <c r="S86" s="198"/>
      <c r="T86" s="198"/>
      <c r="U86" s="198"/>
    </row>
    <row r="87" spans="1:26" s="12" customFormat="1" x14ac:dyDescent="0.25">
      <c r="A87" s="213" t="s">
        <v>2914</v>
      </c>
      <c r="B87" s="64">
        <v>266.31</v>
      </c>
      <c r="C87" s="64">
        <v>177</v>
      </c>
      <c r="D87" s="64">
        <v>304.66000000000003</v>
      </c>
      <c r="E87" s="64">
        <v>10.5</v>
      </c>
      <c r="F87" s="64">
        <v>8.99</v>
      </c>
      <c r="G87" s="64">
        <v>162.06</v>
      </c>
      <c r="H87" s="64">
        <v>26.8</v>
      </c>
      <c r="I87" s="64">
        <v>4.09</v>
      </c>
      <c r="J87" s="64">
        <v>0.53</v>
      </c>
      <c r="K87" s="64">
        <v>55.39</v>
      </c>
      <c r="L87" s="64">
        <v>22.17</v>
      </c>
      <c r="M87" s="64">
        <v>40.590000000000003</v>
      </c>
      <c r="N87" s="64">
        <v>64.900000000000006</v>
      </c>
      <c r="O87" s="64">
        <v>0</v>
      </c>
      <c r="P87" s="64">
        <v>2.0299999999999998</v>
      </c>
      <c r="Q87" s="64">
        <v>9.49</v>
      </c>
      <c r="R87" s="198"/>
      <c r="S87" s="198"/>
      <c r="T87" s="198"/>
      <c r="U87" s="198"/>
    </row>
    <row r="88" spans="1:26" s="12" customFormat="1" x14ac:dyDescent="0.25">
      <c r="A88" s="213" t="s">
        <v>2915</v>
      </c>
      <c r="B88" s="64">
        <v>210.06</v>
      </c>
      <c r="C88" s="64">
        <v>165.78</v>
      </c>
      <c r="D88" s="64">
        <v>253.69</v>
      </c>
      <c r="E88" s="64">
        <v>9.8699999999999992</v>
      </c>
      <c r="F88" s="64">
        <v>8.49</v>
      </c>
      <c r="G88" s="64">
        <v>162.06</v>
      </c>
      <c r="H88" s="64">
        <v>26.8</v>
      </c>
      <c r="I88" s="64">
        <v>4.01</v>
      </c>
      <c r="J88" s="64">
        <v>0.48</v>
      </c>
      <c r="K88" s="64">
        <v>297.52</v>
      </c>
      <c r="L88" s="64">
        <v>21.94</v>
      </c>
      <c r="M88" s="64">
        <v>43.78</v>
      </c>
      <c r="N88" s="64">
        <v>65.2</v>
      </c>
      <c r="O88" s="64">
        <v>0</v>
      </c>
      <c r="P88" s="64">
        <v>2.2799999999999998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13" t="s">
        <v>2916</v>
      </c>
      <c r="B89" s="64">
        <v>178.45</v>
      </c>
      <c r="C89" s="64">
        <v>163</v>
      </c>
      <c r="D89" s="64">
        <v>226.89</v>
      </c>
      <c r="E89" s="64">
        <v>9.5500000000000007</v>
      </c>
      <c r="F89" s="64">
        <v>8.49</v>
      </c>
      <c r="G89" s="64">
        <v>179.6</v>
      </c>
      <c r="H89" s="64">
        <v>33.61</v>
      </c>
      <c r="I89" s="64">
        <v>3.9</v>
      </c>
      <c r="J89" s="64">
        <v>0.56999999999999995</v>
      </c>
      <c r="K89" s="64">
        <v>275.89</v>
      </c>
      <c r="L89" s="64">
        <v>21.82</v>
      </c>
      <c r="M89" s="64">
        <v>44.24</v>
      </c>
      <c r="N89" s="64">
        <v>65.099999999999994</v>
      </c>
      <c r="O89" s="64">
        <v>0</v>
      </c>
      <c r="P89" s="64">
        <v>2.2999999999999998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3" t="s">
        <v>2917</v>
      </c>
      <c r="B90" s="64">
        <v>209.99</v>
      </c>
      <c r="C90" s="64">
        <v>165.43</v>
      </c>
      <c r="D90" s="64">
        <v>253.45</v>
      </c>
      <c r="E90" s="64">
        <v>10.31</v>
      </c>
      <c r="F90" s="64">
        <v>9.8000000000000007</v>
      </c>
      <c r="G90" s="64">
        <v>209.9</v>
      </c>
      <c r="H90" s="64">
        <v>45.37</v>
      </c>
      <c r="I90" s="64">
        <v>4.09</v>
      </c>
      <c r="J90" s="64">
        <v>0.3</v>
      </c>
      <c r="K90" s="64">
        <v>71.680000000000007</v>
      </c>
      <c r="L90" s="64">
        <v>21.41</v>
      </c>
      <c r="M90" s="64">
        <v>49.86</v>
      </c>
      <c r="N90" s="64">
        <v>65.3</v>
      </c>
      <c r="O90" s="64">
        <v>0</v>
      </c>
      <c r="P90" s="64">
        <v>3.24</v>
      </c>
      <c r="Q90" s="64">
        <v>9.81</v>
      </c>
      <c r="R90" s="198"/>
      <c r="S90" s="198"/>
      <c r="T90" s="198"/>
      <c r="U90" s="198"/>
    </row>
    <row r="91" spans="1:26" s="12" customFormat="1" x14ac:dyDescent="0.25">
      <c r="A91" s="213" t="s">
        <v>2918</v>
      </c>
      <c r="B91" s="64">
        <v>297.01</v>
      </c>
      <c r="C91" s="64">
        <v>192.54</v>
      </c>
      <c r="D91" s="64">
        <v>337.4</v>
      </c>
      <c r="E91" s="64">
        <v>10.96</v>
      </c>
      <c r="F91" s="64">
        <v>10.1</v>
      </c>
      <c r="G91" s="64">
        <v>209.9</v>
      </c>
      <c r="H91" s="64">
        <v>45.37</v>
      </c>
      <c r="I91" s="64">
        <v>4.04</v>
      </c>
      <c r="J91" s="64">
        <v>0.6</v>
      </c>
      <c r="K91" s="64">
        <v>241.26</v>
      </c>
      <c r="L91" s="64">
        <v>21.06</v>
      </c>
      <c r="M91" s="64">
        <v>54.98</v>
      </c>
      <c r="N91" s="64">
        <v>65.099999999999994</v>
      </c>
      <c r="O91" s="64">
        <v>0</v>
      </c>
      <c r="P91" s="64">
        <v>3.26</v>
      </c>
      <c r="Q91" s="64">
        <v>9.8800000000000008</v>
      </c>
      <c r="R91" s="198"/>
      <c r="S91" s="198"/>
      <c r="T91" s="198"/>
      <c r="U91" s="198"/>
    </row>
    <row r="92" spans="1:26" s="12" customFormat="1" x14ac:dyDescent="0.25">
      <c r="A92" s="213" t="s">
        <v>2919</v>
      </c>
      <c r="B92" s="64">
        <v>309.57</v>
      </c>
      <c r="C92" s="64">
        <v>202.44</v>
      </c>
      <c r="D92" s="64">
        <v>352.65</v>
      </c>
      <c r="E92" s="64">
        <v>11.41</v>
      </c>
      <c r="F92" s="64">
        <v>9.65</v>
      </c>
      <c r="G92" s="64">
        <v>209.9</v>
      </c>
      <c r="H92" s="64">
        <v>45.37</v>
      </c>
      <c r="I92" s="64">
        <v>4.01</v>
      </c>
      <c r="J92" s="64">
        <v>0.72</v>
      </c>
      <c r="K92" s="64">
        <v>271.95</v>
      </c>
      <c r="L92" s="64">
        <v>20.89</v>
      </c>
      <c r="M92" s="64">
        <v>62.74</v>
      </c>
      <c r="N92" s="64">
        <v>65</v>
      </c>
      <c r="O92" s="64">
        <v>0</v>
      </c>
      <c r="P92" s="64">
        <v>3.02</v>
      </c>
      <c r="Q92" s="64">
        <v>9.9</v>
      </c>
      <c r="R92" s="198"/>
      <c r="S92" s="198"/>
      <c r="T92" s="198"/>
      <c r="U92" s="198"/>
    </row>
    <row r="93" spans="1:26" s="12" customFormat="1" x14ac:dyDescent="0.25">
      <c r="A93" s="213" t="s">
        <v>2920</v>
      </c>
      <c r="B93" s="64">
        <v>231.23</v>
      </c>
      <c r="C93" s="64">
        <v>190.31</v>
      </c>
      <c r="D93" s="64">
        <v>283.48</v>
      </c>
      <c r="E93" s="64">
        <v>10.75</v>
      </c>
      <c r="F93" s="64">
        <v>9.3800000000000008</v>
      </c>
      <c r="G93" s="64">
        <v>221.47</v>
      </c>
      <c r="H93" s="64">
        <v>35.51</v>
      </c>
      <c r="I93" s="64">
        <v>4.13</v>
      </c>
      <c r="J93" s="64">
        <v>0.56999999999999995</v>
      </c>
      <c r="K93" s="64">
        <v>274.77</v>
      </c>
      <c r="L93" s="64">
        <v>20.83</v>
      </c>
      <c r="M93" s="64">
        <v>60.05</v>
      </c>
      <c r="N93" s="64">
        <v>65.099999999999994</v>
      </c>
      <c r="O93" s="64">
        <v>0</v>
      </c>
      <c r="P93" s="64">
        <v>3.03</v>
      </c>
      <c r="Q93" s="64">
        <v>9.9700000000000006</v>
      </c>
      <c r="R93" s="198"/>
      <c r="S93" s="198"/>
      <c r="T93" s="198"/>
      <c r="U93" s="198"/>
    </row>
    <row r="94" spans="1:26" s="12" customFormat="1" x14ac:dyDescent="0.25">
      <c r="A94" s="213" t="s">
        <v>2921</v>
      </c>
      <c r="B94" s="64">
        <v>229.09</v>
      </c>
      <c r="C94" s="64">
        <v>181.09</v>
      </c>
      <c r="D94" s="64">
        <v>276.95</v>
      </c>
      <c r="E94" s="64">
        <v>11.35</v>
      </c>
      <c r="F94" s="64">
        <v>9.68</v>
      </c>
      <c r="G94" s="64">
        <v>241.45</v>
      </c>
      <c r="H94" s="64">
        <v>19.28</v>
      </c>
      <c r="I94" s="64">
        <v>4.04</v>
      </c>
      <c r="J94" s="64">
        <v>0.28999999999999998</v>
      </c>
      <c r="K94" s="64">
        <v>304.04000000000002</v>
      </c>
      <c r="L94" s="64">
        <v>21.13</v>
      </c>
      <c r="M94" s="64">
        <v>57.53</v>
      </c>
      <c r="N94" s="64">
        <v>64.2</v>
      </c>
      <c r="O94" s="64">
        <v>0</v>
      </c>
      <c r="P94" s="64">
        <v>3.4</v>
      </c>
      <c r="Q94" s="64">
        <v>10</v>
      </c>
      <c r="R94" s="198"/>
      <c r="S94" s="198"/>
      <c r="T94" s="198"/>
      <c r="U94" s="198"/>
    </row>
    <row r="95" spans="1:26" s="12" customFormat="1" x14ac:dyDescent="0.25">
      <c r="A95" s="213" t="s">
        <v>2922</v>
      </c>
      <c r="B95" s="64">
        <v>209.06</v>
      </c>
      <c r="C95" s="64">
        <v>157.91999999999999</v>
      </c>
      <c r="D95" s="64">
        <v>248.78</v>
      </c>
      <c r="E95" s="64">
        <v>11.03</v>
      </c>
      <c r="F95" s="64">
        <v>10.119999999999999</v>
      </c>
      <c r="G95" s="64">
        <v>241.45</v>
      </c>
      <c r="H95" s="64">
        <v>19.28</v>
      </c>
      <c r="I95" s="64">
        <v>4.07</v>
      </c>
      <c r="J95" s="64">
        <v>0.68</v>
      </c>
      <c r="K95" s="64">
        <v>309.8</v>
      </c>
      <c r="L95" s="64">
        <v>20.63</v>
      </c>
      <c r="M95" s="64">
        <v>66.3</v>
      </c>
      <c r="N95" s="64">
        <v>65.099999999999994</v>
      </c>
      <c r="O95" s="64">
        <v>0</v>
      </c>
      <c r="P95" s="64">
        <v>3.6</v>
      </c>
      <c r="Q95" s="64">
        <v>10.029999999999999</v>
      </c>
      <c r="R95" s="198"/>
      <c r="S95" s="198"/>
      <c r="T95" s="198"/>
      <c r="U95" s="198"/>
    </row>
    <row r="96" spans="1:26" s="12" customFormat="1" x14ac:dyDescent="0.25">
      <c r="A96" s="213" t="s">
        <v>2923</v>
      </c>
      <c r="B96" s="64">
        <v>193.51</v>
      </c>
      <c r="C96" s="64">
        <v>158.47</v>
      </c>
      <c r="D96" s="64">
        <v>236.6</v>
      </c>
      <c r="E96" s="64">
        <v>10.5</v>
      </c>
      <c r="F96" s="64">
        <v>9.4499999999999993</v>
      </c>
      <c r="G96" s="64">
        <v>241.45</v>
      </c>
      <c r="H96" s="64">
        <v>19.28</v>
      </c>
      <c r="I96" s="64">
        <v>3.91</v>
      </c>
      <c r="J96" s="64">
        <v>0.56000000000000005</v>
      </c>
      <c r="K96" s="64">
        <v>257</v>
      </c>
      <c r="L96" s="64">
        <v>20.420000000000002</v>
      </c>
      <c r="M96" s="64">
        <v>62.07</v>
      </c>
      <c r="N96" s="64">
        <v>64.7</v>
      </c>
      <c r="O96" s="64">
        <v>0</v>
      </c>
      <c r="P96" s="64">
        <v>3.06</v>
      </c>
      <c r="Q96" s="64">
        <v>10.07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2924</v>
      </c>
      <c r="B97" s="64">
        <v>198.61</v>
      </c>
      <c r="C97" s="64">
        <v>148.66999999999999</v>
      </c>
      <c r="D97" s="64">
        <v>235.57</v>
      </c>
      <c r="E97" s="64">
        <v>10.01</v>
      </c>
      <c r="F97" s="64">
        <v>8.9499999999999993</v>
      </c>
      <c r="G97" s="64">
        <v>237.44</v>
      </c>
      <c r="H97" s="64">
        <v>57.71</v>
      </c>
      <c r="I97" s="64">
        <v>4.03</v>
      </c>
      <c r="J97" s="64">
        <v>0.37</v>
      </c>
      <c r="K97" s="64">
        <v>18.079999999999998</v>
      </c>
      <c r="L97" s="64">
        <v>20.34</v>
      </c>
      <c r="M97" s="64">
        <v>54.67</v>
      </c>
      <c r="N97" s="64">
        <v>65</v>
      </c>
      <c r="O97" s="64">
        <v>0</v>
      </c>
      <c r="P97" s="64">
        <v>3.04</v>
      </c>
      <c r="Q97" s="64">
        <v>10.11</v>
      </c>
      <c r="R97" s="198"/>
      <c r="S97" s="198"/>
      <c r="T97" s="198"/>
      <c r="U97" s="198"/>
    </row>
    <row r="98" spans="1:33" s="12" customFormat="1" x14ac:dyDescent="0.25">
      <c r="A98" s="213" t="s">
        <v>2925</v>
      </c>
      <c r="B98" s="64">
        <v>195.27</v>
      </c>
      <c r="C98" s="64">
        <v>125.66</v>
      </c>
      <c r="D98" s="64">
        <v>220.87</v>
      </c>
      <c r="E98" s="64">
        <v>8.09</v>
      </c>
      <c r="F98" s="64">
        <v>7.69</v>
      </c>
      <c r="G98" s="64">
        <v>230.83</v>
      </c>
      <c r="H98" s="64">
        <v>124.09</v>
      </c>
      <c r="I98" s="64">
        <v>3.95</v>
      </c>
      <c r="J98" s="64">
        <v>0.46</v>
      </c>
      <c r="K98" s="64">
        <v>328.32</v>
      </c>
      <c r="L98" s="64">
        <v>19.98</v>
      </c>
      <c r="M98" s="64">
        <v>55.97</v>
      </c>
      <c r="N98" s="64">
        <v>65.2</v>
      </c>
      <c r="O98" s="64">
        <v>0</v>
      </c>
      <c r="P98" s="64">
        <v>2.58</v>
      </c>
      <c r="Q98" s="64">
        <v>10.14</v>
      </c>
      <c r="R98" s="198"/>
      <c r="S98" s="198"/>
      <c r="T98" s="198"/>
      <c r="U98" s="198"/>
    </row>
    <row r="99" spans="1:33" s="12" customFormat="1" x14ac:dyDescent="0.25">
      <c r="A99" s="213" t="s">
        <v>2926</v>
      </c>
      <c r="B99" s="64">
        <v>197.93</v>
      </c>
      <c r="C99" s="64">
        <v>131.18</v>
      </c>
      <c r="D99" s="64">
        <v>225.89</v>
      </c>
      <c r="E99" s="64">
        <v>8.41</v>
      </c>
      <c r="F99" s="64">
        <v>8.16</v>
      </c>
      <c r="G99" s="64">
        <v>230.83</v>
      </c>
      <c r="H99" s="64">
        <v>124.09</v>
      </c>
      <c r="I99" s="64">
        <v>4.1399999999999997</v>
      </c>
      <c r="J99" s="64">
        <v>0.28000000000000003</v>
      </c>
      <c r="K99" s="64">
        <v>336.37</v>
      </c>
      <c r="L99" s="64">
        <v>19.46</v>
      </c>
      <c r="M99" s="64">
        <v>60.16</v>
      </c>
      <c r="N99" s="64">
        <v>65.400000000000006</v>
      </c>
      <c r="O99" s="64">
        <v>0</v>
      </c>
      <c r="P99" s="64">
        <v>2.94</v>
      </c>
      <c r="Q99" s="64">
        <v>10.15</v>
      </c>
      <c r="R99" s="198"/>
      <c r="S99" s="198"/>
      <c r="T99" s="198"/>
      <c r="U99" s="198"/>
    </row>
    <row r="100" spans="1:33" s="12" customFormat="1" x14ac:dyDescent="0.25">
      <c r="A100" s="213" t="s">
        <v>2927</v>
      </c>
      <c r="B100" s="64">
        <v>169.41</v>
      </c>
      <c r="C100" s="64">
        <v>121.38</v>
      </c>
      <c r="D100" s="64">
        <v>197.9</v>
      </c>
      <c r="E100" s="64">
        <v>8.14</v>
      </c>
      <c r="F100" s="64">
        <v>8.0399999999999991</v>
      </c>
      <c r="G100" s="64">
        <v>230.83</v>
      </c>
      <c r="H100" s="64">
        <v>124.09</v>
      </c>
      <c r="I100" s="64">
        <v>3.94</v>
      </c>
      <c r="J100" s="64">
        <v>0.55000000000000004</v>
      </c>
      <c r="K100" s="64">
        <v>258.37</v>
      </c>
      <c r="L100" s="64">
        <v>19.690000000000001</v>
      </c>
      <c r="M100" s="64">
        <v>53.72</v>
      </c>
      <c r="N100" s="64">
        <v>65.099999999999994</v>
      </c>
      <c r="O100" s="64">
        <v>0</v>
      </c>
      <c r="P100" s="64">
        <v>2.52</v>
      </c>
      <c r="Q100" s="64">
        <v>10.16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2928</v>
      </c>
      <c r="B101" s="64">
        <v>184.97</v>
      </c>
      <c r="C101" s="64">
        <v>118.26</v>
      </c>
      <c r="D101" s="64">
        <v>208.74</v>
      </c>
      <c r="E101" s="64">
        <v>7.81</v>
      </c>
      <c r="F101" s="64">
        <v>8.51</v>
      </c>
      <c r="G101" s="64">
        <v>223.45</v>
      </c>
      <c r="H101" s="64">
        <v>93.52</v>
      </c>
      <c r="I101" s="64">
        <v>4.01</v>
      </c>
      <c r="J101" s="64">
        <v>0.56999999999999995</v>
      </c>
      <c r="K101" s="64">
        <v>331.47</v>
      </c>
      <c r="L101" s="64">
        <v>19.510000000000002</v>
      </c>
      <c r="M101" s="64">
        <v>58.07</v>
      </c>
      <c r="N101" s="64">
        <v>65.3</v>
      </c>
      <c r="O101" s="64">
        <v>0</v>
      </c>
      <c r="P101" s="64">
        <v>2.56</v>
      </c>
      <c r="Q101" s="64">
        <v>10.17</v>
      </c>
      <c r="R101" s="198"/>
      <c r="S101" s="198"/>
      <c r="T101" s="198"/>
      <c r="U101" s="198"/>
    </row>
    <row r="102" spans="1:33" s="12" customFormat="1" x14ac:dyDescent="0.25">
      <c r="A102" s="213" t="s">
        <v>2929</v>
      </c>
      <c r="B102" s="64">
        <v>153.47999999999999</v>
      </c>
      <c r="C102" s="64">
        <v>110.48</v>
      </c>
      <c r="D102" s="64">
        <v>179.42</v>
      </c>
      <c r="E102" s="64">
        <v>6.87</v>
      </c>
      <c r="F102" s="64">
        <v>7.87</v>
      </c>
      <c r="G102" s="64">
        <v>211.29</v>
      </c>
      <c r="H102" s="64">
        <v>40.700000000000003</v>
      </c>
      <c r="I102" s="64">
        <v>4.0199999999999996</v>
      </c>
      <c r="J102" s="64">
        <v>0.44</v>
      </c>
      <c r="K102" s="64">
        <v>226.87</v>
      </c>
      <c r="L102" s="64">
        <v>19.37</v>
      </c>
      <c r="M102" s="64">
        <v>55.5</v>
      </c>
      <c r="N102" s="64">
        <v>64.900000000000006</v>
      </c>
      <c r="O102" s="64">
        <v>0</v>
      </c>
      <c r="P102" s="64">
        <v>2.39</v>
      </c>
      <c r="Q102" s="64">
        <v>10.210000000000001</v>
      </c>
      <c r="R102" s="198"/>
      <c r="S102" s="198"/>
      <c r="T102" s="198"/>
      <c r="U102" s="198"/>
    </row>
    <row r="103" spans="1:33" s="12" customFormat="1" x14ac:dyDescent="0.25">
      <c r="A103" s="213" t="s">
        <v>2930</v>
      </c>
      <c r="B103" s="64">
        <v>155.4</v>
      </c>
      <c r="C103" s="64">
        <v>112.02</v>
      </c>
      <c r="D103" s="64">
        <v>181.77</v>
      </c>
      <c r="E103" s="64">
        <v>6.92</v>
      </c>
      <c r="F103" s="64">
        <v>7.71</v>
      </c>
      <c r="G103" s="64">
        <v>211.29</v>
      </c>
      <c r="H103" s="64">
        <v>40.700000000000003</v>
      </c>
      <c r="I103" s="64">
        <v>4.0999999999999996</v>
      </c>
      <c r="J103" s="64">
        <v>0.54</v>
      </c>
      <c r="K103" s="64">
        <v>336.35</v>
      </c>
      <c r="L103" s="64">
        <v>19.23</v>
      </c>
      <c r="M103" s="64">
        <v>58.52</v>
      </c>
      <c r="N103" s="64">
        <v>65.400000000000006</v>
      </c>
      <c r="O103" s="64">
        <v>0</v>
      </c>
      <c r="P103" s="64">
        <v>2.3199999999999998</v>
      </c>
      <c r="Q103" s="64">
        <v>10.26</v>
      </c>
      <c r="R103" s="198"/>
      <c r="S103" s="198"/>
      <c r="T103" s="198"/>
      <c r="U103" s="198"/>
    </row>
    <row r="104" spans="1:33" s="12" customFormat="1" x14ac:dyDescent="0.25">
      <c r="A104" s="213" t="s">
        <v>2931</v>
      </c>
      <c r="B104" s="64">
        <v>159.21</v>
      </c>
      <c r="C104" s="64">
        <v>107.98</v>
      </c>
      <c r="D104" s="64">
        <v>182.72</v>
      </c>
      <c r="E104" s="64">
        <v>6.93</v>
      </c>
      <c r="F104" s="64">
        <v>7.75</v>
      </c>
      <c r="G104" s="64">
        <v>211.29</v>
      </c>
      <c r="H104" s="64">
        <v>40.700000000000003</v>
      </c>
      <c r="I104" s="64">
        <v>4.0199999999999996</v>
      </c>
      <c r="J104" s="64">
        <v>0.15</v>
      </c>
      <c r="K104" s="64">
        <v>289.39999999999998</v>
      </c>
      <c r="L104" s="64">
        <v>18.68</v>
      </c>
      <c r="M104" s="64">
        <v>59.27</v>
      </c>
      <c r="N104" s="64">
        <v>65.3</v>
      </c>
      <c r="O104" s="64">
        <v>0</v>
      </c>
      <c r="P104" s="64">
        <v>2.37</v>
      </c>
      <c r="Q104" s="64">
        <v>10.23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3.63</v>
      </c>
      <c r="C106" s="67">
        <f>MIN(C9:C104)</f>
        <v>47.67</v>
      </c>
      <c r="D106" s="67">
        <f t="shared" ref="D106:Q106" si="0">MIN(D9:D104)</f>
        <v>26.67</v>
      </c>
      <c r="E106" s="67">
        <f t="shared" si="0"/>
        <v>6.03</v>
      </c>
      <c r="F106" s="67">
        <f t="shared" si="0"/>
        <v>6.41</v>
      </c>
      <c r="G106" s="67">
        <f t="shared" si="0"/>
        <v>32.590000000000003</v>
      </c>
      <c r="H106" s="67">
        <f t="shared" si="0"/>
        <v>4.12</v>
      </c>
      <c r="I106" s="67">
        <f t="shared" si="0"/>
        <v>3.77</v>
      </c>
      <c r="J106" s="67">
        <f t="shared" si="0"/>
        <v>7.0000000000000007E-2</v>
      </c>
      <c r="K106" s="67">
        <f t="shared" si="0"/>
        <v>1.37</v>
      </c>
      <c r="L106" s="67">
        <f t="shared" si="0"/>
        <v>14.51</v>
      </c>
      <c r="M106" s="67">
        <f t="shared" si="0"/>
        <v>16.5</v>
      </c>
      <c r="N106" s="67">
        <f t="shared" si="0"/>
        <v>64.2</v>
      </c>
      <c r="O106" s="67">
        <f t="shared" si="0"/>
        <v>0</v>
      </c>
      <c r="P106" s="67">
        <f t="shared" si="0"/>
        <v>0.31</v>
      </c>
      <c r="Q106" s="67">
        <f t="shared" si="0"/>
        <v>9.35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309.57</v>
      </c>
      <c r="C107" s="66">
        <f t="shared" ref="C107:Q107" si="1">MAX(C9:C104)</f>
        <v>202.44</v>
      </c>
      <c r="D107" s="66">
        <f t="shared" si="1"/>
        <v>352.65</v>
      </c>
      <c r="E107" s="66">
        <f t="shared" si="1"/>
        <v>24.25</v>
      </c>
      <c r="F107" s="66">
        <f t="shared" si="1"/>
        <v>56.25</v>
      </c>
      <c r="G107" s="66">
        <f t="shared" si="1"/>
        <v>241.45</v>
      </c>
      <c r="H107" s="66">
        <f t="shared" si="1"/>
        <v>124.09</v>
      </c>
      <c r="I107" s="66">
        <f t="shared" si="1"/>
        <v>4.24</v>
      </c>
      <c r="J107" s="66">
        <f t="shared" si="1"/>
        <v>2.27</v>
      </c>
      <c r="K107" s="66">
        <f t="shared" si="1"/>
        <v>358.87</v>
      </c>
      <c r="L107" s="66">
        <f t="shared" si="1"/>
        <v>32.96</v>
      </c>
      <c r="M107" s="66">
        <f t="shared" si="1"/>
        <v>82.69</v>
      </c>
      <c r="N107" s="66">
        <f t="shared" si="1"/>
        <v>860.8</v>
      </c>
      <c r="O107" s="66">
        <f t="shared" si="1"/>
        <v>0</v>
      </c>
      <c r="P107" s="66">
        <f t="shared" si="1"/>
        <v>3.6</v>
      </c>
      <c r="Q107" s="66">
        <f t="shared" si="1"/>
        <v>10.31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108.69802083333332</v>
      </c>
      <c r="C108" s="67">
        <f t="shared" ref="C108:Q108" si="2">AVERAGE(C9:C104)</f>
        <v>92.591145833333329</v>
      </c>
      <c r="D108" s="67">
        <f t="shared" si="2"/>
        <v>134.16697916666669</v>
      </c>
      <c r="E108" s="67">
        <f t="shared" si="2"/>
        <v>9.321041666666666</v>
      </c>
      <c r="F108" s="67">
        <f t="shared" si="2"/>
        <v>16.26552083333333</v>
      </c>
      <c r="G108" s="67">
        <f t="shared" si="2"/>
        <v>116.82104166666677</v>
      </c>
      <c r="H108" s="67">
        <f t="shared" si="2"/>
        <v>35.346749999999993</v>
      </c>
      <c r="I108" s="67">
        <f t="shared" si="2"/>
        <v>4.0016666666666652</v>
      </c>
      <c r="J108" s="67">
        <f t="shared" si="2"/>
        <v>0.67406250000000012</v>
      </c>
      <c r="K108" s="67">
        <f t="shared" si="2"/>
        <v>220.39489583333329</v>
      </c>
      <c r="L108" s="67">
        <f t="shared" si="2"/>
        <v>22.552395833333335</v>
      </c>
      <c r="M108" s="67">
        <f t="shared" si="2"/>
        <v>46.50437500000001</v>
      </c>
      <c r="N108" s="67">
        <f t="shared" si="2"/>
        <v>266.19791666666669</v>
      </c>
      <c r="O108" s="67">
        <f t="shared" si="2"/>
        <v>0</v>
      </c>
      <c r="P108" s="67">
        <f t="shared" si="2"/>
        <v>1.489270833333334</v>
      </c>
      <c r="Q108" s="67">
        <f t="shared" si="2"/>
        <v>9.8469791666666655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81.059677361413236</v>
      </c>
      <c r="C109" s="67">
        <f t="shared" ref="C109:Q109" si="3">STDEV(C9:C104)</f>
        <v>39.752390748886953</v>
      </c>
      <c r="D109" s="67">
        <f t="shared" si="3"/>
        <v>79.567205769314256</v>
      </c>
      <c r="E109" s="67">
        <f t="shared" si="3"/>
        <v>3.8874918119166884</v>
      </c>
      <c r="F109" s="67">
        <f t="shared" si="3"/>
        <v>14.494632753997109</v>
      </c>
      <c r="G109" s="67">
        <f t="shared" si="3"/>
        <v>61.526162145685319</v>
      </c>
      <c r="H109" s="67">
        <f t="shared" si="3"/>
        <v>23.627595793365934</v>
      </c>
      <c r="I109" s="67">
        <f t="shared" si="3"/>
        <v>9.541782539708589E-2</v>
      </c>
      <c r="J109" s="67">
        <f t="shared" si="3"/>
        <v>0.37683328192772625</v>
      </c>
      <c r="K109" s="67">
        <f t="shared" si="3"/>
        <v>98.711864844311748</v>
      </c>
      <c r="L109" s="67">
        <f t="shared" si="3"/>
        <v>5.859049634592111</v>
      </c>
      <c r="M109" s="67">
        <f t="shared" si="3"/>
        <v>21.525149834431765</v>
      </c>
      <c r="N109" s="67">
        <f t="shared" si="3"/>
        <v>286.49904049776563</v>
      </c>
      <c r="O109" s="67">
        <f t="shared" si="3"/>
        <v>0</v>
      </c>
      <c r="P109" s="67">
        <f t="shared" si="3"/>
        <v>0.81615303620630497</v>
      </c>
      <c r="Q109" s="67">
        <f t="shared" si="3"/>
        <v>0.31381898836134875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217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zoomScale="85" zoomScaleNormal="85" workbookViewId="0">
      <pane xSplit="1" ySplit="8" topLeftCell="B27" activePane="bottomRight" state="frozen"/>
      <selection activeCell="B2" sqref="B2"/>
      <selection pane="topRight" activeCell="B2" sqref="B2"/>
      <selection pane="bottomLeft" activeCell="B2" sqref="B2"/>
      <selection pane="bottomRight" activeCell="G51" sqref="G51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01/02/2025 00:15</v>
      </c>
      <c r="B9" s="61">
        <f>'01'!B108</f>
        <v>44.472499999999989</v>
      </c>
      <c r="C9" s="61">
        <f>'01'!C108</f>
        <v>54.015000000000015</v>
      </c>
      <c r="D9" s="61">
        <f>'01'!D108</f>
        <v>62.508333333333326</v>
      </c>
      <c r="E9" s="61">
        <f>'01'!E108</f>
        <v>6.3905208333333361</v>
      </c>
      <c r="F9" s="61">
        <f>'01'!F108</f>
        <v>2.1299999999999972</v>
      </c>
      <c r="G9" s="99">
        <f>'01'!$G$108</f>
        <v>83.636354166666706</v>
      </c>
      <c r="H9" s="61">
        <f>'01'!H108</f>
        <v>27.384791666666676</v>
      </c>
      <c r="I9" s="210" t="s">
        <v>43</v>
      </c>
      <c r="J9" s="61">
        <f>'01'!J108</f>
        <v>0.65947916666666662</v>
      </c>
      <c r="K9" s="61">
        <f>'01'!K108</f>
        <v>235.02427083333336</v>
      </c>
      <c r="L9" s="61">
        <f>'01'!L108</f>
        <v>21.609166666666663</v>
      </c>
      <c r="M9" s="61">
        <f>'01'!M108</f>
        <v>68.571458333333368</v>
      </c>
      <c r="N9" s="61">
        <f>'01'!N108</f>
        <v>201.7760416666666</v>
      </c>
      <c r="O9" s="61">
        <f>'01'!O108</f>
        <v>0</v>
      </c>
      <c r="P9" s="202">
        <f>'01'!P108</f>
        <v>1.0469791666666666</v>
      </c>
      <c r="Q9" s="61">
        <f>'01'!Q108</f>
        <v>9.6017708333333349</v>
      </c>
      <c r="R9" s="118"/>
      <c r="S9" s="118"/>
      <c r="T9" s="118"/>
      <c r="U9" s="118"/>
    </row>
    <row r="10" spans="1:21" x14ac:dyDescent="0.25">
      <c r="A10" s="94" t="str">
        <f>'02'!$B$2</f>
        <v>02/02/2025 00:15</v>
      </c>
      <c r="B10" s="61">
        <f>'02'!B108</f>
        <v>42.412708333333349</v>
      </c>
      <c r="C10" s="61">
        <f>'02'!C108</f>
        <v>56.769687499999975</v>
      </c>
      <c r="D10" s="61">
        <f>'02'!D108</f>
        <v>62.295312499999994</v>
      </c>
      <c r="E10" s="61">
        <f>'02'!E108</f>
        <v>6.1724999999999994</v>
      </c>
      <c r="F10" s="61">
        <f>'02'!F108</f>
        <v>2.1341666666666641</v>
      </c>
      <c r="G10" s="61">
        <f>'02'!G108</f>
        <v>80.960104166666682</v>
      </c>
      <c r="H10" s="61">
        <f>'02'!H108</f>
        <v>31.241182795698943</v>
      </c>
      <c r="I10" s="210" t="s">
        <v>43</v>
      </c>
      <c r="J10" s="61">
        <f>'02'!J108</f>
        <v>0.63895833333333341</v>
      </c>
      <c r="K10" s="61">
        <f>'02'!K108</f>
        <v>266.27843750000005</v>
      </c>
      <c r="L10" s="61">
        <f>'02'!L108</f>
        <v>22.174166666666668</v>
      </c>
      <c r="M10" s="61">
        <f>'02'!M108</f>
        <v>60.964166666666664</v>
      </c>
      <c r="N10" s="61">
        <f>'02'!N108</f>
        <v>204.16458333333324</v>
      </c>
      <c r="O10" s="61">
        <f>'02'!O108</f>
        <v>0</v>
      </c>
      <c r="P10" s="202">
        <f>'02'!P108</f>
        <v>1.0216666666666665</v>
      </c>
      <c r="Q10" s="61">
        <f>'02'!Q108</f>
        <v>9.6358333333333341</v>
      </c>
      <c r="R10" s="118"/>
      <c r="S10" s="118"/>
      <c r="T10" s="118"/>
      <c r="U10" s="118"/>
    </row>
    <row r="11" spans="1:21" x14ac:dyDescent="0.25">
      <c r="A11" s="94" t="str">
        <f>'03'!$B$2</f>
        <v>03/02/2025 00:15</v>
      </c>
      <c r="B11" s="61">
        <f>'03'!B108</f>
        <v>40.322395833333346</v>
      </c>
      <c r="C11" s="61">
        <f>'03'!C108</f>
        <v>59.20750000000001</v>
      </c>
      <c r="D11" s="61">
        <f>'03'!D108</f>
        <v>61.892812499999984</v>
      </c>
      <c r="E11" s="61">
        <f>'03'!E108</f>
        <v>6.6751041666666673</v>
      </c>
      <c r="F11" s="61">
        <f>'03'!F108</f>
        <v>2.1436458333333306</v>
      </c>
      <c r="G11" s="61">
        <f>'03'!G108</f>
        <v>102.31239583333333</v>
      </c>
      <c r="H11" s="61">
        <f>'03'!H108</f>
        <v>36.736145833333339</v>
      </c>
      <c r="I11" s="210" t="s">
        <v>43</v>
      </c>
      <c r="J11" s="61">
        <f>'03'!J108</f>
        <v>0.683958333333333</v>
      </c>
      <c r="K11" s="61">
        <f>'03'!K108</f>
        <v>256.76479166666661</v>
      </c>
      <c r="L11" s="61">
        <f>'03'!L108</f>
        <v>22.665208333333329</v>
      </c>
      <c r="M11" s="61">
        <f>'03'!M108</f>
        <v>60.807916666666642</v>
      </c>
      <c r="N11" s="61">
        <f>'03'!N108</f>
        <v>197.18229166666671</v>
      </c>
      <c r="O11" s="61">
        <f>'03'!O108</f>
        <v>0</v>
      </c>
      <c r="P11" s="202">
        <f>'03'!P108</f>
        <v>1.141770833333333</v>
      </c>
      <c r="Q11" s="61">
        <f>'03'!Q108</f>
        <v>9.6610416666666623</v>
      </c>
      <c r="R11" s="118"/>
      <c r="S11" s="118"/>
      <c r="T11" s="118"/>
      <c r="U11" s="118"/>
    </row>
    <row r="12" spans="1:21" x14ac:dyDescent="0.25">
      <c r="A12" s="94" t="str">
        <f>'04'!$B$2</f>
        <v>04/02/2025 00:15</v>
      </c>
      <c r="B12" s="61">
        <f>'04'!B108</f>
        <v>66.656666666666695</v>
      </c>
      <c r="C12" s="61">
        <f>'04'!C108</f>
        <v>57.730000000000018</v>
      </c>
      <c r="D12" s="61">
        <f>'04'!D108</f>
        <v>82.238541666666706</v>
      </c>
      <c r="E12" s="61">
        <f>'04'!E108</f>
        <v>7.264895833333334</v>
      </c>
      <c r="F12" s="61">
        <f>'04'!F108</f>
        <v>2.1722916666666645</v>
      </c>
      <c r="G12" s="61">
        <f>'04'!G108</f>
        <v>117.97427083333334</v>
      </c>
      <c r="H12" s="61">
        <f>'04'!H108</f>
        <v>39.624791666666674</v>
      </c>
      <c r="I12" s="210" t="s">
        <v>43</v>
      </c>
      <c r="J12" s="61">
        <f>'04'!J108</f>
        <v>0.63281250000000011</v>
      </c>
      <c r="K12" s="61">
        <f>'04'!K108</f>
        <v>204.84989583333342</v>
      </c>
      <c r="L12" s="61">
        <f>'04'!L108</f>
        <v>23.071874999999995</v>
      </c>
      <c r="M12" s="61">
        <f>'04'!M108</f>
        <v>58.236041666666686</v>
      </c>
      <c r="N12" s="61">
        <f>'04'!N108</f>
        <v>200.41666666666652</v>
      </c>
      <c r="O12" s="61">
        <f>'04'!O108</f>
        <v>0</v>
      </c>
      <c r="P12" s="202">
        <f>'04'!P108</f>
        <v>1.4230208333333332</v>
      </c>
      <c r="Q12" s="61">
        <f>'04'!Q108</f>
        <v>9.8470833333333285</v>
      </c>
      <c r="R12" s="118"/>
      <c r="S12" s="118"/>
      <c r="T12" s="118"/>
      <c r="U12" s="118"/>
    </row>
    <row r="13" spans="1:21" x14ac:dyDescent="0.25">
      <c r="A13" s="94" t="str">
        <f>'05'!$B$2</f>
        <v>05/02/2025 00:15</v>
      </c>
      <c r="B13" s="61">
        <f>'05'!B108</f>
        <v>63.801290322580599</v>
      </c>
      <c r="C13" s="61">
        <f>'05'!C108</f>
        <v>59.000215053763448</v>
      </c>
      <c r="D13" s="61">
        <f>'05'!D108</f>
        <v>80.612903225806463</v>
      </c>
      <c r="E13" s="61">
        <f>'05'!E108</f>
        <v>8.6946739130434771</v>
      </c>
      <c r="F13" s="61">
        <f>'05'!F108</f>
        <v>4.5995833333333316</v>
      </c>
      <c r="G13" s="61">
        <f>'05'!G108</f>
        <v>104.1564130434783</v>
      </c>
      <c r="H13" s="61">
        <f>'05'!H108</f>
        <v>35.505108695652197</v>
      </c>
      <c r="I13" s="210" t="s">
        <v>43</v>
      </c>
      <c r="J13" s="61">
        <f>'05'!J108</f>
        <v>0.53989583333333324</v>
      </c>
      <c r="K13" s="61">
        <f>'05'!K108</f>
        <v>277.58135416666676</v>
      </c>
      <c r="L13" s="61">
        <f>'05'!L108</f>
        <v>23.433958333333333</v>
      </c>
      <c r="M13" s="61">
        <f>'05'!M108</f>
        <v>52.052500000000009</v>
      </c>
      <c r="N13" s="61">
        <f>'05'!N108</f>
        <v>204.67604166666675</v>
      </c>
      <c r="O13" s="61">
        <f>'05'!O108</f>
        <v>0</v>
      </c>
      <c r="P13" s="202">
        <f>'05'!P108</f>
        <v>1.0978124999999996</v>
      </c>
      <c r="Q13" s="61">
        <f>'05'!Q108</f>
        <v>9.8742708333333358</v>
      </c>
      <c r="R13" s="118"/>
      <c r="S13" s="118"/>
      <c r="T13" s="118"/>
      <c r="U13" s="118"/>
    </row>
    <row r="14" spans="1:21" x14ac:dyDescent="0.25">
      <c r="A14" s="94" t="str">
        <f>'06'!$B$2</f>
        <v>06/02/2025 00:15</v>
      </c>
      <c r="B14" s="61">
        <f>'06'!B108</f>
        <v>13.989687500000002</v>
      </c>
      <c r="C14" s="61">
        <f>'06'!C108</f>
        <v>58.749687499999993</v>
      </c>
      <c r="D14" s="61">
        <f>'06'!D108</f>
        <v>40.536875000000002</v>
      </c>
      <c r="E14" s="61">
        <f>'06'!E108</f>
        <v>5.6291666666666673</v>
      </c>
      <c r="F14" s="61">
        <f>'06'!F108</f>
        <v>2.1305208333333305</v>
      </c>
      <c r="G14" s="61">
        <f>'06'!G108</f>
        <v>73.023333333333383</v>
      </c>
      <c r="H14" s="61">
        <f>'06'!H108</f>
        <v>23.810978260869568</v>
      </c>
      <c r="I14" s="210" t="s">
        <v>43</v>
      </c>
      <c r="J14" s="61">
        <f>'06'!J108</f>
        <v>1.3550000000000004</v>
      </c>
      <c r="K14" s="61">
        <f>'06'!K108</f>
        <v>297.674375</v>
      </c>
      <c r="L14" s="61">
        <f>'06'!L108</f>
        <v>21.526666666666671</v>
      </c>
      <c r="M14" s="61">
        <f>'06'!M108</f>
        <v>50.759479166666658</v>
      </c>
      <c r="N14" s="61">
        <f>'06'!N108</f>
        <v>198.13124999999999</v>
      </c>
      <c r="O14" s="61">
        <f>'06'!O108</f>
        <v>0</v>
      </c>
      <c r="P14" s="202">
        <f>'06'!P108</f>
        <v>0.71947916666666656</v>
      </c>
      <c r="Q14" s="61">
        <f>'06'!Q108</f>
        <v>9.6227083333333301</v>
      </c>
      <c r="R14" s="118"/>
      <c r="S14" s="118"/>
      <c r="T14" s="118"/>
      <c r="U14" s="118"/>
    </row>
    <row r="15" spans="1:21" x14ac:dyDescent="0.25">
      <c r="A15" s="94" t="str">
        <f>'07'!$B$2</f>
        <v>07/02/2025 00:15</v>
      </c>
      <c r="B15" s="61">
        <f>'07'!B108</f>
        <v>33.209374999999994</v>
      </c>
      <c r="C15" s="61">
        <f>'07'!C108</f>
        <v>65.23833333333333</v>
      </c>
      <c r="D15" s="61">
        <f>'07'!D108</f>
        <v>59.339062499999983</v>
      </c>
      <c r="E15" s="61">
        <f>'07'!E108</f>
        <v>10.496979166666666</v>
      </c>
      <c r="F15" s="61">
        <f>'07'!F108</f>
        <v>2.8985416666666652</v>
      </c>
      <c r="G15" s="100">
        <f>'07'!$G$108</f>
        <v>73.462812499999998</v>
      </c>
      <c r="H15" s="61">
        <f>'07'!H108</f>
        <v>28.193125000000006</v>
      </c>
      <c r="I15" s="210" t="s">
        <v>43</v>
      </c>
      <c r="J15" s="61">
        <f>'07'!J108</f>
        <v>0.80354166666666671</v>
      </c>
      <c r="K15" s="61">
        <f>'07'!K108</f>
        <v>214.95656249999999</v>
      </c>
      <c r="L15" s="61">
        <f>'07'!L108</f>
        <v>19.654791666666672</v>
      </c>
      <c r="M15" s="61">
        <f>'07'!M108</f>
        <v>33.959270833333328</v>
      </c>
      <c r="N15" s="61">
        <f>'07'!N108</f>
        <v>202.40937500000004</v>
      </c>
      <c r="O15" s="61">
        <f>'07'!O108</f>
        <v>0</v>
      </c>
      <c r="P15" s="202">
        <f>'07'!P108</f>
        <v>0.97177083333333325</v>
      </c>
      <c r="Q15" s="61">
        <f>'07'!Q108</f>
        <v>10.039791666666666</v>
      </c>
      <c r="R15" s="118"/>
      <c r="S15" s="118"/>
      <c r="T15" s="118"/>
      <c r="U15" s="118"/>
    </row>
    <row r="16" spans="1:21" x14ac:dyDescent="0.25">
      <c r="A16" s="94" t="str">
        <f>'08'!$B$2</f>
        <v>08/02/2025 00:15</v>
      </c>
      <c r="B16" s="61">
        <f>'08'!B108</f>
        <v>54.311250000000001</v>
      </c>
      <c r="C16" s="61">
        <f>'08'!C108</f>
        <v>53.952083333333348</v>
      </c>
      <c r="D16" s="61">
        <f>'08'!D108</f>
        <v>70.365208333333314</v>
      </c>
      <c r="E16" s="61">
        <f>'08'!E108</f>
        <v>6.1733333333333364</v>
      </c>
      <c r="F16" s="61">
        <f>'08'!F108</f>
        <v>2.1299999999999972</v>
      </c>
      <c r="G16" s="100">
        <f>'08'!$G$108</f>
        <v>87.55958333333335</v>
      </c>
      <c r="H16" s="61">
        <f>'08'!H108</f>
        <v>44.162413793103468</v>
      </c>
      <c r="I16" s="210" t="s">
        <v>43</v>
      </c>
      <c r="J16" s="61">
        <f>'08'!J108</f>
        <v>0.85520833333333313</v>
      </c>
      <c r="K16" s="61">
        <f>'08'!K108</f>
        <v>209.14093750000004</v>
      </c>
      <c r="L16" s="61">
        <f>'08'!L108</f>
        <v>19.993854166666658</v>
      </c>
      <c r="M16" s="61">
        <f>'08'!M108</f>
        <v>38.027708333333329</v>
      </c>
      <c r="N16" s="61">
        <f>'08'!N108</f>
        <v>207.44687499999998</v>
      </c>
      <c r="O16" s="61">
        <f>'08'!O108</f>
        <v>0</v>
      </c>
      <c r="P16" s="202">
        <f>'08'!P108</f>
        <v>1.1783333333333335</v>
      </c>
      <c r="Q16" s="61">
        <f>'08'!Q108</f>
        <v>9.9336458333333422</v>
      </c>
      <c r="R16" s="118"/>
      <c r="S16" s="118"/>
      <c r="T16" s="118"/>
      <c r="U16" s="118"/>
    </row>
    <row r="17" spans="1:21" x14ac:dyDescent="0.25">
      <c r="A17" s="94" t="str">
        <f>'09'!$B$2</f>
        <v>09/02/2025 00:15</v>
      </c>
      <c r="B17" s="61">
        <f>'09'!B108</f>
        <v>47.734270833333341</v>
      </c>
      <c r="C17" s="61">
        <f>'09'!C108</f>
        <v>54.980520833333365</v>
      </c>
      <c r="D17" s="61">
        <f>'09'!D108</f>
        <v>65.627291666666679</v>
      </c>
      <c r="E17" s="61">
        <f>'09'!E108</f>
        <v>6.3098958333333321</v>
      </c>
      <c r="F17" s="61">
        <f>'09'!F108</f>
        <v>2.132291666666664</v>
      </c>
      <c r="G17" s="100">
        <f>'09'!$G$108</f>
        <v>80.937604166666659</v>
      </c>
      <c r="H17" s="61">
        <f>'09'!H108</f>
        <v>42.039027777777811</v>
      </c>
      <c r="I17" s="210" t="s">
        <v>43</v>
      </c>
      <c r="J17" s="61">
        <f>'09'!J108</f>
        <v>0.63479166666666675</v>
      </c>
      <c r="K17" s="61">
        <f>'09'!K108</f>
        <v>198.00208333333339</v>
      </c>
      <c r="L17" s="61">
        <f>'09'!L108</f>
        <v>19.661874999999991</v>
      </c>
      <c r="M17" s="61">
        <f>'09'!M108</f>
        <v>33.769895833333329</v>
      </c>
      <c r="N17" s="61">
        <f>'09'!N108</f>
        <v>226.38854166666673</v>
      </c>
      <c r="O17" s="61">
        <f>'09'!O108</f>
        <v>0</v>
      </c>
      <c r="P17" s="202">
        <f>'09'!P108</f>
        <v>0.92250000000000021</v>
      </c>
      <c r="Q17" s="61">
        <f>'09'!Q108</f>
        <v>9.7329166666666698</v>
      </c>
      <c r="R17" s="118"/>
      <c r="S17" s="118"/>
      <c r="T17" s="118"/>
      <c r="U17" s="118"/>
    </row>
    <row r="18" spans="1:21" x14ac:dyDescent="0.25">
      <c r="A18" s="94" t="str">
        <f>'10'!$B$2</f>
        <v>10/02/2025 00:15</v>
      </c>
      <c r="B18" s="61">
        <f>'10'!B108</f>
        <v>93.844791666666694</v>
      </c>
      <c r="C18" s="61">
        <f>'10'!C108</f>
        <v>64.519375000000011</v>
      </c>
      <c r="D18" s="61">
        <f>'10'!D108</f>
        <v>107.59458333333335</v>
      </c>
      <c r="E18" s="61">
        <f>'10'!E108</f>
        <v>8.6319791666666656</v>
      </c>
      <c r="F18" s="61">
        <f>'10'!F108</f>
        <v>4.3039583333333322</v>
      </c>
      <c r="G18" s="101">
        <f>'10'!$G$108</f>
        <v>104.63804347826088</v>
      </c>
      <c r="H18" s="61">
        <f>'10'!H108</f>
        <v>32.972207792207797</v>
      </c>
      <c r="I18" s="210" t="s">
        <v>43</v>
      </c>
      <c r="J18" s="61">
        <f>'10'!J108</f>
        <v>0.6361458333333333</v>
      </c>
      <c r="K18" s="61">
        <f>'10'!K108</f>
        <v>264.56843750000002</v>
      </c>
      <c r="L18" s="61">
        <f>'10'!L108</f>
        <v>20.827812500000004</v>
      </c>
      <c r="M18" s="61">
        <f>'10'!M108</f>
        <v>48.319999999999986</v>
      </c>
      <c r="N18" s="61">
        <f>'10'!N108</f>
        <v>257.53437500000007</v>
      </c>
      <c r="O18" s="61">
        <f>'10'!O108</f>
        <v>0</v>
      </c>
      <c r="P18" s="202">
        <f>'10'!P108</f>
        <v>1.3520833333333337</v>
      </c>
      <c r="Q18" s="61">
        <f>'10'!Q108</f>
        <v>10.324687500000001</v>
      </c>
      <c r="R18" s="118"/>
      <c r="S18" s="118"/>
      <c r="T18" s="118"/>
      <c r="U18" s="118"/>
    </row>
    <row r="19" spans="1:21" x14ac:dyDescent="0.25">
      <c r="A19" s="94" t="str">
        <f>'11'!$B$2</f>
        <v>11/02/2025 00:15</v>
      </c>
      <c r="B19" s="61">
        <f>'11'!B108</f>
        <v>53.327708333333327</v>
      </c>
      <c r="C19" s="61">
        <f>'11'!C108</f>
        <v>56.181354166666672</v>
      </c>
      <c r="D19" s="61">
        <f>'11'!D108</f>
        <v>70.74177083333332</v>
      </c>
      <c r="E19" s="61">
        <f>'11'!E108</f>
        <v>7.984479166666671</v>
      </c>
      <c r="F19" s="61">
        <f>'11'!F108</f>
        <v>2.9680208333333318</v>
      </c>
      <c r="G19" s="99">
        <f>'11'!$G$108</f>
        <v>100.06156250000002</v>
      </c>
      <c r="H19" s="61">
        <f>'11'!H108</f>
        <v>35.520520833333329</v>
      </c>
      <c r="I19" s="210" t="s">
        <v>43</v>
      </c>
      <c r="J19" s="61">
        <f>'11'!J108</f>
        <v>0.63635416666666667</v>
      </c>
      <c r="K19" s="61">
        <f>'11'!K108</f>
        <v>265.2290625</v>
      </c>
      <c r="L19" s="61">
        <f>'11'!L108</f>
        <v>22.064999999999994</v>
      </c>
      <c r="M19" s="61">
        <f>'11'!M108</f>
        <v>58.600104166666654</v>
      </c>
      <c r="N19" s="61">
        <f>'11'!N108</f>
        <v>241.32604166666673</v>
      </c>
      <c r="O19" s="61">
        <f>'11'!O108</f>
        <v>0</v>
      </c>
      <c r="P19" s="202">
        <f>'11'!P108</f>
        <v>1.1295833333333332</v>
      </c>
      <c r="Q19" s="61">
        <f>'11'!Q108</f>
        <v>9.9065625000000015</v>
      </c>
      <c r="R19" s="118"/>
      <c r="S19" s="118"/>
      <c r="T19" s="118"/>
      <c r="U19" s="118"/>
    </row>
    <row r="20" spans="1:21" x14ac:dyDescent="0.25">
      <c r="A20" s="94" t="str">
        <f>'12'!$B$2</f>
        <v>12/02/2025 00:15</v>
      </c>
      <c r="B20" s="61">
        <f>'12'!B108</f>
        <v>24.116354166666667</v>
      </c>
      <c r="C20" s="61">
        <f>'12'!C108</f>
        <v>53.393645833333345</v>
      </c>
      <c r="D20" s="61">
        <f>'12'!D108</f>
        <v>45.858854166666653</v>
      </c>
      <c r="E20" s="61">
        <f>'12'!E108</f>
        <v>6.8111458333333346</v>
      </c>
      <c r="F20" s="61">
        <f>'12'!F108</f>
        <v>2.3562499999999988</v>
      </c>
      <c r="G20" s="101">
        <f>'12'!$G$108</f>
        <v>77.36093750000002</v>
      </c>
      <c r="H20" s="61">
        <f>'12'!H108</f>
        <v>27.936666666666653</v>
      </c>
      <c r="I20" s="210" t="s">
        <v>43</v>
      </c>
      <c r="J20" s="61">
        <f>'12'!J108</f>
        <v>1.0810416666666667</v>
      </c>
      <c r="K20" s="61">
        <f>'12'!K108</f>
        <v>289.08458333333334</v>
      </c>
      <c r="L20" s="61">
        <f>'12'!L108</f>
        <v>23.030416666666667</v>
      </c>
      <c r="M20" s="61">
        <f>'12'!M108</f>
        <v>49.911458333333321</v>
      </c>
      <c r="N20" s="61">
        <f>'12'!N108</f>
        <v>261.54166666666657</v>
      </c>
      <c r="O20" s="61">
        <f>'12'!O108</f>
        <v>0</v>
      </c>
      <c r="P20" s="202">
        <f>'12'!P108</f>
        <v>0.75208333333333355</v>
      </c>
      <c r="Q20" s="61">
        <f>'12'!Q108</f>
        <v>9.4955208333333321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13/02/2025 00:15</v>
      </c>
      <c r="B21" s="91">
        <f>'13'!B108</f>
        <v>16.576666666666672</v>
      </c>
      <c r="C21" s="91">
        <f>'13'!C108</f>
        <v>59.806041666666687</v>
      </c>
      <c r="D21" s="91">
        <f>'13'!D108</f>
        <v>43.162708333333335</v>
      </c>
      <c r="E21" s="91">
        <f>'13'!E108</f>
        <v>6.1346875000000018</v>
      </c>
      <c r="F21" s="91">
        <f>'13'!F108</f>
        <v>2.7291666666666656</v>
      </c>
      <c r="G21" s="100">
        <f>'13'!$G$108</f>
        <v>77.234375000000043</v>
      </c>
      <c r="H21" s="91">
        <f>'13'!H108</f>
        <v>23.804895833333319</v>
      </c>
      <c r="I21" s="210" t="s">
        <v>43</v>
      </c>
      <c r="J21" s="91">
        <f>'13'!J108</f>
        <v>1.2891666666666668</v>
      </c>
      <c r="K21" s="91">
        <f>'13'!K108</f>
        <v>292.06125000000003</v>
      </c>
      <c r="L21" s="91">
        <f>'13'!L108</f>
        <v>21.313437500000003</v>
      </c>
      <c r="M21" s="91">
        <f>'13'!M108</f>
        <v>35.553750000000008</v>
      </c>
      <c r="N21" s="91">
        <f>'13'!N108</f>
        <v>286.45833333333326</v>
      </c>
      <c r="O21" s="91">
        <f>'13'!O108</f>
        <v>0</v>
      </c>
      <c r="P21" s="203">
        <f>'13'!P108</f>
        <v>0.67843749999999992</v>
      </c>
      <c r="Q21" s="91">
        <f>'13'!Q108</f>
        <v>9.4799999999999986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14/02/2025 00:15</v>
      </c>
      <c r="B22" s="90">
        <f>'14'!B108</f>
        <v>19.658437499999994</v>
      </c>
      <c r="C22" s="90">
        <f>'14'!C108</f>
        <v>55.025729166666672</v>
      </c>
      <c r="D22" s="90">
        <f>'14'!D108</f>
        <v>43.136770833333344</v>
      </c>
      <c r="E22" s="90">
        <f>'14'!E108</f>
        <v>6.1075000000000044</v>
      </c>
      <c r="F22" s="90">
        <f>'14'!F108</f>
        <v>2.1310416666666643</v>
      </c>
      <c r="G22" s="100">
        <f>'14'!$G$108</f>
        <v>73.930833333333339</v>
      </c>
      <c r="H22" s="100">
        <f>'14'!$G$108</f>
        <v>73.930833333333339</v>
      </c>
      <c r="I22" s="210" t="s">
        <v>43</v>
      </c>
      <c r="J22" s="90">
        <f>'14'!J108</f>
        <v>1.0198958333333337</v>
      </c>
      <c r="K22" s="90">
        <f>'14'!K108</f>
        <v>250.44687500000001</v>
      </c>
      <c r="L22" s="90">
        <f>'14'!L108</f>
        <v>19.343437500000004</v>
      </c>
      <c r="M22" s="90">
        <f>'14'!M108</f>
        <v>31.800937499999989</v>
      </c>
      <c r="N22" s="90">
        <f>'14'!N108</f>
        <v>300.40624999999989</v>
      </c>
      <c r="O22" s="90">
        <f>'14'!O108</f>
        <v>0</v>
      </c>
      <c r="P22" s="204">
        <f>'14'!P108</f>
        <v>0.61364583333333322</v>
      </c>
      <c r="Q22" s="90">
        <f>'14'!Q108</f>
        <v>9.9993750000000023</v>
      </c>
      <c r="R22" s="206"/>
      <c r="S22" s="206"/>
      <c r="T22" s="206"/>
      <c r="U22" s="206"/>
    </row>
    <row r="23" spans="1:21" x14ac:dyDescent="0.25">
      <c r="A23" s="94" t="str">
        <f>'15'!$B$2</f>
        <v>15/02/2025 00:15</v>
      </c>
      <c r="B23" s="61">
        <f>'15'!B108</f>
        <v>35.40177083333333</v>
      </c>
      <c r="C23" s="61">
        <f>'15'!C108</f>
        <v>63.430520833333354</v>
      </c>
      <c r="D23" s="61">
        <f>'15'!D108</f>
        <v>60.153645833333321</v>
      </c>
      <c r="E23" s="61">
        <f>'15'!E108</f>
        <v>6.4234375000000012</v>
      </c>
      <c r="F23" s="61">
        <f>'15'!F108</f>
        <v>2.1301041666666638</v>
      </c>
      <c r="G23" s="100">
        <f>'15'!$G$108</f>
        <v>86.335104166666625</v>
      </c>
      <c r="H23" s="61">
        <f>'15'!H108</f>
        <v>30.299375000000012</v>
      </c>
      <c r="I23" s="210" t="s">
        <v>43</v>
      </c>
      <c r="J23" s="61">
        <f>'15'!J108</f>
        <v>0.81593750000000043</v>
      </c>
      <c r="K23" s="61">
        <f>'15'!K108</f>
        <v>240.20937500000005</v>
      </c>
      <c r="L23" s="61">
        <f>'15'!L108</f>
        <v>20.181770833333335</v>
      </c>
      <c r="M23" s="61">
        <f>'15'!M108</f>
        <v>35.294895833333335</v>
      </c>
      <c r="N23" s="61">
        <f>'15'!N108</f>
        <v>280.6124999999999</v>
      </c>
      <c r="O23" s="61">
        <f>'15'!O108</f>
        <v>0</v>
      </c>
      <c r="P23" s="202">
        <f>'15'!P108</f>
        <v>0.83312500000000023</v>
      </c>
      <c r="Q23" s="61">
        <f>'15'!Q108</f>
        <v>9.9599999999999973</v>
      </c>
      <c r="R23" s="118"/>
      <c r="S23" s="118"/>
      <c r="T23" s="118"/>
      <c r="U23" s="118"/>
    </row>
    <row r="24" spans="1:21" x14ac:dyDescent="0.25">
      <c r="A24" s="94" t="str">
        <f>'16'!$B$2</f>
        <v>16/02/2025 00:15</v>
      </c>
      <c r="B24" s="61">
        <f>'16'!B108</f>
        <v>36.343333333333334</v>
      </c>
      <c r="C24" s="61">
        <f>'16'!C108</f>
        <v>63.296354166666653</v>
      </c>
      <c r="D24" s="61">
        <f>'16'!D108</f>
        <v>60.837604166666694</v>
      </c>
      <c r="E24" s="61">
        <f>'16'!E108</f>
        <v>7.5032291666666699</v>
      </c>
      <c r="F24" s="61">
        <f>'16'!F108</f>
        <v>2.3321874999999985</v>
      </c>
      <c r="G24" s="100">
        <f>'16'!$G$108</f>
        <v>81.035937499999989</v>
      </c>
      <c r="H24" s="61">
        <f>'16'!H108</f>
        <v>24.764791666666678</v>
      </c>
      <c r="I24" s="210" t="s">
        <v>43</v>
      </c>
      <c r="J24" s="61">
        <f>'16'!J108</f>
        <v>0.60010416666666677</v>
      </c>
      <c r="K24" s="61">
        <f>'16'!K108</f>
        <v>255.68354166666677</v>
      </c>
      <c r="L24" s="61">
        <f>'16'!L108</f>
        <v>21.033020833333342</v>
      </c>
      <c r="M24" s="61">
        <f>'16'!M108</f>
        <v>43.566666666666663</v>
      </c>
      <c r="N24" s="61">
        <f>'16'!N108</f>
        <v>278.63020833333337</v>
      </c>
      <c r="O24" s="61">
        <f>'16'!O108</f>
        <v>0</v>
      </c>
      <c r="P24" s="202">
        <f>'16'!P108</f>
        <v>0.88822916666666651</v>
      </c>
      <c r="Q24" s="61">
        <f>'16'!Q108</f>
        <v>9.7285416666666631</v>
      </c>
      <c r="R24" s="118"/>
      <c r="S24" s="118"/>
      <c r="T24" s="118"/>
      <c r="U24" s="118"/>
    </row>
    <row r="25" spans="1:21" x14ac:dyDescent="0.25">
      <c r="A25" s="94" t="str">
        <f>'17'!$B$2</f>
        <v>17/02/2025 00:15</v>
      </c>
      <c r="B25" s="61">
        <f>'17'!B108</f>
        <v>63.174062499999984</v>
      </c>
      <c r="C25" s="61">
        <f>'17'!C108</f>
        <v>65.842083333333321</v>
      </c>
      <c r="D25" s="61">
        <f>'17'!D108</f>
        <v>83.684479166666691</v>
      </c>
      <c r="E25" s="61">
        <f>'17'!E108</f>
        <v>7.0573958333333335</v>
      </c>
      <c r="F25" s="61">
        <f>'17'!F108</f>
        <v>2.1352083333333307</v>
      </c>
      <c r="G25" s="101">
        <f>'17'!$G$108</f>
        <v>91.311145833333342</v>
      </c>
      <c r="H25" s="61">
        <f>'17'!H108</f>
        <v>26.227604166666655</v>
      </c>
      <c r="I25" s="210" t="s">
        <v>43</v>
      </c>
      <c r="J25" s="61">
        <f>'17'!J108</f>
        <v>0.80791666666666673</v>
      </c>
      <c r="K25" s="61">
        <f>'17'!K108</f>
        <v>248.94666666666663</v>
      </c>
      <c r="L25" s="61">
        <f>'17'!L108</f>
        <v>22.014270833333342</v>
      </c>
      <c r="M25" s="61">
        <f>'17'!M108</f>
        <v>45.790520833333325</v>
      </c>
      <c r="N25" s="61">
        <f>'17'!N108</f>
        <v>266.36458333333343</v>
      </c>
      <c r="O25" s="61">
        <f>'17'!O108</f>
        <v>0</v>
      </c>
      <c r="P25" s="202">
        <f>'17'!P108</f>
        <v>1.1347916666666666</v>
      </c>
      <c r="Q25" s="61">
        <f>'17'!Q108</f>
        <v>9.8401041666666735</v>
      </c>
      <c r="R25" s="118"/>
      <c r="S25" s="118"/>
      <c r="T25" s="118"/>
      <c r="U25" s="118"/>
    </row>
    <row r="26" spans="1:21" x14ac:dyDescent="0.25">
      <c r="A26" s="94" t="str">
        <f>'18'!$B$2</f>
        <v>18/02/2025 00:15</v>
      </c>
      <c r="B26" s="61">
        <f>'18'!B108</f>
        <v>53.508369565217393</v>
      </c>
      <c r="C26" s="61">
        <f>'18'!C108</f>
        <v>69.301847826086941</v>
      </c>
      <c r="D26" s="61">
        <f>'18'!D108</f>
        <v>101.09847826086958</v>
      </c>
      <c r="E26" s="61">
        <f>'18'!E108</f>
        <v>9.7030107526881739</v>
      </c>
      <c r="F26" s="61">
        <f>'18'!F108</f>
        <v>4.5340624999999983</v>
      </c>
      <c r="G26" s="99">
        <f>'18'!$G$108</f>
        <v>123.78706521739129</v>
      </c>
      <c r="H26" s="61">
        <f>'18'!H108</f>
        <v>37.701739130434788</v>
      </c>
      <c r="I26" s="210" t="s">
        <v>43</v>
      </c>
      <c r="J26" s="61">
        <f>'18'!J108</f>
        <v>0.74187500000000028</v>
      </c>
      <c r="K26" s="61">
        <f>'18'!K108</f>
        <v>255.37770833333335</v>
      </c>
      <c r="L26" s="61">
        <f>'18'!L108</f>
        <v>22.545729166666671</v>
      </c>
      <c r="M26" s="61">
        <f>'18'!M108</f>
        <v>48.956562499999997</v>
      </c>
      <c r="N26" s="61">
        <f>'18'!N108</f>
        <v>247.2312499999999</v>
      </c>
      <c r="O26" s="61">
        <f>'18'!O108</f>
        <v>0</v>
      </c>
      <c r="P26" s="202">
        <f>'18'!P108</f>
        <v>1.2127956989247313</v>
      </c>
      <c r="Q26" s="61">
        <f>'18'!Q108</f>
        <v>9.720937499999998</v>
      </c>
      <c r="R26" s="118"/>
      <c r="S26" s="118"/>
      <c r="T26" s="118"/>
      <c r="U26" s="118"/>
    </row>
    <row r="27" spans="1:21" x14ac:dyDescent="0.25">
      <c r="A27" s="94" t="str">
        <f>'19'!$B$2</f>
        <v>19/02/2025 00:15</v>
      </c>
      <c r="B27" s="61">
        <f>'19'!B108</f>
        <v>34.151041666666664</v>
      </c>
      <c r="C27" s="61">
        <f>'19'!C108</f>
        <v>79.267291666666665</v>
      </c>
      <c r="D27" s="61">
        <f>'19'!D108</f>
        <v>111.3178125</v>
      </c>
      <c r="E27" s="61">
        <f>'19'!E108</f>
        <v>7.8481249999999987</v>
      </c>
      <c r="F27" s="61">
        <f>'19'!F108</f>
        <v>2.1749999999999976</v>
      </c>
      <c r="G27" s="61">
        <f>'19'!G108</f>
        <v>141.73239583333321</v>
      </c>
      <c r="H27" s="61">
        <f>'19'!H108</f>
        <v>46.021973684210536</v>
      </c>
      <c r="I27" s="210" t="s">
        <v>43</v>
      </c>
      <c r="J27" s="61">
        <f>'19'!J108</f>
        <v>0.7645833333333335</v>
      </c>
      <c r="K27" s="61">
        <f>'19'!K108</f>
        <v>191.92031250000002</v>
      </c>
      <c r="L27" s="61">
        <f>'19'!L108</f>
        <v>22.503645833333337</v>
      </c>
      <c r="M27" s="61">
        <f>'19'!M108</f>
        <v>50.623229166666675</v>
      </c>
      <c r="N27" s="61">
        <f>'19'!N108</f>
        <v>228.85104166666667</v>
      </c>
      <c r="O27" s="61">
        <f>'19'!O108</f>
        <v>0</v>
      </c>
      <c r="P27" s="202">
        <f>'19'!P108</f>
        <v>1.2773958333333335</v>
      </c>
      <c r="Q27" s="61">
        <f>'19'!Q108</f>
        <v>9.524270833333329</v>
      </c>
      <c r="R27" s="118"/>
      <c r="S27" s="118"/>
      <c r="T27" s="118"/>
      <c r="U27" s="118"/>
    </row>
    <row r="28" spans="1:21" x14ac:dyDescent="0.25">
      <c r="A28" s="94" t="str">
        <f>'20'!$B$2</f>
        <v>20/02/2025 00:15</v>
      </c>
      <c r="B28" s="61">
        <f>'20'!B108</f>
        <v>39.423437499999991</v>
      </c>
      <c r="C28" s="61">
        <f>'20'!C108</f>
        <v>71.696562500000013</v>
      </c>
      <c r="D28" s="61">
        <f>'20'!D108</f>
        <v>109.02062500000001</v>
      </c>
      <c r="E28" s="61">
        <f>'20'!E108</f>
        <v>8.5116666666666667</v>
      </c>
      <c r="F28" s="61">
        <f>'20'!F108</f>
        <v>5.5094791666666643</v>
      </c>
      <c r="G28" s="61">
        <f>'20'!G108</f>
        <v>122.23354166666661</v>
      </c>
      <c r="H28" s="61">
        <f>'20'!H108</f>
        <v>38.855882352941173</v>
      </c>
      <c r="I28" s="210" t="s">
        <v>43</v>
      </c>
      <c r="J28" s="61">
        <f>'20'!J108</f>
        <v>0.83739583333333345</v>
      </c>
      <c r="K28" s="61">
        <f>'20'!K108</f>
        <v>256.23062499999992</v>
      </c>
      <c r="L28" s="61">
        <f>'20'!L108</f>
        <v>23.118541666666669</v>
      </c>
      <c r="M28" s="61">
        <f>'20'!M108</f>
        <v>52.596666666666657</v>
      </c>
      <c r="N28" s="61">
        <f>'20'!N108</f>
        <v>242.41354166666679</v>
      </c>
      <c r="O28" s="61">
        <f>'20'!O108</f>
        <v>0</v>
      </c>
      <c r="P28" s="202">
        <f>'20'!P108</f>
        <v>1.2228125000000001</v>
      </c>
      <c r="Q28" s="61">
        <f>'20'!Q108</f>
        <v>9.4700000000000006</v>
      </c>
      <c r="R28" s="118"/>
      <c r="S28" s="118"/>
      <c r="T28" s="118"/>
      <c r="U28" s="118"/>
    </row>
    <row r="29" spans="1:21" x14ac:dyDescent="0.25">
      <c r="A29" s="94" t="str">
        <f>'21'!$B$2</f>
        <v>21/02/2025 00:15</v>
      </c>
      <c r="B29" s="61">
        <f>'21'!B108</f>
        <v>58.492812500000014</v>
      </c>
      <c r="C29" s="61">
        <f>'21'!C108</f>
        <v>74.411354166666641</v>
      </c>
      <c r="D29" s="61">
        <f>'21'!D108</f>
        <v>130.80510416666669</v>
      </c>
      <c r="E29" s="61">
        <f>'21'!E108</f>
        <v>7.8379166666666693</v>
      </c>
      <c r="F29" s="61">
        <f>'21'!F108</f>
        <v>2.7341666666666646</v>
      </c>
      <c r="G29" s="61">
        <f>'21'!G108</f>
        <v>105.55614583333329</v>
      </c>
      <c r="H29" s="61">
        <f>'21'!H108</f>
        <v>34.57885416666668</v>
      </c>
      <c r="I29" s="210" t="s">
        <v>43</v>
      </c>
      <c r="J29" s="61">
        <f>'21'!J108</f>
        <v>0.75135416666666643</v>
      </c>
      <c r="K29" s="61">
        <f>'21'!K108</f>
        <v>177.25718750000001</v>
      </c>
      <c r="L29" s="61">
        <f>'21'!L108</f>
        <v>22.733541666666667</v>
      </c>
      <c r="M29" s="61">
        <f>'21'!M108</f>
        <v>53.153333333333343</v>
      </c>
      <c r="N29" s="61">
        <f>'21'!N108</f>
        <v>238.70520833333327</v>
      </c>
      <c r="O29" s="61">
        <f>'21'!O108</f>
        <v>0</v>
      </c>
      <c r="P29" s="202">
        <f>'21'!P108</f>
        <v>1.189791666666667</v>
      </c>
      <c r="Q29" s="61">
        <f>'21'!Q108</f>
        <v>9.5602083333333372</v>
      </c>
      <c r="R29" s="118"/>
      <c r="S29" s="118"/>
      <c r="T29" s="118"/>
      <c r="U29" s="118"/>
    </row>
    <row r="30" spans="1:21" x14ac:dyDescent="0.25">
      <c r="A30" s="94" t="str">
        <f>'22'!$B$2</f>
        <v>22/02/2025 00:15</v>
      </c>
      <c r="B30" s="61">
        <f>'22'!B108</f>
        <v>35.684791666666676</v>
      </c>
      <c r="C30" s="61">
        <f>'22'!C108</f>
        <v>67.589895833333358</v>
      </c>
      <c r="D30" s="61">
        <f>'22'!D108</f>
        <v>101.1742708333333</v>
      </c>
      <c r="E30" s="61">
        <f>'22'!E108</f>
        <v>5.8584375000000017</v>
      </c>
      <c r="F30" s="61">
        <f>'22'!F108</f>
        <v>2.1344791666666643</v>
      </c>
      <c r="G30" s="61">
        <f>'22'!G108</f>
        <v>69.179583333333326</v>
      </c>
      <c r="H30" s="61">
        <f>'22'!H108</f>
        <v>21.646354166666669</v>
      </c>
      <c r="I30" s="210" t="s">
        <v>43</v>
      </c>
      <c r="J30" s="61">
        <f>'22'!J108</f>
        <v>0.9853124999999997</v>
      </c>
      <c r="K30" s="61">
        <f>'22'!K108</f>
        <v>272.38843749999995</v>
      </c>
      <c r="L30" s="61">
        <f>'22'!L108</f>
        <v>22.689791666666665</v>
      </c>
      <c r="M30" s="61">
        <f>'22'!M108</f>
        <v>42.386354166666649</v>
      </c>
      <c r="N30" s="61">
        <f>'22'!N108</f>
        <v>264.9395833333333</v>
      </c>
      <c r="O30" s="61">
        <f>'22'!O108</f>
        <v>0</v>
      </c>
      <c r="P30" s="202">
        <f>'22'!P108</f>
        <v>0.84218750000000009</v>
      </c>
      <c r="Q30" s="61">
        <f>'22'!Q108</f>
        <v>9.4928125000000048</v>
      </c>
      <c r="R30" s="118"/>
      <c r="S30" s="118"/>
      <c r="T30" s="118"/>
      <c r="U30" s="118"/>
    </row>
    <row r="31" spans="1:21" x14ac:dyDescent="0.25">
      <c r="A31" s="94" t="str">
        <f>'23'!$B$2</f>
        <v>23/02/2025 00:15</v>
      </c>
      <c r="B31" s="61">
        <f>'23'!B108</f>
        <v>22.105312499999997</v>
      </c>
      <c r="C31" s="61">
        <f>'23'!C108</f>
        <v>64.610729166666644</v>
      </c>
      <c r="D31" s="61">
        <f>'23'!D108</f>
        <v>84.615416666666647</v>
      </c>
      <c r="E31" s="61">
        <f>'23'!E108</f>
        <v>7.260208333333332</v>
      </c>
      <c r="F31" s="61">
        <f>'23'!F108</f>
        <v>2.1394791666666642</v>
      </c>
      <c r="G31" s="61">
        <f>'23'!G108</f>
        <v>70.347500000000025</v>
      </c>
      <c r="H31" s="61">
        <f>'23'!H108</f>
        <v>20.953020833333337</v>
      </c>
      <c r="I31" s="210" t="s">
        <v>43</v>
      </c>
      <c r="J31" s="61">
        <f>'23'!J108</f>
        <v>1.0203125000000002</v>
      </c>
      <c r="K31" s="61">
        <f>'23'!K108</f>
        <v>137.18770833333335</v>
      </c>
      <c r="L31" s="61">
        <f>'23'!L108</f>
        <v>21.859791666666677</v>
      </c>
      <c r="M31" s="61">
        <f>'23'!M108</f>
        <v>35.22291666666667</v>
      </c>
      <c r="N31" s="61">
        <f>'23'!N108</f>
        <v>280.00833333333316</v>
      </c>
      <c r="O31" s="61">
        <f>'23'!O108</f>
        <v>0</v>
      </c>
      <c r="P31" s="202">
        <f>'23'!P108</f>
        <v>0.69395833333333334</v>
      </c>
      <c r="Q31" s="61">
        <f>'23'!Q108</f>
        <v>9.5242708333333326</v>
      </c>
      <c r="R31" s="118"/>
      <c r="S31" s="207"/>
      <c r="T31" s="118"/>
      <c r="U31" s="118"/>
    </row>
    <row r="32" spans="1:21" x14ac:dyDescent="0.25">
      <c r="A32" s="94" t="str">
        <f>'24'!$B$2</f>
        <v>24/02/2025 00:15</v>
      </c>
      <c r="B32" s="61">
        <f>'24'!B108</f>
        <v>31.940833333333334</v>
      </c>
      <c r="C32" s="61">
        <f>'24'!C108</f>
        <v>67.051770833333322</v>
      </c>
      <c r="D32" s="61">
        <f>'24'!D108</f>
        <v>96.898333333333312</v>
      </c>
      <c r="E32" s="61">
        <f>'24'!E108</f>
        <v>7.3307291666666634</v>
      </c>
      <c r="F32" s="61">
        <f>'24'!F108</f>
        <v>3.1365624999999997</v>
      </c>
      <c r="G32" s="61">
        <f>'24'!G108</f>
        <v>77.717500000000015</v>
      </c>
      <c r="H32" s="61">
        <f>'24'!H108</f>
        <v>26.724687500000002</v>
      </c>
      <c r="I32" s="210" t="s">
        <v>43</v>
      </c>
      <c r="J32" s="61">
        <f>'24'!J108</f>
        <v>1.0428125000000004</v>
      </c>
      <c r="K32" s="61">
        <f>'24'!K108</f>
        <v>106.69187499999994</v>
      </c>
      <c r="L32" s="61">
        <f>'24'!L108</f>
        <v>21.416562499999998</v>
      </c>
      <c r="M32" s="61">
        <f>'24'!M108</f>
        <v>35.214687499999989</v>
      </c>
      <c r="N32" s="61">
        <f>'24'!N108</f>
        <v>279.21562499999993</v>
      </c>
      <c r="O32" s="61">
        <f>'24'!O108</f>
        <v>0</v>
      </c>
      <c r="P32" s="202">
        <f>'24'!P108</f>
        <v>0.83979166666666671</v>
      </c>
      <c r="Q32" s="61">
        <f>'24'!Q108</f>
        <v>9.9543749999999971</v>
      </c>
      <c r="R32" s="118"/>
      <c r="S32" s="118"/>
      <c r="T32" s="118"/>
      <c r="U32" s="118"/>
    </row>
    <row r="33" spans="1:21" x14ac:dyDescent="0.25">
      <c r="A33" s="94" t="str">
        <f>'25'!$B$2</f>
        <v>25/02/2025 00:15</v>
      </c>
      <c r="B33" s="61">
        <f>'25'!B108</f>
        <v>38.682812500000004</v>
      </c>
      <c r="C33" s="61">
        <f>'25'!C108</f>
        <v>71.948645833333316</v>
      </c>
      <c r="D33" s="61">
        <f>'25'!D108</f>
        <v>108.51927083333334</v>
      </c>
      <c r="E33" s="61">
        <f>'25'!E108</f>
        <v>8.1905208333333324</v>
      </c>
      <c r="F33" s="61">
        <f>'25'!F108</f>
        <v>3.0681249999999989</v>
      </c>
      <c r="G33" s="61">
        <f>'25'!G108</f>
        <v>96.108645833333355</v>
      </c>
      <c r="H33" s="61">
        <f>'25'!H108</f>
        <v>25.407604166666658</v>
      </c>
      <c r="I33" s="210" t="s">
        <v>43</v>
      </c>
      <c r="J33" s="61">
        <f>'25'!J108</f>
        <v>0.93604166666666722</v>
      </c>
      <c r="K33" s="61">
        <f>'25'!K108</f>
        <v>137.86875000000001</v>
      </c>
      <c r="L33" s="61">
        <f>'25'!L108</f>
        <v>21.677499999999995</v>
      </c>
      <c r="M33" s="61">
        <f>'25'!M108</f>
        <v>40.615312500000009</v>
      </c>
      <c r="N33" s="61">
        <f>'25'!N108</f>
        <v>268.72604166666673</v>
      </c>
      <c r="O33" s="61">
        <f>'25'!O108</f>
        <v>0</v>
      </c>
      <c r="P33" s="202">
        <f>'25'!P108</f>
        <v>1.0529166666666667</v>
      </c>
      <c r="Q33" s="61">
        <f>'25'!Q108</f>
        <v>9.7404166666666736</v>
      </c>
      <c r="R33" s="118"/>
      <c r="S33" s="207"/>
      <c r="T33" s="118"/>
      <c r="U33" s="118"/>
    </row>
    <row r="34" spans="1:21" x14ac:dyDescent="0.25">
      <c r="A34" s="94" t="str">
        <f>'26'!$B$2</f>
        <v>26/02/2025 00:15</v>
      </c>
      <c r="B34" s="61">
        <f>'26'!B108</f>
        <v>66.124175824175822</v>
      </c>
      <c r="C34" s="61">
        <f>'26'!C108</f>
        <v>81.492637362637339</v>
      </c>
      <c r="D34" s="61">
        <f>'26'!D108</f>
        <v>114.98406593406592</v>
      </c>
      <c r="E34" s="61">
        <f>'26'!E108</f>
        <v>10.711290322580647</v>
      </c>
      <c r="F34" s="61">
        <f>'26'!F108</f>
        <v>17.926041666666674</v>
      </c>
      <c r="G34" s="61">
        <f>'26'!G108</f>
        <v>107.40173913043468</v>
      </c>
      <c r="H34" s="61">
        <f>'26'!H108</f>
        <v>27.892717391304338</v>
      </c>
      <c r="I34" s="61">
        <f>'26'!I108</f>
        <v>4.0298148148148156</v>
      </c>
      <c r="J34" s="61">
        <f>'26'!J108</f>
        <v>1.0545833333333337</v>
      </c>
      <c r="K34" s="61">
        <f>'26'!K108</f>
        <v>160.08020833333339</v>
      </c>
      <c r="L34" s="61">
        <f>'26'!L108</f>
        <v>22.10552083333333</v>
      </c>
      <c r="M34" s="61">
        <f>'26'!M108</f>
        <v>34.184166666666663</v>
      </c>
      <c r="N34" s="61">
        <f>'26'!N108</f>
        <v>270.14166666666671</v>
      </c>
      <c r="O34" s="61">
        <f>'26'!O108</f>
        <v>0</v>
      </c>
      <c r="P34" s="202">
        <f>'26'!P108</f>
        <v>1.3780208333333335</v>
      </c>
      <c r="Q34" s="61">
        <f>'26'!Q108</f>
        <v>9.7090624999999982</v>
      </c>
      <c r="R34" s="118"/>
      <c r="S34" s="118"/>
      <c r="T34" s="118"/>
      <c r="U34" s="118"/>
    </row>
    <row r="35" spans="1:21" x14ac:dyDescent="0.25">
      <c r="A35" s="94" t="str">
        <f>'27'!$B$2</f>
        <v>27/02/2025 00:15</v>
      </c>
      <c r="B35" s="61">
        <f>'27'!B108</f>
        <v>92.954375000000013</v>
      </c>
      <c r="C35" s="61">
        <f>'27'!C108</f>
        <v>81.847708333333316</v>
      </c>
      <c r="D35" s="61">
        <f>'27'!D108</f>
        <v>115.92833333333336</v>
      </c>
      <c r="E35" s="61">
        <f>'27'!E108</f>
        <v>9.2589583333333341</v>
      </c>
      <c r="F35" s="61">
        <f>'27'!F108</f>
        <v>9.7517708333333335</v>
      </c>
      <c r="G35" s="61">
        <f>'27'!G108</f>
        <v>116.48427083333333</v>
      </c>
      <c r="H35" s="61">
        <f>'27'!H108</f>
        <v>42.194166666666668</v>
      </c>
      <c r="I35" s="61">
        <f>'27'!I108</f>
        <v>3.996041666666668</v>
      </c>
      <c r="J35" s="61">
        <f>'27'!J108</f>
        <v>0.89906250000000043</v>
      </c>
      <c r="K35" s="61">
        <f>'27'!K108</f>
        <v>178.36322916666666</v>
      </c>
      <c r="L35" s="61">
        <f>'27'!L108</f>
        <v>21.954895833333325</v>
      </c>
      <c r="M35" s="61">
        <f>'27'!M108</f>
        <v>37.833333333333329</v>
      </c>
      <c r="N35" s="61">
        <f>'27'!N108</f>
        <v>275.27499999999992</v>
      </c>
      <c r="O35" s="61">
        <f>'27'!O108</f>
        <v>0</v>
      </c>
      <c r="P35" s="202">
        <f>'27'!P108</f>
        <v>1.4591666666666665</v>
      </c>
      <c r="Q35" s="61">
        <f>'27'!Q108</f>
        <v>9.9068750000000065</v>
      </c>
      <c r="R35" s="118"/>
      <c r="S35" s="118"/>
      <c r="T35" s="118"/>
      <c r="U35" s="118"/>
    </row>
    <row r="36" spans="1:21" x14ac:dyDescent="0.25">
      <c r="A36" s="94" t="str">
        <f>'28'!$B$2</f>
        <v>28/02/2025 00:15</v>
      </c>
      <c r="B36" s="61">
        <f>'28'!B108</f>
        <v>108.69802083333332</v>
      </c>
      <c r="C36" s="61">
        <f>'28'!C108</f>
        <v>92.591145833333329</v>
      </c>
      <c r="D36" s="61">
        <f>'28'!D108</f>
        <v>134.16697916666669</v>
      </c>
      <c r="E36" s="61">
        <f>'28'!E108</f>
        <v>9.321041666666666</v>
      </c>
      <c r="F36" s="61">
        <f>'28'!F108</f>
        <v>16.26552083333333</v>
      </c>
      <c r="G36" s="61">
        <f>'28'!G108</f>
        <v>116.82104166666677</v>
      </c>
      <c r="H36" s="61">
        <f>'28'!H108</f>
        <v>35.346749999999993</v>
      </c>
      <c r="I36" s="61">
        <f>'28'!I108</f>
        <v>4.0016666666666652</v>
      </c>
      <c r="J36" s="61">
        <f>'28'!J108</f>
        <v>0.67406250000000012</v>
      </c>
      <c r="K36" s="61">
        <f>'28'!K108</f>
        <v>220.39489583333329</v>
      </c>
      <c r="L36" s="61">
        <f>'28'!L108</f>
        <v>22.552395833333335</v>
      </c>
      <c r="M36" s="61">
        <f>'28'!M108</f>
        <v>46.50437500000001</v>
      </c>
      <c r="N36" s="61">
        <f>'28'!N108</f>
        <v>266.19791666666669</v>
      </c>
      <c r="O36" s="61">
        <f>'28'!O108</f>
        <v>0</v>
      </c>
      <c r="P36" s="202">
        <f>'28'!P108</f>
        <v>1.489270833333334</v>
      </c>
      <c r="Q36" s="61">
        <f>'28'!Q108</f>
        <v>9.8469791666666655</v>
      </c>
      <c r="R36" s="118"/>
      <c r="S36" s="118"/>
      <c r="T36" s="118"/>
      <c r="U36" s="118"/>
    </row>
    <row r="37" spans="1:21" s="54" customFormat="1" x14ac:dyDescent="0.25">
      <c r="A37" s="94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</row>
    <row r="38" spans="1:21" s="54" customFormat="1" x14ac:dyDescent="0.25">
      <c r="A38" s="94" t="s">
        <v>59</v>
      </c>
      <c r="B38" s="16">
        <f t="shared" ref="B38:Q38" si="0">MIN(B9:B36)</f>
        <v>13.989687500000002</v>
      </c>
      <c r="C38" s="16">
        <f t="shared" si="0"/>
        <v>53.393645833333345</v>
      </c>
      <c r="D38" s="16">
        <f t="shared" si="0"/>
        <v>40.536875000000002</v>
      </c>
      <c r="E38" s="16">
        <f t="shared" si="0"/>
        <v>5.6291666666666673</v>
      </c>
      <c r="F38" s="16">
        <f t="shared" si="0"/>
        <v>2.1299999999999972</v>
      </c>
      <c r="G38" s="16">
        <f t="shared" si="0"/>
        <v>69.179583333333326</v>
      </c>
      <c r="H38" s="16">
        <f t="shared" si="0"/>
        <v>20.953020833333337</v>
      </c>
      <c r="I38" s="16">
        <f t="shared" si="0"/>
        <v>3.996041666666668</v>
      </c>
      <c r="J38" s="16">
        <f t="shared" si="0"/>
        <v>0.53989583333333324</v>
      </c>
      <c r="K38" s="16">
        <f t="shared" si="0"/>
        <v>106.69187499999994</v>
      </c>
      <c r="L38" s="16">
        <f t="shared" si="0"/>
        <v>19.343437500000004</v>
      </c>
      <c r="M38" s="16">
        <f t="shared" si="0"/>
        <v>31.800937499999989</v>
      </c>
      <c r="N38" s="16">
        <f t="shared" si="0"/>
        <v>197.18229166666671</v>
      </c>
      <c r="O38" s="16">
        <f t="shared" si="0"/>
        <v>0</v>
      </c>
      <c r="P38" s="16">
        <f t="shared" si="0"/>
        <v>0.61364583333333322</v>
      </c>
      <c r="Q38" s="16">
        <f t="shared" si="0"/>
        <v>9.4700000000000006</v>
      </c>
      <c r="R38" s="16"/>
      <c r="S38" s="16"/>
      <c r="T38" s="16"/>
      <c r="U38" s="16"/>
    </row>
    <row r="39" spans="1:21" s="54" customFormat="1" x14ac:dyDescent="0.25">
      <c r="A39" s="94" t="s">
        <v>60</v>
      </c>
      <c r="B39" s="16">
        <f t="shared" ref="B39:Q39" si="1">MAX(B9:B36)</f>
        <v>108.69802083333332</v>
      </c>
      <c r="C39" s="16">
        <f t="shared" si="1"/>
        <v>92.591145833333329</v>
      </c>
      <c r="D39" s="16">
        <f t="shared" si="1"/>
        <v>134.16697916666669</v>
      </c>
      <c r="E39" s="16">
        <f t="shared" si="1"/>
        <v>10.711290322580647</v>
      </c>
      <c r="F39" s="16">
        <f t="shared" si="1"/>
        <v>17.926041666666674</v>
      </c>
      <c r="G39" s="16">
        <f t="shared" si="1"/>
        <v>141.73239583333321</v>
      </c>
      <c r="H39" s="16">
        <f t="shared" si="1"/>
        <v>73.930833333333339</v>
      </c>
      <c r="I39" s="16">
        <f t="shared" si="1"/>
        <v>4.0298148148148156</v>
      </c>
      <c r="J39" s="16">
        <f t="shared" si="1"/>
        <v>1.3550000000000004</v>
      </c>
      <c r="K39" s="16">
        <f t="shared" si="1"/>
        <v>297.674375</v>
      </c>
      <c r="L39" s="16">
        <f t="shared" si="1"/>
        <v>23.433958333333333</v>
      </c>
      <c r="M39" s="16">
        <f t="shared" si="1"/>
        <v>68.571458333333368</v>
      </c>
      <c r="N39" s="16">
        <f t="shared" si="1"/>
        <v>300.40624999999989</v>
      </c>
      <c r="O39" s="16">
        <f t="shared" si="1"/>
        <v>0</v>
      </c>
      <c r="P39" s="16">
        <f t="shared" si="1"/>
        <v>1.489270833333334</v>
      </c>
      <c r="Q39" s="16">
        <f t="shared" si="1"/>
        <v>10.324687500000001</v>
      </c>
      <c r="R39" s="16"/>
      <c r="S39" s="16"/>
      <c r="T39" s="16"/>
      <c r="U39" s="16"/>
    </row>
    <row r="40" spans="1:21" s="54" customFormat="1" x14ac:dyDescent="0.25">
      <c r="A40" s="94" t="s">
        <v>61</v>
      </c>
      <c r="B40" s="16">
        <f t="shared" ref="B40:Q40" si="2">AVERAGE(B9:B36)</f>
        <v>47.539973299237168</v>
      </c>
      <c r="C40" s="16">
        <f t="shared" si="2"/>
        <v>65.105275752707911</v>
      </c>
      <c r="D40" s="16">
        <f t="shared" si="2"/>
        <v>82.468408836455083</v>
      </c>
      <c r="E40" s="16">
        <f t="shared" si="2"/>
        <v>7.5818867555349652</v>
      </c>
      <c r="F40" s="16">
        <f t="shared" si="2"/>
        <v>4.0332738095238074</v>
      </c>
      <c r="G40" s="16">
        <f t="shared" si="2"/>
        <v>94.403580001294003</v>
      </c>
      <c r="H40" s="16">
        <f t="shared" si="2"/>
        <v>33.624221815745265</v>
      </c>
      <c r="I40" s="16">
        <f t="shared" si="2"/>
        <v>4.0091743827160498</v>
      </c>
      <c r="J40" s="16">
        <f t="shared" si="2"/>
        <v>0.83562872023809531</v>
      </c>
      <c r="K40" s="16">
        <f t="shared" si="2"/>
        <v>227.15226562499998</v>
      </c>
      <c r="L40" s="16">
        <f t="shared" si="2"/>
        <v>21.741380208333339</v>
      </c>
      <c r="M40" s="16">
        <f t="shared" si="2"/>
        <v>45.831346726190482</v>
      </c>
      <c r="N40" s="16">
        <f t="shared" si="2"/>
        <v>245.61324404761899</v>
      </c>
      <c r="O40" s="16">
        <f t="shared" si="2"/>
        <v>0</v>
      </c>
      <c r="P40" s="16">
        <f t="shared" si="2"/>
        <v>1.0558364535330262</v>
      </c>
      <c r="Q40" s="16">
        <f t="shared" si="2"/>
        <v>9.7547879464285732</v>
      </c>
      <c r="R40" s="16"/>
      <c r="S40" s="16"/>
      <c r="T40" s="16"/>
      <c r="U40" s="16"/>
    </row>
    <row r="41" spans="1:21" s="54" customFormat="1" x14ac:dyDescent="0.25">
      <c r="A41" s="94" t="s">
        <v>77</v>
      </c>
      <c r="B41" s="16">
        <f t="shared" ref="B41:Q41" si="3">STDEV(B9:B36)</f>
        <v>23.35887703371441</v>
      </c>
      <c r="C41" s="16">
        <f t="shared" si="3"/>
        <v>9.9056124318468264</v>
      </c>
      <c r="D41" s="16">
        <f t="shared" si="3"/>
        <v>27.511386882467455</v>
      </c>
      <c r="E41" s="16">
        <f t="shared" si="3"/>
        <v>1.4124798014243407</v>
      </c>
      <c r="F41" s="16">
        <f t="shared" si="3"/>
        <v>4.0277849849700624</v>
      </c>
      <c r="G41" s="16">
        <f t="shared" si="3"/>
        <v>19.422982626004302</v>
      </c>
      <c r="H41" s="16">
        <f t="shared" si="3"/>
        <v>10.593815026370438</v>
      </c>
      <c r="I41" s="16">
        <f t="shared" si="3"/>
        <v>1.8095047227565334E-2</v>
      </c>
      <c r="J41" s="16">
        <f t="shared" si="3"/>
        <v>0.2088186659395613</v>
      </c>
      <c r="K41" s="16">
        <f t="shared" si="3"/>
        <v>50.781715543035517</v>
      </c>
      <c r="L41" s="16">
        <f t="shared" si="3"/>
        <v>1.1382617043606327</v>
      </c>
      <c r="M41" s="16">
        <f t="shared" si="3"/>
        <v>10.065757265214337</v>
      </c>
      <c r="N41" s="16">
        <f t="shared" si="3"/>
        <v>32.743837047664776</v>
      </c>
      <c r="O41" s="16">
        <f t="shared" si="3"/>
        <v>0</v>
      </c>
      <c r="P41" s="16">
        <f t="shared" si="3"/>
        <v>0.25112627351607864</v>
      </c>
      <c r="Q41" s="16">
        <f t="shared" si="3"/>
        <v>0.20812390801422484</v>
      </c>
      <c r="R41" s="16"/>
      <c r="S41" s="16"/>
      <c r="T41" s="16"/>
      <c r="U41" s="16"/>
    </row>
    <row r="42" spans="1:21" s="54" customFormat="1" x14ac:dyDescent="0.25">
      <c r="A42" s="94" t="s">
        <v>62</v>
      </c>
      <c r="B42" s="13">
        <f t="shared" ref="B42:Q42" si="4">COUNT(B9:B36)</f>
        <v>28</v>
      </c>
      <c r="C42" s="13">
        <f t="shared" si="4"/>
        <v>28</v>
      </c>
      <c r="D42" s="13">
        <f t="shared" si="4"/>
        <v>28</v>
      </c>
      <c r="E42" s="13">
        <f t="shared" si="4"/>
        <v>28</v>
      </c>
      <c r="F42" s="13">
        <f t="shared" si="4"/>
        <v>28</v>
      </c>
      <c r="G42" s="13">
        <f t="shared" si="4"/>
        <v>28</v>
      </c>
      <c r="H42" s="13">
        <f t="shared" si="4"/>
        <v>28</v>
      </c>
      <c r="I42" s="13">
        <f t="shared" si="4"/>
        <v>3</v>
      </c>
      <c r="J42" s="13">
        <f t="shared" si="4"/>
        <v>28</v>
      </c>
      <c r="K42" s="13">
        <f t="shared" si="4"/>
        <v>28</v>
      </c>
      <c r="L42" s="13">
        <f t="shared" si="4"/>
        <v>28</v>
      </c>
      <c r="M42" s="13">
        <f t="shared" si="4"/>
        <v>28</v>
      </c>
      <c r="N42" s="13">
        <f t="shared" si="4"/>
        <v>28</v>
      </c>
      <c r="O42" s="13">
        <f t="shared" si="4"/>
        <v>28</v>
      </c>
      <c r="P42" s="13">
        <f t="shared" si="4"/>
        <v>28</v>
      </c>
      <c r="Q42" s="13">
        <f t="shared" si="4"/>
        <v>28</v>
      </c>
      <c r="R42" s="13"/>
      <c r="S42" s="13"/>
      <c r="T42" s="13"/>
      <c r="U42" s="13"/>
    </row>
    <row r="43" spans="1:21" s="54" customFormat="1" x14ac:dyDescent="0.25">
      <c r="A43" s="94" t="s">
        <v>63</v>
      </c>
      <c r="B43" s="13" t="str">
        <f>IF(B42&gt;=28,"&gt;90%",IF(B42&lt;=28,"&lt;90%"))</f>
        <v>&gt;90%</v>
      </c>
      <c r="C43" s="13" t="str">
        <f t="shared" ref="C43:Q43" si="5">IF(C42&gt;=28,"&gt;90%",IF(C42&lt;=28,"&lt;90%"))</f>
        <v>&gt;90%</v>
      </c>
      <c r="D43" s="13" t="str">
        <f t="shared" si="5"/>
        <v>&gt;90%</v>
      </c>
      <c r="E43" s="13" t="str">
        <f t="shared" si="5"/>
        <v>&gt;90%</v>
      </c>
      <c r="F43" s="13" t="str">
        <f t="shared" si="5"/>
        <v>&gt;90%</v>
      </c>
      <c r="G43" s="13" t="str">
        <f t="shared" si="5"/>
        <v>&gt;90%</v>
      </c>
      <c r="H43" s="13" t="str">
        <f t="shared" si="5"/>
        <v>&gt;90%</v>
      </c>
      <c r="I43" s="13" t="str">
        <f t="shared" si="5"/>
        <v>&lt;90%</v>
      </c>
      <c r="J43" s="13" t="str">
        <f t="shared" si="5"/>
        <v>&gt;90%</v>
      </c>
      <c r="K43" s="13" t="str">
        <f t="shared" si="5"/>
        <v>&gt;90%</v>
      </c>
      <c r="L43" s="13" t="str">
        <f t="shared" si="5"/>
        <v>&gt;90%</v>
      </c>
      <c r="M43" s="13" t="str">
        <f t="shared" si="5"/>
        <v>&gt;90%</v>
      </c>
      <c r="N43" s="13" t="str">
        <f t="shared" si="5"/>
        <v>&gt;90%</v>
      </c>
      <c r="O43" s="13" t="str">
        <f t="shared" si="5"/>
        <v>&gt;90%</v>
      </c>
      <c r="P43" s="13" t="str">
        <f t="shared" si="5"/>
        <v>&gt;90%</v>
      </c>
      <c r="Q43" s="13" t="str">
        <f t="shared" si="5"/>
        <v>&gt;90%</v>
      </c>
      <c r="R43" s="13"/>
      <c r="S43" s="13"/>
      <c r="T43" s="13"/>
      <c r="U43" s="13"/>
    </row>
    <row r="44" spans="1:21" x14ac:dyDescent="0.25">
      <c r="A44" s="94" t="s">
        <v>5</v>
      </c>
      <c r="B44" s="13" t="str">
        <f>IF(B42&gt;=28,"OK",IF(B42&lt;=28,"LESS"))</f>
        <v>OK</v>
      </c>
      <c r="C44" s="13" t="str">
        <f t="shared" ref="C44:Q44" si="6">IF(C42&gt;=28,"OK",IF(C42&lt;=28,"LESS"))</f>
        <v>OK</v>
      </c>
      <c r="D44" s="13" t="str">
        <f t="shared" si="6"/>
        <v>OK</v>
      </c>
      <c r="E44" s="13" t="str">
        <f t="shared" si="6"/>
        <v>OK</v>
      </c>
      <c r="F44" s="13" t="str">
        <f t="shared" si="6"/>
        <v>OK</v>
      </c>
      <c r="G44" s="13" t="str">
        <f t="shared" si="6"/>
        <v>OK</v>
      </c>
      <c r="H44" s="13" t="str">
        <f t="shared" si="6"/>
        <v>OK</v>
      </c>
      <c r="I44" s="13" t="str">
        <f t="shared" si="6"/>
        <v>LESS</v>
      </c>
      <c r="J44" s="13" t="str">
        <f t="shared" si="6"/>
        <v>OK</v>
      </c>
      <c r="K44" s="13" t="str">
        <f t="shared" si="6"/>
        <v>OK</v>
      </c>
      <c r="L44" s="13" t="str">
        <f t="shared" si="6"/>
        <v>OK</v>
      </c>
      <c r="M44" s="13" t="str">
        <f t="shared" si="6"/>
        <v>OK</v>
      </c>
      <c r="N44" s="13" t="str">
        <f t="shared" si="6"/>
        <v>OK</v>
      </c>
      <c r="O44" s="13" t="str">
        <f t="shared" si="6"/>
        <v>OK</v>
      </c>
      <c r="P44" s="13" t="str">
        <f t="shared" si="6"/>
        <v>OK</v>
      </c>
      <c r="Q44" s="13" t="str">
        <f t="shared" si="6"/>
        <v>OK</v>
      </c>
      <c r="R44" s="13"/>
      <c r="S44" s="13"/>
      <c r="T44" s="13"/>
      <c r="U44" s="13"/>
    </row>
    <row r="45" spans="1:21" x14ac:dyDescent="0.25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7" spans="1:21" x14ac:dyDescent="0.25">
      <c r="A47" s="94" t="s">
        <v>64</v>
      </c>
      <c r="B47" s="107" t="s">
        <v>133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</row>
    <row r="48" spans="1:21" x14ac:dyDescent="0.25">
      <c r="A48" s="97"/>
      <c r="B48" s="54"/>
      <c r="C48" s="54"/>
      <c r="D48" s="2"/>
      <c r="E48" s="2"/>
      <c r="F48" s="2"/>
      <c r="G48" s="2"/>
      <c r="H48" s="2"/>
      <c r="I48" s="2"/>
      <c r="J48" s="54"/>
      <c r="K48" s="54"/>
      <c r="L48" s="54"/>
      <c r="M48" s="54"/>
      <c r="N48" s="54"/>
      <c r="O48" s="54"/>
      <c r="P48" s="54"/>
    </row>
    <row r="49" spans="1:16" ht="15.75" x14ac:dyDescent="0.25">
      <c r="A49" s="98" t="s">
        <v>65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</row>
    <row r="50" spans="1:16" x14ac:dyDescent="0.25">
      <c r="A50" s="97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</sheetData>
  <mergeCells count="1">
    <mergeCell ref="B49:P49"/>
  </mergeCells>
  <pageMargins left="0.17" right="0.17" top="0.19" bottom="0.16" header="0.17" footer="0.16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3" sqref="D3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18" t="s">
        <v>2935</v>
      </c>
      <c r="E1" s="218"/>
      <c r="F1" s="218"/>
      <c r="G1" s="218"/>
      <c r="H1" s="218"/>
      <c r="I1" s="218"/>
      <c r="J1" s="219"/>
    </row>
    <row r="2" spans="2:24" ht="22.5" customHeight="1" thickBot="1" x14ac:dyDescent="0.3">
      <c r="B2" s="54"/>
      <c r="C2" s="111" t="s">
        <v>0</v>
      </c>
      <c r="D2" s="112" t="s">
        <v>2936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2" t="s">
        <v>1</v>
      </c>
      <c r="H5" s="222"/>
      <c r="I5" s="40"/>
      <c r="J5" s="40"/>
      <c r="K5" s="40"/>
      <c r="L5" s="40"/>
      <c r="M5" s="41"/>
      <c r="O5" s="68"/>
      <c r="P5" s="69"/>
      <c r="Q5" s="69"/>
      <c r="R5" s="69"/>
      <c r="S5" s="208" t="s">
        <v>222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45693.5625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201.45</v>
      </c>
      <c r="I8" s="60">
        <v>0</v>
      </c>
      <c r="J8" s="61">
        <f>F8/H8</f>
        <v>0.99280218416480526</v>
      </c>
      <c r="K8" s="61">
        <f>(H8-F8)*100/F8</f>
        <v>0.72499999999999432</v>
      </c>
      <c r="L8" s="60" t="s">
        <v>67</v>
      </c>
      <c r="M8" s="78" t="s">
        <v>217</v>
      </c>
      <c r="O8" s="63">
        <v>45693.614583333336</v>
      </c>
      <c r="P8" s="64" t="s">
        <v>70</v>
      </c>
      <c r="Q8" s="64">
        <v>5094.75</v>
      </c>
      <c r="R8" s="64">
        <v>3919.01</v>
      </c>
      <c r="S8" s="77" t="s">
        <v>2932</v>
      </c>
      <c r="T8" s="77">
        <v>831.13</v>
      </c>
      <c r="U8" s="86">
        <v>0.93489999999999995</v>
      </c>
      <c r="V8" s="86">
        <v>0.95</v>
      </c>
      <c r="W8" s="60" t="s">
        <v>67</v>
      </c>
      <c r="X8" s="78" t="s">
        <v>217</v>
      </c>
    </row>
    <row r="9" spans="2:24" ht="15.75" x14ac:dyDescent="0.25">
      <c r="B9" s="63">
        <v>45706.510416666664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202.41</v>
      </c>
      <c r="I9" s="60">
        <v>0</v>
      </c>
      <c r="J9" s="61">
        <f t="shared" ref="J9:J14" si="0">F9/H9</f>
        <v>0.98809347364260658</v>
      </c>
      <c r="K9" s="61">
        <f t="shared" ref="K9:K14" si="1">(H9-F9)*100/F9</f>
        <v>1.2049999999999983</v>
      </c>
      <c r="L9" s="60" t="s">
        <v>67</v>
      </c>
      <c r="M9" s="62" t="s">
        <v>217</v>
      </c>
      <c r="O9" s="63">
        <v>45706.5</v>
      </c>
      <c r="P9" s="64" t="s">
        <v>70</v>
      </c>
      <c r="Q9" s="64">
        <v>4954.6099999999997</v>
      </c>
      <c r="R9" s="64">
        <v>3843.36</v>
      </c>
      <c r="S9" s="77" t="s">
        <v>2932</v>
      </c>
      <c r="T9" s="77">
        <v>834.51</v>
      </c>
      <c r="U9" s="86">
        <v>0.92910000000000004</v>
      </c>
      <c r="V9" s="86">
        <v>0.91859999999999997</v>
      </c>
      <c r="W9" s="60" t="s">
        <v>67</v>
      </c>
      <c r="X9" s="62" t="s">
        <v>217</v>
      </c>
    </row>
    <row r="10" spans="2:24" ht="15.75" x14ac:dyDescent="0.25">
      <c r="B10" s="63">
        <v>45714.506944444445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199.86</v>
      </c>
      <c r="I10" s="60">
        <v>0</v>
      </c>
      <c r="J10" s="61">
        <f t="shared" si="0"/>
        <v>1.0007004903432402</v>
      </c>
      <c r="K10" s="61">
        <f t="shared" si="1"/>
        <v>-6.9999999999993179E-2</v>
      </c>
      <c r="L10" s="60" t="s">
        <v>67</v>
      </c>
      <c r="M10" s="62" t="s">
        <v>217</v>
      </c>
      <c r="O10" s="63">
        <v>45714.463888888888</v>
      </c>
      <c r="P10" s="64" t="s">
        <v>70</v>
      </c>
      <c r="Q10" s="64">
        <v>4541.1899999999996</v>
      </c>
      <c r="R10" s="64">
        <v>3450.84</v>
      </c>
      <c r="S10" s="77" t="s">
        <v>2932</v>
      </c>
      <c r="T10" s="77">
        <v>830.59</v>
      </c>
      <c r="U10" s="86">
        <v>0.88800000000000001</v>
      </c>
      <c r="V10" s="86">
        <v>0.89270000000000005</v>
      </c>
      <c r="W10" s="60" t="s">
        <v>67</v>
      </c>
      <c r="X10" s="62" t="s">
        <v>217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217</v>
      </c>
      <c r="O11" s="63"/>
      <c r="P11" s="64" t="s">
        <v>70</v>
      </c>
      <c r="Q11" s="64"/>
      <c r="R11" s="64"/>
      <c r="S11" s="77" t="s">
        <v>2932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2932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1" t="s">
        <v>25</v>
      </c>
      <c r="D21" s="221"/>
      <c r="E21" s="221"/>
      <c r="F21" s="221"/>
      <c r="G21" s="221"/>
      <c r="H21" s="221"/>
      <c r="I21" s="45">
        <f>COUNT(B8:B20)</f>
        <v>3</v>
      </c>
      <c r="J21" s="46"/>
      <c r="K21" s="46"/>
      <c r="L21" s="47"/>
      <c r="M21" s="48"/>
      <c r="O21" s="80"/>
      <c r="P21" s="223" t="s">
        <v>84</v>
      </c>
      <c r="Q21" s="223"/>
      <c r="R21" s="223"/>
      <c r="S21" s="223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0" t="s">
        <v>2</v>
      </c>
      <c r="H24" s="220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45693.46875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203.41</v>
      </c>
      <c r="I27" s="60">
        <v>0</v>
      </c>
      <c r="J27" s="61">
        <f>F27/H27</f>
        <v>0.98323582911361296</v>
      </c>
      <c r="K27" s="61">
        <f>(H27-F27)*100/F27</f>
        <v>1.7049999999999983</v>
      </c>
      <c r="L27" s="60" t="s">
        <v>67</v>
      </c>
      <c r="M27" s="78" t="s">
        <v>217</v>
      </c>
      <c r="O27" s="63">
        <v>45693.614583333336</v>
      </c>
      <c r="P27" s="64" t="s">
        <v>71</v>
      </c>
      <c r="Q27" s="64">
        <v>4951.96</v>
      </c>
      <c r="R27" s="64">
        <v>3900.55</v>
      </c>
      <c r="S27" s="77" t="s">
        <v>2933</v>
      </c>
      <c r="T27" s="77">
        <v>844.88</v>
      </c>
      <c r="U27" s="86">
        <v>0.99790000000000001</v>
      </c>
      <c r="V27" s="86">
        <v>0.98680000000000001</v>
      </c>
      <c r="W27" s="60" t="s">
        <v>67</v>
      </c>
      <c r="X27" s="78" t="s">
        <v>217</v>
      </c>
    </row>
    <row r="28" spans="2:24" s="24" customFormat="1" ht="15.75" x14ac:dyDescent="0.25">
      <c r="B28" s="63" t="s">
        <v>2934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201.35</v>
      </c>
      <c r="I28" s="60">
        <v>0</v>
      </c>
      <c r="J28" s="61">
        <f t="shared" ref="J28:J33" si="2">F28/H28</f>
        <v>0.99329525701514776</v>
      </c>
      <c r="K28" s="61">
        <f t="shared" ref="K28:K33" si="3">(H28-F28)*100/F28</f>
        <v>0.67499999999999716</v>
      </c>
      <c r="L28" s="60" t="s">
        <v>67</v>
      </c>
      <c r="M28" s="62" t="s">
        <v>223</v>
      </c>
      <c r="O28" s="63">
        <v>45706.5</v>
      </c>
      <c r="P28" s="64" t="s">
        <v>71</v>
      </c>
      <c r="Q28" s="64">
        <v>4651.34</v>
      </c>
      <c r="R28" s="64">
        <v>3528.46</v>
      </c>
      <c r="S28" s="77" t="s">
        <v>2933</v>
      </c>
      <c r="T28" s="77">
        <v>843.33</v>
      </c>
      <c r="U28" s="86">
        <v>0.96479999999999999</v>
      </c>
      <c r="V28" s="86">
        <v>0.97260000000000002</v>
      </c>
      <c r="W28" s="60" t="s">
        <v>67</v>
      </c>
      <c r="X28" s="62" t="s">
        <v>217</v>
      </c>
    </row>
    <row r="29" spans="2:24" s="24" customFormat="1" ht="15.75" x14ac:dyDescent="0.25">
      <c r="B29" s="63">
        <v>45714.461805555555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200.62</v>
      </c>
      <c r="I29" s="60">
        <v>0</v>
      </c>
      <c r="J29" s="61">
        <f t="shared" si="2"/>
        <v>0.99690958030106669</v>
      </c>
      <c r="K29" s="61">
        <f t="shared" si="3"/>
        <v>0.31000000000000227</v>
      </c>
      <c r="L29" s="60" t="s">
        <v>67</v>
      </c>
      <c r="M29" s="62" t="s">
        <v>224</v>
      </c>
      <c r="O29" s="63">
        <v>45714.463888888888</v>
      </c>
      <c r="P29" s="64" t="s">
        <v>71</v>
      </c>
      <c r="Q29" s="64">
        <v>4841.0600000000004</v>
      </c>
      <c r="R29" s="64">
        <v>3715.73</v>
      </c>
      <c r="S29" s="77" t="s">
        <v>2933</v>
      </c>
      <c r="T29" s="77">
        <v>851.67</v>
      </c>
      <c r="U29" s="86">
        <v>0.94430000000000003</v>
      </c>
      <c r="V29" s="86">
        <v>0.93910000000000005</v>
      </c>
      <c r="W29" s="60" t="s">
        <v>67</v>
      </c>
      <c r="X29" s="62" t="s">
        <v>217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224</v>
      </c>
      <c r="O30" s="63"/>
      <c r="P30" s="64" t="s">
        <v>71</v>
      </c>
      <c r="Q30" s="64"/>
      <c r="R30" s="64"/>
      <c r="S30" s="77" t="s">
        <v>2933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3" t="s">
        <v>85</v>
      </c>
      <c r="Q40" s="223"/>
      <c r="R40" s="223"/>
      <c r="S40" s="223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1" t="s">
        <v>26</v>
      </c>
      <c r="E41" s="221"/>
      <c r="F41" s="221"/>
      <c r="G41" s="221"/>
      <c r="H41" s="221"/>
      <c r="I41" s="221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0" t="s">
        <v>23</v>
      </c>
      <c r="H44" s="220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223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1" t="s">
        <v>27</v>
      </c>
      <c r="E61" s="221"/>
      <c r="F61" s="221"/>
      <c r="G61" s="221"/>
      <c r="H61" s="221"/>
      <c r="I61" s="221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0" t="s">
        <v>3</v>
      </c>
      <c r="H64" s="220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45693.544444444444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223</v>
      </c>
    </row>
    <row r="68" spans="2:13" ht="15.75" x14ac:dyDescent="0.25">
      <c r="B68" s="63">
        <v>45706.554166666669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4.9800000000000004</v>
      </c>
      <c r="I68" s="60">
        <v>0</v>
      </c>
      <c r="J68" s="61">
        <f t="shared" ref="J68:J73" si="4">F68/H68</f>
        <v>1.0040160642570279</v>
      </c>
      <c r="K68" s="61">
        <f t="shared" ref="K68:K73" si="5">(H68-F68)*100/F68</f>
        <v>-0.39999999999999147</v>
      </c>
      <c r="L68" s="60" t="s">
        <v>67</v>
      </c>
      <c r="M68" s="62" t="s">
        <v>224</v>
      </c>
    </row>
    <row r="69" spans="2:13" ht="15.75" x14ac:dyDescent="0.25">
      <c r="B69" s="63">
        <v>45714.558333333334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5.16</v>
      </c>
      <c r="I69" s="60">
        <v>0</v>
      </c>
      <c r="J69" s="61">
        <f t="shared" si="4"/>
        <v>0.96899224806201545</v>
      </c>
      <c r="K69" s="61">
        <f t="shared" si="5"/>
        <v>3.2000000000000028</v>
      </c>
      <c r="L69" s="60" t="s">
        <v>67</v>
      </c>
      <c r="M69" s="62" t="s">
        <v>224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224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1" t="s">
        <v>28</v>
      </c>
      <c r="E81" s="221"/>
      <c r="F81" s="221"/>
      <c r="G81" s="221"/>
      <c r="H81" s="221"/>
      <c r="I81" s="221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0" t="s">
        <v>24</v>
      </c>
      <c r="H84" s="220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1" t="s">
        <v>29</v>
      </c>
      <c r="E101" s="221"/>
      <c r="F101" s="221"/>
      <c r="G101" s="221"/>
      <c r="H101" s="221"/>
      <c r="I101" s="221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2" t="s">
        <v>4</v>
      </c>
      <c r="H104" s="222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223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224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224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224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1" t="s">
        <v>69</v>
      </c>
      <c r="D119" s="221"/>
      <c r="E119" s="221"/>
      <c r="F119" s="221"/>
      <c r="G119" s="221"/>
      <c r="H119" s="221"/>
      <c r="I119" s="52">
        <f>COUNT(B107:B118)</f>
        <v>0</v>
      </c>
      <c r="J119" s="46"/>
      <c r="K119" s="46"/>
      <c r="L119" s="47"/>
      <c r="M119" s="48"/>
    </row>
  </sheetData>
  <mergeCells count="15"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4" t="s">
        <v>226</v>
      </c>
      <c r="C2" s="224"/>
      <c r="D2" s="225">
        <v>45017</v>
      </c>
      <c r="E2" s="225"/>
    </row>
    <row r="3" spans="1:5" x14ac:dyDescent="0.25">
      <c r="B3" s="224" t="s">
        <v>21</v>
      </c>
      <c r="C3" s="224"/>
      <c r="D3" s="225"/>
      <c r="E3" s="225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6" t="s">
        <v>22</v>
      </c>
      <c r="C44" s="226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7" t="s">
        <v>221</v>
      </c>
      <c r="C2" s="227"/>
      <c r="D2" s="227"/>
      <c r="E2" s="227"/>
      <c r="F2" s="228">
        <v>44713</v>
      </c>
      <c r="G2" s="229"/>
      <c r="H2" s="229"/>
    </row>
    <row r="3" spans="2:24" s="12" customFormat="1" ht="15" customHeight="1" x14ac:dyDescent="0.25">
      <c r="B3" s="227"/>
      <c r="C3" s="227"/>
      <c r="D3" s="227"/>
      <c r="E3" s="227"/>
      <c r="F3" s="229"/>
      <c r="G3" s="229"/>
      <c r="H3" s="229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0" t="s">
        <v>4</v>
      </c>
      <c r="C12" s="232" t="s">
        <v>134</v>
      </c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127"/>
      <c r="U12" s="125"/>
    </row>
    <row r="13" spans="2:24" ht="15" customHeight="1" x14ac:dyDescent="0.25">
      <c r="B13" s="231"/>
      <c r="C13" s="128" t="s">
        <v>78</v>
      </c>
      <c r="D13" s="129" t="s">
        <v>83</v>
      </c>
      <c r="E13" s="129" t="s">
        <v>135</v>
      </c>
      <c r="F13" s="129" t="s">
        <v>218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31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1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31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31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1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4" t="s">
        <v>2</v>
      </c>
      <c r="C25" s="236" t="s">
        <v>134</v>
      </c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8"/>
      <c r="S25" s="188"/>
      <c r="T25" s="189"/>
    </row>
    <row r="26" spans="2:28" ht="15" customHeight="1" x14ac:dyDescent="0.3">
      <c r="B26" s="234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34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4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5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2" t="s">
        <v>3</v>
      </c>
      <c r="C36" s="244" t="s">
        <v>134</v>
      </c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5"/>
    </row>
    <row r="37" spans="2:25" ht="15.75" customHeight="1" x14ac:dyDescent="0.25">
      <c r="B37" s="243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3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3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3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6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7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47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7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47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4" t="s">
        <v>185</v>
      </c>
      <c r="C61" s="236" t="s">
        <v>134</v>
      </c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8"/>
      <c r="S61" s="166"/>
      <c r="T61" s="167"/>
    </row>
    <row r="62" spans="2:20" ht="15.75" x14ac:dyDescent="0.3">
      <c r="B62" s="234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48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8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5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4" t="s">
        <v>202</v>
      </c>
      <c r="C69" s="236" t="s">
        <v>134</v>
      </c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8"/>
      <c r="S69" s="166"/>
      <c r="T69" s="167"/>
    </row>
    <row r="70" spans="2:20" ht="15.75" x14ac:dyDescent="0.3">
      <c r="B70" s="234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34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8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5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9" t="s">
        <v>24</v>
      </c>
      <c r="C77" s="238" t="s">
        <v>134</v>
      </c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177"/>
      <c r="S77" s="177"/>
      <c r="T77" s="178"/>
    </row>
    <row r="78" spans="2:20" x14ac:dyDescent="0.25">
      <c r="B78" s="240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40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0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4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40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0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MONTHLY 28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2025-10-24T15:50:05Z</dcterms:modified>
</cp:coreProperties>
</file>