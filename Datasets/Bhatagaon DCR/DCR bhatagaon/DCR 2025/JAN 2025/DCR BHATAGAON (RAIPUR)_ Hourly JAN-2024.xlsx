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155" yWindow="510" windowWidth="20730" windowHeight="11760" tabRatio="913" activeTab="31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0" r:id="rId29"/>
    <sheet name="30" sheetId="41" r:id="rId30"/>
    <sheet name="31" sheetId="42" r:id="rId31"/>
    <sheet name="MONTHLY 31" sheetId="39" r:id="rId32"/>
  </sheets>
  <calcPr calcId="144525"/>
</workbook>
</file>

<file path=xl/calcChain.xml><?xml version="1.0" encoding="utf-8"?>
<calcChain xmlns="http://schemas.openxmlformats.org/spreadsheetml/2006/main">
  <c r="N17" i="39" l="1"/>
  <c r="O17" i="39"/>
  <c r="P17" i="39"/>
  <c r="N15" i="39"/>
  <c r="O15" i="39"/>
  <c r="P15" i="39"/>
  <c r="Q38" i="42"/>
  <c r="Q40" i="42" s="1"/>
  <c r="P38" i="42"/>
  <c r="P40" i="42" s="1"/>
  <c r="O38" i="42"/>
  <c r="O40" i="42" s="1"/>
  <c r="N38" i="42"/>
  <c r="N40" i="42" s="1"/>
  <c r="M38" i="42"/>
  <c r="M40" i="42" s="1"/>
  <c r="L38" i="42"/>
  <c r="L40" i="42" s="1"/>
  <c r="K38" i="42"/>
  <c r="K40" i="42" s="1"/>
  <c r="J38" i="42"/>
  <c r="J40" i="42" s="1"/>
  <c r="I38" i="42"/>
  <c r="I40" i="42" s="1"/>
  <c r="H38" i="42"/>
  <c r="H40" i="42" s="1"/>
  <c r="G38" i="42"/>
  <c r="G40" i="42" s="1"/>
  <c r="F38" i="42"/>
  <c r="F40" i="42" s="1"/>
  <c r="E38" i="42"/>
  <c r="E40" i="42" s="1"/>
  <c r="D38" i="42"/>
  <c r="D40" i="42" s="1"/>
  <c r="C38" i="42"/>
  <c r="C40" i="42" s="1"/>
  <c r="B38" i="42"/>
  <c r="B40" i="42" s="1"/>
  <c r="Q37" i="42"/>
  <c r="P37" i="42"/>
  <c r="O37" i="42"/>
  <c r="N37" i="42"/>
  <c r="M37" i="42"/>
  <c r="L37" i="42"/>
  <c r="K37" i="42"/>
  <c r="J37" i="42"/>
  <c r="I37" i="42"/>
  <c r="H37" i="42"/>
  <c r="G37" i="42"/>
  <c r="F37" i="42"/>
  <c r="E37" i="42"/>
  <c r="D37" i="42"/>
  <c r="C37" i="42"/>
  <c r="B37" i="42"/>
  <c r="Q36" i="42"/>
  <c r="P36" i="42"/>
  <c r="O36" i="42"/>
  <c r="N36" i="42"/>
  <c r="M36" i="42"/>
  <c r="L36" i="42"/>
  <c r="K36" i="42"/>
  <c r="J36" i="42"/>
  <c r="I36" i="42"/>
  <c r="H36" i="42"/>
  <c r="G36" i="42"/>
  <c r="F36" i="42"/>
  <c r="E36" i="42"/>
  <c r="D36" i="42"/>
  <c r="C36" i="42"/>
  <c r="B36" i="42"/>
  <c r="B39" i="39" s="1"/>
  <c r="Q35" i="42"/>
  <c r="P35" i="42"/>
  <c r="O35" i="42"/>
  <c r="N35" i="42"/>
  <c r="M35" i="42"/>
  <c r="L35" i="42"/>
  <c r="K35" i="42"/>
  <c r="J35" i="42"/>
  <c r="I35" i="42"/>
  <c r="H35" i="42"/>
  <c r="G35" i="42"/>
  <c r="F35" i="42"/>
  <c r="E35" i="42"/>
  <c r="D35" i="42"/>
  <c r="C35" i="42"/>
  <c r="B35" i="42"/>
  <c r="Q34" i="42"/>
  <c r="P34" i="42"/>
  <c r="O34" i="42"/>
  <c r="N34" i="42"/>
  <c r="M34" i="42"/>
  <c r="L34" i="42"/>
  <c r="K34" i="42"/>
  <c r="J34" i="42"/>
  <c r="I34" i="42"/>
  <c r="H34" i="42"/>
  <c r="G34" i="42"/>
  <c r="F34" i="42"/>
  <c r="E34" i="42"/>
  <c r="D34" i="42"/>
  <c r="C34" i="42"/>
  <c r="B34" i="42"/>
  <c r="B2" i="42"/>
  <c r="A39" i="39"/>
  <c r="H38" i="29"/>
  <c r="B34" i="27"/>
  <c r="C34" i="27"/>
  <c r="D34" i="27"/>
  <c r="E34" i="27"/>
  <c r="F34" i="27"/>
  <c r="G34" i="27"/>
  <c r="H34" i="27"/>
  <c r="I34" i="27"/>
  <c r="J34" i="27"/>
  <c r="K34" i="27"/>
  <c r="L34" i="27"/>
  <c r="M34" i="27"/>
  <c r="N34" i="27"/>
  <c r="O34" i="27"/>
  <c r="P34" i="27"/>
  <c r="Q34" i="27"/>
  <c r="B35" i="27"/>
  <c r="C35" i="27"/>
  <c r="D35" i="27"/>
  <c r="E35" i="27"/>
  <c r="F35" i="27"/>
  <c r="G35" i="27"/>
  <c r="H35" i="27"/>
  <c r="I35" i="27"/>
  <c r="J35" i="27"/>
  <c r="K35" i="27"/>
  <c r="L35" i="27"/>
  <c r="M35" i="27"/>
  <c r="N35" i="27"/>
  <c r="O35" i="27"/>
  <c r="P35" i="27"/>
  <c r="Q35" i="27"/>
  <c r="B36" i="27"/>
  <c r="C36" i="27"/>
  <c r="D36" i="27"/>
  <c r="E36" i="27"/>
  <c r="F36" i="27"/>
  <c r="G36" i="27"/>
  <c r="H36" i="27"/>
  <c r="I36" i="27"/>
  <c r="J36" i="27"/>
  <c r="K36" i="27"/>
  <c r="L36" i="27"/>
  <c r="M36" i="27"/>
  <c r="N36" i="27"/>
  <c r="O36" i="27"/>
  <c r="P36" i="27"/>
  <c r="Q36" i="27"/>
  <c r="B37" i="27"/>
  <c r="C37" i="27"/>
  <c r="D37" i="27"/>
  <c r="E37" i="27"/>
  <c r="F37" i="27"/>
  <c r="G37" i="27"/>
  <c r="H37" i="27"/>
  <c r="I37" i="27"/>
  <c r="J37" i="27"/>
  <c r="K37" i="27"/>
  <c r="L37" i="27"/>
  <c r="M37" i="27"/>
  <c r="N37" i="27"/>
  <c r="O37" i="27"/>
  <c r="P37" i="27"/>
  <c r="Q37" i="27"/>
  <c r="B38" i="27"/>
  <c r="B39" i="27" s="1"/>
  <c r="C38" i="27"/>
  <c r="D38" i="27"/>
  <c r="E38" i="27"/>
  <c r="E40" i="27" s="1"/>
  <c r="F38" i="27"/>
  <c r="G38" i="27"/>
  <c r="H38" i="27"/>
  <c r="I38" i="27"/>
  <c r="I39" i="27" s="1"/>
  <c r="J38" i="27"/>
  <c r="K38" i="27"/>
  <c r="L38" i="27"/>
  <c r="M38" i="27"/>
  <c r="M40" i="27" s="1"/>
  <c r="N38" i="27"/>
  <c r="O38" i="27"/>
  <c r="O39" i="27" s="1"/>
  <c r="P38" i="27"/>
  <c r="P40" i="27" s="1"/>
  <c r="Q38" i="27"/>
  <c r="Q40" i="27" s="1"/>
  <c r="C39" i="27"/>
  <c r="D39" i="27"/>
  <c r="E39" i="27"/>
  <c r="F39" i="27"/>
  <c r="G39" i="27"/>
  <c r="H39" i="27"/>
  <c r="J39" i="27"/>
  <c r="K39" i="27"/>
  <c r="L39" i="27"/>
  <c r="N39" i="27"/>
  <c r="C40" i="27"/>
  <c r="D40" i="27"/>
  <c r="F40" i="27"/>
  <c r="G40" i="27"/>
  <c r="H40" i="27"/>
  <c r="J40" i="27"/>
  <c r="K40" i="27"/>
  <c r="L40" i="27"/>
  <c r="N40" i="27"/>
  <c r="B39" i="42" l="1"/>
  <c r="D39" i="42"/>
  <c r="E39" i="42"/>
  <c r="F39" i="42"/>
  <c r="G39" i="42"/>
  <c r="H39" i="42"/>
  <c r="I39" i="42"/>
  <c r="J39" i="42"/>
  <c r="K39" i="42"/>
  <c r="L39" i="42"/>
  <c r="C39" i="42"/>
  <c r="M39" i="42"/>
  <c r="N39" i="42"/>
  <c r="O39" i="42"/>
  <c r="P39" i="42"/>
  <c r="Q39" i="42"/>
  <c r="B40" i="27"/>
  <c r="I40" i="27"/>
  <c r="Q39" i="27"/>
  <c r="P39" i="27"/>
  <c r="M39" i="27"/>
  <c r="O40" i="27"/>
  <c r="H38" i="25"/>
  <c r="G38" i="25"/>
  <c r="E38" i="25"/>
  <c r="C38" i="18"/>
  <c r="D38" i="18"/>
  <c r="B38" i="18"/>
  <c r="I38" i="2"/>
  <c r="C38" i="2"/>
  <c r="D38" i="2"/>
  <c r="E38" i="2"/>
  <c r="F38" i="2"/>
  <c r="G38" i="2"/>
  <c r="H38" i="2"/>
  <c r="J38" i="2"/>
  <c r="K38" i="2"/>
  <c r="L38" i="2"/>
  <c r="M38" i="2"/>
  <c r="N38" i="2"/>
  <c r="O38" i="2"/>
  <c r="P38" i="2"/>
  <c r="Q38" i="2"/>
  <c r="B38" i="2"/>
  <c r="B2" i="20" l="1"/>
  <c r="D37" i="39"/>
  <c r="G35" i="39"/>
  <c r="F35" i="39"/>
  <c r="G34" i="39"/>
  <c r="Q30" i="39"/>
  <c r="P30" i="39"/>
  <c r="O30" i="39"/>
  <c r="N30" i="39"/>
  <c r="M30" i="39"/>
  <c r="L30" i="39"/>
  <c r="K30" i="39"/>
  <c r="J30" i="39"/>
  <c r="H30" i="39"/>
  <c r="G30" i="39"/>
  <c r="F30" i="39"/>
  <c r="E30" i="39"/>
  <c r="D30" i="39"/>
  <c r="C30" i="39"/>
  <c r="B30" i="39"/>
  <c r="L29" i="39"/>
  <c r="M28" i="39"/>
  <c r="N27" i="39"/>
  <c r="O26" i="39"/>
  <c r="P25" i="39"/>
  <c r="A23" i="39"/>
  <c r="F20" i="39"/>
  <c r="E20" i="39"/>
  <c r="F19" i="39"/>
  <c r="G18" i="39"/>
  <c r="H17" i="39"/>
  <c r="J16" i="39"/>
  <c r="J15" i="39"/>
  <c r="K14" i="39"/>
  <c r="L13" i="39"/>
  <c r="M12" i="39"/>
  <c r="N11" i="39"/>
  <c r="O10" i="39"/>
  <c r="Q38" i="41"/>
  <c r="Q40" i="41" s="1"/>
  <c r="P38" i="41"/>
  <c r="P39" i="41" s="1"/>
  <c r="O38" i="41"/>
  <c r="O40" i="41" s="1"/>
  <c r="N38" i="41"/>
  <c r="N40" i="41" s="1"/>
  <c r="M38" i="41"/>
  <c r="M40" i="41" s="1"/>
  <c r="L38" i="41"/>
  <c r="L40" i="41" s="1"/>
  <c r="K38" i="41"/>
  <c r="K40" i="41" s="1"/>
  <c r="J38" i="41"/>
  <c r="J40" i="41" s="1"/>
  <c r="I38" i="41"/>
  <c r="I40" i="41" s="1"/>
  <c r="H38" i="41"/>
  <c r="H40" i="41" s="1"/>
  <c r="G38" i="41"/>
  <c r="G40" i="41" s="1"/>
  <c r="F38" i="41"/>
  <c r="F40" i="41" s="1"/>
  <c r="E38" i="41"/>
  <c r="E40" i="41" s="1"/>
  <c r="D38" i="41"/>
  <c r="D40" i="41" s="1"/>
  <c r="C38" i="41"/>
  <c r="C40" i="41" s="1"/>
  <c r="B38" i="41"/>
  <c r="B40" i="41" s="1"/>
  <c r="Q37" i="41"/>
  <c r="P37" i="41"/>
  <c r="O37" i="41"/>
  <c r="N37" i="41"/>
  <c r="M37" i="41"/>
  <c r="L37" i="41"/>
  <c r="K37" i="41"/>
  <c r="J37" i="41"/>
  <c r="I37" i="41"/>
  <c r="H37" i="41"/>
  <c r="G37" i="41"/>
  <c r="F37" i="41"/>
  <c r="E37" i="41"/>
  <c r="D37" i="41"/>
  <c r="C37" i="41"/>
  <c r="B37" i="41"/>
  <c r="Q36" i="41"/>
  <c r="Q39" i="39" s="1"/>
  <c r="P36" i="41"/>
  <c r="P39" i="39" s="1"/>
  <c r="O36" i="41"/>
  <c r="O39" i="39" s="1"/>
  <c r="N36" i="41"/>
  <c r="N39" i="39" s="1"/>
  <c r="M36" i="41"/>
  <c r="M39" i="39" s="1"/>
  <c r="L36" i="41"/>
  <c r="L39" i="39" s="1"/>
  <c r="K36" i="41"/>
  <c r="K39" i="39" s="1"/>
  <c r="J36" i="41"/>
  <c r="J39" i="39" s="1"/>
  <c r="I36" i="41"/>
  <c r="H36" i="41"/>
  <c r="H39" i="39" s="1"/>
  <c r="G36" i="41"/>
  <c r="G39" i="39" s="1"/>
  <c r="F36" i="41"/>
  <c r="F39" i="39" s="1"/>
  <c r="E36" i="41"/>
  <c r="E39" i="39" s="1"/>
  <c r="D36" i="41"/>
  <c r="D39" i="39" s="1"/>
  <c r="C36" i="41"/>
  <c r="C39" i="39" s="1"/>
  <c r="B36" i="41"/>
  <c r="B38" i="39" s="1"/>
  <c r="B45" i="39" s="1"/>
  <c r="Q35" i="41"/>
  <c r="P35" i="41"/>
  <c r="O35" i="41"/>
  <c r="N35" i="41"/>
  <c r="M35" i="41"/>
  <c r="L35" i="41"/>
  <c r="K35" i="41"/>
  <c r="J35" i="41"/>
  <c r="I35" i="41"/>
  <c r="H35" i="41"/>
  <c r="G35" i="41"/>
  <c r="F35" i="41"/>
  <c r="E35" i="41"/>
  <c r="D35" i="41"/>
  <c r="C35" i="41"/>
  <c r="B35" i="41"/>
  <c r="Q34" i="41"/>
  <c r="P34" i="41"/>
  <c r="O34" i="41"/>
  <c r="N34" i="41"/>
  <c r="M34" i="41"/>
  <c r="L34" i="41"/>
  <c r="K34" i="41"/>
  <c r="J34" i="41"/>
  <c r="I34" i="41"/>
  <c r="H34" i="41"/>
  <c r="G34" i="41"/>
  <c r="F34" i="41"/>
  <c r="E34" i="41"/>
  <c r="D34" i="41"/>
  <c r="C34" i="41"/>
  <c r="B34" i="41"/>
  <c r="B2" i="41"/>
  <c r="A38" i="39" s="1"/>
  <c r="Q38" i="40"/>
  <c r="Q39" i="40" s="1"/>
  <c r="P38" i="40"/>
  <c r="P40" i="40" s="1"/>
  <c r="O38" i="40"/>
  <c r="O40" i="40" s="1"/>
  <c r="N38" i="40"/>
  <c r="N40" i="40" s="1"/>
  <c r="M38" i="40"/>
  <c r="M40" i="40" s="1"/>
  <c r="L38" i="40"/>
  <c r="L40" i="40" s="1"/>
  <c r="K38" i="40"/>
  <c r="K40" i="40" s="1"/>
  <c r="J38" i="40"/>
  <c r="J40" i="40" s="1"/>
  <c r="I38" i="40"/>
  <c r="I40" i="40" s="1"/>
  <c r="H38" i="40"/>
  <c r="H40" i="40" s="1"/>
  <c r="G38" i="40"/>
  <c r="G40" i="40" s="1"/>
  <c r="F38" i="40"/>
  <c r="F40" i="40" s="1"/>
  <c r="E38" i="40"/>
  <c r="E40" i="40" s="1"/>
  <c r="D38" i="40"/>
  <c r="D40" i="40" s="1"/>
  <c r="C38" i="40"/>
  <c r="C40" i="40" s="1"/>
  <c r="B38" i="40"/>
  <c r="B40" i="40" s="1"/>
  <c r="Q37" i="40"/>
  <c r="P37" i="40"/>
  <c r="O37" i="40"/>
  <c r="N37" i="40"/>
  <c r="M37" i="40"/>
  <c r="L37" i="40"/>
  <c r="K37" i="40"/>
  <c r="J37" i="40"/>
  <c r="I37" i="40"/>
  <c r="H37" i="40"/>
  <c r="G37" i="40"/>
  <c r="F37" i="40"/>
  <c r="E37" i="40"/>
  <c r="D37" i="40"/>
  <c r="C37" i="40"/>
  <c r="B37" i="40"/>
  <c r="Q36" i="40"/>
  <c r="Q37" i="39" s="1"/>
  <c r="P36" i="40"/>
  <c r="P37" i="39" s="1"/>
  <c r="O36" i="40"/>
  <c r="O37" i="39" s="1"/>
  <c r="N36" i="40"/>
  <c r="N37" i="39" s="1"/>
  <c r="M36" i="40"/>
  <c r="M37" i="39" s="1"/>
  <c r="L36" i="40"/>
  <c r="L37" i="39" s="1"/>
  <c r="K36" i="40"/>
  <c r="K37" i="39" s="1"/>
  <c r="J36" i="40"/>
  <c r="J37" i="39" s="1"/>
  <c r="I36" i="40"/>
  <c r="H36" i="40"/>
  <c r="H37" i="39" s="1"/>
  <c r="G36" i="40"/>
  <c r="G37" i="39" s="1"/>
  <c r="F36" i="40"/>
  <c r="F37" i="39" s="1"/>
  <c r="E36" i="40"/>
  <c r="E37" i="39" s="1"/>
  <c r="D36" i="40"/>
  <c r="C36" i="40"/>
  <c r="C37" i="39" s="1"/>
  <c r="B36" i="40"/>
  <c r="B37" i="39" s="1"/>
  <c r="Q35" i="40"/>
  <c r="P35" i="40"/>
  <c r="O35" i="40"/>
  <c r="N35" i="40"/>
  <c r="M35" i="40"/>
  <c r="L35" i="40"/>
  <c r="K35" i="40"/>
  <c r="J35" i="40"/>
  <c r="I35" i="40"/>
  <c r="H35" i="40"/>
  <c r="G35" i="40"/>
  <c r="F35" i="40"/>
  <c r="E35" i="40"/>
  <c r="D35" i="40"/>
  <c r="C35" i="40"/>
  <c r="B35" i="40"/>
  <c r="Q34" i="40"/>
  <c r="P34" i="40"/>
  <c r="O34" i="40"/>
  <c r="N34" i="40"/>
  <c r="M34" i="40"/>
  <c r="L34" i="40"/>
  <c r="K34" i="40"/>
  <c r="J34" i="40"/>
  <c r="I34" i="40"/>
  <c r="H34" i="40"/>
  <c r="G34" i="40"/>
  <c r="F34" i="40"/>
  <c r="E34" i="40"/>
  <c r="D34" i="40"/>
  <c r="C34" i="40"/>
  <c r="B34" i="40"/>
  <c r="B2" i="40"/>
  <c r="A37" i="39" s="1"/>
  <c r="Q38" i="33"/>
  <c r="Q40" i="33" s="1"/>
  <c r="P38" i="33"/>
  <c r="P40" i="33" s="1"/>
  <c r="O38" i="33"/>
  <c r="O40" i="33" s="1"/>
  <c r="N38" i="33"/>
  <c r="N40" i="33" s="1"/>
  <c r="M38" i="33"/>
  <c r="M40" i="33" s="1"/>
  <c r="L38" i="33"/>
  <c r="L40" i="33" s="1"/>
  <c r="K38" i="33"/>
  <c r="K40" i="33" s="1"/>
  <c r="J38" i="33"/>
  <c r="J40" i="33" s="1"/>
  <c r="I38" i="33"/>
  <c r="I40" i="33" s="1"/>
  <c r="H38" i="33"/>
  <c r="H40" i="33" s="1"/>
  <c r="G38" i="33"/>
  <c r="G40" i="33" s="1"/>
  <c r="F38" i="33"/>
  <c r="F40" i="33" s="1"/>
  <c r="E38" i="33"/>
  <c r="E40" i="33" s="1"/>
  <c r="D38" i="33"/>
  <c r="D40" i="33" s="1"/>
  <c r="C38" i="33"/>
  <c r="C40" i="33" s="1"/>
  <c r="B38" i="33"/>
  <c r="B40" i="33" s="1"/>
  <c r="Q37" i="33"/>
  <c r="P37" i="33"/>
  <c r="O37" i="33"/>
  <c r="N37" i="33"/>
  <c r="M37" i="33"/>
  <c r="L37" i="33"/>
  <c r="K37" i="33"/>
  <c r="J37" i="33"/>
  <c r="I37" i="33"/>
  <c r="H37" i="33"/>
  <c r="G37" i="33"/>
  <c r="F37" i="33"/>
  <c r="E37" i="33"/>
  <c r="D37" i="33"/>
  <c r="C37" i="33"/>
  <c r="B37" i="33"/>
  <c r="Q36" i="33"/>
  <c r="Q36" i="39" s="1"/>
  <c r="P36" i="33"/>
  <c r="P36" i="39" s="1"/>
  <c r="O36" i="33"/>
  <c r="O36" i="39" s="1"/>
  <c r="N36" i="33"/>
  <c r="N36" i="39" s="1"/>
  <c r="M36" i="33"/>
  <c r="M36" i="39" s="1"/>
  <c r="L36" i="33"/>
  <c r="L36" i="39" s="1"/>
  <c r="K36" i="33"/>
  <c r="K36" i="39" s="1"/>
  <c r="J36" i="33"/>
  <c r="J36" i="39" s="1"/>
  <c r="I36" i="33"/>
  <c r="H36" i="33"/>
  <c r="H36" i="39" s="1"/>
  <c r="G36" i="33"/>
  <c r="G36" i="39" s="1"/>
  <c r="F36" i="33"/>
  <c r="F36" i="39" s="1"/>
  <c r="E36" i="33"/>
  <c r="E36" i="39" s="1"/>
  <c r="D36" i="33"/>
  <c r="D36" i="39" s="1"/>
  <c r="C36" i="33"/>
  <c r="C36" i="39" s="1"/>
  <c r="B36" i="33"/>
  <c r="B36" i="39" s="1"/>
  <c r="Q35" i="33"/>
  <c r="P35" i="33"/>
  <c r="O35" i="33"/>
  <c r="N35" i="33"/>
  <c r="M35" i="33"/>
  <c r="L35" i="33"/>
  <c r="K35" i="33"/>
  <c r="J35" i="33"/>
  <c r="I35" i="33"/>
  <c r="H35" i="33"/>
  <c r="G35" i="33"/>
  <c r="F35" i="33"/>
  <c r="E35" i="33"/>
  <c r="D35" i="33"/>
  <c r="C35" i="33"/>
  <c r="B35" i="33"/>
  <c r="Q34" i="33"/>
  <c r="P34" i="33"/>
  <c r="O34" i="33"/>
  <c r="N34" i="33"/>
  <c r="M34" i="33"/>
  <c r="L34" i="33"/>
  <c r="K34" i="33"/>
  <c r="J34" i="33"/>
  <c r="I34" i="33"/>
  <c r="H34" i="33"/>
  <c r="G34" i="33"/>
  <c r="F34" i="33"/>
  <c r="E34" i="33"/>
  <c r="D34" i="33"/>
  <c r="C34" i="33"/>
  <c r="B34" i="33"/>
  <c r="B2" i="33"/>
  <c r="A36" i="39" s="1"/>
  <c r="Q38" i="32"/>
  <c r="Q40" i="32" s="1"/>
  <c r="P38" i="32"/>
  <c r="P40" i="32" s="1"/>
  <c r="O38" i="32"/>
  <c r="O40" i="32" s="1"/>
  <c r="N38" i="32"/>
  <c r="N40" i="32" s="1"/>
  <c r="M38" i="32"/>
  <c r="M40" i="32" s="1"/>
  <c r="L38" i="32"/>
  <c r="L40" i="32" s="1"/>
  <c r="K38" i="32"/>
  <c r="K40" i="32" s="1"/>
  <c r="J38" i="32"/>
  <c r="J40" i="32" s="1"/>
  <c r="I38" i="32"/>
  <c r="I40" i="32" s="1"/>
  <c r="H38" i="32"/>
  <c r="H40" i="32" s="1"/>
  <c r="G38" i="32"/>
  <c r="G40" i="32" s="1"/>
  <c r="F38" i="32"/>
  <c r="F40" i="32" s="1"/>
  <c r="E38" i="32"/>
  <c r="E40" i="32" s="1"/>
  <c r="D38" i="32"/>
  <c r="D39" i="32" s="1"/>
  <c r="C38" i="32"/>
  <c r="C40" i="32" s="1"/>
  <c r="B38" i="32"/>
  <c r="B40" i="32" s="1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B37" i="32"/>
  <c r="Q36" i="32"/>
  <c r="Q35" i="39" s="1"/>
  <c r="P36" i="32"/>
  <c r="P35" i="39" s="1"/>
  <c r="O36" i="32"/>
  <c r="O35" i="39" s="1"/>
  <c r="N36" i="32"/>
  <c r="N35" i="39" s="1"/>
  <c r="M36" i="32"/>
  <c r="M35" i="39" s="1"/>
  <c r="L36" i="32"/>
  <c r="L35" i="39" s="1"/>
  <c r="K36" i="32"/>
  <c r="K35" i="39" s="1"/>
  <c r="J36" i="32"/>
  <c r="J35" i="39" s="1"/>
  <c r="I36" i="32"/>
  <c r="H36" i="32"/>
  <c r="H35" i="39" s="1"/>
  <c r="G36" i="32"/>
  <c r="F36" i="32"/>
  <c r="E36" i="32"/>
  <c r="E35" i="39" s="1"/>
  <c r="D36" i="32"/>
  <c r="D35" i="39" s="1"/>
  <c r="C36" i="32"/>
  <c r="C35" i="39" s="1"/>
  <c r="B36" i="32"/>
  <c r="B35" i="39" s="1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B35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B34" i="32"/>
  <c r="B2" i="32"/>
  <c r="A35" i="39" s="1"/>
  <c r="Q38" i="31"/>
  <c r="Q40" i="31" s="1"/>
  <c r="P38" i="31"/>
  <c r="P40" i="31" s="1"/>
  <c r="O38" i="31"/>
  <c r="O40" i="31" s="1"/>
  <c r="N38" i="31"/>
  <c r="N40" i="31" s="1"/>
  <c r="M38" i="31"/>
  <c r="M40" i="31" s="1"/>
  <c r="L38" i="31"/>
  <c r="L40" i="31" s="1"/>
  <c r="K38" i="31"/>
  <c r="K40" i="31" s="1"/>
  <c r="J38" i="31"/>
  <c r="J40" i="31" s="1"/>
  <c r="I38" i="31"/>
  <c r="I40" i="31" s="1"/>
  <c r="H38" i="31"/>
  <c r="H40" i="31" s="1"/>
  <c r="G38" i="31"/>
  <c r="G40" i="31" s="1"/>
  <c r="F38" i="31"/>
  <c r="F40" i="31" s="1"/>
  <c r="E38" i="31"/>
  <c r="E40" i="31" s="1"/>
  <c r="D38" i="31"/>
  <c r="D40" i="31" s="1"/>
  <c r="C38" i="31"/>
  <c r="C40" i="31" s="1"/>
  <c r="B38" i="31"/>
  <c r="B40" i="31" s="1"/>
  <c r="Q37" i="31"/>
  <c r="P37" i="31"/>
  <c r="O37" i="31"/>
  <c r="N37" i="31"/>
  <c r="M37" i="31"/>
  <c r="L37" i="31"/>
  <c r="K37" i="31"/>
  <c r="J37" i="31"/>
  <c r="I37" i="31"/>
  <c r="H37" i="31"/>
  <c r="G37" i="31"/>
  <c r="F37" i="31"/>
  <c r="E37" i="31"/>
  <c r="D37" i="31"/>
  <c r="C37" i="31"/>
  <c r="B37" i="31"/>
  <c r="Q36" i="31"/>
  <c r="Q34" i="39" s="1"/>
  <c r="P36" i="31"/>
  <c r="P34" i="39" s="1"/>
  <c r="O36" i="31"/>
  <c r="O34" i="39" s="1"/>
  <c r="N36" i="31"/>
  <c r="N34" i="39" s="1"/>
  <c r="M36" i="31"/>
  <c r="M34" i="39" s="1"/>
  <c r="L36" i="31"/>
  <c r="L34" i="39" s="1"/>
  <c r="K36" i="31"/>
  <c r="K34" i="39" s="1"/>
  <c r="J36" i="31"/>
  <c r="J34" i="39" s="1"/>
  <c r="I36" i="31"/>
  <c r="H36" i="31"/>
  <c r="H34" i="39" s="1"/>
  <c r="G36" i="31"/>
  <c r="F36" i="31"/>
  <c r="F34" i="39" s="1"/>
  <c r="E36" i="31"/>
  <c r="E34" i="39" s="1"/>
  <c r="D36" i="31"/>
  <c r="D34" i="39" s="1"/>
  <c r="C36" i="31"/>
  <c r="C34" i="39" s="1"/>
  <c r="B36" i="31"/>
  <c r="B34" i="39" s="1"/>
  <c r="Q35" i="31"/>
  <c r="P35" i="31"/>
  <c r="O35" i="31"/>
  <c r="N35" i="31"/>
  <c r="M35" i="31"/>
  <c r="L35" i="31"/>
  <c r="K35" i="31"/>
  <c r="J35" i="31"/>
  <c r="I35" i="31"/>
  <c r="H35" i="31"/>
  <c r="G35" i="31"/>
  <c r="F35" i="31"/>
  <c r="E35" i="31"/>
  <c r="D35" i="31"/>
  <c r="C35" i="31"/>
  <c r="B35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B34" i="31"/>
  <c r="B2" i="31"/>
  <c r="A34" i="39" s="1"/>
  <c r="Q38" i="30"/>
  <c r="Q40" i="30" s="1"/>
  <c r="P38" i="30"/>
  <c r="P40" i="30" s="1"/>
  <c r="O38" i="30"/>
  <c r="O40" i="30" s="1"/>
  <c r="N38" i="30"/>
  <c r="N40" i="30" s="1"/>
  <c r="M38" i="30"/>
  <c r="M40" i="30" s="1"/>
  <c r="L38" i="30"/>
  <c r="L40" i="30" s="1"/>
  <c r="K38" i="30"/>
  <c r="K40" i="30" s="1"/>
  <c r="J38" i="30"/>
  <c r="J40" i="30" s="1"/>
  <c r="I38" i="30"/>
  <c r="I40" i="30" s="1"/>
  <c r="H38" i="30"/>
  <c r="H40" i="30" s="1"/>
  <c r="G38" i="30"/>
  <c r="G40" i="30" s="1"/>
  <c r="F38" i="30"/>
  <c r="F40" i="30" s="1"/>
  <c r="E38" i="30"/>
  <c r="E40" i="30" s="1"/>
  <c r="D38" i="30"/>
  <c r="D40" i="30" s="1"/>
  <c r="C38" i="30"/>
  <c r="C40" i="30" s="1"/>
  <c r="B38" i="30"/>
  <c r="B40" i="30" s="1"/>
  <c r="Q37" i="30"/>
  <c r="P37" i="30"/>
  <c r="O37" i="30"/>
  <c r="N37" i="30"/>
  <c r="M37" i="30"/>
  <c r="L37" i="30"/>
  <c r="K37" i="30"/>
  <c r="J37" i="30"/>
  <c r="I37" i="30"/>
  <c r="H37" i="30"/>
  <c r="G37" i="30"/>
  <c r="F37" i="30"/>
  <c r="E37" i="30"/>
  <c r="D37" i="30"/>
  <c r="C37" i="30"/>
  <c r="B37" i="30"/>
  <c r="Q36" i="30"/>
  <c r="Q33" i="39" s="1"/>
  <c r="P36" i="30"/>
  <c r="P33" i="39" s="1"/>
  <c r="O36" i="30"/>
  <c r="O33" i="39" s="1"/>
  <c r="N36" i="30"/>
  <c r="N33" i="39" s="1"/>
  <c r="M36" i="30"/>
  <c r="M33" i="39" s="1"/>
  <c r="L36" i="30"/>
  <c r="L33" i="39" s="1"/>
  <c r="K36" i="30"/>
  <c r="K33" i="39" s="1"/>
  <c r="J36" i="30"/>
  <c r="J33" i="39" s="1"/>
  <c r="I36" i="30"/>
  <c r="H36" i="30"/>
  <c r="H33" i="39" s="1"/>
  <c r="G36" i="30"/>
  <c r="G33" i="39" s="1"/>
  <c r="F36" i="30"/>
  <c r="F33" i="39" s="1"/>
  <c r="E36" i="30"/>
  <c r="E33" i="39" s="1"/>
  <c r="D36" i="30"/>
  <c r="D33" i="39" s="1"/>
  <c r="C36" i="30"/>
  <c r="C33" i="39" s="1"/>
  <c r="B36" i="30"/>
  <c r="B33" i="39" s="1"/>
  <c r="Q35" i="30"/>
  <c r="P35" i="30"/>
  <c r="O35" i="30"/>
  <c r="N35" i="30"/>
  <c r="M35" i="30"/>
  <c r="L35" i="30"/>
  <c r="K35" i="30"/>
  <c r="J35" i="30"/>
  <c r="I35" i="30"/>
  <c r="H35" i="30"/>
  <c r="G35" i="30"/>
  <c r="F35" i="30"/>
  <c r="E35" i="30"/>
  <c r="D35" i="30"/>
  <c r="C35" i="30"/>
  <c r="B35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B34" i="30"/>
  <c r="B2" i="30"/>
  <c r="A33" i="39" s="1"/>
  <c r="Q38" i="29"/>
  <c r="Q40" i="29" s="1"/>
  <c r="P38" i="29"/>
  <c r="P40" i="29" s="1"/>
  <c r="O38" i="29"/>
  <c r="O40" i="29" s="1"/>
  <c r="N38" i="29"/>
  <c r="N40" i="29" s="1"/>
  <c r="M38" i="29"/>
  <c r="M40" i="29" s="1"/>
  <c r="L38" i="29"/>
  <c r="L40" i="29" s="1"/>
  <c r="K38" i="29"/>
  <c r="K40" i="29" s="1"/>
  <c r="J38" i="29"/>
  <c r="J40" i="29" s="1"/>
  <c r="I38" i="29"/>
  <c r="I40" i="29" s="1"/>
  <c r="H40" i="29"/>
  <c r="G38" i="29"/>
  <c r="G40" i="29" s="1"/>
  <c r="F38" i="29"/>
  <c r="F40" i="29" s="1"/>
  <c r="E38" i="29"/>
  <c r="E40" i="29" s="1"/>
  <c r="D38" i="29"/>
  <c r="D40" i="29" s="1"/>
  <c r="C38" i="29"/>
  <c r="C40" i="29" s="1"/>
  <c r="B38" i="29"/>
  <c r="B40" i="29" s="1"/>
  <c r="Q37" i="29"/>
  <c r="P37" i="29"/>
  <c r="O37" i="29"/>
  <c r="N37" i="29"/>
  <c r="M37" i="29"/>
  <c r="L37" i="29"/>
  <c r="K37" i="29"/>
  <c r="J37" i="29"/>
  <c r="I37" i="29"/>
  <c r="H37" i="29"/>
  <c r="G37" i="29"/>
  <c r="F37" i="29"/>
  <c r="E37" i="29"/>
  <c r="D37" i="29"/>
  <c r="C37" i="29"/>
  <c r="B37" i="29"/>
  <c r="Q36" i="29"/>
  <c r="Q32" i="39" s="1"/>
  <c r="P36" i="29"/>
  <c r="P32" i="39" s="1"/>
  <c r="O36" i="29"/>
  <c r="O32" i="39" s="1"/>
  <c r="N36" i="29"/>
  <c r="N32" i="39" s="1"/>
  <c r="M36" i="29"/>
  <c r="M32" i="39" s="1"/>
  <c r="L36" i="29"/>
  <c r="L32" i="39" s="1"/>
  <c r="K36" i="29"/>
  <c r="K32" i="39" s="1"/>
  <c r="J36" i="29"/>
  <c r="J32" i="39" s="1"/>
  <c r="I36" i="29"/>
  <c r="H36" i="29"/>
  <c r="H32" i="39" s="1"/>
  <c r="G36" i="29"/>
  <c r="G32" i="39" s="1"/>
  <c r="F36" i="29"/>
  <c r="F32" i="39" s="1"/>
  <c r="E36" i="29"/>
  <c r="E32" i="39" s="1"/>
  <c r="D36" i="29"/>
  <c r="D32" i="39" s="1"/>
  <c r="C36" i="29"/>
  <c r="C32" i="39" s="1"/>
  <c r="B36" i="29"/>
  <c r="B32" i="39" s="1"/>
  <c r="Q35" i="29"/>
  <c r="P35" i="29"/>
  <c r="O35" i="29"/>
  <c r="N35" i="29"/>
  <c r="M35" i="29"/>
  <c r="L35" i="29"/>
  <c r="K35" i="29"/>
  <c r="J35" i="29"/>
  <c r="I35" i="29"/>
  <c r="H35" i="29"/>
  <c r="G35" i="29"/>
  <c r="F35" i="29"/>
  <c r="E35" i="29"/>
  <c r="D35" i="29"/>
  <c r="C35" i="29"/>
  <c r="B35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B34" i="29"/>
  <c r="B2" i="29"/>
  <c r="A32" i="39" s="1"/>
  <c r="Q38" i="28"/>
  <c r="Q40" i="28" s="1"/>
  <c r="P38" i="28"/>
  <c r="P40" i="28" s="1"/>
  <c r="O38" i="28"/>
  <c r="O40" i="28" s="1"/>
  <c r="N38" i="28"/>
  <c r="N40" i="28" s="1"/>
  <c r="M38" i="28"/>
  <c r="M40" i="28" s="1"/>
  <c r="L38" i="28"/>
  <c r="L40" i="28" s="1"/>
  <c r="K38" i="28"/>
  <c r="K40" i="28" s="1"/>
  <c r="J38" i="28"/>
  <c r="J40" i="28" s="1"/>
  <c r="I38" i="28"/>
  <c r="I40" i="28" s="1"/>
  <c r="H38" i="28"/>
  <c r="H40" i="28" s="1"/>
  <c r="G38" i="28"/>
  <c r="G40" i="28" s="1"/>
  <c r="F38" i="28"/>
  <c r="F40" i="28" s="1"/>
  <c r="E38" i="28"/>
  <c r="E40" i="28" s="1"/>
  <c r="D38" i="28"/>
  <c r="D40" i="28" s="1"/>
  <c r="C38" i="28"/>
  <c r="C40" i="28" s="1"/>
  <c r="B38" i="28"/>
  <c r="B40" i="28" s="1"/>
  <c r="Q37" i="28"/>
  <c r="P37" i="28"/>
  <c r="O37" i="28"/>
  <c r="N37" i="28"/>
  <c r="M37" i="28"/>
  <c r="L37" i="28"/>
  <c r="K37" i="28"/>
  <c r="J37" i="28"/>
  <c r="I37" i="28"/>
  <c r="H37" i="28"/>
  <c r="G37" i="28"/>
  <c r="F37" i="28"/>
  <c r="E37" i="28"/>
  <c r="D37" i="28"/>
  <c r="C37" i="28"/>
  <c r="B37" i="28"/>
  <c r="Q36" i="28"/>
  <c r="Q31" i="39" s="1"/>
  <c r="P36" i="28"/>
  <c r="P31" i="39" s="1"/>
  <c r="O36" i="28"/>
  <c r="O31" i="39" s="1"/>
  <c r="N36" i="28"/>
  <c r="N31" i="39" s="1"/>
  <c r="M36" i="28"/>
  <c r="M31" i="39" s="1"/>
  <c r="L36" i="28"/>
  <c r="L31" i="39" s="1"/>
  <c r="K36" i="28"/>
  <c r="K31" i="39" s="1"/>
  <c r="J36" i="28"/>
  <c r="J31" i="39" s="1"/>
  <c r="I36" i="28"/>
  <c r="H36" i="28"/>
  <c r="H31" i="39" s="1"/>
  <c r="G36" i="28"/>
  <c r="G31" i="39" s="1"/>
  <c r="F36" i="28"/>
  <c r="F31" i="39" s="1"/>
  <c r="E36" i="28"/>
  <c r="E31" i="39" s="1"/>
  <c r="D36" i="28"/>
  <c r="D31" i="39" s="1"/>
  <c r="C36" i="28"/>
  <c r="C31" i="39" s="1"/>
  <c r="B36" i="28"/>
  <c r="B31" i="39" s="1"/>
  <c r="Q35" i="28"/>
  <c r="P35" i="28"/>
  <c r="O35" i="28"/>
  <c r="N35" i="28"/>
  <c r="M35" i="28"/>
  <c r="L35" i="28"/>
  <c r="K35" i="28"/>
  <c r="J35" i="28"/>
  <c r="I35" i="28"/>
  <c r="H35" i="28"/>
  <c r="G35" i="28"/>
  <c r="F35" i="28"/>
  <c r="E35" i="28"/>
  <c r="D35" i="28"/>
  <c r="C35" i="28"/>
  <c r="B35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B34" i="28"/>
  <c r="B2" i="28"/>
  <c r="A31" i="39" s="1"/>
  <c r="B2" i="27"/>
  <c r="A30" i="39" s="1"/>
  <c r="Q38" i="26"/>
  <c r="Q40" i="26" s="1"/>
  <c r="P38" i="26"/>
  <c r="P40" i="26" s="1"/>
  <c r="O38" i="26"/>
  <c r="O40" i="26" s="1"/>
  <c r="N38" i="26"/>
  <c r="N40" i="26" s="1"/>
  <c r="M38" i="26"/>
  <c r="M40" i="26" s="1"/>
  <c r="L38" i="26"/>
  <c r="L40" i="26" s="1"/>
  <c r="K38" i="26"/>
  <c r="K40" i="26" s="1"/>
  <c r="J38" i="26"/>
  <c r="J40" i="26" s="1"/>
  <c r="I38" i="26"/>
  <c r="I40" i="26" s="1"/>
  <c r="H38" i="26"/>
  <c r="H40" i="26" s="1"/>
  <c r="G38" i="26"/>
  <c r="G40" i="26" s="1"/>
  <c r="F38" i="26"/>
  <c r="F40" i="26" s="1"/>
  <c r="E38" i="26"/>
  <c r="E40" i="26" s="1"/>
  <c r="D38" i="26"/>
  <c r="D40" i="26" s="1"/>
  <c r="C38" i="26"/>
  <c r="C40" i="26" s="1"/>
  <c r="B38" i="26"/>
  <c r="B40" i="26" s="1"/>
  <c r="Q37" i="26"/>
  <c r="P37" i="26"/>
  <c r="O37" i="26"/>
  <c r="N37" i="26"/>
  <c r="M37" i="26"/>
  <c r="L37" i="26"/>
  <c r="K37" i="26"/>
  <c r="J37" i="26"/>
  <c r="I37" i="26"/>
  <c r="H37" i="26"/>
  <c r="G37" i="26"/>
  <c r="F37" i="26"/>
  <c r="E37" i="26"/>
  <c r="D37" i="26"/>
  <c r="C37" i="26"/>
  <c r="B37" i="26"/>
  <c r="Q36" i="26"/>
  <c r="Q29" i="39" s="1"/>
  <c r="P36" i="26"/>
  <c r="P29" i="39" s="1"/>
  <c r="O36" i="26"/>
  <c r="O29" i="39" s="1"/>
  <c r="N36" i="26"/>
  <c r="N29" i="39" s="1"/>
  <c r="M36" i="26"/>
  <c r="M29" i="39" s="1"/>
  <c r="L36" i="26"/>
  <c r="K36" i="26"/>
  <c r="K29" i="39" s="1"/>
  <c r="J36" i="26"/>
  <c r="J29" i="39" s="1"/>
  <c r="I36" i="26"/>
  <c r="H36" i="26"/>
  <c r="H29" i="39" s="1"/>
  <c r="G36" i="26"/>
  <c r="G29" i="39" s="1"/>
  <c r="F36" i="26"/>
  <c r="F29" i="39" s="1"/>
  <c r="E36" i="26"/>
  <c r="E29" i="39" s="1"/>
  <c r="D36" i="26"/>
  <c r="D29" i="39" s="1"/>
  <c r="C36" i="26"/>
  <c r="C29" i="39" s="1"/>
  <c r="B36" i="26"/>
  <c r="B29" i="39" s="1"/>
  <c r="Q35" i="26"/>
  <c r="P35" i="26"/>
  <c r="O35" i="26"/>
  <c r="N35" i="26"/>
  <c r="M35" i="26"/>
  <c r="L35" i="26"/>
  <c r="K35" i="26"/>
  <c r="J35" i="26"/>
  <c r="I35" i="26"/>
  <c r="H35" i="26"/>
  <c r="G35" i="26"/>
  <c r="F35" i="26"/>
  <c r="E35" i="26"/>
  <c r="D35" i="26"/>
  <c r="C35" i="26"/>
  <c r="B35" i="26"/>
  <c r="Q34" i="26"/>
  <c r="P34" i="26"/>
  <c r="O34" i="26"/>
  <c r="N34" i="26"/>
  <c r="M34" i="26"/>
  <c r="L34" i="26"/>
  <c r="K34" i="26"/>
  <c r="J34" i="26"/>
  <c r="I34" i="26"/>
  <c r="H34" i="26"/>
  <c r="G34" i="26"/>
  <c r="F34" i="26"/>
  <c r="E34" i="26"/>
  <c r="D34" i="26"/>
  <c r="C34" i="26"/>
  <c r="B34" i="26"/>
  <c r="B2" i="26"/>
  <c r="A29" i="39" s="1"/>
  <c r="Q38" i="25"/>
  <c r="Q40" i="25" s="1"/>
  <c r="P38" i="25"/>
  <c r="P40" i="25" s="1"/>
  <c r="O38" i="25"/>
  <c r="O39" i="25" s="1"/>
  <c r="N38" i="25"/>
  <c r="N40" i="25" s="1"/>
  <c r="M38" i="25"/>
  <c r="M40" i="25" s="1"/>
  <c r="L38" i="25"/>
  <c r="L40" i="25" s="1"/>
  <c r="K38" i="25"/>
  <c r="K40" i="25" s="1"/>
  <c r="J38" i="25"/>
  <c r="J40" i="25" s="1"/>
  <c r="I38" i="25"/>
  <c r="I40" i="25" s="1"/>
  <c r="H40" i="25"/>
  <c r="G40" i="25"/>
  <c r="F38" i="25"/>
  <c r="F40" i="25" s="1"/>
  <c r="E40" i="25"/>
  <c r="D38" i="25"/>
  <c r="D40" i="25" s="1"/>
  <c r="C38" i="25"/>
  <c r="C40" i="25" s="1"/>
  <c r="B38" i="25"/>
  <c r="B40" i="25" s="1"/>
  <c r="Q37" i="25"/>
  <c r="P37" i="25"/>
  <c r="O37" i="25"/>
  <c r="N37" i="25"/>
  <c r="M37" i="25"/>
  <c r="L37" i="25"/>
  <c r="K37" i="25"/>
  <c r="J37" i="25"/>
  <c r="I37" i="25"/>
  <c r="H37" i="25"/>
  <c r="G37" i="25"/>
  <c r="F37" i="25"/>
  <c r="E37" i="25"/>
  <c r="D37" i="25"/>
  <c r="C37" i="25"/>
  <c r="B37" i="25"/>
  <c r="Q36" i="25"/>
  <c r="Q28" i="39" s="1"/>
  <c r="P36" i="25"/>
  <c r="P28" i="39" s="1"/>
  <c r="O36" i="25"/>
  <c r="O28" i="39" s="1"/>
  <c r="N36" i="25"/>
  <c r="N28" i="39" s="1"/>
  <c r="M36" i="25"/>
  <c r="L36" i="25"/>
  <c r="L28" i="39" s="1"/>
  <c r="K36" i="25"/>
  <c r="K28" i="39" s="1"/>
  <c r="J36" i="25"/>
  <c r="J28" i="39" s="1"/>
  <c r="I36" i="25"/>
  <c r="H36" i="25"/>
  <c r="H28" i="39" s="1"/>
  <c r="G36" i="25"/>
  <c r="G28" i="39" s="1"/>
  <c r="F36" i="25"/>
  <c r="F28" i="39" s="1"/>
  <c r="E36" i="25"/>
  <c r="E28" i="39" s="1"/>
  <c r="D36" i="25"/>
  <c r="D28" i="39" s="1"/>
  <c r="C36" i="25"/>
  <c r="C28" i="39" s="1"/>
  <c r="B36" i="25"/>
  <c r="B28" i="39" s="1"/>
  <c r="Q35" i="25"/>
  <c r="P35" i="25"/>
  <c r="O35" i="25"/>
  <c r="N35" i="25"/>
  <c r="M35" i="25"/>
  <c r="L35" i="25"/>
  <c r="K35" i="25"/>
  <c r="J35" i="25"/>
  <c r="I35" i="25"/>
  <c r="H35" i="25"/>
  <c r="G35" i="25"/>
  <c r="F35" i="25"/>
  <c r="E35" i="25"/>
  <c r="D35" i="25"/>
  <c r="C35" i="25"/>
  <c r="B35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B34" i="25"/>
  <c r="B2" i="25"/>
  <c r="A28" i="39" s="1"/>
  <c r="Q38" i="24"/>
  <c r="Q40" i="24" s="1"/>
  <c r="P38" i="24"/>
  <c r="P39" i="24" s="1"/>
  <c r="O38" i="24"/>
  <c r="O39" i="24" s="1"/>
  <c r="N38" i="24"/>
  <c r="N40" i="24" s="1"/>
  <c r="M38" i="24"/>
  <c r="M40" i="24" s="1"/>
  <c r="L38" i="24"/>
  <c r="L40" i="24" s="1"/>
  <c r="K38" i="24"/>
  <c r="K40" i="24" s="1"/>
  <c r="J38" i="24"/>
  <c r="J40" i="24" s="1"/>
  <c r="I38" i="24"/>
  <c r="I40" i="24" s="1"/>
  <c r="H38" i="24"/>
  <c r="H40" i="24" s="1"/>
  <c r="G38" i="24"/>
  <c r="G40" i="24" s="1"/>
  <c r="F38" i="24"/>
  <c r="F40" i="24" s="1"/>
  <c r="E38" i="24"/>
  <c r="E40" i="24" s="1"/>
  <c r="D38" i="24"/>
  <c r="D40" i="24" s="1"/>
  <c r="C38" i="24"/>
  <c r="C40" i="24" s="1"/>
  <c r="B38" i="24"/>
  <c r="B40" i="24" s="1"/>
  <c r="Q37" i="24"/>
  <c r="P37" i="24"/>
  <c r="O37" i="24"/>
  <c r="N37" i="24"/>
  <c r="M37" i="24"/>
  <c r="L37" i="24"/>
  <c r="K37" i="24"/>
  <c r="J37" i="24"/>
  <c r="I37" i="24"/>
  <c r="H37" i="24"/>
  <c r="G37" i="24"/>
  <c r="F37" i="24"/>
  <c r="E37" i="24"/>
  <c r="D37" i="24"/>
  <c r="C37" i="24"/>
  <c r="B37" i="24"/>
  <c r="Q36" i="24"/>
  <c r="Q27" i="39" s="1"/>
  <c r="P36" i="24"/>
  <c r="P27" i="39" s="1"/>
  <c r="O36" i="24"/>
  <c r="O27" i="39" s="1"/>
  <c r="N36" i="24"/>
  <c r="M36" i="24"/>
  <c r="M27" i="39" s="1"/>
  <c r="L36" i="24"/>
  <c r="L27" i="39" s="1"/>
  <c r="K36" i="24"/>
  <c r="K27" i="39" s="1"/>
  <c r="J36" i="24"/>
  <c r="J27" i="39" s="1"/>
  <c r="I36" i="24"/>
  <c r="H36" i="24"/>
  <c r="H27" i="39" s="1"/>
  <c r="G36" i="24"/>
  <c r="G27" i="39" s="1"/>
  <c r="F36" i="24"/>
  <c r="F27" i="39" s="1"/>
  <c r="E36" i="24"/>
  <c r="E27" i="39" s="1"/>
  <c r="D36" i="24"/>
  <c r="D27" i="39" s="1"/>
  <c r="C36" i="24"/>
  <c r="C27" i="39" s="1"/>
  <c r="B36" i="24"/>
  <c r="B27" i="39" s="1"/>
  <c r="Q35" i="24"/>
  <c r="P35" i="24"/>
  <c r="O35" i="24"/>
  <c r="N35" i="24"/>
  <c r="M35" i="24"/>
  <c r="L35" i="24"/>
  <c r="K35" i="24"/>
  <c r="J35" i="24"/>
  <c r="I35" i="24"/>
  <c r="H35" i="24"/>
  <c r="G35" i="24"/>
  <c r="F35" i="24"/>
  <c r="E35" i="24"/>
  <c r="D35" i="24"/>
  <c r="C35" i="24"/>
  <c r="B35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B2" i="24"/>
  <c r="A27" i="39" s="1"/>
  <c r="Q38" i="23"/>
  <c r="Q40" i="23" s="1"/>
  <c r="P38" i="23"/>
  <c r="P39" i="23" s="1"/>
  <c r="O38" i="23"/>
  <c r="O40" i="23" s="1"/>
  <c r="N38" i="23"/>
  <c r="N40" i="23" s="1"/>
  <c r="M38" i="23"/>
  <c r="M40" i="23" s="1"/>
  <c r="L38" i="23"/>
  <c r="L40" i="23" s="1"/>
  <c r="K38" i="23"/>
  <c r="K40" i="23" s="1"/>
  <c r="J38" i="23"/>
  <c r="J40" i="23" s="1"/>
  <c r="I38" i="23"/>
  <c r="I40" i="23" s="1"/>
  <c r="H38" i="23"/>
  <c r="H40" i="23" s="1"/>
  <c r="G38" i="23"/>
  <c r="G40" i="23" s="1"/>
  <c r="F38" i="23"/>
  <c r="F40" i="23" s="1"/>
  <c r="E38" i="23"/>
  <c r="E40" i="23" s="1"/>
  <c r="D38" i="23"/>
  <c r="D40" i="23" s="1"/>
  <c r="C38" i="23"/>
  <c r="C40" i="23" s="1"/>
  <c r="B38" i="23"/>
  <c r="B40" i="23" s="1"/>
  <c r="Q37" i="23"/>
  <c r="P37" i="23"/>
  <c r="O37" i="23"/>
  <c r="N37" i="23"/>
  <c r="M37" i="23"/>
  <c r="L37" i="23"/>
  <c r="K37" i="23"/>
  <c r="J37" i="23"/>
  <c r="I37" i="23"/>
  <c r="H37" i="23"/>
  <c r="G37" i="23"/>
  <c r="F37" i="23"/>
  <c r="E37" i="23"/>
  <c r="D37" i="23"/>
  <c r="C37" i="23"/>
  <c r="B37" i="23"/>
  <c r="Q36" i="23"/>
  <c r="Q26" i="39" s="1"/>
  <c r="P36" i="23"/>
  <c r="P26" i="39" s="1"/>
  <c r="O36" i="23"/>
  <c r="N36" i="23"/>
  <c r="N26" i="39" s="1"/>
  <c r="M36" i="23"/>
  <c r="M26" i="39" s="1"/>
  <c r="L36" i="23"/>
  <c r="L26" i="39" s="1"/>
  <c r="K36" i="23"/>
  <c r="K26" i="39" s="1"/>
  <c r="J36" i="23"/>
  <c r="J26" i="39" s="1"/>
  <c r="I36" i="23"/>
  <c r="H36" i="23"/>
  <c r="H26" i="39" s="1"/>
  <c r="G36" i="23"/>
  <c r="G26" i="39" s="1"/>
  <c r="F36" i="23"/>
  <c r="F26" i="39" s="1"/>
  <c r="E36" i="23"/>
  <c r="E26" i="39" s="1"/>
  <c r="D36" i="23"/>
  <c r="D26" i="39" s="1"/>
  <c r="C36" i="23"/>
  <c r="C26" i="39" s="1"/>
  <c r="B36" i="23"/>
  <c r="B26" i="39" s="1"/>
  <c r="Q35" i="23"/>
  <c r="P35" i="23"/>
  <c r="O35" i="23"/>
  <c r="N35" i="23"/>
  <c r="M35" i="23"/>
  <c r="L35" i="23"/>
  <c r="K35" i="23"/>
  <c r="J35" i="23"/>
  <c r="I35" i="23"/>
  <c r="H35" i="23"/>
  <c r="G35" i="23"/>
  <c r="F35" i="23"/>
  <c r="E35" i="23"/>
  <c r="D35" i="23"/>
  <c r="C35" i="23"/>
  <c r="B35" i="23"/>
  <c r="Q34" i="23"/>
  <c r="P34" i="23"/>
  <c r="O34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B34" i="23"/>
  <c r="B2" i="23"/>
  <c r="A26" i="39" s="1"/>
  <c r="Q39" i="22"/>
  <c r="Q38" i="22"/>
  <c r="Q40" i="22" s="1"/>
  <c r="P38" i="22"/>
  <c r="P40" i="22" s="1"/>
  <c r="O38" i="22"/>
  <c r="O40" i="22" s="1"/>
  <c r="N38" i="22"/>
  <c r="N40" i="22" s="1"/>
  <c r="M38" i="22"/>
  <c r="M40" i="22" s="1"/>
  <c r="L38" i="22"/>
  <c r="L40" i="22" s="1"/>
  <c r="K38" i="22"/>
  <c r="K40" i="22" s="1"/>
  <c r="J38" i="22"/>
  <c r="J40" i="22" s="1"/>
  <c r="I38" i="22"/>
  <c r="I40" i="22" s="1"/>
  <c r="H38" i="22"/>
  <c r="H40" i="22" s="1"/>
  <c r="G38" i="22"/>
  <c r="G40" i="22" s="1"/>
  <c r="F38" i="22"/>
  <c r="F40" i="22" s="1"/>
  <c r="E38" i="22"/>
  <c r="E40" i="22" s="1"/>
  <c r="D38" i="22"/>
  <c r="D40" i="22" s="1"/>
  <c r="C38" i="22"/>
  <c r="C40" i="22" s="1"/>
  <c r="B38" i="22"/>
  <c r="B40" i="22" s="1"/>
  <c r="Q37" i="22"/>
  <c r="P37" i="22"/>
  <c r="O37" i="22"/>
  <c r="N37" i="22"/>
  <c r="M37" i="22"/>
  <c r="L37" i="22"/>
  <c r="K37" i="22"/>
  <c r="J37" i="22"/>
  <c r="I37" i="22"/>
  <c r="H37" i="22"/>
  <c r="G37" i="22"/>
  <c r="F37" i="22"/>
  <c r="E37" i="22"/>
  <c r="D37" i="22"/>
  <c r="C37" i="22"/>
  <c r="B37" i="22"/>
  <c r="Q36" i="22"/>
  <c r="Q25" i="39" s="1"/>
  <c r="P36" i="22"/>
  <c r="O36" i="22"/>
  <c r="O25" i="39" s="1"/>
  <c r="N36" i="22"/>
  <c r="N25" i="39" s="1"/>
  <c r="M36" i="22"/>
  <c r="M25" i="39" s="1"/>
  <c r="L36" i="22"/>
  <c r="L25" i="39" s="1"/>
  <c r="K36" i="22"/>
  <c r="K25" i="39" s="1"/>
  <c r="J36" i="22"/>
  <c r="J25" i="39" s="1"/>
  <c r="I36" i="22"/>
  <c r="H36" i="22"/>
  <c r="H25" i="39" s="1"/>
  <c r="G36" i="22"/>
  <c r="G25" i="39" s="1"/>
  <c r="F36" i="22"/>
  <c r="F25" i="39" s="1"/>
  <c r="E36" i="22"/>
  <c r="E25" i="39" s="1"/>
  <c r="D36" i="22"/>
  <c r="D25" i="39" s="1"/>
  <c r="C36" i="22"/>
  <c r="C25" i="39" s="1"/>
  <c r="B36" i="22"/>
  <c r="B25" i="39" s="1"/>
  <c r="Q35" i="22"/>
  <c r="P35" i="22"/>
  <c r="O35" i="22"/>
  <c r="N35" i="22"/>
  <c r="M35" i="22"/>
  <c r="L35" i="22"/>
  <c r="K35" i="22"/>
  <c r="J35" i="22"/>
  <c r="I35" i="22"/>
  <c r="H35" i="22"/>
  <c r="G35" i="22"/>
  <c r="F35" i="22"/>
  <c r="E35" i="22"/>
  <c r="D35" i="22"/>
  <c r="C35" i="22"/>
  <c r="B35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B34" i="22"/>
  <c r="B2" i="22"/>
  <c r="A25" i="39" s="1"/>
  <c r="Q38" i="21"/>
  <c r="Q40" i="21" s="1"/>
  <c r="P38" i="21"/>
  <c r="P40" i="21" s="1"/>
  <c r="O38" i="21"/>
  <c r="O40" i="21" s="1"/>
  <c r="N38" i="21"/>
  <c r="N40" i="21" s="1"/>
  <c r="M38" i="21"/>
  <c r="M40" i="21" s="1"/>
  <c r="L38" i="21"/>
  <c r="L40" i="21" s="1"/>
  <c r="K38" i="21"/>
  <c r="K40" i="21" s="1"/>
  <c r="J38" i="21"/>
  <c r="J40" i="21" s="1"/>
  <c r="I38" i="21"/>
  <c r="I40" i="21" s="1"/>
  <c r="H38" i="21"/>
  <c r="H40" i="21" s="1"/>
  <c r="G38" i="21"/>
  <c r="G40" i="21" s="1"/>
  <c r="F38" i="21"/>
  <c r="F40" i="21" s="1"/>
  <c r="E38" i="21"/>
  <c r="E40" i="21" s="1"/>
  <c r="D38" i="21"/>
  <c r="D40" i="21" s="1"/>
  <c r="C38" i="21"/>
  <c r="C40" i="21" s="1"/>
  <c r="B38" i="21"/>
  <c r="B40" i="21" s="1"/>
  <c r="Q37" i="21"/>
  <c r="P37" i="21"/>
  <c r="O37" i="21"/>
  <c r="N37" i="21"/>
  <c r="M37" i="21"/>
  <c r="L37" i="21"/>
  <c r="K37" i="21"/>
  <c r="J37" i="21"/>
  <c r="I37" i="21"/>
  <c r="H37" i="21"/>
  <c r="G37" i="21"/>
  <c r="F37" i="21"/>
  <c r="E37" i="21"/>
  <c r="D37" i="21"/>
  <c r="C37" i="21"/>
  <c r="B37" i="21"/>
  <c r="Q36" i="21"/>
  <c r="Q24" i="39" s="1"/>
  <c r="P36" i="21"/>
  <c r="P24" i="39" s="1"/>
  <c r="O36" i="21"/>
  <c r="O24" i="39" s="1"/>
  <c r="N36" i="21"/>
  <c r="N24" i="39" s="1"/>
  <c r="M36" i="21"/>
  <c r="M24" i="39" s="1"/>
  <c r="L36" i="21"/>
  <c r="L24" i="39" s="1"/>
  <c r="K36" i="21"/>
  <c r="K24" i="39" s="1"/>
  <c r="J36" i="21"/>
  <c r="J24" i="39" s="1"/>
  <c r="I36" i="21"/>
  <c r="H36" i="21"/>
  <c r="H24" i="39" s="1"/>
  <c r="G36" i="21"/>
  <c r="G24" i="39" s="1"/>
  <c r="F36" i="21"/>
  <c r="F24" i="39" s="1"/>
  <c r="E36" i="21"/>
  <c r="E24" i="39" s="1"/>
  <c r="D36" i="21"/>
  <c r="D24" i="39" s="1"/>
  <c r="C36" i="21"/>
  <c r="C24" i="39" s="1"/>
  <c r="B36" i="21"/>
  <c r="B24" i="39" s="1"/>
  <c r="Q35" i="21"/>
  <c r="P35" i="21"/>
  <c r="O35" i="21"/>
  <c r="N35" i="21"/>
  <c r="M35" i="21"/>
  <c r="L35" i="21"/>
  <c r="K35" i="21"/>
  <c r="J35" i="21"/>
  <c r="I35" i="21"/>
  <c r="H35" i="21"/>
  <c r="G35" i="21"/>
  <c r="F35" i="21"/>
  <c r="E35" i="21"/>
  <c r="D35" i="21"/>
  <c r="C35" i="21"/>
  <c r="B35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B2" i="21"/>
  <c r="A24" i="39" s="1"/>
  <c r="Q38" i="20"/>
  <c r="Q40" i="20" s="1"/>
  <c r="P38" i="20"/>
  <c r="P40" i="20" s="1"/>
  <c r="O38" i="20"/>
  <c r="O40" i="20" s="1"/>
  <c r="N38" i="20"/>
  <c r="N40" i="20" s="1"/>
  <c r="M38" i="20"/>
  <c r="M40" i="20" s="1"/>
  <c r="L38" i="20"/>
  <c r="L40" i="20" s="1"/>
  <c r="K38" i="20"/>
  <c r="K40" i="20" s="1"/>
  <c r="J38" i="20"/>
  <c r="J40" i="20" s="1"/>
  <c r="I38" i="20"/>
  <c r="I40" i="20" s="1"/>
  <c r="H38" i="20"/>
  <c r="H40" i="20" s="1"/>
  <c r="G38" i="20"/>
  <c r="G40" i="20" s="1"/>
  <c r="F38" i="20"/>
  <c r="F40" i="20" s="1"/>
  <c r="E38" i="20"/>
  <c r="E40" i="20" s="1"/>
  <c r="D38" i="20"/>
  <c r="D40" i="20" s="1"/>
  <c r="C38" i="20"/>
  <c r="C40" i="20" s="1"/>
  <c r="B38" i="20"/>
  <c r="B40" i="20" s="1"/>
  <c r="Q37" i="20"/>
  <c r="P37" i="20"/>
  <c r="O37" i="20"/>
  <c r="N37" i="20"/>
  <c r="M37" i="20"/>
  <c r="L37" i="20"/>
  <c r="K37" i="20"/>
  <c r="J37" i="20"/>
  <c r="I37" i="20"/>
  <c r="H37" i="20"/>
  <c r="G37" i="20"/>
  <c r="F37" i="20"/>
  <c r="E37" i="20"/>
  <c r="D37" i="20"/>
  <c r="C37" i="20"/>
  <c r="B37" i="20"/>
  <c r="Q36" i="20"/>
  <c r="Q23" i="39" s="1"/>
  <c r="P36" i="20"/>
  <c r="P23" i="39" s="1"/>
  <c r="O36" i="20"/>
  <c r="O23" i="39" s="1"/>
  <c r="N36" i="20"/>
  <c r="N23" i="39" s="1"/>
  <c r="M36" i="20"/>
  <c r="M23" i="39" s="1"/>
  <c r="L36" i="20"/>
  <c r="L23" i="39" s="1"/>
  <c r="K36" i="20"/>
  <c r="K23" i="39" s="1"/>
  <c r="J36" i="20"/>
  <c r="J23" i="39" s="1"/>
  <c r="I36" i="20"/>
  <c r="H36" i="20"/>
  <c r="H23" i="39" s="1"/>
  <c r="G36" i="20"/>
  <c r="G23" i="39" s="1"/>
  <c r="F36" i="20"/>
  <c r="F23" i="39" s="1"/>
  <c r="E36" i="20"/>
  <c r="E23" i="39" s="1"/>
  <c r="D36" i="20"/>
  <c r="D23" i="39" s="1"/>
  <c r="C36" i="20"/>
  <c r="C23" i="39" s="1"/>
  <c r="B36" i="20"/>
  <c r="B23" i="39" s="1"/>
  <c r="Q35" i="20"/>
  <c r="P35" i="20"/>
  <c r="O35" i="20"/>
  <c r="N35" i="20"/>
  <c r="M35" i="20"/>
  <c r="L35" i="20"/>
  <c r="K35" i="20"/>
  <c r="J35" i="20"/>
  <c r="I35" i="20"/>
  <c r="H35" i="20"/>
  <c r="G35" i="20"/>
  <c r="F35" i="20"/>
  <c r="E35" i="20"/>
  <c r="D35" i="20"/>
  <c r="C35" i="20"/>
  <c r="B35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B34" i="20"/>
  <c r="Q38" i="19"/>
  <c r="Q40" i="19" s="1"/>
  <c r="P38" i="19"/>
  <c r="P40" i="19" s="1"/>
  <c r="O38" i="19"/>
  <c r="O40" i="19" s="1"/>
  <c r="N38" i="19"/>
  <c r="N40" i="19" s="1"/>
  <c r="M38" i="19"/>
  <c r="M40" i="19" s="1"/>
  <c r="L38" i="19"/>
  <c r="L40" i="19" s="1"/>
  <c r="K38" i="19"/>
  <c r="K40" i="19" s="1"/>
  <c r="J38" i="19"/>
  <c r="J40" i="19" s="1"/>
  <c r="I38" i="19"/>
  <c r="I40" i="19" s="1"/>
  <c r="H38" i="19"/>
  <c r="H40" i="19" s="1"/>
  <c r="G38" i="19"/>
  <c r="G40" i="19" s="1"/>
  <c r="F38" i="19"/>
  <c r="F40" i="19" s="1"/>
  <c r="E38" i="19"/>
  <c r="E40" i="19" s="1"/>
  <c r="D38" i="19"/>
  <c r="D40" i="19" s="1"/>
  <c r="C38" i="19"/>
  <c r="C40" i="19" s="1"/>
  <c r="B38" i="19"/>
  <c r="B40" i="19" s="1"/>
  <c r="Q37" i="19"/>
  <c r="P37" i="19"/>
  <c r="O37" i="19"/>
  <c r="N37" i="19"/>
  <c r="M37" i="19"/>
  <c r="L37" i="19"/>
  <c r="K37" i="19"/>
  <c r="J37" i="19"/>
  <c r="I37" i="19"/>
  <c r="H37" i="19"/>
  <c r="G37" i="19"/>
  <c r="F37" i="19"/>
  <c r="E37" i="19"/>
  <c r="D37" i="19"/>
  <c r="C37" i="19"/>
  <c r="B37" i="19"/>
  <c r="Q36" i="19"/>
  <c r="Q22" i="39" s="1"/>
  <c r="P36" i="19"/>
  <c r="P22" i="39" s="1"/>
  <c r="O36" i="19"/>
  <c r="O22" i="39" s="1"/>
  <c r="N36" i="19"/>
  <c r="N22" i="39" s="1"/>
  <c r="M36" i="19"/>
  <c r="M22" i="39" s="1"/>
  <c r="L36" i="19"/>
  <c r="L22" i="39" s="1"/>
  <c r="K36" i="19"/>
  <c r="K22" i="39" s="1"/>
  <c r="J36" i="19"/>
  <c r="J22" i="39" s="1"/>
  <c r="I36" i="19"/>
  <c r="H36" i="19"/>
  <c r="H22" i="39" s="1"/>
  <c r="G36" i="19"/>
  <c r="G22" i="39" s="1"/>
  <c r="F36" i="19"/>
  <c r="F22" i="39" s="1"/>
  <c r="E36" i="19"/>
  <c r="E22" i="39" s="1"/>
  <c r="D36" i="19"/>
  <c r="D22" i="39" s="1"/>
  <c r="C36" i="19"/>
  <c r="C22" i="39" s="1"/>
  <c r="B36" i="19"/>
  <c r="B22" i="39" s="1"/>
  <c r="Q35" i="19"/>
  <c r="P35" i="19"/>
  <c r="O35" i="19"/>
  <c r="N35" i="19"/>
  <c r="M35" i="19"/>
  <c r="L35" i="19"/>
  <c r="K35" i="19"/>
  <c r="J35" i="19"/>
  <c r="I35" i="19"/>
  <c r="H35" i="19"/>
  <c r="G35" i="19"/>
  <c r="F35" i="19"/>
  <c r="E35" i="19"/>
  <c r="D35" i="19"/>
  <c r="C35" i="19"/>
  <c r="B35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B34" i="19"/>
  <c r="B2" i="19"/>
  <c r="A22" i="39" s="1"/>
  <c r="Q38" i="18"/>
  <c r="Q40" i="18" s="1"/>
  <c r="P38" i="18"/>
  <c r="P40" i="18" s="1"/>
  <c r="O38" i="18"/>
  <c r="O40" i="18" s="1"/>
  <c r="N38" i="18"/>
  <c r="N40" i="18" s="1"/>
  <c r="M38" i="18"/>
  <c r="M40" i="18" s="1"/>
  <c r="L38" i="18"/>
  <c r="L40" i="18" s="1"/>
  <c r="K38" i="18"/>
  <c r="K40" i="18" s="1"/>
  <c r="J38" i="18"/>
  <c r="J40" i="18" s="1"/>
  <c r="I38" i="18"/>
  <c r="I40" i="18" s="1"/>
  <c r="H38" i="18"/>
  <c r="H40" i="18" s="1"/>
  <c r="G38" i="18"/>
  <c r="G40" i="18" s="1"/>
  <c r="F38" i="18"/>
  <c r="F40" i="18" s="1"/>
  <c r="E38" i="18"/>
  <c r="E40" i="18" s="1"/>
  <c r="D40" i="18"/>
  <c r="C40" i="18"/>
  <c r="B40" i="18"/>
  <c r="Q37" i="18"/>
  <c r="P37" i="18"/>
  <c r="O37" i="18"/>
  <c r="N37" i="18"/>
  <c r="M37" i="18"/>
  <c r="L37" i="18"/>
  <c r="K37" i="18"/>
  <c r="J37" i="18"/>
  <c r="I37" i="18"/>
  <c r="H37" i="18"/>
  <c r="G37" i="18"/>
  <c r="F37" i="18"/>
  <c r="E37" i="18"/>
  <c r="D37" i="18"/>
  <c r="C37" i="18"/>
  <c r="B37" i="18"/>
  <c r="Q36" i="18"/>
  <c r="Q21" i="39" s="1"/>
  <c r="P36" i="18"/>
  <c r="P21" i="39" s="1"/>
  <c r="O36" i="18"/>
  <c r="O21" i="39" s="1"/>
  <c r="N36" i="18"/>
  <c r="N21" i="39" s="1"/>
  <c r="M36" i="18"/>
  <c r="M21" i="39" s="1"/>
  <c r="L36" i="18"/>
  <c r="L21" i="39" s="1"/>
  <c r="K36" i="18"/>
  <c r="K21" i="39" s="1"/>
  <c r="J36" i="18"/>
  <c r="J21" i="39" s="1"/>
  <c r="I36" i="18"/>
  <c r="H36" i="18"/>
  <c r="H21" i="39" s="1"/>
  <c r="G36" i="18"/>
  <c r="G21" i="39" s="1"/>
  <c r="F36" i="18"/>
  <c r="F21" i="39" s="1"/>
  <c r="E36" i="18"/>
  <c r="E21" i="39" s="1"/>
  <c r="D36" i="18"/>
  <c r="D21" i="39" s="1"/>
  <c r="C36" i="18"/>
  <c r="C21" i="39" s="1"/>
  <c r="B36" i="18"/>
  <c r="B21" i="39" s="1"/>
  <c r="Q35" i="18"/>
  <c r="P35" i="18"/>
  <c r="O35" i="18"/>
  <c r="N35" i="18"/>
  <c r="M35" i="18"/>
  <c r="L35" i="18"/>
  <c r="K35" i="18"/>
  <c r="J35" i="18"/>
  <c r="I35" i="18"/>
  <c r="H35" i="18"/>
  <c r="G35" i="18"/>
  <c r="F35" i="18"/>
  <c r="E35" i="18"/>
  <c r="D35" i="18"/>
  <c r="C35" i="18"/>
  <c r="B35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B2" i="18"/>
  <c r="A21" i="39" s="1"/>
  <c r="G39" i="17"/>
  <c r="Q38" i="17"/>
  <c r="Q40" i="17" s="1"/>
  <c r="P38" i="17"/>
  <c r="P40" i="17" s="1"/>
  <c r="O38" i="17"/>
  <c r="O40" i="17" s="1"/>
  <c r="N38" i="17"/>
  <c r="N40" i="17" s="1"/>
  <c r="M38" i="17"/>
  <c r="M40" i="17" s="1"/>
  <c r="L38" i="17"/>
  <c r="L40" i="17" s="1"/>
  <c r="K38" i="17"/>
  <c r="K40" i="17" s="1"/>
  <c r="J38" i="17"/>
  <c r="J40" i="17" s="1"/>
  <c r="I38" i="17"/>
  <c r="I40" i="17" s="1"/>
  <c r="H38" i="17"/>
  <c r="H40" i="17" s="1"/>
  <c r="G38" i="17"/>
  <c r="G40" i="17" s="1"/>
  <c r="F38" i="17"/>
  <c r="F40" i="17" s="1"/>
  <c r="E38" i="17"/>
  <c r="E40" i="17" s="1"/>
  <c r="D38" i="17"/>
  <c r="D40" i="17" s="1"/>
  <c r="C38" i="17"/>
  <c r="C40" i="17" s="1"/>
  <c r="B38" i="17"/>
  <c r="B40" i="17" s="1"/>
  <c r="Q37" i="17"/>
  <c r="P37" i="17"/>
  <c r="O37" i="17"/>
  <c r="N37" i="17"/>
  <c r="M37" i="17"/>
  <c r="L37" i="17"/>
  <c r="K37" i="17"/>
  <c r="J37" i="17"/>
  <c r="I37" i="17"/>
  <c r="H37" i="17"/>
  <c r="G37" i="17"/>
  <c r="F37" i="17"/>
  <c r="E37" i="17"/>
  <c r="D37" i="17"/>
  <c r="C37" i="17"/>
  <c r="B37" i="17"/>
  <c r="Q36" i="17"/>
  <c r="Q20" i="39" s="1"/>
  <c r="P36" i="17"/>
  <c r="P20" i="39" s="1"/>
  <c r="O36" i="17"/>
  <c r="O20" i="39" s="1"/>
  <c r="N36" i="17"/>
  <c r="N20" i="39" s="1"/>
  <c r="M36" i="17"/>
  <c r="M20" i="39" s="1"/>
  <c r="L36" i="17"/>
  <c r="L20" i="39" s="1"/>
  <c r="K36" i="17"/>
  <c r="K20" i="39" s="1"/>
  <c r="J36" i="17"/>
  <c r="J20" i="39" s="1"/>
  <c r="I36" i="17"/>
  <c r="H36" i="17"/>
  <c r="H20" i="39" s="1"/>
  <c r="G36" i="17"/>
  <c r="G20" i="39" s="1"/>
  <c r="F36" i="17"/>
  <c r="E36" i="17"/>
  <c r="D36" i="17"/>
  <c r="D20" i="39" s="1"/>
  <c r="C36" i="17"/>
  <c r="C20" i="39" s="1"/>
  <c r="B36" i="17"/>
  <c r="B20" i="39" s="1"/>
  <c r="Q35" i="17"/>
  <c r="P35" i="17"/>
  <c r="O35" i="17"/>
  <c r="N35" i="17"/>
  <c r="M35" i="17"/>
  <c r="L35" i="17"/>
  <c r="K35" i="17"/>
  <c r="J35" i="17"/>
  <c r="I35" i="17"/>
  <c r="H35" i="17"/>
  <c r="G35" i="17"/>
  <c r="F35" i="17"/>
  <c r="E35" i="17"/>
  <c r="D35" i="17"/>
  <c r="C35" i="17"/>
  <c r="B35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B2" i="17"/>
  <c r="A20" i="39" s="1"/>
  <c r="H39" i="16"/>
  <c r="Q38" i="16"/>
  <c r="Q40" i="16" s="1"/>
  <c r="P38" i="16"/>
  <c r="P40" i="16" s="1"/>
  <c r="O38" i="16"/>
  <c r="O40" i="16" s="1"/>
  <c r="N38" i="16"/>
  <c r="N40" i="16" s="1"/>
  <c r="M38" i="16"/>
  <c r="M40" i="16" s="1"/>
  <c r="L38" i="16"/>
  <c r="L40" i="16" s="1"/>
  <c r="K38" i="16"/>
  <c r="K40" i="16" s="1"/>
  <c r="J38" i="16"/>
  <c r="J40" i="16" s="1"/>
  <c r="I38" i="16"/>
  <c r="I40" i="16" s="1"/>
  <c r="H38" i="16"/>
  <c r="H40" i="16" s="1"/>
  <c r="G38" i="16"/>
  <c r="G40" i="16" s="1"/>
  <c r="F38" i="16"/>
  <c r="F40" i="16" s="1"/>
  <c r="E38" i="16"/>
  <c r="E40" i="16" s="1"/>
  <c r="D38" i="16"/>
  <c r="D40" i="16" s="1"/>
  <c r="C38" i="16"/>
  <c r="C40" i="16" s="1"/>
  <c r="B38" i="16"/>
  <c r="B40" i="16" s="1"/>
  <c r="Q37" i="16"/>
  <c r="P37" i="16"/>
  <c r="O37" i="16"/>
  <c r="N37" i="16"/>
  <c r="M37" i="16"/>
  <c r="L37" i="16"/>
  <c r="K37" i="16"/>
  <c r="J37" i="16"/>
  <c r="I37" i="16"/>
  <c r="H37" i="16"/>
  <c r="G37" i="16"/>
  <c r="F37" i="16"/>
  <c r="E37" i="16"/>
  <c r="D37" i="16"/>
  <c r="C37" i="16"/>
  <c r="B37" i="16"/>
  <c r="Q36" i="16"/>
  <c r="Q19" i="39" s="1"/>
  <c r="P36" i="16"/>
  <c r="P19" i="39" s="1"/>
  <c r="O36" i="16"/>
  <c r="O19" i="39" s="1"/>
  <c r="N36" i="16"/>
  <c r="N19" i="39" s="1"/>
  <c r="M36" i="16"/>
  <c r="M19" i="39" s="1"/>
  <c r="L36" i="16"/>
  <c r="L19" i="39" s="1"/>
  <c r="K36" i="16"/>
  <c r="K19" i="39" s="1"/>
  <c r="J36" i="16"/>
  <c r="J19" i="39" s="1"/>
  <c r="I36" i="16"/>
  <c r="H36" i="16"/>
  <c r="H19" i="39" s="1"/>
  <c r="G36" i="16"/>
  <c r="G19" i="39" s="1"/>
  <c r="F36" i="16"/>
  <c r="E36" i="16"/>
  <c r="E19" i="39" s="1"/>
  <c r="D36" i="16"/>
  <c r="D19" i="39" s="1"/>
  <c r="C36" i="16"/>
  <c r="C19" i="39" s="1"/>
  <c r="B36" i="16"/>
  <c r="B19" i="39" s="1"/>
  <c r="Q35" i="16"/>
  <c r="P35" i="16"/>
  <c r="O35" i="16"/>
  <c r="N35" i="16"/>
  <c r="M35" i="16"/>
  <c r="L35" i="16"/>
  <c r="K35" i="16"/>
  <c r="J35" i="16"/>
  <c r="I35" i="16"/>
  <c r="H35" i="16"/>
  <c r="G35" i="16"/>
  <c r="F35" i="16"/>
  <c r="E35" i="16"/>
  <c r="D35" i="16"/>
  <c r="C35" i="16"/>
  <c r="B35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B2" i="16"/>
  <c r="A19" i="39" s="1"/>
  <c r="Q38" i="15"/>
  <c r="Q40" i="15" s="1"/>
  <c r="P38" i="15"/>
  <c r="P40" i="15" s="1"/>
  <c r="O38" i="15"/>
  <c r="O40" i="15" s="1"/>
  <c r="N38" i="15"/>
  <c r="N40" i="15" s="1"/>
  <c r="M38" i="15"/>
  <c r="M40" i="15" s="1"/>
  <c r="L38" i="15"/>
  <c r="L40" i="15" s="1"/>
  <c r="K38" i="15"/>
  <c r="K40" i="15" s="1"/>
  <c r="J38" i="15"/>
  <c r="J40" i="15" s="1"/>
  <c r="I38" i="15"/>
  <c r="I40" i="15" s="1"/>
  <c r="H38" i="15"/>
  <c r="H40" i="15" s="1"/>
  <c r="G38" i="15"/>
  <c r="G40" i="15" s="1"/>
  <c r="F38" i="15"/>
  <c r="F40" i="15" s="1"/>
  <c r="E38" i="15"/>
  <c r="E40" i="15" s="1"/>
  <c r="D38" i="15"/>
  <c r="D40" i="15" s="1"/>
  <c r="C38" i="15"/>
  <c r="C40" i="15" s="1"/>
  <c r="B38" i="15"/>
  <c r="B40" i="15" s="1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Q36" i="15"/>
  <c r="Q18" i="39" s="1"/>
  <c r="P36" i="15"/>
  <c r="P18" i="39" s="1"/>
  <c r="O36" i="15"/>
  <c r="O18" i="39" s="1"/>
  <c r="N36" i="15"/>
  <c r="N18" i="39" s="1"/>
  <c r="M36" i="15"/>
  <c r="M18" i="39" s="1"/>
  <c r="L36" i="15"/>
  <c r="L18" i="39" s="1"/>
  <c r="K36" i="15"/>
  <c r="K18" i="39" s="1"/>
  <c r="J36" i="15"/>
  <c r="J18" i="39" s="1"/>
  <c r="I36" i="15"/>
  <c r="H36" i="15"/>
  <c r="H18" i="39" s="1"/>
  <c r="G36" i="15"/>
  <c r="F36" i="15"/>
  <c r="F18" i="39" s="1"/>
  <c r="E36" i="15"/>
  <c r="E18" i="39" s="1"/>
  <c r="D36" i="15"/>
  <c r="D18" i="39" s="1"/>
  <c r="C36" i="15"/>
  <c r="C18" i="39" s="1"/>
  <c r="B36" i="15"/>
  <c r="B18" i="39" s="1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B2" i="15"/>
  <c r="A18" i="39" s="1"/>
  <c r="Q38" i="14"/>
  <c r="Q40" i="14" s="1"/>
  <c r="P38" i="14"/>
  <c r="P40" i="14" s="1"/>
  <c r="O38" i="14"/>
  <c r="O40" i="14" s="1"/>
  <c r="N38" i="14"/>
  <c r="N40" i="14" s="1"/>
  <c r="M38" i="14"/>
  <c r="M40" i="14" s="1"/>
  <c r="L38" i="14"/>
  <c r="L40" i="14" s="1"/>
  <c r="K38" i="14"/>
  <c r="K40" i="14" s="1"/>
  <c r="J38" i="14"/>
  <c r="J40" i="14" s="1"/>
  <c r="I38" i="14"/>
  <c r="I40" i="14" s="1"/>
  <c r="H38" i="14"/>
  <c r="H40" i="14" s="1"/>
  <c r="G38" i="14"/>
  <c r="G39" i="14" s="1"/>
  <c r="F38" i="14"/>
  <c r="F40" i="14" s="1"/>
  <c r="E38" i="14"/>
  <c r="E40" i="14" s="1"/>
  <c r="D38" i="14"/>
  <c r="D40" i="14" s="1"/>
  <c r="C38" i="14"/>
  <c r="C40" i="14" s="1"/>
  <c r="B38" i="14"/>
  <c r="B40" i="14" s="1"/>
  <c r="Q37" i="14"/>
  <c r="P37" i="14"/>
  <c r="O37" i="14"/>
  <c r="N37" i="14"/>
  <c r="M37" i="14"/>
  <c r="L37" i="14"/>
  <c r="K37" i="14"/>
  <c r="J37" i="14"/>
  <c r="I37" i="14"/>
  <c r="H37" i="14"/>
  <c r="G37" i="14"/>
  <c r="F37" i="14"/>
  <c r="E37" i="14"/>
  <c r="D37" i="14"/>
  <c r="C37" i="14"/>
  <c r="B37" i="14"/>
  <c r="Q36" i="14"/>
  <c r="Q17" i="39" s="1"/>
  <c r="P36" i="14"/>
  <c r="O36" i="14"/>
  <c r="N36" i="14"/>
  <c r="M36" i="14"/>
  <c r="M17" i="39" s="1"/>
  <c r="L36" i="14"/>
  <c r="L17" i="39" s="1"/>
  <c r="K36" i="14"/>
  <c r="K17" i="39" s="1"/>
  <c r="J36" i="14"/>
  <c r="J17" i="39" s="1"/>
  <c r="I36" i="14"/>
  <c r="H36" i="14"/>
  <c r="G36" i="14"/>
  <c r="G17" i="39" s="1"/>
  <c r="F36" i="14"/>
  <c r="F17" i="39" s="1"/>
  <c r="E36" i="14"/>
  <c r="E17" i="39" s="1"/>
  <c r="D36" i="14"/>
  <c r="D17" i="39" s="1"/>
  <c r="C36" i="14"/>
  <c r="C17" i="39" s="1"/>
  <c r="B36" i="14"/>
  <c r="B17" i="39" s="1"/>
  <c r="Q35" i="14"/>
  <c r="P35" i="14"/>
  <c r="O35" i="14"/>
  <c r="N35" i="14"/>
  <c r="M35" i="14"/>
  <c r="L35" i="14"/>
  <c r="K35" i="14"/>
  <c r="J35" i="14"/>
  <c r="I35" i="14"/>
  <c r="H35" i="14"/>
  <c r="G35" i="14"/>
  <c r="F35" i="14"/>
  <c r="E35" i="14"/>
  <c r="D35" i="14"/>
  <c r="C35" i="14"/>
  <c r="B35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B2" i="14"/>
  <c r="A17" i="39" s="1"/>
  <c r="H39" i="13"/>
  <c r="Q38" i="13"/>
  <c r="Q40" i="13" s="1"/>
  <c r="P38" i="13"/>
  <c r="P40" i="13" s="1"/>
  <c r="O38" i="13"/>
  <c r="O40" i="13" s="1"/>
  <c r="N38" i="13"/>
  <c r="N40" i="13" s="1"/>
  <c r="M38" i="13"/>
  <c r="M40" i="13" s="1"/>
  <c r="L38" i="13"/>
  <c r="L40" i="13" s="1"/>
  <c r="K38" i="13"/>
  <c r="K40" i="13" s="1"/>
  <c r="J38" i="13"/>
  <c r="J40" i="13" s="1"/>
  <c r="I38" i="13"/>
  <c r="I40" i="13" s="1"/>
  <c r="H38" i="13"/>
  <c r="H40" i="13" s="1"/>
  <c r="G38" i="13"/>
  <c r="G40" i="13" s="1"/>
  <c r="F38" i="13"/>
  <c r="F40" i="13" s="1"/>
  <c r="E38" i="13"/>
  <c r="E40" i="13" s="1"/>
  <c r="D38" i="13"/>
  <c r="D40" i="13" s="1"/>
  <c r="C38" i="13"/>
  <c r="C40" i="13" s="1"/>
  <c r="B38" i="13"/>
  <c r="B40" i="13" s="1"/>
  <c r="Q37" i="13"/>
  <c r="P37" i="13"/>
  <c r="O37" i="13"/>
  <c r="N37" i="13"/>
  <c r="M37" i="13"/>
  <c r="L37" i="13"/>
  <c r="K37" i="13"/>
  <c r="J37" i="13"/>
  <c r="I37" i="13"/>
  <c r="H37" i="13"/>
  <c r="G37" i="13"/>
  <c r="F37" i="13"/>
  <c r="E37" i="13"/>
  <c r="D37" i="13"/>
  <c r="C37" i="13"/>
  <c r="B37" i="13"/>
  <c r="Q36" i="13"/>
  <c r="Q16" i="39" s="1"/>
  <c r="P36" i="13"/>
  <c r="P16" i="39" s="1"/>
  <c r="O36" i="13"/>
  <c r="O16" i="39" s="1"/>
  <c r="N36" i="13"/>
  <c r="N16" i="39" s="1"/>
  <c r="M36" i="13"/>
  <c r="M16" i="39" s="1"/>
  <c r="L36" i="13"/>
  <c r="L16" i="39" s="1"/>
  <c r="K36" i="13"/>
  <c r="K16" i="39" s="1"/>
  <c r="J36" i="13"/>
  <c r="I36" i="13"/>
  <c r="H36" i="13"/>
  <c r="H16" i="39" s="1"/>
  <c r="G36" i="13"/>
  <c r="G16" i="39" s="1"/>
  <c r="F36" i="13"/>
  <c r="F16" i="39" s="1"/>
  <c r="E36" i="13"/>
  <c r="E16" i="39" s="1"/>
  <c r="D36" i="13"/>
  <c r="D16" i="39" s="1"/>
  <c r="C36" i="13"/>
  <c r="C16" i="39" s="1"/>
  <c r="B36" i="13"/>
  <c r="B16" i="39" s="1"/>
  <c r="Q35" i="13"/>
  <c r="P35" i="13"/>
  <c r="O35" i="13"/>
  <c r="N35" i="13"/>
  <c r="M35" i="13"/>
  <c r="L35" i="13"/>
  <c r="K35" i="13"/>
  <c r="J35" i="13"/>
  <c r="I35" i="13"/>
  <c r="H35" i="13"/>
  <c r="G35" i="13"/>
  <c r="F35" i="13"/>
  <c r="E35" i="13"/>
  <c r="D35" i="13"/>
  <c r="C35" i="13"/>
  <c r="B35" i="13"/>
  <c r="Q34" i="13"/>
  <c r="P34" i="13"/>
  <c r="O34" i="13"/>
  <c r="N34" i="13"/>
  <c r="M34" i="13"/>
  <c r="L34" i="13"/>
  <c r="K34" i="13"/>
  <c r="J34" i="13"/>
  <c r="I34" i="13"/>
  <c r="H34" i="13"/>
  <c r="G34" i="13"/>
  <c r="F34" i="13"/>
  <c r="E34" i="13"/>
  <c r="D34" i="13"/>
  <c r="C34" i="13"/>
  <c r="B34" i="13"/>
  <c r="B2" i="13"/>
  <c r="A16" i="39" s="1"/>
  <c r="F40" i="12"/>
  <c r="F39" i="12"/>
  <c r="Q38" i="12"/>
  <c r="Q40" i="12" s="1"/>
  <c r="P38" i="12"/>
  <c r="P40" i="12" s="1"/>
  <c r="O38" i="12"/>
  <c r="O40" i="12" s="1"/>
  <c r="N38" i="12"/>
  <c r="N40" i="12" s="1"/>
  <c r="M38" i="12"/>
  <c r="M40" i="12" s="1"/>
  <c r="L38" i="12"/>
  <c r="L40" i="12" s="1"/>
  <c r="K38" i="12"/>
  <c r="K40" i="12" s="1"/>
  <c r="J38" i="12"/>
  <c r="J40" i="12" s="1"/>
  <c r="I38" i="12"/>
  <c r="I40" i="12" s="1"/>
  <c r="H38" i="12"/>
  <c r="H40" i="12" s="1"/>
  <c r="G38" i="12"/>
  <c r="G40" i="12" s="1"/>
  <c r="F38" i="12"/>
  <c r="E38" i="12"/>
  <c r="E40" i="12" s="1"/>
  <c r="D38" i="12"/>
  <c r="D40" i="12" s="1"/>
  <c r="C38" i="12"/>
  <c r="C40" i="12" s="1"/>
  <c r="B38" i="12"/>
  <c r="B40" i="12" s="1"/>
  <c r="Q37" i="12"/>
  <c r="P37" i="12"/>
  <c r="O37" i="12"/>
  <c r="N37" i="12"/>
  <c r="M37" i="12"/>
  <c r="L37" i="12"/>
  <c r="K37" i="12"/>
  <c r="J37" i="12"/>
  <c r="I37" i="12"/>
  <c r="H37" i="12"/>
  <c r="G37" i="12"/>
  <c r="F37" i="12"/>
  <c r="E37" i="12"/>
  <c r="D37" i="12"/>
  <c r="C37" i="12"/>
  <c r="B37" i="12"/>
  <c r="Q36" i="12"/>
  <c r="Q15" i="39" s="1"/>
  <c r="P36" i="12"/>
  <c r="O36" i="12"/>
  <c r="N36" i="12"/>
  <c r="M36" i="12"/>
  <c r="M15" i="39" s="1"/>
  <c r="L36" i="12"/>
  <c r="L15" i="39" s="1"/>
  <c r="K36" i="12"/>
  <c r="K15" i="39" s="1"/>
  <c r="J36" i="12"/>
  <c r="I36" i="12"/>
  <c r="H36" i="12"/>
  <c r="H15" i="39" s="1"/>
  <c r="G36" i="12"/>
  <c r="G15" i="39" s="1"/>
  <c r="F36" i="12"/>
  <c r="F15" i="39" s="1"/>
  <c r="E36" i="12"/>
  <c r="E15" i="39" s="1"/>
  <c r="D36" i="12"/>
  <c r="D15" i="39" s="1"/>
  <c r="C36" i="12"/>
  <c r="C15" i="39" s="1"/>
  <c r="B36" i="12"/>
  <c r="B15" i="39" s="1"/>
  <c r="Q35" i="12"/>
  <c r="P35" i="12"/>
  <c r="O35" i="12"/>
  <c r="N35" i="12"/>
  <c r="M35" i="12"/>
  <c r="L35" i="12"/>
  <c r="K35" i="12"/>
  <c r="J35" i="12"/>
  <c r="I35" i="12"/>
  <c r="H35" i="12"/>
  <c r="G35" i="12"/>
  <c r="F35" i="12"/>
  <c r="E35" i="12"/>
  <c r="D35" i="12"/>
  <c r="C35" i="12"/>
  <c r="B35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B34" i="12"/>
  <c r="B2" i="12"/>
  <c r="A15" i="39" s="1"/>
  <c r="G40" i="11"/>
  <c r="Q38" i="11"/>
  <c r="Q40" i="11" s="1"/>
  <c r="P38" i="11"/>
  <c r="P40" i="11" s="1"/>
  <c r="O38" i="11"/>
  <c r="O40" i="11" s="1"/>
  <c r="N38" i="11"/>
  <c r="N40" i="11" s="1"/>
  <c r="M38" i="11"/>
  <c r="M40" i="11" s="1"/>
  <c r="L38" i="11"/>
  <c r="L40" i="11" s="1"/>
  <c r="K38" i="11"/>
  <c r="K40" i="11" s="1"/>
  <c r="J38" i="11"/>
  <c r="J40" i="11" s="1"/>
  <c r="I38" i="11"/>
  <c r="I40" i="11" s="1"/>
  <c r="H38" i="11"/>
  <c r="H40" i="11" s="1"/>
  <c r="G38" i="11"/>
  <c r="G39" i="11" s="1"/>
  <c r="F38" i="11"/>
  <c r="F40" i="11" s="1"/>
  <c r="E38" i="11"/>
  <c r="E40" i="11" s="1"/>
  <c r="D38" i="11"/>
  <c r="D40" i="11" s="1"/>
  <c r="C38" i="11"/>
  <c r="C40" i="11" s="1"/>
  <c r="B38" i="11"/>
  <c r="B40" i="11" s="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B37" i="11"/>
  <c r="Q36" i="11"/>
  <c r="Q14" i="39" s="1"/>
  <c r="P36" i="11"/>
  <c r="P14" i="39" s="1"/>
  <c r="O36" i="11"/>
  <c r="O14" i="39" s="1"/>
  <c r="N36" i="11"/>
  <c r="N14" i="39" s="1"/>
  <c r="M36" i="11"/>
  <c r="M14" i="39" s="1"/>
  <c r="L36" i="11"/>
  <c r="L14" i="39" s="1"/>
  <c r="K36" i="11"/>
  <c r="J36" i="11"/>
  <c r="J14" i="39" s="1"/>
  <c r="I36" i="11"/>
  <c r="H36" i="11"/>
  <c r="H14" i="39" s="1"/>
  <c r="G36" i="11"/>
  <c r="G14" i="39" s="1"/>
  <c r="F36" i="11"/>
  <c r="F14" i="39" s="1"/>
  <c r="E36" i="11"/>
  <c r="E14" i="39" s="1"/>
  <c r="D36" i="11"/>
  <c r="D14" i="39" s="1"/>
  <c r="C36" i="11"/>
  <c r="C14" i="39" s="1"/>
  <c r="B36" i="11"/>
  <c r="B14" i="39" s="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B35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B34" i="11"/>
  <c r="B2" i="11"/>
  <c r="A14" i="39" s="1"/>
  <c r="Q38" i="10"/>
  <c r="Q40" i="10" s="1"/>
  <c r="P38" i="10"/>
  <c r="P40" i="10" s="1"/>
  <c r="O38" i="10"/>
  <c r="O40" i="10" s="1"/>
  <c r="N38" i="10"/>
  <c r="N40" i="10" s="1"/>
  <c r="M38" i="10"/>
  <c r="M40" i="10" s="1"/>
  <c r="L38" i="10"/>
  <c r="L40" i="10" s="1"/>
  <c r="K38" i="10"/>
  <c r="K40" i="10" s="1"/>
  <c r="J38" i="10"/>
  <c r="J40" i="10" s="1"/>
  <c r="I38" i="10"/>
  <c r="I40" i="10" s="1"/>
  <c r="H38" i="10"/>
  <c r="H39" i="10" s="1"/>
  <c r="G38" i="10"/>
  <c r="G40" i="10" s="1"/>
  <c r="F38" i="10"/>
  <c r="F40" i="10" s="1"/>
  <c r="E38" i="10"/>
  <c r="E40" i="10" s="1"/>
  <c r="D38" i="10"/>
  <c r="D40" i="10" s="1"/>
  <c r="C38" i="10"/>
  <c r="C40" i="10" s="1"/>
  <c r="B38" i="10"/>
  <c r="B40" i="10" s="1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B37" i="10"/>
  <c r="Q36" i="10"/>
  <c r="Q13" i="39" s="1"/>
  <c r="P36" i="10"/>
  <c r="P13" i="39" s="1"/>
  <c r="O36" i="10"/>
  <c r="O13" i="39" s="1"/>
  <c r="N36" i="10"/>
  <c r="N13" i="39" s="1"/>
  <c r="M36" i="10"/>
  <c r="M13" i="39" s="1"/>
  <c r="L36" i="10"/>
  <c r="K36" i="10"/>
  <c r="K13" i="39" s="1"/>
  <c r="J36" i="10"/>
  <c r="J13" i="39" s="1"/>
  <c r="I36" i="10"/>
  <c r="H36" i="10"/>
  <c r="H13" i="39" s="1"/>
  <c r="G36" i="10"/>
  <c r="G13" i="39" s="1"/>
  <c r="F36" i="10"/>
  <c r="F13" i="39" s="1"/>
  <c r="E36" i="10"/>
  <c r="E13" i="39" s="1"/>
  <c r="D36" i="10"/>
  <c r="D13" i="39" s="1"/>
  <c r="C36" i="10"/>
  <c r="C13" i="39" s="1"/>
  <c r="B36" i="10"/>
  <c r="B13" i="39" s="1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B35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B2" i="10"/>
  <c r="A13" i="39" s="1"/>
  <c r="Q38" i="9"/>
  <c r="Q40" i="9" s="1"/>
  <c r="P38" i="9"/>
  <c r="P40" i="9" s="1"/>
  <c r="O38" i="9"/>
  <c r="O40" i="9" s="1"/>
  <c r="N38" i="9"/>
  <c r="N40" i="9" s="1"/>
  <c r="M38" i="9"/>
  <c r="M40" i="9" s="1"/>
  <c r="L38" i="9"/>
  <c r="L40" i="9" s="1"/>
  <c r="K38" i="9"/>
  <c r="K40" i="9" s="1"/>
  <c r="J38" i="9"/>
  <c r="J40" i="9" s="1"/>
  <c r="I38" i="9"/>
  <c r="I40" i="9" s="1"/>
  <c r="H38" i="9"/>
  <c r="H40" i="9" s="1"/>
  <c r="G38" i="9"/>
  <c r="G40" i="9" s="1"/>
  <c r="F38" i="9"/>
  <c r="F40" i="9" s="1"/>
  <c r="E38" i="9"/>
  <c r="E40" i="9" s="1"/>
  <c r="D38" i="9"/>
  <c r="D40" i="9" s="1"/>
  <c r="C38" i="9"/>
  <c r="C40" i="9" s="1"/>
  <c r="B38" i="9"/>
  <c r="B40" i="9" s="1"/>
  <c r="Q37" i="9"/>
  <c r="P37" i="9"/>
  <c r="O37" i="9"/>
  <c r="N37" i="9"/>
  <c r="M37" i="9"/>
  <c r="L37" i="9"/>
  <c r="K37" i="9"/>
  <c r="J37" i="9"/>
  <c r="I37" i="9"/>
  <c r="H37" i="9"/>
  <c r="G37" i="9"/>
  <c r="F37" i="9"/>
  <c r="E37" i="9"/>
  <c r="D37" i="9"/>
  <c r="C37" i="9"/>
  <c r="B37" i="9"/>
  <c r="Q36" i="9"/>
  <c r="Q12" i="39" s="1"/>
  <c r="P36" i="9"/>
  <c r="P12" i="39" s="1"/>
  <c r="O36" i="9"/>
  <c r="O12" i="39" s="1"/>
  <c r="N36" i="9"/>
  <c r="N12" i="39" s="1"/>
  <c r="M36" i="9"/>
  <c r="L36" i="9"/>
  <c r="L12" i="39" s="1"/>
  <c r="K36" i="9"/>
  <c r="K12" i="39" s="1"/>
  <c r="J36" i="9"/>
  <c r="J12" i="39" s="1"/>
  <c r="I36" i="9"/>
  <c r="H36" i="9"/>
  <c r="H12" i="39" s="1"/>
  <c r="G36" i="9"/>
  <c r="G12" i="39" s="1"/>
  <c r="F36" i="9"/>
  <c r="F12" i="39" s="1"/>
  <c r="E36" i="9"/>
  <c r="E12" i="39" s="1"/>
  <c r="D36" i="9"/>
  <c r="D12" i="39" s="1"/>
  <c r="C36" i="9"/>
  <c r="C12" i="39" s="1"/>
  <c r="B36" i="9"/>
  <c r="B12" i="39" s="1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B35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B34" i="9"/>
  <c r="B2" i="9"/>
  <c r="A12" i="39" s="1"/>
  <c r="Q38" i="8"/>
  <c r="Q40" i="8" s="1"/>
  <c r="P38" i="8"/>
  <c r="P40" i="8" s="1"/>
  <c r="O38" i="8"/>
  <c r="O40" i="8" s="1"/>
  <c r="N38" i="8"/>
  <c r="N40" i="8" s="1"/>
  <c r="M38" i="8"/>
  <c r="M40" i="8" s="1"/>
  <c r="L38" i="8"/>
  <c r="L40" i="8" s="1"/>
  <c r="K38" i="8"/>
  <c r="K40" i="8" s="1"/>
  <c r="J38" i="8"/>
  <c r="J39" i="8" s="1"/>
  <c r="I38" i="8"/>
  <c r="I40" i="8" s="1"/>
  <c r="H38" i="8"/>
  <c r="H40" i="8" s="1"/>
  <c r="G38" i="8"/>
  <c r="G40" i="8" s="1"/>
  <c r="F38" i="8"/>
  <c r="F40" i="8" s="1"/>
  <c r="E38" i="8"/>
  <c r="E40" i="8" s="1"/>
  <c r="D38" i="8"/>
  <c r="D40" i="8" s="1"/>
  <c r="C38" i="8"/>
  <c r="C40" i="8" s="1"/>
  <c r="B38" i="8"/>
  <c r="B40" i="8" s="1"/>
  <c r="Q37" i="8"/>
  <c r="P37" i="8"/>
  <c r="O37" i="8"/>
  <c r="N37" i="8"/>
  <c r="M37" i="8"/>
  <c r="L37" i="8"/>
  <c r="K37" i="8"/>
  <c r="J37" i="8"/>
  <c r="I37" i="8"/>
  <c r="H37" i="8"/>
  <c r="G37" i="8"/>
  <c r="F37" i="8"/>
  <c r="E37" i="8"/>
  <c r="D37" i="8"/>
  <c r="C37" i="8"/>
  <c r="B37" i="8"/>
  <c r="Q36" i="8"/>
  <c r="Q11" i="39" s="1"/>
  <c r="P36" i="8"/>
  <c r="P11" i="39" s="1"/>
  <c r="O36" i="8"/>
  <c r="O11" i="39" s="1"/>
  <c r="N36" i="8"/>
  <c r="M36" i="8"/>
  <c r="M11" i="39" s="1"/>
  <c r="L36" i="8"/>
  <c r="L11" i="39" s="1"/>
  <c r="K36" i="8"/>
  <c r="K11" i="39" s="1"/>
  <c r="J36" i="8"/>
  <c r="J11" i="39" s="1"/>
  <c r="I36" i="8"/>
  <c r="H36" i="8"/>
  <c r="H11" i="39" s="1"/>
  <c r="G36" i="8"/>
  <c r="G11" i="39" s="1"/>
  <c r="F36" i="8"/>
  <c r="F11" i="39" s="1"/>
  <c r="E36" i="8"/>
  <c r="E11" i="39" s="1"/>
  <c r="D36" i="8"/>
  <c r="D11" i="39" s="1"/>
  <c r="C36" i="8"/>
  <c r="C11" i="39" s="1"/>
  <c r="B36" i="8"/>
  <c r="B11" i="39" s="1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Q34" i="8"/>
  <c r="P34" i="8"/>
  <c r="O34" i="8"/>
  <c r="N34" i="8"/>
  <c r="M34" i="8"/>
  <c r="L34" i="8"/>
  <c r="K34" i="8"/>
  <c r="J34" i="8"/>
  <c r="I34" i="8"/>
  <c r="H34" i="8"/>
  <c r="G34" i="8"/>
  <c r="F34" i="8"/>
  <c r="E34" i="8"/>
  <c r="D34" i="8"/>
  <c r="C34" i="8"/>
  <c r="B34" i="8"/>
  <c r="B2" i="8"/>
  <c r="A11" i="39" s="1"/>
  <c r="K40" i="3"/>
  <c r="K39" i="3"/>
  <c r="Q38" i="3"/>
  <c r="Q40" i="3" s="1"/>
  <c r="P38" i="3"/>
  <c r="P40" i="3" s="1"/>
  <c r="O38" i="3"/>
  <c r="O40" i="3" s="1"/>
  <c r="N38" i="3"/>
  <c r="N40" i="3" s="1"/>
  <c r="M38" i="3"/>
  <c r="M40" i="3" s="1"/>
  <c r="L38" i="3"/>
  <c r="L40" i="3" s="1"/>
  <c r="K38" i="3"/>
  <c r="J38" i="3"/>
  <c r="J40" i="3" s="1"/>
  <c r="I38" i="3"/>
  <c r="I40" i="3" s="1"/>
  <c r="H38" i="3"/>
  <c r="H40" i="3" s="1"/>
  <c r="G38" i="3"/>
  <c r="G40" i="3" s="1"/>
  <c r="F38" i="3"/>
  <c r="F40" i="3" s="1"/>
  <c r="E38" i="3"/>
  <c r="E40" i="3" s="1"/>
  <c r="D38" i="3"/>
  <c r="D40" i="3" s="1"/>
  <c r="C38" i="3"/>
  <c r="C40" i="3" s="1"/>
  <c r="B38" i="3"/>
  <c r="B40" i="3" s="1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Q36" i="3"/>
  <c r="Q10" i="39" s="1"/>
  <c r="P36" i="3"/>
  <c r="P10" i="39" s="1"/>
  <c r="O36" i="3"/>
  <c r="N36" i="3"/>
  <c r="N10" i="39" s="1"/>
  <c r="M36" i="3"/>
  <c r="M10" i="39" s="1"/>
  <c r="L36" i="3"/>
  <c r="L10" i="39" s="1"/>
  <c r="K36" i="3"/>
  <c r="K10" i="39" s="1"/>
  <c r="J36" i="3"/>
  <c r="J10" i="39" s="1"/>
  <c r="I36" i="3"/>
  <c r="H36" i="3"/>
  <c r="H10" i="39" s="1"/>
  <c r="G36" i="3"/>
  <c r="G10" i="39" s="1"/>
  <c r="F36" i="3"/>
  <c r="F10" i="39" s="1"/>
  <c r="E36" i="3"/>
  <c r="E10" i="39" s="1"/>
  <c r="D36" i="3"/>
  <c r="D10" i="39" s="1"/>
  <c r="C36" i="3"/>
  <c r="C10" i="39" s="1"/>
  <c r="B36" i="3"/>
  <c r="B10" i="39" s="1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B35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B34" i="3"/>
  <c r="B2" i="3"/>
  <c r="A10" i="39" s="1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Q36" i="2"/>
  <c r="Q9" i="39" s="1"/>
  <c r="P36" i="2"/>
  <c r="P9" i="39" s="1"/>
  <c r="O36" i="2"/>
  <c r="O9" i="39" s="1"/>
  <c r="N36" i="2"/>
  <c r="N9" i="39" s="1"/>
  <c r="M36" i="2"/>
  <c r="M9" i="39" s="1"/>
  <c r="L36" i="2"/>
  <c r="L9" i="39" s="1"/>
  <c r="K36" i="2"/>
  <c r="K9" i="39" s="1"/>
  <c r="J36" i="2"/>
  <c r="J9" i="39" s="1"/>
  <c r="I36" i="2"/>
  <c r="H36" i="2"/>
  <c r="H9" i="39" s="1"/>
  <c r="G36" i="2"/>
  <c r="G9" i="39" s="1"/>
  <c r="F36" i="2"/>
  <c r="F9" i="39" s="1"/>
  <c r="E36" i="2"/>
  <c r="E9" i="39" s="1"/>
  <c r="D36" i="2"/>
  <c r="D9" i="39" s="1"/>
  <c r="C36" i="2"/>
  <c r="C9" i="39" s="1"/>
  <c r="B36" i="2"/>
  <c r="B9" i="39" s="1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B2" i="2"/>
  <c r="A9" i="39" s="1"/>
  <c r="B2" i="39" s="1"/>
  <c r="C38" i="39" l="1"/>
  <c r="C45" i="39" s="1"/>
  <c r="Q39" i="41"/>
  <c r="D38" i="39"/>
  <c r="D45" i="39" s="1"/>
  <c r="B39" i="41"/>
  <c r="E38" i="39"/>
  <c r="E45" i="39" s="1"/>
  <c r="C39" i="41"/>
  <c r="F38" i="39"/>
  <c r="F45" i="39" s="1"/>
  <c r="P40" i="41"/>
  <c r="D39" i="41"/>
  <c r="G38" i="39"/>
  <c r="G45" i="39" s="1"/>
  <c r="E39" i="41"/>
  <c r="H38" i="39"/>
  <c r="H45" i="39" s="1"/>
  <c r="F39" i="41"/>
  <c r="I45" i="39"/>
  <c r="G39" i="41"/>
  <c r="J38" i="39"/>
  <c r="J45" i="39" s="1"/>
  <c r="H39" i="41"/>
  <c r="K38" i="39"/>
  <c r="I39" i="41"/>
  <c r="L38" i="39"/>
  <c r="L45" i="39" s="1"/>
  <c r="J39" i="41"/>
  <c r="M38" i="39"/>
  <c r="M45" i="39" s="1"/>
  <c r="K45" i="39"/>
  <c r="K39" i="41"/>
  <c r="N38" i="39"/>
  <c r="L39" i="41"/>
  <c r="O38" i="39"/>
  <c r="O45" i="39" s="1"/>
  <c r="M39" i="41"/>
  <c r="P38" i="39"/>
  <c r="P45" i="39" s="1"/>
  <c r="N45" i="39"/>
  <c r="N39" i="41"/>
  <c r="Q38" i="39"/>
  <c r="Q45" i="39" s="1"/>
  <c r="O39" i="41"/>
  <c r="B39" i="40"/>
  <c r="C39" i="40"/>
  <c r="D39" i="40"/>
  <c r="E39" i="40"/>
  <c r="F39" i="40"/>
  <c r="G39" i="40"/>
  <c r="H39" i="40"/>
  <c r="I39" i="40"/>
  <c r="J39" i="40"/>
  <c r="K39" i="40"/>
  <c r="Q40" i="40"/>
  <c r="L39" i="40"/>
  <c r="M39" i="40"/>
  <c r="N39" i="40"/>
  <c r="O39" i="40"/>
  <c r="P39" i="40"/>
  <c r="C39" i="33"/>
  <c r="D39" i="33"/>
  <c r="E39" i="33"/>
  <c r="F39" i="33"/>
  <c r="G39" i="33"/>
  <c r="H39" i="33"/>
  <c r="I39" i="33"/>
  <c r="J39" i="33"/>
  <c r="K39" i="33"/>
  <c r="L39" i="33"/>
  <c r="M39" i="33"/>
  <c r="N39" i="33"/>
  <c r="O39" i="33"/>
  <c r="P39" i="33"/>
  <c r="Q39" i="33"/>
  <c r="B39" i="33"/>
  <c r="E39" i="32"/>
  <c r="F39" i="32"/>
  <c r="G39" i="32"/>
  <c r="H39" i="32"/>
  <c r="C39" i="32"/>
  <c r="I39" i="32"/>
  <c r="J39" i="32"/>
  <c r="K39" i="32"/>
  <c r="L39" i="32"/>
  <c r="M39" i="32"/>
  <c r="N39" i="32"/>
  <c r="O39" i="32"/>
  <c r="P39" i="32"/>
  <c r="D40" i="32"/>
  <c r="Q39" i="32"/>
  <c r="B39" i="32"/>
  <c r="F39" i="31"/>
  <c r="G39" i="31"/>
  <c r="H39" i="31"/>
  <c r="D39" i="31"/>
  <c r="I39" i="31"/>
  <c r="J39" i="31"/>
  <c r="K39" i="31"/>
  <c r="L39" i="31"/>
  <c r="M39" i="31"/>
  <c r="N39" i="31"/>
  <c r="E39" i="31"/>
  <c r="O39" i="31"/>
  <c r="P39" i="31"/>
  <c r="Q39" i="31"/>
  <c r="B39" i="31"/>
  <c r="C39" i="31"/>
  <c r="F39" i="30"/>
  <c r="G39" i="30"/>
  <c r="H39" i="30"/>
  <c r="I39" i="30"/>
  <c r="J39" i="30"/>
  <c r="K39" i="30"/>
  <c r="L39" i="30"/>
  <c r="M39" i="30"/>
  <c r="N39" i="30"/>
  <c r="O39" i="30"/>
  <c r="P39" i="30"/>
  <c r="Q39" i="30"/>
  <c r="B39" i="30"/>
  <c r="C39" i="30"/>
  <c r="D39" i="30"/>
  <c r="E39" i="30"/>
  <c r="H39" i="29"/>
  <c r="I39" i="29"/>
  <c r="J39" i="29"/>
  <c r="K39" i="29"/>
  <c r="L39" i="29"/>
  <c r="M39" i="29"/>
  <c r="N39" i="29"/>
  <c r="O39" i="29"/>
  <c r="P39" i="29"/>
  <c r="Q39" i="29"/>
  <c r="B39" i="29"/>
  <c r="C39" i="29"/>
  <c r="D39" i="29"/>
  <c r="E39" i="29"/>
  <c r="F39" i="29"/>
  <c r="G39" i="29"/>
  <c r="K39" i="28"/>
  <c r="L39" i="28"/>
  <c r="M39" i="28"/>
  <c r="N39" i="28"/>
  <c r="O39" i="28"/>
  <c r="P39" i="28"/>
  <c r="Q39" i="28"/>
  <c r="B39" i="28"/>
  <c r="C39" i="28"/>
  <c r="D39" i="28"/>
  <c r="E39" i="28"/>
  <c r="J39" i="28"/>
  <c r="F39" i="28"/>
  <c r="G39" i="28"/>
  <c r="H39" i="28"/>
  <c r="I39" i="28"/>
  <c r="N39" i="26"/>
  <c r="O39" i="26"/>
  <c r="P39" i="26"/>
  <c r="Q39" i="26"/>
  <c r="B39" i="26"/>
  <c r="C39" i="26"/>
  <c r="D39" i="26"/>
  <c r="M39" i="26"/>
  <c r="E39" i="26"/>
  <c r="F39" i="26"/>
  <c r="G39" i="26"/>
  <c r="H39" i="26"/>
  <c r="I39" i="26"/>
  <c r="J39" i="26"/>
  <c r="K39" i="26"/>
  <c r="L39" i="26"/>
  <c r="O40" i="25"/>
  <c r="Q39" i="25"/>
  <c r="B39" i="25"/>
  <c r="C39" i="25"/>
  <c r="D39" i="25"/>
  <c r="E39" i="25"/>
  <c r="N39" i="25"/>
  <c r="P39" i="25"/>
  <c r="F39" i="25"/>
  <c r="G39" i="25"/>
  <c r="H39" i="25"/>
  <c r="I39" i="25"/>
  <c r="J39" i="25"/>
  <c r="K39" i="25"/>
  <c r="L39" i="25"/>
  <c r="M39" i="25"/>
  <c r="Q39" i="24"/>
  <c r="O40" i="24"/>
  <c r="B39" i="24"/>
  <c r="C39" i="24"/>
  <c r="D39" i="24"/>
  <c r="E39" i="24"/>
  <c r="F39" i="24"/>
  <c r="G39" i="24"/>
  <c r="P40" i="24"/>
  <c r="H39" i="24"/>
  <c r="I39" i="24"/>
  <c r="J39" i="24"/>
  <c r="K39" i="24"/>
  <c r="L39" i="24"/>
  <c r="M39" i="24"/>
  <c r="N39" i="24"/>
  <c r="Q39" i="23"/>
  <c r="B39" i="23"/>
  <c r="C39" i="23"/>
  <c r="D39" i="23"/>
  <c r="E39" i="23"/>
  <c r="P40" i="23"/>
  <c r="F39" i="23"/>
  <c r="G39" i="23"/>
  <c r="H39" i="23"/>
  <c r="I39" i="23"/>
  <c r="J39" i="23"/>
  <c r="K39" i="23"/>
  <c r="L39" i="23"/>
  <c r="M39" i="23"/>
  <c r="N39" i="23"/>
  <c r="O39" i="23"/>
  <c r="C39" i="22"/>
  <c r="D39" i="22"/>
  <c r="E39" i="22"/>
  <c r="F39" i="22"/>
  <c r="G39" i="22"/>
  <c r="H39" i="22"/>
  <c r="B39" i="22"/>
  <c r="I39" i="22"/>
  <c r="J39" i="22"/>
  <c r="K39" i="22"/>
  <c r="L39" i="22"/>
  <c r="M39" i="22"/>
  <c r="N39" i="22"/>
  <c r="O39" i="22"/>
  <c r="P39" i="22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B39" i="21"/>
  <c r="D39" i="20"/>
  <c r="E39" i="20"/>
  <c r="F39" i="20"/>
  <c r="G39" i="20"/>
  <c r="H39" i="20"/>
  <c r="I39" i="20"/>
  <c r="J39" i="20"/>
  <c r="K39" i="20"/>
  <c r="L39" i="20"/>
  <c r="M39" i="20"/>
  <c r="N39" i="20"/>
  <c r="O39" i="20"/>
  <c r="P39" i="20"/>
  <c r="Q39" i="20"/>
  <c r="B39" i="20"/>
  <c r="C39" i="20"/>
  <c r="E39" i="19"/>
  <c r="F39" i="19"/>
  <c r="G39" i="19"/>
  <c r="H39" i="19"/>
  <c r="I39" i="19"/>
  <c r="J39" i="19"/>
  <c r="K39" i="19"/>
  <c r="L39" i="19"/>
  <c r="M39" i="19"/>
  <c r="N39" i="19"/>
  <c r="O39" i="19"/>
  <c r="P39" i="19"/>
  <c r="Q39" i="19"/>
  <c r="B39" i="19"/>
  <c r="C39" i="19"/>
  <c r="D39" i="19"/>
  <c r="G39" i="18"/>
  <c r="H39" i="18"/>
  <c r="I39" i="18"/>
  <c r="J39" i="18"/>
  <c r="K39" i="18"/>
  <c r="L39" i="18"/>
  <c r="M39" i="18"/>
  <c r="N39" i="18"/>
  <c r="O39" i="18"/>
  <c r="P39" i="18"/>
  <c r="Q39" i="18"/>
  <c r="B39" i="18"/>
  <c r="C39" i="18"/>
  <c r="D39" i="18"/>
  <c r="E39" i="18"/>
  <c r="F39" i="18"/>
  <c r="I39" i="17"/>
  <c r="J39" i="17"/>
  <c r="K39" i="17"/>
  <c r="L39" i="17"/>
  <c r="M39" i="17"/>
  <c r="N39" i="17"/>
  <c r="H39" i="17"/>
  <c r="O39" i="17"/>
  <c r="P39" i="17"/>
  <c r="Q39" i="17"/>
  <c r="B39" i="17"/>
  <c r="C39" i="17"/>
  <c r="D39" i="17"/>
  <c r="E39" i="17"/>
  <c r="F39" i="17"/>
  <c r="I39" i="16"/>
  <c r="J39" i="16"/>
  <c r="K39" i="16"/>
  <c r="L39" i="16"/>
  <c r="M39" i="16"/>
  <c r="N39" i="16"/>
  <c r="O39" i="16"/>
  <c r="P39" i="16"/>
  <c r="Q39" i="16"/>
  <c r="B39" i="16"/>
  <c r="C39" i="16"/>
  <c r="D39" i="16"/>
  <c r="E39" i="16"/>
  <c r="F39" i="16"/>
  <c r="G39" i="16"/>
  <c r="J39" i="15"/>
  <c r="K39" i="15"/>
  <c r="L39" i="15"/>
  <c r="M39" i="15"/>
  <c r="N39" i="15"/>
  <c r="O39" i="15"/>
  <c r="P39" i="15"/>
  <c r="Q39" i="15"/>
  <c r="B39" i="15"/>
  <c r="C39" i="15"/>
  <c r="I39" i="15"/>
  <c r="D39" i="15"/>
  <c r="E39" i="15"/>
  <c r="F39" i="15"/>
  <c r="G39" i="15"/>
  <c r="H39" i="15"/>
  <c r="I39" i="14"/>
  <c r="G40" i="14"/>
  <c r="J39" i="14"/>
  <c r="K39" i="14"/>
  <c r="L39" i="14"/>
  <c r="H39" i="14"/>
  <c r="M39" i="14"/>
  <c r="N39" i="14"/>
  <c r="O39" i="14"/>
  <c r="P39" i="14"/>
  <c r="Q39" i="14"/>
  <c r="B39" i="14"/>
  <c r="C39" i="14"/>
  <c r="D39" i="14"/>
  <c r="E39" i="14"/>
  <c r="F39" i="14"/>
  <c r="I39" i="13"/>
  <c r="J39" i="13"/>
  <c r="K39" i="13"/>
  <c r="L39" i="13"/>
  <c r="M39" i="13"/>
  <c r="N39" i="13"/>
  <c r="O39" i="13"/>
  <c r="P39" i="13"/>
  <c r="Q39" i="13"/>
  <c r="B39" i="13"/>
  <c r="C39" i="13"/>
  <c r="D39" i="13"/>
  <c r="E39" i="13"/>
  <c r="F39" i="13"/>
  <c r="G39" i="13"/>
  <c r="G39" i="12"/>
  <c r="H39" i="12"/>
  <c r="I39" i="12"/>
  <c r="J39" i="12"/>
  <c r="K39" i="12"/>
  <c r="L39" i="12"/>
  <c r="M39" i="12"/>
  <c r="N39" i="12"/>
  <c r="O39" i="12"/>
  <c r="P39" i="12"/>
  <c r="Q39" i="12"/>
  <c r="B39" i="12"/>
  <c r="C39" i="12"/>
  <c r="D39" i="12"/>
  <c r="E39" i="12"/>
  <c r="H39" i="11"/>
  <c r="I39" i="11"/>
  <c r="J39" i="11"/>
  <c r="K39" i="11"/>
  <c r="L39" i="11"/>
  <c r="M39" i="11"/>
  <c r="N39" i="11"/>
  <c r="O39" i="11"/>
  <c r="P39" i="11"/>
  <c r="Q39" i="11"/>
  <c r="B39" i="11"/>
  <c r="C39" i="11"/>
  <c r="D39" i="11"/>
  <c r="E39" i="11"/>
  <c r="F39" i="11"/>
  <c r="I39" i="10"/>
  <c r="J39" i="10"/>
  <c r="K39" i="10"/>
  <c r="L39" i="10"/>
  <c r="M39" i="10"/>
  <c r="N39" i="10"/>
  <c r="O39" i="10"/>
  <c r="P39" i="10"/>
  <c r="H40" i="10"/>
  <c r="Q39" i="10"/>
  <c r="B39" i="10"/>
  <c r="C39" i="10"/>
  <c r="D39" i="10"/>
  <c r="E39" i="10"/>
  <c r="F39" i="10"/>
  <c r="G39" i="10"/>
  <c r="I39" i="9"/>
  <c r="J39" i="9"/>
  <c r="K39" i="9"/>
  <c r="L39" i="9"/>
  <c r="M39" i="9"/>
  <c r="N39" i="9"/>
  <c r="O39" i="9"/>
  <c r="P39" i="9"/>
  <c r="Q39" i="9"/>
  <c r="B39" i="9"/>
  <c r="C39" i="9"/>
  <c r="D39" i="9"/>
  <c r="E39" i="9"/>
  <c r="F39" i="9"/>
  <c r="G39" i="9"/>
  <c r="H39" i="9"/>
  <c r="K39" i="8"/>
  <c r="L39" i="8"/>
  <c r="M39" i="8"/>
  <c r="N39" i="8"/>
  <c r="O39" i="8"/>
  <c r="P39" i="8"/>
  <c r="Q39" i="8"/>
  <c r="J40" i="8"/>
  <c r="B39" i="8"/>
  <c r="C39" i="8"/>
  <c r="D39" i="8"/>
  <c r="E39" i="8"/>
  <c r="F39" i="8"/>
  <c r="G39" i="8"/>
  <c r="H39" i="8"/>
  <c r="I39" i="8"/>
  <c r="L39" i="3"/>
  <c r="M39" i="3"/>
  <c r="N39" i="3"/>
  <c r="O39" i="3"/>
  <c r="P39" i="3"/>
  <c r="Q39" i="3"/>
  <c r="C46" i="39"/>
  <c r="B39" i="3"/>
  <c r="C39" i="3"/>
  <c r="D39" i="3"/>
  <c r="E39" i="3"/>
  <c r="F39" i="3"/>
  <c r="G39" i="3"/>
  <c r="H39" i="3"/>
  <c r="I39" i="3"/>
  <c r="J39" i="3"/>
  <c r="Q39" i="2"/>
  <c r="P44" i="39"/>
  <c r="P43" i="39"/>
  <c r="P42" i="39"/>
  <c r="P41" i="39"/>
  <c r="O44" i="39"/>
  <c r="O43" i="39"/>
  <c r="O42" i="39"/>
  <c r="O41" i="39"/>
  <c r="N44" i="39"/>
  <c r="N43" i="39"/>
  <c r="N42" i="39"/>
  <c r="N41" i="39"/>
  <c r="B44" i="39"/>
  <c r="B43" i="39"/>
  <c r="B42" i="39"/>
  <c r="B41" i="39"/>
  <c r="D44" i="39"/>
  <c r="D43" i="39"/>
  <c r="D42" i="39"/>
  <c r="D41" i="39"/>
  <c r="E44" i="39"/>
  <c r="E43" i="39"/>
  <c r="E42" i="39"/>
  <c r="E41" i="39"/>
  <c r="F42" i="39"/>
  <c r="F41" i="39"/>
  <c r="F43" i="39"/>
  <c r="F44" i="39"/>
  <c r="G44" i="39"/>
  <c r="G43" i="39"/>
  <c r="G42" i="39"/>
  <c r="G41" i="39"/>
  <c r="H44" i="39"/>
  <c r="H43" i="39"/>
  <c r="H42" i="39"/>
  <c r="H41" i="39"/>
  <c r="I44" i="39"/>
  <c r="I43" i="39"/>
  <c r="I42" i="39"/>
  <c r="I41" i="39"/>
  <c r="Q44" i="39"/>
  <c r="Q43" i="39"/>
  <c r="Q42" i="39"/>
  <c r="Q41" i="39"/>
  <c r="J44" i="39"/>
  <c r="J43" i="39"/>
  <c r="J42" i="39"/>
  <c r="J41" i="39"/>
  <c r="K44" i="39"/>
  <c r="K43" i="39"/>
  <c r="K42" i="39"/>
  <c r="K41" i="39"/>
  <c r="L44" i="39"/>
  <c r="L43" i="39"/>
  <c r="L42" i="39"/>
  <c r="L41" i="39"/>
  <c r="M44" i="39"/>
  <c r="M43" i="39"/>
  <c r="M42" i="39"/>
  <c r="M41" i="39"/>
  <c r="N39" i="2"/>
  <c r="C41" i="39"/>
  <c r="C42" i="39"/>
  <c r="C43" i="39"/>
  <c r="C44" i="39"/>
  <c r="O39" i="2"/>
  <c r="P39" i="2"/>
  <c r="B39" i="2"/>
  <c r="C39" i="2"/>
  <c r="D39" i="2"/>
  <c r="E39" i="2"/>
  <c r="F39" i="2"/>
  <c r="G39" i="2"/>
  <c r="H39" i="2"/>
  <c r="I39" i="2"/>
  <c r="J39" i="2"/>
  <c r="K39" i="2"/>
  <c r="L39" i="2"/>
  <c r="M39" i="2"/>
  <c r="C47" i="39" l="1"/>
  <c r="N47" i="39"/>
  <c r="N46" i="39"/>
  <c r="E47" i="39"/>
  <c r="E46" i="39"/>
  <c r="H47" i="39"/>
  <c r="H46" i="39"/>
  <c r="K47" i="39"/>
  <c r="K46" i="39"/>
  <c r="J47" i="39"/>
  <c r="J46" i="39"/>
  <c r="M47" i="39"/>
  <c r="M46" i="39"/>
  <c r="O47" i="39"/>
  <c r="O46" i="39"/>
  <c r="I47" i="39"/>
  <c r="I46" i="39"/>
  <c r="D47" i="39"/>
  <c r="D46" i="39"/>
  <c r="G47" i="39"/>
  <c r="G46" i="39"/>
  <c r="Q47" i="39"/>
  <c r="Q46" i="39"/>
  <c r="L47" i="39"/>
  <c r="L46" i="39"/>
  <c r="F46" i="39"/>
  <c r="F47" i="39"/>
  <c r="P47" i="39"/>
  <c r="P46" i="39"/>
  <c r="B47" i="39"/>
  <c r="B46" i="39"/>
</calcChain>
</file>

<file path=xl/sharedStrings.xml><?xml version="1.0" encoding="utf-8"?>
<sst xmlns="http://schemas.openxmlformats.org/spreadsheetml/2006/main" count="3850" uniqueCount="804">
  <si>
    <t>Date:</t>
  </si>
  <si>
    <t>Status</t>
  </si>
  <si>
    <t>Station: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</si>
  <si>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</si>
  <si>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</si>
  <si>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</si>
  <si>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</si>
  <si>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</si>
  <si>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</si>
  <si>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</si>
  <si>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</si>
  <si>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</si>
  <si>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</si>
  <si>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</si>
  <si>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</si>
  <si>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</si>
  <si>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</si>
  <si>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>Zero Referrence</t>
  </si>
  <si>
    <t>Z.Ref</t>
  </si>
  <si>
    <t>Warm Up</t>
  </si>
  <si>
    <t>Wm. Up</t>
  </si>
  <si>
    <t>Date &amp; Time</t>
  </si>
  <si>
    <t>ug/m3</t>
  </si>
  <si>
    <t>mg/m3</t>
  </si>
  <si>
    <t>m/sec</t>
  </si>
  <si>
    <t>deg</t>
  </si>
  <si>
    <t>%</t>
  </si>
  <si>
    <t>degreC</t>
  </si>
  <si>
    <t>w/m2</t>
  </si>
  <si>
    <t>mm</t>
  </si>
  <si>
    <t>Min</t>
  </si>
  <si>
    <t>Max</t>
  </si>
  <si>
    <t>Avg</t>
  </si>
  <si>
    <t>Num</t>
  </si>
  <si>
    <t>DCR</t>
  </si>
  <si>
    <t>Done by</t>
  </si>
  <si>
    <t>Comment</t>
  </si>
  <si>
    <t>24 HRS</t>
  </si>
  <si>
    <t>Stdev</t>
  </si>
  <si>
    <t xml:space="preserve"> 01 Hour</t>
  </si>
  <si>
    <t>RAHUL</t>
  </si>
  <si>
    <t>RK</t>
  </si>
  <si>
    <t>ppb</t>
  </si>
  <si>
    <t>NO_BHATAGAON</t>
  </si>
  <si>
    <t>NO2__BHATAGAON</t>
  </si>
  <si>
    <t>NOX_BHATAGAON</t>
  </si>
  <si>
    <t>SO2__BHATAGAON</t>
  </si>
  <si>
    <t>O3__BHATAGAON</t>
  </si>
  <si>
    <t>PM10__BHATAGAON</t>
  </si>
  <si>
    <t>PM2_5__BHATAGAON</t>
  </si>
  <si>
    <t>BENZ__BHATAGAON</t>
  </si>
  <si>
    <t>WS__BHATAGAON</t>
  </si>
  <si>
    <t>WD__BHATAGAON</t>
  </si>
  <si>
    <t>TEMP__BHATAGAON</t>
  </si>
  <si>
    <t>HUM__BHATAGAON</t>
  </si>
  <si>
    <t>SR__BHATAGAON</t>
  </si>
  <si>
    <t>RG__BHATAGAON</t>
  </si>
  <si>
    <t>CO__BHATAGAON</t>
  </si>
  <si>
    <t>NH3__BHATAGAON</t>
  </si>
  <si>
    <t>BHATAGAON RAIPUR</t>
  </si>
  <si>
    <t>01/01/2025 01:00</t>
  </si>
  <si>
    <t>01/01/2025 02:00</t>
  </si>
  <si>
    <t>01/01/2025 03:00</t>
  </si>
  <si>
    <t>01/01/2025 04:00</t>
  </si>
  <si>
    <t>01/01/2025 05:00</t>
  </si>
  <si>
    <t>01/01/2025 06:00</t>
  </si>
  <si>
    <t>01/01/2025 07:00</t>
  </si>
  <si>
    <t>01/01/2025 08:00</t>
  </si>
  <si>
    <t>01/01/2025 09:00</t>
  </si>
  <si>
    <t>01/01/2025 10:00</t>
  </si>
  <si>
    <t>01/01/2025 11:00</t>
  </si>
  <si>
    <t>01/01/2025 12:00</t>
  </si>
  <si>
    <t>01/01/2025 13:00</t>
  </si>
  <si>
    <t>01/01/2025 14:00</t>
  </si>
  <si>
    <t>01/01/2025 15:00</t>
  </si>
  <si>
    <t>01/01/2025 16:00</t>
  </si>
  <si>
    <t>01/01/2025 17:00</t>
  </si>
  <si>
    <t>01/01/2025 18:00</t>
  </si>
  <si>
    <t>01/01/2025 19:00</t>
  </si>
  <si>
    <t>01/01/2025 20:00</t>
  </si>
  <si>
    <t>01/01/2025 21:00</t>
  </si>
  <si>
    <t>01/01/2025 22:00</t>
  </si>
  <si>
    <t>01/01/2025 23:00</t>
  </si>
  <si>
    <t>01/01/2025 24:00</t>
  </si>
  <si>
    <t>02/01/2025 01:00</t>
  </si>
  <si>
    <t>02/01/2025 02:00</t>
  </si>
  <si>
    <t>02/01/2025 03:00</t>
  </si>
  <si>
    <t>02/01/2025 04:00</t>
  </si>
  <si>
    <t>02/01/2025 05:00</t>
  </si>
  <si>
    <t>02/01/2025 06:00</t>
  </si>
  <si>
    <t>02/01/2025 07:00</t>
  </si>
  <si>
    <t>02/01/2025 08:00</t>
  </si>
  <si>
    <t>02/01/2025 09:00</t>
  </si>
  <si>
    <t>02/01/2025 10:00</t>
  </si>
  <si>
    <t>02/01/2025 11:00</t>
  </si>
  <si>
    <t>02/01/2025 12:00</t>
  </si>
  <si>
    <t>02/01/2025 13:00</t>
  </si>
  <si>
    <t>02/01/2025 14:00</t>
  </si>
  <si>
    <t>02/01/2025 15:00</t>
  </si>
  <si>
    <t>02/01/2025 16:00</t>
  </si>
  <si>
    <t>02/01/2025 17:00</t>
  </si>
  <si>
    <t>02/01/2025 18:00</t>
  </si>
  <si>
    <t>02/01/2025 19:00</t>
  </si>
  <si>
    <t>02/01/2025 20:00</t>
  </si>
  <si>
    <t>02/01/2025 21:00</t>
  </si>
  <si>
    <t>02/01/2025 22:00</t>
  </si>
  <si>
    <t>02/01/2025 23:00</t>
  </si>
  <si>
    <t>02/01/2025 24:00</t>
  </si>
  <si>
    <t>03/01/2025 01:00</t>
  </si>
  <si>
    <t>03/01/2025 02:00</t>
  </si>
  <si>
    <t>03/01/2025 03:00</t>
  </si>
  <si>
    <t>03/01/2025 04:00</t>
  </si>
  <si>
    <t>03/01/2025 05:00</t>
  </si>
  <si>
    <t>03/01/2025 06:00</t>
  </si>
  <si>
    <t>03/01/2025 07:00</t>
  </si>
  <si>
    <t>03/01/2025 08:00</t>
  </si>
  <si>
    <t>03/01/2025 09:00</t>
  </si>
  <si>
    <t>03/01/2025 10:00</t>
  </si>
  <si>
    <t>03/01/2025 11:00</t>
  </si>
  <si>
    <t>03/01/2025 12:00</t>
  </si>
  <si>
    <t>03/01/2025 13:00</t>
  </si>
  <si>
    <t>03/01/2025 14:00</t>
  </si>
  <si>
    <t>03/01/2025 15:00</t>
  </si>
  <si>
    <t>03/01/2025 16:00</t>
  </si>
  <si>
    <t>03/01/2025 17:00</t>
  </si>
  <si>
    <t>03/01/2025 18:00</t>
  </si>
  <si>
    <t>03/01/2025 19:00</t>
  </si>
  <si>
    <t>03/01/2025 20:00</t>
  </si>
  <si>
    <t>03/01/2025 21:00</t>
  </si>
  <si>
    <t>03/01/2025 22:00</t>
  </si>
  <si>
    <t>03/01/2025 23:00</t>
  </si>
  <si>
    <t>03/01/2025 24:00</t>
  </si>
  <si>
    <t>04/01/2025 01:00</t>
  </si>
  <si>
    <t>04/01/2025 02:00</t>
  </si>
  <si>
    <t>04/01/2025 03:00</t>
  </si>
  <si>
    <t>04/01/2025 04:00</t>
  </si>
  <si>
    <t>04/01/2025 05:00</t>
  </si>
  <si>
    <t>04/01/2025 06:00</t>
  </si>
  <si>
    <t>04/01/2025 07:00</t>
  </si>
  <si>
    <t>04/01/2025 08:00</t>
  </si>
  <si>
    <t>04/01/2025 09:00</t>
  </si>
  <si>
    <t>04/01/2025 10:00</t>
  </si>
  <si>
    <t>04/01/2025 11:00</t>
  </si>
  <si>
    <t>04/01/2025 12:00</t>
  </si>
  <si>
    <t>04/01/2025 13:00</t>
  </si>
  <si>
    <t>04/01/2025 14:00</t>
  </si>
  <si>
    <t>04/01/2025 15:00</t>
  </si>
  <si>
    <t>04/01/2025 16:00</t>
  </si>
  <si>
    <t>04/01/2025 17:00</t>
  </si>
  <si>
    <t>04/01/2025 18:00</t>
  </si>
  <si>
    <t>04/01/2025 19:00</t>
  </si>
  <si>
    <t>04/01/2025 20:00</t>
  </si>
  <si>
    <t>04/01/2025 21:00</t>
  </si>
  <si>
    <t>04/01/2025 22:00</t>
  </si>
  <si>
    <t>04/01/2025 23:00</t>
  </si>
  <si>
    <t>04/01/2025 24:00</t>
  </si>
  <si>
    <t>05/01/2025 01:00</t>
  </si>
  <si>
    <t>05/01/2025 02:00</t>
  </si>
  <si>
    <t>05/01/2025 03:00</t>
  </si>
  <si>
    <t>05/01/2025 04:00</t>
  </si>
  <si>
    <t>05/01/2025 05:00</t>
  </si>
  <si>
    <t>05/01/2025 06:00</t>
  </si>
  <si>
    <t>05/01/2025 07:00</t>
  </si>
  <si>
    <t>05/01/2025 08:00</t>
  </si>
  <si>
    <t>05/01/2025 09:00</t>
  </si>
  <si>
    <t>05/01/2025 10:00</t>
  </si>
  <si>
    <t>05/01/2025 11:00</t>
  </si>
  <si>
    <t>05/01/2025 12:00</t>
  </si>
  <si>
    <t>05/01/2025 13:00</t>
  </si>
  <si>
    <t>05/01/2025 14:00</t>
  </si>
  <si>
    <t>05/01/2025 15:00</t>
  </si>
  <si>
    <t>05/01/2025 16:00</t>
  </si>
  <si>
    <t>05/01/2025 17:00</t>
  </si>
  <si>
    <t>05/01/2025 18:00</t>
  </si>
  <si>
    <t>05/01/2025 19:00</t>
  </si>
  <si>
    <t>05/01/2025 20:00</t>
  </si>
  <si>
    <t>05/01/2025 21:00</t>
  </si>
  <si>
    <t>05/01/2025 22:00</t>
  </si>
  <si>
    <t>05/01/2025 23:00</t>
  </si>
  <si>
    <t>05/01/2025 24:00</t>
  </si>
  <si>
    <t>06/01/2025 01:00</t>
  </si>
  <si>
    <t>06/01/2025 02:00</t>
  </si>
  <si>
    <t>06/01/2025 03:00</t>
  </si>
  <si>
    <t>06/01/2025 04:00</t>
  </si>
  <si>
    <t>06/01/2025 05:00</t>
  </si>
  <si>
    <t>06/01/2025 06:00</t>
  </si>
  <si>
    <t>06/01/2025 07:00</t>
  </si>
  <si>
    <t>06/01/2025 08:00</t>
  </si>
  <si>
    <t>06/01/2025 09:00</t>
  </si>
  <si>
    <t>06/01/2025 10:00</t>
  </si>
  <si>
    <t>06/01/2025 11:00</t>
  </si>
  <si>
    <t>06/01/2025 12:00</t>
  </si>
  <si>
    <t>06/01/2025 13:00</t>
  </si>
  <si>
    <t>06/01/2025 14:00</t>
  </si>
  <si>
    <t>06/01/2025 15:00</t>
  </si>
  <si>
    <t>06/01/2025 16:00</t>
  </si>
  <si>
    <t>06/01/2025 17:00</t>
  </si>
  <si>
    <t>06/01/2025 18:00</t>
  </si>
  <si>
    <t>06/01/2025 19:00</t>
  </si>
  <si>
    <t>06/01/2025 20:00</t>
  </si>
  <si>
    <t>06/01/2025 21:00</t>
  </si>
  <si>
    <t>06/01/2025 22:00</t>
  </si>
  <si>
    <t>06/01/2025 23:00</t>
  </si>
  <si>
    <t>06/01/2025 24:00</t>
  </si>
  <si>
    <t>07/01/2025 01:00</t>
  </si>
  <si>
    <t>07/01/2025 02:00</t>
  </si>
  <si>
    <t>07/01/2025 03:00</t>
  </si>
  <si>
    <t>07/01/2025 04:00</t>
  </si>
  <si>
    <t>07/01/2025 05:00</t>
  </si>
  <si>
    <t>07/01/2025 06:00</t>
  </si>
  <si>
    <t>07/01/2025 07:00</t>
  </si>
  <si>
    <t>07/01/2025 08:00</t>
  </si>
  <si>
    <t>07/01/2025 09:00</t>
  </si>
  <si>
    <t>07/01/2025 10:00</t>
  </si>
  <si>
    <t>07/01/2025 11:00</t>
  </si>
  <si>
    <t>07/01/2025 12:00</t>
  </si>
  <si>
    <t>07/01/2025 13:00</t>
  </si>
  <si>
    <t>07/01/2025 14:00</t>
  </si>
  <si>
    <t>07/01/2025 15:00</t>
  </si>
  <si>
    <t>07/01/2025 16:00</t>
  </si>
  <si>
    <t>07/01/2025 17:00</t>
  </si>
  <si>
    <t>07/01/2025 18:00</t>
  </si>
  <si>
    <t>07/01/2025 19:00</t>
  </si>
  <si>
    <t>07/01/2025 20:00</t>
  </si>
  <si>
    <t>07/01/2025 21:00</t>
  </si>
  <si>
    <t>07/01/2025 22:00</t>
  </si>
  <si>
    <t>07/01/2025 23:00</t>
  </si>
  <si>
    <t>07/01/2025 24:00</t>
  </si>
  <si>
    <t>08/01/2025 01:00</t>
  </si>
  <si>
    <t>08/01/2025 02:00</t>
  </si>
  <si>
    <t>08/01/2025 03:00</t>
  </si>
  <si>
    <t>08/01/2025 04:00</t>
  </si>
  <si>
    <t>08/01/2025 05:00</t>
  </si>
  <si>
    <t>08/01/2025 06:00</t>
  </si>
  <si>
    <t>08/01/2025 07:00</t>
  </si>
  <si>
    <t>08/01/2025 08:00</t>
  </si>
  <si>
    <t>08/01/2025 09:00</t>
  </si>
  <si>
    <t>08/01/2025 10:00</t>
  </si>
  <si>
    <t>08/01/2025 11:00</t>
  </si>
  <si>
    <t>08/01/2025 12:00</t>
  </si>
  <si>
    <t>08/01/2025 13:00</t>
  </si>
  <si>
    <t>08/01/2025 14:00</t>
  </si>
  <si>
    <t>08/01/2025 15:00</t>
  </si>
  <si>
    <t>08/01/2025 16:00</t>
  </si>
  <si>
    <t>08/01/2025 17:00</t>
  </si>
  <si>
    <t>08/01/2025 18:00</t>
  </si>
  <si>
    <t>08/01/2025 19:00</t>
  </si>
  <si>
    <t>08/01/2025 20:00</t>
  </si>
  <si>
    <t>08/01/2025 21:00</t>
  </si>
  <si>
    <t>08/01/2025 22:00</t>
  </si>
  <si>
    <t>08/01/2025 23:00</t>
  </si>
  <si>
    <t>08/01/2025 24:00</t>
  </si>
  <si>
    <t>09/01/2025 01:00</t>
  </si>
  <si>
    <t>09/01/2025 02:00</t>
  </si>
  <si>
    <t>09/01/2025 03:00</t>
  </si>
  <si>
    <t>09/01/2025 04:00</t>
  </si>
  <si>
    <t>09/01/2025 05:00</t>
  </si>
  <si>
    <t>09/01/2025 06:00</t>
  </si>
  <si>
    <t>09/01/2025 07:00</t>
  </si>
  <si>
    <t>09/01/2025 08:00</t>
  </si>
  <si>
    <t>09/01/2025 09:00</t>
  </si>
  <si>
    <t>09/01/2025 10:00</t>
  </si>
  <si>
    <t>09/01/2025 11:00</t>
  </si>
  <si>
    <t>09/01/2025 12:00</t>
  </si>
  <si>
    <t>09/01/2025 13:00</t>
  </si>
  <si>
    <t>09/01/2025 14:00</t>
  </si>
  <si>
    <t>09/01/2025 15:00</t>
  </si>
  <si>
    <t>09/01/2025 16:00</t>
  </si>
  <si>
    <t>09/01/2025 17:00</t>
  </si>
  <si>
    <t>09/01/2025 18:00</t>
  </si>
  <si>
    <t>09/01/2025 19:00</t>
  </si>
  <si>
    <t>09/01/2025 20:00</t>
  </si>
  <si>
    <t>09/01/2025 21:00</t>
  </si>
  <si>
    <t>09/01/2025 22:00</t>
  </si>
  <si>
    <t>09/01/2025 23:00</t>
  </si>
  <si>
    <t>09/01/2025 24:00</t>
  </si>
  <si>
    <t>10/01/2025 01:00</t>
  </si>
  <si>
    <t>10/01/2025 02:00</t>
  </si>
  <si>
    <t>10/01/2025 03:00</t>
  </si>
  <si>
    <t>10/01/2025 04:00</t>
  </si>
  <si>
    <t>10/01/2025 05:00</t>
  </si>
  <si>
    <t>10/01/2025 06:00</t>
  </si>
  <si>
    <t>10/01/2025 07:00</t>
  </si>
  <si>
    <t>10/01/2025 08:00</t>
  </si>
  <si>
    <t>10/01/2025 09:00</t>
  </si>
  <si>
    <t>10/01/2025 10:00</t>
  </si>
  <si>
    <t>10/01/2025 11:00</t>
  </si>
  <si>
    <t>10/01/2025 12:00</t>
  </si>
  <si>
    <t>10/01/2025 13:00</t>
  </si>
  <si>
    <t>10/01/2025 14:00</t>
  </si>
  <si>
    <t>10/01/2025 15:00</t>
  </si>
  <si>
    <t>10/01/2025 16:00</t>
  </si>
  <si>
    <t>10/01/2025 17:00</t>
  </si>
  <si>
    <t>10/01/2025 18:00</t>
  </si>
  <si>
    <t>10/01/2025 19:00</t>
  </si>
  <si>
    <t>10/01/2025 20:00</t>
  </si>
  <si>
    <t>10/01/2025 21:00</t>
  </si>
  <si>
    <t>10/01/2025 22:00</t>
  </si>
  <si>
    <t>10/01/2025 23:00</t>
  </si>
  <si>
    <t>10/01/2025 24:00</t>
  </si>
  <si>
    <t>11/01/2025 01:00</t>
  </si>
  <si>
    <t>11/01/2025 02:00</t>
  </si>
  <si>
    <t>11/01/2025 03:00</t>
  </si>
  <si>
    <t>11/01/2025 04:00</t>
  </si>
  <si>
    <t>11/01/2025 05:00</t>
  </si>
  <si>
    <t>11/01/2025 06:00</t>
  </si>
  <si>
    <t>11/01/2025 07:00</t>
  </si>
  <si>
    <t>11/01/2025 08:00</t>
  </si>
  <si>
    <t>11/01/2025 09:00</t>
  </si>
  <si>
    <t>11/01/2025 10:00</t>
  </si>
  <si>
    <t>11/01/2025 11:00</t>
  </si>
  <si>
    <t>11/01/2025 12:00</t>
  </si>
  <si>
    <t>11/01/2025 13:00</t>
  </si>
  <si>
    <t>11/01/2025 14:00</t>
  </si>
  <si>
    <t>11/01/2025 15:00</t>
  </si>
  <si>
    <t>11/01/2025 16:00</t>
  </si>
  <si>
    <t>11/01/2025 17:00</t>
  </si>
  <si>
    <t>11/01/2025 18:00</t>
  </si>
  <si>
    <t>11/01/2025 19:00</t>
  </si>
  <si>
    <t>11/01/2025 20:00</t>
  </si>
  <si>
    <t>11/01/2025 21:00</t>
  </si>
  <si>
    <t>11/01/2025 22:00</t>
  </si>
  <si>
    <t>11/01/2025 23:00</t>
  </si>
  <si>
    <t>11/01/2025 24:00</t>
  </si>
  <si>
    <t>12/01/2025 01:00</t>
  </si>
  <si>
    <t>12/01/2025 02:00</t>
  </si>
  <si>
    <t>12/01/2025 03:00</t>
  </si>
  <si>
    <t>12/01/2025 04:00</t>
  </si>
  <si>
    <t>12/01/2025 05:00</t>
  </si>
  <si>
    <t>12/01/2025 06:00</t>
  </si>
  <si>
    <t>12/01/2025 07:00</t>
  </si>
  <si>
    <t>12/01/2025 08:00</t>
  </si>
  <si>
    <t>12/01/2025 09:00</t>
  </si>
  <si>
    <t>12/01/2025 10:00</t>
  </si>
  <si>
    <t>12/01/2025 11:00</t>
  </si>
  <si>
    <t>12/01/2025 12:00</t>
  </si>
  <si>
    <t>12/01/2025 13:00</t>
  </si>
  <si>
    <t>12/01/2025 14:00</t>
  </si>
  <si>
    <t>12/01/2025 15:00</t>
  </si>
  <si>
    <t>12/01/2025 16:00</t>
  </si>
  <si>
    <t>12/01/2025 17:00</t>
  </si>
  <si>
    <t>12/01/2025 18:00</t>
  </si>
  <si>
    <t>12/01/2025 19:00</t>
  </si>
  <si>
    <t>12/01/2025 20:00</t>
  </si>
  <si>
    <t>12/01/2025 21:00</t>
  </si>
  <si>
    <t>12/01/2025 22:00</t>
  </si>
  <si>
    <t>12/01/2025 23:00</t>
  </si>
  <si>
    <t>12/01/2025 24:00</t>
  </si>
  <si>
    <t>13/01/2025 01:00</t>
  </si>
  <si>
    <t>13/01/2025 02:00</t>
  </si>
  <si>
    <t>13/01/2025 03:00</t>
  </si>
  <si>
    <t>13/01/2025 04:00</t>
  </si>
  <si>
    <t>13/01/2025 05:00</t>
  </si>
  <si>
    <t>13/01/2025 06:00</t>
  </si>
  <si>
    <t>13/01/2025 07:00</t>
  </si>
  <si>
    <t>13/01/2025 08:00</t>
  </si>
  <si>
    <t>13/01/2025 09:00</t>
  </si>
  <si>
    <t>13/01/2025 10:00</t>
  </si>
  <si>
    <t>13/01/2025 11:00</t>
  </si>
  <si>
    <t>13/01/2025 12:00</t>
  </si>
  <si>
    <t>13/01/2025 13:00</t>
  </si>
  <si>
    <t>13/01/2025 14:00</t>
  </si>
  <si>
    <t>13/01/2025 15:00</t>
  </si>
  <si>
    <t>13/01/2025 16:00</t>
  </si>
  <si>
    <t>13/01/2025 17:00</t>
  </si>
  <si>
    <t>13/01/2025 18:00</t>
  </si>
  <si>
    <t>13/01/2025 19:00</t>
  </si>
  <si>
    <t>13/01/2025 20:00</t>
  </si>
  <si>
    <t>13/01/2025 21:00</t>
  </si>
  <si>
    <t>13/01/2025 22:00</t>
  </si>
  <si>
    <t>13/01/2025 23:00</t>
  </si>
  <si>
    <t>13/01/2025 24:00</t>
  </si>
  <si>
    <t>14/01/2025 01:00</t>
  </si>
  <si>
    <t>14/01/2025 02:00</t>
  </si>
  <si>
    <t>14/01/2025 03:00</t>
  </si>
  <si>
    <t>14/01/2025 04:00</t>
  </si>
  <si>
    <t>14/01/2025 05:00</t>
  </si>
  <si>
    <t>14/01/2025 06:00</t>
  </si>
  <si>
    <t>14/01/2025 07:00</t>
  </si>
  <si>
    <t>14/01/2025 08:00</t>
  </si>
  <si>
    <t>14/01/2025 09:00</t>
  </si>
  <si>
    <t>14/01/2025 10:00</t>
  </si>
  <si>
    <t>14/01/2025 11:00</t>
  </si>
  <si>
    <t>14/01/2025 12:00</t>
  </si>
  <si>
    <t>14/01/2025 13:00</t>
  </si>
  <si>
    <t>14/01/2025 14:00</t>
  </si>
  <si>
    <t>14/01/2025 15:00</t>
  </si>
  <si>
    <t>14/01/2025 16:00</t>
  </si>
  <si>
    <t>14/01/2025 17:00</t>
  </si>
  <si>
    <t>14/01/2025 18:00</t>
  </si>
  <si>
    <t>14/01/2025 19:00</t>
  </si>
  <si>
    <t>14/01/2025 20:00</t>
  </si>
  <si>
    <t>14/01/2025 21:00</t>
  </si>
  <si>
    <t>14/01/2025 22:00</t>
  </si>
  <si>
    <t>14/01/2025 23:00</t>
  </si>
  <si>
    <t>14/01/2025 24:00</t>
  </si>
  <si>
    <t>15/01/2025 01:00</t>
  </si>
  <si>
    <t>15/01/2025 02:00</t>
  </si>
  <si>
    <t>15/01/2025 03:00</t>
  </si>
  <si>
    <t>15/01/2025 04:00</t>
  </si>
  <si>
    <t>15/01/2025 05:00</t>
  </si>
  <si>
    <t>15/01/2025 06:00</t>
  </si>
  <si>
    <t>15/01/2025 07:00</t>
  </si>
  <si>
    <t>15/01/2025 08:00</t>
  </si>
  <si>
    <t>15/01/2025 09:00</t>
  </si>
  <si>
    <t>15/01/2025 10:00</t>
  </si>
  <si>
    <t>15/01/2025 11:00</t>
  </si>
  <si>
    <t>15/01/2025 12:00</t>
  </si>
  <si>
    <t>15/01/2025 13:00</t>
  </si>
  <si>
    <t>15/01/2025 14:00</t>
  </si>
  <si>
    <t>15/01/2025 15:00</t>
  </si>
  <si>
    <t>15/01/2025 16:00</t>
  </si>
  <si>
    <t>15/01/2025 17:00</t>
  </si>
  <si>
    <t>15/01/2025 18:00</t>
  </si>
  <si>
    <t>15/01/2025 19:00</t>
  </si>
  <si>
    <t>15/01/2025 20:00</t>
  </si>
  <si>
    <t>15/01/2025 21:00</t>
  </si>
  <si>
    <t>15/01/2025 22:00</t>
  </si>
  <si>
    <t>15/01/2025 23:00</t>
  </si>
  <si>
    <t>15/01/2025 24:00</t>
  </si>
  <si>
    <t>16/01/2025 01:00</t>
  </si>
  <si>
    <t>16/01/2025 02:00</t>
  </si>
  <si>
    <t>16/01/2025 03:00</t>
  </si>
  <si>
    <t>16/01/2025 04:00</t>
  </si>
  <si>
    <t>16/01/2025 05:00</t>
  </si>
  <si>
    <t>16/01/2025 06:00</t>
  </si>
  <si>
    <t>16/01/2025 07:00</t>
  </si>
  <si>
    <t>16/01/2025 08:00</t>
  </si>
  <si>
    <t>16/01/2025 09:00</t>
  </si>
  <si>
    <t>16/01/2025 10:00</t>
  </si>
  <si>
    <t>16/01/2025 11:00</t>
  </si>
  <si>
    <t>16/01/2025 12:00</t>
  </si>
  <si>
    <t>16/01/2025 13:00</t>
  </si>
  <si>
    <t>16/01/2025 14:00</t>
  </si>
  <si>
    <t>16/01/2025 15:00</t>
  </si>
  <si>
    <t>16/01/2025 16:00</t>
  </si>
  <si>
    <t>16/01/2025 17:00</t>
  </si>
  <si>
    <t>16/01/2025 18:00</t>
  </si>
  <si>
    <t>16/01/2025 19:00</t>
  </si>
  <si>
    <t>16/01/2025 20:00</t>
  </si>
  <si>
    <t>16/01/2025 21:00</t>
  </si>
  <si>
    <t>16/01/2025 22:00</t>
  </si>
  <si>
    <t>16/01/2025 23:00</t>
  </si>
  <si>
    <t>16/01/2025 24:00</t>
  </si>
  <si>
    <t>17/01/2025 01:00</t>
  </si>
  <si>
    <t>17/01/2025 02:00</t>
  </si>
  <si>
    <t>17/01/2025 03:00</t>
  </si>
  <si>
    <t>17/01/2025 04:00</t>
  </si>
  <si>
    <t>17/01/2025 05:00</t>
  </si>
  <si>
    <t>17/01/2025 06:00</t>
  </si>
  <si>
    <t>17/01/2025 07:00</t>
  </si>
  <si>
    <t>17/01/2025 08:00</t>
  </si>
  <si>
    <t>17/01/2025 09:00</t>
  </si>
  <si>
    <t>17/01/2025 10:00</t>
  </si>
  <si>
    <t>17/01/2025 11:00</t>
  </si>
  <si>
    <t>17/01/2025 12:00</t>
  </si>
  <si>
    <t>17/01/2025 13:00</t>
  </si>
  <si>
    <t>17/01/2025 14:00</t>
  </si>
  <si>
    <t>17/01/2025 15:00</t>
  </si>
  <si>
    <t>17/01/2025 16:00</t>
  </si>
  <si>
    <t>17/01/2025 17:00</t>
  </si>
  <si>
    <t>17/01/2025 18:00</t>
  </si>
  <si>
    <t>17/01/2025 19:00</t>
  </si>
  <si>
    <t>17/01/2025 20:00</t>
  </si>
  <si>
    <t>17/01/2025 21:00</t>
  </si>
  <si>
    <t>17/01/2025 22:00</t>
  </si>
  <si>
    <t>17/01/2025 23:00</t>
  </si>
  <si>
    <t>17/01/2025 24:00</t>
  </si>
  <si>
    <t>18/01/2025 01:00</t>
  </si>
  <si>
    <t>18/01/2025 02:00</t>
  </si>
  <si>
    <t>18/01/2025 03:00</t>
  </si>
  <si>
    <t>18/01/2025 04:00</t>
  </si>
  <si>
    <t>18/01/2025 05:00</t>
  </si>
  <si>
    <t>18/01/2025 06:00</t>
  </si>
  <si>
    <t>18/01/2025 07:00</t>
  </si>
  <si>
    <t>18/01/2025 08:00</t>
  </si>
  <si>
    <t>18/01/2025 09:00</t>
  </si>
  <si>
    <t>18/01/2025 10:00</t>
  </si>
  <si>
    <t>18/01/2025 11:00</t>
  </si>
  <si>
    <t>18/01/2025 12:00</t>
  </si>
  <si>
    <t>18/01/2025 13:00</t>
  </si>
  <si>
    <t>18/01/2025 14:00</t>
  </si>
  <si>
    <t>18/01/2025 15:00</t>
  </si>
  <si>
    <t>18/01/2025 16:00</t>
  </si>
  <si>
    <t>18/01/2025 17:00</t>
  </si>
  <si>
    <t>18/01/2025 18:00</t>
  </si>
  <si>
    <t>18/01/2025 19:00</t>
  </si>
  <si>
    <t>18/01/2025 20:00</t>
  </si>
  <si>
    <t>18/01/2025 21:00</t>
  </si>
  <si>
    <t>18/01/2025 22:00</t>
  </si>
  <si>
    <t>18/01/2025 23:00</t>
  </si>
  <si>
    <t>18/01/2025 24:00</t>
  </si>
  <si>
    <t>19/01/2025 01:00</t>
  </si>
  <si>
    <t>19/01/2025 02:00</t>
  </si>
  <si>
    <t>19/01/2025 03:00</t>
  </si>
  <si>
    <t>19/01/2025 04:00</t>
  </si>
  <si>
    <t>19/01/2025 05:00</t>
  </si>
  <si>
    <t>19/01/2025 06:00</t>
  </si>
  <si>
    <t>19/01/2025 07:00</t>
  </si>
  <si>
    <t>19/01/2025 08:00</t>
  </si>
  <si>
    <t>19/01/2025 09:00</t>
  </si>
  <si>
    <t>19/01/2025 10:00</t>
  </si>
  <si>
    <t>19/01/2025 11:00</t>
  </si>
  <si>
    <t>19/01/2025 12:00</t>
  </si>
  <si>
    <t>19/01/2025 13:00</t>
  </si>
  <si>
    <t>19/01/2025 14:00</t>
  </si>
  <si>
    <t>19/01/2025 15:00</t>
  </si>
  <si>
    <t>19/01/2025 16:00</t>
  </si>
  <si>
    <t>19/01/2025 17:00</t>
  </si>
  <si>
    <t>19/01/2025 18:00</t>
  </si>
  <si>
    <t>19/01/2025 19:00</t>
  </si>
  <si>
    <t>19/01/2025 20:00</t>
  </si>
  <si>
    <t>19/01/2025 21:00</t>
  </si>
  <si>
    <t>19/01/2025 22:00</t>
  </si>
  <si>
    <t>19/01/2025 23:00</t>
  </si>
  <si>
    <t>19/01/2025 24:00</t>
  </si>
  <si>
    <t>20/01/2025 01:00</t>
  </si>
  <si>
    <t>20/01/2025 02:00</t>
  </si>
  <si>
    <t>20/01/2025 03:00</t>
  </si>
  <si>
    <t>20/01/2025 04:00</t>
  </si>
  <si>
    <t>20/01/2025 05:00</t>
  </si>
  <si>
    <t>20/01/2025 06:00</t>
  </si>
  <si>
    <t>20/01/2025 07:00</t>
  </si>
  <si>
    <t>20/01/2025 08:00</t>
  </si>
  <si>
    <t>20/01/2025 09:00</t>
  </si>
  <si>
    <t>20/01/2025 10:00</t>
  </si>
  <si>
    <t>20/01/2025 11:00</t>
  </si>
  <si>
    <t>20/01/2025 12:00</t>
  </si>
  <si>
    <t>20/01/2025 13:00</t>
  </si>
  <si>
    <t>20/01/2025 14:00</t>
  </si>
  <si>
    <t>20/01/2025 15:00</t>
  </si>
  <si>
    <t>20/01/2025 16:00</t>
  </si>
  <si>
    <t>20/01/2025 17:00</t>
  </si>
  <si>
    <t>20/01/2025 18:00</t>
  </si>
  <si>
    <t>20/01/2025 19:00</t>
  </si>
  <si>
    <t>20/01/2025 20:00</t>
  </si>
  <si>
    <t>20/01/2025 21:00</t>
  </si>
  <si>
    <t>20/01/2025 22:00</t>
  </si>
  <si>
    <t>20/01/2025 23:00</t>
  </si>
  <si>
    <t>20/01/2025 24:00</t>
  </si>
  <si>
    <t>21/01/2025 01:00</t>
  </si>
  <si>
    <t>21/01/2025 02:00</t>
  </si>
  <si>
    <t>21/01/2025 03:00</t>
  </si>
  <si>
    <t>21/01/2025 04:00</t>
  </si>
  <si>
    <t>21/01/2025 05:00</t>
  </si>
  <si>
    <t>21/01/2025 06:00</t>
  </si>
  <si>
    <t>21/01/2025 07:00</t>
  </si>
  <si>
    <t>21/01/2025 08:00</t>
  </si>
  <si>
    <t>21/01/2025 09:00</t>
  </si>
  <si>
    <t>21/01/2025 10:00</t>
  </si>
  <si>
    <t>21/01/2025 11:00</t>
  </si>
  <si>
    <t>21/01/2025 12:00</t>
  </si>
  <si>
    <t>21/01/2025 13:00</t>
  </si>
  <si>
    <t>21/01/2025 14:00</t>
  </si>
  <si>
    <t>21/01/2025 15:00</t>
  </si>
  <si>
    <t>21/01/2025 16:00</t>
  </si>
  <si>
    <t>21/01/2025 17:00</t>
  </si>
  <si>
    <t>21/01/2025 18:00</t>
  </si>
  <si>
    <t>21/01/2025 19:00</t>
  </si>
  <si>
    <t>21/01/2025 20:00</t>
  </si>
  <si>
    <t>21/01/2025 21:00</t>
  </si>
  <si>
    <t>21/01/2025 22:00</t>
  </si>
  <si>
    <t>21/01/2025 23:00</t>
  </si>
  <si>
    <t>21/01/2025 24:00</t>
  </si>
  <si>
    <t>22/01/2025 01:00</t>
  </si>
  <si>
    <t>22/01/2025 02:00</t>
  </si>
  <si>
    <t>22/01/2025 03:00</t>
  </si>
  <si>
    <t>22/01/2025 04:00</t>
  </si>
  <si>
    <t>22/01/2025 05:00</t>
  </si>
  <si>
    <t>22/01/2025 06:00</t>
  </si>
  <si>
    <t>22/01/2025 07:00</t>
  </si>
  <si>
    <t>22/01/2025 08:00</t>
  </si>
  <si>
    <t>22/01/2025 09:00</t>
  </si>
  <si>
    <t>22/01/2025 10:00</t>
  </si>
  <si>
    <t>22/01/2025 11:00</t>
  </si>
  <si>
    <t>22/01/2025 12:00</t>
  </si>
  <si>
    <t>22/01/2025 13:00</t>
  </si>
  <si>
    <t>22/01/2025 14:00</t>
  </si>
  <si>
    <t>22/01/2025 15:00</t>
  </si>
  <si>
    <t>22/01/2025 16:00</t>
  </si>
  <si>
    <t>22/01/2025 17:00</t>
  </si>
  <si>
    <t>22/01/2025 18:00</t>
  </si>
  <si>
    <t>22/01/2025 19:00</t>
  </si>
  <si>
    <t>22/01/2025 20:00</t>
  </si>
  <si>
    <t>22/01/2025 21:00</t>
  </si>
  <si>
    <t>22/01/2025 22:00</t>
  </si>
  <si>
    <t>22/01/2025 23:00</t>
  </si>
  <si>
    <t>22/01/2025 24:00</t>
  </si>
  <si>
    <t>23/01/2025 01:00</t>
  </si>
  <si>
    <t>23/01/2025 02:00</t>
  </si>
  <si>
    <t>23/01/2025 03:00</t>
  </si>
  <si>
    <t>23/01/2025 04:00</t>
  </si>
  <si>
    <t>23/01/2025 05:00</t>
  </si>
  <si>
    <t>23/01/2025 06:00</t>
  </si>
  <si>
    <t>23/01/2025 07:00</t>
  </si>
  <si>
    <t>23/01/2025 08:00</t>
  </si>
  <si>
    <t>23/01/2025 09:00</t>
  </si>
  <si>
    <t>23/01/2025 10:00</t>
  </si>
  <si>
    <t>23/01/2025 11:00</t>
  </si>
  <si>
    <t>23/01/2025 12:00</t>
  </si>
  <si>
    <t>23/01/2025 13:00</t>
  </si>
  <si>
    <t>23/01/2025 14:00</t>
  </si>
  <si>
    <t>23/01/2025 15:00</t>
  </si>
  <si>
    <t>23/01/2025 16:00</t>
  </si>
  <si>
    <t>23/01/2025 17:00</t>
  </si>
  <si>
    <t>23/01/2025 18:00</t>
  </si>
  <si>
    <t>23/01/2025 19:00</t>
  </si>
  <si>
    <t>23/01/2025 20:00</t>
  </si>
  <si>
    <t>23/01/2025 21:00</t>
  </si>
  <si>
    <t>23/01/2025 22:00</t>
  </si>
  <si>
    <t>23/01/2025 23:00</t>
  </si>
  <si>
    <t>23/01/2025 24:00</t>
  </si>
  <si>
    <t>24/01/2025 01:00</t>
  </si>
  <si>
    <t>24/01/2025 02:00</t>
  </si>
  <si>
    <t>24/01/2025 03:00</t>
  </si>
  <si>
    <t>24/01/2025 04:00</t>
  </si>
  <si>
    <t>24/01/2025 05:00</t>
  </si>
  <si>
    <t>24/01/2025 06:00</t>
  </si>
  <si>
    <t>24/01/2025 07:00</t>
  </si>
  <si>
    <t>24/01/2025 08:00</t>
  </si>
  <si>
    <t>24/01/2025 09:00</t>
  </si>
  <si>
    <t>24/01/2025 10:00</t>
  </si>
  <si>
    <t>24/01/2025 11:00</t>
  </si>
  <si>
    <t>24/01/2025 12:00</t>
  </si>
  <si>
    <t>24/01/2025 13:00</t>
  </si>
  <si>
    <t>24/01/2025 14:00</t>
  </si>
  <si>
    <t>24/01/2025 15:00</t>
  </si>
  <si>
    <t>24/01/2025 16:00</t>
  </si>
  <si>
    <t>24/01/2025 17:00</t>
  </si>
  <si>
    <t>24/01/2025 18:00</t>
  </si>
  <si>
    <t>24/01/2025 19:00</t>
  </si>
  <si>
    <t>24/01/2025 20:00</t>
  </si>
  <si>
    <t>24/01/2025 21:00</t>
  </si>
  <si>
    <t>24/01/2025 22:00</t>
  </si>
  <si>
    <t>24/01/2025 23:00</t>
  </si>
  <si>
    <t>24/01/2025 24:00</t>
  </si>
  <si>
    <t>25/01/2025 01:00</t>
  </si>
  <si>
    <t>25/01/2025 02:00</t>
  </si>
  <si>
    <t>25/01/2025 03:00</t>
  </si>
  <si>
    <t>25/01/2025 04:00</t>
  </si>
  <si>
    <t>25/01/2025 05:00</t>
  </si>
  <si>
    <t>25/01/2025 06:00</t>
  </si>
  <si>
    <t>25/01/2025 07:00</t>
  </si>
  <si>
    <t>25/01/2025 08:00</t>
  </si>
  <si>
    <t>25/01/2025 09:00</t>
  </si>
  <si>
    <t>25/01/2025 10:00</t>
  </si>
  <si>
    <t>25/01/2025 11:00</t>
  </si>
  <si>
    <t>25/01/2025 12:00</t>
  </si>
  <si>
    <t>25/01/2025 13:00</t>
  </si>
  <si>
    <t>25/01/2025 14:00</t>
  </si>
  <si>
    <t>25/01/2025 15:00</t>
  </si>
  <si>
    <t>25/01/2025 16:00</t>
  </si>
  <si>
    <t>25/01/2025 17:00</t>
  </si>
  <si>
    <t>25/01/2025 18:00</t>
  </si>
  <si>
    <t>25/01/2025 19:00</t>
  </si>
  <si>
    <t>25/01/2025 20:00</t>
  </si>
  <si>
    <t>25/01/2025 21:00</t>
  </si>
  <si>
    <t>25/01/2025 22:00</t>
  </si>
  <si>
    <t>25/01/2025 23:00</t>
  </si>
  <si>
    <t>25/01/2025 24:00</t>
  </si>
  <si>
    <t>26/01/2025 01:00</t>
  </si>
  <si>
    <t>26/01/2025 02:00</t>
  </si>
  <si>
    <t>26/01/2025 03:00</t>
  </si>
  <si>
    <t>26/01/2025 04:00</t>
  </si>
  <si>
    <t>26/01/2025 05:00</t>
  </si>
  <si>
    <t>26/01/2025 06:00</t>
  </si>
  <si>
    <t>26/01/2025 07:00</t>
  </si>
  <si>
    <t>26/01/2025 08:00</t>
  </si>
  <si>
    <t>26/01/2025 09:00</t>
  </si>
  <si>
    <t>26/01/2025 10:00</t>
  </si>
  <si>
    <t>26/01/2025 11:00</t>
  </si>
  <si>
    <t>26/01/2025 12:00</t>
  </si>
  <si>
    <t>26/01/2025 13:00</t>
  </si>
  <si>
    <t>26/01/2025 14:00</t>
  </si>
  <si>
    <t>26/01/2025 15:00</t>
  </si>
  <si>
    <t>26/01/2025 16:00</t>
  </si>
  <si>
    <t>26/01/2025 17:00</t>
  </si>
  <si>
    <t>26/01/2025 18:00</t>
  </si>
  <si>
    <t>26/01/2025 19:00</t>
  </si>
  <si>
    <t>26/01/2025 20:00</t>
  </si>
  <si>
    <t>26/01/2025 21:00</t>
  </si>
  <si>
    <t>26/01/2025 22:00</t>
  </si>
  <si>
    <t>26/01/2025 23:00</t>
  </si>
  <si>
    <t>26/01/2025 24:00</t>
  </si>
  <si>
    <t>27/01/2025 01:00</t>
  </si>
  <si>
    <t>27/01/2025 02:00</t>
  </si>
  <si>
    <t>27/01/2025 03:00</t>
  </si>
  <si>
    <t>27/01/2025 04:00</t>
  </si>
  <si>
    <t>27/01/2025 05:00</t>
  </si>
  <si>
    <t>27/01/2025 06:00</t>
  </si>
  <si>
    <t>27/01/2025 07:00</t>
  </si>
  <si>
    <t>27/01/2025 08:00</t>
  </si>
  <si>
    <t>27/01/2025 09:00</t>
  </si>
  <si>
    <t>27/01/2025 10:00</t>
  </si>
  <si>
    <t>27/01/2025 11:00</t>
  </si>
  <si>
    <t>27/01/2025 12:00</t>
  </si>
  <si>
    <t>27/01/2025 13:00</t>
  </si>
  <si>
    <t>27/01/2025 14:00</t>
  </si>
  <si>
    <t>27/01/2025 15:00</t>
  </si>
  <si>
    <t>27/01/2025 16:00</t>
  </si>
  <si>
    <t>27/01/2025 17:00</t>
  </si>
  <si>
    <t>27/01/2025 18:00</t>
  </si>
  <si>
    <t>27/01/2025 19:00</t>
  </si>
  <si>
    <t>27/01/2025 20:00</t>
  </si>
  <si>
    <t>27/01/2025 21:00</t>
  </si>
  <si>
    <t>27/01/2025 22:00</t>
  </si>
  <si>
    <t>27/01/2025 23:00</t>
  </si>
  <si>
    <t>27/01/2025 24:00</t>
  </si>
  <si>
    <t>28/01/2025 01:00</t>
  </si>
  <si>
    <t>28/01/2025 02:00</t>
  </si>
  <si>
    <t>28/01/2025 03:00</t>
  </si>
  <si>
    <t>28/01/2025 04:00</t>
  </si>
  <si>
    <t>28/01/2025 05:00</t>
  </si>
  <si>
    <t>28/01/2025 06:00</t>
  </si>
  <si>
    <t>28/01/2025 07:00</t>
  </si>
  <si>
    <t>28/01/2025 08:00</t>
  </si>
  <si>
    <t>28/01/2025 09:00</t>
  </si>
  <si>
    <t>28/01/2025 10:00</t>
  </si>
  <si>
    <t>28/01/2025 11:00</t>
  </si>
  <si>
    <t>28/01/2025 12:00</t>
  </si>
  <si>
    <t>28/01/2025 13:00</t>
  </si>
  <si>
    <t>28/01/2025 14:00</t>
  </si>
  <si>
    <t>28/01/2025 15:00</t>
  </si>
  <si>
    <t>28/01/2025 16:00</t>
  </si>
  <si>
    <t>28/01/2025 17:00</t>
  </si>
  <si>
    <t>28/01/2025 18:00</t>
  </si>
  <si>
    <t>28/01/2025 19:00</t>
  </si>
  <si>
    <t>28/01/2025 20:00</t>
  </si>
  <si>
    <t>28/01/2025 21:00</t>
  </si>
  <si>
    <t>28/01/2025 22:00</t>
  </si>
  <si>
    <t>28/01/2025 23:00</t>
  </si>
  <si>
    <t>28/01/2025 24:00</t>
  </si>
  <si>
    <t>29/01/2025 01:00</t>
  </si>
  <si>
    <t>29/01/2025 02:00</t>
  </si>
  <si>
    <t>29/01/2025 03:00</t>
  </si>
  <si>
    <t>29/01/2025 04:00</t>
  </si>
  <si>
    <t>29/01/2025 05:00</t>
  </si>
  <si>
    <t>29/01/2025 06:00</t>
  </si>
  <si>
    <t>29/01/2025 07:00</t>
  </si>
  <si>
    <t>29/01/2025 08:00</t>
  </si>
  <si>
    <t>29/01/2025 09:00</t>
  </si>
  <si>
    <t>29/01/2025 10:00</t>
  </si>
  <si>
    <t>29/01/2025 11:00</t>
  </si>
  <si>
    <t>29/01/2025 12:00</t>
  </si>
  <si>
    <t>29/01/2025 13:00</t>
  </si>
  <si>
    <t>29/01/2025 14:00</t>
  </si>
  <si>
    <t>29/01/2025 15:00</t>
  </si>
  <si>
    <t>29/01/2025 16:00</t>
  </si>
  <si>
    <t>29/01/2025 17:00</t>
  </si>
  <si>
    <t>29/01/2025 18:00</t>
  </si>
  <si>
    <t>29/01/2025 19:00</t>
  </si>
  <si>
    <t>29/01/2025 20:00</t>
  </si>
  <si>
    <t>29/01/2025 21:00</t>
  </si>
  <si>
    <t>29/01/2025 22:00</t>
  </si>
  <si>
    <t>29/01/2025 23:00</t>
  </si>
  <si>
    <t>29/01/2025 24:00</t>
  </si>
  <si>
    <t>30/01/2025 01:00</t>
  </si>
  <si>
    <t>30/01/2025 02:00</t>
  </si>
  <si>
    <t>30/01/2025 03:00</t>
  </si>
  <si>
    <t>30/01/2025 04:00</t>
  </si>
  <si>
    <t>30/01/2025 05:00</t>
  </si>
  <si>
    <t>30/01/2025 06:00</t>
  </si>
  <si>
    <t>30/01/2025 07:00</t>
  </si>
  <si>
    <t>30/01/2025 08:00</t>
  </si>
  <si>
    <t>30/01/2025 09:00</t>
  </si>
  <si>
    <t>30/01/2025 10:00</t>
  </si>
  <si>
    <t>30/01/2025 11:00</t>
  </si>
  <si>
    <t>30/01/2025 12:00</t>
  </si>
  <si>
    <t>30/01/2025 13:00</t>
  </si>
  <si>
    <t>30/01/2025 14:00</t>
  </si>
  <si>
    <t>30/01/2025 15:00</t>
  </si>
  <si>
    <t>30/01/2025 16:00</t>
  </si>
  <si>
    <t>30/01/2025 17:00</t>
  </si>
  <si>
    <t>30/01/2025 18:00</t>
  </si>
  <si>
    <t>30/01/2025 19:00</t>
  </si>
  <si>
    <t>30/01/2025 20:00</t>
  </si>
  <si>
    <t>30/01/2025 21:00</t>
  </si>
  <si>
    <t>30/01/2025 22:00</t>
  </si>
  <si>
    <t>30/01/2025 23:00</t>
  </si>
  <si>
    <t>30/01/2025 24:00</t>
  </si>
  <si>
    <t>31/01/2025 01:00</t>
  </si>
  <si>
    <t>31/01/2025 02:00</t>
  </si>
  <si>
    <t>31/01/2025 03:00</t>
  </si>
  <si>
    <t>31/01/2025 04:00</t>
  </si>
  <si>
    <t>31/01/2025 05:00</t>
  </si>
  <si>
    <t>31/01/2025 06:00</t>
  </si>
  <si>
    <t>31/01/2025 07:00</t>
  </si>
  <si>
    <t>31/01/2025 08:00</t>
  </si>
  <si>
    <t>31/01/2025 09:00</t>
  </si>
  <si>
    <t>31/01/2025 10:00</t>
  </si>
  <si>
    <t>31/01/2025 11:00</t>
  </si>
  <si>
    <t>31/01/2025 12:00</t>
  </si>
  <si>
    <t>31/01/2025 13:00</t>
  </si>
  <si>
    <t>31/01/2025 14:00</t>
  </si>
  <si>
    <t>31/01/2025 15:00</t>
  </si>
  <si>
    <t>31/01/2025 16:00</t>
  </si>
  <si>
    <t>31/01/2025 17:00</t>
  </si>
  <si>
    <t>31/01/2025 18:00</t>
  </si>
  <si>
    <t>31/01/2025 19:00</t>
  </si>
  <si>
    <t>31/01/2025 20:00</t>
  </si>
  <si>
    <t>31/01/2025 21:00</t>
  </si>
  <si>
    <t>31/01/2025 22:00</t>
  </si>
  <si>
    <t>31/01/2025 23:00</t>
  </si>
  <si>
    <t>31/01/2025 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</si>
</sst>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i/>
      <sz val="10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00B050"/>
      <name val="Arial"/>
      <family val="2"/>
    </font>
    <font>
      <b/>
      <sz val="10"/>
      <color rgb="FFFF0000"/>
      <name val="Arial"/>
      <family val="2"/>
    </font>
    <font>
      <b/>
      <sz val="10"/>
      <color theme="5" tint="-0.24994659260841701"/>
      <name val="Arial"/>
      <family val="2"/>
    </font>
    <font>
      <b/>
      <sz val="11"/>
      <color theme="1"/>
      <name val="Arial"/>
      <family val="2"/>
    </font>
    <font>
      <sz val="11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0"/>
      <name val="Calibri"/>
      <family val="2"/>
      <scheme val="minor"/>
    </font>
    <font>
      <sz val="14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465926084170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3" fillId="0" borderId="0" xfId="0" applyFont="1" applyFill="1" applyAlignment="1">
      <alignment horizontal="center"/>
    </xf>
    <xf numFmtId="0" fontId="1" fillId="0" borderId="0" xfId="0" applyFont="1" applyAlignment="1">
      <alignment horizontal="right"/>
    </xf>
    <xf numFmtId="0" fontId="7" fillId="2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7" borderId="0" xfId="0" applyFont="1" applyFill="1" applyAlignment="1">
      <alignment horizontal="center"/>
    </xf>
    <xf numFmtId="0" fontId="9" fillId="8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1" fillId="0" borderId="0" xfId="0" applyFont="1" applyFill="1" applyAlignment="1">
      <alignment horizontal="center"/>
    </xf>
    <xf numFmtId="2" fontId="1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Fill="1" applyAlignment="1">
      <alignment horizontal="center"/>
    </xf>
    <xf numFmtId="0" fontId="7" fillId="9" borderId="0" xfId="0" applyFont="1" applyFill="1" applyAlignment="1">
      <alignment horizontal="center"/>
    </xf>
    <xf numFmtId="0" fontId="7" fillId="0" borderId="0" xfId="0" applyFont="1" applyFill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17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wrapText="1"/>
    </xf>
    <xf numFmtId="2" fontId="0" fillId="0" borderId="1" xfId="0" applyNumberForma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2" fontId="1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2" fontId="4" fillId="0" borderId="1" xfId="0" applyNumberFormat="1" applyFont="1" applyFill="1" applyBorder="1" applyAlignment="1">
      <alignment horizontal="center"/>
    </xf>
    <xf numFmtId="1" fontId="1" fillId="0" borderId="0" xfId="0" applyNumberFormat="1" applyFont="1" applyFill="1" applyBorder="1" applyAlignment="1">
      <alignment horizontal="center"/>
    </xf>
    <xf numFmtId="1" fontId="1" fillId="0" borderId="0" xfId="0" applyNumberFormat="1" applyFont="1" applyBorder="1" applyAlignment="1">
      <alignment horizontal="center"/>
    </xf>
    <xf numFmtId="2" fontId="12" fillId="0" borderId="1" xfId="0" applyNumberFormat="1" applyFont="1" applyFill="1" applyBorder="1" applyAlignment="1">
      <alignment horizontal="center"/>
    </xf>
    <xf numFmtId="0" fontId="12" fillId="0" borderId="0" xfId="0" applyFont="1" applyFill="1"/>
    <xf numFmtId="2" fontId="12" fillId="0" borderId="0" xfId="0" applyNumberFormat="1" applyFont="1" applyFill="1"/>
    <xf numFmtId="14" fontId="4" fillId="0" borderId="1" xfId="0" applyNumberFormat="1" applyFont="1" applyFill="1" applyBorder="1" applyAlignment="1">
      <alignment horizontal="center"/>
    </xf>
    <xf numFmtId="17" fontId="5" fillId="0" borderId="0" xfId="0" applyNumberFormat="1" applyFont="1" applyAlignment="1">
      <alignment horizontal="center"/>
    </xf>
    <xf numFmtId="14" fontId="5" fillId="0" borderId="0" xfId="0" applyNumberFormat="1" applyFont="1" applyAlignment="1">
      <alignment horizontal="center"/>
    </xf>
    <xf numFmtId="0" fontId="1" fillId="0" borderId="0" xfId="0" applyFont="1" applyAlignment="1">
      <alignment horizontal="left" vertical="center"/>
    </xf>
    <xf numFmtId="0" fontId="13" fillId="9" borderId="0" xfId="0" applyFont="1" applyFill="1" applyAlignment="1">
      <alignment horizontal="center" vertical="center"/>
    </xf>
    <xf numFmtId="0" fontId="14" fillId="9" borderId="0" xfId="0" applyFont="1" applyFill="1" applyAlignment="1"/>
    <xf numFmtId="0" fontId="13" fillId="0" borderId="0" xfId="0" applyFont="1" applyFill="1" applyAlignment="1">
      <alignment vertical="center"/>
    </xf>
    <xf numFmtId="0" fontId="6" fillId="0" borderId="0" xfId="0" applyFon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2" fontId="12" fillId="0" borderId="0" xfId="0" applyNumberFormat="1" applyFont="1" applyFill="1" applyBorder="1" applyAlignment="1">
      <alignment horizontal="center"/>
    </xf>
    <xf numFmtId="2" fontId="4" fillId="0" borderId="0" xfId="0" applyNumberFormat="1" applyFont="1" applyFill="1" applyBorder="1" applyAlignment="1">
      <alignment horizontal="center"/>
    </xf>
    <xf numFmtId="0" fontId="0" fillId="0" borderId="0" xfId="0" applyBorder="1"/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/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8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9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4" fillId="9" borderId="0" xfId="0" applyFont="1" applyFill="1" applyAlignment="1">
      <alignment horizontal="left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/>
    </xf>
    <xf numFmtId="0" fontId="1" fillId="0" borderId="2" xfId="0" applyFont="1" applyFill="1" applyBorder="1" applyAlignment="1"/>
    <xf numFmtId="0" fontId="1" fillId="0" borderId="2" xfId="0" applyFont="1" applyBorder="1" applyAlignment="1"/>
    <xf numFmtId="0" fontId="15" fillId="1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U32" sqref="A9:U32"/>
      <selection pane="topRight" activeCell="U32" sqref="A9:U32"/>
      <selection pane="bottomLeft" activeCell="U32" sqref="A9:U32"/>
      <selection pane="bottomRight" activeCell="G43" sqref="G43"/>
    </sheetView>
  </sheetViews>
  <sheetFormatPr defaultColWidth="8.85546875" defaultRowHeight="15" x14ac:dyDescent="0.25"/>
  <cols>
    <col min="1" max="1" width="18.28515625" style="26" customWidth="1"/>
    <col min="2" max="2" width="14.285156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01/01/2025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3" t="s">
        <v>60</v>
      </c>
      <c r="B9" s="54">
        <v>72.09</v>
      </c>
      <c r="C9" s="54">
        <v>54.16</v>
      </c>
      <c r="D9" s="54">
        <v>84.73</v>
      </c>
      <c r="E9" s="54">
        <v>8.3699999999999992</v>
      </c>
      <c r="F9" s="54">
        <v>2.13</v>
      </c>
      <c r="G9" s="54">
        <v>108.12</v>
      </c>
      <c r="H9" s="54">
        <v>36.06</v>
      </c>
      <c r="I9" s="55" t="s">
        <v>15</v>
      </c>
      <c r="J9" s="54">
        <v>1.42</v>
      </c>
      <c r="K9" s="54">
        <v>301.73</v>
      </c>
      <c r="L9" s="54">
        <v>13.72</v>
      </c>
      <c r="M9" s="54">
        <v>83.36</v>
      </c>
      <c r="N9" s="54">
        <v>84.5</v>
      </c>
      <c r="O9" s="54">
        <v>0</v>
      </c>
      <c r="P9" s="54">
        <v>1.58</v>
      </c>
      <c r="Q9" s="54">
        <v>9.61</v>
      </c>
      <c r="R9" s="43"/>
      <c r="S9" s="43"/>
      <c r="T9" s="43"/>
      <c r="U9" s="43"/>
    </row>
    <row r="10" spans="1:21" s="11" customFormat="1" x14ac:dyDescent="0.25">
      <c r="A10" s="53" t="s">
        <v>61</v>
      </c>
      <c r="B10" s="54">
        <v>62.45</v>
      </c>
      <c r="C10" s="54">
        <v>52.15</v>
      </c>
      <c r="D10" s="54">
        <v>75.95</v>
      </c>
      <c r="E10" s="54">
        <v>8.16</v>
      </c>
      <c r="F10" s="54">
        <v>2.13</v>
      </c>
      <c r="G10" s="54">
        <v>91.82</v>
      </c>
      <c r="H10" s="54">
        <v>36.06</v>
      </c>
      <c r="I10" s="55" t="s">
        <v>15</v>
      </c>
      <c r="J10" s="54">
        <v>2.6</v>
      </c>
      <c r="K10" s="54">
        <v>267.24</v>
      </c>
      <c r="L10" s="54">
        <v>14.19</v>
      </c>
      <c r="M10" s="54">
        <v>75.3</v>
      </c>
      <c r="N10" s="54">
        <v>87.5</v>
      </c>
      <c r="O10" s="54">
        <v>0</v>
      </c>
      <c r="P10" s="54">
        <v>1.39</v>
      </c>
      <c r="Q10" s="54">
        <v>9.5399999999999991</v>
      </c>
      <c r="R10" s="43"/>
      <c r="S10" s="43"/>
      <c r="T10" s="43"/>
      <c r="U10" s="43"/>
    </row>
    <row r="11" spans="1:21" s="11" customFormat="1" x14ac:dyDescent="0.25">
      <c r="A11" s="53" t="s">
        <v>62</v>
      </c>
      <c r="B11" s="54">
        <v>47.97</v>
      </c>
      <c r="C11" s="54">
        <v>51.09</v>
      </c>
      <c r="D11" s="54">
        <v>63.73</v>
      </c>
      <c r="E11" s="54">
        <v>7.42</v>
      </c>
      <c r="F11" s="54">
        <v>2.13</v>
      </c>
      <c r="G11" s="54">
        <v>81.3</v>
      </c>
      <c r="H11" s="54">
        <v>34.07</v>
      </c>
      <c r="I11" s="55" t="s">
        <v>15</v>
      </c>
      <c r="J11" s="54">
        <v>2.77</v>
      </c>
      <c r="K11" s="54">
        <v>108.16</v>
      </c>
      <c r="L11" s="54">
        <v>14.17</v>
      </c>
      <c r="M11" s="54">
        <v>62.76</v>
      </c>
      <c r="N11" s="54">
        <v>87.7</v>
      </c>
      <c r="O11" s="54">
        <v>0</v>
      </c>
      <c r="P11" s="54">
        <v>1.23</v>
      </c>
      <c r="Q11" s="54">
        <v>8.68</v>
      </c>
      <c r="R11" s="43"/>
      <c r="S11" s="43"/>
      <c r="T11" s="43"/>
      <c r="U11" s="43"/>
    </row>
    <row r="12" spans="1:21" s="11" customFormat="1" x14ac:dyDescent="0.25">
      <c r="A12" s="53" t="s">
        <v>63</v>
      </c>
      <c r="B12" s="54">
        <v>34.93</v>
      </c>
      <c r="C12" s="54">
        <v>49.24</v>
      </c>
      <c r="D12" s="54">
        <v>52.23</v>
      </c>
      <c r="E12" s="54">
        <v>7.28</v>
      </c>
      <c r="F12" s="54">
        <v>2.13</v>
      </c>
      <c r="G12" s="54">
        <v>58.72</v>
      </c>
      <c r="H12" s="54">
        <v>32.25</v>
      </c>
      <c r="I12" s="55" t="s">
        <v>15</v>
      </c>
      <c r="J12" s="54">
        <v>2.4500000000000002</v>
      </c>
      <c r="K12" s="54">
        <v>105.85</v>
      </c>
      <c r="L12" s="54">
        <v>13.93</v>
      </c>
      <c r="M12" s="54">
        <v>68.900000000000006</v>
      </c>
      <c r="N12" s="54">
        <v>96.3</v>
      </c>
      <c r="O12" s="54">
        <v>0</v>
      </c>
      <c r="P12" s="54">
        <v>1.05</v>
      </c>
      <c r="Q12" s="54">
        <v>8.2100000000000009</v>
      </c>
      <c r="R12" s="43"/>
      <c r="S12" s="43"/>
      <c r="T12" s="43"/>
      <c r="U12" s="43"/>
    </row>
    <row r="13" spans="1:21" s="11" customFormat="1" x14ac:dyDescent="0.25">
      <c r="A13" s="53" t="s">
        <v>64</v>
      </c>
      <c r="B13" s="54">
        <v>27.16</v>
      </c>
      <c r="C13" s="54">
        <v>48.4</v>
      </c>
      <c r="D13" s="54">
        <v>45.69</v>
      </c>
      <c r="E13" s="54">
        <v>7.17</v>
      </c>
      <c r="F13" s="54">
        <v>2.13</v>
      </c>
      <c r="G13" s="54">
        <v>57.13</v>
      </c>
      <c r="H13" s="54">
        <v>29.92</v>
      </c>
      <c r="I13" s="55" t="s">
        <v>15</v>
      </c>
      <c r="J13" s="54">
        <v>1.03</v>
      </c>
      <c r="K13" s="54">
        <v>332.5</v>
      </c>
      <c r="L13" s="54">
        <v>12.98</v>
      </c>
      <c r="M13" s="54">
        <v>70.88</v>
      </c>
      <c r="N13" s="54">
        <v>99.5</v>
      </c>
      <c r="O13" s="54">
        <v>0</v>
      </c>
      <c r="P13" s="54">
        <v>0.89</v>
      </c>
      <c r="Q13" s="54">
        <v>8.2100000000000009</v>
      </c>
      <c r="R13" s="43"/>
      <c r="S13" s="43"/>
      <c r="T13" s="43"/>
      <c r="U13" s="43"/>
    </row>
    <row r="14" spans="1:21" s="11" customFormat="1" x14ac:dyDescent="0.25">
      <c r="A14" s="53" t="s">
        <v>65</v>
      </c>
      <c r="B14" s="54">
        <v>25.89</v>
      </c>
      <c r="C14" s="54">
        <v>50.29</v>
      </c>
      <c r="D14" s="54">
        <v>45.66</v>
      </c>
      <c r="E14" s="54">
        <v>7.16</v>
      </c>
      <c r="F14" s="54">
        <v>2.13</v>
      </c>
      <c r="G14" s="54">
        <v>63.22</v>
      </c>
      <c r="H14" s="54">
        <v>28.58</v>
      </c>
      <c r="I14" s="55" t="s">
        <v>15</v>
      </c>
      <c r="J14" s="54">
        <v>1.25</v>
      </c>
      <c r="K14" s="54">
        <v>321.58</v>
      </c>
      <c r="L14" s="54">
        <v>12.14</v>
      </c>
      <c r="M14" s="54">
        <v>81.27</v>
      </c>
      <c r="N14" s="54">
        <v>95.1</v>
      </c>
      <c r="O14" s="54">
        <v>0</v>
      </c>
      <c r="P14" s="54">
        <v>0.83</v>
      </c>
      <c r="Q14" s="54">
        <v>8.2100000000000009</v>
      </c>
      <c r="R14" s="43"/>
      <c r="S14" s="43"/>
      <c r="T14" s="43"/>
      <c r="U14" s="43"/>
    </row>
    <row r="15" spans="1:21" s="11" customFormat="1" x14ac:dyDescent="0.25">
      <c r="A15" s="53" t="s">
        <v>66</v>
      </c>
      <c r="B15" s="54">
        <v>26.78</v>
      </c>
      <c r="C15" s="54">
        <v>50.6</v>
      </c>
      <c r="D15" s="54">
        <v>46.54</v>
      </c>
      <c r="E15" s="54">
        <v>7.39</v>
      </c>
      <c r="F15" s="54">
        <v>2.13</v>
      </c>
      <c r="G15" s="54">
        <v>80.81</v>
      </c>
      <c r="H15" s="54">
        <v>27.96</v>
      </c>
      <c r="I15" s="55" t="s">
        <v>15</v>
      </c>
      <c r="J15" s="54">
        <v>3.16</v>
      </c>
      <c r="K15" s="54">
        <v>116.95</v>
      </c>
      <c r="L15" s="54">
        <v>12.04</v>
      </c>
      <c r="M15" s="54">
        <v>83.1</v>
      </c>
      <c r="N15" s="54">
        <v>105</v>
      </c>
      <c r="O15" s="54">
        <v>0</v>
      </c>
      <c r="P15" s="54">
        <v>0.78</v>
      </c>
      <c r="Q15" s="54">
        <v>8.2100000000000009</v>
      </c>
      <c r="R15" s="43"/>
      <c r="S15" s="43"/>
      <c r="T15" s="43"/>
      <c r="U15" s="43"/>
    </row>
    <row r="16" spans="1:21" s="11" customFormat="1" x14ac:dyDescent="0.25">
      <c r="A16" s="53" t="s">
        <v>67</v>
      </c>
      <c r="B16" s="54">
        <v>21.79</v>
      </c>
      <c r="C16" s="54">
        <v>48.75</v>
      </c>
      <c r="D16" s="54">
        <v>41.22</v>
      </c>
      <c r="E16" s="54">
        <v>7.34</v>
      </c>
      <c r="F16" s="54">
        <v>2.13</v>
      </c>
      <c r="G16" s="54">
        <v>85.81</v>
      </c>
      <c r="H16" s="54">
        <v>33.64</v>
      </c>
      <c r="I16" s="55" t="s">
        <v>15</v>
      </c>
      <c r="J16" s="54">
        <v>3.2</v>
      </c>
      <c r="K16" s="54">
        <v>122.38</v>
      </c>
      <c r="L16" s="54">
        <v>13.16</v>
      </c>
      <c r="M16" s="54">
        <v>75.84</v>
      </c>
      <c r="N16" s="54">
        <v>206.8</v>
      </c>
      <c r="O16" s="54">
        <v>0</v>
      </c>
      <c r="P16" s="54">
        <v>0.85</v>
      </c>
      <c r="Q16" s="54">
        <v>8.2100000000000009</v>
      </c>
      <c r="R16" s="43"/>
      <c r="S16" s="43"/>
      <c r="T16" s="43"/>
      <c r="U16" s="43"/>
    </row>
    <row r="17" spans="1:21" s="11" customFormat="1" x14ac:dyDescent="0.25">
      <c r="A17" s="53" t="s">
        <v>68</v>
      </c>
      <c r="B17" s="54">
        <v>17.04</v>
      </c>
      <c r="C17" s="54">
        <v>48.61</v>
      </c>
      <c r="D17" s="54">
        <v>37.68</v>
      </c>
      <c r="E17" s="54">
        <v>6.12</v>
      </c>
      <c r="F17" s="54">
        <v>2.13</v>
      </c>
      <c r="G17" s="54">
        <v>85.81</v>
      </c>
      <c r="H17" s="54">
        <v>33.64</v>
      </c>
      <c r="I17" s="55" t="s">
        <v>15</v>
      </c>
      <c r="J17" s="54">
        <v>2.78</v>
      </c>
      <c r="K17" s="54">
        <v>154.91999999999999</v>
      </c>
      <c r="L17" s="54">
        <v>16.47</v>
      </c>
      <c r="M17" s="54">
        <v>68.31</v>
      </c>
      <c r="N17" s="54">
        <v>381.6</v>
      </c>
      <c r="O17" s="54">
        <v>0</v>
      </c>
      <c r="P17" s="54">
        <v>0.82</v>
      </c>
      <c r="Q17" s="54">
        <v>8.2100000000000009</v>
      </c>
      <c r="R17" s="43"/>
      <c r="S17" s="43"/>
      <c r="T17" s="43"/>
      <c r="U17" s="43"/>
    </row>
    <row r="18" spans="1:21" s="11" customFormat="1" x14ac:dyDescent="0.25">
      <c r="A18" s="53" t="s">
        <v>69</v>
      </c>
      <c r="B18" s="54">
        <v>12.97</v>
      </c>
      <c r="C18" s="54">
        <v>49.88</v>
      </c>
      <c r="D18" s="54">
        <v>34.42</v>
      </c>
      <c r="E18" s="54">
        <v>5.91</v>
      </c>
      <c r="F18" s="54">
        <v>2.13</v>
      </c>
      <c r="G18" s="54">
        <v>72.319999999999993</v>
      </c>
      <c r="H18" s="54">
        <v>30.48</v>
      </c>
      <c r="I18" s="55" t="s">
        <v>15</v>
      </c>
      <c r="J18" s="54">
        <v>1.74</v>
      </c>
      <c r="K18" s="54">
        <v>280.04000000000002</v>
      </c>
      <c r="L18" s="54">
        <v>20.46</v>
      </c>
      <c r="M18" s="54">
        <v>57.41</v>
      </c>
      <c r="N18" s="54">
        <v>445.6</v>
      </c>
      <c r="O18" s="54">
        <v>0</v>
      </c>
      <c r="P18" s="54">
        <v>0.78</v>
      </c>
      <c r="Q18" s="54">
        <v>8.2100000000000009</v>
      </c>
      <c r="R18" s="43"/>
      <c r="S18" s="43"/>
      <c r="T18" s="43"/>
      <c r="U18" s="43"/>
    </row>
    <row r="19" spans="1:21" s="11" customFormat="1" x14ac:dyDescent="0.25">
      <c r="A19" s="53" t="s">
        <v>70</v>
      </c>
      <c r="B19" s="54">
        <v>9.2100000000000009</v>
      </c>
      <c r="C19" s="54">
        <v>51.35</v>
      </c>
      <c r="D19" s="54">
        <v>32.61</v>
      </c>
      <c r="E19" s="54">
        <v>6.01</v>
      </c>
      <c r="F19" s="54">
        <v>2.13</v>
      </c>
      <c r="G19" s="54">
        <v>66.459999999999994</v>
      </c>
      <c r="H19" s="54">
        <v>27.97</v>
      </c>
      <c r="I19" s="55" t="s">
        <v>15</v>
      </c>
      <c r="J19" s="54">
        <v>1.4</v>
      </c>
      <c r="K19" s="54">
        <v>236.56</v>
      </c>
      <c r="L19" s="54">
        <v>20.48</v>
      </c>
      <c r="M19" s="54">
        <v>49.53</v>
      </c>
      <c r="N19" s="54">
        <v>544.29999999999995</v>
      </c>
      <c r="O19" s="54">
        <v>0</v>
      </c>
      <c r="P19" s="54">
        <v>0.76</v>
      </c>
      <c r="Q19" s="54">
        <v>8.2100000000000009</v>
      </c>
      <c r="R19" s="43"/>
      <c r="S19" s="43"/>
      <c r="T19" s="43"/>
      <c r="U19" s="43"/>
    </row>
    <row r="20" spans="1:21" s="11" customFormat="1" x14ac:dyDescent="0.25">
      <c r="A20" s="53" t="s">
        <v>71</v>
      </c>
      <c r="B20" s="56" t="s">
        <v>4</v>
      </c>
      <c r="C20" s="56" t="s">
        <v>4</v>
      </c>
      <c r="D20" s="56" t="s">
        <v>4</v>
      </c>
      <c r="E20" s="56" t="s">
        <v>4</v>
      </c>
      <c r="F20" s="56" t="s">
        <v>4</v>
      </c>
      <c r="G20" s="56" t="s">
        <v>4</v>
      </c>
      <c r="H20" s="56" t="s">
        <v>4</v>
      </c>
      <c r="I20" s="56" t="s">
        <v>4</v>
      </c>
      <c r="J20" s="56" t="s">
        <v>4</v>
      </c>
      <c r="K20" s="56" t="s">
        <v>4</v>
      </c>
      <c r="L20" s="56" t="s">
        <v>4</v>
      </c>
      <c r="M20" s="56" t="s">
        <v>4</v>
      </c>
      <c r="N20" s="56" t="s">
        <v>4</v>
      </c>
      <c r="O20" s="56" t="s">
        <v>4</v>
      </c>
      <c r="P20" s="56" t="s">
        <v>4</v>
      </c>
      <c r="Q20" s="56" t="s">
        <v>4</v>
      </c>
      <c r="R20" s="43"/>
      <c r="S20" s="43"/>
      <c r="T20" s="43"/>
      <c r="U20" s="43"/>
    </row>
    <row r="21" spans="1:21" s="11" customFormat="1" x14ac:dyDescent="0.25">
      <c r="A21" s="53" t="s">
        <v>72</v>
      </c>
      <c r="B21" s="56" t="s">
        <v>4</v>
      </c>
      <c r="C21" s="56" t="s">
        <v>4</v>
      </c>
      <c r="D21" s="56" t="s">
        <v>4</v>
      </c>
      <c r="E21" s="56" t="s">
        <v>4</v>
      </c>
      <c r="F21" s="56" t="s">
        <v>4</v>
      </c>
      <c r="G21" s="56" t="s">
        <v>4</v>
      </c>
      <c r="H21" s="56" t="s">
        <v>4</v>
      </c>
      <c r="I21" s="56" t="s">
        <v>4</v>
      </c>
      <c r="J21" s="56" t="s">
        <v>4</v>
      </c>
      <c r="K21" s="56" t="s">
        <v>4</v>
      </c>
      <c r="L21" s="56" t="s">
        <v>4</v>
      </c>
      <c r="M21" s="56" t="s">
        <v>4</v>
      </c>
      <c r="N21" s="56" t="s">
        <v>4</v>
      </c>
      <c r="O21" s="56" t="s">
        <v>4</v>
      </c>
      <c r="P21" s="56" t="s">
        <v>4</v>
      </c>
      <c r="Q21" s="56" t="s">
        <v>4</v>
      </c>
      <c r="R21" s="43"/>
      <c r="S21" s="43"/>
      <c r="T21" s="43"/>
      <c r="U21" s="43"/>
    </row>
    <row r="22" spans="1:21" s="11" customFormat="1" x14ac:dyDescent="0.25">
      <c r="A22" s="53" t="s">
        <v>73</v>
      </c>
      <c r="B22" s="56" t="s">
        <v>4</v>
      </c>
      <c r="C22" s="56" t="s">
        <v>4</v>
      </c>
      <c r="D22" s="56" t="s">
        <v>4</v>
      </c>
      <c r="E22" s="56" t="s">
        <v>4</v>
      </c>
      <c r="F22" s="56" t="s">
        <v>4</v>
      </c>
      <c r="G22" s="56" t="s">
        <v>4</v>
      </c>
      <c r="H22" s="56" t="s">
        <v>4</v>
      </c>
      <c r="I22" s="56" t="s">
        <v>4</v>
      </c>
      <c r="J22" s="56" t="s">
        <v>4</v>
      </c>
      <c r="K22" s="56" t="s">
        <v>4</v>
      </c>
      <c r="L22" s="56" t="s">
        <v>4</v>
      </c>
      <c r="M22" s="56" t="s">
        <v>4</v>
      </c>
      <c r="N22" s="56" t="s">
        <v>4</v>
      </c>
      <c r="O22" s="56" t="s">
        <v>4</v>
      </c>
      <c r="P22" s="56" t="s">
        <v>4</v>
      </c>
      <c r="Q22" s="56" t="s">
        <v>4</v>
      </c>
      <c r="R22" s="43"/>
      <c r="S22" s="43"/>
      <c r="T22" s="43"/>
      <c r="U22" s="43"/>
    </row>
    <row r="23" spans="1:21" s="11" customFormat="1" x14ac:dyDescent="0.25">
      <c r="A23" s="53" t="s">
        <v>74</v>
      </c>
      <c r="B23" s="56" t="s">
        <v>4</v>
      </c>
      <c r="C23" s="56" t="s">
        <v>4</v>
      </c>
      <c r="D23" s="56" t="s">
        <v>4</v>
      </c>
      <c r="E23" s="56" t="s">
        <v>4</v>
      </c>
      <c r="F23" s="56" t="s">
        <v>4</v>
      </c>
      <c r="G23" s="56" t="s">
        <v>4</v>
      </c>
      <c r="H23" s="56" t="s">
        <v>4</v>
      </c>
      <c r="I23" s="56" t="s">
        <v>4</v>
      </c>
      <c r="J23" s="56" t="s">
        <v>4</v>
      </c>
      <c r="K23" s="56" t="s">
        <v>4</v>
      </c>
      <c r="L23" s="56" t="s">
        <v>4</v>
      </c>
      <c r="M23" s="56" t="s">
        <v>4</v>
      </c>
      <c r="N23" s="56" t="s">
        <v>4</v>
      </c>
      <c r="O23" s="56" t="s">
        <v>4</v>
      </c>
      <c r="P23" s="56" t="s">
        <v>4</v>
      </c>
      <c r="Q23" s="56" t="s">
        <v>4</v>
      </c>
      <c r="R23" s="43"/>
      <c r="S23" s="43"/>
      <c r="T23" s="43"/>
      <c r="U23" s="43"/>
    </row>
    <row r="24" spans="1:21" s="11" customFormat="1" x14ac:dyDescent="0.25">
      <c r="A24" s="53" t="s">
        <v>75</v>
      </c>
      <c r="B24" s="56" t="s">
        <v>4</v>
      </c>
      <c r="C24" s="56" t="s">
        <v>4</v>
      </c>
      <c r="D24" s="56" t="s">
        <v>4</v>
      </c>
      <c r="E24" s="56" t="s">
        <v>4</v>
      </c>
      <c r="F24" s="56" t="s">
        <v>4</v>
      </c>
      <c r="G24" s="56" t="s">
        <v>4</v>
      </c>
      <c r="H24" s="56" t="s">
        <v>4</v>
      </c>
      <c r="I24" s="56" t="s">
        <v>4</v>
      </c>
      <c r="J24" s="56" t="s">
        <v>4</v>
      </c>
      <c r="K24" s="56" t="s">
        <v>4</v>
      </c>
      <c r="L24" s="56" t="s">
        <v>4</v>
      </c>
      <c r="M24" s="56" t="s">
        <v>4</v>
      </c>
      <c r="N24" s="56" t="s">
        <v>4</v>
      </c>
      <c r="O24" s="56" t="s">
        <v>4</v>
      </c>
      <c r="P24" s="56" t="s">
        <v>4</v>
      </c>
      <c r="Q24" s="56" t="s">
        <v>4</v>
      </c>
      <c r="R24" s="43"/>
      <c r="S24" s="43"/>
      <c r="T24" s="43"/>
      <c r="U24" s="43"/>
    </row>
    <row r="25" spans="1:21" s="11" customFormat="1" x14ac:dyDescent="0.25">
      <c r="A25" s="53" t="s">
        <v>76</v>
      </c>
      <c r="B25" s="56" t="s">
        <v>4</v>
      </c>
      <c r="C25" s="56" t="s">
        <v>4</v>
      </c>
      <c r="D25" s="56" t="s">
        <v>4</v>
      </c>
      <c r="E25" s="56" t="s">
        <v>4</v>
      </c>
      <c r="F25" s="56" t="s">
        <v>4</v>
      </c>
      <c r="G25" s="56" t="s">
        <v>4</v>
      </c>
      <c r="H25" s="56" t="s">
        <v>4</v>
      </c>
      <c r="I25" s="56" t="s">
        <v>4</v>
      </c>
      <c r="J25" s="56" t="s">
        <v>4</v>
      </c>
      <c r="K25" s="56" t="s">
        <v>4</v>
      </c>
      <c r="L25" s="56" t="s">
        <v>4</v>
      </c>
      <c r="M25" s="56" t="s">
        <v>4</v>
      </c>
      <c r="N25" s="56" t="s">
        <v>4</v>
      </c>
      <c r="O25" s="56" t="s">
        <v>4</v>
      </c>
      <c r="P25" s="56" t="s">
        <v>4</v>
      </c>
      <c r="Q25" s="56" t="s">
        <v>4</v>
      </c>
      <c r="R25" s="43"/>
      <c r="S25" s="43"/>
      <c r="T25" s="43"/>
      <c r="U25" s="43"/>
    </row>
    <row r="26" spans="1:21" s="11" customFormat="1" x14ac:dyDescent="0.25">
      <c r="A26" s="53" t="s">
        <v>77</v>
      </c>
      <c r="B26" s="56" t="s">
        <v>4</v>
      </c>
      <c r="C26" s="56" t="s">
        <v>4</v>
      </c>
      <c r="D26" s="56" t="s">
        <v>4</v>
      </c>
      <c r="E26" s="56" t="s">
        <v>4</v>
      </c>
      <c r="F26" s="56" t="s">
        <v>4</v>
      </c>
      <c r="G26" s="56" t="s">
        <v>4</v>
      </c>
      <c r="H26" s="56" t="s">
        <v>4</v>
      </c>
      <c r="I26" s="56" t="s">
        <v>4</v>
      </c>
      <c r="J26" s="56" t="s">
        <v>4</v>
      </c>
      <c r="K26" s="56" t="s">
        <v>4</v>
      </c>
      <c r="L26" s="56" t="s">
        <v>4</v>
      </c>
      <c r="M26" s="56" t="s">
        <v>4</v>
      </c>
      <c r="N26" s="56" t="s">
        <v>4</v>
      </c>
      <c r="O26" s="56" t="s">
        <v>4</v>
      </c>
      <c r="P26" s="56" t="s">
        <v>4</v>
      </c>
      <c r="Q26" s="56" t="s">
        <v>4</v>
      </c>
      <c r="R26" s="43"/>
      <c r="S26" s="43"/>
      <c r="T26" s="43"/>
      <c r="U26" s="43"/>
    </row>
    <row r="27" spans="1:21" s="11" customFormat="1" x14ac:dyDescent="0.25">
      <c r="A27" s="53" t="s">
        <v>78</v>
      </c>
      <c r="B27" s="56" t="s">
        <v>4</v>
      </c>
      <c r="C27" s="56" t="s">
        <v>4</v>
      </c>
      <c r="D27" s="56" t="s">
        <v>4</v>
      </c>
      <c r="E27" s="56" t="s">
        <v>4</v>
      </c>
      <c r="F27" s="56" t="s">
        <v>4</v>
      </c>
      <c r="G27" s="56" t="s">
        <v>4</v>
      </c>
      <c r="H27" s="56" t="s">
        <v>4</v>
      </c>
      <c r="I27" s="56" t="s">
        <v>4</v>
      </c>
      <c r="J27" s="56" t="s">
        <v>4</v>
      </c>
      <c r="K27" s="56" t="s">
        <v>4</v>
      </c>
      <c r="L27" s="56" t="s">
        <v>4</v>
      </c>
      <c r="M27" s="56" t="s">
        <v>4</v>
      </c>
      <c r="N27" s="56" t="s">
        <v>4</v>
      </c>
      <c r="O27" s="56" t="s">
        <v>4</v>
      </c>
      <c r="P27" s="56" t="s">
        <v>4</v>
      </c>
      <c r="Q27" s="56" t="s">
        <v>4</v>
      </c>
      <c r="R27" s="43"/>
      <c r="S27" s="43"/>
      <c r="T27" s="43"/>
      <c r="U27" s="43"/>
    </row>
    <row r="28" spans="1:21" s="11" customFormat="1" x14ac:dyDescent="0.25">
      <c r="A28" s="53" t="s">
        <v>79</v>
      </c>
      <c r="B28" s="56" t="s">
        <v>4</v>
      </c>
      <c r="C28" s="56" t="s">
        <v>4</v>
      </c>
      <c r="D28" s="56" t="s">
        <v>4</v>
      </c>
      <c r="E28" s="56" t="s">
        <v>4</v>
      </c>
      <c r="F28" s="56" t="s">
        <v>4</v>
      </c>
      <c r="G28" s="56" t="s">
        <v>4</v>
      </c>
      <c r="H28" s="56" t="s">
        <v>4</v>
      </c>
      <c r="I28" s="56" t="s">
        <v>4</v>
      </c>
      <c r="J28" s="56" t="s">
        <v>4</v>
      </c>
      <c r="K28" s="56" t="s">
        <v>4</v>
      </c>
      <c r="L28" s="56" t="s">
        <v>4</v>
      </c>
      <c r="M28" s="56" t="s">
        <v>4</v>
      </c>
      <c r="N28" s="56" t="s">
        <v>4</v>
      </c>
      <c r="O28" s="56" t="s">
        <v>4</v>
      </c>
      <c r="P28" s="56" t="s">
        <v>4</v>
      </c>
      <c r="Q28" s="56" t="s">
        <v>4</v>
      </c>
      <c r="R28" s="43"/>
      <c r="S28" s="43"/>
      <c r="T28" s="43"/>
      <c r="U28" s="43"/>
    </row>
    <row r="29" spans="1:21" s="11" customFormat="1" x14ac:dyDescent="0.25">
      <c r="A29" s="53" t="s">
        <v>80</v>
      </c>
      <c r="B29" s="56" t="s">
        <v>4</v>
      </c>
      <c r="C29" s="56" t="s">
        <v>4</v>
      </c>
      <c r="D29" s="56" t="s">
        <v>4</v>
      </c>
      <c r="E29" s="56" t="s">
        <v>4</v>
      </c>
      <c r="F29" s="56" t="s">
        <v>4</v>
      </c>
      <c r="G29" s="56" t="s">
        <v>4</v>
      </c>
      <c r="H29" s="56" t="s">
        <v>4</v>
      </c>
      <c r="I29" s="56" t="s">
        <v>4</v>
      </c>
      <c r="J29" s="56" t="s">
        <v>4</v>
      </c>
      <c r="K29" s="56" t="s">
        <v>4</v>
      </c>
      <c r="L29" s="56" t="s">
        <v>4</v>
      </c>
      <c r="M29" s="56" t="s">
        <v>4</v>
      </c>
      <c r="N29" s="56" t="s">
        <v>4</v>
      </c>
      <c r="O29" s="56" t="s">
        <v>4</v>
      </c>
      <c r="P29" s="56" t="s">
        <v>4</v>
      </c>
      <c r="Q29" s="56" t="s">
        <v>4</v>
      </c>
      <c r="R29" s="43"/>
      <c r="S29" s="43"/>
      <c r="T29" s="43"/>
      <c r="U29" s="43"/>
    </row>
    <row r="30" spans="1:21" s="11" customFormat="1" x14ac:dyDescent="0.25">
      <c r="A30" s="53" t="s">
        <v>81</v>
      </c>
      <c r="B30" s="56" t="s">
        <v>4</v>
      </c>
      <c r="C30" s="56" t="s">
        <v>4</v>
      </c>
      <c r="D30" s="56" t="s">
        <v>4</v>
      </c>
      <c r="E30" s="56" t="s">
        <v>4</v>
      </c>
      <c r="F30" s="56" t="s">
        <v>4</v>
      </c>
      <c r="G30" s="56" t="s">
        <v>4</v>
      </c>
      <c r="H30" s="56" t="s">
        <v>4</v>
      </c>
      <c r="I30" s="56" t="s">
        <v>4</v>
      </c>
      <c r="J30" s="56" t="s">
        <v>4</v>
      </c>
      <c r="K30" s="56" t="s">
        <v>4</v>
      </c>
      <c r="L30" s="56" t="s">
        <v>4</v>
      </c>
      <c r="M30" s="56" t="s">
        <v>4</v>
      </c>
      <c r="N30" s="56" t="s">
        <v>4</v>
      </c>
      <c r="O30" s="56" t="s">
        <v>4</v>
      </c>
      <c r="P30" s="56" t="s">
        <v>4</v>
      </c>
      <c r="Q30" s="56" t="s">
        <v>4</v>
      </c>
      <c r="R30" s="43"/>
      <c r="S30" s="43"/>
      <c r="T30" s="43"/>
      <c r="U30" s="43"/>
    </row>
    <row r="31" spans="1:21" s="11" customFormat="1" x14ac:dyDescent="0.25">
      <c r="A31" s="53" t="s">
        <v>82</v>
      </c>
      <c r="B31" s="56" t="s">
        <v>4</v>
      </c>
      <c r="C31" s="56" t="s">
        <v>4</v>
      </c>
      <c r="D31" s="56" t="s">
        <v>4</v>
      </c>
      <c r="E31" s="56" t="s">
        <v>4</v>
      </c>
      <c r="F31" s="56" t="s">
        <v>4</v>
      </c>
      <c r="G31" s="56" t="s">
        <v>4</v>
      </c>
      <c r="H31" s="56" t="s">
        <v>4</v>
      </c>
      <c r="I31" s="56" t="s">
        <v>4</v>
      </c>
      <c r="J31" s="56" t="s">
        <v>4</v>
      </c>
      <c r="K31" s="56" t="s">
        <v>4</v>
      </c>
      <c r="L31" s="56" t="s">
        <v>4</v>
      </c>
      <c r="M31" s="56" t="s">
        <v>4</v>
      </c>
      <c r="N31" s="56" t="s">
        <v>4</v>
      </c>
      <c r="O31" s="56" t="s">
        <v>4</v>
      </c>
      <c r="P31" s="56" t="s">
        <v>4</v>
      </c>
      <c r="Q31" s="56" t="s">
        <v>4</v>
      </c>
      <c r="R31" s="43"/>
      <c r="S31" s="43"/>
      <c r="T31" s="43"/>
      <c r="U31" s="43"/>
    </row>
    <row r="32" spans="1:21" s="11" customFormat="1" x14ac:dyDescent="0.25">
      <c r="A32" s="53" t="s">
        <v>83</v>
      </c>
      <c r="B32" s="56" t="s">
        <v>4</v>
      </c>
      <c r="C32" s="56" t="s">
        <v>4</v>
      </c>
      <c r="D32" s="56" t="s">
        <v>4</v>
      </c>
      <c r="E32" s="56" t="s">
        <v>4</v>
      </c>
      <c r="F32" s="56" t="s">
        <v>4</v>
      </c>
      <c r="G32" s="56" t="s">
        <v>4</v>
      </c>
      <c r="H32" s="56" t="s">
        <v>4</v>
      </c>
      <c r="I32" s="56" t="s">
        <v>4</v>
      </c>
      <c r="J32" s="56" t="s">
        <v>4</v>
      </c>
      <c r="K32" s="56" t="s">
        <v>4</v>
      </c>
      <c r="L32" s="56" t="s">
        <v>4</v>
      </c>
      <c r="M32" s="56" t="s">
        <v>4</v>
      </c>
      <c r="N32" s="56" t="s">
        <v>4</v>
      </c>
      <c r="O32" s="56" t="s">
        <v>4</v>
      </c>
      <c r="P32" s="56" t="s">
        <v>4</v>
      </c>
      <c r="Q32" s="56" t="s">
        <v>4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9.2100000000000009</v>
      </c>
      <c r="C34" s="28">
        <f t="shared" si="0"/>
        <v>48.4</v>
      </c>
      <c r="D34" s="28">
        <f t="shared" si="0"/>
        <v>32.61</v>
      </c>
      <c r="E34" s="28">
        <f t="shared" si="0"/>
        <v>5.91</v>
      </c>
      <c r="F34" s="28">
        <f t="shared" si="0"/>
        <v>2.13</v>
      </c>
      <c r="G34" s="28">
        <f t="shared" si="0"/>
        <v>57.13</v>
      </c>
      <c r="H34" s="28">
        <f t="shared" si="0"/>
        <v>27.96</v>
      </c>
      <c r="I34" s="28">
        <f t="shared" si="0"/>
        <v>0</v>
      </c>
      <c r="J34" s="28">
        <f t="shared" si="0"/>
        <v>1.03</v>
      </c>
      <c r="K34" s="28">
        <f t="shared" si="0"/>
        <v>105.85</v>
      </c>
      <c r="L34" s="28">
        <f t="shared" si="0"/>
        <v>12.04</v>
      </c>
      <c r="M34" s="28">
        <f t="shared" si="0"/>
        <v>49.53</v>
      </c>
      <c r="N34" s="28">
        <f t="shared" si="0"/>
        <v>84.5</v>
      </c>
      <c r="O34" s="28">
        <f t="shared" si="0"/>
        <v>0</v>
      </c>
      <c r="P34" s="28">
        <f t="shared" si="0"/>
        <v>0.76</v>
      </c>
      <c r="Q34" s="28">
        <f t="shared" si="0"/>
        <v>8.2100000000000009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72.09</v>
      </c>
      <c r="C35" s="29">
        <f t="shared" si="1"/>
        <v>54.16</v>
      </c>
      <c r="D35" s="29">
        <f t="shared" si="1"/>
        <v>84.73</v>
      </c>
      <c r="E35" s="29">
        <f t="shared" si="1"/>
        <v>8.3699999999999992</v>
      </c>
      <c r="F35" s="29">
        <f t="shared" si="1"/>
        <v>2.13</v>
      </c>
      <c r="G35" s="29">
        <f t="shared" si="1"/>
        <v>108.12</v>
      </c>
      <c r="H35" s="29">
        <f t="shared" si="1"/>
        <v>36.06</v>
      </c>
      <c r="I35" s="29">
        <f t="shared" si="1"/>
        <v>0</v>
      </c>
      <c r="J35" s="29">
        <f t="shared" si="1"/>
        <v>3.2</v>
      </c>
      <c r="K35" s="29">
        <f t="shared" si="1"/>
        <v>332.5</v>
      </c>
      <c r="L35" s="29">
        <f t="shared" si="1"/>
        <v>20.48</v>
      </c>
      <c r="M35" s="29">
        <f t="shared" si="1"/>
        <v>83.36</v>
      </c>
      <c r="N35" s="29">
        <f t="shared" si="1"/>
        <v>544.29999999999995</v>
      </c>
      <c r="O35" s="29">
        <f t="shared" si="1"/>
        <v>0</v>
      </c>
      <c r="P35" s="29">
        <f t="shared" si="1"/>
        <v>1.58</v>
      </c>
      <c r="Q35" s="29">
        <f t="shared" si="1"/>
        <v>9.61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32.57090909090909</v>
      </c>
      <c r="C36" s="28">
        <f t="shared" si="2"/>
        <v>50.410909090909101</v>
      </c>
      <c r="D36" s="28">
        <f t="shared" si="2"/>
        <v>50.950909090909093</v>
      </c>
      <c r="E36" s="28">
        <f t="shared" si="2"/>
        <v>7.120909090909092</v>
      </c>
      <c r="F36" s="28">
        <f t="shared" si="2"/>
        <v>2.1299999999999994</v>
      </c>
      <c r="G36" s="28">
        <f t="shared" si="2"/>
        <v>77.410909090909087</v>
      </c>
      <c r="H36" s="28">
        <f t="shared" si="2"/>
        <v>31.875454545454545</v>
      </c>
      <c r="I36" s="28" t="e">
        <f t="shared" si="2"/>
        <v>#DIV/0!</v>
      </c>
      <c r="J36" s="28">
        <f t="shared" si="2"/>
        <v>2.1636363636363636</v>
      </c>
      <c r="K36" s="28">
        <f t="shared" si="2"/>
        <v>213.44636363636363</v>
      </c>
      <c r="L36" s="28">
        <f t="shared" si="2"/>
        <v>14.885454545454543</v>
      </c>
      <c r="M36" s="28">
        <f t="shared" si="2"/>
        <v>70.605454545454549</v>
      </c>
      <c r="N36" s="28">
        <f t="shared" si="2"/>
        <v>203.08181818181814</v>
      </c>
      <c r="O36" s="28">
        <f t="shared" si="2"/>
        <v>0</v>
      </c>
      <c r="P36" s="28">
        <f t="shared" si="2"/>
        <v>0.99636363636363623</v>
      </c>
      <c r="Q36" s="28">
        <f t="shared" si="2"/>
        <v>8.5009090909090919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20.22876143244833</v>
      </c>
      <c r="C37" s="28">
        <f t="shared" ref="C37:Q37" si="3">STDEV(C9:C32)</f>
        <v>1.7370115402348623</v>
      </c>
      <c r="D37" s="28">
        <f t="shared" si="3"/>
        <v>16.989753650094784</v>
      </c>
      <c r="E37" s="28">
        <f t="shared" si="3"/>
        <v>0.81125155834000429</v>
      </c>
      <c r="F37" s="28">
        <f t="shared" si="3"/>
        <v>4.6576469266763693E-16</v>
      </c>
      <c r="G37" s="28">
        <f t="shared" si="3"/>
        <v>15.576666815814898</v>
      </c>
      <c r="H37" s="28">
        <f t="shared" si="3"/>
        <v>3.056450109641458</v>
      </c>
      <c r="I37" s="28" t="e">
        <f t="shared" si="3"/>
        <v>#DIV/0!</v>
      </c>
      <c r="J37" s="28">
        <f t="shared" si="3"/>
        <v>0.80760476382043245</v>
      </c>
      <c r="K37" s="28">
        <f t="shared" si="3"/>
        <v>92.312253712356878</v>
      </c>
      <c r="L37" s="28">
        <f t="shared" si="3"/>
        <v>3.0065607049795924</v>
      </c>
      <c r="M37" s="28">
        <f t="shared" si="3"/>
        <v>10.816944451772311</v>
      </c>
      <c r="N37" s="28">
        <f t="shared" si="3"/>
        <v>170.66719554842297</v>
      </c>
      <c r="O37" s="28">
        <f t="shared" si="3"/>
        <v>0</v>
      </c>
      <c r="P37" s="28">
        <f t="shared" si="3"/>
        <v>0.28178973463462903</v>
      </c>
      <c r="Q37" s="28">
        <f t="shared" si="3"/>
        <v>0.54944434741754344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>COUNT(B9:B32)+13</f>
        <v>24</v>
      </c>
      <c r="C38" s="32">
        <f t="shared" ref="C38:Q38" si="4">COUNT(C9:C32)+13</f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>COUNT(I9:I32)</f>
        <v>0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&lt;90%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LESS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3" sqref="G53"/>
    </sheetView>
  </sheetViews>
  <sheetFormatPr defaultColWidth="8.85546875" defaultRowHeight="15" x14ac:dyDescent="0.25"/>
  <cols>
    <col min="1" max="1" width="18.28515625" style="26" customWidth="1"/>
    <col min="2" max="2" width="13.85546875" style="20" customWidth="1"/>
    <col min="3" max="3" width="11" style="20" customWidth="1"/>
    <col min="4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02/01/2025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3" t="s">
        <v>84</v>
      </c>
      <c r="B9" s="54">
        <v>133.76</v>
      </c>
      <c r="C9" s="54">
        <v>47.92</v>
      </c>
      <c r="D9" s="54">
        <v>130.86000000000001</v>
      </c>
      <c r="E9" s="54">
        <v>8.41</v>
      </c>
      <c r="F9" s="54">
        <v>2.15</v>
      </c>
      <c r="G9" s="54">
        <v>186.39</v>
      </c>
      <c r="H9" s="54">
        <v>59.15</v>
      </c>
      <c r="I9" s="55" t="s">
        <v>15</v>
      </c>
      <c r="J9" s="54">
        <v>2.5499999999999998</v>
      </c>
      <c r="K9" s="54">
        <v>346.84</v>
      </c>
      <c r="L9" s="54">
        <v>11.01</v>
      </c>
      <c r="M9" s="54">
        <v>92.85</v>
      </c>
      <c r="N9" s="54">
        <v>98.2</v>
      </c>
      <c r="O9" s="54">
        <v>0</v>
      </c>
      <c r="P9" s="54">
        <v>2.1</v>
      </c>
      <c r="Q9" s="54">
        <v>10.31</v>
      </c>
      <c r="R9" s="43"/>
      <c r="S9" s="43"/>
      <c r="T9" s="43"/>
      <c r="U9" s="43"/>
    </row>
    <row r="10" spans="1:21" s="11" customFormat="1" x14ac:dyDescent="0.25">
      <c r="A10" s="53" t="s">
        <v>85</v>
      </c>
      <c r="B10" s="54">
        <v>129.21</v>
      </c>
      <c r="C10" s="54">
        <v>43.52</v>
      </c>
      <c r="D10" s="54">
        <v>124.82</v>
      </c>
      <c r="E10" s="54">
        <v>8.4499999999999993</v>
      </c>
      <c r="F10" s="54">
        <v>2.13</v>
      </c>
      <c r="G10" s="54">
        <v>144.84</v>
      </c>
      <c r="H10" s="54">
        <v>59.15</v>
      </c>
      <c r="I10" s="55" t="s">
        <v>15</v>
      </c>
      <c r="J10" s="54">
        <v>2.5099999999999998</v>
      </c>
      <c r="K10" s="54">
        <v>348.63</v>
      </c>
      <c r="L10" s="54">
        <v>10.75</v>
      </c>
      <c r="M10" s="54">
        <v>97.35</v>
      </c>
      <c r="N10" s="54">
        <v>98.6</v>
      </c>
      <c r="O10" s="54">
        <v>0</v>
      </c>
      <c r="P10" s="54">
        <v>1.85</v>
      </c>
      <c r="Q10" s="54">
        <v>10.27</v>
      </c>
      <c r="R10" s="43"/>
      <c r="S10" s="43"/>
      <c r="T10" s="43"/>
      <c r="U10" s="43"/>
    </row>
    <row r="11" spans="1:21" s="11" customFormat="1" x14ac:dyDescent="0.25">
      <c r="A11" s="53" t="s">
        <v>86</v>
      </c>
      <c r="B11" s="54">
        <v>121.1</v>
      </c>
      <c r="C11" s="54">
        <v>42.57</v>
      </c>
      <c r="D11" s="54">
        <v>117.98</v>
      </c>
      <c r="E11" s="54">
        <v>7.57</v>
      </c>
      <c r="F11" s="54">
        <v>2.2599999999999998</v>
      </c>
      <c r="G11" s="54">
        <v>132.80000000000001</v>
      </c>
      <c r="H11" s="54">
        <v>45.18</v>
      </c>
      <c r="I11" s="55" t="s">
        <v>15</v>
      </c>
      <c r="J11" s="54">
        <v>2.61</v>
      </c>
      <c r="K11" s="54">
        <v>237.58</v>
      </c>
      <c r="L11" s="54">
        <v>11.31</v>
      </c>
      <c r="M11" s="54">
        <v>89.97</v>
      </c>
      <c r="N11" s="54">
        <v>99.1</v>
      </c>
      <c r="O11" s="54">
        <v>0</v>
      </c>
      <c r="P11" s="54">
        <v>1.69</v>
      </c>
      <c r="Q11" s="54">
        <v>10.24</v>
      </c>
      <c r="R11" s="43"/>
      <c r="S11" s="43"/>
      <c r="T11" s="43"/>
      <c r="U11" s="43"/>
    </row>
    <row r="12" spans="1:21" s="11" customFormat="1" x14ac:dyDescent="0.25">
      <c r="A12" s="53" t="s">
        <v>87</v>
      </c>
      <c r="B12" s="54">
        <v>100.24</v>
      </c>
      <c r="C12" s="54">
        <v>42.18</v>
      </c>
      <c r="D12" s="54">
        <v>101.03</v>
      </c>
      <c r="E12" s="54">
        <v>6.64</v>
      </c>
      <c r="F12" s="54">
        <v>2.13</v>
      </c>
      <c r="G12" s="54">
        <v>78.260000000000005</v>
      </c>
      <c r="H12" s="54">
        <v>39.869999999999997</v>
      </c>
      <c r="I12" s="55" t="s">
        <v>15</v>
      </c>
      <c r="J12" s="54">
        <v>2.5299999999999998</v>
      </c>
      <c r="K12" s="54">
        <v>227.19</v>
      </c>
      <c r="L12" s="54">
        <v>9.4700000000000006</v>
      </c>
      <c r="M12" s="54">
        <v>94.23</v>
      </c>
      <c r="N12" s="54">
        <v>98.9</v>
      </c>
      <c r="O12" s="54">
        <v>0</v>
      </c>
      <c r="P12" s="54">
        <v>1.52</v>
      </c>
      <c r="Q12" s="54">
        <v>10</v>
      </c>
      <c r="R12" s="43"/>
      <c r="S12" s="43"/>
      <c r="T12" s="43"/>
      <c r="U12" s="43"/>
    </row>
    <row r="13" spans="1:21" s="11" customFormat="1" x14ac:dyDescent="0.25">
      <c r="A13" s="53" t="s">
        <v>88</v>
      </c>
      <c r="B13" s="54">
        <v>85.68</v>
      </c>
      <c r="C13" s="54">
        <v>40.44</v>
      </c>
      <c r="D13" s="54">
        <v>88.46</v>
      </c>
      <c r="E13" s="54">
        <v>5.9</v>
      </c>
      <c r="F13" s="54">
        <v>2.13</v>
      </c>
      <c r="G13" s="54">
        <v>78.260000000000005</v>
      </c>
      <c r="H13" s="54">
        <v>39.869999999999997</v>
      </c>
      <c r="I13" s="55" t="s">
        <v>15</v>
      </c>
      <c r="J13" s="54">
        <v>2.1800000000000002</v>
      </c>
      <c r="K13" s="54">
        <v>348.03</v>
      </c>
      <c r="L13" s="54">
        <v>9.6</v>
      </c>
      <c r="M13" s="54">
        <v>97.47</v>
      </c>
      <c r="N13" s="54">
        <v>99</v>
      </c>
      <c r="O13" s="54">
        <v>0</v>
      </c>
      <c r="P13" s="54">
        <v>1.34</v>
      </c>
      <c r="Q13" s="54">
        <v>9.93</v>
      </c>
      <c r="R13" s="43"/>
      <c r="S13" s="43"/>
      <c r="T13" s="43"/>
      <c r="U13" s="43"/>
    </row>
    <row r="14" spans="1:21" s="11" customFormat="1" x14ac:dyDescent="0.25">
      <c r="A14" s="53" t="s">
        <v>89</v>
      </c>
      <c r="B14" s="54">
        <v>69.849999999999994</v>
      </c>
      <c r="C14" s="54">
        <v>38.93</v>
      </c>
      <c r="D14" s="54">
        <v>74.760000000000005</v>
      </c>
      <c r="E14" s="54">
        <v>5.54</v>
      </c>
      <c r="F14" s="54">
        <v>2.13</v>
      </c>
      <c r="G14" s="54">
        <v>77.66</v>
      </c>
      <c r="H14" s="54">
        <v>16.690000000000001</v>
      </c>
      <c r="I14" s="55" t="s">
        <v>15</v>
      </c>
      <c r="J14" s="54">
        <v>1.63</v>
      </c>
      <c r="K14" s="54">
        <v>79.94</v>
      </c>
      <c r="L14" s="54">
        <v>9.58</v>
      </c>
      <c r="M14" s="54">
        <v>79.06</v>
      </c>
      <c r="N14" s="54">
        <v>99.1</v>
      </c>
      <c r="O14" s="54">
        <v>0</v>
      </c>
      <c r="P14" s="54">
        <v>1.1100000000000001</v>
      </c>
      <c r="Q14" s="54">
        <v>9.8000000000000007</v>
      </c>
      <c r="R14" s="43"/>
      <c r="S14" s="43"/>
      <c r="T14" s="43"/>
      <c r="U14" s="43"/>
    </row>
    <row r="15" spans="1:21" s="11" customFormat="1" x14ac:dyDescent="0.25">
      <c r="A15" s="53" t="s">
        <v>90</v>
      </c>
      <c r="B15" s="54">
        <v>56.27</v>
      </c>
      <c r="C15" s="54">
        <v>39.07</v>
      </c>
      <c r="D15" s="54">
        <v>63.95</v>
      </c>
      <c r="E15" s="54">
        <v>4.7699999999999996</v>
      </c>
      <c r="F15" s="54">
        <v>2.13</v>
      </c>
      <c r="G15" s="54">
        <v>47.99</v>
      </c>
      <c r="H15" s="54">
        <v>3</v>
      </c>
      <c r="I15" s="55" t="s">
        <v>15</v>
      </c>
      <c r="J15" s="54">
        <v>1.81</v>
      </c>
      <c r="K15" s="54">
        <v>352</v>
      </c>
      <c r="L15" s="54">
        <v>9.4</v>
      </c>
      <c r="M15" s="54">
        <v>82.43</v>
      </c>
      <c r="N15" s="54">
        <v>110.5</v>
      </c>
      <c r="O15" s="54">
        <v>0</v>
      </c>
      <c r="P15" s="54">
        <v>0.92</v>
      </c>
      <c r="Q15" s="54">
        <v>9.66</v>
      </c>
      <c r="R15" s="43"/>
      <c r="S15" s="43"/>
      <c r="T15" s="43"/>
      <c r="U15" s="43"/>
    </row>
    <row r="16" spans="1:21" s="11" customFormat="1" x14ac:dyDescent="0.25">
      <c r="A16" s="53" t="s">
        <v>91</v>
      </c>
      <c r="B16" s="54">
        <v>50.51</v>
      </c>
      <c r="C16" s="54">
        <v>41.5</v>
      </c>
      <c r="D16" s="54">
        <v>60.29</v>
      </c>
      <c r="E16" s="54">
        <v>5.22</v>
      </c>
      <c r="F16" s="54">
        <v>2.13</v>
      </c>
      <c r="G16" s="54">
        <v>57.55</v>
      </c>
      <c r="H16" s="54">
        <v>16.29</v>
      </c>
      <c r="I16" s="55" t="s">
        <v>15</v>
      </c>
      <c r="J16" s="54">
        <v>1.52</v>
      </c>
      <c r="K16" s="54">
        <v>328.11</v>
      </c>
      <c r="L16" s="54">
        <v>11.55</v>
      </c>
      <c r="M16" s="54">
        <v>83.65</v>
      </c>
      <c r="N16" s="54">
        <v>291.5</v>
      </c>
      <c r="O16" s="54">
        <v>0</v>
      </c>
      <c r="P16" s="54">
        <v>1</v>
      </c>
      <c r="Q16" s="54">
        <v>8.8800000000000008</v>
      </c>
      <c r="R16" s="43"/>
      <c r="S16" s="43"/>
      <c r="T16" s="43"/>
      <c r="U16" s="43"/>
    </row>
    <row r="17" spans="1:21" s="11" customFormat="1" x14ac:dyDescent="0.25">
      <c r="A17" s="53" t="s">
        <v>92</v>
      </c>
      <c r="B17" s="54">
        <v>45.47</v>
      </c>
      <c r="C17" s="54">
        <v>43.63</v>
      </c>
      <c r="D17" s="54">
        <v>56.97</v>
      </c>
      <c r="E17" s="54">
        <v>5.53</v>
      </c>
      <c r="F17" s="54">
        <v>2.13</v>
      </c>
      <c r="G17" s="54">
        <v>59.63</v>
      </c>
      <c r="H17" s="54">
        <v>42.48</v>
      </c>
      <c r="I17" s="55" t="s">
        <v>15</v>
      </c>
      <c r="J17" s="54">
        <v>2.94</v>
      </c>
      <c r="K17" s="54">
        <v>352.45</v>
      </c>
      <c r="L17" s="54">
        <v>16.63</v>
      </c>
      <c r="M17" s="54">
        <v>62.4</v>
      </c>
      <c r="N17" s="54">
        <v>543.6</v>
      </c>
      <c r="O17" s="54">
        <v>0</v>
      </c>
      <c r="P17" s="54">
        <v>0.93</v>
      </c>
      <c r="Q17" s="54">
        <v>8.67</v>
      </c>
      <c r="R17" s="43"/>
      <c r="S17" s="43"/>
      <c r="T17" s="43"/>
      <c r="U17" s="43"/>
    </row>
    <row r="18" spans="1:21" s="11" customFormat="1" x14ac:dyDescent="0.25">
      <c r="A18" s="53" t="s">
        <v>93</v>
      </c>
      <c r="B18" s="54">
        <v>41.02</v>
      </c>
      <c r="C18" s="54">
        <v>45.93</v>
      </c>
      <c r="D18" s="54">
        <v>54.69</v>
      </c>
      <c r="E18" s="54">
        <v>5.61</v>
      </c>
      <c r="F18" s="54">
        <v>2.13</v>
      </c>
      <c r="G18" s="54">
        <v>59.63</v>
      </c>
      <c r="H18" s="54">
        <v>42.48</v>
      </c>
      <c r="I18" s="55" t="s">
        <v>15</v>
      </c>
      <c r="J18" s="54">
        <v>3.75</v>
      </c>
      <c r="K18" s="54">
        <v>338.07</v>
      </c>
      <c r="L18" s="54">
        <v>23.43</v>
      </c>
      <c r="M18" s="54">
        <v>45.28</v>
      </c>
      <c r="N18" s="54">
        <v>659.5</v>
      </c>
      <c r="O18" s="54">
        <v>0</v>
      </c>
      <c r="P18" s="54">
        <v>0.83</v>
      </c>
      <c r="Q18" s="54">
        <v>8.49</v>
      </c>
      <c r="R18" s="43"/>
      <c r="S18" s="43"/>
      <c r="T18" s="43"/>
      <c r="U18" s="43"/>
    </row>
    <row r="19" spans="1:21" s="11" customFormat="1" x14ac:dyDescent="0.25">
      <c r="A19" s="53" t="s">
        <v>94</v>
      </c>
      <c r="B19" s="54">
        <v>35.35</v>
      </c>
      <c r="C19" s="54">
        <v>69.39</v>
      </c>
      <c r="D19" s="54">
        <v>53.09</v>
      </c>
      <c r="E19" s="54">
        <v>8.11</v>
      </c>
      <c r="F19" s="54">
        <v>2.15</v>
      </c>
      <c r="G19" s="54">
        <v>48.81</v>
      </c>
      <c r="H19" s="54">
        <v>20.440000000000001</v>
      </c>
      <c r="I19" s="55" t="s">
        <v>15</v>
      </c>
      <c r="J19" s="54">
        <v>3.2</v>
      </c>
      <c r="K19" s="54">
        <v>338.12</v>
      </c>
      <c r="L19" s="54">
        <v>25.49</v>
      </c>
      <c r="M19" s="54">
        <v>33.07</v>
      </c>
      <c r="N19" s="54">
        <v>732.2</v>
      </c>
      <c r="O19" s="54">
        <v>0</v>
      </c>
      <c r="P19" s="54">
        <v>0.78</v>
      </c>
      <c r="Q19" s="54">
        <v>8.2100000000000009</v>
      </c>
      <c r="R19" s="43"/>
      <c r="S19" s="43"/>
      <c r="T19" s="43"/>
      <c r="U19" s="43"/>
    </row>
    <row r="20" spans="1:21" s="11" customFormat="1" x14ac:dyDescent="0.25">
      <c r="A20" s="53" t="s">
        <v>95</v>
      </c>
      <c r="B20" s="54">
        <v>16.28</v>
      </c>
      <c r="C20" s="54">
        <v>68.58</v>
      </c>
      <c r="D20" s="54">
        <v>47.51</v>
      </c>
      <c r="E20" s="54">
        <v>7.59</v>
      </c>
      <c r="F20" s="54">
        <v>2.13</v>
      </c>
      <c r="G20" s="54">
        <v>74.73</v>
      </c>
      <c r="H20" s="54">
        <v>27.47</v>
      </c>
      <c r="I20" s="55" t="s">
        <v>15</v>
      </c>
      <c r="J20" s="54">
        <v>2.94</v>
      </c>
      <c r="K20" s="54">
        <v>341.83</v>
      </c>
      <c r="L20" s="54">
        <v>25.87</v>
      </c>
      <c r="M20" s="54">
        <v>32.35</v>
      </c>
      <c r="N20" s="54">
        <v>783.5</v>
      </c>
      <c r="O20" s="54">
        <v>0</v>
      </c>
      <c r="P20" s="54">
        <v>0.7</v>
      </c>
      <c r="Q20" s="54">
        <v>8.2100000000000009</v>
      </c>
      <c r="R20" s="43"/>
      <c r="S20" s="43"/>
      <c r="T20" s="43"/>
      <c r="U20" s="43"/>
    </row>
    <row r="21" spans="1:21" s="11" customFormat="1" x14ac:dyDescent="0.25">
      <c r="A21" s="53" t="s">
        <v>96</v>
      </c>
      <c r="B21" s="54">
        <v>6.83</v>
      </c>
      <c r="C21" s="54">
        <v>74.67</v>
      </c>
      <c r="D21" s="54">
        <v>40.43</v>
      </c>
      <c r="E21" s="54">
        <v>10.76</v>
      </c>
      <c r="F21" s="54">
        <v>5</v>
      </c>
      <c r="G21" s="54">
        <v>80.900000000000006</v>
      </c>
      <c r="H21" s="54">
        <v>27.47</v>
      </c>
      <c r="I21" s="55" t="s">
        <v>15</v>
      </c>
      <c r="J21" s="54">
        <v>2.44</v>
      </c>
      <c r="K21" s="54">
        <v>340.19</v>
      </c>
      <c r="L21" s="54">
        <v>24.34</v>
      </c>
      <c r="M21" s="54">
        <v>29.46</v>
      </c>
      <c r="N21" s="54">
        <v>755.6</v>
      </c>
      <c r="O21" s="54">
        <v>0</v>
      </c>
      <c r="P21" s="54">
        <v>0.73</v>
      </c>
      <c r="Q21" s="54">
        <v>8.2100000000000009</v>
      </c>
      <c r="R21" s="43"/>
      <c r="S21" s="43"/>
      <c r="T21" s="43"/>
      <c r="U21" s="43"/>
    </row>
    <row r="22" spans="1:21" s="11" customFormat="1" x14ac:dyDescent="0.25">
      <c r="A22" s="53" t="s">
        <v>97</v>
      </c>
      <c r="B22" s="54">
        <v>5.95</v>
      </c>
      <c r="C22" s="54">
        <v>71.56</v>
      </c>
      <c r="D22" s="54">
        <v>38.69</v>
      </c>
      <c r="E22" s="54">
        <v>8.15</v>
      </c>
      <c r="F22" s="54">
        <v>2.29</v>
      </c>
      <c r="G22" s="54">
        <v>95.55</v>
      </c>
      <c r="H22" s="54">
        <v>24.51</v>
      </c>
      <c r="I22" s="55" t="s">
        <v>15</v>
      </c>
      <c r="J22" s="54">
        <v>3.19</v>
      </c>
      <c r="K22" s="54">
        <v>342.65</v>
      </c>
      <c r="L22" s="54">
        <v>25.69</v>
      </c>
      <c r="M22" s="54">
        <v>27.18</v>
      </c>
      <c r="N22" s="54">
        <v>685.8</v>
      </c>
      <c r="O22" s="54">
        <v>0</v>
      </c>
      <c r="P22" s="54">
        <v>0.76</v>
      </c>
      <c r="Q22" s="54">
        <v>8.2100000000000009</v>
      </c>
      <c r="R22" s="43"/>
      <c r="S22" s="43"/>
      <c r="T22" s="43"/>
      <c r="U22" s="43"/>
    </row>
    <row r="23" spans="1:21" s="11" customFormat="1" x14ac:dyDescent="0.25">
      <c r="A23" s="53" t="s">
        <v>98</v>
      </c>
      <c r="B23" s="54">
        <v>6.08</v>
      </c>
      <c r="C23" s="54">
        <v>63.69</v>
      </c>
      <c r="D23" s="54">
        <v>36.78</v>
      </c>
      <c r="E23" s="54">
        <v>7.12</v>
      </c>
      <c r="F23" s="54">
        <v>2.75</v>
      </c>
      <c r="G23" s="54">
        <v>95.55</v>
      </c>
      <c r="H23" s="54">
        <v>17</v>
      </c>
      <c r="I23" s="55" t="s">
        <v>15</v>
      </c>
      <c r="J23" s="54">
        <v>2.16</v>
      </c>
      <c r="K23" s="54">
        <v>343.42</v>
      </c>
      <c r="L23" s="54">
        <v>24.09</v>
      </c>
      <c r="M23" s="54">
        <v>26.36</v>
      </c>
      <c r="N23" s="54">
        <v>491.1</v>
      </c>
      <c r="O23" s="54">
        <v>0</v>
      </c>
      <c r="P23" s="54">
        <v>0.76</v>
      </c>
      <c r="Q23" s="54">
        <v>8.2100000000000009</v>
      </c>
      <c r="R23" s="43"/>
      <c r="S23" s="43"/>
      <c r="T23" s="43"/>
      <c r="U23" s="43"/>
    </row>
    <row r="24" spans="1:21" s="11" customFormat="1" x14ac:dyDescent="0.25">
      <c r="A24" s="53" t="s">
        <v>99</v>
      </c>
      <c r="B24" s="54">
        <v>5.56</v>
      </c>
      <c r="C24" s="54">
        <v>62.03</v>
      </c>
      <c r="D24" s="54">
        <v>35.49</v>
      </c>
      <c r="E24" s="54">
        <v>6.82</v>
      </c>
      <c r="F24" s="54">
        <v>2.13</v>
      </c>
      <c r="G24" s="54">
        <v>120.17</v>
      </c>
      <c r="H24" s="54">
        <v>39.44</v>
      </c>
      <c r="I24" s="55" t="s">
        <v>15</v>
      </c>
      <c r="J24" s="54">
        <v>3.56</v>
      </c>
      <c r="K24" s="54">
        <v>345.25</v>
      </c>
      <c r="L24" s="54">
        <v>24.11</v>
      </c>
      <c r="M24" s="54">
        <v>25.81</v>
      </c>
      <c r="N24" s="54">
        <v>243.5</v>
      </c>
      <c r="O24" s="54">
        <v>0</v>
      </c>
      <c r="P24" s="54">
        <v>0.79</v>
      </c>
      <c r="Q24" s="54">
        <v>8.2100000000000009</v>
      </c>
      <c r="R24" s="43"/>
      <c r="S24" s="43"/>
      <c r="T24" s="43"/>
      <c r="U24" s="43"/>
    </row>
    <row r="25" spans="1:21" s="11" customFormat="1" x14ac:dyDescent="0.25">
      <c r="A25" s="53" t="s">
        <v>100</v>
      </c>
      <c r="B25" s="54">
        <v>9.2200000000000006</v>
      </c>
      <c r="C25" s="54">
        <v>63.82</v>
      </c>
      <c r="D25" s="54">
        <v>39.36</v>
      </c>
      <c r="E25" s="54">
        <v>6.06</v>
      </c>
      <c r="F25" s="54">
        <v>2.13</v>
      </c>
      <c r="G25" s="54">
        <v>120.17</v>
      </c>
      <c r="H25" s="54">
        <v>46.72</v>
      </c>
      <c r="I25" s="55" t="s">
        <v>15</v>
      </c>
      <c r="J25" s="54">
        <v>3.33</v>
      </c>
      <c r="K25" s="54">
        <v>346.54</v>
      </c>
      <c r="L25" s="54">
        <v>22.24</v>
      </c>
      <c r="M25" s="54">
        <v>27.74</v>
      </c>
      <c r="N25" s="54">
        <v>190.3</v>
      </c>
      <c r="O25" s="54">
        <v>0</v>
      </c>
      <c r="P25" s="54">
        <v>0.83</v>
      </c>
      <c r="Q25" s="54">
        <v>8.2100000000000009</v>
      </c>
      <c r="R25" s="43"/>
      <c r="S25" s="43"/>
      <c r="T25" s="43"/>
      <c r="U25" s="43"/>
    </row>
    <row r="26" spans="1:21" s="11" customFormat="1" x14ac:dyDescent="0.25">
      <c r="A26" s="53" t="s">
        <v>101</v>
      </c>
      <c r="B26" s="54">
        <v>21.39</v>
      </c>
      <c r="C26" s="54">
        <v>64.8</v>
      </c>
      <c r="D26" s="54">
        <v>48.72</v>
      </c>
      <c r="E26" s="54">
        <v>5.61</v>
      </c>
      <c r="F26" s="54">
        <v>2.16</v>
      </c>
      <c r="G26" s="54">
        <v>108.6</v>
      </c>
      <c r="H26" s="54">
        <v>46.72</v>
      </c>
      <c r="I26" s="55" t="s">
        <v>15</v>
      </c>
      <c r="J26" s="54">
        <v>2.96</v>
      </c>
      <c r="K26" s="54">
        <v>348.17</v>
      </c>
      <c r="L26" s="54">
        <v>20.7</v>
      </c>
      <c r="M26" s="54">
        <v>41.42</v>
      </c>
      <c r="N26" s="54">
        <v>165</v>
      </c>
      <c r="O26" s="54">
        <v>0</v>
      </c>
      <c r="P26" s="54">
        <v>1.1499999999999999</v>
      </c>
      <c r="Q26" s="54">
        <v>8.2100000000000009</v>
      </c>
      <c r="R26" s="43"/>
      <c r="S26" s="43"/>
      <c r="T26" s="43"/>
      <c r="U26" s="43"/>
    </row>
    <row r="27" spans="1:21" s="11" customFormat="1" x14ac:dyDescent="0.25">
      <c r="A27" s="53" t="s">
        <v>102</v>
      </c>
      <c r="B27" s="54">
        <v>53.3</v>
      </c>
      <c r="C27" s="54">
        <v>63.13</v>
      </c>
      <c r="D27" s="54">
        <v>73.37</v>
      </c>
      <c r="E27" s="54">
        <v>7.08</v>
      </c>
      <c r="F27" s="54">
        <v>2.13</v>
      </c>
      <c r="G27" s="54">
        <v>204.34</v>
      </c>
      <c r="H27" s="54">
        <v>51.82</v>
      </c>
      <c r="I27" s="55" t="s">
        <v>15</v>
      </c>
      <c r="J27" s="54">
        <v>2.61</v>
      </c>
      <c r="K27" s="54">
        <v>340.87</v>
      </c>
      <c r="L27" s="54">
        <v>16.420000000000002</v>
      </c>
      <c r="M27" s="54">
        <v>61.95</v>
      </c>
      <c r="N27" s="54">
        <v>147.6</v>
      </c>
      <c r="O27" s="54">
        <v>0</v>
      </c>
      <c r="P27" s="54">
        <v>1.61</v>
      </c>
      <c r="Q27" s="54">
        <v>9.5500000000000007</v>
      </c>
      <c r="R27" s="43"/>
      <c r="S27" s="43"/>
      <c r="T27" s="43"/>
      <c r="U27" s="43"/>
    </row>
    <row r="28" spans="1:21" s="11" customFormat="1" x14ac:dyDescent="0.25">
      <c r="A28" s="53" t="s">
        <v>103</v>
      </c>
      <c r="B28" s="54">
        <v>95.2</v>
      </c>
      <c r="C28" s="54">
        <v>60.45</v>
      </c>
      <c r="D28" s="54">
        <v>106.01</v>
      </c>
      <c r="E28" s="54">
        <v>10.02</v>
      </c>
      <c r="F28" s="54">
        <v>2.13</v>
      </c>
      <c r="G28" s="54">
        <v>217.61</v>
      </c>
      <c r="H28" s="54">
        <v>54.62</v>
      </c>
      <c r="I28" s="55" t="s">
        <v>15</v>
      </c>
      <c r="J28" s="54">
        <v>2.76</v>
      </c>
      <c r="K28" s="54">
        <v>347.19</v>
      </c>
      <c r="L28" s="54">
        <v>14.5</v>
      </c>
      <c r="M28" s="54">
        <v>71.209999999999994</v>
      </c>
      <c r="N28" s="54">
        <v>146.19999999999999</v>
      </c>
      <c r="O28" s="54">
        <v>0</v>
      </c>
      <c r="P28" s="54">
        <v>1.73</v>
      </c>
      <c r="Q28" s="54">
        <v>9.91</v>
      </c>
      <c r="R28" s="43"/>
      <c r="S28" s="43"/>
      <c r="T28" s="43"/>
      <c r="U28" s="43"/>
    </row>
    <row r="29" spans="1:21" s="11" customFormat="1" x14ac:dyDescent="0.25">
      <c r="A29" s="53" t="s">
        <v>104</v>
      </c>
      <c r="B29" s="54">
        <v>130.69</v>
      </c>
      <c r="C29" s="54">
        <v>59.04</v>
      </c>
      <c r="D29" s="54">
        <v>133.43</v>
      </c>
      <c r="E29" s="54">
        <v>12.13</v>
      </c>
      <c r="F29" s="54">
        <v>2.13</v>
      </c>
      <c r="G29" s="54">
        <v>242.04</v>
      </c>
      <c r="H29" s="54">
        <v>65.25</v>
      </c>
      <c r="I29" s="55" t="s">
        <v>15</v>
      </c>
      <c r="J29" s="54">
        <v>2.2599999999999998</v>
      </c>
      <c r="K29" s="54">
        <v>316.69</v>
      </c>
      <c r="L29" s="54">
        <v>14.04</v>
      </c>
      <c r="M29" s="54">
        <v>68.17</v>
      </c>
      <c r="N29" s="54">
        <v>146.1</v>
      </c>
      <c r="O29" s="54">
        <v>0</v>
      </c>
      <c r="P29" s="54">
        <v>2.34</v>
      </c>
      <c r="Q29" s="54">
        <v>10.17</v>
      </c>
      <c r="R29" s="43"/>
      <c r="S29" s="43"/>
      <c r="T29" s="43"/>
      <c r="U29" s="43"/>
    </row>
    <row r="30" spans="1:21" s="11" customFormat="1" x14ac:dyDescent="0.25">
      <c r="A30" s="53" t="s">
        <v>105</v>
      </c>
      <c r="B30" s="54">
        <v>134.33000000000001</v>
      </c>
      <c r="C30" s="54">
        <v>57.27</v>
      </c>
      <c r="D30" s="54">
        <v>136.27000000000001</v>
      </c>
      <c r="E30" s="54">
        <v>11.33</v>
      </c>
      <c r="F30" s="54">
        <v>2.13</v>
      </c>
      <c r="G30" s="54">
        <v>242.04</v>
      </c>
      <c r="H30" s="54">
        <v>65.25</v>
      </c>
      <c r="I30" s="55" t="s">
        <v>15</v>
      </c>
      <c r="J30" s="54">
        <v>2.9</v>
      </c>
      <c r="K30" s="54">
        <v>84.21</v>
      </c>
      <c r="L30" s="54">
        <v>15.13</v>
      </c>
      <c r="M30" s="54">
        <v>45.19</v>
      </c>
      <c r="N30" s="54">
        <v>146.80000000000001</v>
      </c>
      <c r="O30" s="54">
        <v>0</v>
      </c>
      <c r="P30" s="54">
        <v>2.39</v>
      </c>
      <c r="Q30" s="54">
        <v>10.27</v>
      </c>
      <c r="R30" s="43"/>
      <c r="S30" s="43"/>
      <c r="T30" s="43"/>
      <c r="U30" s="43"/>
    </row>
    <row r="31" spans="1:21" s="11" customFormat="1" x14ac:dyDescent="0.25">
      <c r="A31" s="53" t="s">
        <v>106</v>
      </c>
      <c r="B31" s="54">
        <v>126.41</v>
      </c>
      <c r="C31" s="54">
        <v>52.79</v>
      </c>
      <c r="D31" s="54">
        <v>127.57</v>
      </c>
      <c r="E31" s="54">
        <v>8.85</v>
      </c>
      <c r="F31" s="54">
        <v>2.13</v>
      </c>
      <c r="G31" s="54">
        <v>141.53</v>
      </c>
      <c r="H31" s="54">
        <v>52.84</v>
      </c>
      <c r="I31" s="55" t="s">
        <v>15</v>
      </c>
      <c r="J31" s="54">
        <v>2.0699999999999998</v>
      </c>
      <c r="K31" s="54">
        <v>74.599999999999994</v>
      </c>
      <c r="L31" s="54">
        <v>14.75</v>
      </c>
      <c r="M31" s="54">
        <v>43.12</v>
      </c>
      <c r="N31" s="54">
        <v>146.69999999999999</v>
      </c>
      <c r="O31" s="54">
        <v>0</v>
      </c>
      <c r="P31" s="54">
        <v>2.23</v>
      </c>
      <c r="Q31" s="54">
        <v>10.23</v>
      </c>
      <c r="R31" s="43"/>
      <c r="S31" s="43"/>
      <c r="T31" s="43"/>
      <c r="U31" s="43"/>
    </row>
    <row r="32" spans="1:21" s="11" customFormat="1" x14ac:dyDescent="0.25">
      <c r="A32" s="53" t="s">
        <v>107</v>
      </c>
      <c r="B32" s="54">
        <v>112.27</v>
      </c>
      <c r="C32" s="54">
        <v>49.46</v>
      </c>
      <c r="D32" s="54">
        <v>114.49</v>
      </c>
      <c r="E32" s="54">
        <v>7.9</v>
      </c>
      <c r="F32" s="54">
        <v>2.13</v>
      </c>
      <c r="G32" s="54">
        <v>101.65</v>
      </c>
      <c r="H32" s="54">
        <v>45.07</v>
      </c>
      <c r="I32" s="55" t="s">
        <v>15</v>
      </c>
      <c r="J32" s="54">
        <v>2.02</v>
      </c>
      <c r="K32" s="54">
        <v>339.17</v>
      </c>
      <c r="L32" s="54">
        <v>14.38</v>
      </c>
      <c r="M32" s="54">
        <v>45.36</v>
      </c>
      <c r="N32" s="54">
        <v>147.30000000000001</v>
      </c>
      <c r="O32" s="54">
        <v>0</v>
      </c>
      <c r="P32" s="54">
        <v>2.1</v>
      </c>
      <c r="Q32" s="54">
        <v>10.09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5.56</v>
      </c>
      <c r="C34" s="28">
        <f t="shared" si="0"/>
        <v>38.93</v>
      </c>
      <c r="D34" s="28">
        <f t="shared" si="0"/>
        <v>35.49</v>
      </c>
      <c r="E34" s="28">
        <f t="shared" si="0"/>
        <v>4.7699999999999996</v>
      </c>
      <c r="F34" s="28">
        <f t="shared" si="0"/>
        <v>2.13</v>
      </c>
      <c r="G34" s="28">
        <f t="shared" si="0"/>
        <v>47.99</v>
      </c>
      <c r="H34" s="28">
        <f t="shared" si="0"/>
        <v>3</v>
      </c>
      <c r="I34" s="28">
        <f t="shared" si="0"/>
        <v>0</v>
      </c>
      <c r="J34" s="28">
        <f t="shared" si="0"/>
        <v>1.52</v>
      </c>
      <c r="K34" s="28">
        <f t="shared" si="0"/>
        <v>74.599999999999994</v>
      </c>
      <c r="L34" s="28">
        <f t="shared" si="0"/>
        <v>9.4</v>
      </c>
      <c r="M34" s="28">
        <f t="shared" si="0"/>
        <v>25.81</v>
      </c>
      <c r="N34" s="28">
        <f t="shared" si="0"/>
        <v>98.2</v>
      </c>
      <c r="O34" s="28">
        <f t="shared" si="0"/>
        <v>0</v>
      </c>
      <c r="P34" s="28">
        <f t="shared" si="0"/>
        <v>0.7</v>
      </c>
      <c r="Q34" s="28">
        <f t="shared" si="0"/>
        <v>8.2100000000000009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134.33000000000001</v>
      </c>
      <c r="C35" s="29">
        <f t="shared" si="1"/>
        <v>74.67</v>
      </c>
      <c r="D35" s="29">
        <f t="shared" si="1"/>
        <v>136.27000000000001</v>
      </c>
      <c r="E35" s="29">
        <f t="shared" si="1"/>
        <v>12.13</v>
      </c>
      <c r="F35" s="29">
        <f t="shared" si="1"/>
        <v>5</v>
      </c>
      <c r="G35" s="29">
        <f t="shared" si="1"/>
        <v>242.04</v>
      </c>
      <c r="H35" s="29">
        <f t="shared" si="1"/>
        <v>65.25</v>
      </c>
      <c r="I35" s="29">
        <f t="shared" si="1"/>
        <v>0</v>
      </c>
      <c r="J35" s="29">
        <f t="shared" si="1"/>
        <v>3.75</v>
      </c>
      <c r="K35" s="29">
        <f t="shared" si="1"/>
        <v>352.45</v>
      </c>
      <c r="L35" s="29">
        <f t="shared" si="1"/>
        <v>25.87</v>
      </c>
      <c r="M35" s="29">
        <f t="shared" si="1"/>
        <v>97.47</v>
      </c>
      <c r="N35" s="29">
        <f t="shared" si="1"/>
        <v>783.5</v>
      </c>
      <c r="O35" s="29">
        <f t="shared" si="1"/>
        <v>0</v>
      </c>
      <c r="P35" s="29">
        <f t="shared" si="1"/>
        <v>2.39</v>
      </c>
      <c r="Q35" s="29">
        <f t="shared" si="1"/>
        <v>10.31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66.33208333333333</v>
      </c>
      <c r="C36" s="28">
        <f t="shared" si="2"/>
        <v>54.432083333333331</v>
      </c>
      <c r="D36" s="28">
        <f t="shared" si="2"/>
        <v>79.375833333333333</v>
      </c>
      <c r="E36" s="28">
        <f t="shared" si="2"/>
        <v>7.5487500000000018</v>
      </c>
      <c r="F36" s="28">
        <f t="shared" si="2"/>
        <v>2.2904166666666672</v>
      </c>
      <c r="G36" s="28">
        <f t="shared" si="2"/>
        <v>117.36250000000001</v>
      </c>
      <c r="H36" s="28">
        <f t="shared" si="2"/>
        <v>39.532500000000006</v>
      </c>
      <c r="I36" s="28" t="e">
        <f t="shared" si="2"/>
        <v>#DIV/0!</v>
      </c>
      <c r="J36" s="28">
        <f t="shared" si="2"/>
        <v>2.6012499999999998</v>
      </c>
      <c r="K36" s="28">
        <f t="shared" si="2"/>
        <v>300.32249999999999</v>
      </c>
      <c r="L36" s="28">
        <f t="shared" si="2"/>
        <v>16.853333333333335</v>
      </c>
      <c r="M36" s="28">
        <f t="shared" si="2"/>
        <v>58.461666666666673</v>
      </c>
      <c r="N36" s="28">
        <f t="shared" si="2"/>
        <v>296.90416666666675</v>
      </c>
      <c r="O36" s="28">
        <f t="shared" si="2"/>
        <v>0</v>
      </c>
      <c r="P36" s="28">
        <f t="shared" si="2"/>
        <v>1.3412499999999998</v>
      </c>
      <c r="Q36" s="28">
        <f t="shared" si="2"/>
        <v>9.2562500000000014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48.098129131035819</v>
      </c>
      <c r="C37" s="28">
        <f t="shared" ref="C37:Q37" si="3">STDEV(C9:C32)</f>
        <v>11.637791878996678</v>
      </c>
      <c r="D37" s="28">
        <f t="shared" si="3"/>
        <v>36.183278376315911</v>
      </c>
      <c r="E37" s="28">
        <f t="shared" si="3"/>
        <v>1.9915240231497537</v>
      </c>
      <c r="F37" s="28">
        <f t="shared" si="3"/>
        <v>0.59153065389103221</v>
      </c>
      <c r="G37" s="28">
        <f t="shared" si="3"/>
        <v>60.387785710716983</v>
      </c>
      <c r="H37" s="28">
        <f t="shared" si="3"/>
        <v>16.961856248397567</v>
      </c>
      <c r="I37" s="28" t="e">
        <f t="shared" si="3"/>
        <v>#DIV/0!</v>
      </c>
      <c r="J37" s="28">
        <f t="shared" si="3"/>
        <v>0.58373097213192915</v>
      </c>
      <c r="K37" s="28">
        <f t="shared" si="3"/>
        <v>90.965499014019443</v>
      </c>
      <c r="L37" s="28">
        <f t="shared" si="3"/>
        <v>6.0975844587741452</v>
      </c>
      <c r="M37" s="28">
        <f t="shared" si="3"/>
        <v>26.077085170978954</v>
      </c>
      <c r="N37" s="28">
        <f t="shared" si="3"/>
        <v>251.5162013610682</v>
      </c>
      <c r="O37" s="28">
        <f t="shared" si="3"/>
        <v>0</v>
      </c>
      <c r="P37" s="28">
        <f t="shared" si="3"/>
        <v>0.58345531850832644</v>
      </c>
      <c r="Q37" s="28">
        <f t="shared" si="3"/>
        <v>0.89493168308609095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0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&lt;90%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LESS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7" sqref="G47"/>
    </sheetView>
  </sheetViews>
  <sheetFormatPr defaultColWidth="8.85546875" defaultRowHeight="15" x14ac:dyDescent="0.25"/>
  <cols>
    <col min="1" max="1" width="18.28515625" style="26" customWidth="1"/>
    <col min="2" max="2" width="13.285156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03/01/2025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3" t="s">
        <v>108</v>
      </c>
      <c r="B9" s="54">
        <v>96.43</v>
      </c>
      <c r="C9" s="54">
        <v>47.6</v>
      </c>
      <c r="D9" s="54">
        <v>100.82</v>
      </c>
      <c r="E9" s="54">
        <v>6.63</v>
      </c>
      <c r="F9" s="54">
        <v>2.13</v>
      </c>
      <c r="G9" s="54">
        <v>79.14</v>
      </c>
      <c r="H9" s="54">
        <v>45.07</v>
      </c>
      <c r="I9" s="55" t="s">
        <v>15</v>
      </c>
      <c r="J9" s="54">
        <v>2.42</v>
      </c>
      <c r="K9" s="54">
        <v>311.14</v>
      </c>
      <c r="L9" s="54">
        <v>13.26</v>
      </c>
      <c r="M9" s="54">
        <v>53.52</v>
      </c>
      <c r="N9" s="54">
        <v>147.30000000000001</v>
      </c>
      <c r="O9" s="54">
        <v>0</v>
      </c>
      <c r="P9" s="54">
        <v>1.96</v>
      </c>
      <c r="Q9" s="54">
        <v>9.93</v>
      </c>
      <c r="R9" s="43"/>
      <c r="S9" s="43"/>
      <c r="T9" s="43"/>
      <c r="U9" s="43"/>
    </row>
    <row r="10" spans="1:21" s="11" customFormat="1" x14ac:dyDescent="0.25">
      <c r="A10" s="53" t="s">
        <v>109</v>
      </c>
      <c r="B10" s="54">
        <v>77.849999999999994</v>
      </c>
      <c r="C10" s="54">
        <v>46.86</v>
      </c>
      <c r="D10" s="54">
        <v>85.51</v>
      </c>
      <c r="E10" s="54">
        <v>5.99</v>
      </c>
      <c r="F10" s="54">
        <v>2.13</v>
      </c>
      <c r="G10" s="54">
        <v>72.22</v>
      </c>
      <c r="H10" s="54">
        <v>33.25</v>
      </c>
      <c r="I10" s="55" t="s">
        <v>15</v>
      </c>
      <c r="J10" s="54">
        <v>1.79</v>
      </c>
      <c r="K10" s="54">
        <v>344.76</v>
      </c>
      <c r="L10" s="54">
        <v>13.27</v>
      </c>
      <c r="M10" s="54">
        <v>44.91</v>
      </c>
      <c r="N10" s="54">
        <v>148.19999999999999</v>
      </c>
      <c r="O10" s="54">
        <v>0</v>
      </c>
      <c r="P10" s="54">
        <v>1.5</v>
      </c>
      <c r="Q10" s="54">
        <v>9.7899999999999991</v>
      </c>
      <c r="R10" s="43"/>
      <c r="S10" s="43"/>
      <c r="T10" s="43"/>
      <c r="U10" s="43"/>
    </row>
    <row r="11" spans="1:21" s="11" customFormat="1" x14ac:dyDescent="0.25">
      <c r="A11" s="53" t="s">
        <v>110</v>
      </c>
      <c r="B11" s="54">
        <v>62.03</v>
      </c>
      <c r="C11" s="54">
        <v>44.17</v>
      </c>
      <c r="D11" s="54">
        <v>71.45</v>
      </c>
      <c r="E11" s="54">
        <v>5.51</v>
      </c>
      <c r="F11" s="54">
        <v>2.13</v>
      </c>
      <c r="G11" s="54">
        <v>53.15</v>
      </c>
      <c r="H11" s="54">
        <v>13.68</v>
      </c>
      <c r="I11" s="55" t="s">
        <v>15</v>
      </c>
      <c r="J11" s="54">
        <v>2.76</v>
      </c>
      <c r="K11" s="54">
        <v>306.17</v>
      </c>
      <c r="L11" s="54">
        <v>12.3</v>
      </c>
      <c r="M11" s="54">
        <v>55.79</v>
      </c>
      <c r="N11" s="54">
        <v>148.6</v>
      </c>
      <c r="O11" s="54">
        <v>0</v>
      </c>
      <c r="P11" s="54">
        <v>1.26</v>
      </c>
      <c r="Q11" s="54">
        <v>9.67</v>
      </c>
      <c r="R11" s="43"/>
      <c r="S11" s="43"/>
      <c r="T11" s="43"/>
      <c r="U11" s="43"/>
    </row>
    <row r="12" spans="1:21" s="11" customFormat="1" x14ac:dyDescent="0.25">
      <c r="A12" s="53" t="s">
        <v>111</v>
      </c>
      <c r="B12" s="54">
        <v>51.67</v>
      </c>
      <c r="C12" s="54">
        <v>41.9</v>
      </c>
      <c r="D12" s="54">
        <v>61.95</v>
      </c>
      <c r="E12" s="54">
        <v>5.26</v>
      </c>
      <c r="F12" s="54">
        <v>2.13</v>
      </c>
      <c r="G12" s="54">
        <v>77.23</v>
      </c>
      <c r="H12" s="54">
        <v>13.68</v>
      </c>
      <c r="I12" s="55" t="s">
        <v>15</v>
      </c>
      <c r="J12" s="54">
        <v>2.72</v>
      </c>
      <c r="K12" s="54">
        <v>357.18</v>
      </c>
      <c r="L12" s="54">
        <v>10.89</v>
      </c>
      <c r="M12" s="54">
        <v>61.58</v>
      </c>
      <c r="N12" s="54">
        <v>147.80000000000001</v>
      </c>
      <c r="O12" s="54">
        <v>0</v>
      </c>
      <c r="P12" s="54">
        <v>1.07</v>
      </c>
      <c r="Q12" s="54">
        <v>9.52</v>
      </c>
      <c r="R12" s="43"/>
      <c r="S12" s="43"/>
      <c r="T12" s="43"/>
      <c r="U12" s="43"/>
    </row>
    <row r="13" spans="1:21" s="11" customFormat="1" x14ac:dyDescent="0.25">
      <c r="A13" s="53" t="s">
        <v>112</v>
      </c>
      <c r="B13" s="54">
        <v>44.81</v>
      </c>
      <c r="C13" s="54">
        <v>41.4</v>
      </c>
      <c r="D13" s="54">
        <v>55.86</v>
      </c>
      <c r="E13" s="54">
        <v>5.1100000000000003</v>
      </c>
      <c r="F13" s="54">
        <v>2.13</v>
      </c>
      <c r="G13" s="54">
        <v>77.23</v>
      </c>
      <c r="H13" s="54">
        <v>14.61</v>
      </c>
      <c r="I13" s="55" t="s">
        <v>15</v>
      </c>
      <c r="J13" s="54">
        <v>2.9</v>
      </c>
      <c r="K13" s="54">
        <v>320.5</v>
      </c>
      <c r="L13" s="54">
        <v>10.64</v>
      </c>
      <c r="M13" s="54">
        <v>63.88</v>
      </c>
      <c r="N13" s="54">
        <v>148.19999999999999</v>
      </c>
      <c r="O13" s="54">
        <v>0</v>
      </c>
      <c r="P13" s="54">
        <v>0.92</v>
      </c>
      <c r="Q13" s="54">
        <v>8.7799999999999994</v>
      </c>
      <c r="R13" s="43"/>
      <c r="S13" s="43"/>
      <c r="T13" s="43"/>
      <c r="U13" s="43"/>
    </row>
    <row r="14" spans="1:21" s="11" customFormat="1" x14ac:dyDescent="0.25">
      <c r="A14" s="53" t="s">
        <v>113</v>
      </c>
      <c r="B14" s="54">
        <v>50.99</v>
      </c>
      <c r="C14" s="54">
        <v>42.94</v>
      </c>
      <c r="D14" s="54">
        <v>61.65</v>
      </c>
      <c r="E14" s="54">
        <v>5.5</v>
      </c>
      <c r="F14" s="54">
        <v>2.13</v>
      </c>
      <c r="G14" s="54">
        <v>88.26</v>
      </c>
      <c r="H14" s="54">
        <v>150.13999999999999</v>
      </c>
      <c r="I14" s="55" t="s">
        <v>15</v>
      </c>
      <c r="J14" s="54">
        <v>2.92</v>
      </c>
      <c r="K14" s="54">
        <v>328.62</v>
      </c>
      <c r="L14" s="54">
        <v>9.42</v>
      </c>
      <c r="M14" s="54">
        <v>94.7</v>
      </c>
      <c r="N14" s="54">
        <v>149</v>
      </c>
      <c r="O14" s="54">
        <v>0</v>
      </c>
      <c r="P14" s="54">
        <v>0.78</v>
      </c>
      <c r="Q14" s="54">
        <v>9.19</v>
      </c>
      <c r="R14" s="43"/>
      <c r="S14" s="43"/>
      <c r="T14" s="43"/>
      <c r="U14" s="43"/>
    </row>
    <row r="15" spans="1:21" s="11" customFormat="1" x14ac:dyDescent="0.25">
      <c r="A15" s="53" t="s">
        <v>114</v>
      </c>
      <c r="B15" s="54">
        <v>64.69</v>
      </c>
      <c r="C15" s="54">
        <v>41.34</v>
      </c>
      <c r="D15" s="54">
        <v>71.739999999999995</v>
      </c>
      <c r="E15" s="54">
        <v>6.59</v>
      </c>
      <c r="F15" s="54">
        <v>2.13</v>
      </c>
      <c r="G15" s="54">
        <v>103.14</v>
      </c>
      <c r="H15" s="54">
        <v>150.13999999999999</v>
      </c>
      <c r="I15" s="55" t="s">
        <v>15</v>
      </c>
      <c r="J15" s="54">
        <v>2.92</v>
      </c>
      <c r="K15" s="54">
        <v>357.36</v>
      </c>
      <c r="L15" s="54">
        <v>8.5299999999999994</v>
      </c>
      <c r="M15" s="54">
        <v>93.81</v>
      </c>
      <c r="N15" s="54">
        <v>160.1</v>
      </c>
      <c r="O15" s="54">
        <v>0</v>
      </c>
      <c r="P15" s="54">
        <v>0.77</v>
      </c>
      <c r="Q15" s="54">
        <v>9.76</v>
      </c>
      <c r="R15" s="43"/>
      <c r="S15" s="43"/>
      <c r="T15" s="43"/>
      <c r="U15" s="43"/>
    </row>
    <row r="16" spans="1:21" s="11" customFormat="1" x14ac:dyDescent="0.25">
      <c r="A16" s="53" t="s">
        <v>115</v>
      </c>
      <c r="B16" s="54">
        <v>76.64</v>
      </c>
      <c r="C16" s="54">
        <v>40.49</v>
      </c>
      <c r="D16" s="54">
        <v>81.12</v>
      </c>
      <c r="E16" s="54">
        <v>6.55</v>
      </c>
      <c r="F16" s="54">
        <v>2.13</v>
      </c>
      <c r="G16" s="54">
        <v>103.14</v>
      </c>
      <c r="H16" s="54">
        <v>37.79</v>
      </c>
      <c r="I16" s="55" t="s">
        <v>15</v>
      </c>
      <c r="J16" s="54">
        <v>4.32</v>
      </c>
      <c r="K16" s="54">
        <v>328.18</v>
      </c>
      <c r="L16" s="54">
        <v>12.01</v>
      </c>
      <c r="M16" s="54">
        <v>77.459999999999994</v>
      </c>
      <c r="N16" s="54">
        <v>352.9</v>
      </c>
      <c r="O16" s="54">
        <v>0</v>
      </c>
      <c r="P16" s="54">
        <v>0.93</v>
      </c>
      <c r="Q16" s="54">
        <v>9.86</v>
      </c>
      <c r="R16" s="43"/>
      <c r="S16" s="43"/>
      <c r="T16" s="43"/>
      <c r="U16" s="43"/>
    </row>
    <row r="17" spans="1:21" s="11" customFormat="1" x14ac:dyDescent="0.25">
      <c r="A17" s="53" t="s">
        <v>116</v>
      </c>
      <c r="B17" s="54">
        <v>72.78</v>
      </c>
      <c r="C17" s="54">
        <v>42.41</v>
      </c>
      <c r="D17" s="54">
        <v>77.92</v>
      </c>
      <c r="E17" s="54">
        <v>6.9</v>
      </c>
      <c r="F17" s="54">
        <v>2.13</v>
      </c>
      <c r="G17" s="54">
        <v>98.26</v>
      </c>
      <c r="H17" s="54">
        <v>0.76</v>
      </c>
      <c r="I17" s="55" t="s">
        <v>15</v>
      </c>
      <c r="J17" s="54">
        <v>2.36</v>
      </c>
      <c r="K17" s="54">
        <v>131.16999999999999</v>
      </c>
      <c r="L17" s="54">
        <v>18.03</v>
      </c>
      <c r="M17" s="54">
        <v>48.7</v>
      </c>
      <c r="N17" s="54">
        <v>602.29999999999995</v>
      </c>
      <c r="O17" s="54">
        <v>0</v>
      </c>
      <c r="P17" s="54">
        <v>0.89</v>
      </c>
      <c r="Q17" s="54">
        <v>9.83</v>
      </c>
      <c r="R17" s="43"/>
      <c r="S17" s="43"/>
      <c r="T17" s="43"/>
      <c r="U17" s="43"/>
    </row>
    <row r="18" spans="1:21" s="11" customFormat="1" x14ac:dyDescent="0.25">
      <c r="A18" s="53" t="s">
        <v>117</v>
      </c>
      <c r="B18" s="54">
        <v>59.86</v>
      </c>
      <c r="C18" s="54">
        <v>48.07</v>
      </c>
      <c r="D18" s="54">
        <v>69.37</v>
      </c>
      <c r="E18" s="54">
        <v>6.01</v>
      </c>
      <c r="F18" s="54">
        <v>2.13</v>
      </c>
      <c r="G18" s="54">
        <v>76.349999999999994</v>
      </c>
      <c r="H18" s="54">
        <v>59.39</v>
      </c>
      <c r="I18" s="55" t="s">
        <v>15</v>
      </c>
      <c r="J18" s="54">
        <v>1.58</v>
      </c>
      <c r="K18" s="54">
        <v>141.33000000000001</v>
      </c>
      <c r="L18" s="54">
        <v>20.81</v>
      </c>
      <c r="M18" s="54">
        <v>36.130000000000003</v>
      </c>
      <c r="N18" s="54">
        <v>707.3</v>
      </c>
      <c r="O18" s="54">
        <v>0</v>
      </c>
      <c r="P18" s="54">
        <v>0.84</v>
      </c>
      <c r="Q18" s="54">
        <v>9.68</v>
      </c>
      <c r="R18" s="43"/>
      <c r="S18" s="43"/>
      <c r="T18" s="43"/>
      <c r="U18" s="43"/>
    </row>
    <row r="19" spans="1:21" s="11" customFormat="1" x14ac:dyDescent="0.25">
      <c r="A19" s="53" t="s">
        <v>118</v>
      </c>
      <c r="B19" s="54">
        <v>50.02</v>
      </c>
      <c r="C19" s="54">
        <v>51.71</v>
      </c>
      <c r="D19" s="54">
        <v>64.680000000000007</v>
      </c>
      <c r="E19" s="54">
        <v>5.71</v>
      </c>
      <c r="F19" s="54">
        <v>2.13</v>
      </c>
      <c r="G19" s="54">
        <v>76.349999999999994</v>
      </c>
      <c r="H19" s="54">
        <v>59.39</v>
      </c>
      <c r="I19" s="55" t="s">
        <v>15</v>
      </c>
      <c r="J19" s="54">
        <v>1.75</v>
      </c>
      <c r="K19" s="54">
        <v>353.33</v>
      </c>
      <c r="L19" s="54">
        <v>26.68</v>
      </c>
      <c r="M19" s="54">
        <v>27.08</v>
      </c>
      <c r="N19" s="54">
        <v>733.1</v>
      </c>
      <c r="O19" s="54">
        <v>0</v>
      </c>
      <c r="P19" s="54">
        <v>0.8</v>
      </c>
      <c r="Q19" s="54">
        <v>9.73</v>
      </c>
      <c r="R19" s="43"/>
      <c r="S19" s="43"/>
      <c r="T19" s="43"/>
      <c r="U19" s="43"/>
    </row>
    <row r="20" spans="1:21" s="11" customFormat="1" x14ac:dyDescent="0.25">
      <c r="A20" s="53" t="s">
        <v>119</v>
      </c>
      <c r="B20" s="54">
        <v>44.3</v>
      </c>
      <c r="C20" s="54">
        <v>54.07</v>
      </c>
      <c r="D20" s="54">
        <v>61.59</v>
      </c>
      <c r="E20" s="54">
        <v>6.04</v>
      </c>
      <c r="F20" s="54">
        <v>2.13</v>
      </c>
      <c r="G20" s="54">
        <v>65.3</v>
      </c>
      <c r="H20" s="54">
        <v>23.54</v>
      </c>
      <c r="I20" s="55" t="s">
        <v>15</v>
      </c>
      <c r="J20" s="54">
        <v>1.53</v>
      </c>
      <c r="K20" s="54">
        <v>335.28</v>
      </c>
      <c r="L20" s="54">
        <v>27.98</v>
      </c>
      <c r="M20" s="54">
        <v>20.87</v>
      </c>
      <c r="N20" s="54">
        <v>750.4</v>
      </c>
      <c r="O20" s="54">
        <v>0</v>
      </c>
      <c r="P20" s="54">
        <v>0.78</v>
      </c>
      <c r="Q20" s="54">
        <v>9.75</v>
      </c>
      <c r="R20" s="43"/>
      <c r="S20" s="43"/>
      <c r="T20" s="43"/>
      <c r="U20" s="43"/>
    </row>
    <row r="21" spans="1:21" s="11" customFormat="1" x14ac:dyDescent="0.25">
      <c r="A21" s="53" t="s">
        <v>120</v>
      </c>
      <c r="B21" s="54">
        <v>37.909999999999997</v>
      </c>
      <c r="C21" s="54">
        <v>57.07</v>
      </c>
      <c r="D21" s="54">
        <v>57.38</v>
      </c>
      <c r="E21" s="54">
        <v>6.55</v>
      </c>
      <c r="F21" s="54">
        <v>2.13</v>
      </c>
      <c r="G21" s="54">
        <v>94.18</v>
      </c>
      <c r="H21" s="54">
        <v>34.799999999999997</v>
      </c>
      <c r="I21" s="55" t="s">
        <v>15</v>
      </c>
      <c r="J21" s="54">
        <v>1.23</v>
      </c>
      <c r="K21" s="54">
        <v>351.14</v>
      </c>
      <c r="L21" s="54">
        <v>26.89</v>
      </c>
      <c r="M21" s="54">
        <v>25.31</v>
      </c>
      <c r="N21" s="54">
        <v>689.2</v>
      </c>
      <c r="O21" s="54">
        <v>0</v>
      </c>
      <c r="P21" s="54">
        <v>0.79</v>
      </c>
      <c r="Q21" s="54">
        <v>9.34</v>
      </c>
      <c r="R21" s="43"/>
      <c r="S21" s="43"/>
      <c r="T21" s="43"/>
      <c r="U21" s="43"/>
    </row>
    <row r="22" spans="1:21" s="11" customFormat="1" x14ac:dyDescent="0.25">
      <c r="A22" s="53" t="s">
        <v>121</v>
      </c>
      <c r="B22" s="54">
        <v>30.05</v>
      </c>
      <c r="C22" s="54">
        <v>62.26</v>
      </c>
      <c r="D22" s="54">
        <v>53.56</v>
      </c>
      <c r="E22" s="54">
        <v>6.28</v>
      </c>
      <c r="F22" s="54">
        <v>2.13</v>
      </c>
      <c r="G22" s="54">
        <v>106.87</v>
      </c>
      <c r="H22" s="54">
        <v>34.799999999999997</v>
      </c>
      <c r="I22" s="55" t="s">
        <v>15</v>
      </c>
      <c r="J22" s="54">
        <v>1.89</v>
      </c>
      <c r="K22" s="54">
        <v>340.68</v>
      </c>
      <c r="L22" s="54">
        <v>26.39</v>
      </c>
      <c r="M22" s="54">
        <v>22.23</v>
      </c>
      <c r="N22" s="54">
        <v>604.70000000000005</v>
      </c>
      <c r="O22" s="54">
        <v>0</v>
      </c>
      <c r="P22" s="54">
        <v>0.77</v>
      </c>
      <c r="Q22" s="54">
        <v>8.92</v>
      </c>
      <c r="R22" s="43"/>
      <c r="S22" s="43"/>
      <c r="T22" s="43"/>
      <c r="U22" s="43"/>
    </row>
    <row r="23" spans="1:21" s="11" customFormat="1" x14ac:dyDescent="0.25">
      <c r="A23" s="53" t="s">
        <v>122</v>
      </c>
      <c r="B23" s="54">
        <v>19.93</v>
      </c>
      <c r="C23" s="54">
        <v>62.04</v>
      </c>
      <c r="D23" s="54">
        <v>47</v>
      </c>
      <c r="E23" s="54">
        <v>5.59</v>
      </c>
      <c r="F23" s="54">
        <v>2.13</v>
      </c>
      <c r="G23" s="54">
        <v>106.87</v>
      </c>
      <c r="H23" s="54">
        <v>26.98</v>
      </c>
      <c r="I23" s="55" t="s">
        <v>15</v>
      </c>
      <c r="J23" s="54">
        <v>1.99</v>
      </c>
      <c r="K23" s="54">
        <v>341.76</v>
      </c>
      <c r="L23" s="54">
        <v>26.27</v>
      </c>
      <c r="M23" s="54">
        <v>21.33</v>
      </c>
      <c r="N23" s="54">
        <v>415.6</v>
      </c>
      <c r="O23" s="54">
        <v>0</v>
      </c>
      <c r="P23" s="54">
        <v>0.74</v>
      </c>
      <c r="Q23" s="54">
        <v>8.41</v>
      </c>
      <c r="R23" s="43"/>
      <c r="S23" s="43"/>
      <c r="T23" s="43"/>
      <c r="U23" s="43"/>
    </row>
    <row r="24" spans="1:21" s="11" customFormat="1" x14ac:dyDescent="0.25">
      <c r="A24" s="53" t="s">
        <v>123</v>
      </c>
      <c r="B24" s="54">
        <v>16.62</v>
      </c>
      <c r="C24" s="54">
        <v>59.32</v>
      </c>
      <c r="D24" s="54">
        <v>42.51</v>
      </c>
      <c r="E24" s="54">
        <v>5.9</v>
      </c>
      <c r="F24" s="54">
        <v>2.13</v>
      </c>
      <c r="G24" s="54">
        <v>73.58</v>
      </c>
      <c r="H24" s="54">
        <v>25.04</v>
      </c>
      <c r="I24" s="55" t="s">
        <v>15</v>
      </c>
      <c r="J24" s="54">
        <v>2.27</v>
      </c>
      <c r="K24" s="54">
        <v>352.72</v>
      </c>
      <c r="L24" s="54">
        <v>25.17</v>
      </c>
      <c r="M24" s="54">
        <v>21.52</v>
      </c>
      <c r="N24" s="54">
        <v>135.1</v>
      </c>
      <c r="O24" s="54">
        <v>0</v>
      </c>
      <c r="P24" s="54">
        <v>0.69</v>
      </c>
      <c r="Q24" s="54">
        <v>8.6999999999999993</v>
      </c>
      <c r="R24" s="43"/>
      <c r="S24" s="43"/>
      <c r="T24" s="43"/>
      <c r="U24" s="43"/>
    </row>
    <row r="25" spans="1:21" s="11" customFormat="1" x14ac:dyDescent="0.25">
      <c r="A25" s="53" t="s">
        <v>124</v>
      </c>
      <c r="B25" s="54">
        <v>18.43</v>
      </c>
      <c r="C25" s="54">
        <v>56.61</v>
      </c>
      <c r="D25" s="54">
        <v>42.98</v>
      </c>
      <c r="E25" s="54">
        <v>7.28</v>
      </c>
      <c r="F25" s="54">
        <v>2.13</v>
      </c>
      <c r="G25" s="54">
        <v>70.510000000000005</v>
      </c>
      <c r="H25" s="54">
        <v>19.96</v>
      </c>
      <c r="I25" s="55" t="s">
        <v>15</v>
      </c>
      <c r="J25" s="54">
        <v>1.88</v>
      </c>
      <c r="K25" s="54">
        <v>359.87</v>
      </c>
      <c r="L25" s="54">
        <v>22.95</v>
      </c>
      <c r="M25" s="54">
        <v>24.67</v>
      </c>
      <c r="N25" s="54">
        <v>92.6</v>
      </c>
      <c r="O25" s="54">
        <v>0</v>
      </c>
      <c r="P25" s="54">
        <v>0.72</v>
      </c>
      <c r="Q25" s="54">
        <v>9.14</v>
      </c>
      <c r="R25" s="43"/>
      <c r="S25" s="43"/>
      <c r="T25" s="43"/>
      <c r="U25" s="43"/>
    </row>
    <row r="26" spans="1:21" s="11" customFormat="1" x14ac:dyDescent="0.25">
      <c r="A26" s="53" t="s">
        <v>125</v>
      </c>
      <c r="B26" s="54">
        <v>29.56</v>
      </c>
      <c r="C26" s="54">
        <v>59.3</v>
      </c>
      <c r="D26" s="54">
        <v>53.31</v>
      </c>
      <c r="E26" s="54">
        <v>7.37</v>
      </c>
      <c r="F26" s="54">
        <v>2.13</v>
      </c>
      <c r="G26" s="54">
        <v>79.03</v>
      </c>
      <c r="H26" s="54">
        <v>23.7</v>
      </c>
      <c r="I26" s="55" t="s">
        <v>15</v>
      </c>
      <c r="J26" s="54">
        <v>0.88</v>
      </c>
      <c r="K26" s="54">
        <v>356.5</v>
      </c>
      <c r="L26" s="54">
        <v>21.1</v>
      </c>
      <c r="M26" s="54">
        <v>41.91</v>
      </c>
      <c r="N26" s="54">
        <v>67</v>
      </c>
      <c r="O26" s="54">
        <v>0</v>
      </c>
      <c r="P26" s="54">
        <v>0.87</v>
      </c>
      <c r="Q26" s="54">
        <v>9.59</v>
      </c>
      <c r="R26" s="43"/>
      <c r="S26" s="43"/>
      <c r="T26" s="43"/>
      <c r="U26" s="43"/>
    </row>
    <row r="27" spans="1:21" s="11" customFormat="1" x14ac:dyDescent="0.25">
      <c r="A27" s="53" t="s">
        <v>126</v>
      </c>
      <c r="B27" s="54">
        <v>61.33</v>
      </c>
      <c r="C27" s="54">
        <v>60.61</v>
      </c>
      <c r="D27" s="54">
        <v>78.89</v>
      </c>
      <c r="E27" s="54">
        <v>7.97</v>
      </c>
      <c r="F27" s="54">
        <v>2.13</v>
      </c>
      <c r="G27" s="54">
        <v>170.53</v>
      </c>
      <c r="H27" s="54">
        <v>28.9</v>
      </c>
      <c r="I27" s="55" t="s">
        <v>15</v>
      </c>
      <c r="J27" s="54">
        <v>0.94</v>
      </c>
      <c r="K27" s="54">
        <v>296.94</v>
      </c>
      <c r="L27" s="54">
        <v>17.02</v>
      </c>
      <c r="M27" s="54">
        <v>52.69</v>
      </c>
      <c r="N27" s="54">
        <v>54.2</v>
      </c>
      <c r="O27" s="54">
        <v>0</v>
      </c>
      <c r="P27" s="54">
        <v>1.5</v>
      </c>
      <c r="Q27" s="54">
        <v>9.83</v>
      </c>
      <c r="R27" s="43"/>
      <c r="S27" s="43"/>
      <c r="T27" s="43"/>
      <c r="U27" s="43"/>
    </row>
    <row r="28" spans="1:21" s="11" customFormat="1" x14ac:dyDescent="0.25">
      <c r="A28" s="53" t="s">
        <v>127</v>
      </c>
      <c r="B28" s="54">
        <v>95.61</v>
      </c>
      <c r="C28" s="54">
        <v>59.26</v>
      </c>
      <c r="D28" s="54">
        <v>104.82</v>
      </c>
      <c r="E28" s="54">
        <v>9.84</v>
      </c>
      <c r="F28" s="54">
        <v>2.13</v>
      </c>
      <c r="G28" s="54">
        <v>195.38</v>
      </c>
      <c r="H28" s="54">
        <v>38.72</v>
      </c>
      <c r="I28" s="55" t="s">
        <v>15</v>
      </c>
      <c r="J28" s="54">
        <v>0.43</v>
      </c>
      <c r="K28" s="54">
        <v>320.58999999999997</v>
      </c>
      <c r="L28" s="54">
        <v>15.34</v>
      </c>
      <c r="M28" s="54">
        <v>69.92</v>
      </c>
      <c r="N28" s="54">
        <v>53.8</v>
      </c>
      <c r="O28" s="54">
        <v>0</v>
      </c>
      <c r="P28" s="54">
        <v>1.86</v>
      </c>
      <c r="Q28" s="54">
        <v>10.11</v>
      </c>
      <c r="R28" s="43"/>
      <c r="S28" s="43"/>
      <c r="T28" s="43"/>
      <c r="U28" s="43"/>
    </row>
    <row r="29" spans="1:21" s="11" customFormat="1" x14ac:dyDescent="0.25">
      <c r="A29" s="53" t="s">
        <v>128</v>
      </c>
      <c r="B29" s="54">
        <v>139.24</v>
      </c>
      <c r="C29" s="54">
        <v>55.69</v>
      </c>
      <c r="D29" s="54">
        <v>138.84</v>
      </c>
      <c r="E29" s="54">
        <v>11.14</v>
      </c>
      <c r="F29" s="54">
        <v>2.13</v>
      </c>
      <c r="G29" s="54">
        <v>199.95</v>
      </c>
      <c r="H29" s="54">
        <v>49.08</v>
      </c>
      <c r="I29" s="55" t="s">
        <v>15</v>
      </c>
      <c r="J29" s="54">
        <v>0.92</v>
      </c>
      <c r="K29" s="54">
        <v>317.33999999999997</v>
      </c>
      <c r="L29" s="54">
        <v>14.26</v>
      </c>
      <c r="M29" s="54">
        <v>63.9</v>
      </c>
      <c r="N29" s="54">
        <v>53.9</v>
      </c>
      <c r="O29" s="54">
        <v>0</v>
      </c>
      <c r="P29" s="54">
        <v>1.95</v>
      </c>
      <c r="Q29" s="54">
        <v>10.38</v>
      </c>
      <c r="R29" s="43"/>
      <c r="S29" s="43"/>
      <c r="T29" s="43"/>
      <c r="U29" s="43"/>
    </row>
    <row r="30" spans="1:21" s="11" customFormat="1" x14ac:dyDescent="0.25">
      <c r="A30" s="53" t="s">
        <v>129</v>
      </c>
      <c r="B30" s="54">
        <v>168.65</v>
      </c>
      <c r="C30" s="54">
        <v>54.83</v>
      </c>
      <c r="D30" s="54">
        <v>161.97999999999999</v>
      </c>
      <c r="E30" s="54">
        <v>12.66</v>
      </c>
      <c r="F30" s="54">
        <v>2.13</v>
      </c>
      <c r="G30" s="54">
        <v>202.68</v>
      </c>
      <c r="H30" s="54">
        <v>51.39</v>
      </c>
      <c r="I30" s="55" t="s">
        <v>15</v>
      </c>
      <c r="J30" s="54">
        <v>0.97</v>
      </c>
      <c r="K30" s="54">
        <v>324.74</v>
      </c>
      <c r="L30" s="54">
        <v>13.93</v>
      </c>
      <c r="M30" s="54">
        <v>67.83</v>
      </c>
      <c r="N30" s="54">
        <v>54</v>
      </c>
      <c r="O30" s="54">
        <v>0</v>
      </c>
      <c r="P30" s="54">
        <v>2.12</v>
      </c>
      <c r="Q30" s="54">
        <v>10.46</v>
      </c>
      <c r="R30" s="43"/>
      <c r="S30" s="43"/>
      <c r="T30" s="43"/>
      <c r="U30" s="43"/>
    </row>
    <row r="31" spans="1:21" s="11" customFormat="1" x14ac:dyDescent="0.25">
      <c r="A31" s="53" t="s">
        <v>130</v>
      </c>
      <c r="B31" s="54">
        <v>200.77</v>
      </c>
      <c r="C31" s="54">
        <v>54.74</v>
      </c>
      <c r="D31" s="54">
        <v>186.94</v>
      </c>
      <c r="E31" s="54">
        <v>13</v>
      </c>
      <c r="F31" s="54">
        <v>2.13</v>
      </c>
      <c r="G31" s="54">
        <v>203.5</v>
      </c>
      <c r="H31" s="54">
        <v>54.72</v>
      </c>
      <c r="I31" s="55" t="s">
        <v>15</v>
      </c>
      <c r="J31" s="54">
        <v>0.92</v>
      </c>
      <c r="K31" s="54">
        <v>334.16</v>
      </c>
      <c r="L31" s="54">
        <v>12.77</v>
      </c>
      <c r="M31" s="54">
        <v>78.06</v>
      </c>
      <c r="N31" s="54">
        <v>54</v>
      </c>
      <c r="O31" s="54">
        <v>0</v>
      </c>
      <c r="P31" s="54">
        <v>2.3199999999999998</v>
      </c>
      <c r="Q31" s="54">
        <v>10.55</v>
      </c>
      <c r="R31" s="43"/>
      <c r="S31" s="43"/>
      <c r="T31" s="43"/>
      <c r="U31" s="43"/>
    </row>
    <row r="32" spans="1:21" s="11" customFormat="1" x14ac:dyDescent="0.25">
      <c r="A32" s="53" t="s">
        <v>131</v>
      </c>
      <c r="B32" s="54">
        <v>226.64</v>
      </c>
      <c r="C32" s="54">
        <v>52.96</v>
      </c>
      <c r="D32" s="54">
        <v>206.7</v>
      </c>
      <c r="E32" s="54">
        <v>13.14</v>
      </c>
      <c r="F32" s="54">
        <v>2.13</v>
      </c>
      <c r="G32" s="54">
        <v>224.96</v>
      </c>
      <c r="H32" s="54">
        <v>65.28</v>
      </c>
      <c r="I32" s="55" t="s">
        <v>15</v>
      </c>
      <c r="J32" s="54">
        <v>0.9</v>
      </c>
      <c r="K32" s="54">
        <v>315.01</v>
      </c>
      <c r="L32" s="54">
        <v>12.2</v>
      </c>
      <c r="M32" s="54">
        <v>84.38</v>
      </c>
      <c r="N32" s="54">
        <v>53.7</v>
      </c>
      <c r="O32" s="54">
        <v>0</v>
      </c>
      <c r="P32" s="54">
        <v>2.34</v>
      </c>
      <c r="Q32" s="54">
        <v>10.83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16.62</v>
      </c>
      <c r="C34" s="28">
        <f t="shared" si="0"/>
        <v>40.49</v>
      </c>
      <c r="D34" s="28">
        <f t="shared" si="0"/>
        <v>42.51</v>
      </c>
      <c r="E34" s="28">
        <f t="shared" si="0"/>
        <v>5.1100000000000003</v>
      </c>
      <c r="F34" s="28">
        <f t="shared" si="0"/>
        <v>2.13</v>
      </c>
      <c r="G34" s="28">
        <f t="shared" si="0"/>
        <v>53.15</v>
      </c>
      <c r="H34" s="28">
        <f t="shared" si="0"/>
        <v>0.76</v>
      </c>
      <c r="I34" s="28">
        <f t="shared" si="0"/>
        <v>0</v>
      </c>
      <c r="J34" s="28">
        <f t="shared" si="0"/>
        <v>0.43</v>
      </c>
      <c r="K34" s="28">
        <f t="shared" si="0"/>
        <v>131.16999999999999</v>
      </c>
      <c r="L34" s="28">
        <f t="shared" si="0"/>
        <v>8.5299999999999994</v>
      </c>
      <c r="M34" s="28">
        <f t="shared" si="0"/>
        <v>20.87</v>
      </c>
      <c r="N34" s="28">
        <f t="shared" si="0"/>
        <v>53.7</v>
      </c>
      <c r="O34" s="28">
        <f t="shared" si="0"/>
        <v>0</v>
      </c>
      <c r="P34" s="28">
        <f t="shared" si="0"/>
        <v>0.69</v>
      </c>
      <c r="Q34" s="28">
        <f t="shared" si="0"/>
        <v>8.41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226.64</v>
      </c>
      <c r="C35" s="29">
        <f t="shared" si="1"/>
        <v>62.26</v>
      </c>
      <c r="D35" s="29">
        <f t="shared" si="1"/>
        <v>206.7</v>
      </c>
      <c r="E35" s="29">
        <f t="shared" si="1"/>
        <v>13.14</v>
      </c>
      <c r="F35" s="29">
        <f t="shared" si="1"/>
        <v>2.13</v>
      </c>
      <c r="G35" s="29">
        <f t="shared" si="1"/>
        <v>224.96</v>
      </c>
      <c r="H35" s="29">
        <f t="shared" si="1"/>
        <v>150.13999999999999</v>
      </c>
      <c r="I35" s="29">
        <f t="shared" si="1"/>
        <v>0</v>
      </c>
      <c r="J35" s="29">
        <f t="shared" si="1"/>
        <v>4.32</v>
      </c>
      <c r="K35" s="29">
        <f t="shared" si="1"/>
        <v>359.87</v>
      </c>
      <c r="L35" s="29">
        <f t="shared" si="1"/>
        <v>27.98</v>
      </c>
      <c r="M35" s="29">
        <f t="shared" si="1"/>
        <v>94.7</v>
      </c>
      <c r="N35" s="29">
        <f t="shared" si="1"/>
        <v>750.4</v>
      </c>
      <c r="O35" s="29">
        <f t="shared" si="1"/>
        <v>0</v>
      </c>
      <c r="P35" s="29">
        <f t="shared" si="1"/>
        <v>2.34</v>
      </c>
      <c r="Q35" s="29">
        <f t="shared" si="1"/>
        <v>10.83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74.867083333333326</v>
      </c>
      <c r="C36" s="28">
        <f t="shared" si="2"/>
        <v>51.568750000000001</v>
      </c>
      <c r="D36" s="28">
        <f t="shared" si="2"/>
        <v>84.940416666666664</v>
      </c>
      <c r="E36" s="28">
        <f t="shared" si="2"/>
        <v>7.4383333333333352</v>
      </c>
      <c r="F36" s="28">
        <f t="shared" si="2"/>
        <v>2.1300000000000003</v>
      </c>
      <c r="G36" s="28">
        <f t="shared" si="2"/>
        <v>112.40874999999998</v>
      </c>
      <c r="H36" s="28">
        <f t="shared" si="2"/>
        <v>43.950416666666662</v>
      </c>
      <c r="I36" s="28" t="e">
        <f t="shared" si="2"/>
        <v>#DIV/0!</v>
      </c>
      <c r="J36" s="28">
        <f t="shared" si="2"/>
        <v>1.8829166666666668</v>
      </c>
      <c r="K36" s="28">
        <f t="shared" si="2"/>
        <v>317.76958333333329</v>
      </c>
      <c r="L36" s="28">
        <f t="shared" si="2"/>
        <v>17.421249999999997</v>
      </c>
      <c r="M36" s="28">
        <f t="shared" si="2"/>
        <v>52.174166666666657</v>
      </c>
      <c r="N36" s="28">
        <f t="shared" si="2"/>
        <v>271.79166666666669</v>
      </c>
      <c r="O36" s="28">
        <f t="shared" si="2"/>
        <v>0</v>
      </c>
      <c r="P36" s="28">
        <f t="shared" si="2"/>
        <v>1.2154166666666666</v>
      </c>
      <c r="Q36" s="28">
        <f t="shared" si="2"/>
        <v>9.6562500000000018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55.950512099235219</v>
      </c>
      <c r="C37" s="28">
        <f t="shared" ref="C37:Q37" si="3">STDEV(C9:C32)</f>
        <v>7.4418582955673154</v>
      </c>
      <c r="D37" s="28">
        <f t="shared" si="3"/>
        <v>44.737936870971303</v>
      </c>
      <c r="E37" s="28">
        <f t="shared" si="3"/>
        <v>2.5330642496299998</v>
      </c>
      <c r="F37" s="28">
        <f t="shared" si="3"/>
        <v>4.5364060814922986E-16</v>
      </c>
      <c r="G37" s="28">
        <f t="shared" si="3"/>
        <v>53.687720749153947</v>
      </c>
      <c r="H37" s="28">
        <f t="shared" si="3"/>
        <v>36.631846026334813</v>
      </c>
      <c r="I37" s="28" t="e">
        <f t="shared" si="3"/>
        <v>#DIV/0!</v>
      </c>
      <c r="J37" s="28">
        <f t="shared" si="3"/>
        <v>0.92315846850419692</v>
      </c>
      <c r="K37" s="28">
        <f t="shared" si="3"/>
        <v>58.702459505482452</v>
      </c>
      <c r="L37" s="28">
        <f t="shared" si="3"/>
        <v>6.4570502839582549</v>
      </c>
      <c r="M37" s="28">
        <f t="shared" si="3"/>
        <v>23.892829544095218</v>
      </c>
      <c r="N37" s="28">
        <f t="shared" si="3"/>
        <v>258.31815051222776</v>
      </c>
      <c r="O37" s="28">
        <f t="shared" si="3"/>
        <v>0</v>
      </c>
      <c r="P37" s="28">
        <f t="shared" si="3"/>
        <v>0.5675881786821414</v>
      </c>
      <c r="Q37" s="28">
        <f t="shared" si="3"/>
        <v>0.59552543478701325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0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&lt;90%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LESS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8" sqref="G48"/>
    </sheetView>
  </sheetViews>
  <sheetFormatPr defaultColWidth="8.85546875" defaultRowHeight="15" x14ac:dyDescent="0.25"/>
  <cols>
    <col min="1" max="1" width="18.28515625" style="26" customWidth="1"/>
    <col min="2" max="2" width="18.42578125" style="20" customWidth="1"/>
    <col min="3" max="3" width="10.140625" style="20" customWidth="1"/>
    <col min="4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04/01/2025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3" t="s">
        <v>132</v>
      </c>
      <c r="B9" s="54">
        <v>223.38</v>
      </c>
      <c r="C9" s="54">
        <v>49.09</v>
      </c>
      <c r="D9" s="54">
        <v>203.41</v>
      </c>
      <c r="E9" s="54">
        <v>9.9700000000000006</v>
      </c>
      <c r="F9" s="54">
        <v>2.13</v>
      </c>
      <c r="G9" s="54">
        <v>224.96</v>
      </c>
      <c r="H9" s="54">
        <v>65.28</v>
      </c>
      <c r="I9" s="55" t="s">
        <v>15</v>
      </c>
      <c r="J9" s="54">
        <v>0.76</v>
      </c>
      <c r="K9" s="54">
        <v>269.66000000000003</v>
      </c>
      <c r="L9" s="54">
        <v>11.83</v>
      </c>
      <c r="M9" s="54">
        <v>78.87</v>
      </c>
      <c r="N9" s="54">
        <v>53.9</v>
      </c>
      <c r="O9" s="54">
        <v>0</v>
      </c>
      <c r="P9" s="54">
        <v>2.2599999999999998</v>
      </c>
      <c r="Q9" s="54">
        <v>10.83</v>
      </c>
      <c r="R9" s="43"/>
      <c r="S9" s="43"/>
      <c r="T9" s="43"/>
      <c r="U9" s="43"/>
    </row>
    <row r="10" spans="1:21" s="11" customFormat="1" x14ac:dyDescent="0.25">
      <c r="A10" s="53" t="s">
        <v>133</v>
      </c>
      <c r="B10" s="54">
        <v>205.03</v>
      </c>
      <c r="C10" s="54">
        <v>45.1</v>
      </c>
      <c r="D10" s="54">
        <v>186.6</v>
      </c>
      <c r="E10" s="54">
        <v>9.15</v>
      </c>
      <c r="F10" s="54">
        <v>2.13</v>
      </c>
      <c r="G10" s="54">
        <v>158.62</v>
      </c>
      <c r="H10" s="54">
        <v>48.95</v>
      </c>
      <c r="I10" s="55" t="s">
        <v>15</v>
      </c>
      <c r="J10" s="54">
        <v>0.77</v>
      </c>
      <c r="K10" s="54">
        <v>337.29</v>
      </c>
      <c r="L10" s="54">
        <v>10.69</v>
      </c>
      <c r="M10" s="54">
        <v>79.12</v>
      </c>
      <c r="N10" s="54">
        <v>53.9</v>
      </c>
      <c r="O10" s="54">
        <v>0</v>
      </c>
      <c r="P10" s="54">
        <v>1.97</v>
      </c>
      <c r="Q10" s="54">
        <v>10.62</v>
      </c>
      <c r="R10" s="43"/>
      <c r="S10" s="43"/>
      <c r="T10" s="43"/>
      <c r="U10" s="43"/>
    </row>
    <row r="11" spans="1:21" s="11" customFormat="1" x14ac:dyDescent="0.25">
      <c r="A11" s="53" t="s">
        <v>134</v>
      </c>
      <c r="B11" s="54">
        <v>172.42</v>
      </c>
      <c r="C11" s="54">
        <v>44.08</v>
      </c>
      <c r="D11" s="54">
        <v>159.76</v>
      </c>
      <c r="E11" s="54">
        <v>7.76</v>
      </c>
      <c r="F11" s="54">
        <v>2.13</v>
      </c>
      <c r="G11" s="54">
        <v>101.17</v>
      </c>
      <c r="H11" s="54">
        <v>36.14</v>
      </c>
      <c r="I11" s="55" t="s">
        <v>15</v>
      </c>
      <c r="J11" s="54">
        <v>0.96</v>
      </c>
      <c r="K11" s="54">
        <v>313.19</v>
      </c>
      <c r="L11" s="54">
        <v>10.130000000000001</v>
      </c>
      <c r="M11" s="54">
        <v>88.1</v>
      </c>
      <c r="N11" s="54">
        <v>53.8</v>
      </c>
      <c r="O11" s="54">
        <v>0</v>
      </c>
      <c r="P11" s="54">
        <v>1.82</v>
      </c>
      <c r="Q11" s="54">
        <v>10.27</v>
      </c>
      <c r="R11" s="43"/>
      <c r="S11" s="43"/>
      <c r="T11" s="43"/>
      <c r="U11" s="43"/>
    </row>
    <row r="12" spans="1:21" s="11" customFormat="1" x14ac:dyDescent="0.25">
      <c r="A12" s="53" t="s">
        <v>135</v>
      </c>
      <c r="B12" s="54">
        <v>145.84</v>
      </c>
      <c r="C12" s="54">
        <v>42.16</v>
      </c>
      <c r="D12" s="54">
        <v>137.6</v>
      </c>
      <c r="E12" s="54">
        <v>7.9</v>
      </c>
      <c r="F12" s="54">
        <v>2.13</v>
      </c>
      <c r="G12" s="54">
        <v>110.22</v>
      </c>
      <c r="H12" s="54">
        <v>42.27</v>
      </c>
      <c r="I12" s="55" t="s">
        <v>15</v>
      </c>
      <c r="J12" s="54">
        <v>0.93</v>
      </c>
      <c r="K12" s="54">
        <v>311.31</v>
      </c>
      <c r="L12" s="54">
        <v>9.5500000000000007</v>
      </c>
      <c r="M12" s="54">
        <v>93.95</v>
      </c>
      <c r="N12" s="54">
        <v>53.8</v>
      </c>
      <c r="O12" s="54">
        <v>0</v>
      </c>
      <c r="P12" s="54">
        <v>1.65</v>
      </c>
      <c r="Q12" s="54">
        <v>10.1</v>
      </c>
      <c r="R12" s="43"/>
      <c r="S12" s="43"/>
      <c r="T12" s="43"/>
      <c r="U12" s="43"/>
    </row>
    <row r="13" spans="1:21" s="11" customFormat="1" x14ac:dyDescent="0.25">
      <c r="A13" s="53" t="s">
        <v>136</v>
      </c>
      <c r="B13" s="54">
        <v>131.11000000000001</v>
      </c>
      <c r="C13" s="54">
        <v>40.78</v>
      </c>
      <c r="D13" s="54">
        <v>125.07</v>
      </c>
      <c r="E13" s="54">
        <v>8.06</v>
      </c>
      <c r="F13" s="54">
        <v>2.13</v>
      </c>
      <c r="G13" s="54">
        <v>139.29</v>
      </c>
      <c r="H13" s="54">
        <v>42.27</v>
      </c>
      <c r="I13" s="55" t="s">
        <v>15</v>
      </c>
      <c r="J13" s="54">
        <v>0.96</v>
      </c>
      <c r="K13" s="54">
        <v>312.69</v>
      </c>
      <c r="L13" s="54">
        <v>9.58</v>
      </c>
      <c r="M13" s="54">
        <v>96.92</v>
      </c>
      <c r="N13" s="54">
        <v>54.2</v>
      </c>
      <c r="O13" s="54">
        <v>0</v>
      </c>
      <c r="P13" s="54">
        <v>1.51</v>
      </c>
      <c r="Q13" s="54">
        <v>10</v>
      </c>
      <c r="R13" s="43"/>
      <c r="S13" s="43"/>
      <c r="T13" s="43"/>
      <c r="U13" s="43"/>
    </row>
    <row r="14" spans="1:21" s="11" customFormat="1" x14ac:dyDescent="0.25">
      <c r="A14" s="53" t="s">
        <v>137</v>
      </c>
      <c r="B14" s="54">
        <v>121.63</v>
      </c>
      <c r="C14" s="54">
        <v>39.25</v>
      </c>
      <c r="D14" s="54">
        <v>116.44</v>
      </c>
      <c r="E14" s="54">
        <v>7.82</v>
      </c>
      <c r="F14" s="54">
        <v>2.13</v>
      </c>
      <c r="G14" s="54">
        <v>139.29</v>
      </c>
      <c r="H14" s="54">
        <v>40.26</v>
      </c>
      <c r="I14" s="55" t="s">
        <v>15</v>
      </c>
      <c r="J14" s="54">
        <v>0.94</v>
      </c>
      <c r="K14" s="54">
        <v>311.32</v>
      </c>
      <c r="L14" s="54">
        <v>8.69</v>
      </c>
      <c r="M14" s="54">
        <v>97.25</v>
      </c>
      <c r="N14" s="54">
        <v>54.2</v>
      </c>
      <c r="O14" s="54">
        <v>0</v>
      </c>
      <c r="P14" s="54">
        <v>1.42</v>
      </c>
      <c r="Q14" s="54">
        <v>9.91</v>
      </c>
      <c r="R14" s="43"/>
      <c r="S14" s="43"/>
      <c r="T14" s="43"/>
      <c r="U14" s="43"/>
    </row>
    <row r="15" spans="1:21" s="11" customFormat="1" x14ac:dyDescent="0.25">
      <c r="A15" s="53" t="s">
        <v>138</v>
      </c>
      <c r="B15" s="54">
        <v>114.07</v>
      </c>
      <c r="C15" s="54">
        <v>41.19</v>
      </c>
      <c r="D15" s="54">
        <v>112.22</v>
      </c>
      <c r="E15" s="54">
        <v>7.84</v>
      </c>
      <c r="F15" s="54">
        <v>2.13</v>
      </c>
      <c r="G15" s="54">
        <v>122.07</v>
      </c>
      <c r="H15" s="54">
        <v>39.020000000000003</v>
      </c>
      <c r="I15" s="55" t="s">
        <v>15</v>
      </c>
      <c r="J15" s="54">
        <v>0.96</v>
      </c>
      <c r="K15" s="54">
        <v>321.89999999999998</v>
      </c>
      <c r="L15" s="54">
        <v>8.7899999999999991</v>
      </c>
      <c r="M15" s="54">
        <v>97.1</v>
      </c>
      <c r="N15" s="54">
        <v>67.5</v>
      </c>
      <c r="O15" s="54">
        <v>0</v>
      </c>
      <c r="P15" s="54">
        <v>1.29</v>
      </c>
      <c r="Q15" s="54">
        <v>9.77</v>
      </c>
      <c r="R15" s="43"/>
      <c r="S15" s="43"/>
      <c r="T15" s="43"/>
      <c r="U15" s="43"/>
    </row>
    <row r="16" spans="1:21" s="11" customFormat="1" x14ac:dyDescent="0.25">
      <c r="A16" s="53" t="s">
        <v>139</v>
      </c>
      <c r="B16" s="54">
        <v>120.64</v>
      </c>
      <c r="C16" s="54">
        <v>41.45</v>
      </c>
      <c r="D16" s="54">
        <v>116.88</v>
      </c>
      <c r="E16" s="54">
        <v>7.88</v>
      </c>
      <c r="F16" s="54">
        <v>2.13</v>
      </c>
      <c r="G16" s="54">
        <v>127.98</v>
      </c>
      <c r="H16" s="54">
        <v>43.8</v>
      </c>
      <c r="I16" s="55" t="s">
        <v>15</v>
      </c>
      <c r="J16" s="54">
        <v>1</v>
      </c>
      <c r="K16" s="54">
        <v>354.75</v>
      </c>
      <c r="L16" s="54">
        <v>12.07</v>
      </c>
      <c r="M16" s="54">
        <v>88.78</v>
      </c>
      <c r="N16" s="54">
        <v>219.1</v>
      </c>
      <c r="O16" s="54">
        <v>0</v>
      </c>
      <c r="P16" s="54">
        <v>1.4</v>
      </c>
      <c r="Q16" s="54">
        <v>9.9</v>
      </c>
      <c r="R16" s="43"/>
      <c r="S16" s="43"/>
      <c r="T16" s="43"/>
      <c r="U16" s="43"/>
    </row>
    <row r="17" spans="1:21" s="11" customFormat="1" x14ac:dyDescent="0.25">
      <c r="A17" s="53" t="s">
        <v>140</v>
      </c>
      <c r="B17" s="54">
        <v>119.38</v>
      </c>
      <c r="C17" s="54">
        <v>42.57</v>
      </c>
      <c r="D17" s="54">
        <v>116.29</v>
      </c>
      <c r="E17" s="54">
        <v>8.2200000000000006</v>
      </c>
      <c r="F17" s="54">
        <v>2.13</v>
      </c>
      <c r="G17" s="54">
        <v>127.98</v>
      </c>
      <c r="H17" s="54">
        <v>43.8</v>
      </c>
      <c r="I17" s="55" t="s">
        <v>15</v>
      </c>
      <c r="J17" s="54">
        <v>1.63</v>
      </c>
      <c r="K17" s="54">
        <v>117.48</v>
      </c>
      <c r="L17" s="54">
        <v>17.59</v>
      </c>
      <c r="M17" s="54">
        <v>52.03</v>
      </c>
      <c r="N17" s="54">
        <v>493.3</v>
      </c>
      <c r="O17" s="54">
        <v>0</v>
      </c>
      <c r="P17" s="54">
        <v>1.38</v>
      </c>
      <c r="Q17" s="54">
        <v>9.9</v>
      </c>
      <c r="R17" s="43"/>
      <c r="S17" s="43"/>
      <c r="T17" s="43"/>
      <c r="U17" s="43"/>
    </row>
    <row r="18" spans="1:21" s="11" customFormat="1" x14ac:dyDescent="0.25">
      <c r="A18" s="53" t="s">
        <v>141</v>
      </c>
      <c r="B18" s="54">
        <v>104.86</v>
      </c>
      <c r="C18" s="54">
        <v>45.42</v>
      </c>
      <c r="D18" s="54">
        <v>104.84</v>
      </c>
      <c r="E18" s="54">
        <v>6.61</v>
      </c>
      <c r="F18" s="54">
        <v>2.13</v>
      </c>
      <c r="G18" s="54">
        <v>102.4</v>
      </c>
      <c r="H18" s="54">
        <v>37.69</v>
      </c>
      <c r="I18" s="55" t="s">
        <v>15</v>
      </c>
      <c r="J18" s="54">
        <v>1.51</v>
      </c>
      <c r="K18" s="54">
        <v>110.26</v>
      </c>
      <c r="L18" s="54">
        <v>20.440000000000001</v>
      </c>
      <c r="M18" s="54">
        <v>40.090000000000003</v>
      </c>
      <c r="N18" s="54">
        <v>640.70000000000005</v>
      </c>
      <c r="O18" s="54">
        <v>0</v>
      </c>
      <c r="P18" s="54">
        <v>1.23</v>
      </c>
      <c r="Q18" s="54">
        <v>9.83</v>
      </c>
      <c r="R18" s="43"/>
      <c r="S18" s="43"/>
      <c r="T18" s="43"/>
      <c r="U18" s="43"/>
    </row>
    <row r="19" spans="1:21" s="11" customFormat="1" x14ac:dyDescent="0.25">
      <c r="A19" s="53" t="s">
        <v>142</v>
      </c>
      <c r="B19" s="54">
        <v>84.85</v>
      </c>
      <c r="C19" s="54">
        <v>50.83</v>
      </c>
      <c r="D19" s="54">
        <v>91.2</v>
      </c>
      <c r="E19" s="54">
        <v>6.09</v>
      </c>
      <c r="F19" s="54">
        <v>2.13</v>
      </c>
      <c r="G19" s="54">
        <v>70.12</v>
      </c>
      <c r="H19" s="54">
        <v>26.76</v>
      </c>
      <c r="I19" s="55" t="s">
        <v>15</v>
      </c>
      <c r="J19" s="54">
        <v>2</v>
      </c>
      <c r="K19" s="54">
        <v>340.7</v>
      </c>
      <c r="L19" s="54">
        <v>26.72</v>
      </c>
      <c r="M19" s="54">
        <v>32.340000000000003</v>
      </c>
      <c r="N19" s="54">
        <v>653.20000000000005</v>
      </c>
      <c r="O19" s="54">
        <v>0</v>
      </c>
      <c r="P19" s="54">
        <v>1.07</v>
      </c>
      <c r="Q19" s="54">
        <v>9.59</v>
      </c>
      <c r="R19" s="43"/>
      <c r="S19" s="43"/>
      <c r="T19" s="43"/>
      <c r="U19" s="43"/>
    </row>
    <row r="20" spans="1:21" s="11" customFormat="1" x14ac:dyDescent="0.25">
      <c r="A20" s="53" t="s">
        <v>143</v>
      </c>
      <c r="B20" s="54">
        <v>69.55</v>
      </c>
      <c r="C20" s="54">
        <v>53.83</v>
      </c>
      <c r="D20" s="54">
        <v>81.39</v>
      </c>
      <c r="E20" s="54">
        <v>6.36</v>
      </c>
      <c r="F20" s="54">
        <v>2.13</v>
      </c>
      <c r="G20" s="54">
        <v>77.760000000000005</v>
      </c>
      <c r="H20" s="54">
        <v>23.4</v>
      </c>
      <c r="I20" s="55" t="s">
        <v>15</v>
      </c>
      <c r="J20" s="54">
        <v>2.6</v>
      </c>
      <c r="K20" s="54">
        <v>348.47</v>
      </c>
      <c r="L20" s="54">
        <v>27.73</v>
      </c>
      <c r="M20" s="54">
        <v>25.21</v>
      </c>
      <c r="N20" s="54">
        <v>805.3</v>
      </c>
      <c r="O20" s="54">
        <v>0</v>
      </c>
      <c r="P20" s="54">
        <v>0.98</v>
      </c>
      <c r="Q20" s="54">
        <v>9.5</v>
      </c>
      <c r="R20" s="43"/>
      <c r="S20" s="43"/>
      <c r="T20" s="43"/>
      <c r="U20" s="43"/>
    </row>
    <row r="21" spans="1:21" s="11" customFormat="1" x14ac:dyDescent="0.25">
      <c r="A21" s="53" t="s">
        <v>144</v>
      </c>
      <c r="B21" s="54">
        <v>56.59</v>
      </c>
      <c r="C21" s="54">
        <v>54.25</v>
      </c>
      <c r="D21" s="54">
        <v>72.28</v>
      </c>
      <c r="E21" s="54">
        <v>5.68</v>
      </c>
      <c r="F21" s="54">
        <v>2.13</v>
      </c>
      <c r="G21" s="54">
        <v>77.760000000000005</v>
      </c>
      <c r="H21" s="54">
        <v>23.4</v>
      </c>
      <c r="I21" s="55" t="s">
        <v>15</v>
      </c>
      <c r="J21" s="54">
        <v>2.44</v>
      </c>
      <c r="K21" s="54">
        <v>342.11</v>
      </c>
      <c r="L21" s="54">
        <v>27.77</v>
      </c>
      <c r="M21" s="54">
        <v>18.7</v>
      </c>
      <c r="N21" s="54">
        <v>835.2</v>
      </c>
      <c r="O21" s="54">
        <v>0</v>
      </c>
      <c r="P21" s="54">
        <v>0.87</v>
      </c>
      <c r="Q21" s="54">
        <v>9.4700000000000006</v>
      </c>
      <c r="R21" s="43"/>
      <c r="S21" s="43"/>
      <c r="T21" s="43"/>
      <c r="U21" s="43"/>
    </row>
    <row r="22" spans="1:21" s="11" customFormat="1" x14ac:dyDescent="0.25">
      <c r="A22" s="53" t="s">
        <v>145</v>
      </c>
      <c r="B22" s="54">
        <v>45.82</v>
      </c>
      <c r="C22" s="54">
        <v>57.22</v>
      </c>
      <c r="D22" s="54">
        <v>63.95</v>
      </c>
      <c r="E22" s="54">
        <v>5.35</v>
      </c>
      <c r="F22" s="54">
        <v>2.13</v>
      </c>
      <c r="G22" s="54">
        <v>65.86</v>
      </c>
      <c r="H22" s="54">
        <v>20.66</v>
      </c>
      <c r="I22" s="55" t="s">
        <v>15</v>
      </c>
      <c r="J22" s="54">
        <v>2.2000000000000002</v>
      </c>
      <c r="K22" s="54">
        <v>341.62</v>
      </c>
      <c r="L22" s="54">
        <v>27.11</v>
      </c>
      <c r="M22" s="54">
        <v>21.44</v>
      </c>
      <c r="N22" s="54">
        <v>735.4</v>
      </c>
      <c r="O22" s="54">
        <v>0</v>
      </c>
      <c r="P22" s="54">
        <v>0.82</v>
      </c>
      <c r="Q22" s="54">
        <v>9.41</v>
      </c>
      <c r="R22" s="43"/>
      <c r="S22" s="43"/>
      <c r="T22" s="43"/>
      <c r="U22" s="43"/>
    </row>
    <row r="23" spans="1:21" s="11" customFormat="1" x14ac:dyDescent="0.25">
      <c r="A23" s="53" t="s">
        <v>146</v>
      </c>
      <c r="B23" s="54">
        <v>33.1</v>
      </c>
      <c r="C23" s="54">
        <v>57.64</v>
      </c>
      <c r="D23" s="54">
        <v>55.2</v>
      </c>
      <c r="E23" s="54">
        <v>4.99</v>
      </c>
      <c r="F23" s="54">
        <v>2.13</v>
      </c>
      <c r="G23" s="54">
        <v>60.75</v>
      </c>
      <c r="H23" s="54">
        <v>16.82</v>
      </c>
      <c r="I23" s="55" t="s">
        <v>15</v>
      </c>
      <c r="J23" s="54">
        <v>2.44</v>
      </c>
      <c r="K23" s="54">
        <v>333.78</v>
      </c>
      <c r="L23" s="54">
        <v>27.28</v>
      </c>
      <c r="M23" s="54">
        <v>19.98</v>
      </c>
      <c r="N23" s="54">
        <v>557.6</v>
      </c>
      <c r="O23" s="54">
        <v>0</v>
      </c>
      <c r="P23" s="54">
        <v>0.76</v>
      </c>
      <c r="Q23" s="54">
        <v>8.8800000000000008</v>
      </c>
      <c r="R23" s="43"/>
      <c r="S23" s="43"/>
      <c r="T23" s="43"/>
      <c r="U23" s="43"/>
    </row>
    <row r="24" spans="1:21" s="11" customFormat="1" x14ac:dyDescent="0.25">
      <c r="A24" s="53" t="s">
        <v>147</v>
      </c>
      <c r="B24" s="54">
        <v>26.03</v>
      </c>
      <c r="C24" s="54">
        <v>57.35</v>
      </c>
      <c r="D24" s="54">
        <v>49.46</v>
      </c>
      <c r="E24" s="54">
        <v>6.18</v>
      </c>
      <c r="F24" s="54">
        <v>2.13</v>
      </c>
      <c r="G24" s="54">
        <v>46.2</v>
      </c>
      <c r="H24" s="54">
        <v>13.73</v>
      </c>
      <c r="I24" s="55" t="s">
        <v>15</v>
      </c>
      <c r="J24" s="54">
        <v>2.2999999999999998</v>
      </c>
      <c r="K24" s="54">
        <v>329.82</v>
      </c>
      <c r="L24" s="54">
        <v>25.28</v>
      </c>
      <c r="M24" s="54">
        <v>23.56</v>
      </c>
      <c r="N24" s="54">
        <v>136.80000000000001</v>
      </c>
      <c r="O24" s="54">
        <v>0</v>
      </c>
      <c r="P24" s="54">
        <v>0.68</v>
      </c>
      <c r="Q24" s="54">
        <v>8.2200000000000006</v>
      </c>
      <c r="R24" s="43"/>
      <c r="S24" s="43"/>
      <c r="T24" s="43"/>
      <c r="U24" s="43"/>
    </row>
    <row r="25" spans="1:21" s="11" customFormat="1" x14ac:dyDescent="0.25">
      <c r="A25" s="53" t="s">
        <v>148</v>
      </c>
      <c r="B25" s="54">
        <v>22.56</v>
      </c>
      <c r="C25" s="54">
        <v>55.94</v>
      </c>
      <c r="D25" s="54">
        <v>45.94</v>
      </c>
      <c r="E25" s="54">
        <v>6.03</v>
      </c>
      <c r="F25" s="54">
        <v>2.13</v>
      </c>
      <c r="G25" s="54">
        <v>48.51</v>
      </c>
      <c r="H25" s="54">
        <v>14.27</v>
      </c>
      <c r="I25" s="55" t="s">
        <v>15</v>
      </c>
      <c r="J25" s="54">
        <v>2.23</v>
      </c>
      <c r="K25" s="54">
        <v>342.28</v>
      </c>
      <c r="L25" s="54">
        <v>22.37</v>
      </c>
      <c r="M25" s="54">
        <v>28.72</v>
      </c>
      <c r="N25" s="54">
        <v>80.099999999999994</v>
      </c>
      <c r="O25" s="54">
        <v>0</v>
      </c>
      <c r="P25" s="54">
        <v>0.63</v>
      </c>
      <c r="Q25" s="54">
        <v>8.2100000000000009</v>
      </c>
      <c r="R25" s="43"/>
      <c r="S25" s="43"/>
      <c r="T25" s="43"/>
      <c r="U25" s="43"/>
    </row>
    <row r="26" spans="1:21" s="11" customFormat="1" x14ac:dyDescent="0.25">
      <c r="A26" s="53" t="s">
        <v>149</v>
      </c>
      <c r="B26" s="54">
        <v>26.68</v>
      </c>
      <c r="C26" s="54">
        <v>54.04</v>
      </c>
      <c r="D26" s="54">
        <v>48.16</v>
      </c>
      <c r="E26" s="54">
        <v>6.77</v>
      </c>
      <c r="F26" s="54">
        <v>2.13</v>
      </c>
      <c r="G26" s="54">
        <v>57.42</v>
      </c>
      <c r="H26" s="54">
        <v>15.05</v>
      </c>
      <c r="I26" s="55" t="s">
        <v>15</v>
      </c>
      <c r="J26" s="54">
        <v>1.76</v>
      </c>
      <c r="K26" s="54">
        <v>355.81</v>
      </c>
      <c r="L26" s="54">
        <v>20.86</v>
      </c>
      <c r="M26" s="54">
        <v>39</v>
      </c>
      <c r="N26" s="54">
        <v>64.400000000000006</v>
      </c>
      <c r="O26" s="54">
        <v>0</v>
      </c>
      <c r="P26" s="54">
        <v>0.73</v>
      </c>
      <c r="Q26" s="54">
        <v>8.2100000000000009</v>
      </c>
      <c r="R26" s="43"/>
      <c r="S26" s="43"/>
      <c r="T26" s="43"/>
      <c r="U26" s="43"/>
    </row>
    <row r="27" spans="1:21" s="11" customFormat="1" x14ac:dyDescent="0.25">
      <c r="A27" s="53" t="s">
        <v>150</v>
      </c>
      <c r="B27" s="54">
        <v>37.53</v>
      </c>
      <c r="C27" s="54">
        <v>55.94</v>
      </c>
      <c r="D27" s="54">
        <v>57.94</v>
      </c>
      <c r="E27" s="54">
        <v>6.91</v>
      </c>
      <c r="F27" s="54">
        <v>2.13</v>
      </c>
      <c r="G27" s="54">
        <v>97.87</v>
      </c>
      <c r="H27" s="54">
        <v>21.79</v>
      </c>
      <c r="I27" s="55" t="s">
        <v>15</v>
      </c>
      <c r="J27" s="54">
        <v>1.1599999999999999</v>
      </c>
      <c r="K27" s="54">
        <v>311.86</v>
      </c>
      <c r="L27" s="54">
        <v>16.72</v>
      </c>
      <c r="M27" s="54">
        <v>49.47</v>
      </c>
      <c r="N27" s="54">
        <v>52.7</v>
      </c>
      <c r="O27" s="54">
        <v>0</v>
      </c>
      <c r="P27" s="54">
        <v>0.89</v>
      </c>
      <c r="Q27" s="54">
        <v>8.94</v>
      </c>
      <c r="R27" s="43"/>
      <c r="S27" s="43"/>
      <c r="T27" s="43"/>
      <c r="U27" s="43"/>
    </row>
    <row r="28" spans="1:21" s="11" customFormat="1" x14ac:dyDescent="0.25">
      <c r="A28" s="53" t="s">
        <v>151</v>
      </c>
      <c r="B28" s="54">
        <v>67.44</v>
      </c>
      <c r="C28" s="54">
        <v>57.13</v>
      </c>
      <c r="D28" s="54">
        <v>82.21</v>
      </c>
      <c r="E28" s="54">
        <v>7.71</v>
      </c>
      <c r="F28" s="54">
        <v>2.13</v>
      </c>
      <c r="G28" s="54">
        <v>120.33</v>
      </c>
      <c r="H28" s="54">
        <v>26.7</v>
      </c>
      <c r="I28" s="55" t="s">
        <v>15</v>
      </c>
      <c r="J28" s="54">
        <v>0.98</v>
      </c>
      <c r="K28" s="54">
        <v>329.03</v>
      </c>
      <c r="L28" s="54">
        <v>15.39</v>
      </c>
      <c r="M28" s="54">
        <v>57.91</v>
      </c>
      <c r="N28" s="54">
        <v>52.5</v>
      </c>
      <c r="O28" s="54">
        <v>0</v>
      </c>
      <c r="P28" s="54">
        <v>1.48</v>
      </c>
      <c r="Q28" s="54">
        <v>9.43</v>
      </c>
      <c r="R28" s="43"/>
      <c r="S28" s="43"/>
      <c r="T28" s="43"/>
      <c r="U28" s="43"/>
    </row>
    <row r="29" spans="1:21" s="11" customFormat="1" x14ac:dyDescent="0.25">
      <c r="A29" s="53" t="s">
        <v>152</v>
      </c>
      <c r="B29" s="54">
        <v>108.41</v>
      </c>
      <c r="C29" s="54">
        <v>56.44</v>
      </c>
      <c r="D29" s="54">
        <v>114.13</v>
      </c>
      <c r="E29" s="54">
        <v>9.9</v>
      </c>
      <c r="F29" s="54">
        <v>2.13</v>
      </c>
      <c r="G29" s="54">
        <v>200.31</v>
      </c>
      <c r="H29" s="54">
        <v>37.97</v>
      </c>
      <c r="I29" s="55" t="s">
        <v>15</v>
      </c>
      <c r="J29" s="54">
        <v>1.07</v>
      </c>
      <c r="K29" s="54">
        <v>300.86</v>
      </c>
      <c r="L29" s="54">
        <v>13.99</v>
      </c>
      <c r="M29" s="54">
        <v>65.930000000000007</v>
      </c>
      <c r="N29" s="54">
        <v>52.6</v>
      </c>
      <c r="O29" s="54">
        <v>0</v>
      </c>
      <c r="P29" s="54">
        <v>1.86</v>
      </c>
      <c r="Q29" s="54">
        <v>9.7899999999999991</v>
      </c>
      <c r="R29" s="43"/>
      <c r="S29" s="43"/>
      <c r="T29" s="43"/>
      <c r="U29" s="43"/>
    </row>
    <row r="30" spans="1:21" s="11" customFormat="1" x14ac:dyDescent="0.25">
      <c r="A30" s="53" t="s">
        <v>153</v>
      </c>
      <c r="B30" s="54">
        <v>163.03</v>
      </c>
      <c r="C30" s="54">
        <v>53.83</v>
      </c>
      <c r="D30" s="54">
        <v>157.27000000000001</v>
      </c>
      <c r="E30" s="54">
        <v>11.07</v>
      </c>
      <c r="F30" s="54">
        <v>2.13</v>
      </c>
      <c r="G30" s="54">
        <v>225.25</v>
      </c>
      <c r="H30" s="54">
        <v>43.29</v>
      </c>
      <c r="I30" s="55" t="s">
        <v>15</v>
      </c>
      <c r="J30" s="54">
        <v>1.01</v>
      </c>
      <c r="K30" s="54">
        <v>305.14999999999998</v>
      </c>
      <c r="L30" s="54">
        <v>13.05</v>
      </c>
      <c r="M30" s="54">
        <v>76.209999999999994</v>
      </c>
      <c r="N30" s="54">
        <v>52.7</v>
      </c>
      <c r="O30" s="54">
        <v>0</v>
      </c>
      <c r="P30" s="54">
        <v>2</v>
      </c>
      <c r="Q30" s="54">
        <v>10.14</v>
      </c>
      <c r="R30" s="43"/>
      <c r="S30" s="43"/>
      <c r="T30" s="43"/>
      <c r="U30" s="43"/>
    </row>
    <row r="31" spans="1:21" s="11" customFormat="1" x14ac:dyDescent="0.25">
      <c r="A31" s="53" t="s">
        <v>154</v>
      </c>
      <c r="B31" s="54">
        <v>249.29</v>
      </c>
      <c r="C31" s="54">
        <v>53.67</v>
      </c>
      <c r="D31" s="54">
        <v>225.7</v>
      </c>
      <c r="E31" s="54">
        <v>12.54</v>
      </c>
      <c r="F31" s="54">
        <v>2.13</v>
      </c>
      <c r="G31" s="54">
        <v>261.70999999999998</v>
      </c>
      <c r="H31" s="54">
        <v>53.24</v>
      </c>
      <c r="I31" s="55" t="s">
        <v>15</v>
      </c>
      <c r="J31" s="54">
        <v>1.01</v>
      </c>
      <c r="K31" s="54">
        <v>344.04</v>
      </c>
      <c r="L31" s="54">
        <v>12.39</v>
      </c>
      <c r="M31" s="54">
        <v>84.05</v>
      </c>
      <c r="N31" s="54">
        <v>52.8</v>
      </c>
      <c r="O31" s="54">
        <v>0</v>
      </c>
      <c r="P31" s="54">
        <v>2.5099999999999998</v>
      </c>
      <c r="Q31" s="54">
        <v>10.62</v>
      </c>
      <c r="R31" s="43"/>
      <c r="S31" s="43"/>
      <c r="T31" s="43"/>
      <c r="U31" s="43"/>
    </row>
    <row r="32" spans="1:21" s="11" customFormat="1" x14ac:dyDescent="0.25">
      <c r="A32" s="53" t="s">
        <v>155</v>
      </c>
      <c r="B32" s="54">
        <v>287.88</v>
      </c>
      <c r="C32" s="54">
        <v>51.8</v>
      </c>
      <c r="D32" s="54">
        <v>254.35</v>
      </c>
      <c r="E32" s="54">
        <v>13.81</v>
      </c>
      <c r="F32" s="54">
        <v>2.13</v>
      </c>
      <c r="G32" s="54">
        <v>261.70999999999998</v>
      </c>
      <c r="H32" s="54">
        <v>58.65</v>
      </c>
      <c r="I32" s="55" t="s">
        <v>15</v>
      </c>
      <c r="J32" s="54">
        <v>1.04</v>
      </c>
      <c r="K32" s="54">
        <v>337.27</v>
      </c>
      <c r="L32" s="54">
        <v>11.69</v>
      </c>
      <c r="M32" s="54">
        <v>90.73</v>
      </c>
      <c r="N32" s="54">
        <v>52.9</v>
      </c>
      <c r="O32" s="54">
        <v>0</v>
      </c>
      <c r="P32" s="54">
        <v>2.93</v>
      </c>
      <c r="Q32" s="54">
        <v>10.97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22.56</v>
      </c>
      <c r="C34" s="28">
        <f t="shared" si="0"/>
        <v>39.25</v>
      </c>
      <c r="D34" s="28">
        <f t="shared" si="0"/>
        <v>45.94</v>
      </c>
      <c r="E34" s="28">
        <f t="shared" si="0"/>
        <v>4.99</v>
      </c>
      <c r="F34" s="28">
        <f t="shared" si="0"/>
        <v>2.13</v>
      </c>
      <c r="G34" s="28">
        <f t="shared" si="0"/>
        <v>46.2</v>
      </c>
      <c r="H34" s="28">
        <f t="shared" si="0"/>
        <v>13.73</v>
      </c>
      <c r="I34" s="28">
        <f t="shared" si="0"/>
        <v>0</v>
      </c>
      <c r="J34" s="28">
        <f t="shared" si="0"/>
        <v>0.76</v>
      </c>
      <c r="K34" s="28">
        <f t="shared" si="0"/>
        <v>110.26</v>
      </c>
      <c r="L34" s="28">
        <f t="shared" si="0"/>
        <v>8.69</v>
      </c>
      <c r="M34" s="28">
        <f t="shared" si="0"/>
        <v>18.7</v>
      </c>
      <c r="N34" s="28">
        <f t="shared" si="0"/>
        <v>52.5</v>
      </c>
      <c r="O34" s="28">
        <f t="shared" si="0"/>
        <v>0</v>
      </c>
      <c r="P34" s="28">
        <f t="shared" si="0"/>
        <v>0.63</v>
      </c>
      <c r="Q34" s="28">
        <f t="shared" si="0"/>
        <v>8.2100000000000009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287.88</v>
      </c>
      <c r="C35" s="29">
        <f t="shared" si="1"/>
        <v>57.64</v>
      </c>
      <c r="D35" s="29">
        <f t="shared" si="1"/>
        <v>254.35</v>
      </c>
      <c r="E35" s="29">
        <f t="shared" si="1"/>
        <v>13.81</v>
      </c>
      <c r="F35" s="29">
        <f t="shared" si="1"/>
        <v>2.13</v>
      </c>
      <c r="G35" s="29">
        <f t="shared" si="1"/>
        <v>261.70999999999998</v>
      </c>
      <c r="H35" s="29">
        <f t="shared" si="1"/>
        <v>65.28</v>
      </c>
      <c r="I35" s="29">
        <f t="shared" si="1"/>
        <v>0</v>
      </c>
      <c r="J35" s="29">
        <f t="shared" si="1"/>
        <v>2.6</v>
      </c>
      <c r="K35" s="29">
        <f t="shared" si="1"/>
        <v>355.81</v>
      </c>
      <c r="L35" s="29">
        <f t="shared" si="1"/>
        <v>27.77</v>
      </c>
      <c r="M35" s="29">
        <f t="shared" si="1"/>
        <v>97.25</v>
      </c>
      <c r="N35" s="29">
        <f t="shared" si="1"/>
        <v>835.2</v>
      </c>
      <c r="O35" s="29">
        <f t="shared" si="1"/>
        <v>0</v>
      </c>
      <c r="P35" s="29">
        <f t="shared" si="1"/>
        <v>2.93</v>
      </c>
      <c r="Q35" s="29">
        <f t="shared" si="1"/>
        <v>10.97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114.04666666666667</v>
      </c>
      <c r="C36" s="28">
        <f t="shared" si="2"/>
        <v>50.041666666666664</v>
      </c>
      <c r="D36" s="28">
        <f t="shared" si="2"/>
        <v>115.76208333333334</v>
      </c>
      <c r="E36" s="28">
        <f t="shared" si="2"/>
        <v>7.9416666666666664</v>
      </c>
      <c r="F36" s="28">
        <f t="shared" si="2"/>
        <v>2.1300000000000003</v>
      </c>
      <c r="G36" s="28">
        <f t="shared" si="2"/>
        <v>126.06416666666667</v>
      </c>
      <c r="H36" s="28">
        <f t="shared" si="2"/>
        <v>34.800416666666663</v>
      </c>
      <c r="I36" s="28" t="e">
        <f t="shared" si="2"/>
        <v>#DIV/0!</v>
      </c>
      <c r="J36" s="28">
        <f t="shared" si="2"/>
        <v>1.4441666666666668</v>
      </c>
      <c r="K36" s="28">
        <f t="shared" si="2"/>
        <v>309.27708333333334</v>
      </c>
      <c r="L36" s="28">
        <f t="shared" si="2"/>
        <v>16.987916666666667</v>
      </c>
      <c r="M36" s="28">
        <f t="shared" si="2"/>
        <v>60.227500000000013</v>
      </c>
      <c r="N36" s="28">
        <f t="shared" si="2"/>
        <v>247.02500000000001</v>
      </c>
      <c r="O36" s="28">
        <f t="shared" si="2"/>
        <v>0</v>
      </c>
      <c r="P36" s="28">
        <f t="shared" si="2"/>
        <v>1.4225000000000001</v>
      </c>
      <c r="Q36" s="28">
        <f t="shared" si="2"/>
        <v>9.6879166666666681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73.783607503509089</v>
      </c>
      <c r="C37" s="28">
        <f t="shared" ref="C37:Q37" si="3">STDEV(C9:C32)</f>
        <v>6.4514815734646529</v>
      </c>
      <c r="D37" s="28">
        <f t="shared" si="3"/>
        <v>57.743745001301754</v>
      </c>
      <c r="E37" s="28">
        <f t="shared" si="3"/>
        <v>2.2109365842805508</v>
      </c>
      <c r="F37" s="28">
        <f t="shared" si="3"/>
        <v>4.5364060814922986E-16</v>
      </c>
      <c r="G37" s="28">
        <f t="shared" si="3"/>
        <v>65.412928911955788</v>
      </c>
      <c r="H37" s="28">
        <f t="shared" si="3"/>
        <v>14.430865917303388</v>
      </c>
      <c r="I37" s="28" t="e">
        <f t="shared" si="3"/>
        <v>#DIV/0!</v>
      </c>
      <c r="J37" s="28">
        <f t="shared" si="3"/>
        <v>0.62576503901861658</v>
      </c>
      <c r="K37" s="28">
        <f t="shared" si="3"/>
        <v>63.386940808310342</v>
      </c>
      <c r="L37" s="28">
        <f t="shared" si="3"/>
        <v>6.97765064434246</v>
      </c>
      <c r="M37" s="28">
        <f t="shared" si="3"/>
        <v>29.140370211906273</v>
      </c>
      <c r="N37" s="28">
        <f t="shared" si="3"/>
        <v>289.6605468325024</v>
      </c>
      <c r="O37" s="28">
        <f t="shared" si="3"/>
        <v>0</v>
      </c>
      <c r="P37" s="28">
        <f t="shared" si="3"/>
        <v>0.61250199644750047</v>
      </c>
      <c r="Q37" s="28">
        <f t="shared" si="3"/>
        <v>0.77021159806711625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0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&lt;90%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LESS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0" sqref="G50"/>
    </sheetView>
  </sheetViews>
  <sheetFormatPr defaultColWidth="8.85546875" defaultRowHeight="15" x14ac:dyDescent="0.25"/>
  <cols>
    <col min="1" max="1" width="18.28515625" style="26" customWidth="1"/>
    <col min="2" max="2" width="13.425781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05/01/2025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49" t="s">
        <v>156</v>
      </c>
      <c r="B9" s="50">
        <v>294.08999999999997</v>
      </c>
      <c r="C9" s="50">
        <v>46.65</v>
      </c>
      <c r="D9" s="50">
        <v>258.76</v>
      </c>
      <c r="E9" s="50">
        <v>12.29</v>
      </c>
      <c r="F9" s="50">
        <v>2.13</v>
      </c>
      <c r="G9" s="50">
        <v>215.06</v>
      </c>
      <c r="H9" s="50">
        <v>59.02</v>
      </c>
      <c r="I9" s="55" t="s">
        <v>15</v>
      </c>
      <c r="J9" s="50">
        <v>1.03</v>
      </c>
      <c r="K9" s="50">
        <v>308.70999999999998</v>
      </c>
      <c r="L9" s="50">
        <v>11.76</v>
      </c>
      <c r="M9" s="50">
        <v>86.61</v>
      </c>
      <c r="N9" s="50">
        <v>52.8</v>
      </c>
      <c r="O9" s="50">
        <v>0</v>
      </c>
      <c r="P9" s="50">
        <v>2.92</v>
      </c>
      <c r="Q9" s="50">
        <v>11.15</v>
      </c>
      <c r="R9" s="43"/>
      <c r="S9" s="43"/>
      <c r="T9" s="43"/>
      <c r="U9" s="43"/>
    </row>
    <row r="10" spans="1:21" s="11" customFormat="1" x14ac:dyDescent="0.25">
      <c r="A10" s="49" t="s">
        <v>157</v>
      </c>
      <c r="B10" s="50">
        <v>272.69</v>
      </c>
      <c r="C10" s="50">
        <v>44.53</v>
      </c>
      <c r="D10" s="50">
        <v>240.56</v>
      </c>
      <c r="E10" s="50">
        <v>10.91</v>
      </c>
      <c r="F10" s="50">
        <v>2.13</v>
      </c>
      <c r="G10" s="50">
        <v>174.46</v>
      </c>
      <c r="H10" s="50">
        <v>59.02</v>
      </c>
      <c r="I10" s="55" t="s">
        <v>15</v>
      </c>
      <c r="J10" s="50">
        <v>1.04</v>
      </c>
      <c r="K10" s="50">
        <v>333.18</v>
      </c>
      <c r="L10" s="50">
        <v>11.32</v>
      </c>
      <c r="M10" s="50">
        <v>87.17</v>
      </c>
      <c r="N10" s="50">
        <v>53.1</v>
      </c>
      <c r="O10" s="50">
        <v>0</v>
      </c>
      <c r="P10" s="50">
        <v>2.38</v>
      </c>
      <c r="Q10" s="50">
        <v>11.04</v>
      </c>
      <c r="R10" s="43"/>
      <c r="S10" s="43"/>
      <c r="T10" s="43"/>
      <c r="U10" s="43"/>
    </row>
    <row r="11" spans="1:21" s="11" customFormat="1" x14ac:dyDescent="0.25">
      <c r="A11" s="49" t="s">
        <v>158</v>
      </c>
      <c r="B11" s="50">
        <v>235.67</v>
      </c>
      <c r="C11" s="50">
        <v>42.75</v>
      </c>
      <c r="D11" s="50">
        <v>209.95</v>
      </c>
      <c r="E11" s="50">
        <v>9.58</v>
      </c>
      <c r="F11" s="50">
        <v>2.13</v>
      </c>
      <c r="G11" s="50">
        <v>131.12</v>
      </c>
      <c r="H11" s="50">
        <v>50.55</v>
      </c>
      <c r="I11" s="55" t="s">
        <v>15</v>
      </c>
      <c r="J11" s="50">
        <v>1</v>
      </c>
      <c r="K11" s="50">
        <v>320.41000000000003</v>
      </c>
      <c r="L11" s="50">
        <v>10.17</v>
      </c>
      <c r="M11" s="50">
        <v>97.88</v>
      </c>
      <c r="N11" s="50">
        <v>53.1</v>
      </c>
      <c r="O11" s="50">
        <v>0</v>
      </c>
      <c r="P11" s="50">
        <v>2.1800000000000002</v>
      </c>
      <c r="Q11" s="50">
        <v>10.75</v>
      </c>
      <c r="R11" s="43"/>
      <c r="S11" s="43"/>
      <c r="T11" s="43"/>
      <c r="U11" s="43"/>
    </row>
    <row r="12" spans="1:21" s="11" customFormat="1" x14ac:dyDescent="0.25">
      <c r="A12" s="49" t="s">
        <v>159</v>
      </c>
      <c r="B12" s="50">
        <v>200.6</v>
      </c>
      <c r="C12" s="50">
        <v>42.34</v>
      </c>
      <c r="D12" s="50">
        <v>181.61</v>
      </c>
      <c r="E12" s="50">
        <v>8.73</v>
      </c>
      <c r="F12" s="50">
        <v>2.13</v>
      </c>
      <c r="G12" s="50">
        <v>116.61</v>
      </c>
      <c r="H12" s="50">
        <v>46.95</v>
      </c>
      <c r="I12" s="55" t="s">
        <v>15</v>
      </c>
      <c r="J12" s="50">
        <v>1.04</v>
      </c>
      <c r="K12" s="50">
        <v>346.64</v>
      </c>
      <c r="L12" s="50">
        <v>9.15</v>
      </c>
      <c r="M12" s="50">
        <v>103.6</v>
      </c>
      <c r="N12" s="50">
        <v>53.2</v>
      </c>
      <c r="O12" s="50">
        <v>0</v>
      </c>
      <c r="P12" s="50">
        <v>1.88</v>
      </c>
      <c r="Q12" s="50">
        <v>10.43</v>
      </c>
      <c r="R12" s="43"/>
      <c r="S12" s="43"/>
      <c r="T12" s="43"/>
      <c r="U12" s="43"/>
    </row>
    <row r="13" spans="1:21" s="11" customFormat="1" x14ac:dyDescent="0.25">
      <c r="A13" s="49" t="s">
        <v>160</v>
      </c>
      <c r="B13" s="50">
        <v>172.67</v>
      </c>
      <c r="C13" s="50">
        <v>39.85</v>
      </c>
      <c r="D13" s="50">
        <v>157.47999999999999</v>
      </c>
      <c r="E13" s="50">
        <v>8.4</v>
      </c>
      <c r="F13" s="50">
        <v>2.13</v>
      </c>
      <c r="G13" s="50">
        <v>119.44</v>
      </c>
      <c r="H13" s="50">
        <v>44.26</v>
      </c>
      <c r="I13" s="55" t="s">
        <v>15</v>
      </c>
      <c r="J13" s="50">
        <v>1.06</v>
      </c>
      <c r="K13" s="50">
        <v>315.14999999999998</v>
      </c>
      <c r="L13" s="50">
        <v>8.7200000000000006</v>
      </c>
      <c r="M13" s="50">
        <v>101.43</v>
      </c>
      <c r="N13" s="50">
        <v>53.4</v>
      </c>
      <c r="O13" s="50">
        <v>0</v>
      </c>
      <c r="P13" s="50">
        <v>1.63</v>
      </c>
      <c r="Q13" s="50">
        <v>10.24</v>
      </c>
      <c r="R13" s="43"/>
      <c r="S13" s="43"/>
      <c r="T13" s="43"/>
      <c r="U13" s="43"/>
    </row>
    <row r="14" spans="1:21" s="11" customFormat="1" x14ac:dyDescent="0.25">
      <c r="A14" s="49" t="s">
        <v>161</v>
      </c>
      <c r="B14" s="50">
        <v>167.47</v>
      </c>
      <c r="C14" s="50">
        <v>39.64</v>
      </c>
      <c r="D14" s="50">
        <v>153.44</v>
      </c>
      <c r="E14" s="50">
        <v>8.4600000000000009</v>
      </c>
      <c r="F14" s="50">
        <v>2.13</v>
      </c>
      <c r="G14" s="50">
        <v>134.22999999999999</v>
      </c>
      <c r="H14" s="50">
        <v>43.33</v>
      </c>
      <c r="I14" s="55" t="s">
        <v>15</v>
      </c>
      <c r="J14" s="50">
        <v>1.07</v>
      </c>
      <c r="K14" s="50">
        <v>307.86</v>
      </c>
      <c r="L14" s="50">
        <v>8.57</v>
      </c>
      <c r="M14" s="50">
        <v>103.11</v>
      </c>
      <c r="N14" s="50">
        <v>53.3</v>
      </c>
      <c r="O14" s="50">
        <v>0</v>
      </c>
      <c r="P14" s="50">
        <v>1.47</v>
      </c>
      <c r="Q14" s="50">
        <v>10.25</v>
      </c>
      <c r="R14" s="43"/>
      <c r="S14" s="43"/>
      <c r="T14" s="43"/>
      <c r="U14" s="43"/>
    </row>
    <row r="15" spans="1:21" s="11" customFormat="1" x14ac:dyDescent="0.25">
      <c r="A15" s="49" t="s">
        <v>162</v>
      </c>
      <c r="B15" s="50">
        <v>190.92</v>
      </c>
      <c r="C15" s="50">
        <v>40.26</v>
      </c>
      <c r="D15" s="50">
        <v>172.76</v>
      </c>
      <c r="E15" s="50">
        <v>8.9700000000000006</v>
      </c>
      <c r="F15" s="50">
        <v>2.13</v>
      </c>
      <c r="G15" s="50">
        <v>152.76</v>
      </c>
      <c r="H15" s="50">
        <v>43.49</v>
      </c>
      <c r="I15" s="55" t="s">
        <v>15</v>
      </c>
      <c r="J15" s="50">
        <v>1.07</v>
      </c>
      <c r="K15" s="50">
        <v>335.25</v>
      </c>
      <c r="L15" s="50">
        <v>8.57</v>
      </c>
      <c r="M15" s="50">
        <v>102.72</v>
      </c>
      <c r="N15" s="50">
        <v>62.3</v>
      </c>
      <c r="O15" s="50">
        <v>0</v>
      </c>
      <c r="P15" s="50">
        <v>1.36</v>
      </c>
      <c r="Q15" s="50">
        <v>10.28</v>
      </c>
      <c r="R15" s="43"/>
      <c r="S15" s="43"/>
      <c r="T15" s="43"/>
      <c r="U15" s="43"/>
    </row>
    <row r="16" spans="1:21" s="11" customFormat="1" x14ac:dyDescent="0.25">
      <c r="A16" s="49" t="s">
        <v>163</v>
      </c>
      <c r="B16" s="50">
        <v>196.72</v>
      </c>
      <c r="C16" s="50">
        <v>43.31</v>
      </c>
      <c r="D16" s="50">
        <v>178.19</v>
      </c>
      <c r="E16" s="50">
        <v>9.3800000000000008</v>
      </c>
      <c r="F16" s="50">
        <v>2.13</v>
      </c>
      <c r="G16" s="50">
        <v>152.76</v>
      </c>
      <c r="H16" s="50">
        <v>43.49</v>
      </c>
      <c r="I16" s="55" t="s">
        <v>15</v>
      </c>
      <c r="J16" s="50">
        <v>1.94</v>
      </c>
      <c r="K16" s="50">
        <v>307.64</v>
      </c>
      <c r="L16" s="50">
        <v>12.5</v>
      </c>
      <c r="M16" s="50">
        <v>97.69</v>
      </c>
      <c r="N16" s="50">
        <v>207.2</v>
      </c>
      <c r="O16" s="50">
        <v>0</v>
      </c>
      <c r="P16" s="50">
        <v>1.52</v>
      </c>
      <c r="Q16" s="50">
        <v>10.34</v>
      </c>
      <c r="R16" s="43"/>
      <c r="S16" s="43"/>
      <c r="T16" s="43"/>
      <c r="U16" s="43"/>
    </row>
    <row r="17" spans="1:21" s="11" customFormat="1" x14ac:dyDescent="0.25">
      <c r="A17" s="49" t="s">
        <v>164</v>
      </c>
      <c r="B17" s="50">
        <v>172.65</v>
      </c>
      <c r="C17" s="50">
        <v>48.88</v>
      </c>
      <c r="D17" s="50">
        <v>162.18</v>
      </c>
      <c r="E17" s="50">
        <v>8.61</v>
      </c>
      <c r="F17" s="50">
        <v>2.13</v>
      </c>
      <c r="G17" s="50">
        <v>130.35</v>
      </c>
      <c r="H17" s="50">
        <v>43.34</v>
      </c>
      <c r="I17" s="55" t="s">
        <v>15</v>
      </c>
      <c r="J17" s="50">
        <v>1.93</v>
      </c>
      <c r="K17" s="50">
        <v>112.48</v>
      </c>
      <c r="L17" s="50">
        <v>16.559999999999999</v>
      </c>
      <c r="M17" s="50">
        <v>65.11</v>
      </c>
      <c r="N17" s="50">
        <v>451.2</v>
      </c>
      <c r="O17" s="50">
        <v>0</v>
      </c>
      <c r="P17" s="50">
        <v>1.39</v>
      </c>
      <c r="Q17" s="50">
        <v>10.26</v>
      </c>
      <c r="R17" s="43"/>
      <c r="S17" s="43"/>
      <c r="T17" s="43"/>
      <c r="U17" s="43"/>
    </row>
    <row r="18" spans="1:21" s="11" customFormat="1" x14ac:dyDescent="0.25">
      <c r="A18" s="49" t="s">
        <v>165</v>
      </c>
      <c r="B18" s="50">
        <v>141.19</v>
      </c>
      <c r="C18" s="50">
        <v>51.05</v>
      </c>
      <c r="D18" s="50">
        <v>136.41</v>
      </c>
      <c r="E18" s="50">
        <v>8.11</v>
      </c>
      <c r="F18" s="50">
        <v>2.13</v>
      </c>
      <c r="G18" s="50">
        <v>90.05</v>
      </c>
      <c r="H18" s="50">
        <v>41.71</v>
      </c>
      <c r="I18" s="55" t="s">
        <v>15</v>
      </c>
      <c r="J18" s="50">
        <v>1.68</v>
      </c>
      <c r="K18" s="50">
        <v>345.56</v>
      </c>
      <c r="L18" s="50">
        <v>23.97</v>
      </c>
      <c r="M18" s="50">
        <v>44.16</v>
      </c>
      <c r="N18" s="50">
        <v>565.20000000000005</v>
      </c>
      <c r="O18" s="50">
        <v>0</v>
      </c>
      <c r="P18" s="50">
        <v>1.22</v>
      </c>
      <c r="Q18" s="50">
        <v>10.119999999999999</v>
      </c>
      <c r="R18" s="43"/>
      <c r="S18" s="43"/>
      <c r="T18" s="43"/>
      <c r="U18" s="43"/>
    </row>
    <row r="19" spans="1:21" s="11" customFormat="1" x14ac:dyDescent="0.25">
      <c r="A19" s="49" t="s">
        <v>166</v>
      </c>
      <c r="B19" s="50">
        <v>112.91</v>
      </c>
      <c r="C19" s="50">
        <v>57.02</v>
      </c>
      <c r="D19" s="50">
        <v>116.67</v>
      </c>
      <c r="E19" s="50">
        <v>7.82</v>
      </c>
      <c r="F19" s="50">
        <v>2.13</v>
      </c>
      <c r="G19" s="50">
        <v>85.28</v>
      </c>
      <c r="H19" s="50">
        <v>32.880000000000003</v>
      </c>
      <c r="I19" s="55" t="s">
        <v>15</v>
      </c>
      <c r="J19" s="50">
        <v>1.89</v>
      </c>
      <c r="K19" s="50">
        <v>124.97</v>
      </c>
      <c r="L19" s="50">
        <v>21.98</v>
      </c>
      <c r="M19" s="50">
        <v>41.08</v>
      </c>
      <c r="N19" s="50">
        <v>636.70000000000005</v>
      </c>
      <c r="O19" s="50">
        <v>0</v>
      </c>
      <c r="P19" s="50">
        <v>1.1000000000000001</v>
      </c>
      <c r="Q19" s="50">
        <v>9.8800000000000008</v>
      </c>
      <c r="R19" s="43"/>
      <c r="S19" s="43"/>
      <c r="T19" s="43"/>
      <c r="U19" s="43"/>
    </row>
    <row r="20" spans="1:21" s="11" customFormat="1" x14ac:dyDescent="0.25">
      <c r="A20" s="49" t="s">
        <v>167</v>
      </c>
      <c r="B20" s="50">
        <v>84.36</v>
      </c>
      <c r="C20" s="50">
        <v>62.89</v>
      </c>
      <c r="D20" s="50">
        <v>96.79</v>
      </c>
      <c r="E20" s="50">
        <v>7.23</v>
      </c>
      <c r="F20" s="50">
        <v>2.13</v>
      </c>
      <c r="G20" s="50">
        <v>72.89</v>
      </c>
      <c r="H20" s="50">
        <v>31.05</v>
      </c>
      <c r="I20" s="55" t="s">
        <v>15</v>
      </c>
      <c r="J20" s="50">
        <v>1.1200000000000001</v>
      </c>
      <c r="K20" s="50">
        <v>107.76</v>
      </c>
      <c r="L20" s="50">
        <v>23.25</v>
      </c>
      <c r="M20" s="50">
        <v>36.32</v>
      </c>
      <c r="N20" s="50">
        <v>716</v>
      </c>
      <c r="O20" s="50">
        <v>0</v>
      </c>
      <c r="P20" s="50">
        <v>0.97</v>
      </c>
      <c r="Q20" s="50">
        <v>9.6</v>
      </c>
      <c r="R20" s="43"/>
      <c r="S20" s="43"/>
      <c r="T20" s="43"/>
      <c r="U20" s="43"/>
    </row>
    <row r="21" spans="1:21" s="11" customFormat="1" x14ac:dyDescent="0.25">
      <c r="A21" s="49" t="s">
        <v>168</v>
      </c>
      <c r="B21" s="50">
        <v>57.38</v>
      </c>
      <c r="C21" s="50">
        <v>65.77</v>
      </c>
      <c r="D21" s="50">
        <v>78.42</v>
      </c>
      <c r="E21" s="50">
        <v>7.01</v>
      </c>
      <c r="F21" s="50">
        <v>2.13</v>
      </c>
      <c r="G21" s="50">
        <v>71.55</v>
      </c>
      <c r="H21" s="50">
        <v>31.45</v>
      </c>
      <c r="I21" s="55" t="s">
        <v>15</v>
      </c>
      <c r="J21" s="50">
        <v>1.61</v>
      </c>
      <c r="K21" s="50">
        <v>341.9</v>
      </c>
      <c r="L21" s="50">
        <v>27.11</v>
      </c>
      <c r="M21" s="50">
        <v>28.82</v>
      </c>
      <c r="N21" s="50">
        <v>723.7</v>
      </c>
      <c r="O21" s="50">
        <v>0</v>
      </c>
      <c r="P21" s="50">
        <v>0.84</v>
      </c>
      <c r="Q21" s="50">
        <v>9.42</v>
      </c>
      <c r="R21" s="43"/>
      <c r="S21" s="43"/>
      <c r="T21" s="43"/>
      <c r="U21" s="43"/>
    </row>
    <row r="22" spans="1:21" s="11" customFormat="1" x14ac:dyDescent="0.25">
      <c r="A22" s="49" t="s">
        <v>169</v>
      </c>
      <c r="B22" s="50">
        <v>41.75</v>
      </c>
      <c r="C22" s="50">
        <v>67.22</v>
      </c>
      <c r="D22" s="50">
        <v>66.790000000000006</v>
      </c>
      <c r="E22" s="50">
        <v>6.8</v>
      </c>
      <c r="F22" s="50">
        <v>2.13</v>
      </c>
      <c r="G22" s="50">
        <v>66.83</v>
      </c>
      <c r="H22" s="50">
        <v>31.45</v>
      </c>
      <c r="I22" s="55" t="s">
        <v>15</v>
      </c>
      <c r="J22" s="50">
        <v>2.0299999999999998</v>
      </c>
      <c r="K22" s="50">
        <v>331.05</v>
      </c>
      <c r="L22" s="50">
        <v>26.81</v>
      </c>
      <c r="M22" s="50">
        <v>26.29</v>
      </c>
      <c r="N22" s="50">
        <v>684.9</v>
      </c>
      <c r="O22" s="50">
        <v>0</v>
      </c>
      <c r="P22" s="50">
        <v>0.83</v>
      </c>
      <c r="Q22" s="50">
        <v>9.11</v>
      </c>
      <c r="R22" s="43"/>
      <c r="S22" s="43"/>
      <c r="T22" s="43"/>
      <c r="U22" s="43"/>
    </row>
    <row r="23" spans="1:21" s="11" customFormat="1" x14ac:dyDescent="0.25">
      <c r="A23" s="49" t="s">
        <v>170</v>
      </c>
      <c r="B23" s="50">
        <v>31.05</v>
      </c>
      <c r="C23" s="50">
        <v>69.19</v>
      </c>
      <c r="D23" s="50">
        <v>58.6</v>
      </c>
      <c r="E23" s="50">
        <v>6.96</v>
      </c>
      <c r="F23" s="50">
        <v>2.13</v>
      </c>
      <c r="G23" s="50">
        <v>64.89</v>
      </c>
      <c r="H23" s="50">
        <v>25.5</v>
      </c>
      <c r="I23" s="55" t="s">
        <v>15</v>
      </c>
      <c r="J23" s="50">
        <v>1.88</v>
      </c>
      <c r="K23" s="50">
        <v>353.11</v>
      </c>
      <c r="L23" s="50">
        <v>25.88</v>
      </c>
      <c r="M23" s="50">
        <v>28.57</v>
      </c>
      <c r="N23" s="50">
        <v>539.9</v>
      </c>
      <c r="O23" s="50">
        <v>0</v>
      </c>
      <c r="P23" s="50">
        <v>0.79</v>
      </c>
      <c r="Q23" s="50">
        <v>8.3800000000000008</v>
      </c>
      <c r="R23" s="43"/>
      <c r="S23" s="43"/>
      <c r="T23" s="43"/>
      <c r="U23" s="43"/>
    </row>
    <row r="24" spans="1:21" s="11" customFormat="1" x14ac:dyDescent="0.25">
      <c r="A24" s="49" t="s">
        <v>171</v>
      </c>
      <c r="B24" s="50">
        <v>18.63</v>
      </c>
      <c r="C24" s="50">
        <v>72.31</v>
      </c>
      <c r="D24" s="50">
        <v>49.99</v>
      </c>
      <c r="E24" s="50">
        <v>6.4</v>
      </c>
      <c r="F24" s="50">
        <v>2.13</v>
      </c>
      <c r="G24" s="50">
        <v>71.209999999999994</v>
      </c>
      <c r="H24" s="50">
        <v>25.57</v>
      </c>
      <c r="I24" s="55" t="s">
        <v>15</v>
      </c>
      <c r="J24" s="50">
        <v>1.49</v>
      </c>
      <c r="K24" s="50">
        <v>343.66</v>
      </c>
      <c r="L24" s="50">
        <v>24.54</v>
      </c>
      <c r="M24" s="50">
        <v>29.36</v>
      </c>
      <c r="N24" s="50">
        <v>216.4</v>
      </c>
      <c r="O24" s="50">
        <v>0</v>
      </c>
      <c r="P24" s="50">
        <v>0.76</v>
      </c>
      <c r="Q24" s="50">
        <v>8.2100000000000009</v>
      </c>
      <c r="R24" s="43"/>
      <c r="S24" s="43"/>
      <c r="T24" s="43"/>
      <c r="U24" s="43"/>
    </row>
    <row r="25" spans="1:21" s="11" customFormat="1" x14ac:dyDescent="0.25">
      <c r="A25" s="49" t="s">
        <v>172</v>
      </c>
      <c r="B25" s="50">
        <v>10.45</v>
      </c>
      <c r="C25" s="50">
        <v>72.8</v>
      </c>
      <c r="D25" s="50">
        <v>45</v>
      </c>
      <c r="E25" s="50">
        <v>6.48</v>
      </c>
      <c r="F25" s="50">
        <v>2.13</v>
      </c>
      <c r="G25" s="50">
        <v>71.209999999999994</v>
      </c>
      <c r="H25" s="50">
        <v>25.82</v>
      </c>
      <c r="I25" s="55" t="s">
        <v>15</v>
      </c>
      <c r="J25" s="50">
        <v>1.08</v>
      </c>
      <c r="K25" s="50">
        <v>357.39</v>
      </c>
      <c r="L25" s="50">
        <v>22.85</v>
      </c>
      <c r="M25" s="50">
        <v>34.9</v>
      </c>
      <c r="N25" s="50">
        <v>151.1</v>
      </c>
      <c r="O25" s="50">
        <v>0</v>
      </c>
      <c r="P25" s="50">
        <v>0.75</v>
      </c>
      <c r="Q25" s="50">
        <v>8.2100000000000009</v>
      </c>
      <c r="R25" s="43"/>
      <c r="S25" s="43"/>
      <c r="T25" s="43"/>
      <c r="U25" s="43"/>
    </row>
    <row r="26" spans="1:21" s="11" customFormat="1" x14ac:dyDescent="0.25">
      <c r="A26" s="49" t="s">
        <v>173</v>
      </c>
      <c r="B26" s="50">
        <v>12.17</v>
      </c>
      <c r="C26" s="50">
        <v>68.69</v>
      </c>
      <c r="D26" s="50">
        <v>44.27</v>
      </c>
      <c r="E26" s="50">
        <v>6.11</v>
      </c>
      <c r="F26" s="50">
        <v>2.13</v>
      </c>
      <c r="G26" s="50">
        <v>87.4</v>
      </c>
      <c r="H26" s="50">
        <v>29.68</v>
      </c>
      <c r="I26" s="55" t="s">
        <v>15</v>
      </c>
      <c r="J26" s="50">
        <v>1.08</v>
      </c>
      <c r="K26" s="50">
        <v>312.3</v>
      </c>
      <c r="L26" s="50">
        <v>20.69</v>
      </c>
      <c r="M26" s="50">
        <v>48.81</v>
      </c>
      <c r="N26" s="50">
        <v>119.5</v>
      </c>
      <c r="O26" s="50">
        <v>0</v>
      </c>
      <c r="P26" s="50">
        <v>0.88</v>
      </c>
      <c r="Q26" s="50">
        <v>8.2100000000000009</v>
      </c>
      <c r="R26" s="43"/>
      <c r="S26" s="43"/>
      <c r="T26" s="43"/>
      <c r="U26" s="43"/>
    </row>
    <row r="27" spans="1:21" s="11" customFormat="1" x14ac:dyDescent="0.25">
      <c r="A27" s="49" t="s">
        <v>174</v>
      </c>
      <c r="B27" s="50">
        <v>27.51</v>
      </c>
      <c r="C27" s="50">
        <v>72.11</v>
      </c>
      <c r="D27" s="50">
        <v>58.36</v>
      </c>
      <c r="E27" s="50">
        <v>6.92</v>
      </c>
      <c r="F27" s="50">
        <v>2.13</v>
      </c>
      <c r="G27" s="50">
        <v>420.55</v>
      </c>
      <c r="H27" s="50">
        <v>31.3</v>
      </c>
      <c r="I27" s="55" t="s">
        <v>15</v>
      </c>
      <c r="J27" s="50">
        <v>1.1100000000000001</v>
      </c>
      <c r="K27" s="50">
        <v>333.53</v>
      </c>
      <c r="L27" s="50">
        <v>17.309999999999999</v>
      </c>
      <c r="M27" s="50">
        <v>65.27</v>
      </c>
      <c r="N27" s="50">
        <v>105.5</v>
      </c>
      <c r="O27" s="50">
        <v>0</v>
      </c>
      <c r="P27" s="50">
        <v>1.06</v>
      </c>
      <c r="Q27" s="50">
        <v>8.2100000000000009</v>
      </c>
      <c r="R27" s="43"/>
      <c r="S27" s="43"/>
      <c r="T27" s="43"/>
      <c r="U27" s="43"/>
    </row>
    <row r="28" spans="1:21" s="11" customFormat="1" x14ac:dyDescent="0.25">
      <c r="A28" s="49" t="s">
        <v>175</v>
      </c>
      <c r="B28" s="50">
        <v>36.46</v>
      </c>
      <c r="C28" s="50">
        <v>75.260000000000005</v>
      </c>
      <c r="D28" s="50">
        <v>67.180000000000007</v>
      </c>
      <c r="E28" s="50">
        <v>7.83</v>
      </c>
      <c r="F28" s="50">
        <v>2.13</v>
      </c>
      <c r="G28" s="50">
        <v>420.55</v>
      </c>
      <c r="H28" s="50">
        <v>36.85</v>
      </c>
      <c r="I28" s="55" t="s">
        <v>15</v>
      </c>
      <c r="J28" s="50">
        <v>1.05</v>
      </c>
      <c r="K28" s="50">
        <v>329.49</v>
      </c>
      <c r="L28" s="50">
        <v>17.09</v>
      </c>
      <c r="M28" s="50">
        <v>64.12</v>
      </c>
      <c r="N28" s="50">
        <v>106.4</v>
      </c>
      <c r="O28" s="50">
        <v>0</v>
      </c>
      <c r="P28" s="50">
        <v>1.31</v>
      </c>
      <c r="Q28" s="50">
        <v>8.74</v>
      </c>
      <c r="R28" s="43"/>
      <c r="S28" s="43"/>
      <c r="T28" s="43"/>
      <c r="U28" s="43"/>
    </row>
    <row r="29" spans="1:21" s="11" customFormat="1" x14ac:dyDescent="0.25">
      <c r="A29" s="49" t="s">
        <v>176</v>
      </c>
      <c r="B29" s="50">
        <v>54.75</v>
      </c>
      <c r="C29" s="50">
        <v>76.38</v>
      </c>
      <c r="D29" s="50">
        <v>81.069999999999993</v>
      </c>
      <c r="E29" s="50">
        <v>8.93</v>
      </c>
      <c r="F29" s="50">
        <v>2.13</v>
      </c>
      <c r="G29" s="50">
        <v>167.56</v>
      </c>
      <c r="H29" s="50">
        <v>49.1</v>
      </c>
      <c r="I29" s="55" t="s">
        <v>15</v>
      </c>
      <c r="J29" s="50">
        <v>1.0900000000000001</v>
      </c>
      <c r="K29" s="50">
        <v>319.82</v>
      </c>
      <c r="L29" s="50">
        <v>15.24</v>
      </c>
      <c r="M29" s="50">
        <v>73.78</v>
      </c>
      <c r="N29" s="50">
        <v>106.9</v>
      </c>
      <c r="O29" s="50">
        <v>0</v>
      </c>
      <c r="P29" s="50">
        <v>2.16</v>
      </c>
      <c r="Q29" s="50">
        <v>9.36</v>
      </c>
      <c r="R29" s="43"/>
      <c r="S29" s="43"/>
      <c r="T29" s="43"/>
      <c r="U29" s="43"/>
    </row>
    <row r="30" spans="1:21" s="11" customFormat="1" x14ac:dyDescent="0.25">
      <c r="A30" s="49" t="s">
        <v>177</v>
      </c>
      <c r="B30" s="50">
        <v>61.86</v>
      </c>
      <c r="C30" s="50">
        <v>73.290000000000006</v>
      </c>
      <c r="D30" s="50">
        <v>84.25</v>
      </c>
      <c r="E30" s="50">
        <v>9.16</v>
      </c>
      <c r="F30" s="50">
        <v>2.13</v>
      </c>
      <c r="G30" s="50">
        <v>220.77</v>
      </c>
      <c r="H30" s="50">
        <v>66.489999999999995</v>
      </c>
      <c r="I30" s="55" t="s">
        <v>15</v>
      </c>
      <c r="J30" s="50">
        <v>0.87</v>
      </c>
      <c r="K30" s="50">
        <v>114.85</v>
      </c>
      <c r="L30" s="50">
        <v>15.17</v>
      </c>
      <c r="M30" s="50">
        <v>66.2</v>
      </c>
      <c r="N30" s="50">
        <v>106.6</v>
      </c>
      <c r="O30" s="50">
        <v>0</v>
      </c>
      <c r="P30" s="50">
        <v>2.2200000000000002</v>
      </c>
      <c r="Q30" s="50">
        <v>9.52</v>
      </c>
      <c r="R30" s="43"/>
      <c r="S30" s="43"/>
      <c r="T30" s="43"/>
      <c r="U30" s="43"/>
    </row>
    <row r="31" spans="1:21" s="11" customFormat="1" x14ac:dyDescent="0.25">
      <c r="A31" s="49" t="s">
        <v>178</v>
      </c>
      <c r="B31" s="50">
        <v>62.69</v>
      </c>
      <c r="C31" s="50">
        <v>67.239999999999995</v>
      </c>
      <c r="D31" s="50">
        <v>83.76</v>
      </c>
      <c r="E31" s="50">
        <v>8.9600000000000009</v>
      </c>
      <c r="F31" s="50">
        <v>2.13</v>
      </c>
      <c r="G31" s="50">
        <v>220.77</v>
      </c>
      <c r="H31" s="50">
        <v>66.489999999999995</v>
      </c>
      <c r="I31" s="55" t="s">
        <v>15</v>
      </c>
      <c r="J31" s="50">
        <v>0.63</v>
      </c>
      <c r="K31" s="50">
        <v>344.94</v>
      </c>
      <c r="L31" s="50">
        <v>14.61</v>
      </c>
      <c r="M31" s="50">
        <v>73.77</v>
      </c>
      <c r="N31" s="50">
        <v>106.7</v>
      </c>
      <c r="O31" s="50">
        <v>0</v>
      </c>
      <c r="P31" s="50">
        <v>2</v>
      </c>
      <c r="Q31" s="50">
        <v>9.52</v>
      </c>
      <c r="R31" s="43"/>
      <c r="S31" s="43"/>
      <c r="T31" s="43"/>
      <c r="U31" s="43"/>
    </row>
    <row r="32" spans="1:21" s="11" customFormat="1" x14ac:dyDescent="0.25">
      <c r="A32" s="49" t="s">
        <v>179</v>
      </c>
      <c r="B32" s="50">
        <v>60.99</v>
      </c>
      <c r="C32" s="50">
        <v>65.3</v>
      </c>
      <c r="D32" s="50">
        <v>81.650000000000006</v>
      </c>
      <c r="E32" s="50">
        <v>8.56</v>
      </c>
      <c r="F32" s="50">
        <v>2.13</v>
      </c>
      <c r="G32" s="50">
        <v>156.47999999999999</v>
      </c>
      <c r="H32" s="50">
        <v>65.12</v>
      </c>
      <c r="I32" s="55" t="s">
        <v>15</v>
      </c>
      <c r="J32" s="50">
        <v>1.08</v>
      </c>
      <c r="K32" s="50">
        <v>345.11</v>
      </c>
      <c r="L32" s="50">
        <v>14.14</v>
      </c>
      <c r="M32" s="50">
        <v>71.27</v>
      </c>
      <c r="N32" s="50">
        <v>106.8</v>
      </c>
      <c r="O32" s="50">
        <v>0</v>
      </c>
      <c r="P32" s="50">
        <v>1.94</v>
      </c>
      <c r="Q32" s="50">
        <v>9.4600000000000009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10.45</v>
      </c>
      <c r="C34" s="28">
        <f t="shared" si="0"/>
        <v>39.64</v>
      </c>
      <c r="D34" s="28">
        <f t="shared" si="0"/>
        <v>44.27</v>
      </c>
      <c r="E34" s="28">
        <f t="shared" si="0"/>
        <v>6.11</v>
      </c>
      <c r="F34" s="28">
        <f t="shared" si="0"/>
        <v>2.13</v>
      </c>
      <c r="G34" s="28">
        <f t="shared" si="0"/>
        <v>64.89</v>
      </c>
      <c r="H34" s="28">
        <f t="shared" si="0"/>
        <v>25.5</v>
      </c>
      <c r="I34" s="28">
        <f t="shared" si="0"/>
        <v>0</v>
      </c>
      <c r="J34" s="28">
        <f t="shared" si="0"/>
        <v>0.63</v>
      </c>
      <c r="K34" s="28">
        <f t="shared" si="0"/>
        <v>107.76</v>
      </c>
      <c r="L34" s="28">
        <f t="shared" si="0"/>
        <v>8.57</v>
      </c>
      <c r="M34" s="28">
        <f t="shared" si="0"/>
        <v>26.29</v>
      </c>
      <c r="N34" s="28">
        <f t="shared" si="0"/>
        <v>52.8</v>
      </c>
      <c r="O34" s="28">
        <f t="shared" si="0"/>
        <v>0</v>
      </c>
      <c r="P34" s="28">
        <f t="shared" si="0"/>
        <v>0.75</v>
      </c>
      <c r="Q34" s="28">
        <f t="shared" si="0"/>
        <v>8.2100000000000009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294.08999999999997</v>
      </c>
      <c r="C35" s="29">
        <f t="shared" si="1"/>
        <v>76.38</v>
      </c>
      <c r="D35" s="29">
        <f t="shared" si="1"/>
        <v>258.76</v>
      </c>
      <c r="E35" s="29">
        <f t="shared" si="1"/>
        <v>12.29</v>
      </c>
      <c r="F35" s="29">
        <f t="shared" si="1"/>
        <v>2.13</v>
      </c>
      <c r="G35" s="29">
        <f t="shared" si="1"/>
        <v>420.55</v>
      </c>
      <c r="H35" s="29">
        <f t="shared" si="1"/>
        <v>66.489999999999995</v>
      </c>
      <c r="I35" s="29">
        <f t="shared" si="1"/>
        <v>0</v>
      </c>
      <c r="J35" s="29">
        <f t="shared" si="1"/>
        <v>2.0299999999999998</v>
      </c>
      <c r="K35" s="29">
        <f t="shared" si="1"/>
        <v>357.39</v>
      </c>
      <c r="L35" s="29">
        <f t="shared" si="1"/>
        <v>27.11</v>
      </c>
      <c r="M35" s="29">
        <f t="shared" si="1"/>
        <v>103.6</v>
      </c>
      <c r="N35" s="29">
        <f t="shared" si="1"/>
        <v>723.7</v>
      </c>
      <c r="O35" s="29">
        <f t="shared" si="1"/>
        <v>0</v>
      </c>
      <c r="P35" s="29">
        <f t="shared" si="1"/>
        <v>2.92</v>
      </c>
      <c r="Q35" s="29">
        <f t="shared" si="1"/>
        <v>11.15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113.23458333333338</v>
      </c>
      <c r="C36" s="28">
        <f t="shared" si="2"/>
        <v>58.530416666666646</v>
      </c>
      <c r="D36" s="28">
        <f t="shared" si="2"/>
        <v>119.33916666666669</v>
      </c>
      <c r="E36" s="28">
        <f t="shared" si="2"/>
        <v>8.2754166666666666</v>
      </c>
      <c r="F36" s="28">
        <f t="shared" si="2"/>
        <v>2.1300000000000003</v>
      </c>
      <c r="G36" s="28">
        <f t="shared" si="2"/>
        <v>150.61583333333334</v>
      </c>
      <c r="H36" s="28">
        <f t="shared" si="2"/>
        <v>42.662916666666675</v>
      </c>
      <c r="I36" s="28" t="e">
        <f t="shared" si="2"/>
        <v>#DIV/0!</v>
      </c>
      <c r="J36" s="28">
        <f t="shared" si="2"/>
        <v>1.2862499999999999</v>
      </c>
      <c r="K36" s="28">
        <f t="shared" si="2"/>
        <v>295.53166666666664</v>
      </c>
      <c r="L36" s="28">
        <f t="shared" si="2"/>
        <v>16.998333333333335</v>
      </c>
      <c r="M36" s="28">
        <f t="shared" si="2"/>
        <v>65.751666666666665</v>
      </c>
      <c r="N36" s="28">
        <f t="shared" si="2"/>
        <v>251.32916666666662</v>
      </c>
      <c r="O36" s="28">
        <f t="shared" si="2"/>
        <v>0</v>
      </c>
      <c r="P36" s="28">
        <f t="shared" si="2"/>
        <v>1.4816666666666662</v>
      </c>
      <c r="Q36" s="28">
        <f t="shared" si="2"/>
        <v>9.6120833333333362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87.148601474431374</v>
      </c>
      <c r="C37" s="28">
        <f t="shared" ref="C37:Q37" si="3">STDEV(C9:C32)</f>
        <v>13.433637041645463</v>
      </c>
      <c r="D37" s="28">
        <f t="shared" si="3"/>
        <v>63.832314013506029</v>
      </c>
      <c r="E37" s="28">
        <f t="shared" si="3"/>
        <v>1.4580003553606897</v>
      </c>
      <c r="F37" s="28">
        <f t="shared" si="3"/>
        <v>4.5364060814922986E-16</v>
      </c>
      <c r="G37" s="28">
        <f t="shared" si="3"/>
        <v>96.688096336562552</v>
      </c>
      <c r="H37" s="28">
        <f t="shared" si="3"/>
        <v>13.165409050652931</v>
      </c>
      <c r="I37" s="28" t="e">
        <f t="shared" si="3"/>
        <v>#DIV/0!</v>
      </c>
      <c r="J37" s="28">
        <f t="shared" si="3"/>
        <v>0.40171169090368347</v>
      </c>
      <c r="K37" s="28">
        <f t="shared" si="3"/>
        <v>83.750701679950467</v>
      </c>
      <c r="L37" s="28">
        <f t="shared" si="3"/>
        <v>6.3039053917714973</v>
      </c>
      <c r="M37" s="28">
        <f t="shared" si="3"/>
        <v>27.492696210585397</v>
      </c>
      <c r="N37" s="28">
        <f t="shared" si="3"/>
        <v>248.92302717937721</v>
      </c>
      <c r="O37" s="28">
        <f t="shared" si="3"/>
        <v>0</v>
      </c>
      <c r="P37" s="28">
        <f t="shared" si="3"/>
        <v>0.60681396523629738</v>
      </c>
      <c r="Q37" s="28">
        <f t="shared" si="3"/>
        <v>0.91910627273439349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0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&lt;90%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LESS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7" sqref="G47"/>
    </sheetView>
  </sheetViews>
  <sheetFormatPr defaultColWidth="8.85546875" defaultRowHeight="15" x14ac:dyDescent="0.25"/>
  <cols>
    <col min="1" max="1" width="18.28515625" style="26" customWidth="1"/>
    <col min="2" max="2" width="13.57031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06/01/2025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3" t="s">
        <v>180</v>
      </c>
      <c r="B9" s="54">
        <v>49.59</v>
      </c>
      <c r="C9" s="54">
        <v>65.06</v>
      </c>
      <c r="D9" s="54">
        <v>72</v>
      </c>
      <c r="E9" s="54">
        <v>7.66</v>
      </c>
      <c r="F9" s="54">
        <v>2.13</v>
      </c>
      <c r="G9" s="54">
        <v>134.12</v>
      </c>
      <c r="H9" s="54">
        <v>57.79</v>
      </c>
      <c r="I9" s="55" t="s">
        <v>15</v>
      </c>
      <c r="J9" s="54">
        <v>1.17</v>
      </c>
      <c r="K9" s="54">
        <v>333.41</v>
      </c>
      <c r="L9" s="54">
        <v>13.35</v>
      </c>
      <c r="M9" s="54">
        <v>78.97</v>
      </c>
      <c r="N9" s="54">
        <v>106.5</v>
      </c>
      <c r="O9" s="54">
        <v>0</v>
      </c>
      <c r="P9" s="54">
        <v>1.8</v>
      </c>
      <c r="Q9" s="54">
        <v>9.35</v>
      </c>
      <c r="R9" s="43"/>
      <c r="S9" s="43"/>
      <c r="T9" s="43"/>
      <c r="U9" s="43"/>
    </row>
    <row r="10" spans="1:21" s="11" customFormat="1" x14ac:dyDescent="0.25">
      <c r="A10" s="53" t="s">
        <v>181</v>
      </c>
      <c r="B10" s="54">
        <v>40.82</v>
      </c>
      <c r="C10" s="54">
        <v>63.74</v>
      </c>
      <c r="D10" s="54">
        <v>64.63</v>
      </c>
      <c r="E10" s="54">
        <v>7.03</v>
      </c>
      <c r="F10" s="54">
        <v>2.13</v>
      </c>
      <c r="G10" s="54">
        <v>131.52000000000001</v>
      </c>
      <c r="H10" s="54">
        <v>56.36</v>
      </c>
      <c r="I10" s="55" t="s">
        <v>15</v>
      </c>
      <c r="J10" s="54">
        <v>1.1100000000000001</v>
      </c>
      <c r="K10" s="54">
        <v>335.2</v>
      </c>
      <c r="L10" s="54">
        <v>12.99</v>
      </c>
      <c r="M10" s="54">
        <v>86.53</v>
      </c>
      <c r="N10" s="54">
        <v>106.8</v>
      </c>
      <c r="O10" s="54">
        <v>0</v>
      </c>
      <c r="P10" s="54">
        <v>1.52</v>
      </c>
      <c r="Q10" s="54">
        <v>8.98</v>
      </c>
      <c r="R10" s="43"/>
      <c r="S10" s="43"/>
      <c r="T10" s="43"/>
      <c r="U10" s="43"/>
    </row>
    <row r="11" spans="1:21" s="11" customFormat="1" x14ac:dyDescent="0.25">
      <c r="A11" s="53" t="s">
        <v>182</v>
      </c>
      <c r="B11" s="54">
        <v>34.11</v>
      </c>
      <c r="C11" s="54">
        <v>61.96</v>
      </c>
      <c r="D11" s="54">
        <v>58.35</v>
      </c>
      <c r="E11" s="54">
        <v>7.23</v>
      </c>
      <c r="F11" s="54">
        <v>2.13</v>
      </c>
      <c r="G11" s="54">
        <v>131.52000000000001</v>
      </c>
      <c r="H11" s="54">
        <v>52.55</v>
      </c>
      <c r="I11" s="55" t="s">
        <v>15</v>
      </c>
      <c r="J11" s="54">
        <v>1.1599999999999999</v>
      </c>
      <c r="K11" s="54">
        <v>319.86</v>
      </c>
      <c r="L11" s="54">
        <v>11.28</v>
      </c>
      <c r="M11" s="54">
        <v>97.03</v>
      </c>
      <c r="N11" s="54">
        <v>106.7</v>
      </c>
      <c r="O11" s="54">
        <v>0</v>
      </c>
      <c r="P11" s="54">
        <v>1.43</v>
      </c>
      <c r="Q11" s="54">
        <v>8.48</v>
      </c>
      <c r="R11" s="43"/>
      <c r="S11" s="43"/>
      <c r="T11" s="43"/>
      <c r="U11" s="43"/>
    </row>
    <row r="12" spans="1:21" s="11" customFormat="1" x14ac:dyDescent="0.25">
      <c r="A12" s="53" t="s">
        <v>183</v>
      </c>
      <c r="B12" s="54">
        <v>28.36</v>
      </c>
      <c r="C12" s="54">
        <v>59.38</v>
      </c>
      <c r="D12" s="54">
        <v>52.39</v>
      </c>
      <c r="E12" s="54">
        <v>7.23</v>
      </c>
      <c r="F12" s="54">
        <v>2.13</v>
      </c>
      <c r="G12" s="54">
        <v>118.36</v>
      </c>
      <c r="H12" s="54">
        <v>53.38</v>
      </c>
      <c r="I12" s="55" t="s">
        <v>15</v>
      </c>
      <c r="J12" s="54">
        <v>1.1000000000000001</v>
      </c>
      <c r="K12" s="54">
        <v>333.85</v>
      </c>
      <c r="L12" s="54">
        <v>10.82</v>
      </c>
      <c r="M12" s="54">
        <v>98.77</v>
      </c>
      <c r="N12" s="54">
        <v>107</v>
      </c>
      <c r="O12" s="54">
        <v>0</v>
      </c>
      <c r="P12" s="54">
        <v>1.32</v>
      </c>
      <c r="Q12" s="54">
        <v>8.2100000000000009</v>
      </c>
      <c r="R12" s="43"/>
      <c r="S12" s="43"/>
      <c r="T12" s="43"/>
      <c r="U12" s="43"/>
    </row>
    <row r="13" spans="1:21" s="11" customFormat="1" x14ac:dyDescent="0.25">
      <c r="A13" s="53" t="s">
        <v>184</v>
      </c>
      <c r="B13" s="54">
        <v>22.96</v>
      </c>
      <c r="C13" s="54">
        <v>58.67</v>
      </c>
      <c r="D13" s="54">
        <v>47.46</v>
      </c>
      <c r="E13" s="54">
        <v>7.07</v>
      </c>
      <c r="F13" s="54">
        <v>2.13</v>
      </c>
      <c r="G13" s="54">
        <v>106.51</v>
      </c>
      <c r="H13" s="54">
        <v>53.38</v>
      </c>
      <c r="I13" s="55" t="s">
        <v>15</v>
      </c>
      <c r="J13" s="54">
        <v>1.1200000000000001</v>
      </c>
      <c r="K13" s="54">
        <v>292.95</v>
      </c>
      <c r="L13" s="54">
        <v>10.62</v>
      </c>
      <c r="M13" s="54">
        <v>100.46</v>
      </c>
      <c r="N13" s="54">
        <v>106.7</v>
      </c>
      <c r="O13" s="54">
        <v>0</v>
      </c>
      <c r="P13" s="54">
        <v>1.18</v>
      </c>
      <c r="Q13" s="54">
        <v>8.2100000000000009</v>
      </c>
      <c r="R13" s="43"/>
      <c r="S13" s="43"/>
      <c r="T13" s="43"/>
      <c r="U13" s="43"/>
    </row>
    <row r="14" spans="1:21" s="11" customFormat="1" x14ac:dyDescent="0.25">
      <c r="A14" s="53" t="s">
        <v>185</v>
      </c>
      <c r="B14" s="54">
        <v>32.659999999999997</v>
      </c>
      <c r="C14" s="54">
        <v>54.73</v>
      </c>
      <c r="D14" s="54">
        <v>52.75</v>
      </c>
      <c r="E14" s="54">
        <v>7.79</v>
      </c>
      <c r="F14" s="54">
        <v>2.13</v>
      </c>
      <c r="G14" s="54">
        <v>142.63</v>
      </c>
      <c r="H14" s="54">
        <v>53.87</v>
      </c>
      <c r="I14" s="55" t="s">
        <v>15</v>
      </c>
      <c r="J14" s="54">
        <v>1.1499999999999999</v>
      </c>
      <c r="K14" s="54">
        <v>355.66</v>
      </c>
      <c r="L14" s="54">
        <v>10.35</v>
      </c>
      <c r="M14" s="54">
        <v>101.75</v>
      </c>
      <c r="N14" s="54">
        <v>106</v>
      </c>
      <c r="O14" s="54">
        <v>0</v>
      </c>
      <c r="P14" s="54">
        <v>1.22</v>
      </c>
      <c r="Q14" s="54">
        <v>8.2100000000000009</v>
      </c>
      <c r="R14" s="43"/>
      <c r="S14" s="43"/>
      <c r="T14" s="43"/>
      <c r="U14" s="43"/>
    </row>
    <row r="15" spans="1:21" s="11" customFormat="1" x14ac:dyDescent="0.25">
      <c r="A15" s="53" t="s">
        <v>186</v>
      </c>
      <c r="B15" s="54">
        <v>54.11</v>
      </c>
      <c r="C15" s="54">
        <v>53.21</v>
      </c>
      <c r="D15" s="54">
        <v>69.209999999999994</v>
      </c>
      <c r="E15" s="54">
        <v>8.7899999999999991</v>
      </c>
      <c r="F15" s="54">
        <v>2.29</v>
      </c>
      <c r="G15" s="54">
        <v>170.3</v>
      </c>
      <c r="H15" s="54">
        <v>61.23</v>
      </c>
      <c r="I15" s="55" t="s">
        <v>15</v>
      </c>
      <c r="J15" s="54">
        <v>1.1299999999999999</v>
      </c>
      <c r="K15" s="54">
        <v>329.29</v>
      </c>
      <c r="L15" s="54">
        <v>9.77</v>
      </c>
      <c r="M15" s="54">
        <v>102.62</v>
      </c>
      <c r="N15" s="54">
        <v>115.2</v>
      </c>
      <c r="O15" s="54">
        <v>0</v>
      </c>
      <c r="P15" s="54">
        <v>1.26</v>
      </c>
      <c r="Q15" s="54">
        <v>9.32</v>
      </c>
      <c r="R15" s="43"/>
      <c r="S15" s="43"/>
      <c r="T15" s="43"/>
      <c r="U15" s="43"/>
    </row>
    <row r="16" spans="1:21" s="11" customFormat="1" x14ac:dyDescent="0.25">
      <c r="A16" s="53" t="s">
        <v>187</v>
      </c>
      <c r="B16" s="54">
        <v>65.040000000000006</v>
      </c>
      <c r="C16" s="54">
        <v>53.18</v>
      </c>
      <c r="D16" s="54">
        <v>78.34</v>
      </c>
      <c r="E16" s="54">
        <v>9.2799999999999994</v>
      </c>
      <c r="F16" s="54">
        <v>2.13</v>
      </c>
      <c r="G16" s="54">
        <v>170.3</v>
      </c>
      <c r="H16" s="54">
        <v>61.23</v>
      </c>
      <c r="I16" s="55" t="s">
        <v>15</v>
      </c>
      <c r="J16" s="54">
        <v>1.22</v>
      </c>
      <c r="K16" s="54">
        <v>286.20999999999998</v>
      </c>
      <c r="L16" s="54">
        <v>11.67</v>
      </c>
      <c r="M16" s="54">
        <v>102.62</v>
      </c>
      <c r="N16" s="54">
        <v>220.2</v>
      </c>
      <c r="O16" s="54">
        <v>0</v>
      </c>
      <c r="P16" s="54">
        <v>1.38</v>
      </c>
      <c r="Q16" s="54">
        <v>9.49</v>
      </c>
      <c r="R16" s="43"/>
      <c r="S16" s="43"/>
      <c r="T16" s="43"/>
      <c r="U16" s="43"/>
    </row>
    <row r="17" spans="1:21" s="11" customFormat="1" x14ac:dyDescent="0.25">
      <c r="A17" s="53" t="s">
        <v>188</v>
      </c>
      <c r="B17" s="54">
        <v>60.44</v>
      </c>
      <c r="C17" s="54">
        <v>56.42</v>
      </c>
      <c r="D17" s="54">
        <v>75.510000000000005</v>
      </c>
      <c r="E17" s="54">
        <v>8.93</v>
      </c>
      <c r="F17" s="54">
        <v>2.13</v>
      </c>
      <c r="G17" s="54">
        <v>160.19</v>
      </c>
      <c r="H17" s="54">
        <v>60.64</v>
      </c>
      <c r="I17" s="55" t="s">
        <v>15</v>
      </c>
      <c r="J17" s="54">
        <v>1.36</v>
      </c>
      <c r="K17" s="54">
        <v>197.99</v>
      </c>
      <c r="L17" s="54">
        <v>15.41</v>
      </c>
      <c r="M17" s="54">
        <v>81.12</v>
      </c>
      <c r="N17" s="54">
        <v>397.7</v>
      </c>
      <c r="O17" s="54">
        <v>0</v>
      </c>
      <c r="P17" s="54">
        <v>1.32</v>
      </c>
      <c r="Q17" s="54">
        <v>9.42</v>
      </c>
      <c r="R17" s="43"/>
      <c r="S17" s="43"/>
      <c r="T17" s="43"/>
      <c r="U17" s="43"/>
    </row>
    <row r="18" spans="1:21" s="11" customFormat="1" x14ac:dyDescent="0.25">
      <c r="A18" s="53" t="s">
        <v>189</v>
      </c>
      <c r="B18" s="54">
        <v>49.92</v>
      </c>
      <c r="C18" s="54">
        <v>59.25</v>
      </c>
      <c r="D18" s="54">
        <v>68.5</v>
      </c>
      <c r="E18" s="54">
        <v>8.43</v>
      </c>
      <c r="F18" s="54">
        <v>2.13</v>
      </c>
      <c r="G18" s="54">
        <v>139.4</v>
      </c>
      <c r="H18" s="54">
        <v>56.68</v>
      </c>
      <c r="I18" s="55" t="s">
        <v>15</v>
      </c>
      <c r="J18" s="54">
        <v>1.28</v>
      </c>
      <c r="K18" s="54">
        <v>179.06</v>
      </c>
      <c r="L18" s="54">
        <v>17.91</v>
      </c>
      <c r="M18" s="54">
        <v>71.56</v>
      </c>
      <c r="N18" s="54">
        <v>518.79999999999995</v>
      </c>
      <c r="O18" s="54">
        <v>0</v>
      </c>
      <c r="P18" s="54">
        <v>1.28</v>
      </c>
      <c r="Q18" s="54">
        <v>9.34</v>
      </c>
      <c r="R18" s="43"/>
      <c r="S18" s="43"/>
      <c r="T18" s="43"/>
      <c r="U18" s="43"/>
    </row>
    <row r="19" spans="1:21" s="11" customFormat="1" x14ac:dyDescent="0.25">
      <c r="A19" s="53" t="s">
        <v>190</v>
      </c>
      <c r="B19" s="54">
        <v>37.409999999999997</v>
      </c>
      <c r="C19" s="54">
        <v>63.15</v>
      </c>
      <c r="D19" s="54">
        <v>60.22</v>
      </c>
      <c r="E19" s="54">
        <v>8.07</v>
      </c>
      <c r="F19" s="54">
        <v>2.13</v>
      </c>
      <c r="G19" s="54">
        <v>139.4</v>
      </c>
      <c r="H19" s="54">
        <v>56.68</v>
      </c>
      <c r="I19" s="55" t="s">
        <v>15</v>
      </c>
      <c r="J19" s="54">
        <v>1.28</v>
      </c>
      <c r="K19" s="54">
        <v>194.66</v>
      </c>
      <c r="L19" s="54">
        <v>21.34</v>
      </c>
      <c r="M19" s="54">
        <v>53.95</v>
      </c>
      <c r="N19" s="54">
        <v>594.20000000000005</v>
      </c>
      <c r="O19" s="54">
        <v>0</v>
      </c>
      <c r="P19" s="54">
        <v>1.24</v>
      </c>
      <c r="Q19" s="54">
        <v>8.57</v>
      </c>
      <c r="R19" s="43"/>
      <c r="S19" s="43"/>
      <c r="T19" s="43"/>
      <c r="U19" s="43"/>
    </row>
    <row r="20" spans="1:21" s="11" customFormat="1" x14ac:dyDescent="0.25">
      <c r="A20" s="53" t="s">
        <v>191</v>
      </c>
      <c r="B20" s="54">
        <v>24.41</v>
      </c>
      <c r="C20" s="54">
        <v>69.77</v>
      </c>
      <c r="D20" s="54">
        <v>51.75</v>
      </c>
      <c r="E20" s="54">
        <v>8.42</v>
      </c>
      <c r="F20" s="54">
        <v>2.13</v>
      </c>
      <c r="G20" s="54">
        <v>107.63</v>
      </c>
      <c r="H20" s="54">
        <v>56.33</v>
      </c>
      <c r="I20" s="55" t="s">
        <v>15</v>
      </c>
      <c r="J20" s="54">
        <v>1.5</v>
      </c>
      <c r="K20" s="54">
        <v>352.55</v>
      </c>
      <c r="L20" s="54">
        <v>24.73</v>
      </c>
      <c r="M20" s="54">
        <v>39.04</v>
      </c>
      <c r="N20" s="54">
        <v>657.3</v>
      </c>
      <c r="O20" s="54">
        <v>0</v>
      </c>
      <c r="P20" s="54">
        <v>1.1599999999999999</v>
      </c>
      <c r="Q20" s="54">
        <v>8.2100000000000009</v>
      </c>
      <c r="R20" s="43"/>
      <c r="S20" s="43"/>
      <c r="T20" s="43"/>
      <c r="U20" s="43"/>
    </row>
    <row r="21" spans="1:21" s="11" customFormat="1" x14ac:dyDescent="0.25">
      <c r="A21" s="53" t="s">
        <v>192</v>
      </c>
      <c r="B21" s="54">
        <v>13.19</v>
      </c>
      <c r="C21" s="54">
        <v>76.599999999999994</v>
      </c>
      <c r="D21" s="54">
        <v>45.83</v>
      </c>
      <c r="E21" s="54">
        <v>10.76</v>
      </c>
      <c r="F21" s="54">
        <v>5.74</v>
      </c>
      <c r="G21" s="54">
        <v>103.72</v>
      </c>
      <c r="H21" s="54">
        <v>52.97</v>
      </c>
      <c r="I21" s="55" t="s">
        <v>15</v>
      </c>
      <c r="J21" s="54">
        <v>1.39</v>
      </c>
      <c r="K21" s="54">
        <v>334.16</v>
      </c>
      <c r="L21" s="54">
        <v>26.65</v>
      </c>
      <c r="M21" s="54">
        <v>37.909999999999997</v>
      </c>
      <c r="N21" s="54">
        <v>678.2</v>
      </c>
      <c r="O21" s="54">
        <v>0</v>
      </c>
      <c r="P21" s="54">
        <v>1.1000000000000001</v>
      </c>
      <c r="Q21" s="54">
        <v>8.2100000000000009</v>
      </c>
      <c r="R21" s="43"/>
      <c r="S21" s="43"/>
      <c r="T21" s="43"/>
      <c r="U21" s="43"/>
    </row>
    <row r="22" spans="1:21" s="11" customFormat="1" x14ac:dyDescent="0.25">
      <c r="A22" s="53" t="s">
        <v>193</v>
      </c>
      <c r="B22" s="54">
        <v>3.07</v>
      </c>
      <c r="C22" s="54">
        <v>73.03</v>
      </c>
      <c r="D22" s="54">
        <v>39.03</v>
      </c>
      <c r="E22" s="54">
        <v>12.85</v>
      </c>
      <c r="F22" s="54">
        <v>20.66</v>
      </c>
      <c r="G22" s="54">
        <v>102.04</v>
      </c>
      <c r="H22" s="54">
        <v>46.02</v>
      </c>
      <c r="I22" s="55" t="s">
        <v>15</v>
      </c>
      <c r="J22" s="54">
        <v>2.08</v>
      </c>
      <c r="K22" s="54">
        <v>332.27</v>
      </c>
      <c r="L22" s="54">
        <v>25.67</v>
      </c>
      <c r="M22" s="54">
        <v>32.29</v>
      </c>
      <c r="N22" s="54">
        <v>643.70000000000005</v>
      </c>
      <c r="O22" s="54">
        <v>0</v>
      </c>
      <c r="P22" s="54">
        <v>0.91</v>
      </c>
      <c r="Q22" s="54">
        <v>8.2100000000000009</v>
      </c>
      <c r="R22" s="43"/>
      <c r="S22" s="43"/>
      <c r="T22" s="43"/>
      <c r="U22" s="43"/>
    </row>
    <row r="23" spans="1:21" s="11" customFormat="1" x14ac:dyDescent="0.25">
      <c r="A23" s="53" t="s">
        <v>194</v>
      </c>
      <c r="B23" s="54">
        <v>2.7</v>
      </c>
      <c r="C23" s="54">
        <v>74.5</v>
      </c>
      <c r="D23" s="54">
        <v>39.71</v>
      </c>
      <c r="E23" s="54">
        <v>12.94</v>
      </c>
      <c r="F23" s="54">
        <v>19</v>
      </c>
      <c r="G23" s="54">
        <v>102.04</v>
      </c>
      <c r="H23" s="54">
        <v>43.12</v>
      </c>
      <c r="I23" s="55" t="s">
        <v>15</v>
      </c>
      <c r="J23" s="54">
        <v>1.54</v>
      </c>
      <c r="K23" s="54">
        <v>348.08</v>
      </c>
      <c r="L23" s="54">
        <v>25.22</v>
      </c>
      <c r="M23" s="54">
        <v>32.020000000000003</v>
      </c>
      <c r="N23" s="54">
        <v>404.3</v>
      </c>
      <c r="O23" s="54">
        <v>0</v>
      </c>
      <c r="P23" s="54">
        <v>0.71</v>
      </c>
      <c r="Q23" s="54">
        <v>8.2100000000000009</v>
      </c>
      <c r="R23" s="43"/>
      <c r="S23" s="43"/>
      <c r="T23" s="43"/>
      <c r="U23" s="43"/>
    </row>
    <row r="24" spans="1:21" s="11" customFormat="1" x14ac:dyDescent="0.25">
      <c r="A24" s="53" t="s">
        <v>195</v>
      </c>
      <c r="B24" s="54">
        <v>2.71</v>
      </c>
      <c r="C24" s="54">
        <v>74.37</v>
      </c>
      <c r="D24" s="54">
        <v>39.65</v>
      </c>
      <c r="E24" s="54">
        <v>15.77</v>
      </c>
      <c r="F24" s="54">
        <v>27.21</v>
      </c>
      <c r="G24" s="54">
        <v>83.88</v>
      </c>
      <c r="H24" s="54">
        <v>41.01</v>
      </c>
      <c r="I24" s="55" t="s">
        <v>15</v>
      </c>
      <c r="J24" s="54">
        <v>1.59</v>
      </c>
      <c r="K24" s="54">
        <v>132.11000000000001</v>
      </c>
      <c r="L24" s="54">
        <v>22.64</v>
      </c>
      <c r="M24" s="54">
        <v>36.24</v>
      </c>
      <c r="N24" s="54">
        <v>163.30000000000001</v>
      </c>
      <c r="O24" s="54">
        <v>0</v>
      </c>
      <c r="P24" s="54">
        <v>0.7</v>
      </c>
      <c r="Q24" s="54">
        <v>8.2100000000000009</v>
      </c>
      <c r="R24" s="43"/>
      <c r="S24" s="43"/>
      <c r="T24" s="43"/>
      <c r="U24" s="43"/>
    </row>
    <row r="25" spans="1:21" s="11" customFormat="1" x14ac:dyDescent="0.25">
      <c r="A25" s="53" t="s">
        <v>196</v>
      </c>
      <c r="B25" s="54">
        <v>2.34</v>
      </c>
      <c r="C25" s="54">
        <v>55.26</v>
      </c>
      <c r="D25" s="54">
        <v>29.1</v>
      </c>
      <c r="E25" s="54">
        <v>10.11</v>
      </c>
      <c r="F25" s="54">
        <v>9.6</v>
      </c>
      <c r="G25" s="54">
        <v>109.66</v>
      </c>
      <c r="H25" s="54">
        <v>41.01</v>
      </c>
      <c r="I25" s="55" t="s">
        <v>15</v>
      </c>
      <c r="J25" s="54">
        <v>1.54</v>
      </c>
      <c r="K25" s="54">
        <v>162.22</v>
      </c>
      <c r="L25" s="54">
        <v>21.79</v>
      </c>
      <c r="M25" s="54">
        <v>38.33</v>
      </c>
      <c r="N25" s="54">
        <v>104.7</v>
      </c>
      <c r="O25" s="54">
        <v>0</v>
      </c>
      <c r="P25" s="54">
        <v>0.62</v>
      </c>
      <c r="Q25" s="54">
        <v>8.2100000000000009</v>
      </c>
      <c r="R25" s="43"/>
      <c r="S25" s="43"/>
      <c r="T25" s="43"/>
      <c r="U25" s="43"/>
    </row>
    <row r="26" spans="1:21" s="11" customFormat="1" x14ac:dyDescent="0.25">
      <c r="A26" s="53" t="s">
        <v>197</v>
      </c>
      <c r="B26" s="54">
        <v>6.08</v>
      </c>
      <c r="C26" s="54">
        <v>77.510000000000005</v>
      </c>
      <c r="D26" s="54">
        <v>43.99</v>
      </c>
      <c r="E26" s="54">
        <v>9.6199999999999992</v>
      </c>
      <c r="F26" s="54">
        <v>9.98</v>
      </c>
      <c r="G26" s="54">
        <v>116.41</v>
      </c>
      <c r="H26" s="54">
        <v>38.85</v>
      </c>
      <c r="I26" s="55" t="s">
        <v>15</v>
      </c>
      <c r="J26" s="54">
        <v>1.2</v>
      </c>
      <c r="K26" s="54">
        <v>326.14</v>
      </c>
      <c r="L26" s="54">
        <v>20.58</v>
      </c>
      <c r="M26" s="54">
        <v>55.65</v>
      </c>
      <c r="N26" s="54">
        <v>71.599999999999994</v>
      </c>
      <c r="O26" s="54">
        <v>0</v>
      </c>
      <c r="P26" s="54">
        <v>0.94</v>
      </c>
      <c r="Q26" s="54">
        <v>8.2100000000000009</v>
      </c>
      <c r="R26" s="43"/>
      <c r="S26" s="43"/>
      <c r="T26" s="43"/>
      <c r="U26" s="43"/>
    </row>
    <row r="27" spans="1:21" s="11" customFormat="1" x14ac:dyDescent="0.25">
      <c r="A27" s="53" t="s">
        <v>198</v>
      </c>
      <c r="B27" s="54">
        <v>23.57</v>
      </c>
      <c r="C27" s="54">
        <v>79.989999999999995</v>
      </c>
      <c r="D27" s="54">
        <v>59.21</v>
      </c>
      <c r="E27" s="54">
        <v>7.46</v>
      </c>
      <c r="F27" s="54">
        <v>2.13</v>
      </c>
      <c r="G27" s="54">
        <v>207.95</v>
      </c>
      <c r="H27" s="54">
        <v>42.7</v>
      </c>
      <c r="I27" s="55" t="s">
        <v>15</v>
      </c>
      <c r="J27" s="54">
        <v>1.83</v>
      </c>
      <c r="K27" s="54">
        <v>359.05</v>
      </c>
      <c r="L27" s="54">
        <v>17.43</v>
      </c>
      <c r="M27" s="54">
        <v>67.13</v>
      </c>
      <c r="N27" s="54">
        <v>60.1</v>
      </c>
      <c r="O27" s="54">
        <v>0</v>
      </c>
      <c r="P27" s="54">
        <v>1.32</v>
      </c>
      <c r="Q27" s="54">
        <v>8.2100000000000009</v>
      </c>
      <c r="R27" s="43"/>
      <c r="S27" s="43"/>
      <c r="T27" s="43"/>
      <c r="U27" s="43"/>
    </row>
    <row r="28" spans="1:21" s="11" customFormat="1" x14ac:dyDescent="0.25">
      <c r="A28" s="53" t="s">
        <v>199</v>
      </c>
      <c r="B28" s="54">
        <v>25.2</v>
      </c>
      <c r="C28" s="54">
        <v>79.62</v>
      </c>
      <c r="D28" s="54">
        <v>60.39</v>
      </c>
      <c r="E28" s="54">
        <v>7.44</v>
      </c>
      <c r="F28" s="54">
        <v>2.13</v>
      </c>
      <c r="G28" s="54">
        <v>207.95</v>
      </c>
      <c r="H28" s="54">
        <v>50.05</v>
      </c>
      <c r="I28" s="55" t="s">
        <v>15</v>
      </c>
      <c r="J28" s="54">
        <v>1.72</v>
      </c>
      <c r="K28" s="54">
        <v>289.42</v>
      </c>
      <c r="L28" s="54">
        <v>18.38</v>
      </c>
      <c r="M28" s="54">
        <v>58.4</v>
      </c>
      <c r="N28" s="54">
        <v>63</v>
      </c>
      <c r="O28" s="54">
        <v>0</v>
      </c>
      <c r="P28" s="54">
        <v>1.19</v>
      </c>
      <c r="Q28" s="54">
        <v>8.2100000000000009</v>
      </c>
      <c r="R28" s="43"/>
      <c r="S28" s="43"/>
      <c r="T28" s="43"/>
      <c r="U28" s="43"/>
    </row>
    <row r="29" spans="1:21" s="11" customFormat="1" x14ac:dyDescent="0.25">
      <c r="A29" s="53" t="s">
        <v>200</v>
      </c>
      <c r="B29" s="54">
        <v>26.37</v>
      </c>
      <c r="C29" s="54">
        <v>79.06</v>
      </c>
      <c r="D29" s="54">
        <v>60.44</v>
      </c>
      <c r="E29" s="54">
        <v>7.22</v>
      </c>
      <c r="F29" s="54">
        <v>2.13</v>
      </c>
      <c r="G29" s="54">
        <v>144.96</v>
      </c>
      <c r="H29" s="54">
        <v>50.05</v>
      </c>
      <c r="I29" s="55" t="s">
        <v>15</v>
      </c>
      <c r="J29" s="54">
        <v>1.1299999999999999</v>
      </c>
      <c r="K29" s="54">
        <v>292.70999999999998</v>
      </c>
      <c r="L29" s="54">
        <v>17.13</v>
      </c>
      <c r="M29" s="54">
        <v>62.68</v>
      </c>
      <c r="N29" s="54">
        <v>65</v>
      </c>
      <c r="O29" s="54">
        <v>0</v>
      </c>
      <c r="P29" s="54">
        <v>1.32</v>
      </c>
      <c r="Q29" s="54">
        <v>8.2100000000000009</v>
      </c>
      <c r="R29" s="43"/>
      <c r="S29" s="43"/>
      <c r="T29" s="43"/>
      <c r="U29" s="43"/>
    </row>
    <row r="30" spans="1:21" s="11" customFormat="1" x14ac:dyDescent="0.25">
      <c r="A30" s="53" t="s">
        <v>201</v>
      </c>
      <c r="B30" s="54">
        <v>47.94</v>
      </c>
      <c r="C30" s="54">
        <v>77.319999999999993</v>
      </c>
      <c r="D30" s="54">
        <v>75.84</v>
      </c>
      <c r="E30" s="54">
        <v>7.66</v>
      </c>
      <c r="F30" s="54">
        <v>2.13</v>
      </c>
      <c r="G30" s="54">
        <v>179.04</v>
      </c>
      <c r="H30" s="54">
        <v>53.86</v>
      </c>
      <c r="I30" s="55" t="s">
        <v>15</v>
      </c>
      <c r="J30" s="54">
        <v>1.22</v>
      </c>
      <c r="K30" s="54">
        <v>330.21</v>
      </c>
      <c r="L30" s="54">
        <v>15.55</v>
      </c>
      <c r="M30" s="54">
        <v>79.63</v>
      </c>
      <c r="N30" s="54">
        <v>67.400000000000006</v>
      </c>
      <c r="O30" s="54">
        <v>0</v>
      </c>
      <c r="P30" s="54">
        <v>1.62</v>
      </c>
      <c r="Q30" s="54">
        <v>9.32</v>
      </c>
      <c r="R30" s="43"/>
      <c r="S30" s="43"/>
      <c r="T30" s="43"/>
      <c r="U30" s="43"/>
    </row>
    <row r="31" spans="1:21" s="11" customFormat="1" x14ac:dyDescent="0.25">
      <c r="A31" s="53" t="s">
        <v>202</v>
      </c>
      <c r="B31" s="54">
        <v>65.010000000000005</v>
      </c>
      <c r="C31" s="54">
        <v>74.16</v>
      </c>
      <c r="D31" s="54">
        <v>87.96</v>
      </c>
      <c r="E31" s="54">
        <v>8.11</v>
      </c>
      <c r="F31" s="54">
        <v>2.13</v>
      </c>
      <c r="G31" s="54">
        <v>179.04</v>
      </c>
      <c r="H31" s="54">
        <v>53.86</v>
      </c>
      <c r="I31" s="55" t="s">
        <v>15</v>
      </c>
      <c r="J31" s="54">
        <v>1.19</v>
      </c>
      <c r="K31" s="54">
        <v>325.76</v>
      </c>
      <c r="L31" s="54">
        <v>13.95</v>
      </c>
      <c r="M31" s="54">
        <v>84.9</v>
      </c>
      <c r="N31" s="54">
        <v>71.599999999999994</v>
      </c>
      <c r="O31" s="54">
        <v>0</v>
      </c>
      <c r="P31" s="54">
        <v>1.7</v>
      </c>
      <c r="Q31" s="54">
        <v>9.5399999999999991</v>
      </c>
      <c r="R31" s="43"/>
      <c r="S31" s="43"/>
      <c r="T31" s="43"/>
      <c r="U31" s="43"/>
    </row>
    <row r="32" spans="1:21" s="11" customFormat="1" x14ac:dyDescent="0.25">
      <c r="A32" s="53" t="s">
        <v>203</v>
      </c>
      <c r="B32" s="54">
        <v>76.849999999999994</v>
      </c>
      <c r="C32" s="54">
        <v>70.099999999999994</v>
      </c>
      <c r="D32" s="54">
        <v>96.03</v>
      </c>
      <c r="E32" s="54">
        <v>7.86</v>
      </c>
      <c r="F32" s="54">
        <v>2.13</v>
      </c>
      <c r="G32" s="54">
        <v>172.12</v>
      </c>
      <c r="H32" s="54">
        <v>53.59</v>
      </c>
      <c r="I32" s="55" t="s">
        <v>15</v>
      </c>
      <c r="J32" s="54">
        <v>1.08</v>
      </c>
      <c r="K32" s="54">
        <v>281.57</v>
      </c>
      <c r="L32" s="54">
        <v>13.76</v>
      </c>
      <c r="M32" s="54">
        <v>87.31</v>
      </c>
      <c r="N32" s="54">
        <v>91.7</v>
      </c>
      <c r="O32" s="54">
        <v>0</v>
      </c>
      <c r="P32" s="54">
        <v>1.72</v>
      </c>
      <c r="Q32" s="54">
        <v>9.6199999999999992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2.34</v>
      </c>
      <c r="C34" s="28">
        <f t="shared" si="0"/>
        <v>53.18</v>
      </c>
      <c r="D34" s="28">
        <f t="shared" si="0"/>
        <v>29.1</v>
      </c>
      <c r="E34" s="28">
        <f t="shared" si="0"/>
        <v>7.03</v>
      </c>
      <c r="F34" s="28">
        <f t="shared" si="0"/>
        <v>2.13</v>
      </c>
      <c r="G34" s="28">
        <f t="shared" si="0"/>
        <v>83.88</v>
      </c>
      <c r="H34" s="28">
        <f t="shared" si="0"/>
        <v>38.85</v>
      </c>
      <c r="I34" s="28">
        <f t="shared" si="0"/>
        <v>0</v>
      </c>
      <c r="J34" s="28">
        <f t="shared" si="0"/>
        <v>1.08</v>
      </c>
      <c r="K34" s="28">
        <f t="shared" si="0"/>
        <v>132.11000000000001</v>
      </c>
      <c r="L34" s="28">
        <f t="shared" si="0"/>
        <v>9.77</v>
      </c>
      <c r="M34" s="28">
        <f t="shared" si="0"/>
        <v>32.020000000000003</v>
      </c>
      <c r="N34" s="28">
        <f t="shared" si="0"/>
        <v>60.1</v>
      </c>
      <c r="O34" s="28">
        <f t="shared" si="0"/>
        <v>0</v>
      </c>
      <c r="P34" s="28">
        <f t="shared" si="0"/>
        <v>0.62</v>
      </c>
      <c r="Q34" s="28">
        <f t="shared" si="0"/>
        <v>8.2100000000000009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76.849999999999994</v>
      </c>
      <c r="C35" s="29">
        <f t="shared" si="1"/>
        <v>79.989999999999995</v>
      </c>
      <c r="D35" s="29">
        <f t="shared" si="1"/>
        <v>96.03</v>
      </c>
      <c r="E35" s="29">
        <f t="shared" si="1"/>
        <v>15.77</v>
      </c>
      <c r="F35" s="29">
        <f t="shared" si="1"/>
        <v>27.21</v>
      </c>
      <c r="G35" s="29">
        <f t="shared" si="1"/>
        <v>207.95</v>
      </c>
      <c r="H35" s="29">
        <f t="shared" si="1"/>
        <v>61.23</v>
      </c>
      <c r="I35" s="29">
        <f t="shared" si="1"/>
        <v>0</v>
      </c>
      <c r="J35" s="29">
        <f t="shared" si="1"/>
        <v>2.08</v>
      </c>
      <c r="K35" s="29">
        <f t="shared" si="1"/>
        <v>359.05</v>
      </c>
      <c r="L35" s="29">
        <f t="shared" si="1"/>
        <v>26.65</v>
      </c>
      <c r="M35" s="29">
        <f t="shared" si="1"/>
        <v>102.62</v>
      </c>
      <c r="N35" s="29">
        <f t="shared" si="1"/>
        <v>678.2</v>
      </c>
      <c r="O35" s="29">
        <f t="shared" si="1"/>
        <v>0</v>
      </c>
      <c r="P35" s="29">
        <f t="shared" si="1"/>
        <v>1.8</v>
      </c>
      <c r="Q35" s="29">
        <f t="shared" si="1"/>
        <v>9.6199999999999992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33.119166666666686</v>
      </c>
      <c r="C36" s="28">
        <f t="shared" si="2"/>
        <v>67.084999999999994</v>
      </c>
      <c r="D36" s="28">
        <f t="shared" si="2"/>
        <v>59.512083333333344</v>
      </c>
      <c r="E36" s="28">
        <f t="shared" si="2"/>
        <v>8.9054166666666674</v>
      </c>
      <c r="F36" s="28">
        <f t="shared" si="2"/>
        <v>5.4454166666666657</v>
      </c>
      <c r="G36" s="28">
        <f t="shared" si="2"/>
        <v>140.02874999999997</v>
      </c>
      <c r="H36" s="28">
        <f t="shared" si="2"/>
        <v>51.967083333333328</v>
      </c>
      <c r="I36" s="28" t="e">
        <f t="shared" si="2"/>
        <v>#DIV/0!</v>
      </c>
      <c r="J36" s="28">
        <f t="shared" si="2"/>
        <v>1.337083333333333</v>
      </c>
      <c r="K36" s="28">
        <f t="shared" si="2"/>
        <v>292.6829166666667</v>
      </c>
      <c r="L36" s="28">
        <f t="shared" si="2"/>
        <v>17.041250000000002</v>
      </c>
      <c r="M36" s="28">
        <f t="shared" si="2"/>
        <v>70.287916666666675</v>
      </c>
      <c r="N36" s="28">
        <f t="shared" si="2"/>
        <v>234.48750000000004</v>
      </c>
      <c r="O36" s="28">
        <f t="shared" si="2"/>
        <v>0</v>
      </c>
      <c r="P36" s="28">
        <f t="shared" si="2"/>
        <v>1.2483333333333335</v>
      </c>
      <c r="Q36" s="28">
        <f t="shared" si="2"/>
        <v>8.6733333333333373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22.084141057145118</v>
      </c>
      <c r="C37" s="28">
        <f t="shared" ref="C37:Q37" si="3">STDEV(C9:C32)</f>
        <v>9.3749852173796899</v>
      </c>
      <c r="D37" s="28">
        <f t="shared" si="3"/>
        <v>16.473347638762885</v>
      </c>
      <c r="E37" s="28">
        <f t="shared" si="3"/>
        <v>2.2000414604130105</v>
      </c>
      <c r="F37" s="28">
        <f t="shared" si="3"/>
        <v>6.9895499507831538</v>
      </c>
      <c r="G37" s="28">
        <f t="shared" si="3"/>
        <v>34.408719106405059</v>
      </c>
      <c r="H37" s="28">
        <f t="shared" si="3"/>
        <v>6.5980421860129495</v>
      </c>
      <c r="I37" s="28" t="e">
        <f t="shared" si="3"/>
        <v>#DIV/0!</v>
      </c>
      <c r="J37" s="28">
        <f t="shared" si="3"/>
        <v>0.26318251505729845</v>
      </c>
      <c r="K37" s="28">
        <f t="shared" si="3"/>
        <v>67.12687529429158</v>
      </c>
      <c r="L37" s="28">
        <f t="shared" si="3"/>
        <v>5.4184253388022121</v>
      </c>
      <c r="M37" s="28">
        <f t="shared" si="3"/>
        <v>24.995621352056038</v>
      </c>
      <c r="N37" s="28">
        <f t="shared" si="3"/>
        <v>221.96512517392964</v>
      </c>
      <c r="O37" s="28">
        <f t="shared" si="3"/>
        <v>0</v>
      </c>
      <c r="P37" s="28">
        <f t="shared" si="3"/>
        <v>0.31265575828441933</v>
      </c>
      <c r="Q37" s="28">
        <f t="shared" si="3"/>
        <v>0.57268753652646665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0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&lt;90%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LESS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0" sqref="G50"/>
    </sheetView>
  </sheetViews>
  <sheetFormatPr defaultColWidth="8.85546875" defaultRowHeight="15" x14ac:dyDescent="0.25"/>
  <cols>
    <col min="1" max="1" width="18.28515625" style="26" customWidth="1"/>
    <col min="2" max="2" width="1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07/01/2025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3" t="s">
        <v>204</v>
      </c>
      <c r="B9" s="54">
        <v>69.930000000000007</v>
      </c>
      <c r="C9" s="54">
        <v>66.42</v>
      </c>
      <c r="D9" s="54">
        <v>89.4</v>
      </c>
      <c r="E9" s="54">
        <v>7.63</v>
      </c>
      <c r="F9" s="54">
        <v>2.13</v>
      </c>
      <c r="G9" s="54">
        <v>162.32</v>
      </c>
      <c r="H9" s="54">
        <v>53.59</v>
      </c>
      <c r="I9" s="55" t="s">
        <v>15</v>
      </c>
      <c r="J9" s="54">
        <v>1.24</v>
      </c>
      <c r="K9" s="54">
        <v>349.08</v>
      </c>
      <c r="L9" s="54">
        <v>13.34</v>
      </c>
      <c r="M9" s="54">
        <v>93.31</v>
      </c>
      <c r="N9" s="54">
        <v>96.8</v>
      </c>
      <c r="O9" s="54">
        <v>0</v>
      </c>
      <c r="P9" s="54">
        <v>1.6</v>
      </c>
      <c r="Q9" s="54">
        <v>9.59</v>
      </c>
      <c r="R9" s="43"/>
      <c r="S9" s="43"/>
      <c r="T9" s="43"/>
      <c r="U9" s="43"/>
    </row>
    <row r="10" spans="1:21" s="11" customFormat="1" x14ac:dyDescent="0.25">
      <c r="A10" s="53" t="s">
        <v>205</v>
      </c>
      <c r="B10" s="54">
        <v>55.13</v>
      </c>
      <c r="C10" s="54">
        <v>63.62</v>
      </c>
      <c r="D10" s="54">
        <v>76.069999999999993</v>
      </c>
      <c r="E10" s="54">
        <v>7.32</v>
      </c>
      <c r="F10" s="54">
        <v>2.13</v>
      </c>
      <c r="G10" s="54">
        <v>107.11</v>
      </c>
      <c r="H10" s="54">
        <v>50.33</v>
      </c>
      <c r="I10" s="55" t="s">
        <v>15</v>
      </c>
      <c r="J10" s="54">
        <v>1.21</v>
      </c>
      <c r="K10" s="54">
        <v>324.87</v>
      </c>
      <c r="L10" s="54">
        <v>12</v>
      </c>
      <c r="M10" s="54">
        <v>95.38</v>
      </c>
      <c r="N10" s="54">
        <v>107.7</v>
      </c>
      <c r="O10" s="54">
        <v>0</v>
      </c>
      <c r="P10" s="54">
        <v>1.46</v>
      </c>
      <c r="Q10" s="54">
        <v>9.44</v>
      </c>
      <c r="R10" s="43"/>
      <c r="S10" s="43"/>
      <c r="T10" s="43"/>
      <c r="U10" s="43"/>
    </row>
    <row r="11" spans="1:21" s="11" customFormat="1" x14ac:dyDescent="0.25">
      <c r="A11" s="53" t="s">
        <v>206</v>
      </c>
      <c r="B11" s="54">
        <v>43.31</v>
      </c>
      <c r="C11" s="54">
        <v>59.11</v>
      </c>
      <c r="D11" s="54">
        <v>64.14</v>
      </c>
      <c r="E11" s="54">
        <v>6.81</v>
      </c>
      <c r="F11" s="54">
        <v>2.13</v>
      </c>
      <c r="G11" s="54">
        <v>107.11</v>
      </c>
      <c r="H11" s="54">
        <v>49.47</v>
      </c>
      <c r="I11" s="55" t="s">
        <v>15</v>
      </c>
      <c r="J11" s="54">
        <v>0.95</v>
      </c>
      <c r="K11" s="54">
        <v>350.9</v>
      </c>
      <c r="L11" s="54">
        <v>12.17</v>
      </c>
      <c r="M11" s="54">
        <v>94.24</v>
      </c>
      <c r="N11" s="54">
        <v>102.5</v>
      </c>
      <c r="O11" s="54">
        <v>0</v>
      </c>
      <c r="P11" s="54">
        <v>1.39</v>
      </c>
      <c r="Q11" s="54">
        <v>8.94</v>
      </c>
      <c r="R11" s="43"/>
      <c r="S11" s="43"/>
      <c r="T11" s="43"/>
      <c r="U11" s="43"/>
    </row>
    <row r="12" spans="1:21" s="11" customFormat="1" x14ac:dyDescent="0.25">
      <c r="A12" s="53" t="s">
        <v>207</v>
      </c>
      <c r="B12" s="54">
        <v>34.97</v>
      </c>
      <c r="C12" s="54">
        <v>57.25</v>
      </c>
      <c r="D12" s="54">
        <v>56.58</v>
      </c>
      <c r="E12" s="54">
        <v>6.78</v>
      </c>
      <c r="F12" s="54">
        <v>2.13</v>
      </c>
      <c r="G12" s="54">
        <v>88.74</v>
      </c>
      <c r="H12" s="54">
        <v>49.46</v>
      </c>
      <c r="I12" s="55" t="s">
        <v>15</v>
      </c>
      <c r="J12" s="54">
        <v>1.28</v>
      </c>
      <c r="K12" s="54">
        <v>256.45</v>
      </c>
      <c r="L12" s="54">
        <v>11.82</v>
      </c>
      <c r="M12" s="54">
        <v>96.76</v>
      </c>
      <c r="N12" s="54">
        <v>111.1</v>
      </c>
      <c r="O12" s="54">
        <v>0</v>
      </c>
      <c r="P12" s="54">
        <v>1.28</v>
      </c>
      <c r="Q12" s="54">
        <v>8.2899999999999991</v>
      </c>
      <c r="R12" s="43"/>
      <c r="S12" s="43"/>
      <c r="T12" s="43"/>
      <c r="U12" s="43"/>
    </row>
    <row r="13" spans="1:21" s="11" customFormat="1" x14ac:dyDescent="0.25">
      <c r="A13" s="53" t="s">
        <v>208</v>
      </c>
      <c r="B13" s="54">
        <v>28.12</v>
      </c>
      <c r="C13" s="54">
        <v>55.06</v>
      </c>
      <c r="D13" s="54">
        <v>49.94</v>
      </c>
      <c r="E13" s="54">
        <v>6.67</v>
      </c>
      <c r="F13" s="54">
        <v>2.13</v>
      </c>
      <c r="G13" s="54">
        <v>80.040000000000006</v>
      </c>
      <c r="H13" s="54">
        <v>46.38</v>
      </c>
      <c r="I13" s="55" t="s">
        <v>15</v>
      </c>
      <c r="J13" s="54">
        <v>1.25</v>
      </c>
      <c r="K13" s="54">
        <v>226.48</v>
      </c>
      <c r="L13" s="54">
        <v>11.27</v>
      </c>
      <c r="M13" s="54">
        <v>100.27</v>
      </c>
      <c r="N13" s="54">
        <v>104</v>
      </c>
      <c r="O13" s="54">
        <v>0</v>
      </c>
      <c r="P13" s="54">
        <v>1.21</v>
      </c>
      <c r="Q13" s="54">
        <v>8.2100000000000009</v>
      </c>
      <c r="R13" s="43"/>
      <c r="S13" s="43"/>
      <c r="T13" s="43"/>
      <c r="U13" s="43"/>
    </row>
    <row r="14" spans="1:21" s="11" customFormat="1" x14ac:dyDescent="0.25">
      <c r="A14" s="53" t="s">
        <v>209</v>
      </c>
      <c r="B14" s="54">
        <v>23.1</v>
      </c>
      <c r="C14" s="54">
        <v>52.97</v>
      </c>
      <c r="D14" s="54">
        <v>44.83</v>
      </c>
      <c r="E14" s="54">
        <v>6.32</v>
      </c>
      <c r="F14" s="54">
        <v>2.13</v>
      </c>
      <c r="G14" s="54">
        <v>338.23</v>
      </c>
      <c r="H14" s="54">
        <v>43.12</v>
      </c>
      <c r="I14" s="55" t="s">
        <v>15</v>
      </c>
      <c r="J14" s="54">
        <v>1.26</v>
      </c>
      <c r="K14" s="54">
        <v>305.86</v>
      </c>
      <c r="L14" s="54">
        <v>10.77</v>
      </c>
      <c r="M14" s="54">
        <v>102.6</v>
      </c>
      <c r="N14" s="54">
        <v>89.8</v>
      </c>
      <c r="O14" s="54">
        <v>0</v>
      </c>
      <c r="P14" s="54">
        <v>1.1599999999999999</v>
      </c>
      <c r="Q14" s="54">
        <v>8.2100000000000009</v>
      </c>
      <c r="R14" s="43"/>
      <c r="S14" s="43"/>
      <c r="T14" s="43"/>
      <c r="U14" s="43"/>
    </row>
    <row r="15" spans="1:21" s="11" customFormat="1" x14ac:dyDescent="0.25">
      <c r="A15" s="53" t="s">
        <v>210</v>
      </c>
      <c r="B15" s="54">
        <v>24.94</v>
      </c>
      <c r="C15" s="54">
        <v>50.94</v>
      </c>
      <c r="D15" s="54">
        <v>44.85</v>
      </c>
      <c r="E15" s="54">
        <v>6.27</v>
      </c>
      <c r="F15" s="54">
        <v>2.13</v>
      </c>
      <c r="G15" s="54">
        <v>338.23</v>
      </c>
      <c r="H15" s="54">
        <v>39.659999999999997</v>
      </c>
      <c r="I15" s="55" t="s">
        <v>15</v>
      </c>
      <c r="J15" s="54">
        <v>1.19</v>
      </c>
      <c r="K15" s="54">
        <v>318.95999999999998</v>
      </c>
      <c r="L15" s="54">
        <v>10.37</v>
      </c>
      <c r="M15" s="54">
        <v>102.58</v>
      </c>
      <c r="N15" s="54">
        <v>95.7</v>
      </c>
      <c r="O15" s="54">
        <v>0</v>
      </c>
      <c r="P15" s="54">
        <v>1.1100000000000001</v>
      </c>
      <c r="Q15" s="54">
        <v>8.2100000000000009</v>
      </c>
      <c r="R15" s="43"/>
      <c r="S15" s="43"/>
      <c r="T15" s="43"/>
      <c r="U15" s="43"/>
    </row>
    <row r="16" spans="1:21" s="11" customFormat="1" x14ac:dyDescent="0.25">
      <c r="A16" s="53" t="s">
        <v>211</v>
      </c>
      <c r="B16" s="54">
        <v>32.39</v>
      </c>
      <c r="C16" s="54">
        <v>50.12</v>
      </c>
      <c r="D16" s="54">
        <v>50.62</v>
      </c>
      <c r="E16" s="54">
        <v>6.73</v>
      </c>
      <c r="F16" s="54">
        <v>2.13</v>
      </c>
      <c r="G16" s="54">
        <v>108.12</v>
      </c>
      <c r="H16" s="54">
        <v>39.979999999999997</v>
      </c>
      <c r="I16" s="55" t="s">
        <v>15</v>
      </c>
      <c r="J16" s="54">
        <v>1.69</v>
      </c>
      <c r="K16" s="54">
        <v>336.37</v>
      </c>
      <c r="L16" s="54">
        <v>12.63</v>
      </c>
      <c r="M16" s="54">
        <v>102.58</v>
      </c>
      <c r="N16" s="54">
        <v>200.9</v>
      </c>
      <c r="O16" s="54">
        <v>0</v>
      </c>
      <c r="P16" s="54">
        <v>1.1200000000000001</v>
      </c>
      <c r="Q16" s="54">
        <v>8.2100000000000009</v>
      </c>
      <c r="R16" s="43"/>
      <c r="S16" s="43"/>
      <c r="T16" s="43"/>
      <c r="U16" s="43"/>
    </row>
    <row r="17" spans="1:21" s="11" customFormat="1" x14ac:dyDescent="0.25">
      <c r="A17" s="53" t="s">
        <v>212</v>
      </c>
      <c r="B17" s="54">
        <v>36.28</v>
      </c>
      <c r="C17" s="54">
        <v>56.19</v>
      </c>
      <c r="D17" s="54">
        <v>57.08</v>
      </c>
      <c r="E17" s="54">
        <v>8.48</v>
      </c>
      <c r="F17" s="54">
        <v>2.13</v>
      </c>
      <c r="G17" s="54">
        <v>145.15</v>
      </c>
      <c r="H17" s="54">
        <v>50.17</v>
      </c>
      <c r="I17" s="55" t="s">
        <v>15</v>
      </c>
      <c r="J17" s="54">
        <v>2.0299999999999998</v>
      </c>
      <c r="K17" s="54">
        <v>352</v>
      </c>
      <c r="L17" s="54">
        <v>20.21</v>
      </c>
      <c r="M17" s="54">
        <v>79.099999999999994</v>
      </c>
      <c r="N17" s="54">
        <v>363.8</v>
      </c>
      <c r="O17" s="54">
        <v>0</v>
      </c>
      <c r="P17" s="54">
        <v>1.18</v>
      </c>
      <c r="Q17" s="54">
        <v>8.2100000000000009</v>
      </c>
      <c r="R17" s="43"/>
      <c r="S17" s="43"/>
      <c r="T17" s="43"/>
      <c r="U17" s="43"/>
    </row>
    <row r="18" spans="1:21" s="11" customFormat="1" x14ac:dyDescent="0.25">
      <c r="A18" s="53" t="s">
        <v>213</v>
      </c>
      <c r="B18" s="54">
        <v>35.6</v>
      </c>
      <c r="C18" s="54">
        <v>66.87</v>
      </c>
      <c r="D18" s="54">
        <v>59.85</v>
      </c>
      <c r="E18" s="54">
        <v>9.4499999999999993</v>
      </c>
      <c r="F18" s="54">
        <v>2.13</v>
      </c>
      <c r="G18" s="54">
        <v>201.92</v>
      </c>
      <c r="H18" s="54">
        <v>61.13</v>
      </c>
      <c r="I18" s="55" t="s">
        <v>15</v>
      </c>
      <c r="J18" s="54">
        <v>2.2000000000000002</v>
      </c>
      <c r="K18" s="54">
        <v>346.7</v>
      </c>
      <c r="L18" s="54">
        <v>23.8</v>
      </c>
      <c r="M18" s="54">
        <v>51.59</v>
      </c>
      <c r="N18" s="54">
        <v>460.2</v>
      </c>
      <c r="O18" s="54">
        <v>0</v>
      </c>
      <c r="P18" s="54">
        <v>1.3</v>
      </c>
      <c r="Q18" s="54">
        <v>8.2100000000000009</v>
      </c>
      <c r="R18" s="43"/>
      <c r="S18" s="43"/>
      <c r="T18" s="43"/>
      <c r="U18" s="43"/>
    </row>
    <row r="19" spans="1:21" s="11" customFormat="1" x14ac:dyDescent="0.25">
      <c r="A19" s="53" t="s">
        <v>214</v>
      </c>
      <c r="B19" s="54">
        <v>31.73</v>
      </c>
      <c r="C19" s="54">
        <v>71.489999999999995</v>
      </c>
      <c r="D19" s="54">
        <v>60.37</v>
      </c>
      <c r="E19" s="54">
        <v>9.74</v>
      </c>
      <c r="F19" s="54">
        <v>2.16</v>
      </c>
      <c r="G19" s="54">
        <v>214.82</v>
      </c>
      <c r="H19" s="54">
        <v>62.49</v>
      </c>
      <c r="I19" s="55" t="s">
        <v>15</v>
      </c>
      <c r="J19" s="54">
        <v>2.06</v>
      </c>
      <c r="K19" s="54">
        <v>345</v>
      </c>
      <c r="L19" s="54">
        <v>26.09</v>
      </c>
      <c r="M19" s="54">
        <v>44.26</v>
      </c>
      <c r="N19" s="54">
        <v>571.79999999999995</v>
      </c>
      <c r="O19" s="54">
        <v>0</v>
      </c>
      <c r="P19" s="54">
        <v>1.34</v>
      </c>
      <c r="Q19" s="54">
        <v>8.2100000000000009</v>
      </c>
      <c r="R19" s="43"/>
      <c r="S19" s="43"/>
      <c r="T19" s="43"/>
      <c r="U19" s="43"/>
    </row>
    <row r="20" spans="1:21" s="11" customFormat="1" x14ac:dyDescent="0.25">
      <c r="A20" s="53" t="s">
        <v>215</v>
      </c>
      <c r="B20" s="54">
        <v>29.35</v>
      </c>
      <c r="C20" s="54">
        <v>74.19</v>
      </c>
      <c r="D20" s="54">
        <v>59.94</v>
      </c>
      <c r="E20" s="54">
        <v>9.15</v>
      </c>
      <c r="F20" s="54">
        <v>2.13</v>
      </c>
      <c r="G20" s="54">
        <v>214.82</v>
      </c>
      <c r="H20" s="54">
        <v>65.099999999999994</v>
      </c>
      <c r="I20" s="55" t="s">
        <v>15</v>
      </c>
      <c r="J20" s="54">
        <v>2.65</v>
      </c>
      <c r="K20" s="54">
        <v>340.15</v>
      </c>
      <c r="L20" s="54">
        <v>27.14</v>
      </c>
      <c r="M20" s="54">
        <v>36.69</v>
      </c>
      <c r="N20" s="54">
        <v>630.5</v>
      </c>
      <c r="O20" s="54">
        <v>0</v>
      </c>
      <c r="P20" s="54">
        <v>1.33</v>
      </c>
      <c r="Q20" s="54">
        <v>8.2100000000000009</v>
      </c>
      <c r="R20" s="43"/>
      <c r="S20" s="43"/>
      <c r="T20" s="43"/>
      <c r="U20" s="43"/>
    </row>
    <row r="21" spans="1:21" s="11" customFormat="1" x14ac:dyDescent="0.25">
      <c r="A21" s="53" t="s">
        <v>216</v>
      </c>
      <c r="B21" s="54">
        <v>21.93</v>
      </c>
      <c r="C21" s="54">
        <v>76.06</v>
      </c>
      <c r="D21" s="54">
        <v>55.35</v>
      </c>
      <c r="E21" s="54">
        <v>8.81</v>
      </c>
      <c r="F21" s="54">
        <v>2.13</v>
      </c>
      <c r="G21" s="54">
        <v>160.83000000000001</v>
      </c>
      <c r="H21" s="54">
        <v>65.099999999999994</v>
      </c>
      <c r="I21" s="55" t="s">
        <v>15</v>
      </c>
      <c r="J21" s="54">
        <v>2.75</v>
      </c>
      <c r="K21" s="54">
        <v>341.22</v>
      </c>
      <c r="L21" s="54">
        <v>27.32</v>
      </c>
      <c r="M21" s="54">
        <v>34.51</v>
      </c>
      <c r="N21" s="54">
        <v>642</v>
      </c>
      <c r="O21" s="54">
        <v>0</v>
      </c>
      <c r="P21" s="54">
        <v>1.26</v>
      </c>
      <c r="Q21" s="54">
        <v>8.2100000000000009</v>
      </c>
      <c r="R21" s="43"/>
      <c r="S21" s="43"/>
      <c r="T21" s="43"/>
      <c r="U21" s="43"/>
    </row>
    <row r="22" spans="1:21" s="11" customFormat="1" x14ac:dyDescent="0.25">
      <c r="A22" s="53" t="s">
        <v>217</v>
      </c>
      <c r="B22" s="54">
        <v>11.34</v>
      </c>
      <c r="C22" s="54">
        <v>74.77</v>
      </c>
      <c r="D22" s="54">
        <v>46.78</v>
      </c>
      <c r="E22" s="54">
        <v>7.69</v>
      </c>
      <c r="F22" s="54">
        <v>2.13</v>
      </c>
      <c r="G22" s="54">
        <v>117.5</v>
      </c>
      <c r="H22" s="54">
        <v>55.02</v>
      </c>
      <c r="I22" s="55" t="s">
        <v>15</v>
      </c>
      <c r="J22" s="54">
        <v>2.66</v>
      </c>
      <c r="K22" s="54">
        <v>336.96</v>
      </c>
      <c r="L22" s="54">
        <v>26.97</v>
      </c>
      <c r="M22" s="54">
        <v>33.61</v>
      </c>
      <c r="N22" s="54">
        <v>586</v>
      </c>
      <c r="O22" s="54">
        <v>0</v>
      </c>
      <c r="P22" s="54">
        <v>1.1000000000000001</v>
      </c>
      <c r="Q22" s="54">
        <v>8.2100000000000009</v>
      </c>
      <c r="R22" s="43"/>
      <c r="S22" s="43"/>
      <c r="T22" s="43"/>
      <c r="U22" s="43"/>
    </row>
    <row r="23" spans="1:21" s="11" customFormat="1" x14ac:dyDescent="0.25">
      <c r="A23" s="53" t="s">
        <v>218</v>
      </c>
      <c r="B23" s="54">
        <v>5.7</v>
      </c>
      <c r="C23" s="54">
        <v>70.06</v>
      </c>
      <c r="D23" s="54">
        <v>39.799999999999997</v>
      </c>
      <c r="E23" s="54">
        <v>7.23</v>
      </c>
      <c r="F23" s="54">
        <v>2.14</v>
      </c>
      <c r="G23" s="54">
        <v>71.510000000000005</v>
      </c>
      <c r="H23" s="54">
        <v>43.31</v>
      </c>
      <c r="I23" s="55" t="s">
        <v>15</v>
      </c>
      <c r="J23" s="54">
        <v>2.72</v>
      </c>
      <c r="K23" s="54">
        <v>333.43</v>
      </c>
      <c r="L23" s="54">
        <v>26.22</v>
      </c>
      <c r="M23" s="54">
        <v>34.25</v>
      </c>
      <c r="N23" s="54">
        <v>462.4</v>
      </c>
      <c r="O23" s="54">
        <v>0</v>
      </c>
      <c r="P23" s="54">
        <v>0.97</v>
      </c>
      <c r="Q23" s="54">
        <v>8.2100000000000009</v>
      </c>
      <c r="R23" s="43"/>
      <c r="S23" s="43"/>
      <c r="T23" s="43"/>
      <c r="U23" s="43"/>
    </row>
    <row r="24" spans="1:21" s="11" customFormat="1" x14ac:dyDescent="0.25">
      <c r="A24" s="53" t="s">
        <v>219</v>
      </c>
      <c r="B24" s="54">
        <v>4.1100000000000003</v>
      </c>
      <c r="C24" s="54">
        <v>62.65</v>
      </c>
      <c r="D24" s="54">
        <v>34.65</v>
      </c>
      <c r="E24" s="54">
        <v>6.89</v>
      </c>
      <c r="F24" s="54">
        <v>2.13</v>
      </c>
      <c r="G24" s="54">
        <v>60.68</v>
      </c>
      <c r="H24" s="54">
        <v>32.409999999999997</v>
      </c>
      <c r="I24" s="55" t="s">
        <v>15</v>
      </c>
      <c r="J24" s="54">
        <v>3.44</v>
      </c>
      <c r="K24" s="54">
        <v>326.99</v>
      </c>
      <c r="L24" s="54">
        <v>24.58</v>
      </c>
      <c r="M24" s="54">
        <v>37.880000000000003</v>
      </c>
      <c r="N24" s="54">
        <v>186.8</v>
      </c>
      <c r="O24" s="54">
        <v>0</v>
      </c>
      <c r="P24" s="54">
        <v>0.85</v>
      </c>
      <c r="Q24" s="54">
        <v>8.2100000000000009</v>
      </c>
      <c r="R24" s="43"/>
      <c r="S24" s="43"/>
      <c r="T24" s="43"/>
      <c r="U24" s="43"/>
    </row>
    <row r="25" spans="1:21" s="11" customFormat="1" x14ac:dyDescent="0.25">
      <c r="A25" s="53" t="s">
        <v>220</v>
      </c>
      <c r="B25" s="54">
        <v>5.32</v>
      </c>
      <c r="C25" s="54">
        <v>58.42</v>
      </c>
      <c r="D25" s="54">
        <v>32.71</v>
      </c>
      <c r="E25" s="54">
        <v>6.07</v>
      </c>
      <c r="F25" s="54">
        <v>2.13</v>
      </c>
      <c r="G25" s="54">
        <v>52.86</v>
      </c>
      <c r="H25" s="54">
        <v>28.3</v>
      </c>
      <c r="I25" s="55" t="s">
        <v>15</v>
      </c>
      <c r="J25" s="54">
        <v>2.2400000000000002</v>
      </c>
      <c r="K25" s="54">
        <v>345.35</v>
      </c>
      <c r="L25" s="54">
        <v>22.74</v>
      </c>
      <c r="M25" s="54">
        <v>40.83</v>
      </c>
      <c r="N25" s="54">
        <v>118.7</v>
      </c>
      <c r="O25" s="54">
        <v>0</v>
      </c>
      <c r="P25" s="54">
        <v>0.77</v>
      </c>
      <c r="Q25" s="54">
        <v>8.2100000000000009</v>
      </c>
      <c r="R25" s="43"/>
      <c r="S25" s="43"/>
      <c r="T25" s="43"/>
      <c r="U25" s="43"/>
    </row>
    <row r="26" spans="1:21" s="11" customFormat="1" x14ac:dyDescent="0.25">
      <c r="A26" s="53" t="s">
        <v>221</v>
      </c>
      <c r="B26" s="54">
        <v>6.35</v>
      </c>
      <c r="C26" s="54">
        <v>60.49</v>
      </c>
      <c r="D26" s="54">
        <v>35.32</v>
      </c>
      <c r="E26" s="54">
        <v>5.84</v>
      </c>
      <c r="F26" s="54">
        <v>2.13</v>
      </c>
      <c r="G26" s="54">
        <v>54.86</v>
      </c>
      <c r="H26" s="54">
        <v>25.73</v>
      </c>
      <c r="I26" s="55" t="s">
        <v>15</v>
      </c>
      <c r="J26" s="54">
        <v>3.01</v>
      </c>
      <c r="K26" s="54">
        <v>339.12</v>
      </c>
      <c r="L26" s="54">
        <v>21.45</v>
      </c>
      <c r="M26" s="54">
        <v>41.72</v>
      </c>
      <c r="N26" s="54">
        <v>70</v>
      </c>
      <c r="O26" s="54">
        <v>0</v>
      </c>
      <c r="P26" s="54">
        <v>0.77</v>
      </c>
      <c r="Q26" s="54">
        <v>8.2100000000000009</v>
      </c>
      <c r="R26" s="43"/>
      <c r="S26" s="43"/>
      <c r="T26" s="43"/>
      <c r="U26" s="43"/>
    </row>
    <row r="27" spans="1:21" s="11" customFormat="1" x14ac:dyDescent="0.25">
      <c r="A27" s="53" t="s">
        <v>222</v>
      </c>
      <c r="B27" s="54">
        <v>10.51</v>
      </c>
      <c r="C27" s="54">
        <v>61.67</v>
      </c>
      <c r="D27" s="54">
        <v>38.979999999999997</v>
      </c>
      <c r="E27" s="54">
        <v>6.01</v>
      </c>
      <c r="F27" s="54">
        <v>2.13</v>
      </c>
      <c r="G27" s="54">
        <v>63.41</v>
      </c>
      <c r="H27" s="54">
        <v>22.08</v>
      </c>
      <c r="I27" s="55" t="s">
        <v>15</v>
      </c>
      <c r="J27" s="54">
        <v>2.5299999999999998</v>
      </c>
      <c r="K27" s="54">
        <v>341.82</v>
      </c>
      <c r="L27" s="54">
        <v>19.059999999999999</v>
      </c>
      <c r="M27" s="54">
        <v>45.18</v>
      </c>
      <c r="N27" s="54">
        <v>55.7</v>
      </c>
      <c r="O27" s="54">
        <v>0</v>
      </c>
      <c r="P27" s="54">
        <v>0.82</v>
      </c>
      <c r="Q27" s="54">
        <v>8.2100000000000009</v>
      </c>
      <c r="R27" s="43"/>
      <c r="S27" s="43"/>
      <c r="T27" s="43"/>
      <c r="U27" s="43"/>
    </row>
    <row r="28" spans="1:21" s="11" customFormat="1" x14ac:dyDescent="0.25">
      <c r="A28" s="53" t="s">
        <v>223</v>
      </c>
      <c r="B28" s="54">
        <v>13.02</v>
      </c>
      <c r="C28" s="54">
        <v>61.52</v>
      </c>
      <c r="D28" s="54">
        <v>40.97</v>
      </c>
      <c r="E28" s="54">
        <v>6.52</v>
      </c>
      <c r="F28" s="54">
        <v>2.13</v>
      </c>
      <c r="G28" s="54">
        <v>70.94</v>
      </c>
      <c r="H28" s="54">
        <v>23.43</v>
      </c>
      <c r="I28" s="55" t="s">
        <v>15</v>
      </c>
      <c r="J28" s="54">
        <v>3.2</v>
      </c>
      <c r="K28" s="54">
        <v>339.11</v>
      </c>
      <c r="L28" s="54">
        <v>17.97</v>
      </c>
      <c r="M28" s="54">
        <v>44.52</v>
      </c>
      <c r="N28" s="54">
        <v>55.3</v>
      </c>
      <c r="O28" s="54">
        <v>0</v>
      </c>
      <c r="P28" s="54">
        <v>0.82</v>
      </c>
      <c r="Q28" s="54">
        <v>8.2100000000000009</v>
      </c>
      <c r="R28" s="43"/>
      <c r="S28" s="43"/>
      <c r="T28" s="43"/>
      <c r="U28" s="43"/>
    </row>
    <row r="29" spans="1:21" s="11" customFormat="1" x14ac:dyDescent="0.25">
      <c r="A29" s="53" t="s">
        <v>224</v>
      </c>
      <c r="B29" s="54">
        <v>12.64</v>
      </c>
      <c r="C29" s="54">
        <v>60.96</v>
      </c>
      <c r="D29" s="54">
        <v>40.56</v>
      </c>
      <c r="E29" s="54">
        <v>6.81</v>
      </c>
      <c r="F29" s="54">
        <v>2.13</v>
      </c>
      <c r="G29" s="54">
        <v>70.94</v>
      </c>
      <c r="H29" s="54">
        <v>23.43</v>
      </c>
      <c r="I29" s="55" t="s">
        <v>15</v>
      </c>
      <c r="J29" s="54">
        <v>3.15</v>
      </c>
      <c r="K29" s="54">
        <v>344.66</v>
      </c>
      <c r="L29" s="54">
        <v>17.07</v>
      </c>
      <c r="M29" s="54">
        <v>44.62</v>
      </c>
      <c r="N29" s="54">
        <v>55.6</v>
      </c>
      <c r="O29" s="54">
        <v>0</v>
      </c>
      <c r="P29" s="54">
        <v>0.8</v>
      </c>
      <c r="Q29" s="54">
        <v>8.2100000000000009</v>
      </c>
      <c r="R29" s="43"/>
      <c r="S29" s="43"/>
      <c r="T29" s="43"/>
      <c r="U29" s="43"/>
    </row>
    <row r="30" spans="1:21" s="11" customFormat="1" x14ac:dyDescent="0.25">
      <c r="A30" s="53" t="s">
        <v>225</v>
      </c>
      <c r="B30" s="54">
        <v>15.06</v>
      </c>
      <c r="C30" s="54">
        <v>60.79</v>
      </c>
      <c r="D30" s="54">
        <v>42.3</v>
      </c>
      <c r="E30" s="54">
        <v>6.52</v>
      </c>
      <c r="F30" s="54">
        <v>2.13</v>
      </c>
      <c r="G30" s="54">
        <v>65.98</v>
      </c>
      <c r="H30" s="54">
        <v>21.83</v>
      </c>
      <c r="I30" s="55" t="s">
        <v>15</v>
      </c>
      <c r="J30" s="54">
        <v>2.67</v>
      </c>
      <c r="K30" s="54">
        <v>350.86</v>
      </c>
      <c r="L30" s="54">
        <v>15.9</v>
      </c>
      <c r="M30" s="54">
        <v>46.57</v>
      </c>
      <c r="N30" s="54">
        <v>55.3</v>
      </c>
      <c r="O30" s="54">
        <v>0</v>
      </c>
      <c r="P30" s="54">
        <v>0.82</v>
      </c>
      <c r="Q30" s="54">
        <v>8.2100000000000009</v>
      </c>
      <c r="R30" s="43"/>
      <c r="S30" s="43"/>
      <c r="T30" s="43"/>
      <c r="U30" s="43"/>
    </row>
    <row r="31" spans="1:21" s="11" customFormat="1" x14ac:dyDescent="0.25">
      <c r="A31" s="53" t="s">
        <v>226</v>
      </c>
      <c r="B31" s="54">
        <v>18.100000000000001</v>
      </c>
      <c r="C31" s="54">
        <v>60.48</v>
      </c>
      <c r="D31" s="54">
        <v>44.2</v>
      </c>
      <c r="E31" s="54">
        <v>6.26</v>
      </c>
      <c r="F31" s="54">
        <v>2.13</v>
      </c>
      <c r="G31" s="54">
        <v>89.98</v>
      </c>
      <c r="H31" s="54">
        <v>26.97</v>
      </c>
      <c r="I31" s="55" t="s">
        <v>15</v>
      </c>
      <c r="J31" s="54">
        <v>2.25</v>
      </c>
      <c r="K31" s="54">
        <v>341.49</v>
      </c>
      <c r="L31" s="54">
        <v>15.31</v>
      </c>
      <c r="M31" s="54">
        <v>53.31</v>
      </c>
      <c r="N31" s="54">
        <v>55.2</v>
      </c>
      <c r="O31" s="54">
        <v>0</v>
      </c>
      <c r="P31" s="54">
        <v>0.83</v>
      </c>
      <c r="Q31" s="54">
        <v>8.2100000000000009</v>
      </c>
      <c r="R31" s="43"/>
      <c r="S31" s="43"/>
      <c r="T31" s="43"/>
      <c r="U31" s="43"/>
    </row>
    <row r="32" spans="1:21" s="11" customFormat="1" x14ac:dyDescent="0.25">
      <c r="A32" s="53" t="s">
        <v>227</v>
      </c>
      <c r="B32" s="54">
        <v>18.82</v>
      </c>
      <c r="C32" s="54">
        <v>58.97</v>
      </c>
      <c r="D32" s="54">
        <v>44.49</v>
      </c>
      <c r="E32" s="54">
        <v>6.45</v>
      </c>
      <c r="F32" s="54">
        <v>2.13</v>
      </c>
      <c r="G32" s="54">
        <v>92.39</v>
      </c>
      <c r="H32" s="54">
        <v>28.32</v>
      </c>
      <c r="I32" s="55" t="s">
        <v>15</v>
      </c>
      <c r="J32" s="54">
        <v>2.4300000000000002</v>
      </c>
      <c r="K32" s="54">
        <v>338.15</v>
      </c>
      <c r="L32" s="54">
        <v>13.62</v>
      </c>
      <c r="M32" s="54">
        <v>56.28</v>
      </c>
      <c r="N32" s="54">
        <v>55.1</v>
      </c>
      <c r="O32" s="54">
        <v>0</v>
      </c>
      <c r="P32" s="54">
        <v>0.84</v>
      </c>
      <c r="Q32" s="54">
        <v>8.2100000000000009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4.1100000000000003</v>
      </c>
      <c r="C34" s="28">
        <f t="shared" si="0"/>
        <v>50.12</v>
      </c>
      <c r="D34" s="28">
        <f t="shared" si="0"/>
        <v>32.71</v>
      </c>
      <c r="E34" s="28">
        <f t="shared" si="0"/>
        <v>5.84</v>
      </c>
      <c r="F34" s="28">
        <f t="shared" si="0"/>
        <v>2.13</v>
      </c>
      <c r="G34" s="28">
        <f t="shared" si="0"/>
        <v>52.86</v>
      </c>
      <c r="H34" s="28">
        <f t="shared" si="0"/>
        <v>21.83</v>
      </c>
      <c r="I34" s="28">
        <f t="shared" si="0"/>
        <v>0</v>
      </c>
      <c r="J34" s="28">
        <f t="shared" si="0"/>
        <v>0.95</v>
      </c>
      <c r="K34" s="28">
        <f t="shared" si="0"/>
        <v>226.48</v>
      </c>
      <c r="L34" s="28">
        <f t="shared" si="0"/>
        <v>10.37</v>
      </c>
      <c r="M34" s="28">
        <f t="shared" si="0"/>
        <v>33.61</v>
      </c>
      <c r="N34" s="28">
        <f t="shared" si="0"/>
        <v>55.1</v>
      </c>
      <c r="O34" s="28">
        <f t="shared" si="0"/>
        <v>0</v>
      </c>
      <c r="P34" s="28">
        <f t="shared" si="0"/>
        <v>0.77</v>
      </c>
      <c r="Q34" s="28">
        <f t="shared" si="0"/>
        <v>8.2100000000000009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69.930000000000007</v>
      </c>
      <c r="C35" s="29">
        <f t="shared" si="1"/>
        <v>76.06</v>
      </c>
      <c r="D35" s="29">
        <f t="shared" si="1"/>
        <v>89.4</v>
      </c>
      <c r="E35" s="29">
        <f t="shared" si="1"/>
        <v>9.74</v>
      </c>
      <c r="F35" s="29">
        <f t="shared" si="1"/>
        <v>2.16</v>
      </c>
      <c r="G35" s="29">
        <f t="shared" si="1"/>
        <v>338.23</v>
      </c>
      <c r="H35" s="29">
        <f t="shared" si="1"/>
        <v>65.099999999999994</v>
      </c>
      <c r="I35" s="29">
        <f t="shared" si="1"/>
        <v>0</v>
      </c>
      <c r="J35" s="29">
        <f t="shared" si="1"/>
        <v>3.44</v>
      </c>
      <c r="K35" s="29">
        <f t="shared" si="1"/>
        <v>352</v>
      </c>
      <c r="L35" s="29">
        <f t="shared" si="1"/>
        <v>27.32</v>
      </c>
      <c r="M35" s="29">
        <f t="shared" si="1"/>
        <v>102.6</v>
      </c>
      <c r="N35" s="29">
        <f t="shared" si="1"/>
        <v>642</v>
      </c>
      <c r="O35" s="29">
        <f t="shared" si="1"/>
        <v>0</v>
      </c>
      <c r="P35" s="29">
        <f t="shared" si="1"/>
        <v>1.6</v>
      </c>
      <c r="Q35" s="29">
        <f t="shared" si="1"/>
        <v>9.59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24.489583333333332</v>
      </c>
      <c r="C36" s="28">
        <f t="shared" si="2"/>
        <v>62.127916666666664</v>
      </c>
      <c r="D36" s="28">
        <f t="shared" si="2"/>
        <v>50.407499999999999</v>
      </c>
      <c r="E36" s="28">
        <f t="shared" si="2"/>
        <v>7.1854166666666677</v>
      </c>
      <c r="F36" s="28">
        <f t="shared" si="2"/>
        <v>2.1316666666666673</v>
      </c>
      <c r="G36" s="28">
        <f t="shared" si="2"/>
        <v>128.27041666666668</v>
      </c>
      <c r="H36" s="28">
        <f t="shared" si="2"/>
        <v>41.950416666666662</v>
      </c>
      <c r="I36" s="28" t="e">
        <f t="shared" si="2"/>
        <v>#DIV/0!</v>
      </c>
      <c r="J36" s="28">
        <f t="shared" si="2"/>
        <v>2.1691666666666669</v>
      </c>
      <c r="K36" s="28">
        <f t="shared" si="2"/>
        <v>330.49916666666661</v>
      </c>
      <c r="L36" s="28">
        <f t="shared" si="2"/>
        <v>18.325833333333332</v>
      </c>
      <c r="M36" s="28">
        <f t="shared" si="2"/>
        <v>63.026666666666664</v>
      </c>
      <c r="N36" s="28">
        <f t="shared" si="2"/>
        <v>222.20416666666668</v>
      </c>
      <c r="O36" s="28">
        <f t="shared" si="2"/>
        <v>0</v>
      </c>
      <c r="P36" s="28">
        <f t="shared" si="2"/>
        <v>1.0887499999999999</v>
      </c>
      <c r="Q36" s="28">
        <f t="shared" si="2"/>
        <v>8.3525000000000045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16.362182930575717</v>
      </c>
      <c r="C37" s="28">
        <f t="shared" ref="C37:Q37" si="3">STDEV(C9:C32)</f>
        <v>7.2158936770140825</v>
      </c>
      <c r="D37" s="28">
        <f t="shared" si="3"/>
        <v>13.492138210019199</v>
      </c>
      <c r="E37" s="28">
        <f t="shared" si="3"/>
        <v>1.1347015664603273</v>
      </c>
      <c r="F37" s="28">
        <f t="shared" si="3"/>
        <v>6.3702205727061232E-3</v>
      </c>
      <c r="G37" s="28">
        <f t="shared" si="3"/>
        <v>81.470961350023956</v>
      </c>
      <c r="H37" s="28">
        <f t="shared" si="3"/>
        <v>14.576406033804053</v>
      </c>
      <c r="I37" s="28" t="e">
        <f t="shared" si="3"/>
        <v>#DIV/0!</v>
      </c>
      <c r="J37" s="28">
        <f t="shared" si="3"/>
        <v>0.74811599116172023</v>
      </c>
      <c r="K37" s="28">
        <f t="shared" si="3"/>
        <v>29.758777282716427</v>
      </c>
      <c r="L37" s="28">
        <f t="shared" si="3"/>
        <v>6.0607733160386248</v>
      </c>
      <c r="M37" s="28">
        <f t="shared" si="3"/>
        <v>27.258225031796488</v>
      </c>
      <c r="N37" s="28">
        <f t="shared" si="3"/>
        <v>212.38771658407427</v>
      </c>
      <c r="O37" s="28">
        <f t="shared" si="3"/>
        <v>0</v>
      </c>
      <c r="P37" s="28">
        <f t="shared" si="3"/>
        <v>0.25148796323516953</v>
      </c>
      <c r="Q37" s="28">
        <f t="shared" si="3"/>
        <v>0.38837733780659589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0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&lt;90%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LESS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8" sqref="G48"/>
    </sheetView>
  </sheetViews>
  <sheetFormatPr defaultColWidth="8.85546875" defaultRowHeight="15" x14ac:dyDescent="0.25"/>
  <cols>
    <col min="1" max="1" width="18.28515625" style="26" customWidth="1"/>
    <col min="2" max="2" width="13.425781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08/01/2025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3" t="s">
        <v>228</v>
      </c>
      <c r="B9" s="54">
        <v>17.88</v>
      </c>
      <c r="C9" s="54">
        <v>55.23</v>
      </c>
      <c r="D9" s="54">
        <v>41.82</v>
      </c>
      <c r="E9" s="54">
        <v>6.61</v>
      </c>
      <c r="F9" s="54">
        <v>2.13</v>
      </c>
      <c r="G9" s="54">
        <v>94.54</v>
      </c>
      <c r="H9" s="54">
        <v>29.02</v>
      </c>
      <c r="I9" s="55" t="s">
        <v>15</v>
      </c>
      <c r="J9" s="54">
        <v>2.68</v>
      </c>
      <c r="K9" s="54">
        <v>352.94</v>
      </c>
      <c r="L9" s="54">
        <v>12.86</v>
      </c>
      <c r="M9" s="54">
        <v>61.48</v>
      </c>
      <c r="N9" s="54">
        <v>55.4</v>
      </c>
      <c r="O9" s="54">
        <v>0</v>
      </c>
      <c r="P9" s="54">
        <v>0.77</v>
      </c>
      <c r="Q9" s="54">
        <v>8.2100000000000009</v>
      </c>
      <c r="R9" s="43"/>
      <c r="S9" s="43"/>
      <c r="T9" s="43"/>
      <c r="U9" s="43"/>
    </row>
    <row r="10" spans="1:21" s="11" customFormat="1" x14ac:dyDescent="0.25">
      <c r="A10" s="53" t="s">
        <v>229</v>
      </c>
      <c r="B10" s="54">
        <v>15.43</v>
      </c>
      <c r="C10" s="54">
        <v>52.55</v>
      </c>
      <c r="D10" s="54">
        <v>38.450000000000003</v>
      </c>
      <c r="E10" s="54">
        <v>6.58</v>
      </c>
      <c r="F10" s="54">
        <v>2.13</v>
      </c>
      <c r="G10" s="54">
        <v>94.54</v>
      </c>
      <c r="H10" s="54">
        <v>30.43</v>
      </c>
      <c r="I10" s="55" t="s">
        <v>15</v>
      </c>
      <c r="J10" s="54">
        <v>2.37</v>
      </c>
      <c r="K10" s="54">
        <v>350.69</v>
      </c>
      <c r="L10" s="54">
        <v>12.14</v>
      </c>
      <c r="M10" s="54">
        <v>63.36</v>
      </c>
      <c r="N10" s="54">
        <v>55.5</v>
      </c>
      <c r="O10" s="54">
        <v>0</v>
      </c>
      <c r="P10" s="54">
        <v>0.74</v>
      </c>
      <c r="Q10" s="54">
        <v>8.2100000000000009</v>
      </c>
      <c r="R10" s="43"/>
      <c r="S10" s="43"/>
      <c r="T10" s="43"/>
      <c r="U10" s="43"/>
    </row>
    <row r="11" spans="1:21" s="11" customFormat="1" x14ac:dyDescent="0.25">
      <c r="A11" s="53" t="s">
        <v>230</v>
      </c>
      <c r="B11" s="54">
        <v>13.3</v>
      </c>
      <c r="C11" s="54">
        <v>51.68</v>
      </c>
      <c r="D11" s="54">
        <v>36.29</v>
      </c>
      <c r="E11" s="54">
        <v>6.21</v>
      </c>
      <c r="F11" s="54">
        <v>2.13</v>
      </c>
      <c r="G11" s="54">
        <v>92.3</v>
      </c>
      <c r="H11" s="54">
        <v>30.43</v>
      </c>
      <c r="I11" s="55" t="s">
        <v>15</v>
      </c>
      <c r="J11" s="54">
        <v>1.62</v>
      </c>
      <c r="K11" s="54">
        <v>348.16</v>
      </c>
      <c r="L11" s="54">
        <v>11.61</v>
      </c>
      <c r="M11" s="54">
        <v>70.150000000000006</v>
      </c>
      <c r="N11" s="54">
        <v>55.7</v>
      </c>
      <c r="O11" s="54">
        <v>0</v>
      </c>
      <c r="P11" s="54">
        <v>0.75</v>
      </c>
      <c r="Q11" s="54">
        <v>8.2100000000000009</v>
      </c>
      <c r="R11" s="43"/>
      <c r="S11" s="43"/>
      <c r="T11" s="43"/>
      <c r="U11" s="43"/>
    </row>
    <row r="12" spans="1:21" s="11" customFormat="1" x14ac:dyDescent="0.25">
      <c r="A12" s="53" t="s">
        <v>231</v>
      </c>
      <c r="B12" s="54">
        <v>11.83</v>
      </c>
      <c r="C12" s="54">
        <v>49.49</v>
      </c>
      <c r="D12" s="54">
        <v>33.78</v>
      </c>
      <c r="E12" s="54">
        <v>5.78</v>
      </c>
      <c r="F12" s="54">
        <v>2.13</v>
      </c>
      <c r="G12" s="54">
        <v>79.27</v>
      </c>
      <c r="H12" s="54">
        <v>28.26</v>
      </c>
      <c r="I12" s="55" t="s">
        <v>15</v>
      </c>
      <c r="J12" s="54">
        <v>1.1599999999999999</v>
      </c>
      <c r="K12" s="54">
        <v>118.3</v>
      </c>
      <c r="L12" s="54">
        <v>10.56</v>
      </c>
      <c r="M12" s="54">
        <v>76.55</v>
      </c>
      <c r="N12" s="54">
        <v>55.5</v>
      </c>
      <c r="O12" s="54">
        <v>0</v>
      </c>
      <c r="P12" s="54">
        <v>0.79</v>
      </c>
      <c r="Q12" s="54">
        <v>8.2100000000000009</v>
      </c>
      <c r="R12" s="43"/>
      <c r="S12" s="43"/>
      <c r="T12" s="43"/>
      <c r="U12" s="43"/>
    </row>
    <row r="13" spans="1:21" s="11" customFormat="1" x14ac:dyDescent="0.25">
      <c r="A13" s="53" t="s">
        <v>232</v>
      </c>
      <c r="B13" s="54">
        <v>11.85</v>
      </c>
      <c r="C13" s="54">
        <v>48.44</v>
      </c>
      <c r="D13" s="54">
        <v>33.43</v>
      </c>
      <c r="E13" s="54">
        <v>6.21</v>
      </c>
      <c r="F13" s="54">
        <v>2.13</v>
      </c>
      <c r="G13" s="54">
        <v>79.069999999999993</v>
      </c>
      <c r="H13" s="54">
        <v>30.38</v>
      </c>
      <c r="I13" s="55" t="s">
        <v>15</v>
      </c>
      <c r="J13" s="54">
        <v>0.99</v>
      </c>
      <c r="K13" s="54">
        <v>105.45</v>
      </c>
      <c r="L13" s="54">
        <v>9.83</v>
      </c>
      <c r="M13" s="54">
        <v>78.23</v>
      </c>
      <c r="N13" s="54">
        <v>55.2</v>
      </c>
      <c r="O13" s="54">
        <v>0</v>
      </c>
      <c r="P13" s="54">
        <v>0.78</v>
      </c>
      <c r="Q13" s="54">
        <v>8.2100000000000009</v>
      </c>
      <c r="R13" s="43"/>
      <c r="S13" s="43"/>
      <c r="T13" s="43"/>
      <c r="U13" s="43"/>
    </row>
    <row r="14" spans="1:21" s="11" customFormat="1" x14ac:dyDescent="0.25">
      <c r="A14" s="53" t="s">
        <v>233</v>
      </c>
      <c r="B14" s="54">
        <v>11.33</v>
      </c>
      <c r="C14" s="54">
        <v>47.17</v>
      </c>
      <c r="D14" s="54">
        <v>32.35</v>
      </c>
      <c r="E14" s="54">
        <v>5.73</v>
      </c>
      <c r="F14" s="54">
        <v>2.13</v>
      </c>
      <c r="G14" s="54">
        <v>79.069999999999993</v>
      </c>
      <c r="H14" s="54">
        <v>30.38</v>
      </c>
      <c r="I14" s="55" t="s">
        <v>15</v>
      </c>
      <c r="J14" s="54">
        <v>1.1000000000000001</v>
      </c>
      <c r="K14" s="54">
        <v>68.739999999999995</v>
      </c>
      <c r="L14" s="54">
        <v>9.52</v>
      </c>
      <c r="M14" s="54">
        <v>81.72</v>
      </c>
      <c r="N14" s="54">
        <v>55.5</v>
      </c>
      <c r="O14" s="54">
        <v>0</v>
      </c>
      <c r="P14" s="54">
        <v>0.74</v>
      </c>
      <c r="Q14" s="54">
        <v>8.2100000000000009</v>
      </c>
      <c r="R14" s="43"/>
      <c r="S14" s="43"/>
      <c r="T14" s="43"/>
      <c r="U14" s="43"/>
    </row>
    <row r="15" spans="1:21" s="11" customFormat="1" x14ac:dyDescent="0.25">
      <c r="A15" s="53" t="s">
        <v>234</v>
      </c>
      <c r="B15" s="54">
        <v>12.63</v>
      </c>
      <c r="C15" s="54">
        <v>49.92</v>
      </c>
      <c r="D15" s="54">
        <v>34.83</v>
      </c>
      <c r="E15" s="54">
        <v>5.68</v>
      </c>
      <c r="F15" s="54">
        <v>2.13</v>
      </c>
      <c r="G15" s="54">
        <v>60.95</v>
      </c>
      <c r="H15" s="54">
        <v>27.62</v>
      </c>
      <c r="I15" s="55" t="s">
        <v>15</v>
      </c>
      <c r="J15" s="54">
        <v>0.93</v>
      </c>
      <c r="K15" s="54">
        <v>334.07</v>
      </c>
      <c r="L15" s="54">
        <v>9.15</v>
      </c>
      <c r="M15" s="54">
        <v>79.930000000000007</v>
      </c>
      <c r="N15" s="54">
        <v>65</v>
      </c>
      <c r="O15" s="54">
        <v>0</v>
      </c>
      <c r="P15" s="54">
        <v>0.7</v>
      </c>
      <c r="Q15" s="54">
        <v>8.2100000000000009</v>
      </c>
      <c r="R15" s="43"/>
      <c r="S15" s="43"/>
      <c r="T15" s="43"/>
      <c r="U15" s="43"/>
    </row>
    <row r="16" spans="1:21" s="11" customFormat="1" x14ac:dyDescent="0.25">
      <c r="A16" s="53" t="s">
        <v>235</v>
      </c>
      <c r="B16" s="54">
        <v>17.82</v>
      </c>
      <c r="C16" s="54">
        <v>52.64</v>
      </c>
      <c r="D16" s="54">
        <v>40.42</v>
      </c>
      <c r="E16" s="54">
        <v>5.72</v>
      </c>
      <c r="F16" s="54">
        <v>2.13</v>
      </c>
      <c r="G16" s="54">
        <v>68.25</v>
      </c>
      <c r="H16" s="54">
        <v>27.76</v>
      </c>
      <c r="I16" s="55" t="s">
        <v>15</v>
      </c>
      <c r="J16" s="54">
        <v>0.77</v>
      </c>
      <c r="K16" s="54">
        <v>296.49</v>
      </c>
      <c r="L16" s="54">
        <v>11.15</v>
      </c>
      <c r="M16" s="54">
        <v>80.33</v>
      </c>
      <c r="N16" s="54">
        <v>186.7</v>
      </c>
      <c r="O16" s="54">
        <v>0</v>
      </c>
      <c r="P16" s="54">
        <v>0.69</v>
      </c>
      <c r="Q16" s="54">
        <v>8.2100000000000009</v>
      </c>
      <c r="R16" s="43"/>
      <c r="S16" s="43"/>
      <c r="T16" s="43"/>
      <c r="U16" s="43"/>
    </row>
    <row r="17" spans="1:21" s="11" customFormat="1" x14ac:dyDescent="0.25">
      <c r="A17" s="53" t="s">
        <v>236</v>
      </c>
      <c r="B17" s="54">
        <v>19.43</v>
      </c>
      <c r="C17" s="54">
        <v>54.95</v>
      </c>
      <c r="D17" s="54">
        <v>42.91</v>
      </c>
      <c r="E17" s="54">
        <v>5.9</v>
      </c>
      <c r="F17" s="54">
        <v>2.13</v>
      </c>
      <c r="G17" s="54">
        <v>68.25</v>
      </c>
      <c r="H17" s="54">
        <v>29</v>
      </c>
      <c r="I17" s="55" t="s">
        <v>15</v>
      </c>
      <c r="J17" s="54">
        <v>2.09</v>
      </c>
      <c r="K17" s="54">
        <v>351.08</v>
      </c>
      <c r="L17" s="54">
        <v>18.25</v>
      </c>
      <c r="M17" s="54">
        <v>54.97</v>
      </c>
      <c r="N17" s="54">
        <v>435.5</v>
      </c>
      <c r="O17" s="54">
        <v>0</v>
      </c>
      <c r="P17" s="54">
        <v>0.69</v>
      </c>
      <c r="Q17" s="54">
        <v>8.2100000000000009</v>
      </c>
      <c r="R17" s="43"/>
      <c r="S17" s="43"/>
      <c r="T17" s="43"/>
      <c r="U17" s="43"/>
    </row>
    <row r="18" spans="1:21" s="11" customFormat="1" x14ac:dyDescent="0.25">
      <c r="A18" s="53" t="s">
        <v>237</v>
      </c>
      <c r="B18" s="54">
        <v>19</v>
      </c>
      <c r="C18" s="54">
        <v>56.03</v>
      </c>
      <c r="D18" s="54">
        <v>42.94</v>
      </c>
      <c r="E18" s="54">
        <v>5.35</v>
      </c>
      <c r="F18" s="54">
        <v>2.13</v>
      </c>
      <c r="G18" s="54">
        <v>60.4</v>
      </c>
      <c r="H18" s="54">
        <v>29.66</v>
      </c>
      <c r="I18" s="55" t="s">
        <v>15</v>
      </c>
      <c r="J18" s="54">
        <v>2.2000000000000002</v>
      </c>
      <c r="K18" s="54">
        <v>339.23</v>
      </c>
      <c r="L18" s="54">
        <v>18.829999999999998</v>
      </c>
      <c r="M18" s="54">
        <v>44.93</v>
      </c>
      <c r="N18" s="54">
        <v>588.6</v>
      </c>
      <c r="O18" s="54">
        <v>0</v>
      </c>
      <c r="P18" s="54">
        <v>0.68</v>
      </c>
      <c r="Q18" s="54">
        <v>8.2100000000000009</v>
      </c>
      <c r="R18" s="43"/>
      <c r="S18" s="43"/>
      <c r="T18" s="43"/>
      <c r="U18" s="43"/>
    </row>
    <row r="19" spans="1:21" s="11" customFormat="1" x14ac:dyDescent="0.25">
      <c r="A19" s="53" t="s">
        <v>238</v>
      </c>
      <c r="B19" s="54">
        <v>15.65</v>
      </c>
      <c r="C19" s="54">
        <v>66.48</v>
      </c>
      <c r="D19" s="54">
        <v>43.17</v>
      </c>
      <c r="E19" s="54">
        <v>8.27</v>
      </c>
      <c r="F19" s="54">
        <v>2.14</v>
      </c>
      <c r="G19" s="54">
        <v>62.22</v>
      </c>
      <c r="H19" s="54">
        <v>29.66</v>
      </c>
      <c r="I19" s="55" t="s">
        <v>15</v>
      </c>
      <c r="J19" s="54">
        <v>2.4300000000000002</v>
      </c>
      <c r="K19" s="54">
        <v>342.55</v>
      </c>
      <c r="L19" s="54">
        <v>23.99</v>
      </c>
      <c r="M19" s="54">
        <v>34.36</v>
      </c>
      <c r="N19" s="54">
        <v>676.6</v>
      </c>
      <c r="O19" s="54">
        <v>0</v>
      </c>
      <c r="P19" s="54">
        <v>0.79</v>
      </c>
      <c r="Q19" s="54">
        <v>8.2100000000000009</v>
      </c>
      <c r="R19" s="43"/>
      <c r="S19" s="43"/>
      <c r="T19" s="43"/>
      <c r="U19" s="43"/>
    </row>
    <row r="20" spans="1:21" s="11" customFormat="1" x14ac:dyDescent="0.25">
      <c r="A20" s="53" t="s">
        <v>239</v>
      </c>
      <c r="B20" s="54">
        <v>9.32</v>
      </c>
      <c r="C20" s="54">
        <v>70.55</v>
      </c>
      <c r="D20" s="54">
        <v>42.96</v>
      </c>
      <c r="E20" s="54">
        <v>7.47</v>
      </c>
      <c r="F20" s="54">
        <v>2.4900000000000002</v>
      </c>
      <c r="G20" s="54">
        <v>62.22</v>
      </c>
      <c r="H20" s="54">
        <v>28.14</v>
      </c>
      <c r="I20" s="55" t="s">
        <v>15</v>
      </c>
      <c r="J20" s="54">
        <v>1.75</v>
      </c>
      <c r="K20" s="54">
        <v>339.22</v>
      </c>
      <c r="L20" s="54">
        <v>24.34</v>
      </c>
      <c r="M20" s="54">
        <v>29.06</v>
      </c>
      <c r="N20" s="54">
        <v>718.6</v>
      </c>
      <c r="O20" s="54">
        <v>0</v>
      </c>
      <c r="P20" s="54">
        <v>0.79</v>
      </c>
      <c r="Q20" s="54">
        <v>8.2100000000000009</v>
      </c>
      <c r="R20" s="43"/>
      <c r="S20" s="43"/>
      <c r="T20" s="43"/>
      <c r="U20" s="43"/>
    </row>
    <row r="21" spans="1:21" s="11" customFormat="1" x14ac:dyDescent="0.25">
      <c r="A21" s="53" t="s">
        <v>240</v>
      </c>
      <c r="B21" s="54">
        <v>4.47</v>
      </c>
      <c r="C21" s="54">
        <v>67.42</v>
      </c>
      <c r="D21" s="54">
        <v>37.43</v>
      </c>
      <c r="E21" s="54">
        <v>7.07</v>
      </c>
      <c r="F21" s="54">
        <v>4.97</v>
      </c>
      <c r="G21" s="54">
        <v>45.39</v>
      </c>
      <c r="H21" s="54">
        <v>25.43</v>
      </c>
      <c r="I21" s="55" t="s">
        <v>15</v>
      </c>
      <c r="J21" s="54">
        <v>1.85</v>
      </c>
      <c r="K21" s="54">
        <v>336.14</v>
      </c>
      <c r="L21" s="54">
        <v>23.23</v>
      </c>
      <c r="M21" s="54">
        <v>30.66</v>
      </c>
      <c r="N21" s="54">
        <v>716.1</v>
      </c>
      <c r="O21" s="54">
        <v>0</v>
      </c>
      <c r="P21" s="54">
        <v>0.7</v>
      </c>
      <c r="Q21" s="54">
        <v>8.2100000000000009</v>
      </c>
      <c r="R21" s="43"/>
      <c r="S21" s="43"/>
      <c r="T21" s="43"/>
      <c r="U21" s="43"/>
    </row>
    <row r="22" spans="1:21" s="11" customFormat="1" x14ac:dyDescent="0.25">
      <c r="A22" s="53" t="s">
        <v>241</v>
      </c>
      <c r="B22" s="54">
        <v>4.1900000000000004</v>
      </c>
      <c r="C22" s="54">
        <v>59.18</v>
      </c>
      <c r="D22" s="54">
        <v>32.9</v>
      </c>
      <c r="E22" s="54">
        <v>7.65</v>
      </c>
      <c r="F22" s="54">
        <v>2.14</v>
      </c>
      <c r="G22" s="54">
        <v>56.53</v>
      </c>
      <c r="H22" s="54">
        <v>24.47</v>
      </c>
      <c r="I22" s="55" t="s">
        <v>15</v>
      </c>
      <c r="J22" s="54">
        <v>1.89</v>
      </c>
      <c r="K22" s="54">
        <v>337.75</v>
      </c>
      <c r="L22" s="54">
        <v>23.14</v>
      </c>
      <c r="M22" s="54">
        <v>31.83</v>
      </c>
      <c r="N22" s="54">
        <v>598.5</v>
      </c>
      <c r="O22" s="54">
        <v>0</v>
      </c>
      <c r="P22" s="54">
        <v>0.64</v>
      </c>
      <c r="Q22" s="54">
        <v>8.2100000000000009</v>
      </c>
      <c r="R22" s="43"/>
      <c r="S22" s="43"/>
      <c r="T22" s="43"/>
      <c r="U22" s="43"/>
    </row>
    <row r="23" spans="1:21" s="11" customFormat="1" x14ac:dyDescent="0.25">
      <c r="A23" s="53" t="s">
        <v>242</v>
      </c>
      <c r="B23" s="54">
        <v>4.26</v>
      </c>
      <c r="C23" s="54">
        <v>62.97</v>
      </c>
      <c r="D23" s="54">
        <v>34.76</v>
      </c>
      <c r="E23" s="54">
        <v>7.76</v>
      </c>
      <c r="F23" s="54">
        <v>2.87</v>
      </c>
      <c r="G23" s="54">
        <v>56.53</v>
      </c>
      <c r="H23" s="54">
        <v>24.15</v>
      </c>
      <c r="I23" s="55" t="s">
        <v>15</v>
      </c>
      <c r="J23" s="54">
        <v>2.2599999999999998</v>
      </c>
      <c r="K23" s="54">
        <v>338.57</v>
      </c>
      <c r="L23" s="54">
        <v>23.18</v>
      </c>
      <c r="M23" s="54">
        <v>27.43</v>
      </c>
      <c r="N23" s="54">
        <v>474.7</v>
      </c>
      <c r="O23" s="54">
        <v>0</v>
      </c>
      <c r="P23" s="54">
        <v>0.66</v>
      </c>
      <c r="Q23" s="54">
        <v>8.2100000000000009</v>
      </c>
      <c r="R23" s="43"/>
      <c r="S23" s="43"/>
      <c r="T23" s="43"/>
      <c r="U23" s="43"/>
    </row>
    <row r="24" spans="1:21" s="11" customFormat="1" x14ac:dyDescent="0.25">
      <c r="A24" s="53" t="s">
        <v>243</v>
      </c>
      <c r="B24" s="54">
        <v>5</v>
      </c>
      <c r="C24" s="54">
        <v>64.98</v>
      </c>
      <c r="D24" s="54">
        <v>36.58</v>
      </c>
      <c r="E24" s="54">
        <v>8.0299999999999994</v>
      </c>
      <c r="F24" s="54">
        <v>2.27</v>
      </c>
      <c r="G24" s="54">
        <v>77.5</v>
      </c>
      <c r="H24" s="54">
        <v>30.67</v>
      </c>
      <c r="I24" s="55" t="s">
        <v>15</v>
      </c>
      <c r="J24" s="54">
        <v>2.4900000000000002</v>
      </c>
      <c r="K24" s="54">
        <v>344.03</v>
      </c>
      <c r="L24" s="54">
        <v>21.96</v>
      </c>
      <c r="M24" s="54">
        <v>29.24</v>
      </c>
      <c r="N24" s="54">
        <v>166.9</v>
      </c>
      <c r="O24" s="54">
        <v>0</v>
      </c>
      <c r="P24" s="54">
        <v>0.85</v>
      </c>
      <c r="Q24" s="54">
        <v>8.2100000000000009</v>
      </c>
      <c r="R24" s="43"/>
      <c r="S24" s="43"/>
      <c r="T24" s="43"/>
      <c r="U24" s="43"/>
    </row>
    <row r="25" spans="1:21" s="11" customFormat="1" x14ac:dyDescent="0.25">
      <c r="A25" s="53" t="s">
        <v>244</v>
      </c>
      <c r="B25" s="54">
        <v>7.59</v>
      </c>
      <c r="C25" s="54">
        <v>77.41</v>
      </c>
      <c r="D25" s="54">
        <v>44.78</v>
      </c>
      <c r="E25" s="54">
        <v>11.36</v>
      </c>
      <c r="F25" s="54">
        <v>5.0199999999999996</v>
      </c>
      <c r="G25" s="54">
        <v>77.5</v>
      </c>
      <c r="H25" s="54">
        <v>30.67</v>
      </c>
      <c r="I25" s="55" t="s">
        <v>15</v>
      </c>
      <c r="J25" s="54">
        <v>2.52</v>
      </c>
      <c r="K25" s="54">
        <v>346.64</v>
      </c>
      <c r="L25" s="54">
        <v>20.2</v>
      </c>
      <c r="M25" s="54">
        <v>34.39</v>
      </c>
      <c r="N25" s="54">
        <v>100</v>
      </c>
      <c r="O25" s="54">
        <v>0</v>
      </c>
      <c r="P25" s="54">
        <v>0.89</v>
      </c>
      <c r="Q25" s="54">
        <v>8.2100000000000009</v>
      </c>
      <c r="R25" s="43"/>
      <c r="S25" s="43"/>
      <c r="T25" s="43"/>
      <c r="U25" s="43"/>
    </row>
    <row r="26" spans="1:21" s="11" customFormat="1" x14ac:dyDescent="0.25">
      <c r="A26" s="53" t="s">
        <v>245</v>
      </c>
      <c r="B26" s="54">
        <v>11.88</v>
      </c>
      <c r="C26" s="54">
        <v>74.62</v>
      </c>
      <c r="D26" s="54">
        <v>46.21</v>
      </c>
      <c r="E26" s="54">
        <v>9.24</v>
      </c>
      <c r="F26" s="54">
        <v>2.13</v>
      </c>
      <c r="G26" s="54">
        <v>64.7</v>
      </c>
      <c r="H26" s="54">
        <v>27.81</v>
      </c>
      <c r="I26" s="55" t="s">
        <v>15</v>
      </c>
      <c r="J26" s="54">
        <v>2.42</v>
      </c>
      <c r="K26" s="54">
        <v>345.16</v>
      </c>
      <c r="L26" s="54">
        <v>18.649999999999999</v>
      </c>
      <c r="M26" s="54">
        <v>40.43</v>
      </c>
      <c r="N26" s="54">
        <v>71.2</v>
      </c>
      <c r="O26" s="54">
        <v>0</v>
      </c>
      <c r="P26" s="54">
        <v>0.95</v>
      </c>
      <c r="Q26" s="54">
        <v>8.2100000000000009</v>
      </c>
      <c r="R26" s="43"/>
      <c r="S26" s="43"/>
      <c r="T26" s="43"/>
      <c r="U26" s="43"/>
    </row>
    <row r="27" spans="1:21" s="11" customFormat="1" x14ac:dyDescent="0.25">
      <c r="A27" s="53" t="s">
        <v>246</v>
      </c>
      <c r="B27" s="54">
        <v>24.92</v>
      </c>
      <c r="C27" s="54">
        <v>73.03</v>
      </c>
      <c r="D27" s="54">
        <v>56.45</v>
      </c>
      <c r="E27" s="54">
        <v>9.0399999999999991</v>
      </c>
      <c r="F27" s="54">
        <v>2.13</v>
      </c>
      <c r="G27" s="54">
        <v>160.54</v>
      </c>
      <c r="H27" s="54">
        <v>29.83</v>
      </c>
      <c r="I27" s="55" t="s">
        <v>15</v>
      </c>
      <c r="J27" s="54">
        <v>1.38</v>
      </c>
      <c r="K27" s="54">
        <v>306.76</v>
      </c>
      <c r="L27" s="54">
        <v>15.91</v>
      </c>
      <c r="M27" s="54">
        <v>54.44</v>
      </c>
      <c r="N27" s="54">
        <v>57.6</v>
      </c>
      <c r="O27" s="54">
        <v>0</v>
      </c>
      <c r="P27" s="54">
        <v>1.0900000000000001</v>
      </c>
      <c r="Q27" s="54">
        <v>8.2100000000000009</v>
      </c>
      <c r="R27" s="43"/>
      <c r="S27" s="43"/>
      <c r="T27" s="43"/>
      <c r="U27" s="43"/>
    </row>
    <row r="28" spans="1:21" s="11" customFormat="1" x14ac:dyDescent="0.25">
      <c r="A28" s="53" t="s">
        <v>247</v>
      </c>
      <c r="B28" s="54">
        <v>48.38</v>
      </c>
      <c r="C28" s="54">
        <v>72.77</v>
      </c>
      <c r="D28" s="54">
        <v>73.150000000000006</v>
      </c>
      <c r="E28" s="54">
        <v>10.29</v>
      </c>
      <c r="F28" s="54">
        <v>2.13</v>
      </c>
      <c r="G28" s="54">
        <v>196.32</v>
      </c>
      <c r="H28" s="54">
        <v>40.880000000000003</v>
      </c>
      <c r="I28" s="55" t="s">
        <v>15</v>
      </c>
      <c r="J28" s="54">
        <v>1.46</v>
      </c>
      <c r="K28" s="54">
        <v>310.70999999999998</v>
      </c>
      <c r="L28" s="54">
        <v>13.61</v>
      </c>
      <c r="M28" s="54">
        <v>65.319999999999993</v>
      </c>
      <c r="N28" s="54">
        <v>57.3</v>
      </c>
      <c r="O28" s="54">
        <v>0</v>
      </c>
      <c r="P28" s="54">
        <v>1.46</v>
      </c>
      <c r="Q28" s="54">
        <v>9.2100000000000009</v>
      </c>
      <c r="R28" s="43"/>
      <c r="S28" s="43"/>
      <c r="T28" s="43"/>
      <c r="U28" s="43"/>
    </row>
    <row r="29" spans="1:21" s="11" customFormat="1" x14ac:dyDescent="0.25">
      <c r="A29" s="53" t="s">
        <v>248</v>
      </c>
      <c r="B29" s="54">
        <v>90.45</v>
      </c>
      <c r="C29" s="54">
        <v>67.260000000000005</v>
      </c>
      <c r="D29" s="54">
        <v>104.63</v>
      </c>
      <c r="E29" s="54">
        <v>11.45</v>
      </c>
      <c r="F29" s="54">
        <v>2.13</v>
      </c>
      <c r="G29" s="54">
        <v>207.14</v>
      </c>
      <c r="H29" s="54">
        <v>50.46</v>
      </c>
      <c r="I29" s="55" t="s">
        <v>15</v>
      </c>
      <c r="J29" s="54">
        <v>1.47</v>
      </c>
      <c r="K29" s="54">
        <v>329.05</v>
      </c>
      <c r="L29" s="54">
        <v>12.62</v>
      </c>
      <c r="M29" s="54">
        <v>76.61</v>
      </c>
      <c r="N29" s="54">
        <v>57.3</v>
      </c>
      <c r="O29" s="54">
        <v>0</v>
      </c>
      <c r="P29" s="54">
        <v>1.78</v>
      </c>
      <c r="Q29" s="54">
        <v>9.65</v>
      </c>
      <c r="R29" s="43"/>
      <c r="S29" s="43"/>
      <c r="T29" s="43"/>
      <c r="U29" s="43"/>
    </row>
    <row r="30" spans="1:21" s="11" customFormat="1" x14ac:dyDescent="0.25">
      <c r="A30" s="53" t="s">
        <v>249</v>
      </c>
      <c r="B30" s="54">
        <v>156.77000000000001</v>
      </c>
      <c r="C30" s="54">
        <v>63.71</v>
      </c>
      <c r="D30" s="54">
        <v>157.37</v>
      </c>
      <c r="E30" s="54">
        <v>12.9</v>
      </c>
      <c r="F30" s="54">
        <v>2.13</v>
      </c>
      <c r="G30" s="54">
        <v>237.2</v>
      </c>
      <c r="H30" s="54">
        <v>53.46</v>
      </c>
      <c r="I30" s="55" t="s">
        <v>15</v>
      </c>
      <c r="J30" s="54">
        <v>1.44</v>
      </c>
      <c r="K30" s="54">
        <v>328.41</v>
      </c>
      <c r="L30" s="54">
        <v>11.64</v>
      </c>
      <c r="M30" s="54">
        <v>85.26</v>
      </c>
      <c r="N30" s="54">
        <v>57.3</v>
      </c>
      <c r="O30" s="54">
        <v>0</v>
      </c>
      <c r="P30" s="54">
        <v>2.15</v>
      </c>
      <c r="Q30" s="54">
        <v>10.08</v>
      </c>
      <c r="R30" s="43"/>
      <c r="S30" s="43"/>
      <c r="T30" s="43"/>
      <c r="U30" s="43"/>
    </row>
    <row r="31" spans="1:21" s="11" customFormat="1" x14ac:dyDescent="0.25">
      <c r="A31" s="53" t="s">
        <v>250</v>
      </c>
      <c r="B31" s="54">
        <v>175.66</v>
      </c>
      <c r="C31" s="54">
        <v>63.09</v>
      </c>
      <c r="D31" s="54">
        <v>172.16</v>
      </c>
      <c r="E31" s="54">
        <v>13.06</v>
      </c>
      <c r="F31" s="54">
        <v>2.13</v>
      </c>
      <c r="G31" s="54">
        <v>237.2</v>
      </c>
      <c r="H31" s="54">
        <v>57.61</v>
      </c>
      <c r="I31" s="55" t="s">
        <v>15</v>
      </c>
      <c r="J31" s="54">
        <v>1.48</v>
      </c>
      <c r="K31" s="54">
        <v>319.68</v>
      </c>
      <c r="L31" s="54">
        <v>11.62</v>
      </c>
      <c r="M31" s="54">
        <v>77.2</v>
      </c>
      <c r="N31" s="54">
        <v>57.7</v>
      </c>
      <c r="O31" s="54">
        <v>0</v>
      </c>
      <c r="P31" s="54">
        <v>2.31</v>
      </c>
      <c r="Q31" s="54">
        <v>10.199999999999999</v>
      </c>
      <c r="R31" s="43"/>
      <c r="S31" s="43"/>
      <c r="T31" s="43"/>
      <c r="U31" s="43"/>
    </row>
    <row r="32" spans="1:21" s="11" customFormat="1" x14ac:dyDescent="0.25">
      <c r="A32" s="53" t="s">
        <v>251</v>
      </c>
      <c r="B32" s="54">
        <v>169.27</v>
      </c>
      <c r="C32" s="54">
        <v>58.42</v>
      </c>
      <c r="D32" s="54">
        <v>164.89</v>
      </c>
      <c r="E32" s="54">
        <v>12.63</v>
      </c>
      <c r="F32" s="54">
        <v>2.13</v>
      </c>
      <c r="G32" s="54">
        <v>197.67</v>
      </c>
      <c r="H32" s="54">
        <v>57.61</v>
      </c>
      <c r="I32" s="55" t="s">
        <v>15</v>
      </c>
      <c r="J32" s="54">
        <v>1.5</v>
      </c>
      <c r="K32" s="54">
        <v>309.85000000000002</v>
      </c>
      <c r="L32" s="54">
        <v>10.5</v>
      </c>
      <c r="M32" s="54">
        <v>81.400000000000006</v>
      </c>
      <c r="N32" s="54">
        <v>57.6</v>
      </c>
      <c r="O32" s="54">
        <v>0</v>
      </c>
      <c r="P32" s="54">
        <v>2.27</v>
      </c>
      <c r="Q32" s="54">
        <v>10.16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4.1900000000000004</v>
      </c>
      <c r="C34" s="28">
        <f t="shared" si="0"/>
        <v>47.17</v>
      </c>
      <c r="D34" s="28">
        <f t="shared" si="0"/>
        <v>32.35</v>
      </c>
      <c r="E34" s="28">
        <f t="shared" si="0"/>
        <v>5.35</v>
      </c>
      <c r="F34" s="28">
        <f t="shared" si="0"/>
        <v>2.13</v>
      </c>
      <c r="G34" s="28">
        <f t="shared" si="0"/>
        <v>45.39</v>
      </c>
      <c r="H34" s="28">
        <f t="shared" si="0"/>
        <v>24.15</v>
      </c>
      <c r="I34" s="28">
        <f t="shared" si="0"/>
        <v>0</v>
      </c>
      <c r="J34" s="28">
        <f t="shared" si="0"/>
        <v>0.77</v>
      </c>
      <c r="K34" s="28">
        <f t="shared" si="0"/>
        <v>68.739999999999995</v>
      </c>
      <c r="L34" s="28">
        <f t="shared" si="0"/>
        <v>9.15</v>
      </c>
      <c r="M34" s="28">
        <f t="shared" si="0"/>
        <v>27.43</v>
      </c>
      <c r="N34" s="28">
        <f t="shared" si="0"/>
        <v>55.2</v>
      </c>
      <c r="O34" s="28">
        <f t="shared" si="0"/>
        <v>0</v>
      </c>
      <c r="P34" s="28">
        <f t="shared" si="0"/>
        <v>0.64</v>
      </c>
      <c r="Q34" s="28">
        <f t="shared" si="0"/>
        <v>8.2100000000000009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175.66</v>
      </c>
      <c r="C35" s="29">
        <f t="shared" si="1"/>
        <v>77.41</v>
      </c>
      <c r="D35" s="29">
        <f t="shared" si="1"/>
        <v>172.16</v>
      </c>
      <c r="E35" s="29">
        <f t="shared" si="1"/>
        <v>13.06</v>
      </c>
      <c r="F35" s="29">
        <f t="shared" si="1"/>
        <v>5.0199999999999996</v>
      </c>
      <c r="G35" s="29">
        <f t="shared" si="1"/>
        <v>237.2</v>
      </c>
      <c r="H35" s="29">
        <f t="shared" si="1"/>
        <v>57.61</v>
      </c>
      <c r="I35" s="29">
        <f t="shared" si="1"/>
        <v>0</v>
      </c>
      <c r="J35" s="29">
        <f t="shared" si="1"/>
        <v>2.68</v>
      </c>
      <c r="K35" s="29">
        <f t="shared" si="1"/>
        <v>352.94</v>
      </c>
      <c r="L35" s="29">
        <f t="shared" si="1"/>
        <v>24.34</v>
      </c>
      <c r="M35" s="29">
        <f t="shared" si="1"/>
        <v>85.26</v>
      </c>
      <c r="N35" s="29">
        <f t="shared" si="1"/>
        <v>718.6</v>
      </c>
      <c r="O35" s="29">
        <f t="shared" si="1"/>
        <v>0</v>
      </c>
      <c r="P35" s="29">
        <f t="shared" si="1"/>
        <v>2.31</v>
      </c>
      <c r="Q35" s="29">
        <f t="shared" si="1"/>
        <v>10.199999999999999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36.596249999999998</v>
      </c>
      <c r="C36" s="28">
        <f t="shared" si="2"/>
        <v>60.832916666666669</v>
      </c>
      <c r="D36" s="28">
        <f t="shared" si="2"/>
        <v>59.360833333333346</v>
      </c>
      <c r="E36" s="28">
        <f t="shared" si="2"/>
        <v>8.1662499999999998</v>
      </c>
      <c r="F36" s="28">
        <f t="shared" si="2"/>
        <v>2.4212500000000001</v>
      </c>
      <c r="G36" s="28">
        <f t="shared" si="2"/>
        <v>104.80416666666666</v>
      </c>
      <c r="H36" s="28">
        <f t="shared" si="2"/>
        <v>33.491250000000001</v>
      </c>
      <c r="I36" s="28" t="e">
        <f t="shared" si="2"/>
        <v>#DIV/0!</v>
      </c>
      <c r="J36" s="28">
        <f t="shared" si="2"/>
        <v>1.7604166666666667</v>
      </c>
      <c r="K36" s="28">
        <f t="shared" si="2"/>
        <v>304.15291666666673</v>
      </c>
      <c r="L36" s="28">
        <f t="shared" si="2"/>
        <v>15.770416666666668</v>
      </c>
      <c r="M36" s="28">
        <f t="shared" si="2"/>
        <v>57.886666666666656</v>
      </c>
      <c r="N36" s="28">
        <f t="shared" si="2"/>
        <v>228.16666666666666</v>
      </c>
      <c r="O36" s="28">
        <f t="shared" si="2"/>
        <v>0</v>
      </c>
      <c r="P36" s="28">
        <f t="shared" si="2"/>
        <v>1.0274999999999999</v>
      </c>
      <c r="Q36" s="28">
        <f t="shared" si="2"/>
        <v>8.5537500000000044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53.590962152741042</v>
      </c>
      <c r="C37" s="28">
        <f t="shared" ref="C37:Q37" si="3">STDEV(C9:C32)</f>
        <v>9.1066991486519395</v>
      </c>
      <c r="D37" s="28">
        <f t="shared" si="3"/>
        <v>43.623944055157772</v>
      </c>
      <c r="E37" s="28">
        <f t="shared" si="3"/>
        <v>2.5133864432361905</v>
      </c>
      <c r="F37" s="28">
        <f t="shared" si="3"/>
        <v>0.8096929772397089</v>
      </c>
      <c r="G37" s="28">
        <f t="shared" si="3"/>
        <v>62.367614987871427</v>
      </c>
      <c r="H37" s="28">
        <f t="shared" si="3"/>
        <v>10.280586310678219</v>
      </c>
      <c r="I37" s="28" t="e">
        <f t="shared" si="3"/>
        <v>#DIV/0!</v>
      </c>
      <c r="J37" s="28">
        <f t="shared" si="3"/>
        <v>0.56856401243121568</v>
      </c>
      <c r="K37" s="28">
        <f t="shared" si="3"/>
        <v>81.550528400663993</v>
      </c>
      <c r="L37" s="28">
        <f t="shared" si="3"/>
        <v>5.3968948231259883</v>
      </c>
      <c r="M37" s="28">
        <f t="shared" si="3"/>
        <v>21.050787998607579</v>
      </c>
      <c r="N37" s="28">
        <f t="shared" si="3"/>
        <v>253.45145091518901</v>
      </c>
      <c r="O37" s="28">
        <f t="shared" si="3"/>
        <v>0</v>
      </c>
      <c r="P37" s="28">
        <f t="shared" si="3"/>
        <v>0.53769435313317582</v>
      </c>
      <c r="Q37" s="28">
        <f t="shared" si="3"/>
        <v>0.70701954034862591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0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&lt;90%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LESS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7" sqref="G47"/>
    </sheetView>
  </sheetViews>
  <sheetFormatPr defaultColWidth="8.85546875" defaultRowHeight="15" x14ac:dyDescent="0.25"/>
  <cols>
    <col min="1" max="1" width="18.28515625" style="26" customWidth="1"/>
    <col min="2" max="2" width="13.855468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09/01/2025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3" t="s">
        <v>252</v>
      </c>
      <c r="B9" s="54">
        <v>151.15</v>
      </c>
      <c r="C9" s="54">
        <v>51.16</v>
      </c>
      <c r="D9" s="54">
        <v>146.57</v>
      </c>
      <c r="E9" s="54">
        <v>9.0299999999999994</v>
      </c>
      <c r="F9" s="54">
        <v>2.13</v>
      </c>
      <c r="G9" s="54">
        <v>163.69999999999999</v>
      </c>
      <c r="H9" s="54">
        <v>57.43</v>
      </c>
      <c r="I9" s="55" t="s">
        <v>15</v>
      </c>
      <c r="J9" s="54">
        <v>1.43</v>
      </c>
      <c r="K9" s="54">
        <v>309.02999999999997</v>
      </c>
      <c r="L9" s="54">
        <v>9.8000000000000007</v>
      </c>
      <c r="M9" s="54">
        <v>88.31</v>
      </c>
      <c r="N9" s="54">
        <v>57.5</v>
      </c>
      <c r="O9" s="54">
        <v>0</v>
      </c>
      <c r="P9" s="54">
        <v>2.1</v>
      </c>
      <c r="Q9" s="54">
        <v>10.07</v>
      </c>
      <c r="R9" s="43"/>
      <c r="S9" s="43"/>
      <c r="T9" s="43"/>
      <c r="U9" s="43"/>
    </row>
    <row r="10" spans="1:21" s="11" customFormat="1" x14ac:dyDescent="0.25">
      <c r="A10" s="53" t="s">
        <v>253</v>
      </c>
      <c r="B10" s="54">
        <v>129.75</v>
      </c>
      <c r="C10" s="54">
        <v>48.37</v>
      </c>
      <c r="D10" s="54">
        <v>127.76</v>
      </c>
      <c r="E10" s="54">
        <v>8.74</v>
      </c>
      <c r="F10" s="54">
        <v>2.13</v>
      </c>
      <c r="G10" s="54">
        <v>143.75</v>
      </c>
      <c r="H10" s="54">
        <v>52.2</v>
      </c>
      <c r="I10" s="55" t="s">
        <v>15</v>
      </c>
      <c r="J10" s="54">
        <v>1.0900000000000001</v>
      </c>
      <c r="K10" s="54">
        <v>283.68</v>
      </c>
      <c r="L10" s="54">
        <v>9.9</v>
      </c>
      <c r="M10" s="54">
        <v>91.79</v>
      </c>
      <c r="N10" s="54">
        <v>57.7</v>
      </c>
      <c r="O10" s="54">
        <v>0</v>
      </c>
      <c r="P10" s="54">
        <v>1.75</v>
      </c>
      <c r="Q10" s="54">
        <v>9.99</v>
      </c>
      <c r="R10" s="43"/>
      <c r="S10" s="43"/>
      <c r="T10" s="43"/>
      <c r="U10" s="43"/>
    </row>
    <row r="11" spans="1:21" s="11" customFormat="1" x14ac:dyDescent="0.25">
      <c r="A11" s="53" t="s">
        <v>254</v>
      </c>
      <c r="B11" s="54">
        <v>109.49</v>
      </c>
      <c r="C11" s="54">
        <v>47.77</v>
      </c>
      <c r="D11" s="54">
        <v>111.39</v>
      </c>
      <c r="E11" s="54">
        <v>8.3000000000000007</v>
      </c>
      <c r="F11" s="54">
        <v>2.13</v>
      </c>
      <c r="G11" s="54">
        <v>137.13999999999999</v>
      </c>
      <c r="H11" s="54">
        <v>49.16</v>
      </c>
      <c r="I11" s="55" t="s">
        <v>15</v>
      </c>
      <c r="J11" s="54">
        <v>0.8</v>
      </c>
      <c r="K11" s="54">
        <v>338.97</v>
      </c>
      <c r="L11" s="54">
        <v>9.36</v>
      </c>
      <c r="M11" s="54">
        <v>96.49</v>
      </c>
      <c r="N11" s="54">
        <v>57.8</v>
      </c>
      <c r="O11" s="54">
        <v>0</v>
      </c>
      <c r="P11" s="54">
        <v>1.68</v>
      </c>
      <c r="Q11" s="54">
        <v>9.81</v>
      </c>
      <c r="R11" s="43"/>
      <c r="S11" s="43"/>
      <c r="T11" s="43"/>
      <c r="U11" s="43"/>
    </row>
    <row r="12" spans="1:21" s="11" customFormat="1" x14ac:dyDescent="0.25">
      <c r="A12" s="53" t="s">
        <v>255</v>
      </c>
      <c r="B12" s="54">
        <v>95.34</v>
      </c>
      <c r="C12" s="54">
        <v>46.08</v>
      </c>
      <c r="D12" s="54">
        <v>99.16</v>
      </c>
      <c r="E12" s="54">
        <v>8.36</v>
      </c>
      <c r="F12" s="54">
        <v>2.13</v>
      </c>
      <c r="G12" s="54">
        <v>165.09</v>
      </c>
      <c r="H12" s="54">
        <v>53.7</v>
      </c>
      <c r="I12" s="55" t="s">
        <v>15</v>
      </c>
      <c r="J12" s="54">
        <v>1.55</v>
      </c>
      <c r="K12" s="54">
        <v>340.76</v>
      </c>
      <c r="L12" s="54">
        <v>8.91</v>
      </c>
      <c r="M12" s="54">
        <v>95.62</v>
      </c>
      <c r="N12" s="54">
        <v>58</v>
      </c>
      <c r="O12" s="54">
        <v>0</v>
      </c>
      <c r="P12" s="54">
        <v>1.61</v>
      </c>
      <c r="Q12" s="54">
        <v>9.7100000000000009</v>
      </c>
      <c r="R12" s="43"/>
      <c r="S12" s="43"/>
      <c r="T12" s="43"/>
      <c r="U12" s="43"/>
    </row>
    <row r="13" spans="1:21" s="11" customFormat="1" x14ac:dyDescent="0.25">
      <c r="A13" s="53" t="s">
        <v>256</v>
      </c>
      <c r="B13" s="54">
        <v>85.7</v>
      </c>
      <c r="C13" s="54">
        <v>42.64</v>
      </c>
      <c r="D13" s="54">
        <v>89.63</v>
      </c>
      <c r="E13" s="54">
        <v>8.89</v>
      </c>
      <c r="F13" s="54">
        <v>2.13</v>
      </c>
      <c r="G13" s="54">
        <v>165.09</v>
      </c>
      <c r="H13" s="54">
        <v>57.54</v>
      </c>
      <c r="I13" s="55" t="s">
        <v>15</v>
      </c>
      <c r="J13" s="54">
        <v>1.4</v>
      </c>
      <c r="K13" s="54">
        <v>355.9</v>
      </c>
      <c r="L13" s="54">
        <v>8.27</v>
      </c>
      <c r="M13" s="54">
        <v>100.67</v>
      </c>
      <c r="N13" s="54">
        <v>58</v>
      </c>
      <c r="O13" s="54">
        <v>0</v>
      </c>
      <c r="P13" s="54">
        <v>1.57</v>
      </c>
      <c r="Q13" s="54">
        <v>9.66</v>
      </c>
      <c r="R13" s="43"/>
      <c r="S13" s="43"/>
      <c r="T13" s="43"/>
      <c r="U13" s="43"/>
    </row>
    <row r="14" spans="1:21" s="11" customFormat="1" x14ac:dyDescent="0.25">
      <c r="A14" s="53" t="s">
        <v>257</v>
      </c>
      <c r="B14" s="54">
        <v>87.63</v>
      </c>
      <c r="C14" s="54">
        <v>41.52</v>
      </c>
      <c r="D14" s="54">
        <v>90.26</v>
      </c>
      <c r="E14" s="54">
        <v>9.32</v>
      </c>
      <c r="F14" s="54">
        <v>2.13</v>
      </c>
      <c r="G14" s="54">
        <v>201.67</v>
      </c>
      <c r="H14" s="54">
        <v>63.83</v>
      </c>
      <c r="I14" s="55" t="s">
        <v>15</v>
      </c>
      <c r="J14" s="54">
        <v>1.23</v>
      </c>
      <c r="K14" s="54">
        <v>344.71</v>
      </c>
      <c r="L14" s="54">
        <v>8.67</v>
      </c>
      <c r="M14" s="54">
        <v>95.35</v>
      </c>
      <c r="N14" s="54">
        <v>57.7</v>
      </c>
      <c r="O14" s="54">
        <v>0</v>
      </c>
      <c r="P14" s="54">
        <v>1.63</v>
      </c>
      <c r="Q14" s="54">
        <v>9.68</v>
      </c>
      <c r="R14" s="43"/>
      <c r="S14" s="43"/>
      <c r="T14" s="43"/>
      <c r="U14" s="43"/>
    </row>
    <row r="15" spans="1:21" s="11" customFormat="1" x14ac:dyDescent="0.25">
      <c r="A15" s="53" t="s">
        <v>258</v>
      </c>
      <c r="B15" s="54">
        <v>81.62</v>
      </c>
      <c r="C15" s="54">
        <v>42.11</v>
      </c>
      <c r="D15" s="54">
        <v>85.55</v>
      </c>
      <c r="E15" s="54">
        <v>8.7899999999999991</v>
      </c>
      <c r="F15" s="54">
        <v>2.13</v>
      </c>
      <c r="G15" s="54">
        <v>201.67</v>
      </c>
      <c r="H15" s="54">
        <v>63.83</v>
      </c>
      <c r="I15" s="55" t="s">
        <v>15</v>
      </c>
      <c r="J15" s="54">
        <v>1.5</v>
      </c>
      <c r="K15" s="54">
        <v>359.04</v>
      </c>
      <c r="L15" s="54">
        <v>8.7200000000000006</v>
      </c>
      <c r="M15" s="54">
        <v>79.5</v>
      </c>
      <c r="N15" s="54">
        <v>66.7</v>
      </c>
      <c r="O15" s="54">
        <v>0</v>
      </c>
      <c r="P15" s="54">
        <v>1.6</v>
      </c>
      <c r="Q15" s="54">
        <v>9.65</v>
      </c>
      <c r="R15" s="43"/>
      <c r="S15" s="43"/>
      <c r="T15" s="43"/>
      <c r="U15" s="43"/>
    </row>
    <row r="16" spans="1:21" s="11" customFormat="1" x14ac:dyDescent="0.25">
      <c r="A16" s="53" t="s">
        <v>259</v>
      </c>
      <c r="B16" s="54">
        <v>70.16</v>
      </c>
      <c r="C16" s="54">
        <v>44.04</v>
      </c>
      <c r="D16" s="54">
        <v>77.16</v>
      </c>
      <c r="E16" s="54">
        <v>7.63</v>
      </c>
      <c r="F16" s="54">
        <v>2.13</v>
      </c>
      <c r="G16" s="54">
        <v>138.69</v>
      </c>
      <c r="H16" s="54">
        <v>59.2</v>
      </c>
      <c r="I16" s="55" t="s">
        <v>15</v>
      </c>
      <c r="J16" s="54">
        <v>1.32</v>
      </c>
      <c r="K16" s="54">
        <v>322.97000000000003</v>
      </c>
      <c r="L16" s="54">
        <v>10.199999999999999</v>
      </c>
      <c r="M16" s="54">
        <v>74.16</v>
      </c>
      <c r="N16" s="54">
        <v>188.9</v>
      </c>
      <c r="O16" s="54">
        <v>0</v>
      </c>
      <c r="P16" s="54">
        <v>1.39</v>
      </c>
      <c r="Q16" s="54">
        <v>9.5299999999999994</v>
      </c>
      <c r="R16" s="43"/>
      <c r="S16" s="43"/>
      <c r="T16" s="43"/>
      <c r="U16" s="43"/>
    </row>
    <row r="17" spans="1:21" s="11" customFormat="1" x14ac:dyDescent="0.25">
      <c r="A17" s="53" t="s">
        <v>260</v>
      </c>
      <c r="B17" s="54">
        <v>61.83</v>
      </c>
      <c r="C17" s="54">
        <v>44.1</v>
      </c>
      <c r="D17" s="54">
        <v>70.86</v>
      </c>
      <c r="E17" s="54">
        <v>6.42</v>
      </c>
      <c r="F17" s="54">
        <v>2.13</v>
      </c>
      <c r="G17" s="54">
        <v>99.04</v>
      </c>
      <c r="H17" s="54">
        <v>47.51</v>
      </c>
      <c r="I17" s="55" t="s">
        <v>15</v>
      </c>
      <c r="J17" s="54">
        <v>2.0299999999999998</v>
      </c>
      <c r="K17" s="54">
        <v>347.03</v>
      </c>
      <c r="L17" s="54">
        <v>14.68</v>
      </c>
      <c r="M17" s="54">
        <v>61.27</v>
      </c>
      <c r="N17" s="54">
        <v>434.6</v>
      </c>
      <c r="O17" s="54">
        <v>0</v>
      </c>
      <c r="P17" s="54">
        <v>1.25</v>
      </c>
      <c r="Q17" s="54">
        <v>9.44</v>
      </c>
      <c r="R17" s="43"/>
      <c r="S17" s="43"/>
      <c r="T17" s="43"/>
      <c r="U17" s="43"/>
    </row>
    <row r="18" spans="1:21" s="11" customFormat="1" x14ac:dyDescent="0.25">
      <c r="A18" s="53" t="s">
        <v>261</v>
      </c>
      <c r="B18" s="54">
        <v>52.17</v>
      </c>
      <c r="C18" s="54">
        <v>46.85</v>
      </c>
      <c r="D18" s="54">
        <v>63.86</v>
      </c>
      <c r="E18" s="54">
        <v>5.97</v>
      </c>
      <c r="F18" s="54">
        <v>2.13</v>
      </c>
      <c r="G18" s="54">
        <v>96.85</v>
      </c>
      <c r="H18" s="54">
        <v>45.83</v>
      </c>
      <c r="I18" s="55" t="s">
        <v>15</v>
      </c>
      <c r="J18" s="54">
        <v>2.89</v>
      </c>
      <c r="K18" s="54">
        <v>121.05</v>
      </c>
      <c r="L18" s="54">
        <v>16.940000000000001</v>
      </c>
      <c r="M18" s="54">
        <v>48.7</v>
      </c>
      <c r="N18" s="54">
        <v>567.29999999999995</v>
      </c>
      <c r="O18" s="54">
        <v>0</v>
      </c>
      <c r="P18" s="54">
        <v>1.1200000000000001</v>
      </c>
      <c r="Q18" s="54">
        <v>8.93</v>
      </c>
      <c r="R18" s="43"/>
      <c r="S18" s="43"/>
      <c r="T18" s="43"/>
      <c r="U18" s="43"/>
    </row>
    <row r="19" spans="1:21" s="11" customFormat="1" x14ac:dyDescent="0.25">
      <c r="A19" s="53" t="s">
        <v>262</v>
      </c>
      <c r="B19" s="54">
        <v>47.44</v>
      </c>
      <c r="C19" s="54">
        <v>51.86</v>
      </c>
      <c r="D19" s="54">
        <v>62.45</v>
      </c>
      <c r="E19" s="54">
        <v>6.17</v>
      </c>
      <c r="F19" s="54">
        <v>2.13</v>
      </c>
      <c r="G19" s="54">
        <v>77.47</v>
      </c>
      <c r="H19" s="54">
        <v>39.14</v>
      </c>
      <c r="I19" s="55" t="s">
        <v>15</v>
      </c>
      <c r="J19" s="54">
        <v>2.35</v>
      </c>
      <c r="K19" s="54">
        <v>122.62</v>
      </c>
      <c r="L19" s="54">
        <v>18.809999999999999</v>
      </c>
      <c r="M19" s="54">
        <v>37.31</v>
      </c>
      <c r="N19" s="54">
        <v>655.4</v>
      </c>
      <c r="O19" s="54">
        <v>0</v>
      </c>
      <c r="P19" s="54">
        <v>0.98</v>
      </c>
      <c r="Q19" s="54">
        <v>8.59</v>
      </c>
      <c r="R19" s="43"/>
      <c r="S19" s="43"/>
      <c r="T19" s="43"/>
      <c r="U19" s="43"/>
    </row>
    <row r="20" spans="1:21" s="11" customFormat="1" x14ac:dyDescent="0.25">
      <c r="A20" s="53" t="s">
        <v>263</v>
      </c>
      <c r="B20" s="54">
        <v>34.33</v>
      </c>
      <c r="C20" s="54">
        <v>64.27</v>
      </c>
      <c r="D20" s="54">
        <v>55.63</v>
      </c>
      <c r="E20" s="54">
        <v>8.3800000000000008</v>
      </c>
      <c r="F20" s="54">
        <v>2.13</v>
      </c>
      <c r="G20" s="54">
        <v>71.819999999999993</v>
      </c>
      <c r="H20" s="54">
        <v>35.020000000000003</v>
      </c>
      <c r="I20" s="55" t="s">
        <v>15</v>
      </c>
      <c r="J20" s="54">
        <v>2.1800000000000002</v>
      </c>
      <c r="K20" s="54">
        <v>119.69</v>
      </c>
      <c r="L20" s="54">
        <v>21.96</v>
      </c>
      <c r="M20" s="54">
        <v>30.93</v>
      </c>
      <c r="N20" s="54">
        <v>731</v>
      </c>
      <c r="O20" s="54">
        <v>0</v>
      </c>
      <c r="P20" s="54">
        <v>0.78</v>
      </c>
      <c r="Q20" s="54">
        <v>8.2200000000000006</v>
      </c>
      <c r="R20" s="43"/>
      <c r="S20" s="43"/>
      <c r="T20" s="43"/>
      <c r="U20" s="43"/>
    </row>
    <row r="21" spans="1:21" s="11" customFormat="1" x14ac:dyDescent="0.25">
      <c r="A21" s="53" t="s">
        <v>264</v>
      </c>
      <c r="B21" s="54">
        <v>16.45</v>
      </c>
      <c r="C21" s="54">
        <v>73.22</v>
      </c>
      <c r="D21" s="54">
        <v>47.45</v>
      </c>
      <c r="E21" s="54">
        <v>10.37</v>
      </c>
      <c r="F21" s="54">
        <v>11.65</v>
      </c>
      <c r="G21" s="54">
        <v>60.44</v>
      </c>
      <c r="H21" s="54">
        <v>30.46</v>
      </c>
      <c r="I21" s="55" t="s">
        <v>15</v>
      </c>
      <c r="J21" s="54">
        <v>0.97</v>
      </c>
      <c r="K21" s="54">
        <v>346.55</v>
      </c>
      <c r="L21" s="54">
        <v>23.54</v>
      </c>
      <c r="M21" s="54">
        <v>24.91</v>
      </c>
      <c r="N21" s="54">
        <v>715.9</v>
      </c>
      <c r="O21" s="54">
        <v>0</v>
      </c>
      <c r="P21" s="54">
        <v>0.56999999999999995</v>
      </c>
      <c r="Q21" s="54">
        <v>8.2100000000000009</v>
      </c>
      <c r="R21" s="43"/>
      <c r="S21" s="43"/>
      <c r="T21" s="43"/>
      <c r="U21" s="43"/>
    </row>
    <row r="22" spans="1:21" s="11" customFormat="1" x14ac:dyDescent="0.25">
      <c r="A22" s="53" t="s">
        <v>265</v>
      </c>
      <c r="B22" s="54">
        <v>3</v>
      </c>
      <c r="C22" s="54">
        <v>74.56</v>
      </c>
      <c r="D22" s="54">
        <v>39.99</v>
      </c>
      <c r="E22" s="54">
        <v>8.58</v>
      </c>
      <c r="F22" s="54">
        <v>6.66</v>
      </c>
      <c r="G22" s="54">
        <v>55.04</v>
      </c>
      <c r="H22" s="54">
        <v>24.89</v>
      </c>
      <c r="I22" s="55" t="s">
        <v>15</v>
      </c>
      <c r="J22" s="54">
        <v>1.74</v>
      </c>
      <c r="K22" s="54">
        <v>327.62</v>
      </c>
      <c r="L22" s="54">
        <v>24.76</v>
      </c>
      <c r="M22" s="54">
        <v>22.29</v>
      </c>
      <c r="N22" s="54">
        <v>688.8</v>
      </c>
      <c r="O22" s="54">
        <v>0</v>
      </c>
      <c r="P22" s="54">
        <v>0.63</v>
      </c>
      <c r="Q22" s="54">
        <v>8.2100000000000009</v>
      </c>
      <c r="R22" s="43"/>
      <c r="S22" s="43"/>
      <c r="T22" s="43"/>
      <c r="U22" s="43"/>
    </row>
    <row r="23" spans="1:21" s="11" customFormat="1" x14ac:dyDescent="0.25">
      <c r="A23" s="53" t="s">
        <v>266</v>
      </c>
      <c r="B23" s="54">
        <v>4</v>
      </c>
      <c r="C23" s="54">
        <v>59.53</v>
      </c>
      <c r="D23" s="54">
        <v>32.049999999999997</v>
      </c>
      <c r="E23" s="54">
        <v>6.09</v>
      </c>
      <c r="F23" s="54">
        <v>2.6</v>
      </c>
      <c r="G23" s="54">
        <v>50.59</v>
      </c>
      <c r="H23" s="54">
        <v>21.23</v>
      </c>
      <c r="I23" s="55" t="s">
        <v>15</v>
      </c>
      <c r="J23" s="54">
        <v>2.57</v>
      </c>
      <c r="K23" s="54">
        <v>332.49</v>
      </c>
      <c r="L23" s="54">
        <v>24.72</v>
      </c>
      <c r="M23" s="54">
        <v>21.77</v>
      </c>
      <c r="N23" s="54">
        <v>611.70000000000005</v>
      </c>
      <c r="O23" s="54">
        <v>0</v>
      </c>
      <c r="P23" s="54">
        <v>0.6</v>
      </c>
      <c r="Q23" s="54">
        <v>8.2100000000000009</v>
      </c>
      <c r="R23" s="43"/>
      <c r="S23" s="43"/>
      <c r="T23" s="43"/>
      <c r="U23" s="43"/>
    </row>
    <row r="24" spans="1:21" s="11" customFormat="1" x14ac:dyDescent="0.25">
      <c r="A24" s="53" t="s">
        <v>267</v>
      </c>
      <c r="B24" s="54">
        <v>3.03</v>
      </c>
      <c r="C24" s="54">
        <v>56.14</v>
      </c>
      <c r="D24" s="54">
        <v>30.39</v>
      </c>
      <c r="E24" s="54">
        <v>7.26</v>
      </c>
      <c r="F24" s="54">
        <v>7.25</v>
      </c>
      <c r="G24" s="54">
        <v>53.98</v>
      </c>
      <c r="H24" s="54">
        <v>18.940000000000001</v>
      </c>
      <c r="I24" s="55" t="s">
        <v>15</v>
      </c>
      <c r="J24" s="54">
        <v>1.65</v>
      </c>
      <c r="K24" s="54">
        <v>349.7</v>
      </c>
      <c r="L24" s="54">
        <v>22.86</v>
      </c>
      <c r="M24" s="54">
        <v>22.85</v>
      </c>
      <c r="N24" s="54">
        <v>194.8</v>
      </c>
      <c r="O24" s="54">
        <v>0</v>
      </c>
      <c r="P24" s="54">
        <v>0.6</v>
      </c>
      <c r="Q24" s="54">
        <v>8.2100000000000009</v>
      </c>
      <c r="R24" s="43"/>
      <c r="S24" s="43"/>
      <c r="T24" s="43"/>
      <c r="U24" s="43"/>
    </row>
    <row r="25" spans="1:21" s="11" customFormat="1" x14ac:dyDescent="0.25">
      <c r="A25" s="53" t="s">
        <v>268</v>
      </c>
      <c r="B25" s="54">
        <v>2.36</v>
      </c>
      <c r="C25" s="54">
        <v>48.63</v>
      </c>
      <c r="D25" s="54">
        <v>25.57</v>
      </c>
      <c r="E25" s="54">
        <v>7</v>
      </c>
      <c r="F25" s="54">
        <v>7.45</v>
      </c>
      <c r="G25" s="54">
        <v>53.98</v>
      </c>
      <c r="H25" s="54">
        <v>20.2</v>
      </c>
      <c r="I25" s="55" t="s">
        <v>15</v>
      </c>
      <c r="J25" s="54">
        <v>1.77</v>
      </c>
      <c r="K25" s="54">
        <v>134.21</v>
      </c>
      <c r="L25" s="54">
        <v>20.5</v>
      </c>
      <c r="M25" s="54">
        <v>23.49</v>
      </c>
      <c r="N25" s="54">
        <v>107.7</v>
      </c>
      <c r="O25" s="54">
        <v>0</v>
      </c>
      <c r="P25" s="54">
        <v>0.51</v>
      </c>
      <c r="Q25" s="54">
        <v>8.2100000000000009</v>
      </c>
      <c r="R25" s="43"/>
      <c r="S25" s="43"/>
      <c r="T25" s="43"/>
      <c r="U25" s="43"/>
    </row>
    <row r="26" spans="1:21" s="11" customFormat="1" x14ac:dyDescent="0.25">
      <c r="A26" s="53" t="s">
        <v>269</v>
      </c>
      <c r="B26" s="54">
        <v>39.65</v>
      </c>
      <c r="C26" s="54">
        <v>87.93</v>
      </c>
      <c r="D26" s="54">
        <v>76.36</v>
      </c>
      <c r="E26" s="54">
        <v>10.28</v>
      </c>
      <c r="F26" s="54">
        <v>14.9</v>
      </c>
      <c r="G26" s="54">
        <v>56.72</v>
      </c>
      <c r="H26" s="54">
        <v>23</v>
      </c>
      <c r="I26" s="55" t="s">
        <v>15</v>
      </c>
      <c r="J26" s="54">
        <v>1.51</v>
      </c>
      <c r="K26" s="54">
        <v>333.46</v>
      </c>
      <c r="L26" s="54">
        <v>19.43</v>
      </c>
      <c r="M26" s="54">
        <v>46.86</v>
      </c>
      <c r="N26" s="54">
        <v>82.2</v>
      </c>
      <c r="O26" s="54">
        <v>0</v>
      </c>
      <c r="P26" s="54">
        <v>0.99</v>
      </c>
      <c r="Q26" s="54">
        <v>8.2100000000000009</v>
      </c>
      <c r="R26" s="43"/>
      <c r="S26" s="43"/>
      <c r="T26" s="43"/>
      <c r="U26" s="43"/>
    </row>
    <row r="27" spans="1:21" s="11" customFormat="1" x14ac:dyDescent="0.25">
      <c r="A27" s="53" t="s">
        <v>270</v>
      </c>
      <c r="B27" s="54">
        <v>46.35</v>
      </c>
      <c r="C27" s="54">
        <v>84.88</v>
      </c>
      <c r="D27" s="54">
        <v>77.150000000000006</v>
      </c>
      <c r="E27" s="54">
        <v>8.7799999999999994</v>
      </c>
      <c r="F27" s="54">
        <v>2.13</v>
      </c>
      <c r="G27" s="54">
        <v>141.63999999999999</v>
      </c>
      <c r="H27" s="54">
        <v>24.57</v>
      </c>
      <c r="I27" s="55" t="s">
        <v>15</v>
      </c>
      <c r="J27" s="54">
        <v>1.51</v>
      </c>
      <c r="K27" s="54">
        <v>99.06</v>
      </c>
      <c r="L27" s="54">
        <v>15.87</v>
      </c>
      <c r="M27" s="54">
        <v>43.69</v>
      </c>
      <c r="N27" s="54">
        <v>67.5</v>
      </c>
      <c r="O27" s="54">
        <v>0</v>
      </c>
      <c r="P27" s="54">
        <v>1.21</v>
      </c>
      <c r="Q27" s="54">
        <v>9.27</v>
      </c>
      <c r="R27" s="43"/>
      <c r="S27" s="43"/>
      <c r="T27" s="43"/>
      <c r="U27" s="43"/>
    </row>
    <row r="28" spans="1:21" s="11" customFormat="1" x14ac:dyDescent="0.25">
      <c r="A28" s="53" t="s">
        <v>271</v>
      </c>
      <c r="B28" s="54">
        <v>47.41</v>
      </c>
      <c r="C28" s="54">
        <v>77.790000000000006</v>
      </c>
      <c r="D28" s="54">
        <v>77.28</v>
      </c>
      <c r="E28" s="54">
        <v>8.67</v>
      </c>
      <c r="F28" s="54">
        <v>2.13</v>
      </c>
      <c r="G28" s="54">
        <v>164.25</v>
      </c>
      <c r="H28" s="54">
        <v>35.950000000000003</v>
      </c>
      <c r="I28" s="55" t="s">
        <v>15</v>
      </c>
      <c r="J28" s="54">
        <v>1.46</v>
      </c>
      <c r="K28" s="54">
        <v>74.260000000000005</v>
      </c>
      <c r="L28" s="54">
        <v>15.82</v>
      </c>
      <c r="M28" s="54">
        <v>44.88</v>
      </c>
      <c r="N28" s="54">
        <v>67.599999999999994</v>
      </c>
      <c r="O28" s="54">
        <v>0</v>
      </c>
      <c r="P28" s="54">
        <v>1.29</v>
      </c>
      <c r="Q28" s="54">
        <v>9.35</v>
      </c>
      <c r="R28" s="43"/>
      <c r="S28" s="43"/>
      <c r="T28" s="43"/>
      <c r="U28" s="43"/>
    </row>
    <row r="29" spans="1:21" s="11" customFormat="1" x14ac:dyDescent="0.25">
      <c r="A29" s="53" t="s">
        <v>272</v>
      </c>
      <c r="B29" s="54">
        <v>41.9</v>
      </c>
      <c r="C29" s="54">
        <v>71.83</v>
      </c>
      <c r="D29" s="54">
        <v>69.75</v>
      </c>
      <c r="E29" s="54">
        <v>7.63</v>
      </c>
      <c r="F29" s="54">
        <v>2.13</v>
      </c>
      <c r="G29" s="54">
        <v>164.25</v>
      </c>
      <c r="H29" s="54">
        <v>35.950000000000003</v>
      </c>
      <c r="I29" s="55" t="s">
        <v>15</v>
      </c>
      <c r="J29" s="54">
        <v>1.1499999999999999</v>
      </c>
      <c r="K29" s="54">
        <v>160.9</v>
      </c>
      <c r="L29" s="54">
        <v>14.77</v>
      </c>
      <c r="M29" s="54">
        <v>44.47</v>
      </c>
      <c r="N29" s="54">
        <v>68.3</v>
      </c>
      <c r="O29" s="54">
        <v>0</v>
      </c>
      <c r="P29" s="54">
        <v>1.35</v>
      </c>
      <c r="Q29" s="54">
        <v>8.93</v>
      </c>
      <c r="R29" s="43"/>
      <c r="S29" s="43"/>
      <c r="T29" s="43"/>
      <c r="U29" s="43"/>
    </row>
    <row r="30" spans="1:21" s="11" customFormat="1" x14ac:dyDescent="0.25">
      <c r="A30" s="53" t="s">
        <v>273</v>
      </c>
      <c r="B30" s="54">
        <v>51.79</v>
      </c>
      <c r="C30" s="54">
        <v>64.86</v>
      </c>
      <c r="D30" s="54">
        <v>73</v>
      </c>
      <c r="E30" s="54">
        <v>7.14</v>
      </c>
      <c r="F30" s="54">
        <v>2.13</v>
      </c>
      <c r="G30" s="54">
        <v>118.73</v>
      </c>
      <c r="H30" s="54">
        <v>36.049999999999997</v>
      </c>
      <c r="I30" s="55" t="s">
        <v>15</v>
      </c>
      <c r="J30" s="54">
        <v>1.52</v>
      </c>
      <c r="K30" s="54">
        <v>322.08999999999997</v>
      </c>
      <c r="L30" s="54">
        <v>13.62</v>
      </c>
      <c r="M30" s="54">
        <v>57.46</v>
      </c>
      <c r="N30" s="54">
        <v>69</v>
      </c>
      <c r="O30" s="54">
        <v>0</v>
      </c>
      <c r="P30" s="54">
        <v>1.47</v>
      </c>
      <c r="Q30" s="54">
        <v>9.1999999999999993</v>
      </c>
      <c r="R30" s="43"/>
      <c r="S30" s="43"/>
      <c r="T30" s="43"/>
      <c r="U30" s="43"/>
    </row>
    <row r="31" spans="1:21" s="11" customFormat="1" x14ac:dyDescent="0.25">
      <c r="A31" s="53" t="s">
        <v>274</v>
      </c>
      <c r="B31" s="54">
        <v>77.87</v>
      </c>
      <c r="C31" s="54">
        <v>62.04</v>
      </c>
      <c r="D31" s="54">
        <v>92.21</v>
      </c>
      <c r="E31" s="54">
        <v>8.1999999999999993</v>
      </c>
      <c r="F31" s="54">
        <v>2.13</v>
      </c>
      <c r="G31" s="54">
        <v>156.97999999999999</v>
      </c>
      <c r="H31" s="54">
        <v>40.08</v>
      </c>
      <c r="I31" s="55" t="s">
        <v>15</v>
      </c>
      <c r="J31" s="54">
        <v>1.53</v>
      </c>
      <c r="K31" s="54">
        <v>312.17</v>
      </c>
      <c r="L31" s="54">
        <v>11.78</v>
      </c>
      <c r="M31" s="54">
        <v>70.959999999999994</v>
      </c>
      <c r="N31" s="54">
        <v>70.900000000000006</v>
      </c>
      <c r="O31" s="54">
        <v>0</v>
      </c>
      <c r="P31" s="54">
        <v>1.61</v>
      </c>
      <c r="Q31" s="54">
        <v>9.56</v>
      </c>
      <c r="R31" s="43"/>
      <c r="S31" s="43"/>
      <c r="T31" s="43"/>
      <c r="U31" s="43"/>
    </row>
    <row r="32" spans="1:21" s="11" customFormat="1" x14ac:dyDescent="0.25">
      <c r="A32" s="53" t="s">
        <v>275</v>
      </c>
      <c r="B32" s="54">
        <v>102.32</v>
      </c>
      <c r="C32" s="54">
        <v>59.57</v>
      </c>
      <c r="D32" s="54">
        <v>110.81</v>
      </c>
      <c r="E32" s="54">
        <v>8.68</v>
      </c>
      <c r="F32" s="54">
        <v>2.13</v>
      </c>
      <c r="G32" s="54">
        <v>182.58</v>
      </c>
      <c r="H32" s="54">
        <v>45.69</v>
      </c>
      <c r="I32" s="55" t="s">
        <v>15</v>
      </c>
      <c r="J32" s="54">
        <v>1.54</v>
      </c>
      <c r="K32" s="54">
        <v>279.54000000000002</v>
      </c>
      <c r="L32" s="54">
        <v>10.89</v>
      </c>
      <c r="M32" s="54">
        <v>79.5</v>
      </c>
      <c r="N32" s="54">
        <v>79.599999999999994</v>
      </c>
      <c r="O32" s="54">
        <v>0</v>
      </c>
      <c r="P32" s="54">
        <v>1.76</v>
      </c>
      <c r="Q32" s="54">
        <v>9.69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2.36</v>
      </c>
      <c r="C34" s="28">
        <f t="shared" si="0"/>
        <v>41.52</v>
      </c>
      <c r="D34" s="28">
        <f t="shared" si="0"/>
        <v>25.57</v>
      </c>
      <c r="E34" s="28">
        <f t="shared" si="0"/>
        <v>5.97</v>
      </c>
      <c r="F34" s="28">
        <f t="shared" si="0"/>
        <v>2.13</v>
      </c>
      <c r="G34" s="28">
        <f t="shared" si="0"/>
        <v>50.59</v>
      </c>
      <c r="H34" s="28">
        <f t="shared" si="0"/>
        <v>18.940000000000001</v>
      </c>
      <c r="I34" s="28">
        <f t="shared" si="0"/>
        <v>0</v>
      </c>
      <c r="J34" s="28">
        <f t="shared" si="0"/>
        <v>0.8</v>
      </c>
      <c r="K34" s="28">
        <f t="shared" si="0"/>
        <v>74.260000000000005</v>
      </c>
      <c r="L34" s="28">
        <f t="shared" si="0"/>
        <v>8.27</v>
      </c>
      <c r="M34" s="28">
        <f t="shared" si="0"/>
        <v>21.77</v>
      </c>
      <c r="N34" s="28">
        <f t="shared" si="0"/>
        <v>57.5</v>
      </c>
      <c r="O34" s="28">
        <f t="shared" si="0"/>
        <v>0</v>
      </c>
      <c r="P34" s="28">
        <f t="shared" si="0"/>
        <v>0.51</v>
      </c>
      <c r="Q34" s="28">
        <f t="shared" si="0"/>
        <v>8.2100000000000009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151.15</v>
      </c>
      <c r="C35" s="29">
        <f t="shared" si="1"/>
        <v>87.93</v>
      </c>
      <c r="D35" s="29">
        <f t="shared" si="1"/>
        <v>146.57</v>
      </c>
      <c r="E35" s="29">
        <f t="shared" si="1"/>
        <v>10.37</v>
      </c>
      <c r="F35" s="29">
        <f t="shared" si="1"/>
        <v>14.9</v>
      </c>
      <c r="G35" s="29">
        <f t="shared" si="1"/>
        <v>201.67</v>
      </c>
      <c r="H35" s="29">
        <f t="shared" si="1"/>
        <v>63.83</v>
      </c>
      <c r="I35" s="29">
        <f t="shared" si="1"/>
        <v>0</v>
      </c>
      <c r="J35" s="29">
        <f t="shared" si="1"/>
        <v>2.89</v>
      </c>
      <c r="K35" s="29">
        <f t="shared" si="1"/>
        <v>359.04</v>
      </c>
      <c r="L35" s="29">
        <f t="shared" si="1"/>
        <v>24.76</v>
      </c>
      <c r="M35" s="29">
        <f t="shared" si="1"/>
        <v>100.67</v>
      </c>
      <c r="N35" s="29">
        <f t="shared" si="1"/>
        <v>731</v>
      </c>
      <c r="O35" s="29">
        <f t="shared" si="1"/>
        <v>0</v>
      </c>
      <c r="P35" s="29">
        <f t="shared" si="1"/>
        <v>2.1</v>
      </c>
      <c r="Q35" s="29">
        <f t="shared" si="1"/>
        <v>10.07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60.114166666666669</v>
      </c>
      <c r="C36" s="28">
        <f t="shared" si="2"/>
        <v>57.989583333333336</v>
      </c>
      <c r="D36" s="28">
        <f t="shared" si="2"/>
        <v>76.345416666666665</v>
      </c>
      <c r="E36" s="28">
        <f t="shared" si="2"/>
        <v>8.1116666666666664</v>
      </c>
      <c r="F36" s="28">
        <f t="shared" si="2"/>
        <v>3.7020833333333321</v>
      </c>
      <c r="G36" s="28">
        <f t="shared" si="2"/>
        <v>121.71499999999999</v>
      </c>
      <c r="H36" s="28">
        <f t="shared" si="2"/>
        <v>40.89166666666668</v>
      </c>
      <c r="I36" s="28" t="e">
        <f t="shared" si="2"/>
        <v>#DIV/0!</v>
      </c>
      <c r="J36" s="28">
        <f t="shared" si="2"/>
        <v>1.6120833333333333</v>
      </c>
      <c r="K36" s="28">
        <f t="shared" si="2"/>
        <v>268.22916666666669</v>
      </c>
      <c r="L36" s="28">
        <f t="shared" si="2"/>
        <v>15.199166666666663</v>
      </c>
      <c r="M36" s="28">
        <f t="shared" si="2"/>
        <v>58.467916666666675</v>
      </c>
      <c r="N36" s="28">
        <f t="shared" si="2"/>
        <v>242.27500000000001</v>
      </c>
      <c r="O36" s="28">
        <f t="shared" si="2"/>
        <v>0</v>
      </c>
      <c r="P36" s="28">
        <f t="shared" si="2"/>
        <v>1.2520833333333334</v>
      </c>
      <c r="Q36" s="28">
        <f t="shared" si="2"/>
        <v>9.1058333333333348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40.572535464991226</v>
      </c>
      <c r="C37" s="28">
        <f t="shared" ref="C37:Q37" si="3">STDEV(C9:C32)</f>
        <v>14.145633365003521</v>
      </c>
      <c r="D37" s="28">
        <f t="shared" si="3"/>
        <v>30.138624067604784</v>
      </c>
      <c r="E37" s="28">
        <f t="shared" si="3"/>
        <v>1.210794445149878</v>
      </c>
      <c r="F37" s="28">
        <f t="shared" si="3"/>
        <v>3.4240022084088095</v>
      </c>
      <c r="G37" s="28">
        <f t="shared" si="3"/>
        <v>51.30225734502968</v>
      </c>
      <c r="H37" s="28">
        <f t="shared" si="3"/>
        <v>14.368129486037315</v>
      </c>
      <c r="I37" s="28" t="e">
        <f t="shared" si="3"/>
        <v>#DIV/0!</v>
      </c>
      <c r="J37" s="28">
        <f t="shared" si="3"/>
        <v>0.49269427125504106</v>
      </c>
      <c r="K37" s="28">
        <f t="shared" si="3"/>
        <v>100.7472870242847</v>
      </c>
      <c r="L37" s="28">
        <f t="shared" si="3"/>
        <v>5.674614652051317</v>
      </c>
      <c r="M37" s="28">
        <f t="shared" si="3"/>
        <v>27.641291415619268</v>
      </c>
      <c r="N37" s="28">
        <f t="shared" si="3"/>
        <v>261.55083843673015</v>
      </c>
      <c r="O37" s="28">
        <f t="shared" si="3"/>
        <v>0</v>
      </c>
      <c r="P37" s="28">
        <f t="shared" si="3"/>
        <v>0.45419761229501404</v>
      </c>
      <c r="Q37" s="28">
        <f t="shared" si="3"/>
        <v>0.67138349480862947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0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&lt;90%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LESS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9" sqref="G49"/>
    </sheetView>
  </sheetViews>
  <sheetFormatPr defaultColWidth="8.85546875" defaultRowHeight="15" x14ac:dyDescent="0.25"/>
  <cols>
    <col min="1" max="1" width="18.28515625" style="26" customWidth="1"/>
    <col min="2" max="2" width="13.855468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10/01/2025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3" t="s">
        <v>276</v>
      </c>
      <c r="B9" s="54">
        <v>117.97</v>
      </c>
      <c r="C9" s="54">
        <v>57.11</v>
      </c>
      <c r="D9" s="54">
        <v>121.82</v>
      </c>
      <c r="E9" s="54">
        <v>10.16</v>
      </c>
      <c r="F9" s="54">
        <v>2.13</v>
      </c>
      <c r="G9" s="54">
        <v>182.58</v>
      </c>
      <c r="H9" s="54">
        <v>49.73</v>
      </c>
      <c r="I9" s="55" t="s">
        <v>15</v>
      </c>
      <c r="J9" s="54">
        <v>1.23</v>
      </c>
      <c r="K9" s="54">
        <v>338.74</v>
      </c>
      <c r="L9" s="54">
        <v>10.49</v>
      </c>
      <c r="M9" s="54">
        <v>85.55</v>
      </c>
      <c r="N9" s="54">
        <v>76.7</v>
      </c>
      <c r="O9" s="54">
        <v>0</v>
      </c>
      <c r="P9" s="54">
        <v>1.87</v>
      </c>
      <c r="Q9" s="54">
        <v>9.7799999999999994</v>
      </c>
      <c r="R9" s="43"/>
      <c r="S9" s="43"/>
      <c r="T9" s="43"/>
      <c r="U9" s="43"/>
    </row>
    <row r="10" spans="1:21" s="11" customFormat="1" x14ac:dyDescent="0.25">
      <c r="A10" s="53" t="s">
        <v>277</v>
      </c>
      <c r="B10" s="54">
        <v>114.37</v>
      </c>
      <c r="C10" s="54">
        <v>51.57</v>
      </c>
      <c r="D10" s="54">
        <v>117.28</v>
      </c>
      <c r="E10" s="54">
        <v>10.210000000000001</v>
      </c>
      <c r="F10" s="54">
        <v>2.13</v>
      </c>
      <c r="G10" s="54">
        <v>173.98</v>
      </c>
      <c r="H10" s="54">
        <v>49.73</v>
      </c>
      <c r="I10" s="55" t="s">
        <v>15</v>
      </c>
      <c r="J10" s="54">
        <v>1.64</v>
      </c>
      <c r="K10" s="54">
        <v>331.09</v>
      </c>
      <c r="L10" s="54">
        <v>10.75</v>
      </c>
      <c r="M10" s="54">
        <v>71.47</v>
      </c>
      <c r="N10" s="54">
        <v>76.7</v>
      </c>
      <c r="O10" s="54">
        <v>0</v>
      </c>
      <c r="P10" s="54">
        <v>1.75</v>
      </c>
      <c r="Q10" s="54">
        <v>9.84</v>
      </c>
      <c r="R10" s="43"/>
      <c r="S10" s="43"/>
      <c r="T10" s="43"/>
      <c r="U10" s="43"/>
    </row>
    <row r="11" spans="1:21" s="11" customFormat="1" x14ac:dyDescent="0.25">
      <c r="A11" s="53" t="s">
        <v>278</v>
      </c>
      <c r="B11" s="54">
        <v>97.52</v>
      </c>
      <c r="C11" s="54">
        <v>49.35</v>
      </c>
      <c r="D11" s="54">
        <v>102.61</v>
      </c>
      <c r="E11" s="54">
        <v>9.27</v>
      </c>
      <c r="F11" s="54">
        <v>2.13</v>
      </c>
      <c r="G11" s="54">
        <v>109.57</v>
      </c>
      <c r="H11" s="54">
        <v>48.89</v>
      </c>
      <c r="I11" s="55" t="s">
        <v>15</v>
      </c>
      <c r="J11" s="54">
        <v>1.51</v>
      </c>
      <c r="K11" s="54">
        <v>348.56</v>
      </c>
      <c r="L11" s="54">
        <v>9.74</v>
      </c>
      <c r="M11" s="54">
        <v>83.22</v>
      </c>
      <c r="N11" s="54">
        <v>77.099999999999994</v>
      </c>
      <c r="O11" s="54">
        <v>0</v>
      </c>
      <c r="P11" s="54">
        <v>1.68</v>
      </c>
      <c r="Q11" s="54">
        <v>9.77</v>
      </c>
      <c r="R11" s="43"/>
      <c r="S11" s="43"/>
      <c r="T11" s="43"/>
      <c r="U11" s="43"/>
    </row>
    <row r="12" spans="1:21" s="11" customFormat="1" x14ac:dyDescent="0.25">
      <c r="A12" s="53" t="s">
        <v>279</v>
      </c>
      <c r="B12" s="54">
        <v>82.68</v>
      </c>
      <c r="C12" s="54">
        <v>46.38</v>
      </c>
      <c r="D12" s="54">
        <v>88.93</v>
      </c>
      <c r="E12" s="54">
        <v>8.73</v>
      </c>
      <c r="F12" s="54">
        <v>2.13</v>
      </c>
      <c r="G12" s="54">
        <v>115.39</v>
      </c>
      <c r="H12" s="54">
        <v>46.32</v>
      </c>
      <c r="I12" s="55" t="s">
        <v>15</v>
      </c>
      <c r="J12" s="54">
        <v>1.38</v>
      </c>
      <c r="K12" s="54">
        <v>348.12</v>
      </c>
      <c r="L12" s="54">
        <v>9.25</v>
      </c>
      <c r="M12" s="54">
        <v>86.51</v>
      </c>
      <c r="N12" s="54">
        <v>90.6</v>
      </c>
      <c r="O12" s="54">
        <v>0</v>
      </c>
      <c r="P12" s="54">
        <v>1.57</v>
      </c>
      <c r="Q12" s="54">
        <v>9.6300000000000008</v>
      </c>
      <c r="R12" s="43"/>
      <c r="S12" s="43"/>
      <c r="T12" s="43"/>
      <c r="U12" s="43"/>
    </row>
    <row r="13" spans="1:21" s="11" customFormat="1" x14ac:dyDescent="0.25">
      <c r="A13" s="53" t="s">
        <v>280</v>
      </c>
      <c r="B13" s="54">
        <v>70.14</v>
      </c>
      <c r="C13" s="54">
        <v>46.07</v>
      </c>
      <c r="D13" s="54">
        <v>78.64</v>
      </c>
      <c r="E13" s="54">
        <v>8.1999999999999993</v>
      </c>
      <c r="F13" s="54">
        <v>2.13</v>
      </c>
      <c r="G13" s="54">
        <v>115.39</v>
      </c>
      <c r="H13" s="54">
        <v>45.35</v>
      </c>
      <c r="I13" s="55" t="s">
        <v>15</v>
      </c>
      <c r="J13" s="54">
        <v>1.32</v>
      </c>
      <c r="K13" s="54">
        <v>305.02</v>
      </c>
      <c r="L13" s="54">
        <v>9.19</v>
      </c>
      <c r="M13" s="54">
        <v>73.790000000000006</v>
      </c>
      <c r="N13" s="54">
        <v>99.6</v>
      </c>
      <c r="O13" s="54">
        <v>0</v>
      </c>
      <c r="P13" s="54">
        <v>1.46</v>
      </c>
      <c r="Q13" s="54">
        <v>9.52</v>
      </c>
      <c r="R13" s="43"/>
      <c r="S13" s="43"/>
      <c r="T13" s="43"/>
      <c r="U13" s="43"/>
    </row>
    <row r="14" spans="1:21" s="11" customFormat="1" x14ac:dyDescent="0.25">
      <c r="A14" s="53" t="s">
        <v>281</v>
      </c>
      <c r="B14" s="54">
        <v>64.92</v>
      </c>
      <c r="C14" s="54">
        <v>46.03</v>
      </c>
      <c r="D14" s="54">
        <v>74.73</v>
      </c>
      <c r="E14" s="54">
        <v>8.23</v>
      </c>
      <c r="F14" s="54">
        <v>2.13</v>
      </c>
      <c r="G14" s="54">
        <v>129.65</v>
      </c>
      <c r="H14" s="54">
        <v>45.26</v>
      </c>
      <c r="I14" s="55" t="s">
        <v>15</v>
      </c>
      <c r="J14" s="54">
        <v>1.32</v>
      </c>
      <c r="K14" s="54">
        <v>329.53</v>
      </c>
      <c r="L14" s="54">
        <v>8.5299999999999994</v>
      </c>
      <c r="M14" s="54">
        <v>80.31</v>
      </c>
      <c r="N14" s="54">
        <v>108.8</v>
      </c>
      <c r="O14" s="54">
        <v>0</v>
      </c>
      <c r="P14" s="54">
        <v>1.32</v>
      </c>
      <c r="Q14" s="54">
        <v>9.52</v>
      </c>
      <c r="R14" s="43"/>
      <c r="S14" s="43"/>
      <c r="T14" s="43"/>
      <c r="U14" s="43"/>
    </row>
    <row r="15" spans="1:21" s="11" customFormat="1" x14ac:dyDescent="0.25">
      <c r="A15" s="53" t="s">
        <v>282</v>
      </c>
      <c r="B15" s="54">
        <v>80.959999999999994</v>
      </c>
      <c r="C15" s="54">
        <v>46.75</v>
      </c>
      <c r="D15" s="54">
        <v>87.98</v>
      </c>
      <c r="E15" s="54">
        <v>9.3699999999999992</v>
      </c>
      <c r="F15" s="54">
        <v>2.13</v>
      </c>
      <c r="G15" s="54">
        <v>129.65</v>
      </c>
      <c r="H15" s="54">
        <v>44.11</v>
      </c>
      <c r="I15" s="55" t="s">
        <v>15</v>
      </c>
      <c r="J15" s="54">
        <v>1.59</v>
      </c>
      <c r="K15" s="54">
        <v>342.75</v>
      </c>
      <c r="L15" s="54">
        <v>8.42</v>
      </c>
      <c r="M15" s="54">
        <v>83.82</v>
      </c>
      <c r="N15" s="54">
        <v>111.5</v>
      </c>
      <c r="O15" s="54">
        <v>0</v>
      </c>
      <c r="P15" s="54">
        <v>1.25</v>
      </c>
      <c r="Q15" s="54">
        <v>9.61</v>
      </c>
      <c r="R15" s="43"/>
      <c r="S15" s="43"/>
      <c r="T15" s="43"/>
      <c r="U15" s="43"/>
    </row>
    <row r="16" spans="1:21" s="11" customFormat="1" x14ac:dyDescent="0.25">
      <c r="A16" s="53" t="s">
        <v>283</v>
      </c>
      <c r="B16" s="54">
        <v>80.650000000000006</v>
      </c>
      <c r="C16" s="54">
        <v>48.28</v>
      </c>
      <c r="D16" s="54">
        <v>87.84</v>
      </c>
      <c r="E16" s="54">
        <v>9.1300000000000008</v>
      </c>
      <c r="F16" s="54">
        <v>2.13</v>
      </c>
      <c r="G16" s="54">
        <v>127.38</v>
      </c>
      <c r="H16" s="54">
        <v>45.55</v>
      </c>
      <c r="I16" s="55" t="s">
        <v>15</v>
      </c>
      <c r="J16" s="54">
        <v>1.01</v>
      </c>
      <c r="K16" s="54">
        <v>353.05</v>
      </c>
      <c r="L16" s="54">
        <v>11.25</v>
      </c>
      <c r="M16" s="54">
        <v>63.61</v>
      </c>
      <c r="N16" s="54">
        <v>231.4</v>
      </c>
      <c r="O16" s="54">
        <v>0</v>
      </c>
      <c r="P16" s="54">
        <v>1.23</v>
      </c>
      <c r="Q16" s="54">
        <v>9.6199999999999992</v>
      </c>
      <c r="R16" s="43"/>
      <c r="S16" s="43"/>
      <c r="T16" s="43"/>
      <c r="U16" s="43"/>
    </row>
    <row r="17" spans="1:21" s="11" customFormat="1" x14ac:dyDescent="0.25">
      <c r="A17" s="53" t="s">
        <v>284</v>
      </c>
      <c r="B17" s="54">
        <v>71.739999999999995</v>
      </c>
      <c r="C17" s="54">
        <v>50.45</v>
      </c>
      <c r="D17" s="54">
        <v>81.680000000000007</v>
      </c>
      <c r="E17" s="54">
        <v>8.3000000000000007</v>
      </c>
      <c r="F17" s="54">
        <v>2.13</v>
      </c>
      <c r="G17" s="54">
        <v>120.62</v>
      </c>
      <c r="H17" s="54">
        <v>45.55</v>
      </c>
      <c r="I17" s="55" t="s">
        <v>15</v>
      </c>
      <c r="J17" s="54">
        <v>1.96</v>
      </c>
      <c r="K17" s="54">
        <v>344.17</v>
      </c>
      <c r="L17" s="54">
        <v>16.2</v>
      </c>
      <c r="M17" s="54">
        <v>47.33</v>
      </c>
      <c r="N17" s="54">
        <v>482.5</v>
      </c>
      <c r="O17" s="54">
        <v>0</v>
      </c>
      <c r="P17" s="54">
        <v>1.18</v>
      </c>
      <c r="Q17" s="54">
        <v>9.5</v>
      </c>
      <c r="R17" s="43"/>
      <c r="S17" s="43"/>
      <c r="T17" s="43"/>
      <c r="U17" s="43"/>
    </row>
    <row r="18" spans="1:21" s="11" customFormat="1" x14ac:dyDescent="0.25">
      <c r="A18" s="53" t="s">
        <v>285</v>
      </c>
      <c r="B18" s="54">
        <v>58.6</v>
      </c>
      <c r="C18" s="54">
        <v>52.26</v>
      </c>
      <c r="D18" s="54">
        <v>72.09</v>
      </c>
      <c r="E18" s="54">
        <v>7.55</v>
      </c>
      <c r="F18" s="54">
        <v>2.13</v>
      </c>
      <c r="G18" s="54">
        <v>112.14</v>
      </c>
      <c r="H18" s="54">
        <v>42.65</v>
      </c>
      <c r="I18" s="55" t="s">
        <v>15</v>
      </c>
      <c r="J18" s="54">
        <v>1.1599999999999999</v>
      </c>
      <c r="K18" s="54">
        <v>356.07</v>
      </c>
      <c r="L18" s="54">
        <v>20.68</v>
      </c>
      <c r="M18" s="54">
        <v>42.51</v>
      </c>
      <c r="N18" s="54">
        <v>602.1</v>
      </c>
      <c r="O18" s="54">
        <v>0</v>
      </c>
      <c r="P18" s="54">
        <v>1.08</v>
      </c>
      <c r="Q18" s="54">
        <v>9.26</v>
      </c>
      <c r="R18" s="43"/>
      <c r="S18" s="43"/>
      <c r="T18" s="43"/>
      <c r="U18" s="43"/>
    </row>
    <row r="19" spans="1:21" s="11" customFormat="1" x14ac:dyDescent="0.25">
      <c r="A19" s="53" t="s">
        <v>286</v>
      </c>
      <c r="B19" s="54">
        <v>45.99</v>
      </c>
      <c r="C19" s="54">
        <v>53.7</v>
      </c>
      <c r="D19" s="54">
        <v>63.22</v>
      </c>
      <c r="E19" s="54">
        <v>7.15</v>
      </c>
      <c r="F19" s="54">
        <v>2.13</v>
      </c>
      <c r="G19" s="54">
        <v>89.94</v>
      </c>
      <c r="H19" s="54">
        <v>38.25</v>
      </c>
      <c r="I19" s="55" t="s">
        <v>15</v>
      </c>
      <c r="J19" s="54">
        <v>1.43</v>
      </c>
      <c r="K19" s="54">
        <v>130.37</v>
      </c>
      <c r="L19" s="54">
        <v>20.96</v>
      </c>
      <c r="M19" s="54">
        <v>36.47</v>
      </c>
      <c r="N19" s="54">
        <v>642.1</v>
      </c>
      <c r="O19" s="54">
        <v>0</v>
      </c>
      <c r="P19" s="54">
        <v>1</v>
      </c>
      <c r="Q19" s="54">
        <v>8.5</v>
      </c>
      <c r="R19" s="43"/>
      <c r="S19" s="43"/>
      <c r="T19" s="43"/>
      <c r="U19" s="43"/>
    </row>
    <row r="20" spans="1:21" s="11" customFormat="1" x14ac:dyDescent="0.25">
      <c r="A20" s="53" t="s">
        <v>287</v>
      </c>
      <c r="B20" s="54">
        <v>34.31</v>
      </c>
      <c r="C20" s="54">
        <v>57.98</v>
      </c>
      <c r="D20" s="54">
        <v>54.6</v>
      </c>
      <c r="E20" s="54">
        <v>6.95</v>
      </c>
      <c r="F20" s="54">
        <v>2.13</v>
      </c>
      <c r="G20" s="54">
        <v>87.98</v>
      </c>
      <c r="H20" s="54">
        <v>35.22</v>
      </c>
      <c r="I20" s="55" t="s">
        <v>15</v>
      </c>
      <c r="J20" s="54">
        <v>2.14</v>
      </c>
      <c r="K20" s="54">
        <v>126.57</v>
      </c>
      <c r="L20" s="54">
        <v>22.24</v>
      </c>
      <c r="M20" s="54">
        <v>32.83</v>
      </c>
      <c r="N20" s="54">
        <v>707.9</v>
      </c>
      <c r="O20" s="54">
        <v>0</v>
      </c>
      <c r="P20" s="54">
        <v>0.93</v>
      </c>
      <c r="Q20" s="54">
        <v>8.2100000000000009</v>
      </c>
      <c r="R20" s="43"/>
      <c r="S20" s="43"/>
      <c r="T20" s="43"/>
      <c r="U20" s="43"/>
    </row>
    <row r="21" spans="1:21" s="11" customFormat="1" x14ac:dyDescent="0.25">
      <c r="A21" s="53" t="s">
        <v>288</v>
      </c>
      <c r="B21" s="54">
        <v>20.010000000000002</v>
      </c>
      <c r="C21" s="54">
        <v>60.06</v>
      </c>
      <c r="D21" s="54">
        <v>45.47</v>
      </c>
      <c r="E21" s="54">
        <v>6.83</v>
      </c>
      <c r="F21" s="54">
        <v>2.13</v>
      </c>
      <c r="G21" s="54">
        <v>87.96</v>
      </c>
      <c r="H21" s="54">
        <v>35.22</v>
      </c>
      <c r="I21" s="55" t="s">
        <v>15</v>
      </c>
      <c r="J21" s="54">
        <v>2.27</v>
      </c>
      <c r="K21" s="54">
        <v>124.84</v>
      </c>
      <c r="L21" s="54">
        <v>22.58</v>
      </c>
      <c r="M21" s="54">
        <v>29.27</v>
      </c>
      <c r="N21" s="54">
        <v>699.4</v>
      </c>
      <c r="O21" s="54">
        <v>0</v>
      </c>
      <c r="P21" s="54">
        <v>0.85</v>
      </c>
      <c r="Q21" s="54">
        <v>8.2100000000000009</v>
      </c>
      <c r="R21" s="43"/>
      <c r="S21" s="43"/>
      <c r="T21" s="43"/>
      <c r="U21" s="43"/>
    </row>
    <row r="22" spans="1:21" s="11" customFormat="1" x14ac:dyDescent="0.25">
      <c r="A22" s="53" t="s">
        <v>289</v>
      </c>
      <c r="B22" s="54">
        <v>8.2200000000000006</v>
      </c>
      <c r="C22" s="54">
        <v>59.65</v>
      </c>
      <c r="D22" s="54">
        <v>36.380000000000003</v>
      </c>
      <c r="E22" s="54">
        <v>6.88</v>
      </c>
      <c r="F22" s="54">
        <v>2.13</v>
      </c>
      <c r="G22" s="54">
        <v>67.39</v>
      </c>
      <c r="H22" s="54">
        <v>31.22</v>
      </c>
      <c r="I22" s="55" t="s">
        <v>15</v>
      </c>
      <c r="J22" s="54">
        <v>2.1</v>
      </c>
      <c r="K22" s="54">
        <v>339.42</v>
      </c>
      <c r="L22" s="54">
        <v>25.79</v>
      </c>
      <c r="M22" s="54">
        <v>25.35</v>
      </c>
      <c r="N22" s="54">
        <v>667.8</v>
      </c>
      <c r="O22" s="54">
        <v>0</v>
      </c>
      <c r="P22" s="54">
        <v>0.82</v>
      </c>
      <c r="Q22" s="54">
        <v>8.2100000000000009</v>
      </c>
      <c r="R22" s="43"/>
      <c r="S22" s="43"/>
      <c r="T22" s="43"/>
      <c r="U22" s="43"/>
    </row>
    <row r="23" spans="1:21" s="11" customFormat="1" x14ac:dyDescent="0.25">
      <c r="A23" s="53" t="s">
        <v>290</v>
      </c>
      <c r="B23" s="54">
        <v>5.0599999999999996</v>
      </c>
      <c r="C23" s="54">
        <v>57.69</v>
      </c>
      <c r="D23" s="54">
        <v>32.82</v>
      </c>
      <c r="E23" s="54">
        <v>6.75</v>
      </c>
      <c r="F23" s="54">
        <v>2.13</v>
      </c>
      <c r="G23" s="54">
        <v>62.26</v>
      </c>
      <c r="H23" s="54">
        <v>30.7</v>
      </c>
      <c r="I23" s="55" t="s">
        <v>15</v>
      </c>
      <c r="J23" s="54">
        <v>1.98</v>
      </c>
      <c r="K23" s="54">
        <v>355.58</v>
      </c>
      <c r="L23" s="54">
        <v>23.89</v>
      </c>
      <c r="M23" s="54">
        <v>24.69</v>
      </c>
      <c r="N23" s="54">
        <v>514</v>
      </c>
      <c r="O23" s="54">
        <v>0</v>
      </c>
      <c r="P23" s="54">
        <v>0.78</v>
      </c>
      <c r="Q23" s="54">
        <v>8.2100000000000009</v>
      </c>
      <c r="R23" s="43"/>
      <c r="S23" s="43"/>
      <c r="T23" s="43"/>
      <c r="U23" s="43"/>
    </row>
    <row r="24" spans="1:21" s="11" customFormat="1" x14ac:dyDescent="0.25">
      <c r="A24" s="53" t="s">
        <v>291</v>
      </c>
      <c r="B24" s="54">
        <v>4.3099999999999996</v>
      </c>
      <c r="C24" s="54">
        <v>54.47</v>
      </c>
      <c r="D24" s="54">
        <v>30.54</v>
      </c>
      <c r="E24" s="54">
        <v>7.45</v>
      </c>
      <c r="F24" s="54">
        <v>2.13</v>
      </c>
      <c r="G24" s="54">
        <v>60.28</v>
      </c>
      <c r="H24" s="54">
        <v>28.02</v>
      </c>
      <c r="I24" s="55" t="s">
        <v>15</v>
      </c>
      <c r="J24" s="54">
        <v>2.2599999999999998</v>
      </c>
      <c r="K24" s="54">
        <v>349.31</v>
      </c>
      <c r="L24" s="54">
        <v>23.16</v>
      </c>
      <c r="M24" s="54">
        <v>24.57</v>
      </c>
      <c r="N24" s="54">
        <v>228.8</v>
      </c>
      <c r="O24" s="54">
        <v>0</v>
      </c>
      <c r="P24" s="54">
        <v>0.74</v>
      </c>
      <c r="Q24" s="54">
        <v>8.2100000000000009</v>
      </c>
      <c r="R24" s="43"/>
      <c r="S24" s="43"/>
      <c r="T24" s="43"/>
      <c r="U24" s="43"/>
    </row>
    <row r="25" spans="1:21" s="11" customFormat="1" x14ac:dyDescent="0.25">
      <c r="A25" s="53" t="s">
        <v>292</v>
      </c>
      <c r="B25" s="54">
        <v>4.8</v>
      </c>
      <c r="C25" s="54">
        <v>56.27</v>
      </c>
      <c r="D25" s="54">
        <v>31.87</v>
      </c>
      <c r="E25" s="54">
        <v>6.94</v>
      </c>
      <c r="F25" s="54">
        <v>2.13</v>
      </c>
      <c r="G25" s="54">
        <v>62.18</v>
      </c>
      <c r="H25" s="54">
        <v>28.02</v>
      </c>
      <c r="I25" s="55" t="s">
        <v>15</v>
      </c>
      <c r="J25" s="54">
        <v>1.1100000000000001</v>
      </c>
      <c r="K25" s="54">
        <v>83.52</v>
      </c>
      <c r="L25" s="54">
        <v>21.65</v>
      </c>
      <c r="M25" s="54">
        <v>27.32</v>
      </c>
      <c r="N25" s="54">
        <v>106.3</v>
      </c>
      <c r="O25" s="54">
        <v>0</v>
      </c>
      <c r="P25" s="54">
        <v>0.73</v>
      </c>
      <c r="Q25" s="54">
        <v>8.2100000000000009</v>
      </c>
      <c r="R25" s="43"/>
      <c r="S25" s="43"/>
      <c r="T25" s="43"/>
      <c r="U25" s="43"/>
    </row>
    <row r="26" spans="1:21" s="11" customFormat="1" x14ac:dyDescent="0.25">
      <c r="A26" s="53" t="s">
        <v>293</v>
      </c>
      <c r="B26" s="54">
        <v>9.6199999999999992</v>
      </c>
      <c r="C26" s="54">
        <v>62.2</v>
      </c>
      <c r="D26" s="54">
        <v>38.840000000000003</v>
      </c>
      <c r="E26" s="54">
        <v>7.29</v>
      </c>
      <c r="F26" s="54">
        <v>2.13</v>
      </c>
      <c r="G26" s="54">
        <v>78.09</v>
      </c>
      <c r="H26" s="54">
        <v>27.22</v>
      </c>
      <c r="I26" s="55" t="s">
        <v>15</v>
      </c>
      <c r="J26" s="54">
        <v>1.47</v>
      </c>
      <c r="K26" s="54">
        <v>349.11</v>
      </c>
      <c r="L26" s="54">
        <v>20.239999999999998</v>
      </c>
      <c r="M26" s="54">
        <v>42.54</v>
      </c>
      <c r="N26" s="54">
        <v>78.3</v>
      </c>
      <c r="O26" s="54">
        <v>0</v>
      </c>
      <c r="P26" s="54">
        <v>0.92</v>
      </c>
      <c r="Q26" s="54">
        <v>8.2100000000000009</v>
      </c>
      <c r="R26" s="43"/>
      <c r="S26" s="43"/>
      <c r="T26" s="43"/>
      <c r="U26" s="43"/>
    </row>
    <row r="27" spans="1:21" s="11" customFormat="1" x14ac:dyDescent="0.25">
      <c r="A27" s="53" t="s">
        <v>294</v>
      </c>
      <c r="B27" s="54">
        <v>22.83</v>
      </c>
      <c r="C27" s="54">
        <v>63.93</v>
      </c>
      <c r="D27" s="54">
        <v>50.33</v>
      </c>
      <c r="E27" s="54">
        <v>7.46</v>
      </c>
      <c r="F27" s="54">
        <v>2.13</v>
      </c>
      <c r="G27" s="54">
        <v>162.33000000000001</v>
      </c>
      <c r="H27" s="54">
        <v>32.78</v>
      </c>
      <c r="I27" s="55" t="s">
        <v>15</v>
      </c>
      <c r="J27" s="54">
        <v>1.24</v>
      </c>
      <c r="K27" s="54">
        <v>230.31</v>
      </c>
      <c r="L27" s="54">
        <v>17.09</v>
      </c>
      <c r="M27" s="54">
        <v>49.44</v>
      </c>
      <c r="N27" s="54">
        <v>63.1</v>
      </c>
      <c r="O27" s="54">
        <v>0</v>
      </c>
      <c r="P27" s="54">
        <v>1.39</v>
      </c>
      <c r="Q27" s="54">
        <v>8.2100000000000009</v>
      </c>
      <c r="R27" s="43"/>
      <c r="S27" s="43"/>
      <c r="T27" s="43"/>
      <c r="U27" s="43"/>
    </row>
    <row r="28" spans="1:21" s="11" customFormat="1" x14ac:dyDescent="0.25">
      <c r="A28" s="53" t="s">
        <v>295</v>
      </c>
      <c r="B28" s="54">
        <v>35.81</v>
      </c>
      <c r="C28" s="54">
        <v>65.38</v>
      </c>
      <c r="D28" s="54">
        <v>61.5</v>
      </c>
      <c r="E28" s="54">
        <v>9.16</v>
      </c>
      <c r="F28" s="54">
        <v>2.13</v>
      </c>
      <c r="G28" s="54">
        <v>173.77</v>
      </c>
      <c r="H28" s="54">
        <v>41.37</v>
      </c>
      <c r="I28" s="55" t="s">
        <v>15</v>
      </c>
      <c r="J28" s="54">
        <v>1.56</v>
      </c>
      <c r="K28" s="54">
        <v>353.38</v>
      </c>
      <c r="L28" s="54">
        <v>15.69</v>
      </c>
      <c r="M28" s="54">
        <v>63.21</v>
      </c>
      <c r="N28" s="54">
        <v>63.5</v>
      </c>
      <c r="O28" s="54">
        <v>0</v>
      </c>
      <c r="P28" s="54">
        <v>1.29</v>
      </c>
      <c r="Q28" s="54">
        <v>8.2100000000000009</v>
      </c>
      <c r="R28" s="43"/>
      <c r="S28" s="43"/>
      <c r="T28" s="43"/>
      <c r="U28" s="43"/>
    </row>
    <row r="29" spans="1:21" s="11" customFormat="1" x14ac:dyDescent="0.25">
      <c r="A29" s="53" t="s">
        <v>296</v>
      </c>
      <c r="B29" s="54">
        <v>40.17</v>
      </c>
      <c r="C29" s="54">
        <v>66.430000000000007</v>
      </c>
      <c r="D29" s="54">
        <v>65.53</v>
      </c>
      <c r="E29" s="54">
        <v>9.61</v>
      </c>
      <c r="F29" s="54">
        <v>2.13</v>
      </c>
      <c r="G29" s="54">
        <v>173.77</v>
      </c>
      <c r="H29" s="54">
        <v>46.09</v>
      </c>
      <c r="I29" s="55" t="s">
        <v>15</v>
      </c>
      <c r="J29" s="54">
        <v>1.33</v>
      </c>
      <c r="K29" s="54">
        <v>355.45</v>
      </c>
      <c r="L29" s="54">
        <v>14.88</v>
      </c>
      <c r="M29" s="54">
        <v>54.3</v>
      </c>
      <c r="N29" s="54">
        <v>63.9</v>
      </c>
      <c r="O29" s="54">
        <v>0</v>
      </c>
      <c r="P29" s="54">
        <v>1.48</v>
      </c>
      <c r="Q29" s="54">
        <v>8.35</v>
      </c>
      <c r="R29" s="43"/>
      <c r="S29" s="43"/>
      <c r="T29" s="43"/>
      <c r="U29" s="43"/>
    </row>
    <row r="30" spans="1:21" s="11" customFormat="1" x14ac:dyDescent="0.25">
      <c r="A30" s="53" t="s">
        <v>297</v>
      </c>
      <c r="B30" s="54">
        <v>52.65</v>
      </c>
      <c r="C30" s="54">
        <v>66.67</v>
      </c>
      <c r="D30" s="54">
        <v>75.09</v>
      </c>
      <c r="E30" s="54">
        <v>9.23</v>
      </c>
      <c r="F30" s="54">
        <v>2.13</v>
      </c>
      <c r="G30" s="54">
        <v>150.55000000000001</v>
      </c>
      <c r="H30" s="54">
        <v>46.09</v>
      </c>
      <c r="I30" s="55" t="s">
        <v>15</v>
      </c>
      <c r="J30" s="54">
        <v>1.62</v>
      </c>
      <c r="K30" s="54">
        <v>333.16</v>
      </c>
      <c r="L30" s="54">
        <v>14.22</v>
      </c>
      <c r="M30" s="54">
        <v>61.91</v>
      </c>
      <c r="N30" s="54">
        <v>64.2</v>
      </c>
      <c r="O30" s="54">
        <v>0</v>
      </c>
      <c r="P30" s="54">
        <v>1.62</v>
      </c>
      <c r="Q30" s="54">
        <v>8.91</v>
      </c>
      <c r="R30" s="43"/>
      <c r="S30" s="43"/>
      <c r="T30" s="43"/>
      <c r="U30" s="43"/>
    </row>
    <row r="31" spans="1:21" s="11" customFormat="1" x14ac:dyDescent="0.25">
      <c r="A31" s="53" t="s">
        <v>298</v>
      </c>
      <c r="B31" s="54">
        <v>55.48</v>
      </c>
      <c r="C31" s="54">
        <v>65.44</v>
      </c>
      <c r="D31" s="54">
        <v>77.180000000000007</v>
      </c>
      <c r="E31" s="54">
        <v>8.83</v>
      </c>
      <c r="F31" s="54">
        <v>2.13</v>
      </c>
      <c r="G31" s="54">
        <v>119.57</v>
      </c>
      <c r="H31" s="54">
        <v>45.58</v>
      </c>
      <c r="I31" s="55" t="s">
        <v>15</v>
      </c>
      <c r="J31" s="54">
        <v>1.61</v>
      </c>
      <c r="K31" s="54">
        <v>298.7</v>
      </c>
      <c r="L31" s="54">
        <v>14.14</v>
      </c>
      <c r="M31" s="54">
        <v>50.86</v>
      </c>
      <c r="N31" s="54">
        <v>63.8</v>
      </c>
      <c r="O31" s="54">
        <v>0</v>
      </c>
      <c r="P31" s="54">
        <v>1.6</v>
      </c>
      <c r="Q31" s="54">
        <v>9.34</v>
      </c>
      <c r="R31" s="43"/>
      <c r="S31" s="43"/>
      <c r="T31" s="43"/>
      <c r="U31" s="43"/>
    </row>
    <row r="32" spans="1:21" s="11" customFormat="1" x14ac:dyDescent="0.25">
      <c r="A32" s="53" t="s">
        <v>299</v>
      </c>
      <c r="B32" s="54">
        <v>50.28</v>
      </c>
      <c r="C32" s="54">
        <v>63.55</v>
      </c>
      <c r="D32" s="54">
        <v>72.150000000000006</v>
      </c>
      <c r="E32" s="54">
        <v>9.08</v>
      </c>
      <c r="F32" s="54">
        <v>2.13</v>
      </c>
      <c r="G32" s="54">
        <v>119.57</v>
      </c>
      <c r="H32" s="54">
        <v>45.39</v>
      </c>
      <c r="I32" s="55" t="s">
        <v>15</v>
      </c>
      <c r="J32" s="54">
        <v>1.32</v>
      </c>
      <c r="K32" s="54">
        <v>338.15</v>
      </c>
      <c r="L32" s="54">
        <v>13.91</v>
      </c>
      <c r="M32" s="54">
        <v>48.72</v>
      </c>
      <c r="N32" s="54">
        <v>64.5</v>
      </c>
      <c r="O32" s="54">
        <v>0</v>
      </c>
      <c r="P32" s="54">
        <v>1.5</v>
      </c>
      <c r="Q32" s="54">
        <v>9.16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4.3099999999999996</v>
      </c>
      <c r="C34" s="28">
        <f t="shared" si="0"/>
        <v>46.03</v>
      </c>
      <c r="D34" s="28">
        <f t="shared" si="0"/>
        <v>30.54</v>
      </c>
      <c r="E34" s="28">
        <f t="shared" si="0"/>
        <v>6.75</v>
      </c>
      <c r="F34" s="28">
        <f t="shared" si="0"/>
        <v>2.13</v>
      </c>
      <c r="G34" s="28">
        <f t="shared" si="0"/>
        <v>60.28</v>
      </c>
      <c r="H34" s="28">
        <f t="shared" si="0"/>
        <v>27.22</v>
      </c>
      <c r="I34" s="28">
        <f t="shared" si="0"/>
        <v>0</v>
      </c>
      <c r="J34" s="28">
        <f t="shared" si="0"/>
        <v>1.01</v>
      </c>
      <c r="K34" s="28">
        <f t="shared" si="0"/>
        <v>83.52</v>
      </c>
      <c r="L34" s="28">
        <f t="shared" si="0"/>
        <v>8.42</v>
      </c>
      <c r="M34" s="28">
        <f t="shared" si="0"/>
        <v>24.57</v>
      </c>
      <c r="N34" s="28">
        <f t="shared" si="0"/>
        <v>63.1</v>
      </c>
      <c r="O34" s="28">
        <f t="shared" si="0"/>
        <v>0</v>
      </c>
      <c r="P34" s="28">
        <f t="shared" si="0"/>
        <v>0.73</v>
      </c>
      <c r="Q34" s="28">
        <f t="shared" si="0"/>
        <v>8.2100000000000009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117.97</v>
      </c>
      <c r="C35" s="29">
        <f t="shared" si="1"/>
        <v>66.67</v>
      </c>
      <c r="D35" s="29">
        <f t="shared" si="1"/>
        <v>121.82</v>
      </c>
      <c r="E35" s="29">
        <f t="shared" si="1"/>
        <v>10.210000000000001</v>
      </c>
      <c r="F35" s="29">
        <f t="shared" si="1"/>
        <v>2.13</v>
      </c>
      <c r="G35" s="29">
        <f t="shared" si="1"/>
        <v>182.58</v>
      </c>
      <c r="H35" s="29">
        <f t="shared" si="1"/>
        <v>49.73</v>
      </c>
      <c r="I35" s="29">
        <f t="shared" si="1"/>
        <v>0</v>
      </c>
      <c r="J35" s="29">
        <f t="shared" si="1"/>
        <v>2.27</v>
      </c>
      <c r="K35" s="29">
        <f t="shared" si="1"/>
        <v>356.07</v>
      </c>
      <c r="L35" s="29">
        <f t="shared" si="1"/>
        <v>25.79</v>
      </c>
      <c r="M35" s="29">
        <f t="shared" si="1"/>
        <v>86.51</v>
      </c>
      <c r="N35" s="29">
        <f t="shared" si="1"/>
        <v>707.9</v>
      </c>
      <c r="O35" s="29">
        <f t="shared" si="1"/>
        <v>0</v>
      </c>
      <c r="P35" s="29">
        <f t="shared" si="1"/>
        <v>1.87</v>
      </c>
      <c r="Q35" s="29">
        <f t="shared" si="1"/>
        <v>9.84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51.212083333333339</v>
      </c>
      <c r="C36" s="28">
        <f t="shared" si="2"/>
        <v>56.15291666666667</v>
      </c>
      <c r="D36" s="28">
        <f t="shared" si="2"/>
        <v>68.713333333333324</v>
      </c>
      <c r="E36" s="28">
        <f t="shared" si="2"/>
        <v>8.2816666666666681</v>
      </c>
      <c r="F36" s="28">
        <f t="shared" si="2"/>
        <v>2.1300000000000003</v>
      </c>
      <c r="G36" s="28">
        <f t="shared" si="2"/>
        <v>117.16625000000003</v>
      </c>
      <c r="H36" s="28">
        <f t="shared" si="2"/>
        <v>40.596250000000005</v>
      </c>
      <c r="I36" s="28" t="e">
        <f t="shared" si="2"/>
        <v>#DIV/0!</v>
      </c>
      <c r="J36" s="28">
        <f t="shared" si="2"/>
        <v>1.5649999999999997</v>
      </c>
      <c r="K36" s="28">
        <f t="shared" si="2"/>
        <v>298.54041666666666</v>
      </c>
      <c r="L36" s="28">
        <f t="shared" si="2"/>
        <v>16.03916666666667</v>
      </c>
      <c r="M36" s="28">
        <f t="shared" si="2"/>
        <v>53.733333333333348</v>
      </c>
      <c r="N36" s="28">
        <f t="shared" si="2"/>
        <v>249.35833333333335</v>
      </c>
      <c r="O36" s="28">
        <f t="shared" si="2"/>
        <v>0</v>
      </c>
      <c r="P36" s="28">
        <f t="shared" si="2"/>
        <v>1.2516666666666669</v>
      </c>
      <c r="Q36" s="28">
        <f t="shared" si="2"/>
        <v>8.9250000000000025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34.191508477877278</v>
      </c>
      <c r="C37" s="28">
        <f t="shared" ref="C37:Q37" si="3">STDEV(C9:C32)</f>
        <v>7.062962476841756</v>
      </c>
      <c r="D37" s="28">
        <f t="shared" si="3"/>
        <v>25.641981146187828</v>
      </c>
      <c r="E37" s="28">
        <f t="shared" si="3"/>
        <v>1.1203480308122602</v>
      </c>
      <c r="F37" s="28">
        <f t="shared" si="3"/>
        <v>4.5364060814922986E-16</v>
      </c>
      <c r="G37" s="28">
        <f t="shared" si="3"/>
        <v>38.063280926521557</v>
      </c>
      <c r="H37" s="28">
        <f t="shared" si="3"/>
        <v>7.4968821417856981</v>
      </c>
      <c r="I37" s="28" t="e">
        <f t="shared" si="3"/>
        <v>#DIV/0!</v>
      </c>
      <c r="J37" s="28">
        <f t="shared" si="3"/>
        <v>0.36908818317107195</v>
      </c>
      <c r="K37" s="28">
        <f t="shared" si="3"/>
        <v>87.711125291030456</v>
      </c>
      <c r="L37" s="28">
        <f t="shared" si="3"/>
        <v>5.6198653215076186</v>
      </c>
      <c r="M37" s="28">
        <f t="shared" si="3"/>
        <v>21.278477525356461</v>
      </c>
      <c r="N37" s="28">
        <f t="shared" si="3"/>
        <v>248.79121492365519</v>
      </c>
      <c r="O37" s="28">
        <f t="shared" si="3"/>
        <v>0</v>
      </c>
      <c r="P37" s="28">
        <f t="shared" si="3"/>
        <v>0.34709560976601189</v>
      </c>
      <c r="Q37" s="28">
        <f t="shared" si="3"/>
        <v>0.66667246374291089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0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&lt;90%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LESS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7" sqref="G47"/>
    </sheetView>
  </sheetViews>
  <sheetFormatPr defaultColWidth="8.85546875" defaultRowHeight="15" x14ac:dyDescent="0.25"/>
  <cols>
    <col min="1" max="1" width="18.28515625" style="26" customWidth="1"/>
    <col min="2" max="2" width="14.425781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5.5" customHeight="1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11/01/2025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3" t="s">
        <v>300</v>
      </c>
      <c r="B9" s="54">
        <v>40.54</v>
      </c>
      <c r="C9" s="54">
        <v>61.43</v>
      </c>
      <c r="D9" s="54">
        <v>63.23</v>
      </c>
      <c r="E9" s="54">
        <v>7.85</v>
      </c>
      <c r="F9" s="54">
        <v>2.13</v>
      </c>
      <c r="G9" s="54">
        <v>89.11</v>
      </c>
      <c r="H9" s="54">
        <v>43.93</v>
      </c>
      <c r="I9" s="55" t="s">
        <v>15</v>
      </c>
      <c r="J9" s="54">
        <v>1.58</v>
      </c>
      <c r="K9" s="54">
        <v>350.84</v>
      </c>
      <c r="L9" s="54">
        <v>12.75</v>
      </c>
      <c r="M9" s="54">
        <v>65.61</v>
      </c>
      <c r="N9" s="54">
        <v>64.900000000000006</v>
      </c>
      <c r="O9" s="54">
        <v>0</v>
      </c>
      <c r="P9" s="54">
        <v>1.42</v>
      </c>
      <c r="Q9" s="54">
        <v>8.4600000000000009</v>
      </c>
      <c r="R9" s="43"/>
      <c r="S9" s="43"/>
      <c r="T9" s="43"/>
      <c r="U9" s="43"/>
    </row>
    <row r="10" spans="1:21" s="11" customFormat="1" x14ac:dyDescent="0.25">
      <c r="A10" s="53" t="s">
        <v>301</v>
      </c>
      <c r="B10" s="54">
        <v>34.83</v>
      </c>
      <c r="C10" s="54">
        <v>59.9</v>
      </c>
      <c r="D10" s="54">
        <v>57.85</v>
      </c>
      <c r="E10" s="54">
        <v>7.51</v>
      </c>
      <c r="F10" s="54">
        <v>2.13</v>
      </c>
      <c r="G10" s="54">
        <v>93.58</v>
      </c>
      <c r="H10" s="54">
        <v>42.08</v>
      </c>
      <c r="I10" s="55" t="s">
        <v>15</v>
      </c>
      <c r="J10" s="54">
        <v>1.55</v>
      </c>
      <c r="K10" s="54">
        <v>329.2</v>
      </c>
      <c r="L10" s="54">
        <v>11.67</v>
      </c>
      <c r="M10" s="54">
        <v>64.47</v>
      </c>
      <c r="N10" s="54">
        <v>64.599999999999994</v>
      </c>
      <c r="O10" s="54">
        <v>0</v>
      </c>
      <c r="P10" s="54">
        <v>1.3</v>
      </c>
      <c r="Q10" s="54">
        <v>8.2100000000000009</v>
      </c>
      <c r="R10" s="43"/>
      <c r="S10" s="43"/>
      <c r="T10" s="43"/>
      <c r="U10" s="43"/>
    </row>
    <row r="11" spans="1:21" s="11" customFormat="1" x14ac:dyDescent="0.25">
      <c r="A11" s="53" t="s">
        <v>302</v>
      </c>
      <c r="B11" s="54">
        <v>26.81</v>
      </c>
      <c r="C11" s="54">
        <v>56.08</v>
      </c>
      <c r="D11" s="54">
        <v>49.43</v>
      </c>
      <c r="E11" s="54">
        <v>7.45</v>
      </c>
      <c r="F11" s="54">
        <v>2.13</v>
      </c>
      <c r="G11" s="54">
        <v>93.86</v>
      </c>
      <c r="H11" s="54">
        <v>41.39</v>
      </c>
      <c r="I11" s="55" t="s">
        <v>15</v>
      </c>
      <c r="J11" s="54">
        <v>1.59</v>
      </c>
      <c r="K11" s="54">
        <v>299.68</v>
      </c>
      <c r="L11" s="54">
        <v>11.1</v>
      </c>
      <c r="M11" s="54">
        <v>77.290000000000006</v>
      </c>
      <c r="N11" s="54">
        <v>64.8</v>
      </c>
      <c r="O11" s="54">
        <v>0</v>
      </c>
      <c r="P11" s="54">
        <v>1.21</v>
      </c>
      <c r="Q11" s="54">
        <v>8.2100000000000009</v>
      </c>
      <c r="R11" s="43"/>
      <c r="S11" s="43"/>
      <c r="T11" s="43"/>
      <c r="U11" s="43"/>
    </row>
    <row r="12" spans="1:21" s="11" customFormat="1" x14ac:dyDescent="0.25">
      <c r="A12" s="53" t="s">
        <v>303</v>
      </c>
      <c r="B12" s="54">
        <v>24.86</v>
      </c>
      <c r="C12" s="54">
        <v>52.75</v>
      </c>
      <c r="D12" s="54">
        <v>44.35</v>
      </c>
      <c r="E12" s="54">
        <v>8.33</v>
      </c>
      <c r="F12" s="54">
        <v>2.13</v>
      </c>
      <c r="G12" s="54">
        <v>100.83</v>
      </c>
      <c r="H12" s="54">
        <v>40.409999999999997</v>
      </c>
      <c r="I12" s="55" t="s">
        <v>15</v>
      </c>
      <c r="J12" s="54">
        <v>0.87</v>
      </c>
      <c r="K12" s="54">
        <v>240.49</v>
      </c>
      <c r="L12" s="54">
        <v>10.29</v>
      </c>
      <c r="M12" s="54">
        <v>94.04</v>
      </c>
      <c r="N12" s="54">
        <v>64.5</v>
      </c>
      <c r="O12" s="54">
        <v>0</v>
      </c>
      <c r="P12" s="54">
        <v>1.1399999999999999</v>
      </c>
      <c r="Q12" s="54">
        <v>8.2100000000000009</v>
      </c>
      <c r="R12" s="43"/>
      <c r="S12" s="43"/>
      <c r="T12" s="43"/>
      <c r="U12" s="43"/>
    </row>
    <row r="13" spans="1:21" s="11" customFormat="1" x14ac:dyDescent="0.25">
      <c r="A13" s="53" t="s">
        <v>304</v>
      </c>
      <c r="B13" s="54">
        <v>38.72</v>
      </c>
      <c r="C13" s="54">
        <v>47.91</v>
      </c>
      <c r="D13" s="54">
        <v>53.2</v>
      </c>
      <c r="E13" s="54">
        <v>8.91</v>
      </c>
      <c r="F13" s="54">
        <v>2.13</v>
      </c>
      <c r="G13" s="54">
        <v>130.32</v>
      </c>
      <c r="H13" s="54">
        <v>45.83</v>
      </c>
      <c r="I13" s="55" t="s">
        <v>15</v>
      </c>
      <c r="J13" s="54">
        <v>1.63</v>
      </c>
      <c r="K13" s="54">
        <v>296.2</v>
      </c>
      <c r="L13" s="54">
        <v>9.2799999999999994</v>
      </c>
      <c r="M13" s="54">
        <v>99.11</v>
      </c>
      <c r="N13" s="54">
        <v>64.7</v>
      </c>
      <c r="O13" s="54">
        <v>0</v>
      </c>
      <c r="P13" s="54">
        <v>1.2</v>
      </c>
      <c r="Q13" s="54">
        <v>8.2100000000000009</v>
      </c>
      <c r="R13" s="43"/>
      <c r="S13" s="43"/>
      <c r="T13" s="43"/>
      <c r="U13" s="43"/>
    </row>
    <row r="14" spans="1:21" s="11" customFormat="1" x14ac:dyDescent="0.25">
      <c r="A14" s="53" t="s">
        <v>305</v>
      </c>
      <c r="B14" s="54">
        <v>63.62</v>
      </c>
      <c r="C14" s="54">
        <v>44.47</v>
      </c>
      <c r="D14" s="54">
        <v>72.489999999999995</v>
      </c>
      <c r="E14" s="54">
        <v>9.2100000000000009</v>
      </c>
      <c r="F14" s="54">
        <v>2.13</v>
      </c>
      <c r="G14" s="54">
        <v>144.22999999999999</v>
      </c>
      <c r="H14" s="54">
        <v>45.9</v>
      </c>
      <c r="I14" s="55" t="s">
        <v>15</v>
      </c>
      <c r="J14" s="54">
        <v>1.42</v>
      </c>
      <c r="K14" s="54">
        <v>315.62</v>
      </c>
      <c r="L14" s="54">
        <v>9.14</v>
      </c>
      <c r="M14" s="54">
        <v>100.47</v>
      </c>
      <c r="N14" s="54">
        <v>62.5</v>
      </c>
      <c r="O14" s="54">
        <v>0</v>
      </c>
      <c r="P14" s="54">
        <v>1.24</v>
      </c>
      <c r="Q14" s="54">
        <v>9.16</v>
      </c>
      <c r="R14" s="43"/>
      <c r="S14" s="43"/>
      <c r="T14" s="43"/>
      <c r="U14" s="43"/>
    </row>
    <row r="15" spans="1:21" s="11" customFormat="1" x14ac:dyDescent="0.25">
      <c r="A15" s="53" t="s">
        <v>306</v>
      </c>
      <c r="B15" s="54">
        <v>88.54</v>
      </c>
      <c r="C15" s="54">
        <v>44.57</v>
      </c>
      <c r="D15" s="54">
        <v>92.91</v>
      </c>
      <c r="E15" s="54">
        <v>9.8000000000000007</v>
      </c>
      <c r="F15" s="54">
        <v>2.13</v>
      </c>
      <c r="G15" s="54">
        <v>148.6</v>
      </c>
      <c r="H15" s="54">
        <v>49.32</v>
      </c>
      <c r="I15" s="55" t="s">
        <v>15</v>
      </c>
      <c r="J15" s="54">
        <v>1.67</v>
      </c>
      <c r="K15" s="54">
        <v>330.55</v>
      </c>
      <c r="L15" s="54">
        <v>8.59</v>
      </c>
      <c r="M15" s="54">
        <v>98.87</v>
      </c>
      <c r="N15" s="54">
        <v>71.599999999999994</v>
      </c>
      <c r="O15" s="54">
        <v>0</v>
      </c>
      <c r="P15" s="54">
        <v>1.3</v>
      </c>
      <c r="Q15" s="54">
        <v>9.69</v>
      </c>
      <c r="R15" s="43"/>
      <c r="S15" s="43"/>
      <c r="T15" s="43"/>
      <c r="U15" s="43"/>
    </row>
    <row r="16" spans="1:21" s="11" customFormat="1" x14ac:dyDescent="0.25">
      <c r="A16" s="53" t="s">
        <v>307</v>
      </c>
      <c r="B16" s="54">
        <v>101.42</v>
      </c>
      <c r="C16" s="54">
        <v>46.44</v>
      </c>
      <c r="D16" s="54">
        <v>104.22</v>
      </c>
      <c r="E16" s="54">
        <v>10.62</v>
      </c>
      <c r="F16" s="54">
        <v>2.13</v>
      </c>
      <c r="G16" s="54">
        <v>155.99</v>
      </c>
      <c r="H16" s="54">
        <v>53.64</v>
      </c>
      <c r="I16" s="55" t="s">
        <v>15</v>
      </c>
      <c r="J16" s="54">
        <v>1.88</v>
      </c>
      <c r="K16" s="54">
        <v>347.68</v>
      </c>
      <c r="L16" s="54">
        <v>11.8</v>
      </c>
      <c r="M16" s="54">
        <v>95.83</v>
      </c>
      <c r="N16" s="54">
        <v>187.4</v>
      </c>
      <c r="O16" s="54">
        <v>0</v>
      </c>
      <c r="P16" s="54">
        <v>1.3</v>
      </c>
      <c r="Q16" s="54">
        <v>9.7899999999999991</v>
      </c>
      <c r="R16" s="43"/>
      <c r="S16" s="43"/>
      <c r="T16" s="43"/>
      <c r="U16" s="43"/>
    </row>
    <row r="17" spans="1:21" s="11" customFormat="1" x14ac:dyDescent="0.25">
      <c r="A17" s="53" t="s">
        <v>308</v>
      </c>
      <c r="B17" s="54">
        <v>100.42</v>
      </c>
      <c r="C17" s="54">
        <v>50.71</v>
      </c>
      <c r="D17" s="54">
        <v>103.17</v>
      </c>
      <c r="E17" s="54">
        <v>8.81</v>
      </c>
      <c r="F17" s="54">
        <v>2.13</v>
      </c>
      <c r="G17" s="54">
        <v>155.99</v>
      </c>
      <c r="H17" s="54">
        <v>53.64</v>
      </c>
      <c r="I17" s="55" t="s">
        <v>15</v>
      </c>
      <c r="J17" s="54">
        <v>2.4300000000000002</v>
      </c>
      <c r="K17" s="54">
        <v>354.3</v>
      </c>
      <c r="L17" s="54">
        <v>16.690000000000001</v>
      </c>
      <c r="M17" s="54">
        <v>66.8</v>
      </c>
      <c r="N17" s="54">
        <v>401.9</v>
      </c>
      <c r="O17" s="54">
        <v>0</v>
      </c>
      <c r="P17" s="54">
        <v>1.3</v>
      </c>
      <c r="Q17" s="54">
        <v>9.7799999999999994</v>
      </c>
      <c r="R17" s="43"/>
      <c r="S17" s="43"/>
      <c r="T17" s="43"/>
      <c r="U17" s="43"/>
    </row>
    <row r="18" spans="1:21" s="11" customFormat="1" x14ac:dyDescent="0.25">
      <c r="A18" s="53" t="s">
        <v>309</v>
      </c>
      <c r="B18" s="54">
        <v>85.06</v>
      </c>
      <c r="C18" s="54">
        <v>56.94</v>
      </c>
      <c r="D18" s="54">
        <v>94.38</v>
      </c>
      <c r="E18" s="54">
        <v>7.49</v>
      </c>
      <c r="F18" s="54">
        <v>2.13</v>
      </c>
      <c r="G18" s="54">
        <v>126.11</v>
      </c>
      <c r="H18" s="54">
        <v>51.86</v>
      </c>
      <c r="I18" s="55" t="s">
        <v>15</v>
      </c>
      <c r="J18" s="54">
        <v>2.21</v>
      </c>
      <c r="K18" s="54">
        <v>124.22</v>
      </c>
      <c r="L18" s="54">
        <v>19.38</v>
      </c>
      <c r="M18" s="54">
        <v>49.83</v>
      </c>
      <c r="N18" s="54">
        <v>552.4</v>
      </c>
      <c r="O18" s="54">
        <v>0</v>
      </c>
      <c r="P18" s="54">
        <v>1.3</v>
      </c>
      <c r="Q18" s="54">
        <v>9.6300000000000008</v>
      </c>
      <c r="R18" s="43"/>
      <c r="S18" s="43"/>
      <c r="T18" s="43"/>
      <c r="U18" s="43"/>
    </row>
    <row r="19" spans="1:21" s="11" customFormat="1" x14ac:dyDescent="0.25">
      <c r="A19" s="53" t="s">
        <v>310</v>
      </c>
      <c r="B19" s="54">
        <v>64.12</v>
      </c>
      <c r="C19" s="54">
        <v>62.56</v>
      </c>
      <c r="D19" s="54">
        <v>80.78</v>
      </c>
      <c r="E19" s="54">
        <v>6.98</v>
      </c>
      <c r="F19" s="54">
        <v>2.13</v>
      </c>
      <c r="G19" s="54">
        <v>112.99</v>
      </c>
      <c r="H19" s="54">
        <v>47.72</v>
      </c>
      <c r="I19" s="55" t="s">
        <v>15</v>
      </c>
      <c r="J19" s="54">
        <v>2.31</v>
      </c>
      <c r="K19" s="54">
        <v>342.37</v>
      </c>
      <c r="L19" s="54">
        <v>25.08</v>
      </c>
      <c r="M19" s="54">
        <v>38.549999999999997</v>
      </c>
      <c r="N19" s="54">
        <v>644</v>
      </c>
      <c r="O19" s="54">
        <v>0</v>
      </c>
      <c r="P19" s="54">
        <v>1.23</v>
      </c>
      <c r="Q19" s="54">
        <v>9.51</v>
      </c>
      <c r="R19" s="43"/>
      <c r="S19" s="43"/>
      <c r="T19" s="43"/>
      <c r="U19" s="43"/>
    </row>
    <row r="20" spans="1:21" s="11" customFormat="1" x14ac:dyDescent="0.25">
      <c r="A20" s="53" t="s">
        <v>311</v>
      </c>
      <c r="B20" s="54">
        <v>47.21</v>
      </c>
      <c r="C20" s="54">
        <v>63.15</v>
      </c>
      <c r="D20" s="54">
        <v>69.319999999999993</v>
      </c>
      <c r="E20" s="54">
        <v>6.6</v>
      </c>
      <c r="F20" s="54">
        <v>2.13</v>
      </c>
      <c r="G20" s="54">
        <v>94.27</v>
      </c>
      <c r="H20" s="54">
        <v>45.72</v>
      </c>
      <c r="I20" s="55" t="s">
        <v>15</v>
      </c>
      <c r="J20" s="54">
        <v>2.13</v>
      </c>
      <c r="K20" s="54">
        <v>339.57</v>
      </c>
      <c r="L20" s="54">
        <v>23.32</v>
      </c>
      <c r="M20" s="54">
        <v>40.71</v>
      </c>
      <c r="N20" s="54">
        <v>686.1</v>
      </c>
      <c r="O20" s="54">
        <v>0</v>
      </c>
      <c r="P20" s="54">
        <v>1.1599999999999999</v>
      </c>
      <c r="Q20" s="54">
        <v>8.86</v>
      </c>
      <c r="R20" s="43"/>
      <c r="S20" s="43"/>
      <c r="T20" s="43"/>
      <c r="U20" s="43"/>
    </row>
    <row r="21" spans="1:21" s="11" customFormat="1" x14ac:dyDescent="0.25">
      <c r="A21" s="53" t="s">
        <v>312</v>
      </c>
      <c r="B21" s="54">
        <v>31.45</v>
      </c>
      <c r="C21" s="54">
        <v>63.12</v>
      </c>
      <c r="D21" s="54">
        <v>56.8</v>
      </c>
      <c r="E21" s="54">
        <v>6.28</v>
      </c>
      <c r="F21" s="54">
        <v>2.13</v>
      </c>
      <c r="G21" s="54">
        <v>88</v>
      </c>
      <c r="H21" s="54">
        <v>37.33</v>
      </c>
      <c r="I21" s="55" t="s">
        <v>15</v>
      </c>
      <c r="J21" s="54">
        <v>2.76</v>
      </c>
      <c r="K21" s="54">
        <v>117.75</v>
      </c>
      <c r="L21" s="54">
        <v>23.01</v>
      </c>
      <c r="M21" s="54">
        <v>39</v>
      </c>
      <c r="N21" s="54">
        <v>694.8</v>
      </c>
      <c r="O21" s="54">
        <v>0</v>
      </c>
      <c r="P21" s="54">
        <v>1.02</v>
      </c>
      <c r="Q21" s="54">
        <v>8.2100000000000009</v>
      </c>
      <c r="R21" s="43"/>
      <c r="S21" s="43"/>
      <c r="T21" s="43"/>
      <c r="U21" s="43"/>
    </row>
    <row r="22" spans="1:21" s="11" customFormat="1" x14ac:dyDescent="0.25">
      <c r="A22" s="53" t="s">
        <v>313</v>
      </c>
      <c r="B22" s="54">
        <v>17.43</v>
      </c>
      <c r="C22" s="54">
        <v>62.1</v>
      </c>
      <c r="D22" s="54">
        <v>45.05</v>
      </c>
      <c r="E22" s="54">
        <v>6.02</v>
      </c>
      <c r="F22" s="54">
        <v>2.13</v>
      </c>
      <c r="G22" s="54">
        <v>55.25</v>
      </c>
      <c r="H22" s="54">
        <v>33.22</v>
      </c>
      <c r="I22" s="55" t="s">
        <v>15</v>
      </c>
      <c r="J22" s="54">
        <v>1.83</v>
      </c>
      <c r="K22" s="54">
        <v>336.98</v>
      </c>
      <c r="L22" s="54">
        <v>23.08</v>
      </c>
      <c r="M22" s="54">
        <v>37.61</v>
      </c>
      <c r="N22" s="54">
        <v>670.2</v>
      </c>
      <c r="O22" s="54">
        <v>0</v>
      </c>
      <c r="P22" s="54">
        <v>0.93</v>
      </c>
      <c r="Q22" s="54">
        <v>8.2100000000000009</v>
      </c>
      <c r="R22" s="43"/>
      <c r="S22" s="43"/>
      <c r="T22" s="43"/>
      <c r="U22" s="43"/>
    </row>
    <row r="23" spans="1:21" s="11" customFormat="1" x14ac:dyDescent="0.25">
      <c r="A23" s="53" t="s">
        <v>314</v>
      </c>
      <c r="B23" s="54">
        <v>8.41</v>
      </c>
      <c r="C23" s="54">
        <v>60.26</v>
      </c>
      <c r="D23" s="54">
        <v>36.85</v>
      </c>
      <c r="E23" s="54">
        <v>5.71</v>
      </c>
      <c r="F23" s="54">
        <v>2.13</v>
      </c>
      <c r="G23" s="54">
        <v>54.7</v>
      </c>
      <c r="H23" s="54">
        <v>27.87</v>
      </c>
      <c r="I23" s="55" t="s">
        <v>15</v>
      </c>
      <c r="J23" s="54">
        <v>2.58</v>
      </c>
      <c r="K23" s="54">
        <v>120.55</v>
      </c>
      <c r="L23" s="54">
        <v>22.99</v>
      </c>
      <c r="M23" s="54">
        <v>33.54</v>
      </c>
      <c r="N23" s="54">
        <v>569.6</v>
      </c>
      <c r="O23" s="54">
        <v>0</v>
      </c>
      <c r="P23" s="54">
        <v>0.84</v>
      </c>
      <c r="Q23" s="54">
        <v>8.2100000000000009</v>
      </c>
      <c r="R23" s="43"/>
      <c r="S23" s="43"/>
      <c r="T23" s="43"/>
      <c r="U23" s="43"/>
    </row>
    <row r="24" spans="1:21" s="11" customFormat="1" x14ac:dyDescent="0.25">
      <c r="A24" s="53" t="s">
        <v>315</v>
      </c>
      <c r="B24" s="54">
        <v>5.7</v>
      </c>
      <c r="C24" s="54">
        <v>53.77</v>
      </c>
      <c r="D24" s="54">
        <v>31.28</v>
      </c>
      <c r="E24" s="54">
        <v>5.86</v>
      </c>
      <c r="F24" s="54">
        <v>2.13</v>
      </c>
      <c r="G24" s="54">
        <v>50.15</v>
      </c>
      <c r="H24" s="54">
        <v>26.89</v>
      </c>
      <c r="I24" s="55" t="s">
        <v>15</v>
      </c>
      <c r="J24" s="54">
        <v>2.4700000000000002</v>
      </c>
      <c r="K24" s="54">
        <v>119.53</v>
      </c>
      <c r="L24" s="54">
        <v>22.45</v>
      </c>
      <c r="M24" s="54">
        <v>32.299999999999997</v>
      </c>
      <c r="N24" s="54">
        <v>269.8</v>
      </c>
      <c r="O24" s="54">
        <v>0</v>
      </c>
      <c r="P24" s="54">
        <v>0.72</v>
      </c>
      <c r="Q24" s="54">
        <v>8.2100000000000009</v>
      </c>
      <c r="R24" s="43"/>
      <c r="S24" s="43"/>
      <c r="T24" s="43"/>
      <c r="U24" s="43"/>
    </row>
    <row r="25" spans="1:21" s="11" customFormat="1" x14ac:dyDescent="0.25">
      <c r="A25" s="53" t="s">
        <v>316</v>
      </c>
      <c r="B25" s="54">
        <v>4.55</v>
      </c>
      <c r="C25" s="54">
        <v>47.76</v>
      </c>
      <c r="D25" s="54">
        <v>27.22</v>
      </c>
      <c r="E25" s="54">
        <v>5.69</v>
      </c>
      <c r="F25" s="54">
        <v>2.13</v>
      </c>
      <c r="G25" s="54">
        <v>40.39</v>
      </c>
      <c r="H25" s="54">
        <v>24.99</v>
      </c>
      <c r="I25" s="55" t="s">
        <v>15</v>
      </c>
      <c r="J25" s="54">
        <v>2.68</v>
      </c>
      <c r="K25" s="54">
        <v>119.82</v>
      </c>
      <c r="L25" s="54">
        <v>21.66</v>
      </c>
      <c r="M25" s="54">
        <v>32.99</v>
      </c>
      <c r="N25" s="54">
        <v>115.1</v>
      </c>
      <c r="O25" s="54">
        <v>0</v>
      </c>
      <c r="P25" s="54">
        <v>0.66</v>
      </c>
      <c r="Q25" s="54">
        <v>8.2100000000000009</v>
      </c>
      <c r="R25" s="43"/>
      <c r="S25" s="43"/>
      <c r="T25" s="43"/>
      <c r="U25" s="43"/>
    </row>
    <row r="26" spans="1:21" s="11" customFormat="1" x14ac:dyDescent="0.25">
      <c r="A26" s="53" t="s">
        <v>317</v>
      </c>
      <c r="B26" s="54">
        <v>4.78</v>
      </c>
      <c r="C26" s="54">
        <v>49.03</v>
      </c>
      <c r="D26" s="54">
        <v>28.07</v>
      </c>
      <c r="E26" s="54">
        <v>5.52</v>
      </c>
      <c r="F26" s="54">
        <v>2.13</v>
      </c>
      <c r="G26" s="54">
        <v>44.84</v>
      </c>
      <c r="H26" s="54">
        <v>22.3</v>
      </c>
      <c r="I26" s="55" t="s">
        <v>15</v>
      </c>
      <c r="J26" s="54">
        <v>1.8</v>
      </c>
      <c r="K26" s="54">
        <v>327.62</v>
      </c>
      <c r="L26" s="54">
        <v>20.98</v>
      </c>
      <c r="M26" s="54">
        <v>57.51</v>
      </c>
      <c r="N26" s="54">
        <v>86</v>
      </c>
      <c r="O26" s="54">
        <v>0</v>
      </c>
      <c r="P26" s="54">
        <v>0.66</v>
      </c>
      <c r="Q26" s="54">
        <v>8.2100000000000009</v>
      </c>
      <c r="R26" s="43"/>
      <c r="S26" s="43"/>
      <c r="T26" s="43"/>
      <c r="U26" s="43"/>
    </row>
    <row r="27" spans="1:21" s="11" customFormat="1" x14ac:dyDescent="0.25">
      <c r="A27" s="53" t="s">
        <v>318</v>
      </c>
      <c r="B27" s="54">
        <v>21.21</v>
      </c>
      <c r="C27" s="54">
        <v>55.36</v>
      </c>
      <c r="D27" s="54">
        <v>44.55</v>
      </c>
      <c r="E27" s="54">
        <v>6.02</v>
      </c>
      <c r="F27" s="54">
        <v>2.13</v>
      </c>
      <c r="G27" s="54">
        <v>67.58</v>
      </c>
      <c r="H27" s="54">
        <v>22.16</v>
      </c>
      <c r="I27" s="55" t="s">
        <v>15</v>
      </c>
      <c r="J27" s="54">
        <v>1.7</v>
      </c>
      <c r="K27" s="54">
        <v>305.45999999999998</v>
      </c>
      <c r="L27" s="54">
        <v>17.72</v>
      </c>
      <c r="M27" s="54">
        <v>57.02</v>
      </c>
      <c r="N27" s="54">
        <v>72.3</v>
      </c>
      <c r="O27" s="54">
        <v>0</v>
      </c>
      <c r="P27" s="54">
        <v>1.26</v>
      </c>
      <c r="Q27" s="54">
        <v>8.2100000000000009</v>
      </c>
      <c r="R27" s="43"/>
      <c r="S27" s="43"/>
      <c r="T27" s="43"/>
      <c r="U27" s="43"/>
    </row>
    <row r="28" spans="1:21" s="11" customFormat="1" x14ac:dyDescent="0.25">
      <c r="A28" s="53" t="s">
        <v>319</v>
      </c>
      <c r="B28" s="54">
        <v>42.3</v>
      </c>
      <c r="C28" s="54">
        <v>55.93</v>
      </c>
      <c r="D28" s="54">
        <v>61.48</v>
      </c>
      <c r="E28" s="54">
        <v>7.56</v>
      </c>
      <c r="F28" s="54">
        <v>2.13</v>
      </c>
      <c r="G28" s="54">
        <v>173.35</v>
      </c>
      <c r="H28" s="54">
        <v>28.31</v>
      </c>
      <c r="I28" s="55" t="s">
        <v>15</v>
      </c>
      <c r="J28" s="54">
        <v>1.6</v>
      </c>
      <c r="K28" s="54">
        <v>322.95999999999998</v>
      </c>
      <c r="L28" s="54">
        <v>16.329999999999998</v>
      </c>
      <c r="M28" s="54">
        <v>73.3</v>
      </c>
      <c r="N28" s="54">
        <v>73.599999999999994</v>
      </c>
      <c r="O28" s="54">
        <v>0</v>
      </c>
      <c r="P28" s="54">
        <v>1.6</v>
      </c>
      <c r="Q28" s="54">
        <v>8.2200000000000006</v>
      </c>
      <c r="R28" s="43"/>
      <c r="S28" s="43"/>
      <c r="T28" s="43"/>
      <c r="U28" s="43"/>
    </row>
    <row r="29" spans="1:21" s="11" customFormat="1" x14ac:dyDescent="0.25">
      <c r="A29" s="53" t="s">
        <v>320</v>
      </c>
      <c r="B29" s="54">
        <v>56.36</v>
      </c>
      <c r="C29" s="54">
        <v>55.54</v>
      </c>
      <c r="D29" s="54">
        <v>72.84</v>
      </c>
      <c r="E29" s="54">
        <v>8.7100000000000009</v>
      </c>
      <c r="F29" s="54">
        <v>2.13</v>
      </c>
      <c r="G29" s="54">
        <v>173.35</v>
      </c>
      <c r="H29" s="54">
        <v>36.78</v>
      </c>
      <c r="I29" s="55" t="s">
        <v>15</v>
      </c>
      <c r="J29" s="54">
        <v>1.73</v>
      </c>
      <c r="K29" s="54">
        <v>340.58</v>
      </c>
      <c r="L29" s="54">
        <v>15.62</v>
      </c>
      <c r="M29" s="54">
        <v>71.48</v>
      </c>
      <c r="N29" s="54">
        <v>81.2</v>
      </c>
      <c r="O29" s="54">
        <v>0</v>
      </c>
      <c r="P29" s="54">
        <v>1.61</v>
      </c>
      <c r="Q29" s="54">
        <v>9.07</v>
      </c>
      <c r="R29" s="43"/>
      <c r="S29" s="43"/>
      <c r="T29" s="43"/>
      <c r="U29" s="43"/>
    </row>
    <row r="30" spans="1:21" s="11" customFormat="1" x14ac:dyDescent="0.25">
      <c r="A30" s="53" t="s">
        <v>321</v>
      </c>
      <c r="B30" s="54">
        <v>71.7</v>
      </c>
      <c r="C30" s="54">
        <v>58.26</v>
      </c>
      <c r="D30" s="54">
        <v>86.56</v>
      </c>
      <c r="E30" s="54">
        <v>8.58</v>
      </c>
      <c r="F30" s="54">
        <v>2.13</v>
      </c>
      <c r="G30" s="54">
        <v>148.63999999999999</v>
      </c>
      <c r="H30" s="54">
        <v>36.78</v>
      </c>
      <c r="I30" s="55" t="s">
        <v>15</v>
      </c>
      <c r="J30" s="54">
        <v>1.77</v>
      </c>
      <c r="K30" s="54">
        <v>348.57</v>
      </c>
      <c r="L30" s="54">
        <v>15.77</v>
      </c>
      <c r="M30" s="54">
        <v>67.209999999999994</v>
      </c>
      <c r="N30" s="54">
        <v>90.8</v>
      </c>
      <c r="O30" s="54">
        <v>0</v>
      </c>
      <c r="P30" s="54">
        <v>1.66</v>
      </c>
      <c r="Q30" s="54">
        <v>9.5500000000000007</v>
      </c>
      <c r="R30" s="43"/>
      <c r="S30" s="43"/>
      <c r="T30" s="43"/>
      <c r="U30" s="43"/>
    </row>
    <row r="31" spans="1:21" s="11" customFormat="1" x14ac:dyDescent="0.25">
      <c r="A31" s="53" t="s">
        <v>322</v>
      </c>
      <c r="B31" s="54">
        <v>79.650000000000006</v>
      </c>
      <c r="C31" s="54">
        <v>58.01</v>
      </c>
      <c r="D31" s="54">
        <v>91.78</v>
      </c>
      <c r="E31" s="54">
        <v>8.1300000000000008</v>
      </c>
      <c r="F31" s="54">
        <v>2.13</v>
      </c>
      <c r="G31" s="54">
        <v>115.19</v>
      </c>
      <c r="H31" s="54">
        <v>32.82</v>
      </c>
      <c r="I31" s="55" t="s">
        <v>15</v>
      </c>
      <c r="J31" s="54">
        <v>1.41</v>
      </c>
      <c r="K31" s="54">
        <v>348.37</v>
      </c>
      <c r="L31" s="54">
        <v>14.55</v>
      </c>
      <c r="M31" s="54">
        <v>70.47</v>
      </c>
      <c r="N31" s="54">
        <v>91.1</v>
      </c>
      <c r="O31" s="54">
        <v>0</v>
      </c>
      <c r="P31" s="54">
        <v>1.69</v>
      </c>
      <c r="Q31" s="54">
        <v>9.6300000000000008</v>
      </c>
      <c r="R31" s="43"/>
      <c r="S31" s="43"/>
      <c r="T31" s="43"/>
      <c r="U31" s="43"/>
    </row>
    <row r="32" spans="1:21" s="11" customFormat="1" x14ac:dyDescent="0.25">
      <c r="A32" s="53" t="s">
        <v>323</v>
      </c>
      <c r="B32" s="54">
        <v>79.94</v>
      </c>
      <c r="C32" s="54">
        <v>55.8</v>
      </c>
      <c r="D32" s="54">
        <v>91.88</v>
      </c>
      <c r="E32" s="54">
        <v>7.88</v>
      </c>
      <c r="F32" s="54">
        <v>2.13</v>
      </c>
      <c r="G32" s="54">
        <v>108.12</v>
      </c>
      <c r="H32" s="54">
        <v>33.380000000000003</v>
      </c>
      <c r="I32" s="55" t="s">
        <v>15</v>
      </c>
      <c r="J32" s="54">
        <v>1.65</v>
      </c>
      <c r="K32" s="54">
        <v>105.39</v>
      </c>
      <c r="L32" s="54">
        <v>14.29</v>
      </c>
      <c r="M32" s="54">
        <v>69.08</v>
      </c>
      <c r="N32" s="54">
        <v>86.1</v>
      </c>
      <c r="O32" s="54">
        <v>0</v>
      </c>
      <c r="P32" s="54">
        <v>1.65</v>
      </c>
      <c r="Q32" s="54">
        <v>9.66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4.55</v>
      </c>
      <c r="C34" s="28">
        <f t="shared" si="0"/>
        <v>44.47</v>
      </c>
      <c r="D34" s="28">
        <f t="shared" si="0"/>
        <v>27.22</v>
      </c>
      <c r="E34" s="28">
        <f t="shared" si="0"/>
        <v>5.52</v>
      </c>
      <c r="F34" s="28">
        <f t="shared" si="0"/>
        <v>2.13</v>
      </c>
      <c r="G34" s="28">
        <f t="shared" si="0"/>
        <v>40.39</v>
      </c>
      <c r="H34" s="28">
        <f t="shared" si="0"/>
        <v>22.16</v>
      </c>
      <c r="I34" s="28">
        <f t="shared" si="0"/>
        <v>0</v>
      </c>
      <c r="J34" s="28">
        <f t="shared" si="0"/>
        <v>0.87</v>
      </c>
      <c r="K34" s="28">
        <f t="shared" si="0"/>
        <v>105.39</v>
      </c>
      <c r="L34" s="28">
        <f t="shared" si="0"/>
        <v>8.59</v>
      </c>
      <c r="M34" s="28">
        <f t="shared" si="0"/>
        <v>32.299999999999997</v>
      </c>
      <c r="N34" s="28">
        <f t="shared" si="0"/>
        <v>62.5</v>
      </c>
      <c r="O34" s="28">
        <f t="shared" si="0"/>
        <v>0</v>
      </c>
      <c r="P34" s="28">
        <f t="shared" si="0"/>
        <v>0.66</v>
      </c>
      <c r="Q34" s="28">
        <f t="shared" si="0"/>
        <v>8.2100000000000009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101.42</v>
      </c>
      <c r="C35" s="29">
        <f t="shared" si="1"/>
        <v>63.15</v>
      </c>
      <c r="D35" s="29">
        <f t="shared" si="1"/>
        <v>104.22</v>
      </c>
      <c r="E35" s="29">
        <f t="shared" si="1"/>
        <v>10.62</v>
      </c>
      <c r="F35" s="29">
        <f t="shared" si="1"/>
        <v>2.13</v>
      </c>
      <c r="G35" s="29">
        <f t="shared" si="1"/>
        <v>173.35</v>
      </c>
      <c r="H35" s="29">
        <f t="shared" si="1"/>
        <v>53.64</v>
      </c>
      <c r="I35" s="29">
        <f t="shared" si="1"/>
        <v>0</v>
      </c>
      <c r="J35" s="29">
        <f t="shared" si="1"/>
        <v>2.76</v>
      </c>
      <c r="K35" s="29">
        <f t="shared" si="1"/>
        <v>354.3</v>
      </c>
      <c r="L35" s="29">
        <f t="shared" si="1"/>
        <v>25.08</v>
      </c>
      <c r="M35" s="29">
        <f t="shared" si="1"/>
        <v>100.47</v>
      </c>
      <c r="N35" s="29">
        <f t="shared" si="1"/>
        <v>694.8</v>
      </c>
      <c r="O35" s="29">
        <f t="shared" si="1"/>
        <v>0</v>
      </c>
      <c r="P35" s="29">
        <f t="shared" si="1"/>
        <v>1.69</v>
      </c>
      <c r="Q35" s="29">
        <f t="shared" si="1"/>
        <v>9.7899999999999991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47.48458333333334</v>
      </c>
      <c r="C36" s="28">
        <f t="shared" si="2"/>
        <v>55.077083333333327</v>
      </c>
      <c r="D36" s="28">
        <f t="shared" si="2"/>
        <v>64.987083333333317</v>
      </c>
      <c r="E36" s="28">
        <f t="shared" si="2"/>
        <v>7.5633333333333352</v>
      </c>
      <c r="F36" s="28">
        <f t="shared" si="2"/>
        <v>2.1300000000000003</v>
      </c>
      <c r="G36" s="28">
        <f t="shared" si="2"/>
        <v>106.89333333333332</v>
      </c>
      <c r="H36" s="28">
        <f t="shared" si="2"/>
        <v>38.511249999999997</v>
      </c>
      <c r="I36" s="28" t="e">
        <f t="shared" si="2"/>
        <v>#DIV/0!</v>
      </c>
      <c r="J36" s="28">
        <f t="shared" si="2"/>
        <v>1.8854166666666663</v>
      </c>
      <c r="K36" s="28">
        <f t="shared" si="2"/>
        <v>274.34583333333336</v>
      </c>
      <c r="L36" s="28">
        <f t="shared" si="2"/>
        <v>16.564166666666669</v>
      </c>
      <c r="M36" s="28">
        <f t="shared" si="2"/>
        <v>63.878749999999997</v>
      </c>
      <c r="N36" s="28">
        <f t="shared" si="2"/>
        <v>242.91666666666674</v>
      </c>
      <c r="O36" s="28">
        <f t="shared" si="2"/>
        <v>0</v>
      </c>
      <c r="P36" s="28">
        <f t="shared" si="2"/>
        <v>1.2250000000000003</v>
      </c>
      <c r="Q36" s="28">
        <f t="shared" si="2"/>
        <v>8.8050000000000015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31.026556644431963</v>
      </c>
      <c r="C37" s="28">
        <f t="shared" ref="C37:Q37" si="3">STDEV(C9:C32)</f>
        <v>5.9548653685848327</v>
      </c>
      <c r="D37" s="28">
        <f t="shared" si="3"/>
        <v>24.142575684636647</v>
      </c>
      <c r="E37" s="28">
        <f t="shared" si="3"/>
        <v>1.4078310998827495</v>
      </c>
      <c r="F37" s="28">
        <f t="shared" si="3"/>
        <v>4.5364060814922986E-16</v>
      </c>
      <c r="G37" s="28">
        <f t="shared" si="3"/>
        <v>41.284831793673185</v>
      </c>
      <c r="H37" s="28">
        <f t="shared" si="3"/>
        <v>9.8049390005419443</v>
      </c>
      <c r="I37" s="28" t="e">
        <f t="shared" si="3"/>
        <v>#DIV/0!</v>
      </c>
      <c r="J37" s="28">
        <f t="shared" si="3"/>
        <v>0.46438345443569007</v>
      </c>
      <c r="K37" s="28">
        <f t="shared" si="3"/>
        <v>95.37438672281796</v>
      </c>
      <c r="L37" s="28">
        <f t="shared" si="3"/>
        <v>5.2990498874935028</v>
      </c>
      <c r="M37" s="28">
        <f t="shared" si="3"/>
        <v>22.649586100930829</v>
      </c>
      <c r="N37" s="28">
        <f t="shared" si="3"/>
        <v>246.01224548289497</v>
      </c>
      <c r="O37" s="28">
        <f t="shared" si="3"/>
        <v>0</v>
      </c>
      <c r="P37" s="28">
        <f t="shared" si="3"/>
        <v>0.30400228832090581</v>
      </c>
      <c r="Q37" s="28">
        <f t="shared" si="3"/>
        <v>0.67254222430882382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0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&lt;90%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LESS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7" sqref="G47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12/01/2025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3" t="s">
        <v>324</v>
      </c>
      <c r="B9" s="54">
        <v>72.09</v>
      </c>
      <c r="C9" s="54">
        <v>54.16</v>
      </c>
      <c r="D9" s="54">
        <v>84.73</v>
      </c>
      <c r="E9" s="54">
        <v>8.3699999999999992</v>
      </c>
      <c r="F9" s="54">
        <v>2.13</v>
      </c>
      <c r="G9" s="54">
        <v>108.12</v>
      </c>
      <c r="H9" s="54">
        <v>36.06</v>
      </c>
      <c r="I9" s="55" t="s">
        <v>15</v>
      </c>
      <c r="J9" s="54">
        <v>1.42</v>
      </c>
      <c r="K9" s="54">
        <v>301.73</v>
      </c>
      <c r="L9" s="54">
        <v>13.72</v>
      </c>
      <c r="M9" s="54">
        <v>83.36</v>
      </c>
      <c r="N9" s="54">
        <v>84.5</v>
      </c>
      <c r="O9" s="54">
        <v>0</v>
      </c>
      <c r="P9" s="54">
        <v>1.58</v>
      </c>
      <c r="Q9" s="54">
        <v>9.61</v>
      </c>
      <c r="R9" s="43"/>
      <c r="S9" s="43"/>
      <c r="T9" s="43"/>
      <c r="U9" s="43"/>
    </row>
    <row r="10" spans="1:21" s="11" customFormat="1" x14ac:dyDescent="0.25">
      <c r="A10" s="53" t="s">
        <v>325</v>
      </c>
      <c r="B10" s="54">
        <v>62.45</v>
      </c>
      <c r="C10" s="54">
        <v>52.15</v>
      </c>
      <c r="D10" s="54">
        <v>75.95</v>
      </c>
      <c r="E10" s="54">
        <v>8.16</v>
      </c>
      <c r="F10" s="54">
        <v>2.13</v>
      </c>
      <c r="G10" s="54">
        <v>91.82</v>
      </c>
      <c r="H10" s="54">
        <v>36.06</v>
      </c>
      <c r="I10" s="55" t="s">
        <v>15</v>
      </c>
      <c r="J10" s="54">
        <v>2.6</v>
      </c>
      <c r="K10" s="54">
        <v>267.24</v>
      </c>
      <c r="L10" s="54">
        <v>14.19</v>
      </c>
      <c r="M10" s="54">
        <v>75.3</v>
      </c>
      <c r="N10" s="54">
        <v>87.5</v>
      </c>
      <c r="O10" s="54">
        <v>0</v>
      </c>
      <c r="P10" s="54">
        <v>1.39</v>
      </c>
      <c r="Q10" s="54">
        <v>9.5399999999999991</v>
      </c>
      <c r="R10" s="43"/>
      <c r="S10" s="43"/>
      <c r="T10" s="43"/>
      <c r="U10" s="43"/>
    </row>
    <row r="11" spans="1:21" s="11" customFormat="1" x14ac:dyDescent="0.25">
      <c r="A11" s="53" t="s">
        <v>326</v>
      </c>
      <c r="B11" s="54">
        <v>47.97</v>
      </c>
      <c r="C11" s="54">
        <v>51.09</v>
      </c>
      <c r="D11" s="54">
        <v>63.73</v>
      </c>
      <c r="E11" s="54">
        <v>7.42</v>
      </c>
      <c r="F11" s="54">
        <v>2.13</v>
      </c>
      <c r="G11" s="54">
        <v>81.3</v>
      </c>
      <c r="H11" s="54">
        <v>34.07</v>
      </c>
      <c r="I11" s="55" t="s">
        <v>15</v>
      </c>
      <c r="J11" s="54">
        <v>2.77</v>
      </c>
      <c r="K11" s="54">
        <v>108.16</v>
      </c>
      <c r="L11" s="54">
        <v>14.17</v>
      </c>
      <c r="M11" s="54">
        <v>62.76</v>
      </c>
      <c r="N11" s="54">
        <v>87.7</v>
      </c>
      <c r="O11" s="54">
        <v>0</v>
      </c>
      <c r="P11" s="54">
        <v>1.23</v>
      </c>
      <c r="Q11" s="54">
        <v>8.68</v>
      </c>
      <c r="R11" s="43"/>
      <c r="S11" s="43"/>
      <c r="T11" s="43"/>
      <c r="U11" s="43"/>
    </row>
    <row r="12" spans="1:21" s="11" customFormat="1" x14ac:dyDescent="0.25">
      <c r="A12" s="53" t="s">
        <v>327</v>
      </c>
      <c r="B12" s="54">
        <v>34.93</v>
      </c>
      <c r="C12" s="54">
        <v>49.24</v>
      </c>
      <c r="D12" s="54">
        <v>52.23</v>
      </c>
      <c r="E12" s="54">
        <v>7.28</v>
      </c>
      <c r="F12" s="54">
        <v>2.13</v>
      </c>
      <c r="G12" s="54">
        <v>58.72</v>
      </c>
      <c r="H12" s="54">
        <v>32.25</v>
      </c>
      <c r="I12" s="55" t="s">
        <v>15</v>
      </c>
      <c r="J12" s="54">
        <v>2.4500000000000002</v>
      </c>
      <c r="K12" s="54">
        <v>105.85</v>
      </c>
      <c r="L12" s="54">
        <v>13.93</v>
      </c>
      <c r="M12" s="54">
        <v>68.900000000000006</v>
      </c>
      <c r="N12" s="54">
        <v>96.3</v>
      </c>
      <c r="O12" s="54">
        <v>0</v>
      </c>
      <c r="P12" s="54">
        <v>1.05</v>
      </c>
      <c r="Q12" s="54">
        <v>8.2100000000000009</v>
      </c>
      <c r="R12" s="43"/>
      <c r="S12" s="43"/>
      <c r="T12" s="43"/>
      <c r="U12" s="43"/>
    </row>
    <row r="13" spans="1:21" s="11" customFormat="1" x14ac:dyDescent="0.25">
      <c r="A13" s="53" t="s">
        <v>328</v>
      </c>
      <c r="B13" s="54">
        <v>27.16</v>
      </c>
      <c r="C13" s="54">
        <v>48.4</v>
      </c>
      <c r="D13" s="54">
        <v>45.69</v>
      </c>
      <c r="E13" s="54">
        <v>7.17</v>
      </c>
      <c r="F13" s="54">
        <v>2.13</v>
      </c>
      <c r="G13" s="54">
        <v>57.13</v>
      </c>
      <c r="H13" s="54">
        <v>29.92</v>
      </c>
      <c r="I13" s="55" t="s">
        <v>15</v>
      </c>
      <c r="J13" s="54">
        <v>1.03</v>
      </c>
      <c r="K13" s="54">
        <v>332.5</v>
      </c>
      <c r="L13" s="54">
        <v>12.98</v>
      </c>
      <c r="M13" s="54">
        <v>70.88</v>
      </c>
      <c r="N13" s="54">
        <v>99.5</v>
      </c>
      <c r="O13" s="54">
        <v>0</v>
      </c>
      <c r="P13" s="54">
        <v>0.89</v>
      </c>
      <c r="Q13" s="54">
        <v>8.2100000000000009</v>
      </c>
      <c r="R13" s="43"/>
      <c r="S13" s="43"/>
      <c r="T13" s="43"/>
      <c r="U13" s="43"/>
    </row>
    <row r="14" spans="1:21" s="11" customFormat="1" x14ac:dyDescent="0.25">
      <c r="A14" s="53" t="s">
        <v>329</v>
      </c>
      <c r="B14" s="54">
        <v>25.89</v>
      </c>
      <c r="C14" s="54">
        <v>50.29</v>
      </c>
      <c r="D14" s="54">
        <v>45.66</v>
      </c>
      <c r="E14" s="54">
        <v>7.16</v>
      </c>
      <c r="F14" s="54">
        <v>2.13</v>
      </c>
      <c r="G14" s="54">
        <v>63.22</v>
      </c>
      <c r="H14" s="54">
        <v>28.58</v>
      </c>
      <c r="I14" s="55" t="s">
        <v>15</v>
      </c>
      <c r="J14" s="54">
        <v>1.25</v>
      </c>
      <c r="K14" s="54">
        <v>321.58</v>
      </c>
      <c r="L14" s="54">
        <v>12.14</v>
      </c>
      <c r="M14" s="54">
        <v>81.27</v>
      </c>
      <c r="N14" s="54">
        <v>95.1</v>
      </c>
      <c r="O14" s="54">
        <v>0</v>
      </c>
      <c r="P14" s="54">
        <v>0.83</v>
      </c>
      <c r="Q14" s="54">
        <v>8.2100000000000009</v>
      </c>
      <c r="R14" s="43"/>
      <c r="S14" s="43"/>
      <c r="T14" s="43"/>
      <c r="U14" s="43"/>
    </row>
    <row r="15" spans="1:21" s="11" customFormat="1" x14ac:dyDescent="0.25">
      <c r="A15" s="53" t="s">
        <v>330</v>
      </c>
      <c r="B15" s="54">
        <v>26.78</v>
      </c>
      <c r="C15" s="54">
        <v>50.6</v>
      </c>
      <c r="D15" s="54">
        <v>46.54</v>
      </c>
      <c r="E15" s="54">
        <v>7.39</v>
      </c>
      <c r="F15" s="54">
        <v>2.13</v>
      </c>
      <c r="G15" s="54">
        <v>80.81</v>
      </c>
      <c r="H15" s="54">
        <v>27.96</v>
      </c>
      <c r="I15" s="55" t="s">
        <v>15</v>
      </c>
      <c r="J15" s="54">
        <v>3.16</v>
      </c>
      <c r="K15" s="54">
        <v>116.95</v>
      </c>
      <c r="L15" s="54">
        <v>12.04</v>
      </c>
      <c r="M15" s="54">
        <v>83.1</v>
      </c>
      <c r="N15" s="54">
        <v>105</v>
      </c>
      <c r="O15" s="54">
        <v>0</v>
      </c>
      <c r="P15" s="54">
        <v>0.78</v>
      </c>
      <c r="Q15" s="54">
        <v>8.2100000000000009</v>
      </c>
      <c r="R15" s="43"/>
      <c r="S15" s="43"/>
      <c r="T15" s="43"/>
      <c r="U15" s="43"/>
    </row>
    <row r="16" spans="1:21" s="11" customFormat="1" x14ac:dyDescent="0.25">
      <c r="A16" s="53" t="s">
        <v>331</v>
      </c>
      <c r="B16" s="54">
        <v>21.79</v>
      </c>
      <c r="C16" s="54">
        <v>48.75</v>
      </c>
      <c r="D16" s="54">
        <v>41.22</v>
      </c>
      <c r="E16" s="54">
        <v>7.34</v>
      </c>
      <c r="F16" s="54">
        <v>2.13</v>
      </c>
      <c r="G16" s="54">
        <v>85.81</v>
      </c>
      <c r="H16" s="54">
        <v>33.64</v>
      </c>
      <c r="I16" s="55" t="s">
        <v>15</v>
      </c>
      <c r="J16" s="54">
        <v>3.2</v>
      </c>
      <c r="K16" s="54">
        <v>122.38</v>
      </c>
      <c r="L16" s="54">
        <v>13.16</v>
      </c>
      <c r="M16" s="54">
        <v>75.84</v>
      </c>
      <c r="N16" s="54">
        <v>206.8</v>
      </c>
      <c r="O16" s="54">
        <v>0</v>
      </c>
      <c r="P16" s="54">
        <v>0.85</v>
      </c>
      <c r="Q16" s="54">
        <v>8.2100000000000009</v>
      </c>
      <c r="R16" s="43"/>
      <c r="S16" s="43"/>
      <c r="T16" s="43"/>
      <c r="U16" s="43"/>
    </row>
    <row r="17" spans="1:21" s="11" customFormat="1" x14ac:dyDescent="0.25">
      <c r="A17" s="53" t="s">
        <v>332</v>
      </c>
      <c r="B17" s="54">
        <v>17.04</v>
      </c>
      <c r="C17" s="54">
        <v>48.61</v>
      </c>
      <c r="D17" s="54">
        <v>37.68</v>
      </c>
      <c r="E17" s="54">
        <v>6.12</v>
      </c>
      <c r="F17" s="54">
        <v>2.13</v>
      </c>
      <c r="G17" s="54">
        <v>85.81</v>
      </c>
      <c r="H17" s="54">
        <v>33.64</v>
      </c>
      <c r="I17" s="55" t="s">
        <v>15</v>
      </c>
      <c r="J17" s="54">
        <v>2.78</v>
      </c>
      <c r="K17" s="54">
        <v>154.91999999999999</v>
      </c>
      <c r="L17" s="54">
        <v>16.47</v>
      </c>
      <c r="M17" s="54">
        <v>68.31</v>
      </c>
      <c r="N17" s="54">
        <v>381.6</v>
      </c>
      <c r="O17" s="54">
        <v>0</v>
      </c>
      <c r="P17" s="54">
        <v>0.82</v>
      </c>
      <c r="Q17" s="54">
        <v>8.2100000000000009</v>
      </c>
      <c r="R17" s="43"/>
      <c r="S17" s="43"/>
      <c r="T17" s="43"/>
      <c r="U17" s="43"/>
    </row>
    <row r="18" spans="1:21" s="11" customFormat="1" x14ac:dyDescent="0.25">
      <c r="A18" s="53" t="s">
        <v>333</v>
      </c>
      <c r="B18" s="54">
        <v>12.97</v>
      </c>
      <c r="C18" s="54">
        <v>49.88</v>
      </c>
      <c r="D18" s="54">
        <v>34.42</v>
      </c>
      <c r="E18" s="54">
        <v>5.91</v>
      </c>
      <c r="F18" s="54">
        <v>2.13</v>
      </c>
      <c r="G18" s="54">
        <v>72.319999999999993</v>
      </c>
      <c r="H18" s="54">
        <v>30.48</v>
      </c>
      <c r="I18" s="55" t="s">
        <v>15</v>
      </c>
      <c r="J18" s="54">
        <v>1.74</v>
      </c>
      <c r="K18" s="54">
        <v>280.04000000000002</v>
      </c>
      <c r="L18" s="54">
        <v>20.46</v>
      </c>
      <c r="M18" s="54">
        <v>57.41</v>
      </c>
      <c r="N18" s="54">
        <v>445.6</v>
      </c>
      <c r="O18" s="54">
        <v>0</v>
      </c>
      <c r="P18" s="54">
        <v>0.78</v>
      </c>
      <c r="Q18" s="54">
        <v>8.2100000000000009</v>
      </c>
      <c r="R18" s="43"/>
      <c r="S18" s="43"/>
      <c r="T18" s="43"/>
      <c r="U18" s="43"/>
    </row>
    <row r="19" spans="1:21" s="11" customFormat="1" x14ac:dyDescent="0.25">
      <c r="A19" s="53" t="s">
        <v>334</v>
      </c>
      <c r="B19" s="54">
        <v>9.2100000000000009</v>
      </c>
      <c r="C19" s="54">
        <v>51.35</v>
      </c>
      <c r="D19" s="54">
        <v>32.61</v>
      </c>
      <c r="E19" s="54">
        <v>6.01</v>
      </c>
      <c r="F19" s="54">
        <v>2.13</v>
      </c>
      <c r="G19" s="54">
        <v>66.459999999999994</v>
      </c>
      <c r="H19" s="54">
        <v>27.97</v>
      </c>
      <c r="I19" s="55" t="s">
        <v>15</v>
      </c>
      <c r="J19" s="54">
        <v>1.4</v>
      </c>
      <c r="K19" s="54">
        <v>236.56</v>
      </c>
      <c r="L19" s="54">
        <v>20.48</v>
      </c>
      <c r="M19" s="54">
        <v>49.53</v>
      </c>
      <c r="N19" s="54">
        <v>544.29999999999995</v>
      </c>
      <c r="O19" s="54">
        <v>0</v>
      </c>
      <c r="P19" s="54">
        <v>0.76</v>
      </c>
      <c r="Q19" s="54">
        <v>8.2100000000000009</v>
      </c>
      <c r="R19" s="43"/>
      <c r="S19" s="43"/>
      <c r="T19" s="43"/>
      <c r="U19" s="43"/>
    </row>
    <row r="20" spans="1:21" s="11" customFormat="1" x14ac:dyDescent="0.25">
      <c r="A20" s="53" t="s">
        <v>335</v>
      </c>
      <c r="B20" s="54">
        <v>5.48</v>
      </c>
      <c r="C20" s="54">
        <v>50.52</v>
      </c>
      <c r="D20" s="54">
        <v>27.98</v>
      </c>
      <c r="E20" s="54">
        <v>5.24</v>
      </c>
      <c r="F20" s="54">
        <v>2.13</v>
      </c>
      <c r="G20" s="54">
        <v>61.84</v>
      </c>
      <c r="H20" s="54">
        <v>27.81</v>
      </c>
      <c r="I20" s="55" t="s">
        <v>15</v>
      </c>
      <c r="J20" s="54">
        <v>2.09</v>
      </c>
      <c r="K20" s="54">
        <v>334.9</v>
      </c>
      <c r="L20" s="54">
        <v>25.58</v>
      </c>
      <c r="M20" s="54">
        <v>42.75</v>
      </c>
      <c r="N20" s="54">
        <v>671.5</v>
      </c>
      <c r="O20" s="54">
        <v>0</v>
      </c>
      <c r="P20" s="54">
        <v>0.72</v>
      </c>
      <c r="Q20" s="54">
        <v>8.2100000000000009</v>
      </c>
      <c r="R20" s="43"/>
      <c r="S20" s="43"/>
      <c r="T20" s="43"/>
      <c r="U20" s="43"/>
    </row>
    <row r="21" spans="1:21" s="11" customFormat="1" x14ac:dyDescent="0.25">
      <c r="A21" s="53" t="s">
        <v>336</v>
      </c>
      <c r="B21" s="54">
        <v>4.37</v>
      </c>
      <c r="C21" s="54">
        <v>51.85</v>
      </c>
      <c r="D21" s="54">
        <v>28.79</v>
      </c>
      <c r="E21" s="54">
        <v>6.28</v>
      </c>
      <c r="F21" s="54">
        <v>2.13</v>
      </c>
      <c r="G21" s="54">
        <v>61.13</v>
      </c>
      <c r="H21" s="54">
        <v>27.77</v>
      </c>
      <c r="I21" s="55" t="s">
        <v>15</v>
      </c>
      <c r="J21" s="54">
        <v>3.17</v>
      </c>
      <c r="K21" s="54">
        <v>341.02</v>
      </c>
      <c r="L21" s="54">
        <v>26.6</v>
      </c>
      <c r="M21" s="54">
        <v>38.31</v>
      </c>
      <c r="N21" s="54">
        <v>628.70000000000005</v>
      </c>
      <c r="O21" s="54">
        <v>0</v>
      </c>
      <c r="P21" s="54">
        <v>0.75</v>
      </c>
      <c r="Q21" s="54">
        <v>8.2100000000000009</v>
      </c>
      <c r="R21" s="43"/>
      <c r="S21" s="43"/>
      <c r="T21" s="43"/>
      <c r="U21" s="43"/>
    </row>
    <row r="22" spans="1:21" s="11" customFormat="1" x14ac:dyDescent="0.25">
      <c r="A22" s="53" t="s">
        <v>337</v>
      </c>
      <c r="B22" s="54">
        <v>3.74</v>
      </c>
      <c r="C22" s="54">
        <v>56.88</v>
      </c>
      <c r="D22" s="54">
        <v>30.98</v>
      </c>
      <c r="E22" s="54">
        <v>7.03</v>
      </c>
      <c r="F22" s="54">
        <v>2.13</v>
      </c>
      <c r="G22" s="54">
        <v>90</v>
      </c>
      <c r="H22" s="54">
        <v>30.05</v>
      </c>
      <c r="I22" s="55" t="s">
        <v>15</v>
      </c>
      <c r="J22" s="54">
        <v>2.74</v>
      </c>
      <c r="K22" s="54">
        <v>327.85</v>
      </c>
      <c r="L22" s="54">
        <v>26.35</v>
      </c>
      <c r="M22" s="54">
        <v>35.5</v>
      </c>
      <c r="N22" s="54">
        <v>498.5</v>
      </c>
      <c r="O22" s="54">
        <v>0</v>
      </c>
      <c r="P22" s="54">
        <v>0.83</v>
      </c>
      <c r="Q22" s="54">
        <v>8.2100000000000009</v>
      </c>
      <c r="R22" s="43"/>
      <c r="S22" s="43"/>
      <c r="T22" s="43"/>
      <c r="U22" s="43"/>
    </row>
    <row r="23" spans="1:21" s="11" customFormat="1" x14ac:dyDescent="0.25">
      <c r="A23" s="53" t="s">
        <v>338</v>
      </c>
      <c r="B23" s="54">
        <v>3.35</v>
      </c>
      <c r="C23" s="54">
        <v>57.18</v>
      </c>
      <c r="D23" s="54">
        <v>31.18</v>
      </c>
      <c r="E23" s="54">
        <v>6.43</v>
      </c>
      <c r="F23" s="54">
        <v>2.1800000000000002</v>
      </c>
      <c r="G23" s="54">
        <v>90</v>
      </c>
      <c r="H23" s="54">
        <v>30.05</v>
      </c>
      <c r="I23" s="55" t="s">
        <v>15</v>
      </c>
      <c r="J23" s="54">
        <v>2.86</v>
      </c>
      <c r="K23" s="54">
        <v>331.77</v>
      </c>
      <c r="L23" s="54">
        <v>25.69</v>
      </c>
      <c r="M23" s="54">
        <v>40.57</v>
      </c>
      <c r="N23" s="54">
        <v>451.8</v>
      </c>
      <c r="O23" s="54">
        <v>0</v>
      </c>
      <c r="P23" s="54">
        <v>0.83</v>
      </c>
      <c r="Q23" s="54">
        <v>8.2100000000000009</v>
      </c>
      <c r="R23" s="43"/>
      <c r="S23" s="43"/>
      <c r="T23" s="43"/>
      <c r="U23" s="43"/>
    </row>
    <row r="24" spans="1:21" s="11" customFormat="1" x14ac:dyDescent="0.25">
      <c r="A24" s="53" t="s">
        <v>339</v>
      </c>
      <c r="B24" s="54">
        <v>3.78</v>
      </c>
      <c r="C24" s="54">
        <v>55.94</v>
      </c>
      <c r="D24" s="54">
        <v>30.35</v>
      </c>
      <c r="E24" s="54">
        <v>7.24</v>
      </c>
      <c r="F24" s="54">
        <v>2.15</v>
      </c>
      <c r="G24" s="54">
        <v>73.28</v>
      </c>
      <c r="H24" s="54">
        <v>31.91</v>
      </c>
      <c r="I24" s="55" t="s">
        <v>15</v>
      </c>
      <c r="J24" s="54">
        <v>2.62</v>
      </c>
      <c r="K24" s="54">
        <v>325.54000000000002</v>
      </c>
      <c r="L24" s="54">
        <v>24.01</v>
      </c>
      <c r="M24" s="54">
        <v>43.15</v>
      </c>
      <c r="N24" s="54">
        <v>257.7</v>
      </c>
      <c r="O24" s="54">
        <v>0</v>
      </c>
      <c r="P24" s="54">
        <v>0.81</v>
      </c>
      <c r="Q24" s="54">
        <v>8.2100000000000009</v>
      </c>
      <c r="R24" s="43"/>
      <c r="S24" s="43"/>
      <c r="T24" s="43"/>
      <c r="U24" s="43"/>
    </row>
    <row r="25" spans="1:21" s="11" customFormat="1" x14ac:dyDescent="0.25">
      <c r="A25" s="53" t="s">
        <v>340</v>
      </c>
      <c r="B25" s="54">
        <v>4.6500000000000004</v>
      </c>
      <c r="C25" s="54">
        <v>54.33</v>
      </c>
      <c r="D25" s="54">
        <v>30.74</v>
      </c>
      <c r="E25" s="54">
        <v>8.0299999999999994</v>
      </c>
      <c r="F25" s="54">
        <v>2.13</v>
      </c>
      <c r="G25" s="54">
        <v>72.45</v>
      </c>
      <c r="H25" s="54">
        <v>31.91</v>
      </c>
      <c r="I25" s="55" t="s">
        <v>15</v>
      </c>
      <c r="J25" s="54">
        <v>3.33</v>
      </c>
      <c r="K25" s="54">
        <v>341.92</v>
      </c>
      <c r="L25" s="54">
        <v>22.64</v>
      </c>
      <c r="M25" s="54">
        <v>48.01</v>
      </c>
      <c r="N25" s="54">
        <v>137</v>
      </c>
      <c r="O25" s="54">
        <v>0</v>
      </c>
      <c r="P25" s="54">
        <v>0.82</v>
      </c>
      <c r="Q25" s="54">
        <v>8.2100000000000009</v>
      </c>
      <c r="R25" s="43"/>
      <c r="S25" s="43"/>
      <c r="T25" s="43"/>
      <c r="U25" s="43"/>
    </row>
    <row r="26" spans="1:21" s="11" customFormat="1" x14ac:dyDescent="0.25">
      <c r="A26" s="53" t="s">
        <v>341</v>
      </c>
      <c r="B26" s="54">
        <v>7.62</v>
      </c>
      <c r="C26" s="54">
        <v>56.93</v>
      </c>
      <c r="D26" s="54">
        <v>34.479999999999997</v>
      </c>
      <c r="E26" s="54">
        <v>8.4</v>
      </c>
      <c r="F26" s="54">
        <v>2.13</v>
      </c>
      <c r="G26" s="54">
        <v>79.77</v>
      </c>
      <c r="H26" s="54">
        <v>30.66</v>
      </c>
      <c r="I26" s="55" t="s">
        <v>15</v>
      </c>
      <c r="J26" s="54">
        <v>2.88</v>
      </c>
      <c r="K26" s="54">
        <v>352.8</v>
      </c>
      <c r="L26" s="54">
        <v>20.9</v>
      </c>
      <c r="M26" s="54">
        <v>55.81</v>
      </c>
      <c r="N26" s="54">
        <v>98.6</v>
      </c>
      <c r="O26" s="54">
        <v>0</v>
      </c>
      <c r="P26" s="54">
        <v>0.91</v>
      </c>
      <c r="Q26" s="54">
        <v>8.2100000000000009</v>
      </c>
      <c r="R26" s="43"/>
      <c r="S26" s="43"/>
      <c r="T26" s="43"/>
      <c r="U26" s="43"/>
    </row>
    <row r="27" spans="1:21" s="11" customFormat="1" x14ac:dyDescent="0.25">
      <c r="A27" s="53" t="s">
        <v>342</v>
      </c>
      <c r="B27" s="54">
        <v>9.4</v>
      </c>
      <c r="C27" s="54">
        <v>60.96</v>
      </c>
      <c r="D27" s="54">
        <v>37.549999999999997</v>
      </c>
      <c r="E27" s="54">
        <v>8.4499999999999993</v>
      </c>
      <c r="F27" s="54">
        <v>2.13</v>
      </c>
      <c r="G27" s="54">
        <v>93</v>
      </c>
      <c r="H27" s="54">
        <v>32.56</v>
      </c>
      <c r="I27" s="55" t="s">
        <v>15</v>
      </c>
      <c r="J27" s="54">
        <v>2.2799999999999998</v>
      </c>
      <c r="K27" s="54">
        <v>351.64</v>
      </c>
      <c r="L27" s="54">
        <v>18.91</v>
      </c>
      <c r="M27" s="54">
        <v>61.35</v>
      </c>
      <c r="N27" s="54">
        <v>86.5</v>
      </c>
      <c r="O27" s="54">
        <v>0</v>
      </c>
      <c r="P27" s="54">
        <v>1.07</v>
      </c>
      <c r="Q27" s="54">
        <v>8.2100000000000009</v>
      </c>
      <c r="R27" s="43"/>
      <c r="S27" s="43"/>
      <c r="T27" s="43"/>
      <c r="U27" s="43"/>
    </row>
    <row r="28" spans="1:21" s="11" customFormat="1" x14ac:dyDescent="0.25">
      <c r="A28" s="53" t="s">
        <v>343</v>
      </c>
      <c r="B28" s="54">
        <v>13.85</v>
      </c>
      <c r="C28" s="54">
        <v>62.32</v>
      </c>
      <c r="D28" s="54">
        <v>41.94</v>
      </c>
      <c r="E28" s="54">
        <v>8.83</v>
      </c>
      <c r="F28" s="54">
        <v>2.13</v>
      </c>
      <c r="G28" s="54">
        <v>120.01</v>
      </c>
      <c r="H28" s="54">
        <v>40.9</v>
      </c>
      <c r="I28" s="55" t="s">
        <v>15</v>
      </c>
      <c r="J28" s="54">
        <v>1.98</v>
      </c>
      <c r="K28" s="54">
        <v>337.57</v>
      </c>
      <c r="L28" s="54">
        <v>17.45</v>
      </c>
      <c r="M28" s="54">
        <v>71.09</v>
      </c>
      <c r="N28" s="54">
        <v>89.8</v>
      </c>
      <c r="O28" s="54">
        <v>0</v>
      </c>
      <c r="P28" s="54">
        <v>1.59</v>
      </c>
      <c r="Q28" s="54">
        <v>8.2100000000000009</v>
      </c>
      <c r="R28" s="43"/>
      <c r="S28" s="43"/>
      <c r="T28" s="43"/>
      <c r="U28" s="43"/>
    </row>
    <row r="29" spans="1:21" s="11" customFormat="1" x14ac:dyDescent="0.25">
      <c r="A29" s="53" t="s">
        <v>344</v>
      </c>
      <c r="B29" s="54">
        <v>20.059999999999999</v>
      </c>
      <c r="C29" s="54">
        <v>62.02</v>
      </c>
      <c r="D29" s="54">
        <v>46.89</v>
      </c>
      <c r="E29" s="54">
        <v>9.0299999999999994</v>
      </c>
      <c r="F29" s="54">
        <v>2.13</v>
      </c>
      <c r="G29" s="54">
        <v>129.22999999999999</v>
      </c>
      <c r="H29" s="54">
        <v>47.06</v>
      </c>
      <c r="I29" s="55" t="s">
        <v>15</v>
      </c>
      <c r="J29" s="54">
        <v>1.98</v>
      </c>
      <c r="K29" s="54">
        <v>354.93</v>
      </c>
      <c r="L29" s="54">
        <v>16.920000000000002</v>
      </c>
      <c r="M29" s="54">
        <v>79.540000000000006</v>
      </c>
      <c r="N29" s="54">
        <v>111.1</v>
      </c>
      <c r="O29" s="54">
        <v>0</v>
      </c>
      <c r="P29" s="54">
        <v>1.72</v>
      </c>
      <c r="Q29" s="54">
        <v>8.2100000000000009</v>
      </c>
      <c r="R29" s="43"/>
      <c r="S29" s="43"/>
      <c r="T29" s="43"/>
      <c r="U29" s="43"/>
    </row>
    <row r="30" spans="1:21" s="11" customFormat="1" x14ac:dyDescent="0.25">
      <c r="A30" s="53" t="s">
        <v>345</v>
      </c>
      <c r="B30" s="54">
        <v>37.64</v>
      </c>
      <c r="C30" s="54">
        <v>63.07</v>
      </c>
      <c r="D30" s="54">
        <v>61.76</v>
      </c>
      <c r="E30" s="54">
        <v>9.2799999999999994</v>
      </c>
      <c r="F30" s="54">
        <v>2.13</v>
      </c>
      <c r="G30" s="54">
        <v>154.65</v>
      </c>
      <c r="H30" s="54">
        <v>52.01</v>
      </c>
      <c r="I30" s="55" t="s">
        <v>15</v>
      </c>
      <c r="J30" s="54">
        <v>1.87</v>
      </c>
      <c r="K30" s="54">
        <v>324.45</v>
      </c>
      <c r="L30" s="54">
        <v>15.88</v>
      </c>
      <c r="M30" s="54">
        <v>81.650000000000006</v>
      </c>
      <c r="N30" s="54">
        <v>122</v>
      </c>
      <c r="O30" s="54">
        <v>0</v>
      </c>
      <c r="P30" s="54">
        <v>1.7</v>
      </c>
      <c r="Q30" s="54">
        <v>8.2100000000000009</v>
      </c>
      <c r="R30" s="43"/>
      <c r="S30" s="43"/>
      <c r="T30" s="43"/>
      <c r="U30" s="43"/>
    </row>
    <row r="31" spans="1:21" s="11" customFormat="1" x14ac:dyDescent="0.25">
      <c r="A31" s="53" t="s">
        <v>346</v>
      </c>
      <c r="B31" s="54">
        <v>53.79</v>
      </c>
      <c r="C31" s="54">
        <v>63.61</v>
      </c>
      <c r="D31" s="54">
        <v>74.959999999999994</v>
      </c>
      <c r="E31" s="54">
        <v>9.69</v>
      </c>
      <c r="F31" s="54">
        <v>2.13</v>
      </c>
      <c r="G31" s="54">
        <v>156.75</v>
      </c>
      <c r="H31" s="54">
        <v>52.54</v>
      </c>
      <c r="I31" s="55" t="s">
        <v>15</v>
      </c>
      <c r="J31" s="54">
        <v>2.08</v>
      </c>
      <c r="K31" s="54">
        <v>333.41</v>
      </c>
      <c r="L31" s="54">
        <v>15.8</v>
      </c>
      <c r="M31" s="54">
        <v>83.23</v>
      </c>
      <c r="N31" s="54">
        <v>116.1</v>
      </c>
      <c r="O31" s="54">
        <v>0</v>
      </c>
      <c r="P31" s="54">
        <v>1.86</v>
      </c>
      <c r="Q31" s="54">
        <v>9.06</v>
      </c>
      <c r="R31" s="43"/>
      <c r="S31" s="43"/>
      <c r="T31" s="43"/>
      <c r="U31" s="43"/>
    </row>
    <row r="32" spans="1:21" s="11" customFormat="1" x14ac:dyDescent="0.25">
      <c r="A32" s="53" t="s">
        <v>347</v>
      </c>
      <c r="B32" s="54">
        <v>51.96</v>
      </c>
      <c r="C32" s="54">
        <v>63.5</v>
      </c>
      <c r="D32" s="54">
        <v>73.459999999999994</v>
      </c>
      <c r="E32" s="54">
        <v>9.16</v>
      </c>
      <c r="F32" s="54">
        <v>2.13</v>
      </c>
      <c r="G32" s="54">
        <v>156.75</v>
      </c>
      <c r="H32" s="54">
        <v>52.54</v>
      </c>
      <c r="I32" s="55" t="s">
        <v>15</v>
      </c>
      <c r="J32" s="54">
        <v>1.43</v>
      </c>
      <c r="K32" s="54">
        <v>106.01</v>
      </c>
      <c r="L32" s="54">
        <v>15.81</v>
      </c>
      <c r="M32" s="54">
        <v>73.64</v>
      </c>
      <c r="N32" s="54">
        <v>96.3</v>
      </c>
      <c r="O32" s="54">
        <v>0</v>
      </c>
      <c r="P32" s="54">
        <v>1.83</v>
      </c>
      <c r="Q32" s="54">
        <v>9.0299999999999994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3.35</v>
      </c>
      <c r="C34" s="28">
        <f t="shared" si="0"/>
        <v>48.4</v>
      </c>
      <c r="D34" s="28">
        <f t="shared" si="0"/>
        <v>27.98</v>
      </c>
      <c r="E34" s="28">
        <f t="shared" si="0"/>
        <v>5.24</v>
      </c>
      <c r="F34" s="28">
        <f t="shared" si="0"/>
        <v>2.13</v>
      </c>
      <c r="G34" s="28">
        <f t="shared" si="0"/>
        <v>57.13</v>
      </c>
      <c r="H34" s="28">
        <f t="shared" si="0"/>
        <v>27.77</v>
      </c>
      <c r="I34" s="28">
        <f t="shared" si="0"/>
        <v>0</v>
      </c>
      <c r="J34" s="28">
        <f t="shared" si="0"/>
        <v>1.03</v>
      </c>
      <c r="K34" s="28">
        <f t="shared" si="0"/>
        <v>105.85</v>
      </c>
      <c r="L34" s="28">
        <f t="shared" si="0"/>
        <v>12.04</v>
      </c>
      <c r="M34" s="28">
        <f t="shared" si="0"/>
        <v>35.5</v>
      </c>
      <c r="N34" s="28">
        <f t="shared" si="0"/>
        <v>84.5</v>
      </c>
      <c r="O34" s="28">
        <f t="shared" si="0"/>
        <v>0</v>
      </c>
      <c r="P34" s="28">
        <f t="shared" si="0"/>
        <v>0.72</v>
      </c>
      <c r="Q34" s="28">
        <f t="shared" si="0"/>
        <v>8.2100000000000009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72.09</v>
      </c>
      <c r="C35" s="29">
        <f t="shared" si="1"/>
        <v>63.61</v>
      </c>
      <c r="D35" s="29">
        <f t="shared" si="1"/>
        <v>84.73</v>
      </c>
      <c r="E35" s="29">
        <f t="shared" si="1"/>
        <v>9.69</v>
      </c>
      <c r="F35" s="29">
        <f t="shared" si="1"/>
        <v>2.1800000000000002</v>
      </c>
      <c r="G35" s="29">
        <f t="shared" si="1"/>
        <v>156.75</v>
      </c>
      <c r="H35" s="29">
        <f t="shared" si="1"/>
        <v>52.54</v>
      </c>
      <c r="I35" s="29">
        <f t="shared" si="1"/>
        <v>0</v>
      </c>
      <c r="J35" s="29">
        <f t="shared" si="1"/>
        <v>3.33</v>
      </c>
      <c r="K35" s="29">
        <f t="shared" si="1"/>
        <v>354.93</v>
      </c>
      <c r="L35" s="29">
        <f t="shared" si="1"/>
        <v>26.6</v>
      </c>
      <c r="M35" s="29">
        <f t="shared" si="1"/>
        <v>83.36</v>
      </c>
      <c r="N35" s="29">
        <f t="shared" si="1"/>
        <v>671.5</v>
      </c>
      <c r="O35" s="29">
        <f t="shared" si="1"/>
        <v>0</v>
      </c>
      <c r="P35" s="29">
        <f t="shared" si="1"/>
        <v>1.86</v>
      </c>
      <c r="Q35" s="29">
        <f t="shared" si="1"/>
        <v>9.61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24.082083333333333</v>
      </c>
      <c r="C36" s="28">
        <f t="shared" si="2"/>
        <v>54.734583333333326</v>
      </c>
      <c r="D36" s="28">
        <f t="shared" si="2"/>
        <v>46.313333333333333</v>
      </c>
      <c r="E36" s="28">
        <f t="shared" si="2"/>
        <v>7.559166666666667</v>
      </c>
      <c r="F36" s="28">
        <f t="shared" si="2"/>
        <v>2.132916666666667</v>
      </c>
      <c r="G36" s="28">
        <f t="shared" si="2"/>
        <v>91.265833333333333</v>
      </c>
      <c r="H36" s="28">
        <f t="shared" si="2"/>
        <v>34.93333333333333</v>
      </c>
      <c r="I36" s="28" t="e">
        <f t="shared" si="2"/>
        <v>#DIV/0!</v>
      </c>
      <c r="J36" s="28">
        <f t="shared" si="2"/>
        <v>2.2962499999999992</v>
      </c>
      <c r="K36" s="28">
        <f t="shared" si="2"/>
        <v>271.32166666666666</v>
      </c>
      <c r="L36" s="28">
        <f t="shared" si="2"/>
        <v>18.178333333333331</v>
      </c>
      <c r="M36" s="28">
        <f t="shared" si="2"/>
        <v>63.802500000000002</v>
      </c>
      <c r="N36" s="28">
        <f t="shared" si="2"/>
        <v>233.31250000000003</v>
      </c>
      <c r="O36" s="28">
        <f t="shared" si="2"/>
        <v>0</v>
      </c>
      <c r="P36" s="28">
        <f t="shared" si="2"/>
        <v>1.0999999999999999</v>
      </c>
      <c r="Q36" s="28">
        <f t="shared" si="2"/>
        <v>8.4129166666666713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20.540189233107956</v>
      </c>
      <c r="C37" s="28">
        <f t="shared" ref="C37:Q37" si="3">STDEV(C9:C32)</f>
        <v>5.3298470319567306</v>
      </c>
      <c r="D37" s="28">
        <f t="shared" si="3"/>
        <v>17.144164089241585</v>
      </c>
      <c r="E37" s="28">
        <f t="shared" si="3"/>
        <v>1.1965672519360468</v>
      </c>
      <c r="F37" s="28">
        <f t="shared" si="3"/>
        <v>1.0826363421183375E-2</v>
      </c>
      <c r="G37" s="28">
        <f t="shared" si="3"/>
        <v>30.920109949276743</v>
      </c>
      <c r="H37" s="28">
        <f t="shared" si="3"/>
        <v>8.0283712499819497</v>
      </c>
      <c r="I37" s="28" t="e">
        <f t="shared" si="3"/>
        <v>#DIV/0!</v>
      </c>
      <c r="J37" s="28">
        <f t="shared" si="3"/>
        <v>0.68301640759463578</v>
      </c>
      <c r="K37" s="28">
        <f t="shared" si="3"/>
        <v>94.226444209711133</v>
      </c>
      <c r="L37" s="28">
        <f t="shared" si="3"/>
        <v>4.8413855963715156</v>
      </c>
      <c r="M37" s="28">
        <f t="shared" si="3"/>
        <v>16.087178867441111</v>
      </c>
      <c r="N37" s="28">
        <f t="shared" si="3"/>
        <v>197.56475286874155</v>
      </c>
      <c r="O37" s="28">
        <f t="shared" si="3"/>
        <v>0</v>
      </c>
      <c r="P37" s="28">
        <f t="shared" si="3"/>
        <v>0.3966928501892929</v>
      </c>
      <c r="Q37" s="28">
        <f t="shared" si="3"/>
        <v>0.43521588013173423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0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&lt;90%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LESS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7" sqref="G47"/>
    </sheetView>
  </sheetViews>
  <sheetFormatPr defaultColWidth="8.85546875" defaultRowHeight="15" x14ac:dyDescent="0.25"/>
  <cols>
    <col min="1" max="1" width="18.28515625" style="26" customWidth="1"/>
    <col min="2" max="2" width="13.855468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13/01/2025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3" t="s">
        <v>348</v>
      </c>
      <c r="B9" s="54">
        <v>44.37</v>
      </c>
      <c r="C9" s="54">
        <v>59.61</v>
      </c>
      <c r="D9" s="54">
        <v>65.349999999999994</v>
      </c>
      <c r="E9" s="54">
        <v>7.1</v>
      </c>
      <c r="F9" s="54">
        <v>2.13</v>
      </c>
      <c r="G9" s="54">
        <v>136.37</v>
      </c>
      <c r="H9" s="54">
        <v>49.47</v>
      </c>
      <c r="I9" s="55" t="s">
        <v>15</v>
      </c>
      <c r="J9" s="54">
        <v>1.7</v>
      </c>
      <c r="K9" s="54">
        <v>322.02999999999997</v>
      </c>
      <c r="L9" s="54">
        <v>15.01</v>
      </c>
      <c r="M9" s="54">
        <v>73.63</v>
      </c>
      <c r="N9" s="54">
        <v>101</v>
      </c>
      <c r="O9" s="54">
        <v>0</v>
      </c>
      <c r="P9" s="54">
        <v>1.68</v>
      </c>
      <c r="Q9" s="54">
        <v>8.4700000000000006</v>
      </c>
      <c r="R9" s="43"/>
      <c r="S9" s="43"/>
      <c r="T9" s="43"/>
      <c r="U9" s="43"/>
    </row>
    <row r="10" spans="1:21" s="11" customFormat="1" x14ac:dyDescent="0.25">
      <c r="A10" s="53" t="s">
        <v>349</v>
      </c>
      <c r="B10" s="54">
        <v>37.28</v>
      </c>
      <c r="C10" s="54">
        <v>56.96</v>
      </c>
      <c r="D10" s="54">
        <v>58.28</v>
      </c>
      <c r="E10" s="54">
        <v>7.03</v>
      </c>
      <c r="F10" s="54">
        <v>2.13</v>
      </c>
      <c r="G10" s="54">
        <v>121.93</v>
      </c>
      <c r="H10" s="54">
        <v>49.47</v>
      </c>
      <c r="I10" s="55" t="s">
        <v>15</v>
      </c>
      <c r="J10" s="54">
        <v>1.88</v>
      </c>
      <c r="K10" s="54">
        <v>349.87</v>
      </c>
      <c r="L10" s="54">
        <v>14.84</v>
      </c>
      <c r="M10" s="54">
        <v>73.400000000000006</v>
      </c>
      <c r="N10" s="54">
        <v>99.4</v>
      </c>
      <c r="O10" s="54">
        <v>0</v>
      </c>
      <c r="P10" s="54">
        <v>1.46</v>
      </c>
      <c r="Q10" s="54">
        <v>8.2100000000000009</v>
      </c>
      <c r="R10" s="43"/>
      <c r="S10" s="43"/>
      <c r="T10" s="43"/>
      <c r="U10" s="43"/>
    </row>
    <row r="11" spans="1:21" s="11" customFormat="1" x14ac:dyDescent="0.25">
      <c r="A11" s="53" t="s">
        <v>350</v>
      </c>
      <c r="B11" s="54">
        <v>28.39</v>
      </c>
      <c r="C11" s="54">
        <v>55.26</v>
      </c>
      <c r="D11" s="54">
        <v>50.26</v>
      </c>
      <c r="E11" s="54">
        <v>7.51</v>
      </c>
      <c r="F11" s="54">
        <v>2.13</v>
      </c>
      <c r="G11" s="54">
        <v>97.89</v>
      </c>
      <c r="H11" s="54">
        <v>42.6</v>
      </c>
      <c r="I11" s="55" t="s">
        <v>15</v>
      </c>
      <c r="J11" s="54">
        <v>2.81</v>
      </c>
      <c r="K11" s="54">
        <v>356.75</v>
      </c>
      <c r="L11" s="54">
        <v>14.59</v>
      </c>
      <c r="M11" s="54">
        <v>74.5</v>
      </c>
      <c r="N11" s="54">
        <v>104.1</v>
      </c>
      <c r="O11" s="54">
        <v>0</v>
      </c>
      <c r="P11" s="54">
        <v>1.36</v>
      </c>
      <c r="Q11" s="54">
        <v>8.2100000000000009</v>
      </c>
      <c r="R11" s="43"/>
      <c r="S11" s="43"/>
      <c r="T11" s="43"/>
      <c r="U11" s="43"/>
    </row>
    <row r="12" spans="1:21" s="11" customFormat="1" x14ac:dyDescent="0.25">
      <c r="A12" s="53" t="s">
        <v>351</v>
      </c>
      <c r="B12" s="54">
        <v>19.3</v>
      </c>
      <c r="C12" s="54">
        <v>52.88</v>
      </c>
      <c r="D12" s="54">
        <v>41.73</v>
      </c>
      <c r="E12" s="54">
        <v>6.61</v>
      </c>
      <c r="F12" s="54">
        <v>2.13</v>
      </c>
      <c r="G12" s="54">
        <v>90.09</v>
      </c>
      <c r="H12" s="54">
        <v>40.119999999999997</v>
      </c>
      <c r="I12" s="55" t="s">
        <v>15</v>
      </c>
      <c r="J12" s="54">
        <v>2.0699999999999998</v>
      </c>
      <c r="K12" s="54">
        <v>355.23</v>
      </c>
      <c r="L12" s="54">
        <v>14.42</v>
      </c>
      <c r="M12" s="54">
        <v>76.67</v>
      </c>
      <c r="N12" s="54">
        <v>107.9</v>
      </c>
      <c r="O12" s="54">
        <v>0</v>
      </c>
      <c r="P12" s="54">
        <v>1.2</v>
      </c>
      <c r="Q12" s="54">
        <v>8.2100000000000009</v>
      </c>
      <c r="R12" s="43"/>
      <c r="S12" s="43"/>
      <c r="T12" s="43"/>
      <c r="U12" s="43"/>
    </row>
    <row r="13" spans="1:21" s="11" customFormat="1" x14ac:dyDescent="0.25">
      <c r="A13" s="53" t="s">
        <v>352</v>
      </c>
      <c r="B13" s="54">
        <v>14.56</v>
      </c>
      <c r="C13" s="54">
        <v>49.85</v>
      </c>
      <c r="D13" s="54">
        <v>36.33</v>
      </c>
      <c r="E13" s="54">
        <v>6.36</v>
      </c>
      <c r="F13" s="54">
        <v>2.13</v>
      </c>
      <c r="G13" s="54">
        <v>86.07</v>
      </c>
      <c r="H13" s="54">
        <v>39.74</v>
      </c>
      <c r="I13" s="55" t="s">
        <v>15</v>
      </c>
      <c r="J13" s="54">
        <v>2.0499999999999998</v>
      </c>
      <c r="K13" s="54">
        <v>347.75</v>
      </c>
      <c r="L13" s="54">
        <v>13.68</v>
      </c>
      <c r="M13" s="54">
        <v>79.989999999999995</v>
      </c>
      <c r="N13" s="54">
        <v>121.9</v>
      </c>
      <c r="O13" s="54">
        <v>0</v>
      </c>
      <c r="P13" s="54">
        <v>1.06</v>
      </c>
      <c r="Q13" s="54">
        <v>8.2100000000000009</v>
      </c>
      <c r="R13" s="43"/>
      <c r="S13" s="43"/>
      <c r="T13" s="43"/>
      <c r="U13" s="43"/>
    </row>
    <row r="14" spans="1:21" s="11" customFormat="1" x14ac:dyDescent="0.25">
      <c r="A14" s="53" t="s">
        <v>353</v>
      </c>
      <c r="B14" s="54">
        <v>14.72</v>
      </c>
      <c r="C14" s="54">
        <v>48.74</v>
      </c>
      <c r="D14" s="54">
        <v>34.86</v>
      </c>
      <c r="E14" s="54">
        <v>6.62</v>
      </c>
      <c r="F14" s="54">
        <v>2.13</v>
      </c>
      <c r="G14" s="54">
        <v>86.07</v>
      </c>
      <c r="H14" s="54">
        <v>39.74</v>
      </c>
      <c r="I14" s="55" t="s">
        <v>15</v>
      </c>
      <c r="J14" s="54">
        <v>1.98</v>
      </c>
      <c r="K14" s="54">
        <v>331.81</v>
      </c>
      <c r="L14" s="54">
        <v>13.33</v>
      </c>
      <c r="M14" s="54">
        <v>87.97</v>
      </c>
      <c r="N14" s="54">
        <v>112.5</v>
      </c>
      <c r="O14" s="54">
        <v>0</v>
      </c>
      <c r="P14" s="54">
        <v>0.97</v>
      </c>
      <c r="Q14" s="54">
        <v>8.2100000000000009</v>
      </c>
      <c r="R14" s="43"/>
      <c r="S14" s="43"/>
      <c r="T14" s="43"/>
      <c r="U14" s="43"/>
    </row>
    <row r="15" spans="1:21" s="11" customFormat="1" x14ac:dyDescent="0.25">
      <c r="A15" s="53" t="s">
        <v>354</v>
      </c>
      <c r="B15" s="54">
        <v>20.99</v>
      </c>
      <c r="C15" s="54">
        <v>49.28</v>
      </c>
      <c r="D15" s="54">
        <v>41.2</v>
      </c>
      <c r="E15" s="54">
        <v>6.54</v>
      </c>
      <c r="F15" s="54">
        <v>2.13</v>
      </c>
      <c r="G15" s="54">
        <v>96.26</v>
      </c>
      <c r="H15" s="54">
        <v>38.53</v>
      </c>
      <c r="I15" s="55" t="s">
        <v>15</v>
      </c>
      <c r="J15" s="54">
        <v>2.35</v>
      </c>
      <c r="K15" s="54">
        <v>358.49</v>
      </c>
      <c r="L15" s="54">
        <v>12.91</v>
      </c>
      <c r="M15" s="54">
        <v>92.49</v>
      </c>
      <c r="N15" s="54">
        <v>114.5</v>
      </c>
      <c r="O15" s="54">
        <v>0</v>
      </c>
      <c r="P15" s="54">
        <v>0.94</v>
      </c>
      <c r="Q15" s="54">
        <v>8.2100000000000009</v>
      </c>
      <c r="R15" s="43"/>
      <c r="S15" s="43"/>
      <c r="T15" s="43"/>
      <c r="U15" s="43"/>
    </row>
    <row r="16" spans="1:21" s="11" customFormat="1" x14ac:dyDescent="0.25">
      <c r="A16" s="53" t="s">
        <v>355</v>
      </c>
      <c r="B16" s="54">
        <v>24.96</v>
      </c>
      <c r="C16" s="54">
        <v>51.31</v>
      </c>
      <c r="D16" s="54">
        <v>45.44</v>
      </c>
      <c r="E16" s="54">
        <v>7.23</v>
      </c>
      <c r="F16" s="54">
        <v>2.13</v>
      </c>
      <c r="G16" s="54">
        <v>105.47</v>
      </c>
      <c r="H16" s="54">
        <v>40.799999999999997</v>
      </c>
      <c r="I16" s="55" t="s">
        <v>15</v>
      </c>
      <c r="J16" s="54">
        <v>2.4300000000000002</v>
      </c>
      <c r="K16" s="54">
        <v>355.01</v>
      </c>
      <c r="L16" s="54">
        <v>14.59</v>
      </c>
      <c r="M16" s="54">
        <v>86.81</v>
      </c>
      <c r="N16" s="54">
        <v>190.9</v>
      </c>
      <c r="O16" s="54">
        <v>0</v>
      </c>
      <c r="P16" s="54">
        <v>1.04</v>
      </c>
      <c r="Q16" s="54">
        <v>8.2100000000000009</v>
      </c>
      <c r="R16" s="43"/>
      <c r="S16" s="43"/>
      <c r="T16" s="43"/>
      <c r="U16" s="43"/>
    </row>
    <row r="17" spans="1:21" s="11" customFormat="1" x14ac:dyDescent="0.25">
      <c r="A17" s="53" t="s">
        <v>356</v>
      </c>
      <c r="B17" s="54">
        <v>28.93</v>
      </c>
      <c r="C17" s="54">
        <v>52.28</v>
      </c>
      <c r="D17" s="54">
        <v>49.13</v>
      </c>
      <c r="E17" s="54">
        <v>7.91</v>
      </c>
      <c r="F17" s="54">
        <v>2.13</v>
      </c>
      <c r="G17" s="54">
        <v>194.16</v>
      </c>
      <c r="H17" s="54">
        <v>51.49</v>
      </c>
      <c r="I17" s="55" t="s">
        <v>15</v>
      </c>
      <c r="J17" s="54">
        <v>2.54</v>
      </c>
      <c r="K17" s="54">
        <v>349.7</v>
      </c>
      <c r="L17" s="54">
        <v>17.89</v>
      </c>
      <c r="M17" s="54">
        <v>77.28</v>
      </c>
      <c r="N17" s="54">
        <v>314.39999999999998</v>
      </c>
      <c r="O17" s="54">
        <v>0</v>
      </c>
      <c r="P17" s="54">
        <v>1.1299999999999999</v>
      </c>
      <c r="Q17" s="54">
        <v>8.2100000000000009</v>
      </c>
      <c r="R17" s="43"/>
      <c r="S17" s="43"/>
      <c r="T17" s="43"/>
      <c r="U17" s="43"/>
    </row>
    <row r="18" spans="1:21" s="11" customFormat="1" x14ac:dyDescent="0.25">
      <c r="A18" s="53" t="s">
        <v>357</v>
      </c>
      <c r="B18" s="54">
        <v>29.74</v>
      </c>
      <c r="C18" s="54">
        <v>54.65</v>
      </c>
      <c r="D18" s="54">
        <v>51.02</v>
      </c>
      <c r="E18" s="54">
        <v>8.2799999999999994</v>
      </c>
      <c r="F18" s="54">
        <v>2.13</v>
      </c>
      <c r="G18" s="54">
        <v>194.16</v>
      </c>
      <c r="H18" s="54">
        <v>52.34</v>
      </c>
      <c r="I18" s="55" t="s">
        <v>15</v>
      </c>
      <c r="J18" s="54">
        <v>2.74</v>
      </c>
      <c r="K18" s="54">
        <v>347.08</v>
      </c>
      <c r="L18" s="54">
        <v>19.54</v>
      </c>
      <c r="M18" s="54">
        <v>60.13</v>
      </c>
      <c r="N18" s="54">
        <v>387</v>
      </c>
      <c r="O18" s="54">
        <v>0</v>
      </c>
      <c r="P18" s="54">
        <v>1.1200000000000001</v>
      </c>
      <c r="Q18" s="54">
        <v>8.2100000000000009</v>
      </c>
      <c r="R18" s="43"/>
      <c r="S18" s="43"/>
      <c r="T18" s="43"/>
      <c r="U18" s="43"/>
    </row>
    <row r="19" spans="1:21" s="11" customFormat="1" x14ac:dyDescent="0.25">
      <c r="A19" s="53" t="s">
        <v>358</v>
      </c>
      <c r="B19" s="54">
        <v>35.200000000000003</v>
      </c>
      <c r="C19" s="54">
        <v>87.97</v>
      </c>
      <c r="D19" s="54">
        <v>72.69</v>
      </c>
      <c r="E19" s="54">
        <v>27.07</v>
      </c>
      <c r="F19" s="54">
        <v>2.17</v>
      </c>
      <c r="G19" s="54">
        <v>132.06</v>
      </c>
      <c r="H19" s="54">
        <v>52.34</v>
      </c>
      <c r="I19" s="55" t="s">
        <v>15</v>
      </c>
      <c r="J19" s="54">
        <v>2.9</v>
      </c>
      <c r="K19" s="54">
        <v>346.61</v>
      </c>
      <c r="L19" s="54">
        <v>23.13</v>
      </c>
      <c r="M19" s="54">
        <v>53.26</v>
      </c>
      <c r="N19" s="54">
        <v>404.5</v>
      </c>
      <c r="O19" s="54">
        <v>0</v>
      </c>
      <c r="P19" s="54">
        <v>1.1100000000000001</v>
      </c>
      <c r="Q19" s="54">
        <v>8.24</v>
      </c>
      <c r="R19" s="43"/>
      <c r="S19" s="43"/>
      <c r="T19" s="43"/>
      <c r="U19" s="43"/>
    </row>
    <row r="20" spans="1:21" s="11" customFormat="1" x14ac:dyDescent="0.25">
      <c r="A20" s="53" t="s">
        <v>359</v>
      </c>
      <c r="B20" s="54">
        <v>34.520000000000003</v>
      </c>
      <c r="C20" s="54">
        <v>88.78</v>
      </c>
      <c r="D20" s="54">
        <v>72.22</v>
      </c>
      <c r="E20" s="54">
        <v>15.09</v>
      </c>
      <c r="F20" s="54">
        <v>2.13</v>
      </c>
      <c r="G20" s="54">
        <v>102.21</v>
      </c>
      <c r="H20" s="54">
        <v>48.84</v>
      </c>
      <c r="I20" s="55" t="s">
        <v>15</v>
      </c>
      <c r="J20" s="54">
        <v>3.16</v>
      </c>
      <c r="K20" s="54">
        <v>345.51</v>
      </c>
      <c r="L20" s="54">
        <v>24.37</v>
      </c>
      <c r="M20" s="54">
        <v>47.97</v>
      </c>
      <c r="N20" s="54">
        <v>472.8</v>
      </c>
      <c r="O20" s="54">
        <v>0</v>
      </c>
      <c r="P20" s="54">
        <v>1.08</v>
      </c>
      <c r="Q20" s="54">
        <v>8.36</v>
      </c>
      <c r="R20" s="43"/>
      <c r="S20" s="43"/>
      <c r="T20" s="43"/>
      <c r="U20" s="43"/>
    </row>
    <row r="21" spans="1:21" s="11" customFormat="1" x14ac:dyDescent="0.25">
      <c r="A21" s="53" t="s">
        <v>360</v>
      </c>
      <c r="B21" s="57" t="s">
        <v>12</v>
      </c>
      <c r="C21" s="57" t="s">
        <v>12</v>
      </c>
      <c r="D21" s="57" t="s">
        <v>12</v>
      </c>
      <c r="E21" s="54">
        <v>15.72</v>
      </c>
      <c r="F21" s="54">
        <v>2.58</v>
      </c>
      <c r="G21" s="54">
        <v>133.41999999999999</v>
      </c>
      <c r="H21" s="54">
        <v>49.73</v>
      </c>
      <c r="I21" s="55" t="s">
        <v>15</v>
      </c>
      <c r="J21" s="54">
        <v>3.47</v>
      </c>
      <c r="K21" s="54">
        <v>344.22</v>
      </c>
      <c r="L21" s="54">
        <v>24.91</v>
      </c>
      <c r="M21" s="54">
        <v>43.05</v>
      </c>
      <c r="N21" s="54">
        <v>504.7</v>
      </c>
      <c r="O21" s="54">
        <v>0</v>
      </c>
      <c r="P21" s="54">
        <v>1.1100000000000001</v>
      </c>
      <c r="Q21" s="54">
        <v>8.2200000000000006</v>
      </c>
      <c r="R21" s="43"/>
      <c r="S21" s="43"/>
      <c r="T21" s="43"/>
      <c r="U21" s="43"/>
    </row>
    <row r="22" spans="1:21" s="11" customFormat="1" x14ac:dyDescent="0.25">
      <c r="A22" s="53" t="s">
        <v>361</v>
      </c>
      <c r="B22" s="57" t="s">
        <v>12</v>
      </c>
      <c r="C22" s="57" t="s">
        <v>12</v>
      </c>
      <c r="D22" s="57" t="s">
        <v>12</v>
      </c>
      <c r="E22" s="54">
        <v>11.35</v>
      </c>
      <c r="F22" s="54">
        <v>3.29</v>
      </c>
      <c r="G22" s="54">
        <v>133.41999999999999</v>
      </c>
      <c r="H22" s="54">
        <v>49.73</v>
      </c>
      <c r="I22" s="55" t="s">
        <v>15</v>
      </c>
      <c r="J22" s="54">
        <v>3.22</v>
      </c>
      <c r="K22" s="54">
        <v>348.78</v>
      </c>
      <c r="L22" s="54">
        <v>24.42</v>
      </c>
      <c r="M22" s="54">
        <v>42.48</v>
      </c>
      <c r="N22" s="54">
        <v>433.6</v>
      </c>
      <c r="O22" s="54">
        <v>0</v>
      </c>
      <c r="P22" s="54">
        <v>1.07</v>
      </c>
      <c r="Q22" s="54">
        <v>8.2100000000000009</v>
      </c>
      <c r="R22" s="43"/>
      <c r="S22" s="43"/>
      <c r="T22" s="43"/>
      <c r="U22" s="43"/>
    </row>
    <row r="23" spans="1:21" s="11" customFormat="1" x14ac:dyDescent="0.25">
      <c r="A23" s="53" t="s">
        <v>362</v>
      </c>
      <c r="B23" s="54">
        <v>11.98</v>
      </c>
      <c r="C23" s="54">
        <v>94.56</v>
      </c>
      <c r="D23" s="54">
        <v>57.24</v>
      </c>
      <c r="E23" s="54">
        <v>14.08</v>
      </c>
      <c r="F23" s="54">
        <v>5.3</v>
      </c>
      <c r="G23" s="54">
        <v>120.77</v>
      </c>
      <c r="H23" s="54">
        <v>48.05</v>
      </c>
      <c r="I23" s="55" t="s">
        <v>15</v>
      </c>
      <c r="J23" s="54">
        <v>3.16</v>
      </c>
      <c r="K23" s="54">
        <v>347.77</v>
      </c>
      <c r="L23" s="54">
        <v>23.72</v>
      </c>
      <c r="M23" s="54">
        <v>44.55</v>
      </c>
      <c r="N23" s="54">
        <v>342.4</v>
      </c>
      <c r="O23" s="54">
        <v>0</v>
      </c>
      <c r="P23" s="54">
        <v>1.08</v>
      </c>
      <c r="Q23" s="54">
        <v>8.2100000000000009</v>
      </c>
      <c r="R23" s="43"/>
      <c r="S23" s="43"/>
      <c r="T23" s="43"/>
      <c r="U23" s="43"/>
    </row>
    <row r="24" spans="1:21" s="11" customFormat="1" x14ac:dyDescent="0.25">
      <c r="A24" s="53" t="s">
        <v>363</v>
      </c>
      <c r="B24" s="54">
        <v>5.64</v>
      </c>
      <c r="C24" s="54">
        <v>92.16</v>
      </c>
      <c r="D24" s="54">
        <v>50.08</v>
      </c>
      <c r="E24" s="54">
        <v>11.78</v>
      </c>
      <c r="F24" s="54">
        <v>3.17</v>
      </c>
      <c r="G24" s="54">
        <v>138.29</v>
      </c>
      <c r="H24" s="54">
        <v>49.31</v>
      </c>
      <c r="I24" s="55" t="s">
        <v>15</v>
      </c>
      <c r="J24" s="54">
        <v>2.57</v>
      </c>
      <c r="K24" s="54">
        <v>347.57</v>
      </c>
      <c r="L24" s="54">
        <v>23.14</v>
      </c>
      <c r="M24" s="54">
        <v>54.01</v>
      </c>
      <c r="N24" s="54">
        <v>227</v>
      </c>
      <c r="O24" s="54">
        <v>0</v>
      </c>
      <c r="P24" s="54">
        <v>1.08</v>
      </c>
      <c r="Q24" s="54">
        <v>8.2100000000000009</v>
      </c>
      <c r="R24" s="43"/>
      <c r="S24" s="43"/>
      <c r="T24" s="43"/>
      <c r="U24" s="43"/>
    </row>
    <row r="25" spans="1:21" s="11" customFormat="1" x14ac:dyDescent="0.25">
      <c r="A25" s="53" t="s">
        <v>364</v>
      </c>
      <c r="B25" s="54">
        <v>7.34</v>
      </c>
      <c r="C25" s="54">
        <v>87.8</v>
      </c>
      <c r="D25" s="54">
        <v>49.2</v>
      </c>
      <c r="E25" s="54">
        <v>9.76</v>
      </c>
      <c r="F25" s="54">
        <v>2.2000000000000002</v>
      </c>
      <c r="G25" s="54">
        <v>138.29</v>
      </c>
      <c r="H25" s="54">
        <v>49.31</v>
      </c>
      <c r="I25" s="55" t="s">
        <v>15</v>
      </c>
      <c r="J25" s="54">
        <v>1.83</v>
      </c>
      <c r="K25" s="54">
        <v>352.95</v>
      </c>
      <c r="L25" s="54">
        <v>21.17</v>
      </c>
      <c r="M25" s="54">
        <v>54.42</v>
      </c>
      <c r="N25" s="54">
        <v>157.5</v>
      </c>
      <c r="O25" s="54">
        <v>0</v>
      </c>
      <c r="P25" s="54">
        <v>1.24</v>
      </c>
      <c r="Q25" s="54">
        <v>8.2100000000000009</v>
      </c>
      <c r="R25" s="43"/>
      <c r="S25" s="43"/>
      <c r="T25" s="43"/>
      <c r="U25" s="43"/>
    </row>
    <row r="26" spans="1:21" s="11" customFormat="1" x14ac:dyDescent="0.25">
      <c r="A26" s="53" t="s">
        <v>365</v>
      </c>
      <c r="B26" s="54">
        <v>13.65</v>
      </c>
      <c r="C26" s="54">
        <v>96.14</v>
      </c>
      <c r="D26" s="54">
        <v>58.8</v>
      </c>
      <c r="E26" s="54">
        <v>10.61</v>
      </c>
      <c r="F26" s="54">
        <v>2.15</v>
      </c>
      <c r="G26" s="54">
        <v>145.29</v>
      </c>
      <c r="H26" s="54">
        <v>48.78</v>
      </c>
      <c r="I26" s="55" t="s">
        <v>15</v>
      </c>
      <c r="J26" s="54">
        <v>2.29</v>
      </c>
      <c r="K26" s="54">
        <v>349.37</v>
      </c>
      <c r="L26" s="54">
        <v>19.989999999999998</v>
      </c>
      <c r="M26" s="54">
        <v>66.28</v>
      </c>
      <c r="N26" s="54">
        <v>115.8</v>
      </c>
      <c r="O26" s="54">
        <v>0</v>
      </c>
      <c r="P26" s="54">
        <v>1.4</v>
      </c>
      <c r="Q26" s="54">
        <v>8.2100000000000009</v>
      </c>
      <c r="R26" s="43"/>
      <c r="S26" s="43"/>
      <c r="T26" s="43"/>
      <c r="U26" s="43"/>
    </row>
    <row r="27" spans="1:21" s="11" customFormat="1" x14ac:dyDescent="0.25">
      <c r="A27" s="53" t="s">
        <v>366</v>
      </c>
      <c r="B27" s="54">
        <v>22.46</v>
      </c>
      <c r="C27" s="54">
        <v>91.45</v>
      </c>
      <c r="D27" s="54">
        <v>62.97</v>
      </c>
      <c r="E27" s="54">
        <v>8.85</v>
      </c>
      <c r="F27" s="54">
        <v>2.13</v>
      </c>
      <c r="G27" s="54">
        <v>163.34</v>
      </c>
      <c r="H27" s="54">
        <v>52.03</v>
      </c>
      <c r="I27" s="55" t="s">
        <v>15</v>
      </c>
      <c r="J27" s="54">
        <v>1.84</v>
      </c>
      <c r="K27" s="54">
        <v>351.03</v>
      </c>
      <c r="L27" s="54">
        <v>17.760000000000002</v>
      </c>
      <c r="M27" s="54">
        <v>78.63</v>
      </c>
      <c r="N27" s="54">
        <v>107.6</v>
      </c>
      <c r="O27" s="54">
        <v>0</v>
      </c>
      <c r="P27" s="54">
        <v>1.52</v>
      </c>
      <c r="Q27" s="54">
        <v>8.2100000000000009</v>
      </c>
      <c r="R27" s="43"/>
      <c r="S27" s="43"/>
      <c r="T27" s="43"/>
      <c r="U27" s="43"/>
    </row>
    <row r="28" spans="1:21" s="11" customFormat="1" x14ac:dyDescent="0.25">
      <c r="A28" s="53" t="s">
        <v>367</v>
      </c>
      <c r="B28" s="54">
        <v>30.21</v>
      </c>
      <c r="C28" s="54">
        <v>87.6</v>
      </c>
      <c r="D28" s="54">
        <v>68.02</v>
      </c>
      <c r="E28" s="54">
        <v>8.7899999999999991</v>
      </c>
      <c r="F28" s="54">
        <v>2.13</v>
      </c>
      <c r="G28" s="54">
        <v>170.61</v>
      </c>
      <c r="H28" s="54">
        <v>58.2</v>
      </c>
      <c r="I28" s="55" t="s">
        <v>15</v>
      </c>
      <c r="J28" s="54">
        <v>2.0499999999999998</v>
      </c>
      <c r="K28" s="54">
        <v>357.08</v>
      </c>
      <c r="L28" s="54">
        <v>16.96</v>
      </c>
      <c r="M28" s="54">
        <v>74.650000000000006</v>
      </c>
      <c r="N28" s="54">
        <v>107.3</v>
      </c>
      <c r="O28" s="54">
        <v>0</v>
      </c>
      <c r="P28" s="54">
        <v>1.57</v>
      </c>
      <c r="Q28" s="54">
        <v>8.2100000000000009</v>
      </c>
      <c r="R28" s="43"/>
      <c r="S28" s="43"/>
      <c r="T28" s="43"/>
      <c r="U28" s="43"/>
    </row>
    <row r="29" spans="1:21" s="11" customFormat="1" x14ac:dyDescent="0.25">
      <c r="A29" s="53" t="s">
        <v>368</v>
      </c>
      <c r="B29" s="54">
        <v>31.79</v>
      </c>
      <c r="C29" s="54">
        <v>86.19</v>
      </c>
      <c r="D29" s="54">
        <v>67.98</v>
      </c>
      <c r="E29" s="54">
        <v>8.6</v>
      </c>
      <c r="F29" s="54">
        <v>2.13</v>
      </c>
      <c r="G29" s="54">
        <v>170.61</v>
      </c>
      <c r="H29" s="54">
        <v>58.2</v>
      </c>
      <c r="I29" s="55" t="s">
        <v>15</v>
      </c>
      <c r="J29" s="54">
        <v>1.87</v>
      </c>
      <c r="K29" s="54">
        <v>348.53</v>
      </c>
      <c r="L29" s="54">
        <v>16.739999999999998</v>
      </c>
      <c r="M29" s="54">
        <v>73.19</v>
      </c>
      <c r="N29" s="54">
        <v>104.4</v>
      </c>
      <c r="O29" s="54">
        <v>0</v>
      </c>
      <c r="P29" s="54">
        <v>1.84</v>
      </c>
      <c r="Q29" s="54">
        <v>8.2100000000000009</v>
      </c>
      <c r="R29" s="43"/>
      <c r="S29" s="43"/>
      <c r="T29" s="43"/>
      <c r="U29" s="43"/>
    </row>
    <row r="30" spans="1:21" s="11" customFormat="1" x14ac:dyDescent="0.25">
      <c r="A30" s="53" t="s">
        <v>369</v>
      </c>
      <c r="B30" s="54">
        <v>37.25</v>
      </c>
      <c r="C30" s="54">
        <v>80.13</v>
      </c>
      <c r="D30" s="54">
        <v>70.099999999999994</v>
      </c>
      <c r="E30" s="54">
        <v>8.65</v>
      </c>
      <c r="F30" s="54">
        <v>2.13</v>
      </c>
      <c r="G30" s="54">
        <v>178.66</v>
      </c>
      <c r="H30" s="54">
        <v>60.63</v>
      </c>
      <c r="I30" s="55" t="s">
        <v>15</v>
      </c>
      <c r="J30" s="54">
        <v>2.4</v>
      </c>
      <c r="K30" s="54">
        <v>354.69</v>
      </c>
      <c r="L30" s="54">
        <v>16.29</v>
      </c>
      <c r="M30" s="54">
        <v>77.72</v>
      </c>
      <c r="N30" s="54">
        <v>105</v>
      </c>
      <c r="O30" s="54">
        <v>0</v>
      </c>
      <c r="P30" s="54">
        <v>1.99</v>
      </c>
      <c r="Q30" s="54">
        <v>8.2100000000000009</v>
      </c>
      <c r="R30" s="43"/>
      <c r="S30" s="43"/>
      <c r="T30" s="43"/>
      <c r="U30" s="43"/>
    </row>
    <row r="31" spans="1:21" s="11" customFormat="1" x14ac:dyDescent="0.25">
      <c r="A31" s="53" t="s">
        <v>370</v>
      </c>
      <c r="B31" s="54">
        <v>37.67</v>
      </c>
      <c r="C31" s="54">
        <v>79.680000000000007</v>
      </c>
      <c r="D31" s="54">
        <v>70.47</v>
      </c>
      <c r="E31" s="54">
        <v>8.48</v>
      </c>
      <c r="F31" s="54">
        <v>2.13</v>
      </c>
      <c r="G31" s="54">
        <v>178.66</v>
      </c>
      <c r="H31" s="54">
        <v>60.63</v>
      </c>
      <c r="I31" s="55" t="s">
        <v>15</v>
      </c>
      <c r="J31" s="54">
        <v>2.85</v>
      </c>
      <c r="K31" s="54">
        <v>351.08</v>
      </c>
      <c r="L31" s="54">
        <v>15.64</v>
      </c>
      <c r="M31" s="54">
        <v>83.41</v>
      </c>
      <c r="N31" s="54">
        <v>105.8</v>
      </c>
      <c r="O31" s="54">
        <v>0</v>
      </c>
      <c r="P31" s="54">
        <v>1.72</v>
      </c>
      <c r="Q31" s="54">
        <v>8.2100000000000009</v>
      </c>
      <c r="R31" s="43"/>
      <c r="S31" s="43"/>
      <c r="T31" s="43"/>
      <c r="U31" s="43"/>
    </row>
    <row r="32" spans="1:21" s="11" customFormat="1" x14ac:dyDescent="0.25">
      <c r="A32" s="53" t="s">
        <v>371</v>
      </c>
      <c r="B32" s="54">
        <v>33.22</v>
      </c>
      <c r="C32" s="54">
        <v>75.239999999999995</v>
      </c>
      <c r="D32" s="54">
        <v>64.58</v>
      </c>
      <c r="E32" s="54">
        <v>7.78</v>
      </c>
      <c r="F32" s="54">
        <v>2.13</v>
      </c>
      <c r="G32" s="54">
        <v>135.58000000000001</v>
      </c>
      <c r="H32" s="54">
        <v>58.74</v>
      </c>
      <c r="I32" s="55" t="s">
        <v>15</v>
      </c>
      <c r="J32" s="54">
        <v>2.59</v>
      </c>
      <c r="K32" s="54">
        <v>349.89</v>
      </c>
      <c r="L32" s="54">
        <v>14.36</v>
      </c>
      <c r="M32" s="54">
        <v>83.51</v>
      </c>
      <c r="N32" s="54">
        <v>103.9</v>
      </c>
      <c r="O32" s="54">
        <v>0</v>
      </c>
      <c r="P32" s="54">
        <v>1.54</v>
      </c>
      <c r="Q32" s="54">
        <v>8.2100000000000009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5.64</v>
      </c>
      <c r="C34" s="28">
        <f t="shared" si="0"/>
        <v>48.74</v>
      </c>
      <c r="D34" s="28">
        <f t="shared" si="0"/>
        <v>34.86</v>
      </c>
      <c r="E34" s="28">
        <f t="shared" si="0"/>
        <v>6.36</v>
      </c>
      <c r="F34" s="28">
        <f t="shared" si="0"/>
        <v>2.13</v>
      </c>
      <c r="G34" s="28">
        <f t="shared" si="0"/>
        <v>86.07</v>
      </c>
      <c r="H34" s="28">
        <f t="shared" si="0"/>
        <v>38.53</v>
      </c>
      <c r="I34" s="28">
        <f t="shared" si="0"/>
        <v>0</v>
      </c>
      <c r="J34" s="28">
        <f t="shared" si="0"/>
        <v>1.7</v>
      </c>
      <c r="K34" s="28">
        <f t="shared" si="0"/>
        <v>322.02999999999997</v>
      </c>
      <c r="L34" s="28">
        <f t="shared" si="0"/>
        <v>12.91</v>
      </c>
      <c r="M34" s="28">
        <f t="shared" si="0"/>
        <v>42.48</v>
      </c>
      <c r="N34" s="28">
        <f t="shared" si="0"/>
        <v>99.4</v>
      </c>
      <c r="O34" s="28">
        <f t="shared" si="0"/>
        <v>0</v>
      </c>
      <c r="P34" s="28">
        <f t="shared" si="0"/>
        <v>0.94</v>
      </c>
      <c r="Q34" s="28">
        <f t="shared" si="0"/>
        <v>8.2100000000000009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44.37</v>
      </c>
      <c r="C35" s="29">
        <f t="shared" si="1"/>
        <v>96.14</v>
      </c>
      <c r="D35" s="29">
        <f t="shared" si="1"/>
        <v>72.69</v>
      </c>
      <c r="E35" s="29">
        <f t="shared" si="1"/>
        <v>27.07</v>
      </c>
      <c r="F35" s="29">
        <f t="shared" si="1"/>
        <v>5.3</v>
      </c>
      <c r="G35" s="29">
        <f t="shared" si="1"/>
        <v>194.16</v>
      </c>
      <c r="H35" s="29">
        <f t="shared" si="1"/>
        <v>60.63</v>
      </c>
      <c r="I35" s="29">
        <f t="shared" si="1"/>
        <v>0</v>
      </c>
      <c r="J35" s="29">
        <f t="shared" si="1"/>
        <v>3.47</v>
      </c>
      <c r="K35" s="29">
        <f t="shared" si="1"/>
        <v>358.49</v>
      </c>
      <c r="L35" s="29">
        <f t="shared" si="1"/>
        <v>24.91</v>
      </c>
      <c r="M35" s="29">
        <f t="shared" si="1"/>
        <v>92.49</v>
      </c>
      <c r="N35" s="29">
        <f t="shared" si="1"/>
        <v>504.7</v>
      </c>
      <c r="O35" s="29">
        <f t="shared" si="1"/>
        <v>0</v>
      </c>
      <c r="P35" s="29">
        <f t="shared" si="1"/>
        <v>1.99</v>
      </c>
      <c r="Q35" s="29">
        <f t="shared" si="1"/>
        <v>8.4700000000000006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25.644090909090906</v>
      </c>
      <c r="C36" s="28">
        <f t="shared" si="2"/>
        <v>71.75090909090909</v>
      </c>
      <c r="D36" s="28">
        <f t="shared" si="2"/>
        <v>56.270454545454534</v>
      </c>
      <c r="E36" s="28">
        <f t="shared" si="2"/>
        <v>9.9083333333333314</v>
      </c>
      <c r="F36" s="28">
        <f t="shared" si="2"/>
        <v>2.3779166666666671</v>
      </c>
      <c r="G36" s="28">
        <f t="shared" si="2"/>
        <v>135.40333333333334</v>
      </c>
      <c r="H36" s="28">
        <f t="shared" si="2"/>
        <v>49.534166666666671</v>
      </c>
      <c r="I36" s="28" t="e">
        <f t="shared" si="2"/>
        <v>#DIV/0!</v>
      </c>
      <c r="J36" s="28">
        <f t="shared" si="2"/>
        <v>2.4479166666666665</v>
      </c>
      <c r="K36" s="28">
        <f t="shared" si="2"/>
        <v>348.7</v>
      </c>
      <c r="L36" s="28">
        <f t="shared" si="2"/>
        <v>18.058333333333334</v>
      </c>
      <c r="M36" s="28">
        <f t="shared" si="2"/>
        <v>69.166666666666671</v>
      </c>
      <c r="N36" s="28">
        <f t="shared" si="2"/>
        <v>206.07916666666668</v>
      </c>
      <c r="O36" s="28">
        <f t="shared" si="2"/>
        <v>0</v>
      </c>
      <c r="P36" s="28">
        <f t="shared" si="2"/>
        <v>1.3045833333333328</v>
      </c>
      <c r="Q36" s="28">
        <f t="shared" si="2"/>
        <v>8.2287500000000033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10.838807990642175</v>
      </c>
      <c r="C37" s="28">
        <f t="shared" ref="C37:Q37" si="3">STDEV(C9:C32)</f>
        <v>18.169754803254538</v>
      </c>
      <c r="D37" s="28">
        <f t="shared" si="3"/>
        <v>11.981432252914097</v>
      </c>
      <c r="E37" s="28">
        <f t="shared" si="3"/>
        <v>4.531305279522881</v>
      </c>
      <c r="F37" s="28">
        <f t="shared" si="3"/>
        <v>0.69814648498202192</v>
      </c>
      <c r="G37" s="28">
        <f t="shared" si="3"/>
        <v>33.811909616051793</v>
      </c>
      <c r="H37" s="28">
        <f t="shared" si="3"/>
        <v>6.7125851410139736</v>
      </c>
      <c r="I37" s="28" t="e">
        <f t="shared" si="3"/>
        <v>#DIV/0!</v>
      </c>
      <c r="J37" s="28">
        <f t="shared" si="3"/>
        <v>0.50921063521345866</v>
      </c>
      <c r="K37" s="28">
        <f t="shared" si="3"/>
        <v>7.8559791684838505</v>
      </c>
      <c r="L37" s="28">
        <f t="shared" si="3"/>
        <v>4.0494504905434043</v>
      </c>
      <c r="M37" s="28">
        <f t="shared" si="3"/>
        <v>15.282417480816646</v>
      </c>
      <c r="N37" s="28">
        <f t="shared" si="3"/>
        <v>140.32213863314547</v>
      </c>
      <c r="O37" s="28">
        <f t="shared" si="3"/>
        <v>0</v>
      </c>
      <c r="P37" s="28">
        <f t="shared" si="3"/>
        <v>0.29598735529200354</v>
      </c>
      <c r="Q37" s="28">
        <f t="shared" si="3"/>
        <v>5.9950160459588571E-2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>COUNT(B9:B32)+2</f>
        <v>24</v>
      </c>
      <c r="C38" s="32">
        <f t="shared" ref="C38:D38" si="4">COUNT(C9:C32)+2</f>
        <v>24</v>
      </c>
      <c r="D38" s="32">
        <f t="shared" si="4"/>
        <v>24</v>
      </c>
      <c r="E38" s="32">
        <f t="shared" ref="E38:Q38" si="5">COUNT(E9:E32)</f>
        <v>24</v>
      </c>
      <c r="F38" s="32">
        <f t="shared" si="5"/>
        <v>24</v>
      </c>
      <c r="G38" s="32">
        <f t="shared" si="5"/>
        <v>24</v>
      </c>
      <c r="H38" s="32">
        <f t="shared" si="5"/>
        <v>24</v>
      </c>
      <c r="I38" s="32">
        <f t="shared" si="5"/>
        <v>0</v>
      </c>
      <c r="J38" s="32">
        <f t="shared" si="5"/>
        <v>24</v>
      </c>
      <c r="K38" s="32">
        <f t="shared" si="5"/>
        <v>24</v>
      </c>
      <c r="L38" s="32">
        <f t="shared" si="5"/>
        <v>24</v>
      </c>
      <c r="M38" s="32">
        <f t="shared" si="5"/>
        <v>24</v>
      </c>
      <c r="N38" s="32">
        <f t="shared" si="5"/>
        <v>24</v>
      </c>
      <c r="O38" s="32">
        <f t="shared" si="5"/>
        <v>24</v>
      </c>
      <c r="P38" s="32">
        <f t="shared" si="5"/>
        <v>24</v>
      </c>
      <c r="Q38" s="32">
        <f t="shared" si="5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6">IF(C38&gt;=22,"&gt;90%",IF(C38&lt;=22,"&lt;90%"))</f>
        <v>&gt;90%</v>
      </c>
      <c r="D39" s="29" t="str">
        <f t="shared" si="6"/>
        <v>&gt;90%</v>
      </c>
      <c r="E39" s="29" t="str">
        <f t="shared" si="6"/>
        <v>&gt;90%</v>
      </c>
      <c r="F39" s="29" t="str">
        <f t="shared" si="6"/>
        <v>&gt;90%</v>
      </c>
      <c r="G39" s="29" t="str">
        <f t="shared" si="6"/>
        <v>&gt;90%</v>
      </c>
      <c r="H39" s="29" t="str">
        <f t="shared" si="6"/>
        <v>&gt;90%</v>
      </c>
      <c r="I39" s="29" t="str">
        <f t="shared" si="6"/>
        <v>&lt;90%</v>
      </c>
      <c r="J39" s="29" t="str">
        <f t="shared" si="6"/>
        <v>&gt;90%</v>
      </c>
      <c r="K39" s="29" t="str">
        <f t="shared" si="6"/>
        <v>&gt;90%</v>
      </c>
      <c r="L39" s="29" t="str">
        <f t="shared" si="6"/>
        <v>&gt;90%</v>
      </c>
      <c r="M39" s="29" t="str">
        <f t="shared" si="6"/>
        <v>&gt;90%</v>
      </c>
      <c r="N39" s="29" t="str">
        <f t="shared" si="6"/>
        <v>&gt;90%</v>
      </c>
      <c r="O39" s="29" t="str">
        <f t="shared" si="6"/>
        <v>&gt;90%</v>
      </c>
      <c r="P39" s="29" t="str">
        <f t="shared" si="6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7">IF(C38&gt;=22,"OK",IF(C38&lt;=22,"LESS"))</f>
        <v>OK</v>
      </c>
      <c r="D40" s="29" t="str">
        <f t="shared" si="7"/>
        <v>OK</v>
      </c>
      <c r="E40" s="29" t="str">
        <f t="shared" si="7"/>
        <v>OK</v>
      </c>
      <c r="F40" s="29" t="str">
        <f t="shared" si="7"/>
        <v>OK</v>
      </c>
      <c r="G40" s="29" t="str">
        <f t="shared" si="7"/>
        <v>OK</v>
      </c>
      <c r="H40" s="29" t="str">
        <f t="shared" si="7"/>
        <v>OK</v>
      </c>
      <c r="I40" s="29" t="str">
        <f t="shared" si="7"/>
        <v>LESS</v>
      </c>
      <c r="J40" s="29" t="str">
        <f t="shared" si="7"/>
        <v>OK</v>
      </c>
      <c r="K40" s="29" t="str">
        <f t="shared" si="7"/>
        <v>OK</v>
      </c>
      <c r="L40" s="29" t="str">
        <f t="shared" si="7"/>
        <v>OK</v>
      </c>
      <c r="M40" s="29" t="str">
        <f t="shared" si="7"/>
        <v>OK</v>
      </c>
      <c r="N40" s="29" t="str">
        <f t="shared" si="7"/>
        <v>OK</v>
      </c>
      <c r="O40" s="29" t="str">
        <f t="shared" si="7"/>
        <v>OK</v>
      </c>
      <c r="P40" s="29" t="str">
        <f t="shared" si="7"/>
        <v>OK</v>
      </c>
      <c r="Q40" s="29" t="str">
        <f t="shared" si="7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8" sqref="G48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14/01/2025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3" t="s">
        <v>372</v>
      </c>
      <c r="B9" s="54">
        <v>23.74</v>
      </c>
      <c r="C9" s="54">
        <v>69.27</v>
      </c>
      <c r="D9" s="54">
        <v>53.85</v>
      </c>
      <c r="E9" s="54">
        <v>6.78</v>
      </c>
      <c r="F9" s="54">
        <v>2.13</v>
      </c>
      <c r="G9" s="54">
        <v>96.21</v>
      </c>
      <c r="H9" s="54">
        <v>51.4</v>
      </c>
      <c r="I9" s="55" t="s">
        <v>15</v>
      </c>
      <c r="J9" s="54">
        <v>2.87</v>
      </c>
      <c r="K9" s="54">
        <v>353.68</v>
      </c>
      <c r="L9" s="54">
        <v>13.57</v>
      </c>
      <c r="M9" s="54">
        <v>87.29</v>
      </c>
      <c r="N9" s="54">
        <v>106.5</v>
      </c>
      <c r="O9" s="54">
        <v>0</v>
      </c>
      <c r="P9" s="54">
        <v>1.3</v>
      </c>
      <c r="Q9" s="54">
        <v>8.2100000000000009</v>
      </c>
      <c r="R9" s="43"/>
      <c r="S9" s="43"/>
      <c r="T9" s="43"/>
      <c r="U9" s="43"/>
    </row>
    <row r="10" spans="1:21" s="11" customFormat="1" x14ac:dyDescent="0.25">
      <c r="A10" s="53" t="s">
        <v>373</v>
      </c>
      <c r="B10" s="54">
        <v>17.010000000000002</v>
      </c>
      <c r="C10" s="54">
        <v>61.79</v>
      </c>
      <c r="D10" s="54">
        <v>44.54</v>
      </c>
      <c r="E10" s="54">
        <v>6.35</v>
      </c>
      <c r="F10" s="54">
        <v>2.13</v>
      </c>
      <c r="G10" s="54">
        <v>75.63</v>
      </c>
      <c r="H10" s="54">
        <v>47.62</v>
      </c>
      <c r="I10" s="55" t="s">
        <v>15</v>
      </c>
      <c r="J10" s="54">
        <v>2.91</v>
      </c>
      <c r="K10" s="54">
        <v>352.41</v>
      </c>
      <c r="L10" s="54">
        <v>12.97</v>
      </c>
      <c r="M10" s="54">
        <v>91.02</v>
      </c>
      <c r="N10" s="54">
        <v>108</v>
      </c>
      <c r="O10" s="54">
        <v>0</v>
      </c>
      <c r="P10" s="54">
        <v>1.1299999999999999</v>
      </c>
      <c r="Q10" s="54">
        <v>8.2100000000000009</v>
      </c>
      <c r="R10" s="43"/>
      <c r="S10" s="43"/>
      <c r="T10" s="43"/>
      <c r="U10" s="43"/>
    </row>
    <row r="11" spans="1:21" s="11" customFormat="1" x14ac:dyDescent="0.25">
      <c r="A11" s="53" t="s">
        <v>374</v>
      </c>
      <c r="B11" s="54">
        <v>13.01</v>
      </c>
      <c r="C11" s="54">
        <v>58.11</v>
      </c>
      <c r="D11" s="54">
        <v>39.42</v>
      </c>
      <c r="E11" s="54">
        <v>6.74</v>
      </c>
      <c r="F11" s="54">
        <v>2.13</v>
      </c>
      <c r="G11" s="54">
        <v>76.239999999999995</v>
      </c>
      <c r="H11" s="54">
        <v>43.34</v>
      </c>
      <c r="I11" s="55" t="s">
        <v>15</v>
      </c>
      <c r="J11" s="54">
        <v>2.69</v>
      </c>
      <c r="K11" s="54">
        <v>355.09</v>
      </c>
      <c r="L11" s="54">
        <v>12.52</v>
      </c>
      <c r="M11" s="54">
        <v>94.88</v>
      </c>
      <c r="N11" s="54">
        <v>115.9</v>
      </c>
      <c r="O11" s="54">
        <v>0</v>
      </c>
      <c r="P11" s="54">
        <v>1</v>
      </c>
      <c r="Q11" s="54">
        <v>8.2100000000000009</v>
      </c>
      <c r="R11" s="43"/>
      <c r="S11" s="43"/>
      <c r="T11" s="43"/>
      <c r="U11" s="43"/>
    </row>
    <row r="12" spans="1:21" s="11" customFormat="1" x14ac:dyDescent="0.25">
      <c r="A12" s="53" t="s">
        <v>375</v>
      </c>
      <c r="B12" s="54">
        <v>10.15</v>
      </c>
      <c r="C12" s="54">
        <v>57.6</v>
      </c>
      <c r="D12" s="54">
        <v>36.85</v>
      </c>
      <c r="E12" s="54">
        <v>6.59</v>
      </c>
      <c r="F12" s="54">
        <v>2.13</v>
      </c>
      <c r="G12" s="54">
        <v>76.239999999999995</v>
      </c>
      <c r="H12" s="54">
        <v>39.56</v>
      </c>
      <c r="I12" s="55" t="s">
        <v>15</v>
      </c>
      <c r="J12" s="54">
        <v>1.88</v>
      </c>
      <c r="K12" s="54">
        <v>349.93</v>
      </c>
      <c r="L12" s="54">
        <v>12.17</v>
      </c>
      <c r="M12" s="54">
        <v>93.45</v>
      </c>
      <c r="N12" s="54">
        <v>104.8</v>
      </c>
      <c r="O12" s="54">
        <v>0</v>
      </c>
      <c r="P12" s="54">
        <v>0.91</v>
      </c>
      <c r="Q12" s="54">
        <v>8.2100000000000009</v>
      </c>
      <c r="R12" s="43"/>
      <c r="S12" s="43"/>
      <c r="T12" s="43"/>
      <c r="U12" s="43"/>
    </row>
    <row r="13" spans="1:21" s="11" customFormat="1" x14ac:dyDescent="0.25">
      <c r="A13" s="53" t="s">
        <v>376</v>
      </c>
      <c r="B13" s="54">
        <v>8.3699999999999992</v>
      </c>
      <c r="C13" s="54">
        <v>53.94</v>
      </c>
      <c r="D13" s="54">
        <v>33.520000000000003</v>
      </c>
      <c r="E13" s="54">
        <v>6.27</v>
      </c>
      <c r="F13" s="54">
        <v>2.13</v>
      </c>
      <c r="G13" s="54">
        <v>75.319999999999993</v>
      </c>
      <c r="H13" s="54">
        <v>40.15</v>
      </c>
      <c r="I13" s="55" t="s">
        <v>15</v>
      </c>
      <c r="J13" s="54">
        <v>1.97</v>
      </c>
      <c r="K13" s="54">
        <v>351.4</v>
      </c>
      <c r="L13" s="54">
        <v>12.01</v>
      </c>
      <c r="M13" s="54">
        <v>93.37</v>
      </c>
      <c r="N13" s="54">
        <v>102.8</v>
      </c>
      <c r="O13" s="54">
        <v>0</v>
      </c>
      <c r="P13" s="54">
        <v>0.82</v>
      </c>
      <c r="Q13" s="54">
        <v>8.2100000000000009</v>
      </c>
      <c r="R13" s="43"/>
      <c r="S13" s="43"/>
      <c r="T13" s="43"/>
      <c r="U13" s="43"/>
    </row>
    <row r="14" spans="1:21" s="11" customFormat="1" x14ac:dyDescent="0.25">
      <c r="A14" s="53" t="s">
        <v>377</v>
      </c>
      <c r="B14" s="54">
        <v>7.74</v>
      </c>
      <c r="C14" s="54">
        <v>50.22</v>
      </c>
      <c r="D14" s="54">
        <v>31.04</v>
      </c>
      <c r="E14" s="54">
        <v>6.11</v>
      </c>
      <c r="F14" s="54">
        <v>2.13</v>
      </c>
      <c r="G14" s="54">
        <v>75.430000000000007</v>
      </c>
      <c r="H14" s="54">
        <v>40.15</v>
      </c>
      <c r="I14" s="55" t="s">
        <v>15</v>
      </c>
      <c r="J14" s="54">
        <v>2.13</v>
      </c>
      <c r="K14" s="54">
        <v>350.08</v>
      </c>
      <c r="L14" s="54">
        <v>11.59</v>
      </c>
      <c r="M14" s="54">
        <v>91.99</v>
      </c>
      <c r="N14" s="54">
        <v>104</v>
      </c>
      <c r="O14" s="54">
        <v>0</v>
      </c>
      <c r="P14" s="54">
        <v>0.74</v>
      </c>
      <c r="Q14" s="54">
        <v>8.2100000000000009</v>
      </c>
      <c r="R14" s="43"/>
      <c r="S14" s="43"/>
      <c r="T14" s="43"/>
      <c r="U14" s="43"/>
    </row>
    <row r="15" spans="1:21" s="11" customFormat="1" x14ac:dyDescent="0.25">
      <c r="A15" s="53" t="s">
        <v>378</v>
      </c>
      <c r="B15" s="54">
        <v>8.94</v>
      </c>
      <c r="C15" s="54">
        <v>51.02</v>
      </c>
      <c r="D15" s="54">
        <v>32.44</v>
      </c>
      <c r="E15" s="54">
        <v>6.51</v>
      </c>
      <c r="F15" s="54">
        <v>2.13</v>
      </c>
      <c r="G15" s="54">
        <v>75.430000000000007</v>
      </c>
      <c r="H15" s="54">
        <v>37.15</v>
      </c>
      <c r="I15" s="55" t="s">
        <v>15</v>
      </c>
      <c r="J15" s="54">
        <v>0.96</v>
      </c>
      <c r="K15" s="54">
        <v>90.57</v>
      </c>
      <c r="L15" s="54">
        <v>11.08</v>
      </c>
      <c r="M15" s="54">
        <v>96.04</v>
      </c>
      <c r="N15" s="54">
        <v>122.3</v>
      </c>
      <c r="O15" s="54">
        <v>0</v>
      </c>
      <c r="P15" s="54">
        <v>0.68</v>
      </c>
      <c r="Q15" s="54">
        <v>8.2100000000000009</v>
      </c>
      <c r="R15" s="43"/>
      <c r="S15" s="43"/>
      <c r="T15" s="43"/>
      <c r="U15" s="43"/>
    </row>
    <row r="16" spans="1:21" s="11" customFormat="1" x14ac:dyDescent="0.25">
      <c r="A16" s="53" t="s">
        <v>379</v>
      </c>
      <c r="B16" s="54">
        <v>16.38</v>
      </c>
      <c r="C16" s="54">
        <v>54.62</v>
      </c>
      <c r="D16" s="54">
        <v>40.29</v>
      </c>
      <c r="E16" s="54">
        <v>6.5</v>
      </c>
      <c r="F16" s="54">
        <v>2.13</v>
      </c>
      <c r="G16" s="54">
        <v>80.27</v>
      </c>
      <c r="H16" s="54">
        <v>36.85</v>
      </c>
      <c r="I16" s="55" t="s">
        <v>15</v>
      </c>
      <c r="J16" s="54">
        <v>1.33</v>
      </c>
      <c r="K16" s="54">
        <v>349.48</v>
      </c>
      <c r="L16" s="54">
        <v>12.22</v>
      </c>
      <c r="M16" s="54">
        <v>96.33</v>
      </c>
      <c r="N16" s="54">
        <v>193.2</v>
      </c>
      <c r="O16" s="54">
        <v>0</v>
      </c>
      <c r="P16" s="54">
        <v>0.7</v>
      </c>
      <c r="Q16" s="54">
        <v>8.2100000000000009</v>
      </c>
      <c r="R16" s="43"/>
      <c r="S16" s="43"/>
      <c r="T16" s="43"/>
      <c r="U16" s="43"/>
    </row>
    <row r="17" spans="1:21" s="11" customFormat="1" x14ac:dyDescent="0.25">
      <c r="A17" s="53" t="s">
        <v>380</v>
      </c>
      <c r="B17" s="54">
        <v>24.18</v>
      </c>
      <c r="C17" s="54">
        <v>58.11</v>
      </c>
      <c r="D17" s="54">
        <v>48.37</v>
      </c>
      <c r="E17" s="54">
        <v>6.29</v>
      </c>
      <c r="F17" s="54">
        <v>2.13</v>
      </c>
      <c r="G17" s="54">
        <v>80.27</v>
      </c>
      <c r="H17" s="54">
        <v>36.97</v>
      </c>
      <c r="I17" s="55" t="s">
        <v>15</v>
      </c>
      <c r="J17" s="54">
        <v>2.2599999999999998</v>
      </c>
      <c r="K17" s="54">
        <v>356.77</v>
      </c>
      <c r="L17" s="54">
        <v>13.75</v>
      </c>
      <c r="M17" s="54">
        <v>87.43</v>
      </c>
      <c r="N17" s="54">
        <v>344.1</v>
      </c>
      <c r="O17" s="54">
        <v>0</v>
      </c>
      <c r="P17" s="54">
        <v>0.71</v>
      </c>
      <c r="Q17" s="54">
        <v>8.2100000000000009</v>
      </c>
      <c r="R17" s="43"/>
      <c r="S17" s="43"/>
      <c r="T17" s="43"/>
      <c r="U17" s="43"/>
    </row>
    <row r="18" spans="1:21" s="11" customFormat="1" x14ac:dyDescent="0.25">
      <c r="A18" s="53" t="s">
        <v>381</v>
      </c>
      <c r="B18" s="54">
        <v>24.9</v>
      </c>
      <c r="C18" s="54">
        <v>57.54</v>
      </c>
      <c r="D18" s="54">
        <v>48.35</v>
      </c>
      <c r="E18" s="54">
        <v>6.03</v>
      </c>
      <c r="F18" s="54">
        <v>2.13</v>
      </c>
      <c r="G18" s="54">
        <v>78.400000000000006</v>
      </c>
      <c r="H18" s="54">
        <v>37.840000000000003</v>
      </c>
      <c r="I18" s="55" t="s">
        <v>15</v>
      </c>
      <c r="J18" s="54">
        <v>2.13</v>
      </c>
      <c r="K18" s="54">
        <v>111.99</v>
      </c>
      <c r="L18" s="54">
        <v>15.95</v>
      </c>
      <c r="M18" s="54">
        <v>81.510000000000005</v>
      </c>
      <c r="N18" s="54">
        <v>402.6</v>
      </c>
      <c r="O18" s="54">
        <v>0</v>
      </c>
      <c r="P18" s="54">
        <v>0.71</v>
      </c>
      <c r="Q18" s="54">
        <v>8.2100000000000009</v>
      </c>
      <c r="R18" s="43"/>
      <c r="S18" s="43"/>
      <c r="T18" s="43"/>
      <c r="U18" s="43"/>
    </row>
    <row r="19" spans="1:21" s="11" customFormat="1" x14ac:dyDescent="0.25">
      <c r="A19" s="53" t="s">
        <v>382</v>
      </c>
      <c r="B19" s="54">
        <v>23.5</v>
      </c>
      <c r="C19" s="54">
        <v>58.67</v>
      </c>
      <c r="D19" s="54">
        <v>47.53</v>
      </c>
      <c r="E19" s="54">
        <v>6.29</v>
      </c>
      <c r="F19" s="54">
        <v>2.13</v>
      </c>
      <c r="G19" s="54">
        <v>77.81</v>
      </c>
      <c r="H19" s="54">
        <v>37.840000000000003</v>
      </c>
      <c r="I19" s="55" t="s">
        <v>15</v>
      </c>
      <c r="J19" s="54">
        <v>3.33</v>
      </c>
      <c r="K19" s="54">
        <v>114.14</v>
      </c>
      <c r="L19" s="54">
        <v>19.149999999999999</v>
      </c>
      <c r="M19" s="54">
        <v>74.44</v>
      </c>
      <c r="N19" s="54">
        <v>505</v>
      </c>
      <c r="O19" s="54">
        <v>0</v>
      </c>
      <c r="P19" s="54">
        <v>0.7</v>
      </c>
      <c r="Q19" s="54">
        <v>8.2100000000000009</v>
      </c>
      <c r="R19" s="43"/>
      <c r="S19" s="43"/>
      <c r="T19" s="43"/>
      <c r="U19" s="43"/>
    </row>
    <row r="20" spans="1:21" s="11" customFormat="1" x14ac:dyDescent="0.25">
      <c r="A20" s="53" t="s">
        <v>383</v>
      </c>
      <c r="B20" s="54">
        <v>18.25</v>
      </c>
      <c r="C20" s="54">
        <v>61.05</v>
      </c>
      <c r="D20" s="54">
        <v>44.84</v>
      </c>
      <c r="E20" s="54">
        <v>6.53</v>
      </c>
      <c r="F20" s="54">
        <v>2.13</v>
      </c>
      <c r="G20" s="54">
        <v>80.56</v>
      </c>
      <c r="H20" s="54">
        <v>38</v>
      </c>
      <c r="I20" s="55" t="s">
        <v>15</v>
      </c>
      <c r="J20" s="54">
        <v>3.18</v>
      </c>
      <c r="K20" s="54">
        <v>119.04</v>
      </c>
      <c r="L20" s="54">
        <v>19.04</v>
      </c>
      <c r="M20" s="54">
        <v>67.83</v>
      </c>
      <c r="N20" s="54">
        <v>534.29999999999995</v>
      </c>
      <c r="O20" s="54">
        <v>0</v>
      </c>
      <c r="P20" s="54">
        <v>0.7</v>
      </c>
      <c r="Q20" s="54">
        <v>8.2100000000000009</v>
      </c>
      <c r="R20" s="43"/>
      <c r="S20" s="43"/>
      <c r="T20" s="43"/>
      <c r="U20" s="43"/>
    </row>
    <row r="21" spans="1:21" s="11" customFormat="1" x14ac:dyDescent="0.25">
      <c r="A21" s="53" t="s">
        <v>384</v>
      </c>
      <c r="B21" s="54">
        <v>12.02</v>
      </c>
      <c r="C21" s="54">
        <v>64.06</v>
      </c>
      <c r="D21" s="54">
        <v>40.56</v>
      </c>
      <c r="E21" s="54">
        <v>6.49</v>
      </c>
      <c r="F21" s="54">
        <v>2.13</v>
      </c>
      <c r="G21" s="54">
        <v>80.56</v>
      </c>
      <c r="H21" s="54">
        <v>38</v>
      </c>
      <c r="I21" s="55" t="s">
        <v>15</v>
      </c>
      <c r="J21" s="54">
        <v>1.64</v>
      </c>
      <c r="K21" s="54">
        <v>348.37</v>
      </c>
      <c r="L21" s="54">
        <v>22.76</v>
      </c>
      <c r="M21" s="54">
        <v>59.29</v>
      </c>
      <c r="N21" s="54">
        <v>534.9</v>
      </c>
      <c r="O21" s="54">
        <v>0</v>
      </c>
      <c r="P21" s="54">
        <v>0.7</v>
      </c>
      <c r="Q21" s="54">
        <v>8.2100000000000009</v>
      </c>
      <c r="R21" s="43"/>
      <c r="S21" s="43"/>
      <c r="T21" s="43"/>
      <c r="U21" s="43"/>
    </row>
    <row r="22" spans="1:21" s="11" customFormat="1" x14ac:dyDescent="0.25">
      <c r="A22" s="53" t="s">
        <v>385</v>
      </c>
      <c r="B22" s="54">
        <v>8.51</v>
      </c>
      <c r="C22" s="54">
        <v>65.38</v>
      </c>
      <c r="D22" s="54">
        <v>39.6</v>
      </c>
      <c r="E22" s="54">
        <v>6.4</v>
      </c>
      <c r="F22" s="54">
        <v>2.13</v>
      </c>
      <c r="G22" s="54">
        <v>83.52</v>
      </c>
      <c r="H22" s="54">
        <v>37.659999999999997</v>
      </c>
      <c r="I22" s="55" t="s">
        <v>15</v>
      </c>
      <c r="J22" s="54">
        <v>2.91</v>
      </c>
      <c r="K22" s="54">
        <v>334.51</v>
      </c>
      <c r="L22" s="54">
        <v>23.71</v>
      </c>
      <c r="M22" s="54">
        <v>53.72</v>
      </c>
      <c r="N22" s="54">
        <v>468.7</v>
      </c>
      <c r="O22" s="54">
        <v>0</v>
      </c>
      <c r="P22" s="54">
        <v>0.74</v>
      </c>
      <c r="Q22" s="54">
        <v>8.2100000000000009</v>
      </c>
      <c r="R22" s="43"/>
      <c r="S22" s="43"/>
      <c r="T22" s="43"/>
      <c r="U22" s="43"/>
    </row>
    <row r="23" spans="1:21" s="11" customFormat="1" x14ac:dyDescent="0.25">
      <c r="A23" s="53" t="s">
        <v>386</v>
      </c>
      <c r="B23" s="54">
        <v>6.48</v>
      </c>
      <c r="C23" s="54">
        <v>63.45</v>
      </c>
      <c r="D23" s="54">
        <v>36.97</v>
      </c>
      <c r="E23" s="54">
        <v>6.17</v>
      </c>
      <c r="F23" s="54">
        <v>2.13</v>
      </c>
      <c r="G23" s="54">
        <v>83.52</v>
      </c>
      <c r="H23" s="54">
        <v>38.6</v>
      </c>
      <c r="I23" s="55" t="s">
        <v>15</v>
      </c>
      <c r="J23" s="54">
        <v>2.72</v>
      </c>
      <c r="K23" s="54">
        <v>340.01</v>
      </c>
      <c r="L23" s="54">
        <v>23.69</v>
      </c>
      <c r="M23" s="54">
        <v>51.77</v>
      </c>
      <c r="N23" s="54">
        <v>379.2</v>
      </c>
      <c r="O23" s="54">
        <v>0</v>
      </c>
      <c r="P23" s="54">
        <v>0.76</v>
      </c>
      <c r="Q23" s="54">
        <v>8.2100000000000009</v>
      </c>
      <c r="R23" s="43"/>
      <c r="S23" s="43"/>
      <c r="T23" s="43"/>
      <c r="U23" s="43"/>
    </row>
    <row r="24" spans="1:21" s="11" customFormat="1" x14ac:dyDescent="0.25">
      <c r="A24" s="53" t="s">
        <v>387</v>
      </c>
      <c r="B24" s="54">
        <v>5.47</v>
      </c>
      <c r="C24" s="54">
        <v>66.55</v>
      </c>
      <c r="D24" s="54">
        <v>37.51</v>
      </c>
      <c r="E24" s="54">
        <v>6.33</v>
      </c>
      <c r="F24" s="54">
        <v>2.13</v>
      </c>
      <c r="G24" s="54">
        <v>83.34</v>
      </c>
      <c r="H24" s="54">
        <v>38.909999999999997</v>
      </c>
      <c r="I24" s="55" t="s">
        <v>15</v>
      </c>
      <c r="J24" s="54">
        <v>1.66</v>
      </c>
      <c r="K24" s="54">
        <v>349.57</v>
      </c>
      <c r="L24" s="54">
        <v>23.22</v>
      </c>
      <c r="M24" s="54">
        <v>49.75</v>
      </c>
      <c r="N24" s="54">
        <v>243.8</v>
      </c>
      <c r="O24" s="54">
        <v>0</v>
      </c>
      <c r="P24" s="54">
        <v>0.78</v>
      </c>
      <c r="Q24" s="54">
        <v>8.2100000000000009</v>
      </c>
      <c r="R24" s="43"/>
      <c r="S24" s="43"/>
      <c r="T24" s="43"/>
      <c r="U24" s="43"/>
    </row>
    <row r="25" spans="1:21" s="11" customFormat="1" x14ac:dyDescent="0.25">
      <c r="A25" s="53" t="s">
        <v>388</v>
      </c>
      <c r="B25" s="54">
        <v>7.02</v>
      </c>
      <c r="C25" s="54">
        <v>70.5</v>
      </c>
      <c r="D25" s="54">
        <v>41.09</v>
      </c>
      <c r="E25" s="54">
        <v>6.97</v>
      </c>
      <c r="F25" s="54">
        <v>2.13</v>
      </c>
      <c r="G25" s="54">
        <v>82.95</v>
      </c>
      <c r="H25" s="54">
        <v>38.909999999999997</v>
      </c>
      <c r="I25" s="55" t="s">
        <v>15</v>
      </c>
      <c r="J25" s="54">
        <v>1.87</v>
      </c>
      <c r="K25" s="54">
        <v>352.89</v>
      </c>
      <c r="L25" s="54">
        <v>21.92</v>
      </c>
      <c r="M25" s="54">
        <v>52.43</v>
      </c>
      <c r="N25" s="54">
        <v>133.5</v>
      </c>
      <c r="O25" s="54">
        <v>0</v>
      </c>
      <c r="P25" s="54">
        <v>0.85</v>
      </c>
      <c r="Q25" s="54">
        <v>8.2100000000000009</v>
      </c>
      <c r="R25" s="43"/>
      <c r="S25" s="43"/>
      <c r="T25" s="43"/>
      <c r="U25" s="43"/>
    </row>
    <row r="26" spans="1:21" s="11" customFormat="1" x14ac:dyDescent="0.25">
      <c r="A26" s="53" t="s">
        <v>389</v>
      </c>
      <c r="B26" s="54">
        <v>9.2799999999999994</v>
      </c>
      <c r="C26" s="54">
        <v>72.28</v>
      </c>
      <c r="D26" s="54">
        <v>42.75</v>
      </c>
      <c r="E26" s="54">
        <v>6.84</v>
      </c>
      <c r="F26" s="54">
        <v>2.13</v>
      </c>
      <c r="G26" s="54">
        <v>83.19</v>
      </c>
      <c r="H26" s="54">
        <v>36.86</v>
      </c>
      <c r="I26" s="55" t="s">
        <v>15</v>
      </c>
      <c r="J26" s="54">
        <v>1.89</v>
      </c>
      <c r="K26" s="54">
        <v>84.25</v>
      </c>
      <c r="L26" s="54">
        <v>20.25</v>
      </c>
      <c r="M26" s="54">
        <v>72.650000000000006</v>
      </c>
      <c r="N26" s="54">
        <v>88.6</v>
      </c>
      <c r="O26" s="54">
        <v>0</v>
      </c>
      <c r="P26" s="54">
        <v>1.1000000000000001</v>
      </c>
      <c r="Q26" s="54">
        <v>8.2100000000000009</v>
      </c>
      <c r="R26" s="43"/>
      <c r="S26" s="43"/>
      <c r="T26" s="43"/>
      <c r="U26" s="43"/>
    </row>
    <row r="27" spans="1:21" s="11" customFormat="1" x14ac:dyDescent="0.25">
      <c r="A27" s="53" t="s">
        <v>390</v>
      </c>
      <c r="B27" s="54">
        <v>13.02</v>
      </c>
      <c r="C27" s="54">
        <v>70.290000000000006</v>
      </c>
      <c r="D27" s="54">
        <v>45.59</v>
      </c>
      <c r="E27" s="54">
        <v>6.63</v>
      </c>
      <c r="F27" s="54">
        <v>2.13</v>
      </c>
      <c r="G27" s="54">
        <v>91.54</v>
      </c>
      <c r="H27" s="54">
        <v>37.94</v>
      </c>
      <c r="I27" s="55" t="s">
        <v>15</v>
      </c>
      <c r="J27" s="54">
        <v>1.91</v>
      </c>
      <c r="K27" s="54">
        <v>326.79000000000002</v>
      </c>
      <c r="L27" s="54">
        <v>18.27</v>
      </c>
      <c r="M27" s="54">
        <v>79.91</v>
      </c>
      <c r="N27" s="54">
        <v>74.900000000000006</v>
      </c>
      <c r="O27" s="54">
        <v>0</v>
      </c>
      <c r="P27" s="54">
        <v>1.19</v>
      </c>
      <c r="Q27" s="54">
        <v>8.2100000000000009</v>
      </c>
      <c r="R27" s="43"/>
      <c r="S27" s="43"/>
      <c r="T27" s="43"/>
      <c r="U27" s="43"/>
    </row>
    <row r="28" spans="1:21" s="11" customFormat="1" x14ac:dyDescent="0.25">
      <c r="A28" s="53" t="s">
        <v>391</v>
      </c>
      <c r="B28" s="54">
        <v>15.09</v>
      </c>
      <c r="C28" s="54">
        <v>72.209999999999994</v>
      </c>
      <c r="D28" s="54">
        <v>48.24</v>
      </c>
      <c r="E28" s="54">
        <v>7.26</v>
      </c>
      <c r="F28" s="54">
        <v>2.13</v>
      </c>
      <c r="G28" s="54">
        <v>108.58</v>
      </c>
      <c r="H28" s="54">
        <v>41.79</v>
      </c>
      <c r="I28" s="55" t="s">
        <v>15</v>
      </c>
      <c r="J28" s="54">
        <v>1.68</v>
      </c>
      <c r="K28" s="54">
        <v>344.06</v>
      </c>
      <c r="L28" s="54">
        <v>18</v>
      </c>
      <c r="M28" s="54">
        <v>79.17</v>
      </c>
      <c r="N28" s="54">
        <v>75</v>
      </c>
      <c r="O28" s="54">
        <v>0</v>
      </c>
      <c r="P28" s="54">
        <v>1.1499999999999999</v>
      </c>
      <c r="Q28" s="54">
        <v>8.2100000000000009</v>
      </c>
      <c r="R28" s="43"/>
      <c r="S28" s="43"/>
      <c r="T28" s="43"/>
      <c r="U28" s="43"/>
    </row>
    <row r="29" spans="1:21" s="11" customFormat="1" x14ac:dyDescent="0.25">
      <c r="A29" s="53" t="s">
        <v>392</v>
      </c>
      <c r="B29" s="54">
        <v>14.35</v>
      </c>
      <c r="C29" s="54">
        <v>73.69</v>
      </c>
      <c r="D29" s="54">
        <v>48.63</v>
      </c>
      <c r="E29" s="54">
        <v>7.63</v>
      </c>
      <c r="F29" s="54">
        <v>2.13</v>
      </c>
      <c r="G29" s="54">
        <v>113.93</v>
      </c>
      <c r="H29" s="54">
        <v>46.03</v>
      </c>
      <c r="I29" s="55" t="s">
        <v>15</v>
      </c>
      <c r="J29" s="54">
        <v>1.43</v>
      </c>
      <c r="K29" s="54">
        <v>272.64999999999998</v>
      </c>
      <c r="L29" s="54">
        <v>17.05</v>
      </c>
      <c r="M29" s="54">
        <v>72.59</v>
      </c>
      <c r="N29" s="54">
        <v>75.2</v>
      </c>
      <c r="O29" s="54">
        <v>0</v>
      </c>
      <c r="P29" s="54">
        <v>1.23</v>
      </c>
      <c r="Q29" s="54">
        <v>8.2100000000000009</v>
      </c>
      <c r="R29" s="43"/>
      <c r="S29" s="43"/>
      <c r="T29" s="43"/>
      <c r="U29" s="43"/>
    </row>
    <row r="30" spans="1:21" s="11" customFormat="1" x14ac:dyDescent="0.25">
      <c r="A30" s="53" t="s">
        <v>393</v>
      </c>
      <c r="B30" s="54">
        <v>16.170000000000002</v>
      </c>
      <c r="C30" s="54">
        <v>73.599999999999994</v>
      </c>
      <c r="D30" s="54">
        <v>48.85</v>
      </c>
      <c r="E30" s="54">
        <v>7.49</v>
      </c>
      <c r="F30" s="54">
        <v>2.13</v>
      </c>
      <c r="G30" s="54">
        <v>116.82</v>
      </c>
      <c r="H30" s="54">
        <v>46.03</v>
      </c>
      <c r="I30" s="55" t="s">
        <v>15</v>
      </c>
      <c r="J30" s="54">
        <v>1.81</v>
      </c>
      <c r="K30" s="54">
        <v>319.33999999999997</v>
      </c>
      <c r="L30" s="54">
        <v>16.32</v>
      </c>
      <c r="M30" s="54">
        <v>80.73</v>
      </c>
      <c r="N30" s="54">
        <v>75.8</v>
      </c>
      <c r="O30" s="54">
        <v>0</v>
      </c>
      <c r="P30" s="54">
        <v>1.38</v>
      </c>
      <c r="Q30" s="54">
        <v>8.2100000000000009</v>
      </c>
      <c r="R30" s="43"/>
      <c r="S30" s="43"/>
      <c r="T30" s="43"/>
      <c r="U30" s="43"/>
    </row>
    <row r="31" spans="1:21" s="11" customFormat="1" x14ac:dyDescent="0.25">
      <c r="A31" s="53" t="s">
        <v>394</v>
      </c>
      <c r="B31" s="54">
        <v>23</v>
      </c>
      <c r="C31" s="54">
        <v>72.72</v>
      </c>
      <c r="D31" s="54">
        <v>54.88</v>
      </c>
      <c r="E31" s="54">
        <v>7.48</v>
      </c>
      <c r="F31" s="54">
        <v>2.13</v>
      </c>
      <c r="G31" s="54">
        <v>119.65</v>
      </c>
      <c r="H31" s="54">
        <v>50.79</v>
      </c>
      <c r="I31" s="55" t="s">
        <v>15</v>
      </c>
      <c r="J31" s="54">
        <v>1.65</v>
      </c>
      <c r="K31" s="54">
        <v>332.57</v>
      </c>
      <c r="L31" s="54">
        <v>15.21</v>
      </c>
      <c r="M31" s="54">
        <v>86.94</v>
      </c>
      <c r="N31" s="54">
        <v>75.8</v>
      </c>
      <c r="O31" s="54">
        <v>0</v>
      </c>
      <c r="P31" s="54">
        <v>1.37</v>
      </c>
      <c r="Q31" s="54">
        <v>8.2100000000000009</v>
      </c>
      <c r="R31" s="43"/>
      <c r="S31" s="43"/>
      <c r="T31" s="43"/>
      <c r="U31" s="43"/>
    </row>
    <row r="32" spans="1:21" s="11" customFormat="1" x14ac:dyDescent="0.25">
      <c r="A32" s="53" t="s">
        <v>395</v>
      </c>
      <c r="B32" s="54">
        <v>24.39</v>
      </c>
      <c r="C32" s="54">
        <v>71.489999999999995</v>
      </c>
      <c r="D32" s="54">
        <v>55.53</v>
      </c>
      <c r="E32" s="54">
        <v>7.5</v>
      </c>
      <c r="F32" s="54">
        <v>2.13</v>
      </c>
      <c r="G32" s="54">
        <v>119.65</v>
      </c>
      <c r="H32" s="54">
        <v>50.79</v>
      </c>
      <c r="I32" s="55" t="s">
        <v>15</v>
      </c>
      <c r="J32" s="54">
        <v>1.49</v>
      </c>
      <c r="K32" s="54">
        <v>349.05</v>
      </c>
      <c r="L32" s="54">
        <v>14.98</v>
      </c>
      <c r="M32" s="54">
        <v>89.47</v>
      </c>
      <c r="N32" s="54">
        <v>76</v>
      </c>
      <c r="O32" s="54">
        <v>0</v>
      </c>
      <c r="P32" s="54">
        <v>1.32</v>
      </c>
      <c r="Q32" s="54">
        <v>8.2100000000000009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5.47</v>
      </c>
      <c r="C34" s="28">
        <f t="shared" si="0"/>
        <v>50.22</v>
      </c>
      <c r="D34" s="28">
        <f t="shared" si="0"/>
        <v>31.04</v>
      </c>
      <c r="E34" s="28">
        <f t="shared" si="0"/>
        <v>6.03</v>
      </c>
      <c r="F34" s="28">
        <f t="shared" si="0"/>
        <v>2.13</v>
      </c>
      <c r="G34" s="28">
        <f t="shared" si="0"/>
        <v>75.319999999999993</v>
      </c>
      <c r="H34" s="28">
        <f t="shared" si="0"/>
        <v>36.85</v>
      </c>
      <c r="I34" s="28">
        <f t="shared" si="0"/>
        <v>0</v>
      </c>
      <c r="J34" s="28">
        <f t="shared" si="0"/>
        <v>0.96</v>
      </c>
      <c r="K34" s="28">
        <f t="shared" si="0"/>
        <v>84.25</v>
      </c>
      <c r="L34" s="28">
        <f t="shared" si="0"/>
        <v>11.08</v>
      </c>
      <c r="M34" s="28">
        <f t="shared" si="0"/>
        <v>49.75</v>
      </c>
      <c r="N34" s="28">
        <f t="shared" si="0"/>
        <v>74.900000000000006</v>
      </c>
      <c r="O34" s="28">
        <f t="shared" si="0"/>
        <v>0</v>
      </c>
      <c r="P34" s="28">
        <f t="shared" si="0"/>
        <v>0.68</v>
      </c>
      <c r="Q34" s="28">
        <f t="shared" si="0"/>
        <v>8.2100000000000009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24.9</v>
      </c>
      <c r="C35" s="29">
        <f t="shared" si="1"/>
        <v>73.69</v>
      </c>
      <c r="D35" s="29">
        <f t="shared" si="1"/>
        <v>55.53</v>
      </c>
      <c r="E35" s="29">
        <f t="shared" si="1"/>
        <v>7.63</v>
      </c>
      <c r="F35" s="29">
        <f t="shared" si="1"/>
        <v>2.13</v>
      </c>
      <c r="G35" s="29">
        <f t="shared" si="1"/>
        <v>119.65</v>
      </c>
      <c r="H35" s="29">
        <f t="shared" si="1"/>
        <v>51.4</v>
      </c>
      <c r="I35" s="29">
        <f t="shared" si="1"/>
        <v>0</v>
      </c>
      <c r="J35" s="29">
        <f t="shared" si="1"/>
        <v>3.33</v>
      </c>
      <c r="K35" s="29">
        <f t="shared" si="1"/>
        <v>356.77</v>
      </c>
      <c r="L35" s="29">
        <f t="shared" si="1"/>
        <v>23.71</v>
      </c>
      <c r="M35" s="29">
        <f t="shared" si="1"/>
        <v>96.33</v>
      </c>
      <c r="N35" s="29">
        <f t="shared" si="1"/>
        <v>534.9</v>
      </c>
      <c r="O35" s="29">
        <f t="shared" si="1"/>
        <v>0</v>
      </c>
      <c r="P35" s="29">
        <f t="shared" si="1"/>
        <v>1.38</v>
      </c>
      <c r="Q35" s="29">
        <f t="shared" si="1"/>
        <v>8.2100000000000009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14.623749999999999</v>
      </c>
      <c r="C36" s="28">
        <f t="shared" si="2"/>
        <v>63.673333333333339</v>
      </c>
      <c r="D36" s="28">
        <f t="shared" si="2"/>
        <v>43.385000000000012</v>
      </c>
      <c r="E36" s="28">
        <f t="shared" si="2"/>
        <v>6.6741666666666655</v>
      </c>
      <c r="F36" s="28">
        <f t="shared" si="2"/>
        <v>2.1300000000000003</v>
      </c>
      <c r="G36" s="28">
        <f t="shared" si="2"/>
        <v>88.127499999999998</v>
      </c>
      <c r="H36" s="28">
        <f t="shared" si="2"/>
        <v>41.215833333333329</v>
      </c>
      <c r="I36" s="28" t="e">
        <f t="shared" si="2"/>
        <v>#DIV/0!</v>
      </c>
      <c r="J36" s="28">
        <f t="shared" si="2"/>
        <v>2.0958333333333328</v>
      </c>
      <c r="K36" s="28">
        <f t="shared" si="2"/>
        <v>292.0266666666667</v>
      </c>
      <c r="L36" s="28">
        <f t="shared" si="2"/>
        <v>16.724999999999998</v>
      </c>
      <c r="M36" s="28">
        <f t="shared" si="2"/>
        <v>78.500000000000014</v>
      </c>
      <c r="N36" s="28">
        <f t="shared" si="2"/>
        <v>210.20416666666668</v>
      </c>
      <c r="O36" s="28">
        <f t="shared" si="2"/>
        <v>0</v>
      </c>
      <c r="P36" s="28">
        <f t="shared" si="2"/>
        <v>0.94458333333333311</v>
      </c>
      <c r="Q36" s="28">
        <f t="shared" si="2"/>
        <v>8.2100000000000062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6.5061935792984533</v>
      </c>
      <c r="C37" s="28">
        <f t="shared" ref="C37:Q37" si="3">STDEV(C9:C32)</f>
        <v>7.5513434834999229</v>
      </c>
      <c r="D37" s="28">
        <f t="shared" si="3"/>
        <v>6.8723035818958564</v>
      </c>
      <c r="E37" s="28">
        <f t="shared" si="3"/>
        <v>0.4777657845927607</v>
      </c>
      <c r="F37" s="28">
        <f t="shared" si="3"/>
        <v>4.5364060814922986E-16</v>
      </c>
      <c r="G37" s="28">
        <f t="shared" si="3"/>
        <v>15.397053148319419</v>
      </c>
      <c r="H37" s="28">
        <f t="shared" si="3"/>
        <v>4.8507587184818561</v>
      </c>
      <c r="I37" s="28" t="e">
        <f t="shared" si="3"/>
        <v>#DIV/0!</v>
      </c>
      <c r="J37" s="28">
        <f t="shared" si="3"/>
        <v>0.62983722304753853</v>
      </c>
      <c r="K37" s="28">
        <f t="shared" si="3"/>
        <v>100.24588295424073</v>
      </c>
      <c r="L37" s="28">
        <f t="shared" si="3"/>
        <v>4.216322320819831</v>
      </c>
      <c r="M37" s="28">
        <f t="shared" si="3"/>
        <v>15.387069953019923</v>
      </c>
      <c r="N37" s="28">
        <f t="shared" si="3"/>
        <v>168.17199394400191</v>
      </c>
      <c r="O37" s="28">
        <f t="shared" si="3"/>
        <v>0</v>
      </c>
      <c r="P37" s="28">
        <f t="shared" si="3"/>
        <v>0.25308495165383388</v>
      </c>
      <c r="Q37" s="28">
        <f t="shared" si="3"/>
        <v>5.4436872977907584E-15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0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&lt;90%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LESS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0" sqref="G50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15/01/2025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8"/>
      <c r="B8" s="59" t="s">
        <v>22</v>
      </c>
      <c r="C8" s="59" t="s">
        <v>22</v>
      </c>
      <c r="D8" s="29" t="s">
        <v>42</v>
      </c>
      <c r="E8" s="59" t="s">
        <v>22</v>
      </c>
      <c r="F8" s="59" t="s">
        <v>22</v>
      </c>
      <c r="G8" s="59" t="s">
        <v>23</v>
      </c>
      <c r="H8" s="59" t="s">
        <v>22</v>
      </c>
      <c r="I8" s="59" t="s">
        <v>22</v>
      </c>
      <c r="J8" s="59" t="s">
        <v>24</v>
      </c>
      <c r="K8" s="59" t="s">
        <v>25</v>
      </c>
      <c r="L8" s="58" t="s">
        <v>27</v>
      </c>
      <c r="M8" s="59" t="s">
        <v>26</v>
      </c>
      <c r="N8" s="59" t="s">
        <v>28</v>
      </c>
      <c r="O8" s="58" t="s">
        <v>29</v>
      </c>
      <c r="P8" s="59" t="s">
        <v>22</v>
      </c>
      <c r="Q8" s="59" t="s">
        <v>22</v>
      </c>
      <c r="R8" s="27"/>
      <c r="S8" s="29"/>
      <c r="T8" s="27"/>
      <c r="U8" s="27"/>
    </row>
    <row r="9" spans="1:21" s="11" customFormat="1" x14ac:dyDescent="0.25">
      <c r="A9" s="53" t="s">
        <v>396</v>
      </c>
      <c r="B9" s="54">
        <v>20.010000000000002</v>
      </c>
      <c r="C9" s="54">
        <v>70.84</v>
      </c>
      <c r="D9" s="54">
        <v>51.68</v>
      </c>
      <c r="E9" s="54">
        <v>7.17</v>
      </c>
      <c r="F9" s="54">
        <v>2.13</v>
      </c>
      <c r="G9" s="54">
        <v>117.6</v>
      </c>
      <c r="H9" s="54">
        <v>50.23</v>
      </c>
      <c r="I9" s="55" t="s">
        <v>15</v>
      </c>
      <c r="J9" s="54">
        <v>0.68</v>
      </c>
      <c r="K9" s="54">
        <v>341.01</v>
      </c>
      <c r="L9" s="54">
        <v>14.82</v>
      </c>
      <c r="M9" s="54">
        <v>82.44</v>
      </c>
      <c r="N9" s="54">
        <v>76.099999999999994</v>
      </c>
      <c r="O9" s="54">
        <v>0</v>
      </c>
      <c r="P9" s="54">
        <v>1.27</v>
      </c>
      <c r="Q9" s="54">
        <v>8.2100000000000009</v>
      </c>
      <c r="R9" s="43"/>
      <c r="S9" s="43"/>
      <c r="T9" s="43"/>
      <c r="U9" s="43"/>
    </row>
    <row r="10" spans="1:21" s="11" customFormat="1" x14ac:dyDescent="0.25">
      <c r="A10" s="53" t="s">
        <v>397</v>
      </c>
      <c r="B10" s="54">
        <v>12.53</v>
      </c>
      <c r="C10" s="54">
        <v>66.03</v>
      </c>
      <c r="D10" s="54">
        <v>43.17</v>
      </c>
      <c r="E10" s="54">
        <v>6.45</v>
      </c>
      <c r="F10" s="54">
        <v>2.13</v>
      </c>
      <c r="G10" s="54">
        <v>105.37</v>
      </c>
      <c r="H10" s="54">
        <v>50.17</v>
      </c>
      <c r="I10" s="55" t="s">
        <v>15</v>
      </c>
      <c r="J10" s="54">
        <v>1.39</v>
      </c>
      <c r="K10" s="54">
        <v>322.64999999999998</v>
      </c>
      <c r="L10" s="54">
        <v>14.58</v>
      </c>
      <c r="M10" s="54">
        <v>73.44</v>
      </c>
      <c r="N10" s="54">
        <v>76.8</v>
      </c>
      <c r="O10" s="54">
        <v>0</v>
      </c>
      <c r="P10" s="54">
        <v>1.07</v>
      </c>
      <c r="Q10" s="54">
        <v>8.2100000000000009</v>
      </c>
      <c r="R10" s="43"/>
      <c r="S10" s="43"/>
      <c r="T10" s="43"/>
      <c r="U10" s="43"/>
    </row>
    <row r="11" spans="1:21" s="11" customFormat="1" x14ac:dyDescent="0.25">
      <c r="A11" s="53" t="s">
        <v>398</v>
      </c>
      <c r="B11" s="54">
        <v>8.2100000000000009</v>
      </c>
      <c r="C11" s="54">
        <v>57.36</v>
      </c>
      <c r="D11" s="54">
        <v>35.18</v>
      </c>
      <c r="E11" s="54">
        <v>5.79</v>
      </c>
      <c r="F11" s="54">
        <v>2.13</v>
      </c>
      <c r="G11" s="54">
        <v>89.85</v>
      </c>
      <c r="H11" s="54">
        <v>43.79</v>
      </c>
      <c r="I11" s="55" t="s">
        <v>15</v>
      </c>
      <c r="J11" s="54">
        <v>1.51</v>
      </c>
      <c r="K11" s="54">
        <v>336.1</v>
      </c>
      <c r="L11" s="54">
        <v>14.11</v>
      </c>
      <c r="M11" s="54">
        <v>74.09</v>
      </c>
      <c r="N11" s="54">
        <v>75.5</v>
      </c>
      <c r="O11" s="54">
        <v>0</v>
      </c>
      <c r="P11" s="54">
        <v>0.97</v>
      </c>
      <c r="Q11" s="54">
        <v>8.2100000000000009</v>
      </c>
      <c r="R11" s="43"/>
      <c r="S11" s="43"/>
      <c r="T11" s="43"/>
      <c r="U11" s="43"/>
    </row>
    <row r="12" spans="1:21" s="11" customFormat="1" x14ac:dyDescent="0.25">
      <c r="A12" s="53" t="s">
        <v>399</v>
      </c>
      <c r="B12" s="54">
        <v>7.48</v>
      </c>
      <c r="C12" s="54">
        <v>54.34</v>
      </c>
      <c r="D12" s="54">
        <v>33.01</v>
      </c>
      <c r="E12" s="54">
        <v>5.95</v>
      </c>
      <c r="F12" s="54">
        <v>2.13</v>
      </c>
      <c r="G12" s="54">
        <v>76.73</v>
      </c>
      <c r="H12" s="54">
        <v>41.45</v>
      </c>
      <c r="I12" s="55" t="s">
        <v>15</v>
      </c>
      <c r="J12" s="54">
        <v>2.5299999999999998</v>
      </c>
      <c r="K12" s="54">
        <v>352.28</v>
      </c>
      <c r="L12" s="54">
        <v>13.52</v>
      </c>
      <c r="M12" s="54">
        <v>79.08</v>
      </c>
      <c r="N12" s="54">
        <v>75.7</v>
      </c>
      <c r="O12" s="54">
        <v>0</v>
      </c>
      <c r="P12" s="54">
        <v>0.88</v>
      </c>
      <c r="Q12" s="54">
        <v>8.2100000000000009</v>
      </c>
      <c r="R12" s="43"/>
      <c r="S12" s="43"/>
      <c r="T12" s="43"/>
      <c r="U12" s="43"/>
    </row>
    <row r="13" spans="1:21" s="11" customFormat="1" x14ac:dyDescent="0.25">
      <c r="A13" s="53" t="s">
        <v>400</v>
      </c>
      <c r="B13" s="54">
        <v>7.56</v>
      </c>
      <c r="C13" s="54">
        <v>54.91</v>
      </c>
      <c r="D13" s="54">
        <v>33.369999999999997</v>
      </c>
      <c r="E13" s="54">
        <v>6.24</v>
      </c>
      <c r="F13" s="54">
        <v>2.13</v>
      </c>
      <c r="G13" s="54">
        <v>80.42</v>
      </c>
      <c r="H13" s="54">
        <v>38.57</v>
      </c>
      <c r="I13" s="55" t="s">
        <v>15</v>
      </c>
      <c r="J13" s="54">
        <v>2.34</v>
      </c>
      <c r="K13" s="54">
        <v>353.47</v>
      </c>
      <c r="L13" s="54">
        <v>12.98</v>
      </c>
      <c r="M13" s="54">
        <v>83.08</v>
      </c>
      <c r="N13" s="54">
        <v>75.900000000000006</v>
      </c>
      <c r="O13" s="54">
        <v>0</v>
      </c>
      <c r="P13" s="54">
        <v>0.81</v>
      </c>
      <c r="Q13" s="54">
        <v>8.2100000000000009</v>
      </c>
      <c r="R13" s="43"/>
      <c r="S13" s="43"/>
      <c r="T13" s="43"/>
      <c r="U13" s="43"/>
    </row>
    <row r="14" spans="1:21" s="11" customFormat="1" x14ac:dyDescent="0.25">
      <c r="A14" s="53" t="s">
        <v>401</v>
      </c>
      <c r="B14" s="54">
        <v>11.21</v>
      </c>
      <c r="C14" s="54">
        <v>56.8</v>
      </c>
      <c r="D14" s="54">
        <v>37.29</v>
      </c>
      <c r="E14" s="54">
        <v>6.7</v>
      </c>
      <c r="F14" s="54">
        <v>2.13</v>
      </c>
      <c r="G14" s="54">
        <v>95.7</v>
      </c>
      <c r="H14" s="54">
        <v>41.1</v>
      </c>
      <c r="I14" s="55" t="s">
        <v>15</v>
      </c>
      <c r="J14" s="54">
        <v>1.93</v>
      </c>
      <c r="K14" s="54">
        <v>355.47</v>
      </c>
      <c r="L14" s="54">
        <v>12.44</v>
      </c>
      <c r="M14" s="54">
        <v>86.48</v>
      </c>
      <c r="N14" s="54">
        <v>76.400000000000006</v>
      </c>
      <c r="O14" s="54">
        <v>0</v>
      </c>
      <c r="P14" s="54">
        <v>0.82</v>
      </c>
      <c r="Q14" s="54">
        <v>8.2100000000000009</v>
      </c>
      <c r="R14" s="43"/>
      <c r="S14" s="43"/>
      <c r="T14" s="43"/>
      <c r="U14" s="43"/>
    </row>
    <row r="15" spans="1:21" s="11" customFormat="1" x14ac:dyDescent="0.25">
      <c r="A15" s="53" t="s">
        <v>402</v>
      </c>
      <c r="B15" s="54">
        <v>18.59</v>
      </c>
      <c r="C15" s="54">
        <v>56.17</v>
      </c>
      <c r="D15" s="54">
        <v>42.88</v>
      </c>
      <c r="E15" s="54">
        <v>6.77</v>
      </c>
      <c r="F15" s="54">
        <v>2.13</v>
      </c>
      <c r="G15" s="54">
        <v>108.2</v>
      </c>
      <c r="H15" s="54">
        <v>44.09</v>
      </c>
      <c r="I15" s="55" t="s">
        <v>15</v>
      </c>
      <c r="J15" s="54">
        <v>2.11</v>
      </c>
      <c r="K15" s="54">
        <v>349.99</v>
      </c>
      <c r="L15" s="54">
        <v>12.24</v>
      </c>
      <c r="M15" s="54">
        <v>88.5</v>
      </c>
      <c r="N15" s="54">
        <v>86.5</v>
      </c>
      <c r="O15" s="54">
        <v>0</v>
      </c>
      <c r="P15" s="54">
        <v>0.88</v>
      </c>
      <c r="Q15" s="54">
        <v>8.2100000000000009</v>
      </c>
      <c r="R15" s="43"/>
      <c r="S15" s="43"/>
      <c r="T15" s="43"/>
      <c r="U15" s="43"/>
    </row>
    <row r="16" spans="1:21" s="11" customFormat="1" x14ac:dyDescent="0.25">
      <c r="A16" s="53" t="s">
        <v>403</v>
      </c>
      <c r="B16" s="54">
        <v>25.21</v>
      </c>
      <c r="C16" s="54">
        <v>57.3</v>
      </c>
      <c r="D16" s="54">
        <v>48.77</v>
      </c>
      <c r="E16" s="54">
        <v>7.71</v>
      </c>
      <c r="F16" s="54">
        <v>2.13</v>
      </c>
      <c r="G16" s="54">
        <v>125.32</v>
      </c>
      <c r="H16" s="54">
        <v>47.24</v>
      </c>
      <c r="I16" s="55" t="s">
        <v>15</v>
      </c>
      <c r="J16" s="54">
        <v>2.19</v>
      </c>
      <c r="K16" s="54">
        <v>355.04</v>
      </c>
      <c r="L16" s="54">
        <v>13.29</v>
      </c>
      <c r="M16" s="54">
        <v>88.57</v>
      </c>
      <c r="N16" s="54">
        <v>178.2</v>
      </c>
      <c r="O16" s="54">
        <v>0</v>
      </c>
      <c r="P16" s="54">
        <v>0.96</v>
      </c>
      <c r="Q16" s="54">
        <v>8.2100000000000009</v>
      </c>
      <c r="R16" s="43"/>
      <c r="S16" s="43"/>
      <c r="T16" s="43"/>
      <c r="U16" s="43"/>
    </row>
    <row r="17" spans="1:21" s="11" customFormat="1" x14ac:dyDescent="0.25">
      <c r="A17" s="53" t="s">
        <v>404</v>
      </c>
      <c r="B17" s="54">
        <v>25.09</v>
      </c>
      <c r="C17" s="54">
        <v>58.83</v>
      </c>
      <c r="D17" s="54">
        <v>49.14</v>
      </c>
      <c r="E17" s="54">
        <v>7.43</v>
      </c>
      <c r="F17" s="54">
        <v>2.13</v>
      </c>
      <c r="G17" s="54">
        <v>125.32</v>
      </c>
      <c r="H17" s="54">
        <v>47.24</v>
      </c>
      <c r="I17" s="55" t="s">
        <v>15</v>
      </c>
      <c r="J17" s="54">
        <v>2.2799999999999998</v>
      </c>
      <c r="K17" s="54">
        <v>116.95</v>
      </c>
      <c r="L17" s="54">
        <v>16.64</v>
      </c>
      <c r="M17" s="54">
        <v>75.349999999999994</v>
      </c>
      <c r="N17" s="54">
        <v>336.8</v>
      </c>
      <c r="O17" s="54">
        <v>0</v>
      </c>
      <c r="P17" s="54">
        <v>0.98</v>
      </c>
      <c r="Q17" s="54">
        <v>8.2100000000000009</v>
      </c>
      <c r="R17" s="43"/>
      <c r="S17" s="43"/>
      <c r="T17" s="43"/>
      <c r="U17" s="43"/>
    </row>
    <row r="18" spans="1:21" s="11" customFormat="1" x14ac:dyDescent="0.25">
      <c r="A18" s="53" t="s">
        <v>405</v>
      </c>
      <c r="B18" s="54">
        <v>22.95</v>
      </c>
      <c r="C18" s="54">
        <v>60.83</v>
      </c>
      <c r="D18" s="54">
        <v>48.11</v>
      </c>
      <c r="E18" s="54">
        <v>7.07</v>
      </c>
      <c r="F18" s="54">
        <v>2.13</v>
      </c>
      <c r="G18" s="54">
        <v>105.84</v>
      </c>
      <c r="H18" s="54">
        <v>44.55</v>
      </c>
      <c r="I18" s="55" t="s">
        <v>15</v>
      </c>
      <c r="J18" s="54">
        <v>3.26</v>
      </c>
      <c r="K18" s="54">
        <v>123.97</v>
      </c>
      <c r="L18" s="54">
        <v>18.47</v>
      </c>
      <c r="M18" s="54">
        <v>64.38</v>
      </c>
      <c r="N18" s="54">
        <v>461.4</v>
      </c>
      <c r="O18" s="54">
        <v>0</v>
      </c>
      <c r="P18" s="54">
        <v>0.96</v>
      </c>
      <c r="Q18" s="54">
        <v>8.2100000000000009</v>
      </c>
      <c r="R18" s="43"/>
      <c r="S18" s="43"/>
      <c r="T18" s="43"/>
      <c r="U18" s="43"/>
    </row>
    <row r="19" spans="1:21" s="11" customFormat="1" x14ac:dyDescent="0.25">
      <c r="A19" s="53" t="s">
        <v>406</v>
      </c>
      <c r="B19" s="54">
        <v>17.82</v>
      </c>
      <c r="C19" s="54">
        <v>59.91</v>
      </c>
      <c r="D19" s="54">
        <v>44.22</v>
      </c>
      <c r="E19" s="54">
        <v>6.62</v>
      </c>
      <c r="F19" s="54">
        <v>2.13</v>
      </c>
      <c r="G19" s="54">
        <v>100.15</v>
      </c>
      <c r="H19" s="54">
        <v>40.869999999999997</v>
      </c>
      <c r="I19" s="55" t="s">
        <v>15</v>
      </c>
      <c r="J19" s="54">
        <v>2.76</v>
      </c>
      <c r="K19" s="54">
        <v>120.32</v>
      </c>
      <c r="L19" s="54">
        <v>19.899999999999999</v>
      </c>
      <c r="M19" s="54">
        <v>58.07</v>
      </c>
      <c r="N19" s="54">
        <v>495</v>
      </c>
      <c r="O19" s="54">
        <v>0</v>
      </c>
      <c r="P19" s="54">
        <v>0.91</v>
      </c>
      <c r="Q19" s="54">
        <v>8.2100000000000009</v>
      </c>
      <c r="R19" s="43"/>
      <c r="S19" s="43"/>
      <c r="T19" s="43"/>
      <c r="U19" s="43"/>
    </row>
    <row r="20" spans="1:21" s="11" customFormat="1" x14ac:dyDescent="0.25">
      <c r="A20" s="53" t="s">
        <v>407</v>
      </c>
      <c r="B20" s="54">
        <v>11.86</v>
      </c>
      <c r="C20" s="54">
        <v>58.9</v>
      </c>
      <c r="D20" s="54">
        <v>38.9</v>
      </c>
      <c r="E20" s="54">
        <v>6.68</v>
      </c>
      <c r="F20" s="54">
        <v>2.13</v>
      </c>
      <c r="G20" s="54">
        <v>95.07</v>
      </c>
      <c r="H20" s="54">
        <v>40.159999999999997</v>
      </c>
      <c r="I20" s="55" t="s">
        <v>15</v>
      </c>
      <c r="J20" s="54">
        <v>3.19</v>
      </c>
      <c r="K20" s="54">
        <v>120.33</v>
      </c>
      <c r="L20" s="54">
        <v>22.08</v>
      </c>
      <c r="M20" s="54">
        <v>50.32</v>
      </c>
      <c r="N20" s="54">
        <v>578.20000000000005</v>
      </c>
      <c r="O20" s="54">
        <v>0</v>
      </c>
      <c r="P20" s="54">
        <v>0.85</v>
      </c>
      <c r="Q20" s="54">
        <v>8.2100000000000009</v>
      </c>
      <c r="R20" s="43"/>
      <c r="S20" s="43"/>
      <c r="T20" s="43"/>
      <c r="U20" s="43"/>
    </row>
    <row r="21" spans="1:21" s="11" customFormat="1" x14ac:dyDescent="0.25">
      <c r="A21" s="53" t="s">
        <v>408</v>
      </c>
      <c r="B21" s="54">
        <v>7.3</v>
      </c>
      <c r="C21" s="54">
        <v>61.14</v>
      </c>
      <c r="D21" s="54">
        <v>35.64</v>
      </c>
      <c r="E21" s="54">
        <v>6.96</v>
      </c>
      <c r="F21" s="54">
        <v>2.13</v>
      </c>
      <c r="G21" s="54">
        <v>83.01</v>
      </c>
      <c r="H21" s="54">
        <v>40.159999999999997</v>
      </c>
      <c r="I21" s="55" t="s">
        <v>15</v>
      </c>
      <c r="J21" s="54">
        <v>2.81</v>
      </c>
      <c r="K21" s="54">
        <v>339.4</v>
      </c>
      <c r="L21" s="54">
        <v>23.52</v>
      </c>
      <c r="M21" s="54">
        <v>41.65</v>
      </c>
      <c r="N21" s="54">
        <v>574.29999999999995</v>
      </c>
      <c r="O21" s="54">
        <v>0</v>
      </c>
      <c r="P21" s="54">
        <v>0.78</v>
      </c>
      <c r="Q21" s="54">
        <v>8.2100000000000009</v>
      </c>
      <c r="R21" s="43"/>
      <c r="S21" s="43"/>
      <c r="T21" s="43"/>
      <c r="U21" s="43"/>
    </row>
    <row r="22" spans="1:21" s="11" customFormat="1" x14ac:dyDescent="0.25">
      <c r="A22" s="53" t="s">
        <v>409</v>
      </c>
      <c r="B22" s="54">
        <v>5.04</v>
      </c>
      <c r="C22" s="54">
        <v>61.73</v>
      </c>
      <c r="D22" s="54">
        <v>34.799999999999997</v>
      </c>
      <c r="E22" s="54">
        <v>6.61</v>
      </c>
      <c r="F22" s="54">
        <v>2.13</v>
      </c>
      <c r="G22" s="54">
        <v>74.27</v>
      </c>
      <c r="H22" s="54">
        <v>36.5</v>
      </c>
      <c r="I22" s="55" t="s">
        <v>15</v>
      </c>
      <c r="J22" s="54">
        <v>1.69</v>
      </c>
      <c r="K22" s="54">
        <v>339.82</v>
      </c>
      <c r="L22" s="54">
        <v>23.95</v>
      </c>
      <c r="M22" s="54">
        <v>35.68</v>
      </c>
      <c r="N22" s="54">
        <v>527</v>
      </c>
      <c r="O22" s="54">
        <v>0</v>
      </c>
      <c r="P22" s="54">
        <v>0.76</v>
      </c>
      <c r="Q22" s="54">
        <v>8.2100000000000009</v>
      </c>
      <c r="R22" s="43"/>
      <c r="S22" s="43"/>
      <c r="T22" s="43"/>
      <c r="U22" s="43"/>
    </row>
    <row r="23" spans="1:21" s="11" customFormat="1" x14ac:dyDescent="0.25">
      <c r="A23" s="53" t="s">
        <v>410</v>
      </c>
      <c r="B23" s="54">
        <v>4.0999999999999996</v>
      </c>
      <c r="C23" s="54">
        <v>58.57</v>
      </c>
      <c r="D23" s="54">
        <v>32.18</v>
      </c>
      <c r="E23" s="54">
        <v>6.19</v>
      </c>
      <c r="F23" s="54">
        <v>2.13</v>
      </c>
      <c r="G23" s="54">
        <v>68.400000000000006</v>
      </c>
      <c r="H23" s="54">
        <v>32.75</v>
      </c>
      <c r="I23" s="55" t="s">
        <v>15</v>
      </c>
      <c r="J23" s="54">
        <v>2.13</v>
      </c>
      <c r="K23" s="54">
        <v>344.98</v>
      </c>
      <c r="L23" s="54">
        <v>23.67</v>
      </c>
      <c r="M23" s="54">
        <v>35.869999999999997</v>
      </c>
      <c r="N23" s="54">
        <v>314.8</v>
      </c>
      <c r="O23" s="54">
        <v>0</v>
      </c>
      <c r="P23" s="54">
        <v>0.7</v>
      </c>
      <c r="Q23" s="54">
        <v>8.2100000000000009</v>
      </c>
      <c r="R23" s="43"/>
      <c r="S23" s="43"/>
      <c r="T23" s="43"/>
      <c r="U23" s="43"/>
    </row>
    <row r="24" spans="1:21" s="11" customFormat="1" x14ac:dyDescent="0.25">
      <c r="A24" s="53" t="s">
        <v>411</v>
      </c>
      <c r="B24" s="54">
        <v>5.09</v>
      </c>
      <c r="C24" s="54">
        <v>55.23</v>
      </c>
      <c r="D24" s="54">
        <v>31.56</v>
      </c>
      <c r="E24" s="54">
        <v>6.05</v>
      </c>
      <c r="F24" s="54">
        <v>2.13</v>
      </c>
      <c r="G24" s="54">
        <v>60.65</v>
      </c>
      <c r="H24" s="54">
        <v>30.35</v>
      </c>
      <c r="I24" s="55" t="s">
        <v>15</v>
      </c>
      <c r="J24" s="54">
        <v>2.36</v>
      </c>
      <c r="K24" s="54">
        <v>344.93</v>
      </c>
      <c r="L24" s="54">
        <v>22.39</v>
      </c>
      <c r="M24" s="54">
        <v>37.65</v>
      </c>
      <c r="N24" s="54">
        <v>187.8</v>
      </c>
      <c r="O24" s="54">
        <v>0</v>
      </c>
      <c r="P24" s="54">
        <v>0.69</v>
      </c>
      <c r="Q24" s="54">
        <v>8.2100000000000009</v>
      </c>
      <c r="R24" s="43"/>
      <c r="S24" s="43"/>
      <c r="T24" s="43"/>
      <c r="U24" s="43"/>
    </row>
    <row r="25" spans="1:21" s="11" customFormat="1" x14ac:dyDescent="0.25">
      <c r="A25" s="53" t="s">
        <v>412</v>
      </c>
      <c r="B25" s="54">
        <v>7.58</v>
      </c>
      <c r="C25" s="54">
        <v>63.14</v>
      </c>
      <c r="D25" s="54">
        <v>37.69</v>
      </c>
      <c r="E25" s="54">
        <v>6.3</v>
      </c>
      <c r="F25" s="54">
        <v>2.13</v>
      </c>
      <c r="G25" s="54">
        <v>62.42</v>
      </c>
      <c r="H25" s="54">
        <v>29.18</v>
      </c>
      <c r="I25" s="55" t="s">
        <v>15</v>
      </c>
      <c r="J25" s="54">
        <v>2.06</v>
      </c>
      <c r="K25" s="54">
        <v>350.92</v>
      </c>
      <c r="L25" s="54">
        <v>21.56</v>
      </c>
      <c r="M25" s="54">
        <v>41.41</v>
      </c>
      <c r="N25" s="54">
        <v>140.19999999999999</v>
      </c>
      <c r="O25" s="54">
        <v>0</v>
      </c>
      <c r="P25" s="54">
        <v>0.71</v>
      </c>
      <c r="Q25" s="54">
        <v>8.2100000000000009</v>
      </c>
      <c r="R25" s="43"/>
      <c r="S25" s="43"/>
      <c r="T25" s="43"/>
      <c r="U25" s="43"/>
    </row>
    <row r="26" spans="1:21" s="11" customFormat="1" x14ac:dyDescent="0.25">
      <c r="A26" s="53" t="s">
        <v>413</v>
      </c>
      <c r="B26" s="54">
        <v>9.52</v>
      </c>
      <c r="C26" s="54">
        <v>67.010000000000005</v>
      </c>
      <c r="D26" s="54">
        <v>41.27</v>
      </c>
      <c r="E26" s="54">
        <v>6.23</v>
      </c>
      <c r="F26" s="54">
        <v>2.13</v>
      </c>
      <c r="G26" s="54">
        <v>67.2</v>
      </c>
      <c r="H26" s="54">
        <v>27.71</v>
      </c>
      <c r="I26" s="55" t="s">
        <v>15</v>
      </c>
      <c r="J26" s="54">
        <v>1.19</v>
      </c>
      <c r="K26" s="54">
        <v>83.8</v>
      </c>
      <c r="L26" s="54">
        <v>20.309999999999999</v>
      </c>
      <c r="M26" s="54">
        <v>49.32</v>
      </c>
      <c r="N26" s="54">
        <v>88.8</v>
      </c>
      <c r="O26" s="54">
        <v>0</v>
      </c>
      <c r="P26" s="54">
        <v>0.77</v>
      </c>
      <c r="Q26" s="54">
        <v>8.2100000000000009</v>
      </c>
      <c r="R26" s="43"/>
      <c r="S26" s="43"/>
      <c r="T26" s="43"/>
      <c r="U26" s="43"/>
    </row>
    <row r="27" spans="1:21" s="11" customFormat="1" x14ac:dyDescent="0.25">
      <c r="A27" s="53" t="s">
        <v>414</v>
      </c>
      <c r="B27" s="54">
        <v>24.77</v>
      </c>
      <c r="C27" s="54">
        <v>69.069999999999993</v>
      </c>
      <c r="D27" s="54">
        <v>54.11</v>
      </c>
      <c r="E27" s="54">
        <v>6.29</v>
      </c>
      <c r="F27" s="54">
        <v>2.13</v>
      </c>
      <c r="G27" s="54">
        <v>81.36</v>
      </c>
      <c r="H27" s="54">
        <v>29.33</v>
      </c>
      <c r="I27" s="55" t="s">
        <v>15</v>
      </c>
      <c r="J27" s="54">
        <v>1.81</v>
      </c>
      <c r="K27" s="54">
        <v>345.26</v>
      </c>
      <c r="L27" s="54">
        <v>17.71</v>
      </c>
      <c r="M27" s="54">
        <v>70.17</v>
      </c>
      <c r="N27" s="54">
        <v>62</v>
      </c>
      <c r="O27" s="54">
        <v>0</v>
      </c>
      <c r="P27" s="54">
        <v>1.68</v>
      </c>
      <c r="Q27" s="54">
        <v>8.2100000000000009</v>
      </c>
      <c r="R27" s="43"/>
      <c r="S27" s="43"/>
      <c r="T27" s="43"/>
      <c r="U27" s="43"/>
    </row>
    <row r="28" spans="1:21" s="11" customFormat="1" x14ac:dyDescent="0.25">
      <c r="A28" s="53" t="s">
        <v>415</v>
      </c>
      <c r="B28" s="54">
        <v>49.95</v>
      </c>
      <c r="C28" s="54">
        <v>69.650000000000006</v>
      </c>
      <c r="D28" s="54">
        <v>75.05</v>
      </c>
      <c r="E28" s="54">
        <v>7.13</v>
      </c>
      <c r="F28" s="54">
        <v>2.13</v>
      </c>
      <c r="G28" s="54">
        <v>112.61</v>
      </c>
      <c r="H28" s="54">
        <v>32.950000000000003</v>
      </c>
      <c r="I28" s="55" t="s">
        <v>15</v>
      </c>
      <c r="J28" s="54">
        <v>1.84</v>
      </c>
      <c r="K28" s="54">
        <v>340.38</v>
      </c>
      <c r="L28" s="54">
        <v>16.010000000000002</v>
      </c>
      <c r="M28" s="54">
        <v>71.64</v>
      </c>
      <c r="N28" s="54">
        <v>61</v>
      </c>
      <c r="O28" s="54">
        <v>0</v>
      </c>
      <c r="P28" s="54">
        <v>1.63</v>
      </c>
      <c r="Q28" s="54">
        <v>8.2100000000000009</v>
      </c>
      <c r="R28" s="43"/>
      <c r="S28" s="43"/>
      <c r="T28" s="43"/>
      <c r="U28" s="43"/>
    </row>
    <row r="29" spans="1:21" s="11" customFormat="1" x14ac:dyDescent="0.25">
      <c r="A29" s="53" t="s">
        <v>416</v>
      </c>
      <c r="B29" s="54">
        <v>67.010000000000005</v>
      </c>
      <c r="C29" s="54">
        <v>71.739999999999995</v>
      </c>
      <c r="D29" s="54">
        <v>89.84</v>
      </c>
      <c r="E29" s="54">
        <v>7.69</v>
      </c>
      <c r="F29" s="54">
        <v>2.13</v>
      </c>
      <c r="G29" s="54">
        <v>127.88</v>
      </c>
      <c r="H29" s="54">
        <v>38.39</v>
      </c>
      <c r="I29" s="55" t="s">
        <v>15</v>
      </c>
      <c r="J29" s="54">
        <v>1.73</v>
      </c>
      <c r="K29" s="54">
        <v>334.65</v>
      </c>
      <c r="L29" s="54">
        <v>15.69</v>
      </c>
      <c r="M29" s="54">
        <v>74.12</v>
      </c>
      <c r="N29" s="54">
        <v>60.9</v>
      </c>
      <c r="O29" s="54">
        <v>0</v>
      </c>
      <c r="P29" s="54">
        <v>1.47</v>
      </c>
      <c r="Q29" s="54">
        <v>8.91</v>
      </c>
      <c r="R29" s="43"/>
      <c r="S29" s="43"/>
      <c r="T29" s="43"/>
      <c r="U29" s="43"/>
    </row>
    <row r="30" spans="1:21" s="11" customFormat="1" x14ac:dyDescent="0.25">
      <c r="A30" s="53" t="s">
        <v>417</v>
      </c>
      <c r="B30" s="54">
        <v>108.59</v>
      </c>
      <c r="C30" s="54">
        <v>74.88</v>
      </c>
      <c r="D30" s="54">
        <v>124.83</v>
      </c>
      <c r="E30" s="54">
        <v>8.89</v>
      </c>
      <c r="F30" s="54">
        <v>2.13</v>
      </c>
      <c r="G30" s="54">
        <v>151.16999999999999</v>
      </c>
      <c r="H30" s="54">
        <v>39</v>
      </c>
      <c r="I30" s="55" t="s">
        <v>15</v>
      </c>
      <c r="J30" s="54">
        <v>1.83</v>
      </c>
      <c r="K30" s="54">
        <v>347.68</v>
      </c>
      <c r="L30" s="54">
        <v>14.55</v>
      </c>
      <c r="M30" s="54">
        <v>79.13</v>
      </c>
      <c r="N30" s="54">
        <v>60.5</v>
      </c>
      <c r="O30" s="54">
        <v>0</v>
      </c>
      <c r="P30" s="54">
        <v>1.83</v>
      </c>
      <c r="Q30" s="54">
        <v>9.7100000000000009</v>
      </c>
      <c r="R30" s="43"/>
      <c r="S30" s="43"/>
      <c r="T30" s="43"/>
      <c r="U30" s="43"/>
    </row>
    <row r="31" spans="1:21" s="11" customFormat="1" x14ac:dyDescent="0.25">
      <c r="A31" s="53" t="s">
        <v>418</v>
      </c>
      <c r="B31" s="54">
        <v>118.61</v>
      </c>
      <c r="C31" s="54">
        <v>75.2</v>
      </c>
      <c r="D31" s="54">
        <v>131.11000000000001</v>
      </c>
      <c r="E31" s="54">
        <v>8.75</v>
      </c>
      <c r="F31" s="54">
        <v>2.13</v>
      </c>
      <c r="G31" s="54">
        <v>151.16999999999999</v>
      </c>
      <c r="H31" s="54">
        <v>39</v>
      </c>
      <c r="I31" s="55" t="s">
        <v>15</v>
      </c>
      <c r="J31" s="54">
        <v>1.85</v>
      </c>
      <c r="K31" s="54">
        <v>320.2</v>
      </c>
      <c r="L31" s="54">
        <v>14.19</v>
      </c>
      <c r="M31" s="54">
        <v>81.03</v>
      </c>
      <c r="N31" s="54">
        <v>59.9</v>
      </c>
      <c r="O31" s="54">
        <v>0</v>
      </c>
      <c r="P31" s="54">
        <v>2.06</v>
      </c>
      <c r="Q31" s="54">
        <v>9.81</v>
      </c>
      <c r="R31" s="43"/>
      <c r="S31" s="43"/>
      <c r="T31" s="43"/>
      <c r="U31" s="43"/>
    </row>
    <row r="32" spans="1:21" s="11" customFormat="1" x14ac:dyDescent="0.25">
      <c r="A32" s="53" t="s">
        <v>419</v>
      </c>
      <c r="B32" s="54">
        <v>119.56</v>
      </c>
      <c r="C32" s="54">
        <v>72.11</v>
      </c>
      <c r="D32" s="54">
        <v>132.16999999999999</v>
      </c>
      <c r="E32" s="54">
        <v>8.7200000000000006</v>
      </c>
      <c r="F32" s="54">
        <v>2.13</v>
      </c>
      <c r="G32" s="54">
        <v>148.52000000000001</v>
      </c>
      <c r="H32" s="54">
        <v>45.33</v>
      </c>
      <c r="I32" s="55" t="s">
        <v>15</v>
      </c>
      <c r="J32" s="54">
        <v>1.86</v>
      </c>
      <c r="K32" s="54">
        <v>307.19</v>
      </c>
      <c r="L32" s="54">
        <v>14.42</v>
      </c>
      <c r="M32" s="54">
        <v>79.930000000000007</v>
      </c>
      <c r="N32" s="54">
        <v>59.8</v>
      </c>
      <c r="O32" s="54">
        <v>0</v>
      </c>
      <c r="P32" s="54">
        <v>2.17</v>
      </c>
      <c r="Q32" s="54">
        <v>9.82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4.0999999999999996</v>
      </c>
      <c r="C34" s="28">
        <f t="shared" si="0"/>
        <v>54.34</v>
      </c>
      <c r="D34" s="28">
        <f t="shared" si="0"/>
        <v>31.56</v>
      </c>
      <c r="E34" s="28">
        <f t="shared" si="0"/>
        <v>5.79</v>
      </c>
      <c r="F34" s="28">
        <f t="shared" si="0"/>
        <v>2.13</v>
      </c>
      <c r="G34" s="28">
        <f t="shared" si="0"/>
        <v>60.65</v>
      </c>
      <c r="H34" s="28">
        <f t="shared" si="0"/>
        <v>27.71</v>
      </c>
      <c r="I34" s="28">
        <f t="shared" si="0"/>
        <v>0</v>
      </c>
      <c r="J34" s="28">
        <f t="shared" si="0"/>
        <v>0.68</v>
      </c>
      <c r="K34" s="28">
        <f t="shared" si="0"/>
        <v>83.8</v>
      </c>
      <c r="L34" s="28">
        <f t="shared" si="0"/>
        <v>12.24</v>
      </c>
      <c r="M34" s="28">
        <f t="shared" si="0"/>
        <v>35.68</v>
      </c>
      <c r="N34" s="28">
        <f t="shared" si="0"/>
        <v>59.8</v>
      </c>
      <c r="O34" s="28">
        <f t="shared" si="0"/>
        <v>0</v>
      </c>
      <c r="P34" s="28">
        <f t="shared" si="0"/>
        <v>0.69</v>
      </c>
      <c r="Q34" s="28">
        <f t="shared" si="0"/>
        <v>8.2100000000000009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119.56</v>
      </c>
      <c r="C35" s="29">
        <f t="shared" si="1"/>
        <v>75.2</v>
      </c>
      <c r="D35" s="29">
        <f t="shared" si="1"/>
        <v>132.16999999999999</v>
      </c>
      <c r="E35" s="29">
        <f t="shared" si="1"/>
        <v>8.89</v>
      </c>
      <c r="F35" s="29">
        <f t="shared" si="1"/>
        <v>2.13</v>
      </c>
      <c r="G35" s="29">
        <f t="shared" si="1"/>
        <v>151.16999999999999</v>
      </c>
      <c r="H35" s="29">
        <f t="shared" si="1"/>
        <v>50.23</v>
      </c>
      <c r="I35" s="29">
        <f t="shared" si="1"/>
        <v>0</v>
      </c>
      <c r="J35" s="29">
        <f t="shared" si="1"/>
        <v>3.26</v>
      </c>
      <c r="K35" s="29">
        <f t="shared" si="1"/>
        <v>355.47</v>
      </c>
      <c r="L35" s="29">
        <f t="shared" si="1"/>
        <v>23.95</v>
      </c>
      <c r="M35" s="29">
        <f t="shared" si="1"/>
        <v>88.57</v>
      </c>
      <c r="N35" s="29">
        <f t="shared" si="1"/>
        <v>578.20000000000005</v>
      </c>
      <c r="O35" s="29">
        <f t="shared" si="1"/>
        <v>0</v>
      </c>
      <c r="P35" s="29">
        <f t="shared" si="1"/>
        <v>2.17</v>
      </c>
      <c r="Q35" s="29">
        <f t="shared" si="1"/>
        <v>9.82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29.818333333333339</v>
      </c>
      <c r="C36" s="28">
        <f t="shared" si="2"/>
        <v>62.987083333333338</v>
      </c>
      <c r="D36" s="28">
        <f t="shared" si="2"/>
        <v>55.248749999999994</v>
      </c>
      <c r="E36" s="28">
        <f t="shared" si="2"/>
        <v>6.9329166666666673</v>
      </c>
      <c r="F36" s="28">
        <f t="shared" si="2"/>
        <v>2.1300000000000003</v>
      </c>
      <c r="G36" s="28">
        <f t="shared" si="2"/>
        <v>100.59291666666667</v>
      </c>
      <c r="H36" s="28">
        <f t="shared" si="2"/>
        <v>39.587916666666672</v>
      </c>
      <c r="I36" s="28" t="e">
        <f t="shared" si="2"/>
        <v>#DIV/0!</v>
      </c>
      <c r="J36" s="28">
        <f t="shared" si="2"/>
        <v>2.0554166666666664</v>
      </c>
      <c r="K36" s="28">
        <f t="shared" si="2"/>
        <v>293.61625000000004</v>
      </c>
      <c r="L36" s="28">
        <f t="shared" si="2"/>
        <v>17.209999999999997</v>
      </c>
      <c r="M36" s="28">
        <f t="shared" si="2"/>
        <v>66.725000000000023</v>
      </c>
      <c r="N36" s="28">
        <f t="shared" si="2"/>
        <v>199.5625</v>
      </c>
      <c r="O36" s="28">
        <f t="shared" si="2"/>
        <v>0</v>
      </c>
      <c r="P36" s="28">
        <f t="shared" si="2"/>
        <v>1.1087499999999997</v>
      </c>
      <c r="Q36" s="28">
        <f t="shared" si="2"/>
        <v>8.4354166666666703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36.20175454151439</v>
      </c>
      <c r="C37" s="28">
        <f t="shared" ref="C37:Q37" si="3">STDEV(C9:C32)</f>
        <v>6.7260754621984393</v>
      </c>
      <c r="D37" s="28">
        <f t="shared" si="3"/>
        <v>31.6449679099496</v>
      </c>
      <c r="E37" s="28">
        <f t="shared" si="3"/>
        <v>0.88062467535299782</v>
      </c>
      <c r="F37" s="28">
        <f t="shared" si="3"/>
        <v>4.5364060814922986E-16</v>
      </c>
      <c r="G37" s="28">
        <f t="shared" si="3"/>
        <v>27.697806769107906</v>
      </c>
      <c r="H37" s="28">
        <f t="shared" si="3"/>
        <v>6.5587830122247786</v>
      </c>
      <c r="I37" s="28" t="e">
        <f t="shared" si="3"/>
        <v>#DIV/0!</v>
      </c>
      <c r="J37" s="28">
        <f t="shared" si="3"/>
        <v>0.5954244314967162</v>
      </c>
      <c r="K37" s="28">
        <f t="shared" si="3"/>
        <v>95.531823052639623</v>
      </c>
      <c r="L37" s="28">
        <f t="shared" si="3"/>
        <v>3.9549330780904426</v>
      </c>
      <c r="M37" s="28">
        <f t="shared" si="3"/>
        <v>18.04497159875838</v>
      </c>
      <c r="N37" s="28">
        <f t="shared" si="3"/>
        <v>188.28427354148167</v>
      </c>
      <c r="O37" s="28">
        <f t="shared" si="3"/>
        <v>0</v>
      </c>
      <c r="P37" s="28">
        <f t="shared" si="3"/>
        <v>0.4480422388861206</v>
      </c>
      <c r="Q37" s="28">
        <f t="shared" si="3"/>
        <v>0.53862126055219961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0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&lt;90%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LESS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9" sqref="G49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16/01/2025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8"/>
      <c r="B8" s="59" t="s">
        <v>22</v>
      </c>
      <c r="C8" s="59" t="s">
        <v>22</v>
      </c>
      <c r="D8" s="29" t="s">
        <v>42</v>
      </c>
      <c r="E8" s="59" t="s">
        <v>22</v>
      </c>
      <c r="F8" s="59" t="s">
        <v>22</v>
      </c>
      <c r="G8" s="59" t="s">
        <v>23</v>
      </c>
      <c r="H8" s="59" t="s">
        <v>22</v>
      </c>
      <c r="I8" s="59" t="s">
        <v>22</v>
      </c>
      <c r="J8" s="59" t="s">
        <v>24</v>
      </c>
      <c r="K8" s="59" t="s">
        <v>25</v>
      </c>
      <c r="L8" s="58" t="s">
        <v>27</v>
      </c>
      <c r="M8" s="59" t="s">
        <v>26</v>
      </c>
      <c r="N8" s="59" t="s">
        <v>28</v>
      </c>
      <c r="O8" s="58" t="s">
        <v>29</v>
      </c>
      <c r="P8" s="59" t="s">
        <v>22</v>
      </c>
      <c r="Q8" s="59" t="s">
        <v>22</v>
      </c>
      <c r="R8" s="27"/>
      <c r="S8" s="29"/>
      <c r="T8" s="27"/>
      <c r="U8" s="27"/>
    </row>
    <row r="9" spans="1:21" s="11" customFormat="1" x14ac:dyDescent="0.25">
      <c r="A9" s="53" t="s">
        <v>420</v>
      </c>
      <c r="B9" s="54">
        <v>116.4</v>
      </c>
      <c r="C9" s="54">
        <v>69.39</v>
      </c>
      <c r="D9" s="54">
        <v>128.22</v>
      </c>
      <c r="E9" s="54">
        <v>8.2799999999999994</v>
      </c>
      <c r="F9" s="54">
        <v>2.13</v>
      </c>
      <c r="G9" s="54">
        <v>144.56</v>
      </c>
      <c r="H9" s="54">
        <v>48.94</v>
      </c>
      <c r="I9" s="55" t="s">
        <v>15</v>
      </c>
      <c r="J9" s="54">
        <v>1.84</v>
      </c>
      <c r="K9" s="54">
        <v>333.9</v>
      </c>
      <c r="L9" s="54">
        <v>14.38</v>
      </c>
      <c r="M9" s="54">
        <v>83.13</v>
      </c>
      <c r="N9" s="54">
        <v>59.4</v>
      </c>
      <c r="O9" s="54">
        <v>0</v>
      </c>
      <c r="P9" s="54">
        <v>2.16</v>
      </c>
      <c r="Q9" s="54">
        <v>9.84</v>
      </c>
      <c r="R9" s="43"/>
      <c r="S9" s="43"/>
      <c r="T9" s="43"/>
      <c r="U9" s="43"/>
    </row>
    <row r="10" spans="1:21" s="11" customFormat="1" x14ac:dyDescent="0.25">
      <c r="A10" s="53" t="s">
        <v>421</v>
      </c>
      <c r="B10" s="54">
        <v>108.54</v>
      </c>
      <c r="C10" s="54">
        <v>67.150000000000006</v>
      </c>
      <c r="D10" s="54">
        <v>120.75</v>
      </c>
      <c r="E10" s="54">
        <v>9.14</v>
      </c>
      <c r="F10" s="54">
        <v>2.13</v>
      </c>
      <c r="G10" s="54">
        <v>162.91999999999999</v>
      </c>
      <c r="H10" s="54">
        <v>52.95</v>
      </c>
      <c r="I10" s="55" t="s">
        <v>15</v>
      </c>
      <c r="J10" s="54">
        <v>1.86</v>
      </c>
      <c r="K10" s="54">
        <v>301.48</v>
      </c>
      <c r="L10" s="54">
        <v>14.19</v>
      </c>
      <c r="M10" s="54">
        <v>88.28</v>
      </c>
      <c r="N10" s="54">
        <v>59.5</v>
      </c>
      <c r="O10" s="54">
        <v>0</v>
      </c>
      <c r="P10" s="54">
        <v>1.99</v>
      </c>
      <c r="Q10" s="54">
        <v>9.75</v>
      </c>
      <c r="R10" s="43"/>
      <c r="S10" s="43"/>
      <c r="T10" s="43"/>
      <c r="U10" s="43"/>
    </row>
    <row r="11" spans="1:21" s="11" customFormat="1" x14ac:dyDescent="0.25">
      <c r="A11" s="53" t="s">
        <v>422</v>
      </c>
      <c r="B11" s="54">
        <v>98.37</v>
      </c>
      <c r="C11" s="54">
        <v>64.08</v>
      </c>
      <c r="D11" s="54">
        <v>110.99</v>
      </c>
      <c r="E11" s="54">
        <v>9</v>
      </c>
      <c r="F11" s="54">
        <v>2.13</v>
      </c>
      <c r="G11" s="54">
        <v>183.42</v>
      </c>
      <c r="H11" s="54">
        <v>61.97</v>
      </c>
      <c r="I11" s="55" t="s">
        <v>15</v>
      </c>
      <c r="J11" s="54">
        <v>1.83</v>
      </c>
      <c r="K11" s="54">
        <v>330.7</v>
      </c>
      <c r="L11" s="54">
        <v>13.38</v>
      </c>
      <c r="M11" s="54">
        <v>93.15</v>
      </c>
      <c r="N11" s="54">
        <v>59.4</v>
      </c>
      <c r="O11" s="54">
        <v>0</v>
      </c>
      <c r="P11" s="54">
        <v>1.99</v>
      </c>
      <c r="Q11" s="54">
        <v>9.67</v>
      </c>
      <c r="R11" s="43"/>
      <c r="S11" s="43"/>
      <c r="T11" s="43"/>
      <c r="U11" s="43"/>
    </row>
    <row r="12" spans="1:21" s="11" customFormat="1" x14ac:dyDescent="0.25">
      <c r="A12" s="53" t="s">
        <v>423</v>
      </c>
      <c r="B12" s="54">
        <v>93.45</v>
      </c>
      <c r="C12" s="54">
        <v>57</v>
      </c>
      <c r="D12" s="54">
        <v>103.35</v>
      </c>
      <c r="E12" s="54">
        <v>8.8800000000000008</v>
      </c>
      <c r="F12" s="54">
        <v>2.13</v>
      </c>
      <c r="G12" s="54">
        <v>183.42</v>
      </c>
      <c r="H12" s="54">
        <v>64.67</v>
      </c>
      <c r="I12" s="55" t="s">
        <v>15</v>
      </c>
      <c r="J12" s="54">
        <v>1.86</v>
      </c>
      <c r="K12" s="54">
        <v>347.13</v>
      </c>
      <c r="L12" s="54">
        <v>12.92</v>
      </c>
      <c r="M12" s="54">
        <v>92.7</v>
      </c>
      <c r="N12" s="54">
        <v>59.3</v>
      </c>
      <c r="O12" s="54">
        <v>0</v>
      </c>
      <c r="P12" s="54">
        <v>1.99</v>
      </c>
      <c r="Q12" s="54">
        <v>9.66</v>
      </c>
      <c r="R12" s="43"/>
      <c r="S12" s="43"/>
      <c r="T12" s="43"/>
      <c r="U12" s="43"/>
    </row>
    <row r="13" spans="1:21" s="11" customFormat="1" x14ac:dyDescent="0.25">
      <c r="A13" s="53" t="s">
        <v>424</v>
      </c>
      <c r="B13" s="54">
        <v>88.55</v>
      </c>
      <c r="C13" s="54">
        <v>55.92</v>
      </c>
      <c r="D13" s="54">
        <v>98.85</v>
      </c>
      <c r="E13" s="54">
        <v>8.43</v>
      </c>
      <c r="F13" s="54">
        <v>2.13</v>
      </c>
      <c r="G13" s="54">
        <v>180.02</v>
      </c>
      <c r="H13" s="54">
        <v>64.67</v>
      </c>
      <c r="I13" s="55" t="s">
        <v>15</v>
      </c>
      <c r="J13" s="54">
        <v>1.85</v>
      </c>
      <c r="K13" s="54">
        <v>338.4</v>
      </c>
      <c r="L13" s="54">
        <v>12.71</v>
      </c>
      <c r="M13" s="54">
        <v>91.66</v>
      </c>
      <c r="N13" s="54">
        <v>59.3</v>
      </c>
      <c r="O13" s="54">
        <v>0</v>
      </c>
      <c r="P13" s="54">
        <v>1.91</v>
      </c>
      <c r="Q13" s="54">
        <v>9.6199999999999992</v>
      </c>
      <c r="R13" s="43"/>
      <c r="S13" s="43"/>
      <c r="T13" s="43"/>
      <c r="U13" s="43"/>
    </row>
    <row r="14" spans="1:21" s="11" customFormat="1" x14ac:dyDescent="0.25">
      <c r="A14" s="53" t="s">
        <v>425</v>
      </c>
      <c r="B14" s="54">
        <v>92.16</v>
      </c>
      <c r="C14" s="54">
        <v>57.03</v>
      </c>
      <c r="D14" s="54">
        <v>102.12</v>
      </c>
      <c r="E14" s="54">
        <v>7.87</v>
      </c>
      <c r="F14" s="54">
        <v>2.13</v>
      </c>
      <c r="G14" s="54">
        <v>166.49</v>
      </c>
      <c r="H14" s="54">
        <v>61.88</v>
      </c>
      <c r="I14" s="55" t="s">
        <v>15</v>
      </c>
      <c r="J14" s="54">
        <v>1.84</v>
      </c>
      <c r="K14" s="54">
        <v>341.06</v>
      </c>
      <c r="L14" s="54">
        <v>13.15</v>
      </c>
      <c r="M14" s="54">
        <v>93.28</v>
      </c>
      <c r="N14" s="54">
        <v>59.5</v>
      </c>
      <c r="O14" s="54">
        <v>0</v>
      </c>
      <c r="P14" s="54">
        <v>1.81</v>
      </c>
      <c r="Q14" s="54">
        <v>9.64</v>
      </c>
      <c r="R14" s="43"/>
      <c r="S14" s="43"/>
      <c r="T14" s="43"/>
      <c r="U14" s="43"/>
    </row>
    <row r="15" spans="1:21" s="11" customFormat="1" x14ac:dyDescent="0.25">
      <c r="A15" s="53" t="s">
        <v>426</v>
      </c>
      <c r="B15" s="54">
        <v>88.99</v>
      </c>
      <c r="C15" s="54">
        <v>58.09</v>
      </c>
      <c r="D15" s="54">
        <v>100.13</v>
      </c>
      <c r="E15" s="54">
        <v>7.36</v>
      </c>
      <c r="F15" s="54">
        <v>2.13</v>
      </c>
      <c r="G15" s="54">
        <v>160.22</v>
      </c>
      <c r="H15" s="54">
        <v>54.97</v>
      </c>
      <c r="I15" s="55" t="s">
        <v>15</v>
      </c>
      <c r="J15" s="54">
        <v>1.36</v>
      </c>
      <c r="K15" s="54">
        <v>335.44</v>
      </c>
      <c r="L15" s="54">
        <v>13.27</v>
      </c>
      <c r="M15" s="54">
        <v>83.38</v>
      </c>
      <c r="N15" s="54">
        <v>72.900000000000006</v>
      </c>
      <c r="O15" s="54">
        <v>0</v>
      </c>
      <c r="P15" s="54">
        <v>1.67</v>
      </c>
      <c r="Q15" s="54">
        <v>9.65</v>
      </c>
      <c r="R15" s="43"/>
      <c r="S15" s="43"/>
      <c r="T15" s="43"/>
      <c r="U15" s="43"/>
    </row>
    <row r="16" spans="1:21" s="11" customFormat="1" x14ac:dyDescent="0.25">
      <c r="A16" s="53" t="s">
        <v>427</v>
      </c>
      <c r="B16" s="54">
        <v>73.94</v>
      </c>
      <c r="C16" s="54">
        <v>57.46</v>
      </c>
      <c r="D16" s="54">
        <v>86.83</v>
      </c>
      <c r="E16" s="54">
        <v>7.02</v>
      </c>
      <c r="F16" s="54">
        <v>2.13</v>
      </c>
      <c r="G16" s="54">
        <v>140.86000000000001</v>
      </c>
      <c r="H16" s="54">
        <v>53.15</v>
      </c>
      <c r="I16" s="55" t="s">
        <v>15</v>
      </c>
      <c r="J16" s="54">
        <v>2.74</v>
      </c>
      <c r="K16" s="54">
        <v>119.33</v>
      </c>
      <c r="L16" s="54">
        <v>14.7</v>
      </c>
      <c r="M16" s="54">
        <v>79.87</v>
      </c>
      <c r="N16" s="54">
        <v>215.4</v>
      </c>
      <c r="O16" s="54">
        <v>0</v>
      </c>
      <c r="P16" s="54">
        <v>1.53</v>
      </c>
      <c r="Q16" s="54">
        <v>9.24</v>
      </c>
      <c r="R16" s="43"/>
      <c r="S16" s="43"/>
      <c r="T16" s="43"/>
      <c r="U16" s="43"/>
    </row>
    <row r="17" spans="1:21" s="11" customFormat="1" x14ac:dyDescent="0.25">
      <c r="A17" s="53" t="s">
        <v>428</v>
      </c>
      <c r="B17" s="54">
        <v>60.81</v>
      </c>
      <c r="C17" s="54">
        <v>59.48</v>
      </c>
      <c r="D17" s="54">
        <v>77.64</v>
      </c>
      <c r="E17" s="54">
        <v>7.73</v>
      </c>
      <c r="F17" s="54">
        <v>2.13</v>
      </c>
      <c r="G17" s="54">
        <v>121.31</v>
      </c>
      <c r="H17" s="54">
        <v>50.39</v>
      </c>
      <c r="I17" s="55" t="s">
        <v>15</v>
      </c>
      <c r="J17" s="54">
        <v>3.11</v>
      </c>
      <c r="K17" s="54">
        <v>120.28</v>
      </c>
      <c r="L17" s="54">
        <v>17.2</v>
      </c>
      <c r="M17" s="54">
        <v>68.8</v>
      </c>
      <c r="N17" s="54">
        <v>302.10000000000002</v>
      </c>
      <c r="O17" s="54">
        <v>0</v>
      </c>
      <c r="P17" s="54">
        <v>1.42</v>
      </c>
      <c r="Q17" s="54">
        <v>8.5399999999999991</v>
      </c>
      <c r="R17" s="43"/>
      <c r="S17" s="43"/>
      <c r="T17" s="43"/>
      <c r="U17" s="43"/>
    </row>
    <row r="18" spans="1:21" s="11" customFormat="1" x14ac:dyDescent="0.25">
      <c r="A18" s="53" t="s">
        <v>429</v>
      </c>
      <c r="B18" s="54">
        <v>46.1</v>
      </c>
      <c r="C18" s="54">
        <v>65.92</v>
      </c>
      <c r="D18" s="54">
        <v>67.790000000000006</v>
      </c>
      <c r="E18" s="54">
        <v>7.58</v>
      </c>
      <c r="F18" s="54">
        <v>2.13</v>
      </c>
      <c r="G18" s="54">
        <v>106.21</v>
      </c>
      <c r="H18" s="54">
        <v>47.5</v>
      </c>
      <c r="I18" s="55" t="s">
        <v>15</v>
      </c>
      <c r="J18" s="54">
        <v>2.44</v>
      </c>
      <c r="K18" s="54">
        <v>121.56</v>
      </c>
      <c r="L18" s="54">
        <v>19.18</v>
      </c>
      <c r="M18" s="54">
        <v>60.5</v>
      </c>
      <c r="N18" s="54">
        <v>400.5</v>
      </c>
      <c r="O18" s="54">
        <v>0</v>
      </c>
      <c r="P18" s="54">
        <v>1.25</v>
      </c>
      <c r="Q18" s="54">
        <v>8.2100000000000009</v>
      </c>
      <c r="R18" s="43"/>
      <c r="S18" s="43"/>
      <c r="T18" s="43"/>
      <c r="U18" s="43"/>
    </row>
    <row r="19" spans="1:21" s="11" customFormat="1" x14ac:dyDescent="0.25">
      <c r="A19" s="53" t="s">
        <v>430</v>
      </c>
      <c r="B19" s="54">
        <v>31.14</v>
      </c>
      <c r="C19" s="54">
        <v>70.89</v>
      </c>
      <c r="D19" s="54">
        <v>58.74</v>
      </c>
      <c r="E19" s="54">
        <v>7.47</v>
      </c>
      <c r="F19" s="54">
        <v>2.13</v>
      </c>
      <c r="G19" s="54">
        <v>94.56</v>
      </c>
      <c r="H19" s="54">
        <v>41.72</v>
      </c>
      <c r="I19" s="55" t="s">
        <v>15</v>
      </c>
      <c r="J19" s="54">
        <v>2.0299999999999998</v>
      </c>
      <c r="K19" s="54">
        <v>248.58</v>
      </c>
      <c r="L19" s="54">
        <v>24.14</v>
      </c>
      <c r="M19" s="54">
        <v>51.82</v>
      </c>
      <c r="N19" s="54">
        <v>587.70000000000005</v>
      </c>
      <c r="O19" s="54">
        <v>0</v>
      </c>
      <c r="P19" s="54">
        <v>1.1200000000000001</v>
      </c>
      <c r="Q19" s="54">
        <v>8.2100000000000009</v>
      </c>
      <c r="R19" s="43"/>
      <c r="S19" s="43"/>
      <c r="T19" s="43"/>
      <c r="U19" s="43"/>
    </row>
    <row r="20" spans="1:21" s="11" customFormat="1" x14ac:dyDescent="0.25">
      <c r="A20" s="53" t="s">
        <v>431</v>
      </c>
      <c r="B20" s="54">
        <v>19.43</v>
      </c>
      <c r="C20" s="54">
        <v>72.19</v>
      </c>
      <c r="D20" s="54">
        <v>51.64</v>
      </c>
      <c r="E20" s="54">
        <v>7.33</v>
      </c>
      <c r="F20" s="54">
        <v>2.13</v>
      </c>
      <c r="G20" s="54">
        <v>90.29</v>
      </c>
      <c r="H20" s="54">
        <v>40.130000000000003</v>
      </c>
      <c r="I20" s="55" t="s">
        <v>15</v>
      </c>
      <c r="J20" s="54">
        <v>2.37</v>
      </c>
      <c r="K20" s="54">
        <v>340.4</v>
      </c>
      <c r="L20" s="54">
        <v>27.61</v>
      </c>
      <c r="M20" s="54">
        <v>41.14</v>
      </c>
      <c r="N20" s="54">
        <v>650.5</v>
      </c>
      <c r="O20" s="54">
        <v>0</v>
      </c>
      <c r="P20" s="54">
        <v>0.99</v>
      </c>
      <c r="Q20" s="54">
        <v>8.2100000000000009</v>
      </c>
      <c r="R20" s="43"/>
      <c r="S20" s="43"/>
      <c r="T20" s="43"/>
      <c r="U20" s="43"/>
    </row>
    <row r="21" spans="1:21" s="11" customFormat="1" x14ac:dyDescent="0.25">
      <c r="A21" s="53" t="s">
        <v>432</v>
      </c>
      <c r="B21" s="54">
        <v>12.22</v>
      </c>
      <c r="C21" s="54">
        <v>82.88</v>
      </c>
      <c r="D21" s="54">
        <v>46.86</v>
      </c>
      <c r="E21" s="54">
        <v>10.85</v>
      </c>
      <c r="F21" s="54">
        <v>22.22</v>
      </c>
      <c r="G21" s="54">
        <v>86.62</v>
      </c>
      <c r="H21" s="54">
        <v>37.18</v>
      </c>
      <c r="I21" s="55" t="s">
        <v>15</v>
      </c>
      <c r="J21" s="54">
        <v>2.5099999999999998</v>
      </c>
      <c r="K21" s="54">
        <v>340.7</v>
      </c>
      <c r="L21" s="54">
        <v>28.48</v>
      </c>
      <c r="M21" s="54">
        <v>34.5</v>
      </c>
      <c r="N21" s="54">
        <v>639.20000000000005</v>
      </c>
      <c r="O21" s="54">
        <v>0</v>
      </c>
      <c r="P21" s="54">
        <v>0.92</v>
      </c>
      <c r="Q21" s="54">
        <v>8.2100000000000009</v>
      </c>
      <c r="R21" s="43"/>
      <c r="S21" s="43"/>
      <c r="T21" s="43"/>
      <c r="U21" s="43"/>
    </row>
    <row r="22" spans="1:21" s="11" customFormat="1" x14ac:dyDescent="0.25">
      <c r="A22" s="53" t="s">
        <v>433</v>
      </c>
      <c r="B22" s="54">
        <v>2.65</v>
      </c>
      <c r="C22" s="54">
        <v>69.27</v>
      </c>
      <c r="D22" s="54">
        <v>36.89</v>
      </c>
      <c r="E22" s="54">
        <v>11.22</v>
      </c>
      <c r="F22" s="54">
        <v>9.08</v>
      </c>
      <c r="G22" s="54">
        <v>80.28</v>
      </c>
      <c r="H22" s="54">
        <v>36.840000000000003</v>
      </c>
      <c r="I22" s="55" t="s">
        <v>15</v>
      </c>
      <c r="J22" s="54">
        <v>1.28</v>
      </c>
      <c r="K22" s="54">
        <v>119.02</v>
      </c>
      <c r="L22" s="54">
        <v>25.21</v>
      </c>
      <c r="M22" s="54">
        <v>35.299999999999997</v>
      </c>
      <c r="N22" s="54">
        <v>559.79999999999995</v>
      </c>
      <c r="O22" s="54">
        <v>0</v>
      </c>
      <c r="P22" s="54">
        <v>0.7</v>
      </c>
      <c r="Q22" s="54">
        <v>8.2100000000000009</v>
      </c>
      <c r="R22" s="43"/>
      <c r="S22" s="43"/>
      <c r="T22" s="43"/>
      <c r="U22" s="43"/>
    </row>
    <row r="23" spans="1:21" s="11" customFormat="1" x14ac:dyDescent="0.25">
      <c r="A23" s="53" t="s">
        <v>434</v>
      </c>
      <c r="B23" s="54">
        <v>5.12</v>
      </c>
      <c r="C23" s="54">
        <v>70.89</v>
      </c>
      <c r="D23" s="54">
        <v>39.770000000000003</v>
      </c>
      <c r="E23" s="54">
        <v>9.51</v>
      </c>
      <c r="F23" s="54">
        <v>4.33</v>
      </c>
      <c r="G23" s="54">
        <v>80.28</v>
      </c>
      <c r="H23" s="54">
        <v>35.44</v>
      </c>
      <c r="I23" s="55" t="s">
        <v>15</v>
      </c>
      <c r="J23" s="54">
        <v>2.73</v>
      </c>
      <c r="K23" s="54">
        <v>343.88</v>
      </c>
      <c r="L23" s="54">
        <v>24.5</v>
      </c>
      <c r="M23" s="54">
        <v>36.770000000000003</v>
      </c>
      <c r="N23" s="54">
        <v>417.8</v>
      </c>
      <c r="O23" s="54">
        <v>0</v>
      </c>
      <c r="P23" s="54">
        <v>0.68</v>
      </c>
      <c r="Q23" s="54">
        <v>8.2100000000000009</v>
      </c>
      <c r="R23" s="43"/>
      <c r="S23" s="43"/>
      <c r="T23" s="43"/>
      <c r="U23" s="43"/>
    </row>
    <row r="24" spans="1:21" s="11" customFormat="1" x14ac:dyDescent="0.25">
      <c r="A24" s="53" t="s">
        <v>435</v>
      </c>
      <c r="B24" s="54">
        <v>6.68</v>
      </c>
      <c r="C24" s="54">
        <v>97.43</v>
      </c>
      <c r="D24" s="54">
        <v>54.88</v>
      </c>
      <c r="E24" s="54">
        <v>12.54</v>
      </c>
      <c r="F24" s="54">
        <v>4.8</v>
      </c>
      <c r="G24" s="54">
        <v>88.8</v>
      </c>
      <c r="H24" s="54">
        <v>35.04</v>
      </c>
      <c r="I24" s="55" t="s">
        <v>15</v>
      </c>
      <c r="J24" s="54">
        <v>3.11</v>
      </c>
      <c r="K24" s="54">
        <v>353.59</v>
      </c>
      <c r="L24" s="54">
        <v>23.33</v>
      </c>
      <c r="M24" s="54">
        <v>37.76</v>
      </c>
      <c r="N24" s="54">
        <v>164.7</v>
      </c>
      <c r="O24" s="54">
        <v>0</v>
      </c>
      <c r="P24" s="54">
        <v>0.76</v>
      </c>
      <c r="Q24" s="54">
        <v>8.2100000000000009</v>
      </c>
      <c r="R24" s="43"/>
      <c r="S24" s="43"/>
      <c r="T24" s="43"/>
      <c r="U24" s="43"/>
    </row>
    <row r="25" spans="1:21" s="11" customFormat="1" x14ac:dyDescent="0.25">
      <c r="A25" s="53" t="s">
        <v>436</v>
      </c>
      <c r="B25" s="54">
        <v>4.08</v>
      </c>
      <c r="C25" s="54">
        <v>85.68</v>
      </c>
      <c r="D25" s="54">
        <v>46.66</v>
      </c>
      <c r="E25" s="54">
        <v>8.07</v>
      </c>
      <c r="F25" s="54">
        <v>5.88</v>
      </c>
      <c r="G25" s="54">
        <v>88.8</v>
      </c>
      <c r="H25" s="54">
        <v>35.79</v>
      </c>
      <c r="I25" s="55" t="s">
        <v>15</v>
      </c>
      <c r="J25" s="54">
        <v>3.41</v>
      </c>
      <c r="K25" s="54">
        <v>349.5</v>
      </c>
      <c r="L25" s="54">
        <v>22.23</v>
      </c>
      <c r="M25" s="54">
        <v>44.22</v>
      </c>
      <c r="N25" s="54">
        <v>120.2</v>
      </c>
      <c r="O25" s="54">
        <v>0</v>
      </c>
      <c r="P25" s="54">
        <v>0.8</v>
      </c>
      <c r="Q25" s="54">
        <v>8.2100000000000009</v>
      </c>
      <c r="R25" s="43"/>
      <c r="S25" s="43"/>
      <c r="T25" s="43"/>
      <c r="U25" s="43"/>
    </row>
    <row r="26" spans="1:21" s="11" customFormat="1" x14ac:dyDescent="0.25">
      <c r="A26" s="53" t="s">
        <v>437</v>
      </c>
      <c r="B26" s="54">
        <v>4.72</v>
      </c>
      <c r="C26" s="54">
        <v>83.26</v>
      </c>
      <c r="D26" s="54">
        <v>45.78</v>
      </c>
      <c r="E26" s="54">
        <v>7.03</v>
      </c>
      <c r="F26" s="54">
        <v>2.13</v>
      </c>
      <c r="G26" s="54">
        <v>92.2</v>
      </c>
      <c r="H26" s="54">
        <v>35.79</v>
      </c>
      <c r="I26" s="55" t="s">
        <v>15</v>
      </c>
      <c r="J26" s="54">
        <v>3.65</v>
      </c>
      <c r="K26" s="54">
        <v>349.61</v>
      </c>
      <c r="L26" s="54">
        <v>49.06</v>
      </c>
      <c r="M26" s="54">
        <v>52.16</v>
      </c>
      <c r="N26" s="54">
        <v>89.3</v>
      </c>
      <c r="O26" s="54">
        <v>0</v>
      </c>
      <c r="P26" s="54">
        <v>0.84</v>
      </c>
      <c r="Q26" s="54">
        <v>8.2100000000000009</v>
      </c>
      <c r="R26" s="43"/>
      <c r="S26" s="43"/>
      <c r="T26" s="43"/>
      <c r="U26" s="43"/>
    </row>
    <row r="27" spans="1:21" s="11" customFormat="1" x14ac:dyDescent="0.25">
      <c r="A27" s="53" t="s">
        <v>438</v>
      </c>
      <c r="B27" s="54">
        <v>6.41</v>
      </c>
      <c r="C27" s="54">
        <v>79.73</v>
      </c>
      <c r="D27" s="54">
        <v>44.66</v>
      </c>
      <c r="E27" s="54">
        <v>5.99</v>
      </c>
      <c r="F27" s="54">
        <v>2.13</v>
      </c>
      <c r="G27" s="54">
        <v>92.2</v>
      </c>
      <c r="H27" s="54">
        <v>36.72</v>
      </c>
      <c r="I27" s="55" t="s">
        <v>15</v>
      </c>
      <c r="J27" s="54">
        <v>3.18</v>
      </c>
      <c r="K27" s="54">
        <v>350.75</v>
      </c>
      <c r="L27" s="54">
        <v>19.27</v>
      </c>
      <c r="M27" s="54">
        <v>54.94</v>
      </c>
      <c r="N27" s="54">
        <v>70.5</v>
      </c>
      <c r="O27" s="54">
        <v>0</v>
      </c>
      <c r="P27" s="54">
        <v>0.91</v>
      </c>
      <c r="Q27" s="54">
        <v>8.2100000000000009</v>
      </c>
      <c r="R27" s="43"/>
      <c r="S27" s="43"/>
      <c r="T27" s="43"/>
      <c r="U27" s="43"/>
    </row>
    <row r="28" spans="1:21" s="11" customFormat="1" x14ac:dyDescent="0.25">
      <c r="A28" s="53" t="s">
        <v>439</v>
      </c>
      <c r="B28" s="54">
        <v>8.82</v>
      </c>
      <c r="C28" s="54">
        <v>78.11</v>
      </c>
      <c r="D28" s="54">
        <v>45.52</v>
      </c>
      <c r="E28" s="54">
        <v>5.36</v>
      </c>
      <c r="F28" s="54">
        <v>2.13</v>
      </c>
      <c r="G28" s="54">
        <v>102.21</v>
      </c>
      <c r="H28" s="54">
        <v>36.72</v>
      </c>
      <c r="I28" s="55" t="s">
        <v>15</v>
      </c>
      <c r="J28" s="54">
        <v>2.95</v>
      </c>
      <c r="K28" s="54">
        <v>351.47</v>
      </c>
      <c r="L28" s="54">
        <v>18.579999999999998</v>
      </c>
      <c r="M28" s="54">
        <v>59.67</v>
      </c>
      <c r="N28" s="54">
        <v>70.599999999999994</v>
      </c>
      <c r="O28" s="54">
        <v>0</v>
      </c>
      <c r="P28" s="54">
        <v>1.04</v>
      </c>
      <c r="Q28" s="54">
        <v>8.2100000000000009</v>
      </c>
      <c r="R28" s="43"/>
      <c r="S28" s="43"/>
      <c r="T28" s="43"/>
      <c r="U28" s="43"/>
    </row>
    <row r="29" spans="1:21" s="11" customFormat="1" x14ac:dyDescent="0.25">
      <c r="A29" s="53" t="s">
        <v>440</v>
      </c>
      <c r="B29" s="54">
        <v>15.13</v>
      </c>
      <c r="C29" s="54">
        <v>74.760000000000005</v>
      </c>
      <c r="D29" s="54">
        <v>49.31</v>
      </c>
      <c r="E29" s="54">
        <v>6.14</v>
      </c>
      <c r="F29" s="54">
        <v>2.13</v>
      </c>
      <c r="G29" s="54">
        <v>125.92</v>
      </c>
      <c r="H29" s="54">
        <v>39.35</v>
      </c>
      <c r="I29" s="55" t="s">
        <v>15</v>
      </c>
      <c r="J29" s="54">
        <v>2.7</v>
      </c>
      <c r="K29" s="54">
        <v>350.51</v>
      </c>
      <c r="L29" s="54">
        <v>17.760000000000002</v>
      </c>
      <c r="M29" s="54">
        <v>64.010000000000005</v>
      </c>
      <c r="N29" s="54">
        <v>70.5</v>
      </c>
      <c r="O29" s="54">
        <v>0</v>
      </c>
      <c r="P29" s="54">
        <v>1.18</v>
      </c>
      <c r="Q29" s="54">
        <v>8.2100000000000009</v>
      </c>
      <c r="R29" s="43"/>
      <c r="S29" s="43"/>
      <c r="T29" s="43"/>
      <c r="U29" s="43"/>
    </row>
    <row r="30" spans="1:21" s="11" customFormat="1" x14ac:dyDescent="0.25">
      <c r="A30" s="53" t="s">
        <v>441</v>
      </c>
      <c r="B30" s="54">
        <v>17.27</v>
      </c>
      <c r="C30" s="54">
        <v>74.25</v>
      </c>
      <c r="D30" s="54">
        <v>50.9</v>
      </c>
      <c r="E30" s="54">
        <v>5.44</v>
      </c>
      <c r="F30" s="54">
        <v>2.25</v>
      </c>
      <c r="G30" s="54">
        <v>125.92</v>
      </c>
      <c r="H30" s="54">
        <v>39.35</v>
      </c>
      <c r="I30" s="55" t="s">
        <v>15</v>
      </c>
      <c r="J30" s="54">
        <v>2.52</v>
      </c>
      <c r="K30" s="54">
        <v>355.02</v>
      </c>
      <c r="L30" s="54">
        <v>17.510000000000002</v>
      </c>
      <c r="M30" s="54">
        <v>62.56</v>
      </c>
      <c r="N30" s="54">
        <v>70.5</v>
      </c>
      <c r="O30" s="54">
        <v>0</v>
      </c>
      <c r="P30" s="54">
        <v>1.1200000000000001</v>
      </c>
      <c r="Q30" s="54">
        <v>8.2100000000000009</v>
      </c>
      <c r="R30" s="43"/>
      <c r="S30" s="43"/>
      <c r="T30" s="43"/>
      <c r="U30" s="43"/>
    </row>
    <row r="31" spans="1:21" s="11" customFormat="1" x14ac:dyDescent="0.25">
      <c r="A31" s="53" t="s">
        <v>442</v>
      </c>
      <c r="B31" s="54">
        <v>21.44</v>
      </c>
      <c r="C31" s="54">
        <v>73.05</v>
      </c>
      <c r="D31" s="54">
        <v>53.23</v>
      </c>
      <c r="E31" s="54">
        <v>5.55</v>
      </c>
      <c r="F31" s="54">
        <v>2.13</v>
      </c>
      <c r="G31" s="54">
        <v>129.28</v>
      </c>
      <c r="H31" s="54">
        <v>38.83</v>
      </c>
      <c r="I31" s="55" t="s">
        <v>15</v>
      </c>
      <c r="J31" s="54">
        <v>2.38</v>
      </c>
      <c r="K31" s="54">
        <v>353.26</v>
      </c>
      <c r="L31" s="54">
        <v>17.13</v>
      </c>
      <c r="M31" s="54">
        <v>62.06</v>
      </c>
      <c r="N31" s="54">
        <v>70.3</v>
      </c>
      <c r="O31" s="54">
        <v>0</v>
      </c>
      <c r="P31" s="54">
        <v>1.19</v>
      </c>
      <c r="Q31" s="54">
        <v>8.2100000000000009</v>
      </c>
      <c r="R31" s="43"/>
      <c r="S31" s="43"/>
      <c r="T31" s="43"/>
      <c r="U31" s="43"/>
    </row>
    <row r="32" spans="1:21" s="11" customFormat="1" x14ac:dyDescent="0.25">
      <c r="A32" s="53" t="s">
        <v>443</v>
      </c>
      <c r="B32" s="54">
        <v>20.74</v>
      </c>
      <c r="C32" s="54">
        <v>70.06</v>
      </c>
      <c r="D32" s="54">
        <v>51.86</v>
      </c>
      <c r="E32" s="54">
        <v>6.68</v>
      </c>
      <c r="F32" s="54">
        <v>2.13</v>
      </c>
      <c r="G32" s="54">
        <v>129.28</v>
      </c>
      <c r="H32" s="54">
        <v>38.83</v>
      </c>
      <c r="I32" s="55" t="s">
        <v>15</v>
      </c>
      <c r="J32" s="54">
        <v>1.99</v>
      </c>
      <c r="K32" s="54">
        <v>344.75</v>
      </c>
      <c r="L32" s="54">
        <v>16.57</v>
      </c>
      <c r="M32" s="54">
        <v>56.14</v>
      </c>
      <c r="N32" s="54">
        <v>70.5</v>
      </c>
      <c r="O32" s="54">
        <v>0</v>
      </c>
      <c r="P32" s="54">
        <v>1.1399999999999999</v>
      </c>
      <c r="Q32" s="54">
        <v>8.2100000000000009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2.65</v>
      </c>
      <c r="C34" s="28">
        <f t="shared" si="0"/>
        <v>55.92</v>
      </c>
      <c r="D34" s="28">
        <f t="shared" si="0"/>
        <v>36.89</v>
      </c>
      <c r="E34" s="28">
        <f t="shared" si="0"/>
        <v>5.36</v>
      </c>
      <c r="F34" s="28">
        <f t="shared" si="0"/>
        <v>2.13</v>
      </c>
      <c r="G34" s="28">
        <f t="shared" si="0"/>
        <v>80.28</v>
      </c>
      <c r="H34" s="28">
        <f t="shared" si="0"/>
        <v>35.04</v>
      </c>
      <c r="I34" s="28">
        <f t="shared" si="0"/>
        <v>0</v>
      </c>
      <c r="J34" s="28">
        <f t="shared" si="0"/>
        <v>1.28</v>
      </c>
      <c r="K34" s="28">
        <f t="shared" si="0"/>
        <v>119.02</v>
      </c>
      <c r="L34" s="28">
        <f t="shared" si="0"/>
        <v>12.71</v>
      </c>
      <c r="M34" s="28">
        <f t="shared" si="0"/>
        <v>34.5</v>
      </c>
      <c r="N34" s="28">
        <f t="shared" si="0"/>
        <v>59.3</v>
      </c>
      <c r="O34" s="28">
        <f t="shared" si="0"/>
        <v>0</v>
      </c>
      <c r="P34" s="28">
        <f t="shared" si="0"/>
        <v>0.68</v>
      </c>
      <c r="Q34" s="28">
        <f t="shared" si="0"/>
        <v>8.2100000000000009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116.4</v>
      </c>
      <c r="C35" s="29">
        <f t="shared" si="1"/>
        <v>97.43</v>
      </c>
      <c r="D35" s="29">
        <f t="shared" si="1"/>
        <v>128.22</v>
      </c>
      <c r="E35" s="29">
        <f t="shared" si="1"/>
        <v>12.54</v>
      </c>
      <c r="F35" s="29">
        <f t="shared" si="1"/>
        <v>22.22</v>
      </c>
      <c r="G35" s="29">
        <f t="shared" si="1"/>
        <v>183.42</v>
      </c>
      <c r="H35" s="29">
        <f t="shared" si="1"/>
        <v>64.67</v>
      </c>
      <c r="I35" s="29">
        <f t="shared" si="1"/>
        <v>0</v>
      </c>
      <c r="J35" s="29">
        <f t="shared" si="1"/>
        <v>3.65</v>
      </c>
      <c r="K35" s="29">
        <f t="shared" si="1"/>
        <v>355.02</v>
      </c>
      <c r="L35" s="29">
        <f t="shared" si="1"/>
        <v>49.06</v>
      </c>
      <c r="M35" s="29">
        <f t="shared" si="1"/>
        <v>93.28</v>
      </c>
      <c r="N35" s="29">
        <f t="shared" si="1"/>
        <v>650.5</v>
      </c>
      <c r="O35" s="29">
        <f t="shared" si="1"/>
        <v>0</v>
      </c>
      <c r="P35" s="29">
        <f t="shared" si="1"/>
        <v>2.16</v>
      </c>
      <c r="Q35" s="29">
        <f t="shared" si="1"/>
        <v>9.84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43.465000000000003</v>
      </c>
      <c r="C36" s="28">
        <f t="shared" si="2"/>
        <v>70.58208333333333</v>
      </c>
      <c r="D36" s="28">
        <f t="shared" si="2"/>
        <v>69.72375000000001</v>
      </c>
      <c r="E36" s="28">
        <f t="shared" si="2"/>
        <v>7.9362500000000011</v>
      </c>
      <c r="F36" s="28">
        <f t="shared" si="2"/>
        <v>3.6208333333333313</v>
      </c>
      <c r="G36" s="28">
        <f t="shared" si="2"/>
        <v>123.16958333333334</v>
      </c>
      <c r="H36" s="28">
        <f t="shared" si="2"/>
        <v>45.3675</v>
      </c>
      <c r="I36" s="28" t="e">
        <f t="shared" si="2"/>
        <v>#DIV/0!</v>
      </c>
      <c r="J36" s="28">
        <f t="shared" si="2"/>
        <v>2.3975000000000004</v>
      </c>
      <c r="K36" s="28">
        <f t="shared" si="2"/>
        <v>301.68</v>
      </c>
      <c r="L36" s="28">
        <f t="shared" si="2"/>
        <v>19.852499999999999</v>
      </c>
      <c r="M36" s="28">
        <f t="shared" si="2"/>
        <v>63.658333333333339</v>
      </c>
      <c r="N36" s="28">
        <f t="shared" si="2"/>
        <v>208.30833333333337</v>
      </c>
      <c r="O36" s="28">
        <f t="shared" si="2"/>
        <v>0</v>
      </c>
      <c r="P36" s="28">
        <f t="shared" si="2"/>
        <v>1.2962500000000001</v>
      </c>
      <c r="Q36" s="28">
        <f t="shared" si="2"/>
        <v>8.6983333333333377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40.158213194271013</v>
      </c>
      <c r="C37" s="28">
        <f t="shared" ref="C37:Q37" si="3">STDEV(C9:C32)</f>
        <v>10.539092436451044</v>
      </c>
      <c r="D37" s="28">
        <f t="shared" si="3"/>
        <v>28.656923560193633</v>
      </c>
      <c r="E37" s="28">
        <f t="shared" si="3"/>
        <v>1.82616207790617</v>
      </c>
      <c r="F37" s="28">
        <f t="shared" si="3"/>
        <v>4.2966841782398006</v>
      </c>
      <c r="G37" s="28">
        <f t="shared" si="3"/>
        <v>34.958126439594324</v>
      </c>
      <c r="H37" s="28">
        <f t="shared" si="3"/>
        <v>10.26369636356603</v>
      </c>
      <c r="I37" s="28" t="e">
        <f t="shared" si="3"/>
        <v>#DIV/0!</v>
      </c>
      <c r="J37" s="28">
        <f t="shared" si="3"/>
        <v>0.63671200233154279</v>
      </c>
      <c r="K37" s="28">
        <f t="shared" si="3"/>
        <v>85.841910611258456</v>
      </c>
      <c r="L37" s="28">
        <f t="shared" si="3"/>
        <v>7.8833932497646391</v>
      </c>
      <c r="M37" s="28">
        <f t="shared" si="3"/>
        <v>20.22264909036107</v>
      </c>
      <c r="N37" s="28">
        <f t="shared" si="3"/>
        <v>211.3658355772649</v>
      </c>
      <c r="O37" s="28">
        <f t="shared" si="3"/>
        <v>0</v>
      </c>
      <c r="P37" s="28">
        <f t="shared" si="3"/>
        <v>0.47002139174260116</v>
      </c>
      <c r="Q37" s="28">
        <f t="shared" si="3"/>
        <v>0.68574723868369913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0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&lt;90%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LESS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7" sqref="G47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17/01/2025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8"/>
      <c r="B8" s="59" t="s">
        <v>22</v>
      </c>
      <c r="C8" s="59" t="s">
        <v>22</v>
      </c>
      <c r="D8" s="29" t="s">
        <v>42</v>
      </c>
      <c r="E8" s="59" t="s">
        <v>22</v>
      </c>
      <c r="F8" s="59" t="s">
        <v>22</v>
      </c>
      <c r="G8" s="59" t="s">
        <v>23</v>
      </c>
      <c r="H8" s="59" t="s">
        <v>22</v>
      </c>
      <c r="I8" s="59" t="s">
        <v>22</v>
      </c>
      <c r="J8" s="59" t="s">
        <v>24</v>
      </c>
      <c r="K8" s="59" t="s">
        <v>25</v>
      </c>
      <c r="L8" s="58" t="s">
        <v>27</v>
      </c>
      <c r="M8" s="59" t="s">
        <v>26</v>
      </c>
      <c r="N8" s="59" t="s">
        <v>28</v>
      </c>
      <c r="O8" s="58" t="s">
        <v>29</v>
      </c>
      <c r="P8" s="59" t="s">
        <v>22</v>
      </c>
      <c r="Q8" s="59" t="s">
        <v>22</v>
      </c>
      <c r="R8" s="27"/>
      <c r="S8" s="29"/>
      <c r="T8" s="27"/>
      <c r="U8" s="27"/>
    </row>
    <row r="9" spans="1:21" s="11" customFormat="1" x14ac:dyDescent="0.25">
      <c r="A9" s="53" t="s">
        <v>444</v>
      </c>
      <c r="B9" s="54">
        <v>17.91</v>
      </c>
      <c r="C9" s="54">
        <v>61.88</v>
      </c>
      <c r="D9" s="54">
        <v>45.31</v>
      </c>
      <c r="E9" s="54">
        <v>6.77</v>
      </c>
      <c r="F9" s="54">
        <v>2.13</v>
      </c>
      <c r="G9" s="54">
        <v>97.15</v>
      </c>
      <c r="H9" s="54">
        <v>36.25</v>
      </c>
      <c r="I9" s="55" t="s">
        <v>15</v>
      </c>
      <c r="J9" s="54">
        <v>1.21</v>
      </c>
      <c r="K9" s="54">
        <v>348.69</v>
      </c>
      <c r="L9" s="54">
        <v>16.04</v>
      </c>
      <c r="M9" s="54">
        <v>53.89</v>
      </c>
      <c r="N9" s="54">
        <v>70.5</v>
      </c>
      <c r="O9" s="54">
        <v>0</v>
      </c>
      <c r="P9" s="54">
        <v>0.98</v>
      </c>
      <c r="Q9" s="54">
        <v>8.2100000000000009</v>
      </c>
      <c r="R9" s="43"/>
      <c r="S9" s="43"/>
      <c r="T9" s="43"/>
      <c r="U9" s="43"/>
    </row>
    <row r="10" spans="1:21" s="11" customFormat="1" x14ac:dyDescent="0.25">
      <c r="A10" s="53" t="s">
        <v>445</v>
      </c>
      <c r="B10" s="54">
        <v>14.75</v>
      </c>
      <c r="C10" s="54">
        <v>57.79</v>
      </c>
      <c r="D10" s="54">
        <v>40.64</v>
      </c>
      <c r="E10" s="54">
        <v>6.55</v>
      </c>
      <c r="F10" s="54">
        <v>2.13</v>
      </c>
      <c r="G10" s="54">
        <v>66.7</v>
      </c>
      <c r="H10" s="54">
        <v>33.869999999999997</v>
      </c>
      <c r="I10" s="55" t="s">
        <v>15</v>
      </c>
      <c r="J10" s="54">
        <v>1.34</v>
      </c>
      <c r="K10" s="54">
        <v>346.26</v>
      </c>
      <c r="L10" s="54">
        <v>15.57</v>
      </c>
      <c r="M10" s="54">
        <v>53.55</v>
      </c>
      <c r="N10" s="54">
        <v>70.400000000000006</v>
      </c>
      <c r="O10" s="54">
        <v>0</v>
      </c>
      <c r="P10" s="54">
        <v>0.84</v>
      </c>
      <c r="Q10" s="54">
        <v>8.2100000000000009</v>
      </c>
      <c r="R10" s="43"/>
      <c r="S10" s="43"/>
      <c r="T10" s="43"/>
      <c r="U10" s="43"/>
    </row>
    <row r="11" spans="1:21" s="11" customFormat="1" x14ac:dyDescent="0.25">
      <c r="A11" s="53" t="s">
        <v>446</v>
      </c>
      <c r="B11" s="54">
        <v>11.26</v>
      </c>
      <c r="C11" s="54">
        <v>55.04</v>
      </c>
      <c r="D11" s="54">
        <v>36.409999999999997</v>
      </c>
      <c r="E11" s="54">
        <v>5.87</v>
      </c>
      <c r="F11" s="54">
        <v>2.13</v>
      </c>
      <c r="G11" s="54">
        <v>55.35</v>
      </c>
      <c r="H11" s="54">
        <v>27.12</v>
      </c>
      <c r="I11" s="55" t="s">
        <v>15</v>
      </c>
      <c r="J11" s="54">
        <v>0.73</v>
      </c>
      <c r="K11" s="54">
        <v>30.51</v>
      </c>
      <c r="L11" s="54">
        <v>15.05</v>
      </c>
      <c r="M11" s="54">
        <v>55.05</v>
      </c>
      <c r="N11" s="54">
        <v>70.3</v>
      </c>
      <c r="O11" s="54">
        <v>0</v>
      </c>
      <c r="P11" s="54">
        <v>0.79</v>
      </c>
      <c r="Q11" s="54">
        <v>8.2100000000000009</v>
      </c>
      <c r="R11" s="43"/>
      <c r="S11" s="43"/>
      <c r="T11" s="43"/>
      <c r="U11" s="43"/>
    </row>
    <row r="12" spans="1:21" s="11" customFormat="1" x14ac:dyDescent="0.25">
      <c r="A12" s="53" t="s">
        <v>447</v>
      </c>
      <c r="B12" s="54">
        <v>8.6</v>
      </c>
      <c r="C12" s="54">
        <v>51.36</v>
      </c>
      <c r="D12" s="54">
        <v>32.36</v>
      </c>
      <c r="E12" s="54">
        <v>5.79</v>
      </c>
      <c r="F12" s="54">
        <v>2.13</v>
      </c>
      <c r="G12" s="54">
        <v>44.99</v>
      </c>
      <c r="H12" s="54">
        <v>24.15</v>
      </c>
      <c r="I12" s="55" t="s">
        <v>15</v>
      </c>
      <c r="J12" s="54">
        <v>1.91</v>
      </c>
      <c r="K12" s="54">
        <v>345.61</v>
      </c>
      <c r="L12" s="54">
        <v>14.69</v>
      </c>
      <c r="M12" s="54">
        <v>56.94</v>
      </c>
      <c r="N12" s="54">
        <v>70.3</v>
      </c>
      <c r="O12" s="54">
        <v>0</v>
      </c>
      <c r="P12" s="54">
        <v>0.7</v>
      </c>
      <c r="Q12" s="54">
        <v>8.2100000000000009</v>
      </c>
      <c r="R12" s="43"/>
      <c r="S12" s="43"/>
      <c r="T12" s="43"/>
      <c r="U12" s="43"/>
    </row>
    <row r="13" spans="1:21" s="11" customFormat="1" x14ac:dyDescent="0.25">
      <c r="A13" s="53" t="s">
        <v>448</v>
      </c>
      <c r="B13" s="54">
        <v>8.91</v>
      </c>
      <c r="C13" s="54">
        <v>49.02</v>
      </c>
      <c r="D13" s="54">
        <v>31.33</v>
      </c>
      <c r="E13" s="54">
        <v>5.89</v>
      </c>
      <c r="F13" s="54">
        <v>2.13</v>
      </c>
      <c r="G13" s="54">
        <v>44.99</v>
      </c>
      <c r="H13" s="54">
        <v>20.87</v>
      </c>
      <c r="I13" s="55" t="s">
        <v>15</v>
      </c>
      <c r="J13" s="54">
        <v>2.16</v>
      </c>
      <c r="K13" s="54">
        <v>354.16</v>
      </c>
      <c r="L13" s="54">
        <v>14.26</v>
      </c>
      <c r="M13" s="54">
        <v>59.35</v>
      </c>
      <c r="N13" s="54">
        <v>70.400000000000006</v>
      </c>
      <c r="O13" s="54">
        <v>0</v>
      </c>
      <c r="P13" s="54">
        <v>0.62</v>
      </c>
      <c r="Q13" s="54">
        <v>8.2100000000000009</v>
      </c>
      <c r="R13" s="43"/>
      <c r="S13" s="43"/>
      <c r="T13" s="43"/>
      <c r="U13" s="43"/>
    </row>
    <row r="14" spans="1:21" s="11" customFormat="1" x14ac:dyDescent="0.25">
      <c r="A14" s="53" t="s">
        <v>449</v>
      </c>
      <c r="B14" s="54">
        <v>10.130000000000001</v>
      </c>
      <c r="C14" s="54">
        <v>48.43</v>
      </c>
      <c r="D14" s="54">
        <v>31.6</v>
      </c>
      <c r="E14" s="54">
        <v>6.08</v>
      </c>
      <c r="F14" s="54">
        <v>2.13</v>
      </c>
      <c r="G14" s="54">
        <v>38.369999999999997</v>
      </c>
      <c r="H14" s="54">
        <v>20.149999999999999</v>
      </c>
      <c r="I14" s="55" t="s">
        <v>15</v>
      </c>
      <c r="J14" s="54">
        <v>2.29</v>
      </c>
      <c r="K14" s="54">
        <v>353.47</v>
      </c>
      <c r="L14" s="54">
        <v>13.77</v>
      </c>
      <c r="M14" s="54">
        <v>58.82</v>
      </c>
      <c r="N14" s="54">
        <v>70.2</v>
      </c>
      <c r="O14" s="54">
        <v>0</v>
      </c>
      <c r="P14" s="54">
        <v>0.56999999999999995</v>
      </c>
      <c r="Q14" s="54">
        <v>8.2100000000000009</v>
      </c>
      <c r="R14" s="43"/>
      <c r="S14" s="43"/>
      <c r="T14" s="43"/>
      <c r="U14" s="43"/>
    </row>
    <row r="15" spans="1:21" s="11" customFormat="1" x14ac:dyDescent="0.25">
      <c r="A15" s="53" t="s">
        <v>450</v>
      </c>
      <c r="B15" s="54">
        <v>14.23</v>
      </c>
      <c r="C15" s="54">
        <v>50.85</v>
      </c>
      <c r="D15" s="54">
        <v>36.61</v>
      </c>
      <c r="E15" s="54">
        <v>6.67</v>
      </c>
      <c r="F15" s="54">
        <v>2.13</v>
      </c>
      <c r="G15" s="54">
        <v>41.46</v>
      </c>
      <c r="H15" s="54">
        <v>20.8</v>
      </c>
      <c r="I15" s="55" t="s">
        <v>15</v>
      </c>
      <c r="J15" s="54">
        <v>2.17</v>
      </c>
      <c r="K15" s="54">
        <v>350.71</v>
      </c>
      <c r="L15" s="54">
        <v>13.37</v>
      </c>
      <c r="M15" s="54">
        <v>56.54</v>
      </c>
      <c r="N15" s="54">
        <v>83.5</v>
      </c>
      <c r="O15" s="54">
        <v>0</v>
      </c>
      <c r="P15" s="54">
        <v>0.55000000000000004</v>
      </c>
      <c r="Q15" s="54">
        <v>8.2100000000000009</v>
      </c>
      <c r="R15" s="43"/>
      <c r="S15" s="43"/>
      <c r="T15" s="43"/>
      <c r="U15" s="43"/>
    </row>
    <row r="16" spans="1:21" s="11" customFormat="1" x14ac:dyDescent="0.25">
      <c r="A16" s="53" t="s">
        <v>451</v>
      </c>
      <c r="B16" s="54">
        <v>20.02</v>
      </c>
      <c r="C16" s="54">
        <v>53.07</v>
      </c>
      <c r="D16" s="54">
        <v>42.41</v>
      </c>
      <c r="E16" s="54">
        <v>6.71</v>
      </c>
      <c r="F16" s="54">
        <v>2.13</v>
      </c>
      <c r="G16" s="54">
        <v>56.29</v>
      </c>
      <c r="H16" s="54">
        <v>20.8</v>
      </c>
      <c r="I16" s="55" t="s">
        <v>15</v>
      </c>
      <c r="J16" s="54">
        <v>2.33</v>
      </c>
      <c r="K16" s="54">
        <v>355.81</v>
      </c>
      <c r="L16" s="54">
        <v>14.14</v>
      </c>
      <c r="M16" s="54">
        <v>50.32</v>
      </c>
      <c r="N16" s="54">
        <v>133.69999999999999</v>
      </c>
      <c r="O16" s="54">
        <v>0</v>
      </c>
      <c r="P16" s="54">
        <v>0.64</v>
      </c>
      <c r="Q16" s="54">
        <v>8.2100000000000009</v>
      </c>
      <c r="R16" s="43"/>
      <c r="S16" s="43"/>
      <c r="T16" s="43"/>
      <c r="U16" s="43"/>
    </row>
    <row r="17" spans="1:21" s="11" customFormat="1" x14ac:dyDescent="0.25">
      <c r="A17" s="53" t="s">
        <v>452</v>
      </c>
      <c r="B17" s="54">
        <v>24.31</v>
      </c>
      <c r="C17" s="54">
        <v>54.44</v>
      </c>
      <c r="D17" s="54">
        <v>46.56</v>
      </c>
      <c r="E17" s="54">
        <v>6.21</v>
      </c>
      <c r="F17" s="54">
        <v>2.13</v>
      </c>
      <c r="G17" s="54">
        <v>56.29</v>
      </c>
      <c r="H17" s="54">
        <v>22.46</v>
      </c>
      <c r="I17" s="55" t="s">
        <v>15</v>
      </c>
      <c r="J17" s="54">
        <v>2.65</v>
      </c>
      <c r="K17" s="54">
        <v>359.39</v>
      </c>
      <c r="L17" s="54">
        <v>15.99</v>
      </c>
      <c r="M17" s="54">
        <v>43.24</v>
      </c>
      <c r="N17" s="54">
        <v>235.2</v>
      </c>
      <c r="O17" s="54">
        <v>0</v>
      </c>
      <c r="P17" s="54">
        <v>0.66</v>
      </c>
      <c r="Q17" s="54">
        <v>8.2100000000000009</v>
      </c>
      <c r="R17" s="43"/>
      <c r="S17" s="43"/>
      <c r="T17" s="43"/>
      <c r="U17" s="43"/>
    </row>
    <row r="18" spans="1:21" s="11" customFormat="1" x14ac:dyDescent="0.25">
      <c r="A18" s="53" t="s">
        <v>453</v>
      </c>
      <c r="B18" s="54">
        <v>28.68</v>
      </c>
      <c r="C18" s="54">
        <v>55.63</v>
      </c>
      <c r="D18" s="54">
        <v>50.69</v>
      </c>
      <c r="E18" s="54">
        <v>6.1</v>
      </c>
      <c r="F18" s="54">
        <v>2.13</v>
      </c>
      <c r="G18" s="54">
        <v>51.9</v>
      </c>
      <c r="H18" s="54">
        <v>22.46</v>
      </c>
      <c r="I18" s="55" t="s">
        <v>15</v>
      </c>
      <c r="J18" s="54">
        <v>1.63</v>
      </c>
      <c r="K18" s="54">
        <v>347.35</v>
      </c>
      <c r="L18" s="54">
        <v>21.8</v>
      </c>
      <c r="M18" s="54">
        <v>36.4</v>
      </c>
      <c r="N18" s="54">
        <v>537</v>
      </c>
      <c r="O18" s="54">
        <v>0</v>
      </c>
      <c r="P18" s="54">
        <v>0.65</v>
      </c>
      <c r="Q18" s="54">
        <v>8.2100000000000009</v>
      </c>
      <c r="R18" s="43"/>
      <c r="S18" s="43"/>
      <c r="T18" s="43"/>
      <c r="U18" s="43"/>
    </row>
    <row r="19" spans="1:21" s="11" customFormat="1" x14ac:dyDescent="0.25">
      <c r="A19" s="53" t="s">
        <v>454</v>
      </c>
      <c r="B19" s="54">
        <v>30.46</v>
      </c>
      <c r="C19" s="54">
        <v>58.28</v>
      </c>
      <c r="D19" s="54">
        <v>53.27</v>
      </c>
      <c r="E19" s="54">
        <v>6.26</v>
      </c>
      <c r="F19" s="54">
        <v>2.13</v>
      </c>
      <c r="G19" s="54">
        <v>56.8</v>
      </c>
      <c r="H19" s="54">
        <v>22.13</v>
      </c>
      <c r="I19" s="55" t="s">
        <v>15</v>
      </c>
      <c r="J19" s="54">
        <v>2.4500000000000002</v>
      </c>
      <c r="K19" s="54">
        <v>350.64</v>
      </c>
      <c r="L19" s="54">
        <v>24.03</v>
      </c>
      <c r="M19" s="54">
        <v>34.64</v>
      </c>
      <c r="N19" s="54">
        <v>596.29999999999995</v>
      </c>
      <c r="O19" s="54">
        <v>0</v>
      </c>
      <c r="P19" s="54">
        <v>0.66</v>
      </c>
      <c r="Q19" s="54">
        <v>8.2100000000000009</v>
      </c>
      <c r="R19" s="43"/>
      <c r="S19" s="43"/>
      <c r="T19" s="43"/>
      <c r="U19" s="43"/>
    </row>
    <row r="20" spans="1:21" s="11" customFormat="1" x14ac:dyDescent="0.25">
      <c r="A20" s="53" t="s">
        <v>455</v>
      </c>
      <c r="B20" s="54">
        <v>29.8</v>
      </c>
      <c r="C20" s="54">
        <v>64.209999999999994</v>
      </c>
      <c r="D20" s="54">
        <v>55.89</v>
      </c>
      <c r="E20" s="54">
        <v>6.86</v>
      </c>
      <c r="F20" s="54">
        <v>2.13</v>
      </c>
      <c r="G20" s="54">
        <v>66.849999999999994</v>
      </c>
      <c r="H20" s="54">
        <v>22.13</v>
      </c>
      <c r="I20" s="55" t="s">
        <v>15</v>
      </c>
      <c r="J20" s="54">
        <v>3.3</v>
      </c>
      <c r="K20" s="54">
        <v>356.16</v>
      </c>
      <c r="L20" s="54">
        <v>26.3</v>
      </c>
      <c r="M20" s="54">
        <v>29.45</v>
      </c>
      <c r="N20" s="54">
        <v>603.6</v>
      </c>
      <c r="O20" s="54">
        <v>0</v>
      </c>
      <c r="P20" s="54">
        <v>0.68</v>
      </c>
      <c r="Q20" s="54">
        <v>8.2100000000000009</v>
      </c>
      <c r="R20" s="43"/>
      <c r="S20" s="43"/>
      <c r="T20" s="43"/>
      <c r="U20" s="43"/>
    </row>
    <row r="21" spans="1:21" s="11" customFormat="1" x14ac:dyDescent="0.25">
      <c r="A21" s="53" t="s">
        <v>456</v>
      </c>
      <c r="B21" s="54">
        <v>29.78</v>
      </c>
      <c r="C21" s="54">
        <v>68.459999999999994</v>
      </c>
      <c r="D21" s="54">
        <v>57.2</v>
      </c>
      <c r="E21" s="54">
        <v>6.88</v>
      </c>
      <c r="F21" s="54">
        <v>2.13</v>
      </c>
      <c r="G21" s="54">
        <v>73.53</v>
      </c>
      <c r="H21" s="54">
        <v>25.52</v>
      </c>
      <c r="I21" s="55" t="s">
        <v>15</v>
      </c>
      <c r="J21" s="54">
        <v>2.95</v>
      </c>
      <c r="K21" s="54">
        <v>356.87</v>
      </c>
      <c r="L21" s="54">
        <v>26.46</v>
      </c>
      <c r="M21" s="54">
        <v>24.6</v>
      </c>
      <c r="N21" s="54">
        <v>656.5</v>
      </c>
      <c r="O21" s="54">
        <v>0</v>
      </c>
      <c r="P21" s="54">
        <v>0.69</v>
      </c>
      <c r="Q21" s="54">
        <v>8.2100000000000009</v>
      </c>
      <c r="R21" s="43"/>
      <c r="S21" s="43"/>
      <c r="T21" s="43"/>
      <c r="U21" s="43"/>
    </row>
    <row r="22" spans="1:21" s="11" customFormat="1" x14ac:dyDescent="0.25">
      <c r="A22" s="53" t="s">
        <v>457</v>
      </c>
      <c r="B22" s="54">
        <v>23.53</v>
      </c>
      <c r="C22" s="54">
        <v>70.989999999999995</v>
      </c>
      <c r="D22" s="54">
        <v>53.6</v>
      </c>
      <c r="E22" s="54">
        <v>6.79</v>
      </c>
      <c r="F22" s="54">
        <v>2.13</v>
      </c>
      <c r="G22" s="54">
        <v>73.53</v>
      </c>
      <c r="H22" s="54">
        <v>27.98</v>
      </c>
      <c r="I22" s="55" t="s">
        <v>15</v>
      </c>
      <c r="J22" s="54">
        <v>2.59</v>
      </c>
      <c r="K22" s="54">
        <v>351.17</v>
      </c>
      <c r="L22" s="54">
        <v>25.42</v>
      </c>
      <c r="M22" s="54">
        <v>24.26</v>
      </c>
      <c r="N22" s="54">
        <v>607.4</v>
      </c>
      <c r="O22" s="54">
        <v>0</v>
      </c>
      <c r="P22" s="54">
        <v>0.68</v>
      </c>
      <c r="Q22" s="54">
        <v>8.2100000000000009</v>
      </c>
      <c r="R22" s="43"/>
      <c r="S22" s="43"/>
      <c r="T22" s="43"/>
      <c r="U22" s="43"/>
    </row>
    <row r="23" spans="1:21" s="11" customFormat="1" x14ac:dyDescent="0.25">
      <c r="A23" s="53" t="s">
        <v>458</v>
      </c>
      <c r="B23" s="54">
        <v>17.649999999999999</v>
      </c>
      <c r="C23" s="54">
        <v>70.989999999999995</v>
      </c>
      <c r="D23" s="54">
        <v>49.46</v>
      </c>
      <c r="E23" s="54">
        <v>6.39</v>
      </c>
      <c r="F23" s="54">
        <v>2.13</v>
      </c>
      <c r="G23" s="54">
        <v>69.569999999999993</v>
      </c>
      <c r="H23" s="54">
        <v>27.98</v>
      </c>
      <c r="I23" s="55" t="s">
        <v>15</v>
      </c>
      <c r="J23" s="54">
        <v>2.12</v>
      </c>
      <c r="K23" s="54">
        <v>352.34</v>
      </c>
      <c r="L23" s="54">
        <v>23.53</v>
      </c>
      <c r="M23" s="54">
        <v>27.6</v>
      </c>
      <c r="N23" s="54">
        <v>406.1</v>
      </c>
      <c r="O23" s="54">
        <v>0</v>
      </c>
      <c r="P23" s="54">
        <v>0.67</v>
      </c>
      <c r="Q23" s="54">
        <v>8.2100000000000009</v>
      </c>
      <c r="R23" s="43"/>
      <c r="S23" s="43"/>
      <c r="T23" s="43"/>
      <c r="U23" s="43"/>
    </row>
    <row r="24" spans="1:21" s="11" customFormat="1" x14ac:dyDescent="0.25">
      <c r="A24" s="53" t="s">
        <v>459</v>
      </c>
      <c r="B24" s="54">
        <v>11.72</v>
      </c>
      <c r="C24" s="54">
        <v>71.83</v>
      </c>
      <c r="D24" s="54">
        <v>45.17</v>
      </c>
      <c r="E24" s="54">
        <v>6.48</v>
      </c>
      <c r="F24" s="54">
        <v>2.13</v>
      </c>
      <c r="G24" s="54">
        <v>65.8</v>
      </c>
      <c r="H24" s="54">
        <v>27.56</v>
      </c>
      <c r="I24" s="55" t="s">
        <v>15</v>
      </c>
      <c r="J24" s="54">
        <v>2.2599999999999998</v>
      </c>
      <c r="K24" s="54">
        <v>358.99</v>
      </c>
      <c r="L24" s="54">
        <v>23.11</v>
      </c>
      <c r="M24" s="54">
        <v>30.82</v>
      </c>
      <c r="N24" s="54">
        <v>198.6</v>
      </c>
      <c r="O24" s="54">
        <v>0</v>
      </c>
      <c r="P24" s="54">
        <v>0.68</v>
      </c>
      <c r="Q24" s="54">
        <v>8.2100000000000009</v>
      </c>
      <c r="R24" s="43"/>
      <c r="S24" s="43"/>
      <c r="T24" s="43"/>
      <c r="U24" s="43"/>
    </row>
    <row r="25" spans="1:21" s="11" customFormat="1" x14ac:dyDescent="0.25">
      <c r="A25" s="53" t="s">
        <v>460</v>
      </c>
      <c r="B25" s="54">
        <v>11.46</v>
      </c>
      <c r="C25" s="54">
        <v>72.75</v>
      </c>
      <c r="D25" s="54">
        <v>45.62</v>
      </c>
      <c r="E25" s="54">
        <v>6.55</v>
      </c>
      <c r="F25" s="54">
        <v>2.13</v>
      </c>
      <c r="G25" s="54">
        <v>65.069999999999993</v>
      </c>
      <c r="H25" s="54">
        <v>27.56</v>
      </c>
      <c r="I25" s="55" t="s">
        <v>15</v>
      </c>
      <c r="J25" s="54">
        <v>2.2799999999999998</v>
      </c>
      <c r="K25" s="54">
        <v>350.75</v>
      </c>
      <c r="L25" s="54">
        <v>22.19</v>
      </c>
      <c r="M25" s="54">
        <v>33.24</v>
      </c>
      <c r="N25" s="54">
        <v>125.6</v>
      </c>
      <c r="O25" s="54">
        <v>0</v>
      </c>
      <c r="P25" s="54">
        <v>0.74</v>
      </c>
      <c r="Q25" s="54">
        <v>8.2100000000000009</v>
      </c>
      <c r="R25" s="43"/>
      <c r="S25" s="43"/>
      <c r="T25" s="43"/>
      <c r="U25" s="43"/>
    </row>
    <row r="26" spans="1:21" s="11" customFormat="1" x14ac:dyDescent="0.25">
      <c r="A26" s="53" t="s">
        <v>461</v>
      </c>
      <c r="B26" s="54">
        <v>16.170000000000002</v>
      </c>
      <c r="C26" s="54">
        <v>73.540000000000006</v>
      </c>
      <c r="D26" s="54">
        <v>49.91</v>
      </c>
      <c r="E26" s="54">
        <v>5.68</v>
      </c>
      <c r="F26" s="54">
        <v>2.13</v>
      </c>
      <c r="G26" s="54">
        <v>70.03</v>
      </c>
      <c r="H26" s="54">
        <v>28</v>
      </c>
      <c r="I26" s="55" t="s">
        <v>15</v>
      </c>
      <c r="J26" s="54">
        <v>2.25</v>
      </c>
      <c r="K26" s="54">
        <v>354.32</v>
      </c>
      <c r="L26" s="54">
        <v>21.06</v>
      </c>
      <c r="M26" s="54">
        <v>36.72</v>
      </c>
      <c r="N26" s="54">
        <v>91.5</v>
      </c>
      <c r="O26" s="54">
        <v>0</v>
      </c>
      <c r="P26" s="54">
        <v>0.9</v>
      </c>
      <c r="Q26" s="54">
        <v>8.3000000000000007</v>
      </c>
      <c r="R26" s="43"/>
      <c r="S26" s="43"/>
      <c r="T26" s="43"/>
      <c r="U26" s="43"/>
    </row>
    <row r="27" spans="1:21" s="11" customFormat="1" x14ac:dyDescent="0.25">
      <c r="A27" s="53" t="s">
        <v>462</v>
      </c>
      <c r="B27" s="54">
        <v>22.94</v>
      </c>
      <c r="C27" s="54">
        <v>73.17</v>
      </c>
      <c r="D27" s="54">
        <v>55.05</v>
      </c>
      <c r="E27" s="54">
        <v>7.2</v>
      </c>
      <c r="F27" s="54">
        <v>2.13</v>
      </c>
      <c r="G27" s="54">
        <v>88.21</v>
      </c>
      <c r="H27" s="54">
        <v>28.35</v>
      </c>
      <c r="I27" s="55" t="s">
        <v>15</v>
      </c>
      <c r="J27" s="54">
        <v>2.67</v>
      </c>
      <c r="K27" s="54">
        <v>353.44</v>
      </c>
      <c r="L27" s="54">
        <v>18.87</v>
      </c>
      <c r="M27" s="54">
        <v>40.659999999999997</v>
      </c>
      <c r="N27" s="54">
        <v>74.8</v>
      </c>
      <c r="O27" s="54">
        <v>0</v>
      </c>
      <c r="P27" s="54">
        <v>1.04</v>
      </c>
      <c r="Q27" s="54">
        <v>8.73</v>
      </c>
      <c r="R27" s="43"/>
      <c r="S27" s="43"/>
      <c r="T27" s="43"/>
      <c r="U27" s="43"/>
    </row>
    <row r="28" spans="1:21" s="11" customFormat="1" x14ac:dyDescent="0.25">
      <c r="A28" s="53" t="s">
        <v>463</v>
      </c>
      <c r="B28" s="54">
        <v>32.369999999999997</v>
      </c>
      <c r="C28" s="54">
        <v>72.95</v>
      </c>
      <c r="D28" s="54">
        <v>61.77</v>
      </c>
      <c r="E28" s="54">
        <v>8.1300000000000008</v>
      </c>
      <c r="F28" s="54">
        <v>2.14</v>
      </c>
      <c r="G28" s="54">
        <v>109.39</v>
      </c>
      <c r="H28" s="54">
        <v>35.369999999999997</v>
      </c>
      <c r="I28" s="55" t="s">
        <v>15</v>
      </c>
      <c r="J28" s="54">
        <v>2.73</v>
      </c>
      <c r="K28" s="54">
        <v>352.41</v>
      </c>
      <c r="L28" s="54">
        <v>18.04</v>
      </c>
      <c r="M28" s="54">
        <v>42.81</v>
      </c>
      <c r="N28" s="54">
        <v>75</v>
      </c>
      <c r="O28" s="54">
        <v>0</v>
      </c>
      <c r="P28" s="54">
        <v>1.1200000000000001</v>
      </c>
      <c r="Q28" s="54">
        <v>9.11</v>
      </c>
      <c r="R28" s="43"/>
      <c r="S28" s="43"/>
      <c r="T28" s="43"/>
      <c r="U28" s="43"/>
    </row>
    <row r="29" spans="1:21" s="11" customFormat="1" x14ac:dyDescent="0.25">
      <c r="A29" s="53" t="s">
        <v>464</v>
      </c>
      <c r="B29" s="54">
        <v>40.78</v>
      </c>
      <c r="C29" s="54">
        <v>70.430000000000007</v>
      </c>
      <c r="D29" s="54">
        <v>66.02</v>
      </c>
      <c r="E29" s="54">
        <v>7.7</v>
      </c>
      <c r="F29" s="54">
        <v>2.13</v>
      </c>
      <c r="G29" s="54">
        <v>109.39</v>
      </c>
      <c r="H29" s="54">
        <v>35.369999999999997</v>
      </c>
      <c r="I29" s="55" t="s">
        <v>15</v>
      </c>
      <c r="J29" s="54">
        <v>2.2200000000000002</v>
      </c>
      <c r="K29" s="54">
        <v>352.35</v>
      </c>
      <c r="L29" s="54">
        <v>17.05</v>
      </c>
      <c r="M29" s="54">
        <v>43.67</v>
      </c>
      <c r="N29" s="54">
        <v>75</v>
      </c>
      <c r="O29" s="54">
        <v>0</v>
      </c>
      <c r="P29" s="54">
        <v>1.18</v>
      </c>
      <c r="Q29" s="54">
        <v>9.35</v>
      </c>
      <c r="R29" s="43"/>
      <c r="S29" s="43"/>
      <c r="T29" s="43"/>
      <c r="U29" s="43"/>
    </row>
    <row r="30" spans="1:21" s="11" customFormat="1" x14ac:dyDescent="0.25">
      <c r="A30" s="53" t="s">
        <v>465</v>
      </c>
      <c r="B30" s="54">
        <v>47.24</v>
      </c>
      <c r="C30" s="54">
        <v>65.67</v>
      </c>
      <c r="D30" s="54">
        <v>69.22</v>
      </c>
      <c r="E30" s="54">
        <v>6.51</v>
      </c>
      <c r="F30" s="54">
        <v>2.13</v>
      </c>
      <c r="G30" s="54">
        <v>100.1</v>
      </c>
      <c r="H30" s="54">
        <v>32.68</v>
      </c>
      <c r="I30" s="55" t="s">
        <v>15</v>
      </c>
      <c r="J30" s="54">
        <v>1.79</v>
      </c>
      <c r="K30" s="54">
        <v>348.44</v>
      </c>
      <c r="L30" s="54">
        <v>16.3</v>
      </c>
      <c r="M30" s="54">
        <v>46.52</v>
      </c>
      <c r="N30" s="54">
        <v>75</v>
      </c>
      <c r="O30" s="54">
        <v>0</v>
      </c>
      <c r="P30" s="54">
        <v>1.19</v>
      </c>
      <c r="Q30" s="54">
        <v>9.59</v>
      </c>
      <c r="R30" s="43"/>
      <c r="S30" s="43"/>
      <c r="T30" s="43"/>
      <c r="U30" s="43"/>
    </row>
    <row r="31" spans="1:21" s="11" customFormat="1" x14ac:dyDescent="0.25">
      <c r="A31" s="53" t="s">
        <v>466</v>
      </c>
      <c r="B31" s="54">
        <v>50.12</v>
      </c>
      <c r="C31" s="54">
        <v>62.09</v>
      </c>
      <c r="D31" s="54">
        <v>70.3</v>
      </c>
      <c r="E31" s="54">
        <v>8.02</v>
      </c>
      <c r="F31" s="54">
        <v>2.13</v>
      </c>
      <c r="G31" s="54">
        <v>94.41</v>
      </c>
      <c r="H31" s="54">
        <v>30.33</v>
      </c>
      <c r="I31" s="55" t="s">
        <v>15</v>
      </c>
      <c r="J31" s="54">
        <v>2.0299999999999998</v>
      </c>
      <c r="K31" s="54">
        <v>350.02</v>
      </c>
      <c r="L31" s="54">
        <v>15.68</v>
      </c>
      <c r="M31" s="54">
        <v>50.42</v>
      </c>
      <c r="N31" s="54">
        <v>75.2</v>
      </c>
      <c r="O31" s="54">
        <v>0</v>
      </c>
      <c r="P31" s="54">
        <v>1.1399999999999999</v>
      </c>
      <c r="Q31" s="54">
        <v>9.66</v>
      </c>
      <c r="R31" s="43"/>
      <c r="S31" s="43"/>
      <c r="T31" s="43"/>
      <c r="U31" s="43"/>
    </row>
    <row r="32" spans="1:21" s="11" customFormat="1" x14ac:dyDescent="0.25">
      <c r="A32" s="53" t="s">
        <v>467</v>
      </c>
      <c r="B32" s="54">
        <v>50.48</v>
      </c>
      <c r="C32" s="54">
        <v>60.03</v>
      </c>
      <c r="D32" s="54">
        <v>70.47</v>
      </c>
      <c r="E32" s="54">
        <v>7.76</v>
      </c>
      <c r="F32" s="54">
        <v>2.13</v>
      </c>
      <c r="G32" s="54">
        <v>84.71</v>
      </c>
      <c r="H32" s="54">
        <v>30.33</v>
      </c>
      <c r="I32" s="55" t="s">
        <v>15</v>
      </c>
      <c r="J32" s="54">
        <v>2.31</v>
      </c>
      <c r="K32" s="54">
        <v>351.76</v>
      </c>
      <c r="L32" s="54">
        <v>14.87</v>
      </c>
      <c r="M32" s="54">
        <v>51.01</v>
      </c>
      <c r="N32" s="54">
        <v>75.400000000000006</v>
      </c>
      <c r="O32" s="54">
        <v>0</v>
      </c>
      <c r="P32" s="54">
        <v>1.1100000000000001</v>
      </c>
      <c r="Q32" s="54">
        <v>9.68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8.6</v>
      </c>
      <c r="C34" s="28">
        <f t="shared" si="0"/>
        <v>48.43</v>
      </c>
      <c r="D34" s="28">
        <f t="shared" si="0"/>
        <v>31.33</v>
      </c>
      <c r="E34" s="28">
        <f t="shared" si="0"/>
        <v>5.68</v>
      </c>
      <c r="F34" s="28">
        <f t="shared" si="0"/>
        <v>2.13</v>
      </c>
      <c r="G34" s="28">
        <f t="shared" si="0"/>
        <v>38.369999999999997</v>
      </c>
      <c r="H34" s="28">
        <f t="shared" si="0"/>
        <v>20.149999999999999</v>
      </c>
      <c r="I34" s="28">
        <f t="shared" si="0"/>
        <v>0</v>
      </c>
      <c r="J34" s="28">
        <f t="shared" si="0"/>
        <v>0.73</v>
      </c>
      <c r="K34" s="28">
        <f t="shared" si="0"/>
        <v>30.51</v>
      </c>
      <c r="L34" s="28">
        <f t="shared" si="0"/>
        <v>13.37</v>
      </c>
      <c r="M34" s="28">
        <f t="shared" si="0"/>
        <v>24.26</v>
      </c>
      <c r="N34" s="28">
        <f t="shared" si="0"/>
        <v>70.2</v>
      </c>
      <c r="O34" s="28">
        <f t="shared" si="0"/>
        <v>0</v>
      </c>
      <c r="P34" s="28">
        <f t="shared" si="0"/>
        <v>0.55000000000000004</v>
      </c>
      <c r="Q34" s="28">
        <f t="shared" si="0"/>
        <v>8.2100000000000009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50.48</v>
      </c>
      <c r="C35" s="29">
        <f t="shared" si="1"/>
        <v>73.540000000000006</v>
      </c>
      <c r="D35" s="29">
        <f t="shared" si="1"/>
        <v>70.47</v>
      </c>
      <c r="E35" s="29">
        <f t="shared" si="1"/>
        <v>8.1300000000000008</v>
      </c>
      <c r="F35" s="29">
        <f t="shared" si="1"/>
        <v>2.14</v>
      </c>
      <c r="G35" s="29">
        <f t="shared" si="1"/>
        <v>109.39</v>
      </c>
      <c r="H35" s="29">
        <f t="shared" si="1"/>
        <v>36.25</v>
      </c>
      <c r="I35" s="29">
        <f t="shared" si="1"/>
        <v>0</v>
      </c>
      <c r="J35" s="29">
        <f t="shared" si="1"/>
        <v>3.3</v>
      </c>
      <c r="K35" s="29">
        <f t="shared" si="1"/>
        <v>359.39</v>
      </c>
      <c r="L35" s="29">
        <f t="shared" si="1"/>
        <v>26.46</v>
      </c>
      <c r="M35" s="29">
        <f t="shared" si="1"/>
        <v>59.35</v>
      </c>
      <c r="N35" s="29">
        <f t="shared" si="1"/>
        <v>656.5</v>
      </c>
      <c r="O35" s="29">
        <f t="shared" si="1"/>
        <v>0</v>
      </c>
      <c r="P35" s="29">
        <f t="shared" si="1"/>
        <v>1.19</v>
      </c>
      <c r="Q35" s="29">
        <f t="shared" si="1"/>
        <v>9.68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23.887500000000003</v>
      </c>
      <c r="C36" s="28">
        <f t="shared" si="2"/>
        <v>62.20416666666668</v>
      </c>
      <c r="D36" s="28">
        <f t="shared" si="2"/>
        <v>49.869583333333331</v>
      </c>
      <c r="E36" s="28">
        <f t="shared" si="2"/>
        <v>6.6604166666666664</v>
      </c>
      <c r="F36" s="28">
        <f t="shared" si="2"/>
        <v>2.1304166666666671</v>
      </c>
      <c r="G36" s="28">
        <f t="shared" si="2"/>
        <v>70.036666666666676</v>
      </c>
      <c r="H36" s="28">
        <f t="shared" si="2"/>
        <v>27.092500000000005</v>
      </c>
      <c r="I36" s="28" t="e">
        <f t="shared" si="2"/>
        <v>#DIV/0!</v>
      </c>
      <c r="J36" s="28">
        <f t="shared" si="2"/>
        <v>2.1820833333333334</v>
      </c>
      <c r="K36" s="28">
        <f t="shared" si="2"/>
        <v>338.81749999999994</v>
      </c>
      <c r="L36" s="28">
        <f t="shared" si="2"/>
        <v>18.649583333333339</v>
      </c>
      <c r="M36" s="28">
        <f t="shared" si="2"/>
        <v>43.354999999999997</v>
      </c>
      <c r="N36" s="28">
        <f t="shared" si="2"/>
        <v>214.47916666666671</v>
      </c>
      <c r="O36" s="28">
        <f t="shared" si="2"/>
        <v>0</v>
      </c>
      <c r="P36" s="28">
        <f t="shared" si="2"/>
        <v>0.81166666666666665</v>
      </c>
      <c r="Q36" s="28">
        <f t="shared" si="2"/>
        <v>8.4995833333333373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12.971817026019197</v>
      </c>
      <c r="C37" s="28">
        <f t="shared" ref="C37:Q37" si="3">STDEV(C9:C32)</f>
        <v>8.6812240755133878</v>
      </c>
      <c r="D37" s="28">
        <f t="shared" si="3"/>
        <v>12.006496603439576</v>
      </c>
      <c r="E37" s="28">
        <f t="shared" si="3"/>
        <v>0.68564459780030473</v>
      </c>
      <c r="F37" s="28">
        <f t="shared" si="3"/>
        <v>2.0412414523193617E-3</v>
      </c>
      <c r="G37" s="28">
        <f t="shared" si="3"/>
        <v>20.993099418342339</v>
      </c>
      <c r="H37" s="28">
        <f t="shared" si="3"/>
        <v>5.0769823714485591</v>
      </c>
      <c r="I37" s="28" t="e">
        <f t="shared" si="3"/>
        <v>#DIV/0!</v>
      </c>
      <c r="J37" s="28">
        <f t="shared" si="3"/>
        <v>0.56063612291649734</v>
      </c>
      <c r="K37" s="28">
        <f t="shared" si="3"/>
        <v>65.768902143265592</v>
      </c>
      <c r="L37" s="28">
        <f t="shared" si="3"/>
        <v>4.3797810935634658</v>
      </c>
      <c r="M37" s="28">
        <f t="shared" si="3"/>
        <v>11.355018427033073</v>
      </c>
      <c r="N37" s="28">
        <f t="shared" si="3"/>
        <v>216.32804593982934</v>
      </c>
      <c r="O37" s="28">
        <f t="shared" si="3"/>
        <v>0</v>
      </c>
      <c r="P37" s="28">
        <f t="shared" si="3"/>
        <v>0.21161216917967521</v>
      </c>
      <c r="Q37" s="28">
        <f t="shared" si="3"/>
        <v>0.53337709286058144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0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&lt;90%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LESS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0" sqref="G50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18/01/2025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3" t="s">
        <v>468</v>
      </c>
      <c r="B9" s="54">
        <v>47.99</v>
      </c>
      <c r="C9" s="54">
        <v>59.3</v>
      </c>
      <c r="D9" s="54">
        <v>68.09</v>
      </c>
      <c r="E9" s="54">
        <v>7.7</v>
      </c>
      <c r="F9" s="54">
        <v>2.13</v>
      </c>
      <c r="G9" s="54">
        <v>84.54</v>
      </c>
      <c r="H9" s="54">
        <v>28.07</v>
      </c>
      <c r="I9" s="55" t="s">
        <v>15</v>
      </c>
      <c r="J9" s="54">
        <v>1.9</v>
      </c>
      <c r="K9" s="54">
        <v>358.07</v>
      </c>
      <c r="L9" s="54">
        <v>14.26</v>
      </c>
      <c r="M9" s="54">
        <v>53.93</v>
      </c>
      <c r="N9" s="54">
        <v>75.599999999999994</v>
      </c>
      <c r="O9" s="54">
        <v>0</v>
      </c>
      <c r="P9" s="54">
        <v>1.06</v>
      </c>
      <c r="Q9" s="54">
        <v>9.3699999999999992</v>
      </c>
      <c r="R9" s="43"/>
      <c r="S9" s="43"/>
      <c r="T9" s="43"/>
      <c r="U9" s="43"/>
    </row>
    <row r="10" spans="1:21" s="11" customFormat="1" x14ac:dyDescent="0.25">
      <c r="A10" s="53" t="s">
        <v>469</v>
      </c>
      <c r="B10" s="54">
        <v>44.34</v>
      </c>
      <c r="C10" s="54">
        <v>55.9</v>
      </c>
      <c r="D10" s="54">
        <v>63.38</v>
      </c>
      <c r="E10" s="54">
        <v>6.5</v>
      </c>
      <c r="F10" s="54">
        <v>2.13</v>
      </c>
      <c r="G10" s="54">
        <v>84.54</v>
      </c>
      <c r="H10" s="54">
        <v>27.3</v>
      </c>
      <c r="I10" s="55" t="s">
        <v>15</v>
      </c>
      <c r="J10" s="54">
        <v>2.08</v>
      </c>
      <c r="K10" s="54">
        <v>347.7</v>
      </c>
      <c r="L10" s="54">
        <v>13.88</v>
      </c>
      <c r="M10" s="54">
        <v>55.87</v>
      </c>
      <c r="N10" s="54">
        <v>75.599999999999994</v>
      </c>
      <c r="O10" s="54">
        <v>0</v>
      </c>
      <c r="P10" s="54">
        <v>0.9</v>
      </c>
      <c r="Q10" s="54">
        <v>8.93</v>
      </c>
      <c r="R10" s="43"/>
      <c r="S10" s="43"/>
      <c r="T10" s="43"/>
      <c r="U10" s="43"/>
    </row>
    <row r="11" spans="1:21" s="11" customFormat="1" x14ac:dyDescent="0.25">
      <c r="A11" s="53" t="s">
        <v>470</v>
      </c>
      <c r="B11" s="54">
        <v>37.78</v>
      </c>
      <c r="C11" s="54">
        <v>54.01</v>
      </c>
      <c r="D11" s="54">
        <v>57.14</v>
      </c>
      <c r="E11" s="54">
        <v>6.71</v>
      </c>
      <c r="F11" s="54">
        <v>2.13</v>
      </c>
      <c r="G11" s="54">
        <v>72.87</v>
      </c>
      <c r="H11" s="54">
        <v>27.1</v>
      </c>
      <c r="I11" s="55" t="s">
        <v>15</v>
      </c>
      <c r="J11" s="54">
        <v>1.59</v>
      </c>
      <c r="K11" s="54">
        <v>349.55</v>
      </c>
      <c r="L11" s="54">
        <v>13.33</v>
      </c>
      <c r="M11" s="54">
        <v>57.48</v>
      </c>
      <c r="N11" s="54">
        <v>76.099999999999994</v>
      </c>
      <c r="O11" s="54">
        <v>0</v>
      </c>
      <c r="P11" s="54">
        <v>0.82</v>
      </c>
      <c r="Q11" s="54">
        <v>8.5</v>
      </c>
      <c r="R11" s="43"/>
      <c r="S11" s="43"/>
      <c r="T11" s="43"/>
      <c r="U11" s="43"/>
    </row>
    <row r="12" spans="1:21" s="11" customFormat="1" x14ac:dyDescent="0.25">
      <c r="A12" s="53" t="s">
        <v>471</v>
      </c>
      <c r="B12" s="54">
        <v>32.43</v>
      </c>
      <c r="C12" s="54">
        <v>52.81</v>
      </c>
      <c r="D12" s="54">
        <v>52.22</v>
      </c>
      <c r="E12" s="54">
        <v>7.14</v>
      </c>
      <c r="F12" s="54">
        <v>2.13</v>
      </c>
      <c r="G12" s="54">
        <v>68.38</v>
      </c>
      <c r="H12" s="54">
        <v>26.45</v>
      </c>
      <c r="I12" s="55" t="s">
        <v>15</v>
      </c>
      <c r="J12" s="54">
        <v>2.09</v>
      </c>
      <c r="K12" s="54">
        <v>348.86</v>
      </c>
      <c r="L12" s="54">
        <v>12.67</v>
      </c>
      <c r="M12" s="54">
        <v>60.42</v>
      </c>
      <c r="N12" s="54">
        <v>76.599999999999994</v>
      </c>
      <c r="O12" s="54">
        <v>0</v>
      </c>
      <c r="P12" s="54">
        <v>0.77</v>
      </c>
      <c r="Q12" s="54">
        <v>8.2100000000000009</v>
      </c>
      <c r="R12" s="43"/>
      <c r="S12" s="43"/>
      <c r="T12" s="43"/>
      <c r="U12" s="43"/>
    </row>
    <row r="13" spans="1:21" s="11" customFormat="1" x14ac:dyDescent="0.25">
      <c r="A13" s="53" t="s">
        <v>472</v>
      </c>
      <c r="B13" s="54">
        <v>28.45</v>
      </c>
      <c r="C13" s="54">
        <v>52.19</v>
      </c>
      <c r="D13" s="54">
        <v>48.71</v>
      </c>
      <c r="E13" s="54">
        <v>6.22</v>
      </c>
      <c r="F13" s="54">
        <v>2.13</v>
      </c>
      <c r="G13" s="54">
        <v>64.5</v>
      </c>
      <c r="H13" s="54">
        <v>23.32</v>
      </c>
      <c r="I13" s="55" t="s">
        <v>15</v>
      </c>
      <c r="J13" s="54">
        <v>1.03</v>
      </c>
      <c r="K13" s="54">
        <v>342.04</v>
      </c>
      <c r="L13" s="54">
        <v>12</v>
      </c>
      <c r="M13" s="54">
        <v>63.32</v>
      </c>
      <c r="N13" s="54">
        <v>76.7</v>
      </c>
      <c r="O13" s="54">
        <v>0</v>
      </c>
      <c r="P13" s="54">
        <v>0.71</v>
      </c>
      <c r="Q13" s="54">
        <v>8.2100000000000009</v>
      </c>
      <c r="R13" s="43"/>
      <c r="S13" s="43"/>
      <c r="T13" s="43"/>
      <c r="U13" s="43"/>
    </row>
    <row r="14" spans="1:21" s="11" customFormat="1" x14ac:dyDescent="0.25">
      <c r="A14" s="53" t="s">
        <v>473</v>
      </c>
      <c r="B14" s="54">
        <v>30</v>
      </c>
      <c r="C14" s="54">
        <v>50.51</v>
      </c>
      <c r="D14" s="54">
        <v>48.99</v>
      </c>
      <c r="E14" s="54">
        <v>5.89</v>
      </c>
      <c r="F14" s="54">
        <v>2.13</v>
      </c>
      <c r="G14" s="54">
        <v>61.19</v>
      </c>
      <c r="H14" s="54">
        <v>23.08</v>
      </c>
      <c r="I14" s="55" t="s">
        <v>15</v>
      </c>
      <c r="J14" s="54">
        <v>2.14</v>
      </c>
      <c r="K14" s="54">
        <v>356.52</v>
      </c>
      <c r="L14" s="54">
        <v>11.4</v>
      </c>
      <c r="M14" s="54">
        <v>67.150000000000006</v>
      </c>
      <c r="N14" s="54">
        <v>76.900000000000006</v>
      </c>
      <c r="O14" s="54">
        <v>0</v>
      </c>
      <c r="P14" s="54">
        <v>0.67</v>
      </c>
      <c r="Q14" s="54">
        <v>8.2100000000000009</v>
      </c>
      <c r="R14" s="43"/>
      <c r="S14" s="43"/>
      <c r="T14" s="43"/>
      <c r="U14" s="43"/>
    </row>
    <row r="15" spans="1:21" s="11" customFormat="1" x14ac:dyDescent="0.25">
      <c r="A15" s="53" t="s">
        <v>474</v>
      </c>
      <c r="B15" s="54">
        <v>32.67</v>
      </c>
      <c r="C15" s="54">
        <v>50.26</v>
      </c>
      <c r="D15" s="54">
        <v>50.99</v>
      </c>
      <c r="E15" s="54">
        <v>6.11</v>
      </c>
      <c r="F15" s="54">
        <v>2.13</v>
      </c>
      <c r="G15" s="54">
        <v>59.43</v>
      </c>
      <c r="H15" s="54">
        <v>23.73</v>
      </c>
      <c r="I15" s="55" t="s">
        <v>15</v>
      </c>
      <c r="J15" s="54">
        <v>1.99</v>
      </c>
      <c r="K15" s="54">
        <v>358.16</v>
      </c>
      <c r="L15" s="54">
        <v>11.21</v>
      </c>
      <c r="M15" s="54">
        <v>65.849999999999994</v>
      </c>
      <c r="N15" s="54">
        <v>87.7</v>
      </c>
      <c r="O15" s="54">
        <v>0</v>
      </c>
      <c r="P15" s="54">
        <v>0.65</v>
      </c>
      <c r="Q15" s="54">
        <v>8.2100000000000009</v>
      </c>
      <c r="R15" s="43"/>
      <c r="S15" s="43"/>
      <c r="T15" s="43"/>
      <c r="U15" s="43"/>
    </row>
    <row r="16" spans="1:21" s="11" customFormat="1" x14ac:dyDescent="0.25">
      <c r="A16" s="53" t="s">
        <v>475</v>
      </c>
      <c r="B16" s="54">
        <v>37.58</v>
      </c>
      <c r="C16" s="54">
        <v>51.43</v>
      </c>
      <c r="D16" s="54">
        <v>55.63</v>
      </c>
      <c r="E16" s="54">
        <v>6.25</v>
      </c>
      <c r="F16" s="54">
        <v>2.13</v>
      </c>
      <c r="G16" s="54">
        <v>63.42</v>
      </c>
      <c r="H16" s="54">
        <v>23.73</v>
      </c>
      <c r="I16" s="55" t="s">
        <v>15</v>
      </c>
      <c r="J16" s="54">
        <v>2.77</v>
      </c>
      <c r="K16" s="54">
        <v>356.3</v>
      </c>
      <c r="L16" s="54">
        <v>13.59</v>
      </c>
      <c r="M16" s="54">
        <v>63.6</v>
      </c>
      <c r="N16" s="54">
        <v>210.8</v>
      </c>
      <c r="O16" s="54">
        <v>0</v>
      </c>
      <c r="P16" s="54">
        <v>0.67</v>
      </c>
      <c r="Q16" s="54">
        <v>8.2100000000000009</v>
      </c>
      <c r="R16" s="43"/>
      <c r="S16" s="43"/>
      <c r="T16" s="43"/>
      <c r="U16" s="43"/>
    </row>
    <row r="17" spans="1:21" s="11" customFormat="1" x14ac:dyDescent="0.25">
      <c r="A17" s="53" t="s">
        <v>476</v>
      </c>
      <c r="B17" s="54">
        <v>39.799999999999997</v>
      </c>
      <c r="C17" s="54">
        <v>54.11</v>
      </c>
      <c r="D17" s="54">
        <v>58.81</v>
      </c>
      <c r="E17" s="54">
        <v>7.45</v>
      </c>
      <c r="F17" s="54">
        <v>2.13</v>
      </c>
      <c r="G17" s="54">
        <v>75.97</v>
      </c>
      <c r="H17" s="54">
        <v>26.64</v>
      </c>
      <c r="I17" s="55" t="s">
        <v>15</v>
      </c>
      <c r="J17" s="54">
        <v>2.27</v>
      </c>
      <c r="K17" s="54">
        <v>349.47</v>
      </c>
      <c r="L17" s="54">
        <v>18.68</v>
      </c>
      <c r="M17" s="54">
        <v>47.19</v>
      </c>
      <c r="N17" s="54">
        <v>399.3</v>
      </c>
      <c r="O17" s="54">
        <v>0</v>
      </c>
      <c r="P17" s="54">
        <v>0.71</v>
      </c>
      <c r="Q17" s="54">
        <v>8.2100000000000009</v>
      </c>
      <c r="R17" s="43"/>
      <c r="S17" s="43"/>
      <c r="T17" s="43"/>
      <c r="U17" s="43"/>
    </row>
    <row r="18" spans="1:21" s="11" customFormat="1" x14ac:dyDescent="0.25">
      <c r="A18" s="53" t="s">
        <v>477</v>
      </c>
      <c r="B18" s="54">
        <v>42.53</v>
      </c>
      <c r="C18" s="54">
        <v>57.04</v>
      </c>
      <c r="D18" s="54">
        <v>62.53</v>
      </c>
      <c r="E18" s="54">
        <v>6.95</v>
      </c>
      <c r="F18" s="54">
        <v>2.13</v>
      </c>
      <c r="G18" s="54">
        <v>87.39</v>
      </c>
      <c r="H18" s="54">
        <v>27.13</v>
      </c>
      <c r="I18" s="55" t="s">
        <v>15</v>
      </c>
      <c r="J18" s="54">
        <v>1.87</v>
      </c>
      <c r="K18" s="54">
        <v>354.2</v>
      </c>
      <c r="L18" s="54">
        <v>20.39</v>
      </c>
      <c r="M18" s="54">
        <v>43.09</v>
      </c>
      <c r="N18" s="54">
        <v>539.5</v>
      </c>
      <c r="O18" s="54">
        <v>0</v>
      </c>
      <c r="P18" s="54">
        <v>0.73</v>
      </c>
      <c r="Q18" s="54">
        <v>8.2100000000000009</v>
      </c>
      <c r="R18" s="43"/>
      <c r="S18" s="43"/>
      <c r="T18" s="43"/>
      <c r="U18" s="43"/>
    </row>
    <row r="19" spans="1:21" s="11" customFormat="1" x14ac:dyDescent="0.25">
      <c r="A19" s="53" t="s">
        <v>478</v>
      </c>
      <c r="B19" s="54">
        <v>42.53</v>
      </c>
      <c r="C19" s="54">
        <v>61.49</v>
      </c>
      <c r="D19" s="54">
        <v>63.43</v>
      </c>
      <c r="E19" s="54">
        <v>7.15</v>
      </c>
      <c r="F19" s="54">
        <v>2.13</v>
      </c>
      <c r="G19" s="54">
        <v>87.39</v>
      </c>
      <c r="H19" s="54">
        <v>30.1</v>
      </c>
      <c r="I19" s="55" t="s">
        <v>15</v>
      </c>
      <c r="J19" s="54">
        <v>1.78</v>
      </c>
      <c r="K19" s="54">
        <v>356.32</v>
      </c>
      <c r="L19" s="54">
        <v>23.91</v>
      </c>
      <c r="M19" s="54">
        <v>37.9</v>
      </c>
      <c r="N19" s="54">
        <v>608.29999999999995</v>
      </c>
      <c r="O19" s="54">
        <v>0</v>
      </c>
      <c r="P19" s="54">
        <v>0.76</v>
      </c>
      <c r="Q19" s="54">
        <v>8.2100000000000009</v>
      </c>
      <c r="R19" s="43"/>
      <c r="S19" s="43"/>
      <c r="T19" s="43"/>
      <c r="U19" s="43"/>
    </row>
    <row r="20" spans="1:21" s="11" customFormat="1" x14ac:dyDescent="0.25">
      <c r="A20" s="53" t="s">
        <v>479</v>
      </c>
      <c r="B20" s="54">
        <v>38.96</v>
      </c>
      <c r="C20" s="54">
        <v>66.78</v>
      </c>
      <c r="D20" s="54">
        <v>62.86</v>
      </c>
      <c r="E20" s="54">
        <v>7.53</v>
      </c>
      <c r="F20" s="54">
        <v>2.13</v>
      </c>
      <c r="G20" s="54">
        <v>84.44</v>
      </c>
      <c r="H20" s="54">
        <v>30.1</v>
      </c>
      <c r="I20" s="55" t="s">
        <v>15</v>
      </c>
      <c r="J20" s="54">
        <v>1.4</v>
      </c>
      <c r="K20" s="54">
        <v>352.98</v>
      </c>
      <c r="L20" s="54">
        <v>25.11</v>
      </c>
      <c r="M20" s="54">
        <v>33.21</v>
      </c>
      <c r="N20" s="54">
        <v>629</v>
      </c>
      <c r="O20" s="54">
        <v>0</v>
      </c>
      <c r="P20" s="54">
        <v>0.77</v>
      </c>
      <c r="Q20" s="54">
        <v>8.2100000000000009</v>
      </c>
      <c r="R20" s="43"/>
      <c r="S20" s="43"/>
      <c r="T20" s="43"/>
      <c r="U20" s="43"/>
    </row>
    <row r="21" spans="1:21" s="11" customFormat="1" x14ac:dyDescent="0.25">
      <c r="A21" s="53" t="s">
        <v>480</v>
      </c>
      <c r="B21" s="54">
        <v>30.69</v>
      </c>
      <c r="C21" s="54">
        <v>70.900000000000006</v>
      </c>
      <c r="D21" s="54">
        <v>58.59</v>
      </c>
      <c r="E21" s="54">
        <v>7.27</v>
      </c>
      <c r="F21" s="54">
        <v>2.13</v>
      </c>
      <c r="G21" s="54">
        <v>80.55</v>
      </c>
      <c r="H21" s="54">
        <v>28.86</v>
      </c>
      <c r="I21" s="55" t="s">
        <v>15</v>
      </c>
      <c r="J21" s="54">
        <v>1.94</v>
      </c>
      <c r="K21" s="54">
        <v>348.7</v>
      </c>
      <c r="L21" s="54">
        <v>25.26</v>
      </c>
      <c r="M21" s="54">
        <v>32.26</v>
      </c>
      <c r="N21" s="54">
        <v>620.6</v>
      </c>
      <c r="O21" s="54">
        <v>0</v>
      </c>
      <c r="P21" s="54">
        <v>0.76</v>
      </c>
      <c r="Q21" s="54">
        <v>8.2100000000000009</v>
      </c>
      <c r="R21" s="43"/>
      <c r="S21" s="43"/>
      <c r="T21" s="43"/>
      <c r="U21" s="43"/>
    </row>
    <row r="22" spans="1:21" s="11" customFormat="1" x14ac:dyDescent="0.25">
      <c r="A22" s="53" t="s">
        <v>481</v>
      </c>
      <c r="B22" s="54">
        <v>24.3</v>
      </c>
      <c r="C22" s="54">
        <v>71.91</v>
      </c>
      <c r="D22" s="54">
        <v>55.68</v>
      </c>
      <c r="E22" s="54">
        <v>7.56</v>
      </c>
      <c r="F22" s="54">
        <v>2.13</v>
      </c>
      <c r="G22" s="54">
        <v>78.13</v>
      </c>
      <c r="H22" s="54">
        <v>27.25</v>
      </c>
      <c r="I22" s="55" t="s">
        <v>15</v>
      </c>
      <c r="J22" s="54">
        <v>1.21</v>
      </c>
      <c r="K22" s="54">
        <v>357.71</v>
      </c>
      <c r="L22" s="54">
        <v>25.43</v>
      </c>
      <c r="M22" s="54">
        <v>29.73</v>
      </c>
      <c r="N22" s="54">
        <v>586.1</v>
      </c>
      <c r="O22" s="54">
        <v>0</v>
      </c>
      <c r="P22" s="54">
        <v>0.74</v>
      </c>
      <c r="Q22" s="54">
        <v>8.2100000000000009</v>
      </c>
      <c r="R22" s="43"/>
      <c r="S22" s="43"/>
      <c r="T22" s="43"/>
      <c r="U22" s="43"/>
    </row>
    <row r="23" spans="1:21" s="11" customFormat="1" x14ac:dyDescent="0.25">
      <c r="A23" s="53" t="s">
        <v>482</v>
      </c>
      <c r="B23" s="54">
        <v>21.5</v>
      </c>
      <c r="C23" s="54">
        <v>70.78</v>
      </c>
      <c r="D23" s="54">
        <v>52.84</v>
      </c>
      <c r="E23" s="54">
        <v>6.5</v>
      </c>
      <c r="F23" s="54">
        <v>2.13</v>
      </c>
      <c r="G23" s="54">
        <v>77.02</v>
      </c>
      <c r="H23" s="54">
        <v>24.57</v>
      </c>
      <c r="I23" s="55" t="s">
        <v>15</v>
      </c>
      <c r="J23" s="54">
        <v>2.0699999999999998</v>
      </c>
      <c r="K23" s="54">
        <v>353.39</v>
      </c>
      <c r="L23" s="54">
        <v>24.62</v>
      </c>
      <c r="M23" s="54">
        <v>29.68</v>
      </c>
      <c r="N23" s="54">
        <v>443.7</v>
      </c>
      <c r="O23" s="54">
        <v>0</v>
      </c>
      <c r="P23" s="54">
        <v>0.72</v>
      </c>
      <c r="Q23" s="54">
        <v>8.2100000000000009</v>
      </c>
      <c r="R23" s="43"/>
      <c r="S23" s="43"/>
      <c r="T23" s="43"/>
      <c r="U23" s="43"/>
    </row>
    <row r="24" spans="1:21" s="11" customFormat="1" x14ac:dyDescent="0.25">
      <c r="A24" s="53" t="s">
        <v>483</v>
      </c>
      <c r="B24" s="54">
        <v>17.72</v>
      </c>
      <c r="C24" s="54">
        <v>70.47</v>
      </c>
      <c r="D24" s="54">
        <v>49.56</v>
      </c>
      <c r="E24" s="54">
        <v>6.43</v>
      </c>
      <c r="F24" s="54">
        <v>2.13</v>
      </c>
      <c r="G24" s="54">
        <v>71</v>
      </c>
      <c r="H24" s="54">
        <v>24.42</v>
      </c>
      <c r="I24" s="55" t="s">
        <v>15</v>
      </c>
      <c r="J24" s="54">
        <v>1.76</v>
      </c>
      <c r="K24" s="54">
        <v>355.51</v>
      </c>
      <c r="L24" s="54">
        <v>23.03</v>
      </c>
      <c r="M24" s="54">
        <v>30.59</v>
      </c>
      <c r="N24" s="54">
        <v>170.4</v>
      </c>
      <c r="O24" s="54">
        <v>0</v>
      </c>
      <c r="P24" s="54">
        <v>0.7</v>
      </c>
      <c r="Q24" s="54">
        <v>8.2100000000000009</v>
      </c>
      <c r="R24" s="43"/>
      <c r="S24" s="43"/>
      <c r="T24" s="43"/>
      <c r="U24" s="43"/>
    </row>
    <row r="25" spans="1:21" s="11" customFormat="1" x14ac:dyDescent="0.25">
      <c r="A25" s="53" t="s">
        <v>484</v>
      </c>
      <c r="B25" s="54">
        <v>12.91</v>
      </c>
      <c r="C25" s="54">
        <v>72.900000000000006</v>
      </c>
      <c r="D25" s="54">
        <v>47.07</v>
      </c>
      <c r="E25" s="54">
        <v>7.45</v>
      </c>
      <c r="F25" s="54">
        <v>2.13</v>
      </c>
      <c r="G25" s="54">
        <v>65.53</v>
      </c>
      <c r="H25" s="54">
        <v>24.48</v>
      </c>
      <c r="I25" s="55" t="s">
        <v>15</v>
      </c>
      <c r="J25" s="54">
        <v>2.56</v>
      </c>
      <c r="K25" s="54">
        <v>354.5</v>
      </c>
      <c r="L25" s="54">
        <v>22.31</v>
      </c>
      <c r="M25" s="54">
        <v>32.619999999999997</v>
      </c>
      <c r="N25" s="54">
        <v>100</v>
      </c>
      <c r="O25" s="54">
        <v>0</v>
      </c>
      <c r="P25" s="54">
        <v>0.74</v>
      </c>
      <c r="Q25" s="54">
        <v>8.2100000000000009</v>
      </c>
      <c r="R25" s="43"/>
      <c r="S25" s="43"/>
      <c r="T25" s="43"/>
      <c r="U25" s="43"/>
    </row>
    <row r="26" spans="1:21" s="11" customFormat="1" x14ac:dyDescent="0.25">
      <c r="A26" s="53" t="s">
        <v>485</v>
      </c>
      <c r="B26" s="54">
        <v>19.41</v>
      </c>
      <c r="C26" s="54">
        <v>73.67</v>
      </c>
      <c r="D26" s="54">
        <v>52.1</v>
      </c>
      <c r="E26" s="54">
        <v>7.42</v>
      </c>
      <c r="F26" s="54">
        <v>2.13</v>
      </c>
      <c r="G26" s="54">
        <v>74.17</v>
      </c>
      <c r="H26" s="54">
        <v>24.94</v>
      </c>
      <c r="I26" s="55" t="s">
        <v>15</v>
      </c>
      <c r="J26" s="54">
        <v>2.63</v>
      </c>
      <c r="K26" s="54">
        <v>352.32</v>
      </c>
      <c r="L26" s="54">
        <v>21.18</v>
      </c>
      <c r="M26" s="54">
        <v>40.659999999999997</v>
      </c>
      <c r="N26" s="54">
        <v>71.099999999999994</v>
      </c>
      <c r="O26" s="54">
        <v>0</v>
      </c>
      <c r="P26" s="54">
        <v>1.1299999999999999</v>
      </c>
      <c r="Q26" s="54">
        <v>8.2100000000000009</v>
      </c>
      <c r="R26" s="43"/>
      <c r="S26" s="43"/>
      <c r="T26" s="43"/>
      <c r="U26" s="43"/>
    </row>
    <row r="27" spans="1:21" s="11" customFormat="1" x14ac:dyDescent="0.25">
      <c r="A27" s="53" t="s">
        <v>486</v>
      </c>
      <c r="B27" s="54">
        <v>30.36</v>
      </c>
      <c r="C27" s="54">
        <v>72.36</v>
      </c>
      <c r="D27" s="54">
        <v>60.26</v>
      </c>
      <c r="E27" s="54">
        <v>7.3</v>
      </c>
      <c r="F27" s="54">
        <v>2.13</v>
      </c>
      <c r="G27" s="54">
        <v>98.17</v>
      </c>
      <c r="H27" s="54">
        <v>29.52</v>
      </c>
      <c r="I27" s="55" t="s">
        <v>15</v>
      </c>
      <c r="J27" s="54">
        <v>1.78</v>
      </c>
      <c r="K27" s="54">
        <v>342.15</v>
      </c>
      <c r="L27" s="54">
        <v>18.57</v>
      </c>
      <c r="M27" s="54">
        <v>47.02</v>
      </c>
      <c r="N27" s="54">
        <v>54.9</v>
      </c>
      <c r="O27" s="54">
        <v>0</v>
      </c>
      <c r="P27" s="54">
        <v>1.29</v>
      </c>
      <c r="Q27" s="54">
        <v>8.2100000000000009</v>
      </c>
      <c r="R27" s="43"/>
      <c r="S27" s="43"/>
      <c r="T27" s="43"/>
      <c r="U27" s="43"/>
    </row>
    <row r="28" spans="1:21" s="11" customFormat="1" x14ac:dyDescent="0.25">
      <c r="A28" s="53" t="s">
        <v>487</v>
      </c>
      <c r="B28" s="54">
        <v>37.130000000000003</v>
      </c>
      <c r="C28" s="54">
        <v>72.760000000000005</v>
      </c>
      <c r="D28" s="54">
        <v>66.42</v>
      </c>
      <c r="E28" s="54">
        <v>8.49</v>
      </c>
      <c r="F28" s="54">
        <v>2.13</v>
      </c>
      <c r="G28" s="54">
        <v>108.87</v>
      </c>
      <c r="H28" s="54">
        <v>32.9</v>
      </c>
      <c r="I28" s="55" t="s">
        <v>15</v>
      </c>
      <c r="J28" s="54">
        <v>1.74</v>
      </c>
      <c r="K28" s="54">
        <v>60.18</v>
      </c>
      <c r="L28" s="54">
        <v>17.100000000000001</v>
      </c>
      <c r="M28" s="54">
        <v>56.09</v>
      </c>
      <c r="N28" s="54">
        <v>55.3</v>
      </c>
      <c r="O28" s="54">
        <v>0</v>
      </c>
      <c r="P28" s="54">
        <v>1.38</v>
      </c>
      <c r="Q28" s="54">
        <v>8.2100000000000009</v>
      </c>
      <c r="R28" s="43"/>
      <c r="S28" s="43"/>
      <c r="T28" s="43"/>
      <c r="U28" s="43"/>
    </row>
    <row r="29" spans="1:21" s="11" customFormat="1" x14ac:dyDescent="0.25">
      <c r="A29" s="53" t="s">
        <v>488</v>
      </c>
      <c r="B29" s="54">
        <v>51.06</v>
      </c>
      <c r="C29" s="54">
        <v>76.03</v>
      </c>
      <c r="D29" s="54">
        <v>79.290000000000006</v>
      </c>
      <c r="E29" s="54">
        <v>8.98</v>
      </c>
      <c r="F29" s="54">
        <v>2.13</v>
      </c>
      <c r="G29" s="54">
        <v>123.3</v>
      </c>
      <c r="H29" s="54">
        <v>40.14</v>
      </c>
      <c r="I29" s="55" t="s">
        <v>15</v>
      </c>
      <c r="J29" s="54">
        <v>1.42</v>
      </c>
      <c r="K29" s="54">
        <v>353.82</v>
      </c>
      <c r="L29" s="54">
        <v>16.190000000000001</v>
      </c>
      <c r="M29" s="54">
        <v>55.76</v>
      </c>
      <c r="N29" s="54">
        <v>63.9</v>
      </c>
      <c r="O29" s="54">
        <v>0</v>
      </c>
      <c r="P29" s="54">
        <v>1.47</v>
      </c>
      <c r="Q29" s="54">
        <v>8.4499999999999993</v>
      </c>
      <c r="R29" s="43"/>
      <c r="S29" s="43"/>
      <c r="T29" s="43"/>
      <c r="U29" s="43"/>
    </row>
    <row r="30" spans="1:21" s="11" customFormat="1" x14ac:dyDescent="0.25">
      <c r="A30" s="53" t="s">
        <v>489</v>
      </c>
      <c r="B30" s="54">
        <v>58.98</v>
      </c>
      <c r="C30" s="54">
        <v>76.319999999999993</v>
      </c>
      <c r="D30" s="54">
        <v>84.79</v>
      </c>
      <c r="E30" s="54">
        <v>8.24</v>
      </c>
      <c r="F30" s="54">
        <v>2.13</v>
      </c>
      <c r="G30" s="54">
        <v>123.3</v>
      </c>
      <c r="H30" s="54">
        <v>40.14</v>
      </c>
      <c r="I30" s="55" t="s">
        <v>15</v>
      </c>
      <c r="J30" s="54">
        <v>1.53</v>
      </c>
      <c r="K30" s="54">
        <v>320.45</v>
      </c>
      <c r="L30" s="54">
        <v>15.98</v>
      </c>
      <c r="M30" s="54">
        <v>55.58</v>
      </c>
      <c r="N30" s="54">
        <v>68.5</v>
      </c>
      <c r="O30" s="54">
        <v>0</v>
      </c>
      <c r="P30" s="54">
        <v>1.58</v>
      </c>
      <c r="Q30" s="54">
        <v>8.83</v>
      </c>
      <c r="R30" s="43"/>
      <c r="S30" s="43"/>
      <c r="T30" s="43"/>
      <c r="U30" s="43"/>
    </row>
    <row r="31" spans="1:21" s="11" customFormat="1" x14ac:dyDescent="0.25">
      <c r="A31" s="53" t="s">
        <v>490</v>
      </c>
      <c r="B31" s="54">
        <v>73.33</v>
      </c>
      <c r="C31" s="54">
        <v>74.23</v>
      </c>
      <c r="D31" s="54">
        <v>95.62</v>
      </c>
      <c r="E31" s="54">
        <v>8.69</v>
      </c>
      <c r="F31" s="54">
        <v>2.13</v>
      </c>
      <c r="G31" s="54">
        <v>134.4</v>
      </c>
      <c r="H31" s="54">
        <v>44.3</v>
      </c>
      <c r="I31" s="55" t="s">
        <v>15</v>
      </c>
      <c r="J31" s="54">
        <v>1.74</v>
      </c>
      <c r="K31" s="54">
        <v>318.45999999999998</v>
      </c>
      <c r="L31" s="54">
        <v>15.06</v>
      </c>
      <c r="M31" s="54">
        <v>69.099999999999994</v>
      </c>
      <c r="N31" s="54">
        <v>68.7</v>
      </c>
      <c r="O31" s="54">
        <v>0</v>
      </c>
      <c r="P31" s="54">
        <v>1.73</v>
      </c>
      <c r="Q31" s="54">
        <v>9.5</v>
      </c>
      <c r="R31" s="43"/>
      <c r="S31" s="43"/>
      <c r="T31" s="43"/>
      <c r="U31" s="43"/>
    </row>
    <row r="32" spans="1:21" s="11" customFormat="1" x14ac:dyDescent="0.25">
      <c r="A32" s="53" t="s">
        <v>491</v>
      </c>
      <c r="B32" s="54">
        <v>90.96</v>
      </c>
      <c r="C32" s="54">
        <v>73.739999999999995</v>
      </c>
      <c r="D32" s="54">
        <v>110.04</v>
      </c>
      <c r="E32" s="54">
        <v>8.68</v>
      </c>
      <c r="F32" s="54">
        <v>2.13</v>
      </c>
      <c r="G32" s="54">
        <v>136.32</v>
      </c>
      <c r="H32" s="54">
        <v>44.3</v>
      </c>
      <c r="I32" s="55" t="s">
        <v>15</v>
      </c>
      <c r="J32" s="54">
        <v>1.73</v>
      </c>
      <c r="K32" s="54">
        <v>311.95999999999998</v>
      </c>
      <c r="L32" s="54">
        <v>12.93</v>
      </c>
      <c r="M32" s="54">
        <v>82.57</v>
      </c>
      <c r="N32" s="54">
        <v>67.599999999999994</v>
      </c>
      <c r="O32" s="54">
        <v>0</v>
      </c>
      <c r="P32" s="54">
        <v>1.72</v>
      </c>
      <c r="Q32" s="54">
        <v>9.73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12.91</v>
      </c>
      <c r="C34" s="28">
        <f t="shared" si="0"/>
        <v>50.26</v>
      </c>
      <c r="D34" s="28">
        <f t="shared" si="0"/>
        <v>47.07</v>
      </c>
      <c r="E34" s="28">
        <f t="shared" si="0"/>
        <v>5.89</v>
      </c>
      <c r="F34" s="28">
        <f t="shared" si="0"/>
        <v>2.13</v>
      </c>
      <c r="G34" s="28">
        <f t="shared" si="0"/>
        <v>59.43</v>
      </c>
      <c r="H34" s="28">
        <f t="shared" si="0"/>
        <v>23.08</v>
      </c>
      <c r="I34" s="28">
        <f t="shared" si="0"/>
        <v>0</v>
      </c>
      <c r="J34" s="28">
        <f t="shared" si="0"/>
        <v>1.03</v>
      </c>
      <c r="K34" s="28">
        <f t="shared" si="0"/>
        <v>60.18</v>
      </c>
      <c r="L34" s="28">
        <f t="shared" si="0"/>
        <v>11.21</v>
      </c>
      <c r="M34" s="28">
        <f t="shared" si="0"/>
        <v>29.68</v>
      </c>
      <c r="N34" s="28">
        <f t="shared" si="0"/>
        <v>54.9</v>
      </c>
      <c r="O34" s="28">
        <f t="shared" si="0"/>
        <v>0</v>
      </c>
      <c r="P34" s="28">
        <f t="shared" si="0"/>
        <v>0.65</v>
      </c>
      <c r="Q34" s="28">
        <f t="shared" si="0"/>
        <v>8.2100000000000009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90.96</v>
      </c>
      <c r="C35" s="29">
        <f t="shared" si="1"/>
        <v>76.319999999999993</v>
      </c>
      <c r="D35" s="29">
        <f t="shared" si="1"/>
        <v>110.04</v>
      </c>
      <c r="E35" s="29">
        <f t="shared" si="1"/>
        <v>8.98</v>
      </c>
      <c r="F35" s="29">
        <f t="shared" si="1"/>
        <v>2.13</v>
      </c>
      <c r="G35" s="29">
        <f t="shared" si="1"/>
        <v>136.32</v>
      </c>
      <c r="H35" s="29">
        <f t="shared" si="1"/>
        <v>44.3</v>
      </c>
      <c r="I35" s="29">
        <f t="shared" si="1"/>
        <v>0</v>
      </c>
      <c r="J35" s="29">
        <f t="shared" si="1"/>
        <v>2.77</v>
      </c>
      <c r="K35" s="29">
        <f t="shared" si="1"/>
        <v>358.16</v>
      </c>
      <c r="L35" s="29">
        <f t="shared" si="1"/>
        <v>25.43</v>
      </c>
      <c r="M35" s="29">
        <f t="shared" si="1"/>
        <v>82.57</v>
      </c>
      <c r="N35" s="29">
        <f t="shared" si="1"/>
        <v>629</v>
      </c>
      <c r="O35" s="29">
        <f t="shared" si="1"/>
        <v>0</v>
      </c>
      <c r="P35" s="29">
        <f t="shared" si="1"/>
        <v>1.73</v>
      </c>
      <c r="Q35" s="29">
        <f t="shared" si="1"/>
        <v>9.73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38.475416666666668</v>
      </c>
      <c r="C36" s="28">
        <f t="shared" si="2"/>
        <v>64.245833333333323</v>
      </c>
      <c r="D36" s="28">
        <f t="shared" si="2"/>
        <v>62.71</v>
      </c>
      <c r="E36" s="28">
        <f t="shared" si="2"/>
        <v>7.2754166666666684</v>
      </c>
      <c r="F36" s="28">
        <f t="shared" si="2"/>
        <v>2.1300000000000003</v>
      </c>
      <c r="G36" s="28">
        <f t="shared" si="2"/>
        <v>86.034166666666678</v>
      </c>
      <c r="H36" s="28">
        <f t="shared" si="2"/>
        <v>29.273749999999996</v>
      </c>
      <c r="I36" s="28" t="e">
        <f t="shared" si="2"/>
        <v>#DIV/0!</v>
      </c>
      <c r="J36" s="28">
        <f t="shared" si="2"/>
        <v>1.8758333333333337</v>
      </c>
      <c r="K36" s="28">
        <f t="shared" si="2"/>
        <v>335.80500000000001</v>
      </c>
      <c r="L36" s="28">
        <f t="shared" si="2"/>
        <v>17.837083333333336</v>
      </c>
      <c r="M36" s="28">
        <f t="shared" si="2"/>
        <v>50.444583333333327</v>
      </c>
      <c r="N36" s="28">
        <f t="shared" si="2"/>
        <v>220.95416666666665</v>
      </c>
      <c r="O36" s="28">
        <f t="shared" si="2"/>
        <v>0</v>
      </c>
      <c r="P36" s="28">
        <f t="shared" si="2"/>
        <v>0.96583333333333321</v>
      </c>
      <c r="Q36" s="28">
        <f t="shared" si="2"/>
        <v>8.4533333333333367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17.466996700402852</v>
      </c>
      <c r="C37" s="28">
        <f t="shared" ref="C37:Q37" si="3">STDEV(C9:C32)</f>
        <v>9.6755496042823914</v>
      </c>
      <c r="D37" s="28">
        <f t="shared" si="3"/>
        <v>15.544141354053092</v>
      </c>
      <c r="E37" s="28">
        <f t="shared" si="3"/>
        <v>0.87261714881486552</v>
      </c>
      <c r="F37" s="28">
        <f t="shared" si="3"/>
        <v>4.5364060814922986E-16</v>
      </c>
      <c r="G37" s="28">
        <f t="shared" si="3"/>
        <v>23.004952570123329</v>
      </c>
      <c r="H37" s="28">
        <f t="shared" si="3"/>
        <v>6.4567691560704308</v>
      </c>
      <c r="I37" s="28" t="e">
        <f t="shared" si="3"/>
        <v>#DIV/0!</v>
      </c>
      <c r="J37" s="28">
        <f t="shared" si="3"/>
        <v>0.42163157899497605</v>
      </c>
      <c r="K37" s="28">
        <f t="shared" si="3"/>
        <v>60.083397620018296</v>
      </c>
      <c r="L37" s="28">
        <f t="shared" si="3"/>
        <v>4.9601713497459539</v>
      </c>
      <c r="M37" s="28">
        <f t="shared" si="3"/>
        <v>14.805696606129501</v>
      </c>
      <c r="N37" s="28">
        <f t="shared" si="3"/>
        <v>221.1867536311432</v>
      </c>
      <c r="O37" s="28">
        <f t="shared" si="3"/>
        <v>0</v>
      </c>
      <c r="P37" s="28">
        <f t="shared" si="3"/>
        <v>0.35982987123345445</v>
      </c>
      <c r="Q37" s="28">
        <f t="shared" si="3"/>
        <v>0.46361215674748835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0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&lt;90%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LESS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7" sqref="G47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19/01/2025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8"/>
      <c r="B8" s="59" t="s">
        <v>22</v>
      </c>
      <c r="C8" s="59" t="s">
        <v>22</v>
      </c>
      <c r="D8" s="29" t="s">
        <v>42</v>
      </c>
      <c r="E8" s="59" t="s">
        <v>22</v>
      </c>
      <c r="F8" s="59" t="s">
        <v>22</v>
      </c>
      <c r="G8" s="59" t="s">
        <v>23</v>
      </c>
      <c r="H8" s="59" t="s">
        <v>22</v>
      </c>
      <c r="I8" s="59" t="s">
        <v>22</v>
      </c>
      <c r="J8" s="59" t="s">
        <v>24</v>
      </c>
      <c r="K8" s="59" t="s">
        <v>25</v>
      </c>
      <c r="L8" s="58" t="s">
        <v>27</v>
      </c>
      <c r="M8" s="59" t="s">
        <v>26</v>
      </c>
      <c r="N8" s="59" t="s">
        <v>28</v>
      </c>
      <c r="O8" s="58" t="s">
        <v>29</v>
      </c>
      <c r="P8" s="59" t="s">
        <v>22</v>
      </c>
      <c r="Q8" s="59" t="s">
        <v>22</v>
      </c>
      <c r="R8" s="27"/>
      <c r="S8" s="29"/>
      <c r="T8" s="27"/>
      <c r="U8" s="27"/>
    </row>
    <row r="9" spans="1:21" s="11" customFormat="1" x14ac:dyDescent="0.25">
      <c r="A9" s="53" t="s">
        <v>492</v>
      </c>
      <c r="B9" s="54">
        <v>90.03</v>
      </c>
      <c r="C9" s="54">
        <v>73.19</v>
      </c>
      <c r="D9" s="54">
        <v>109.06</v>
      </c>
      <c r="E9" s="54">
        <v>8.74</v>
      </c>
      <c r="F9" s="54">
        <v>2.13</v>
      </c>
      <c r="G9" s="54">
        <v>139.38999999999999</v>
      </c>
      <c r="H9" s="54">
        <v>44.35</v>
      </c>
      <c r="I9" s="55" t="s">
        <v>15</v>
      </c>
      <c r="J9" s="54">
        <v>1.96</v>
      </c>
      <c r="K9" s="54">
        <v>327.08999999999997</v>
      </c>
      <c r="L9" s="54">
        <v>12.45</v>
      </c>
      <c r="M9" s="54">
        <v>86.51</v>
      </c>
      <c r="N9" s="54">
        <v>60.4</v>
      </c>
      <c r="O9" s="54">
        <v>0</v>
      </c>
      <c r="P9" s="54">
        <v>1.72</v>
      </c>
      <c r="Q9" s="54">
        <v>9.76</v>
      </c>
      <c r="R9" s="43"/>
      <c r="S9" s="43"/>
      <c r="T9" s="43"/>
      <c r="U9" s="43"/>
    </row>
    <row r="10" spans="1:21" s="11" customFormat="1" x14ac:dyDescent="0.25">
      <c r="A10" s="53" t="s">
        <v>493</v>
      </c>
      <c r="B10" s="54">
        <v>80.42</v>
      </c>
      <c r="C10" s="54">
        <v>71.48</v>
      </c>
      <c r="D10" s="54">
        <v>100.46</v>
      </c>
      <c r="E10" s="54">
        <v>9.44</v>
      </c>
      <c r="F10" s="54">
        <v>2.13</v>
      </c>
      <c r="G10" s="54">
        <v>222.2</v>
      </c>
      <c r="H10" s="54">
        <v>54.52</v>
      </c>
      <c r="I10" s="55" t="s">
        <v>15</v>
      </c>
      <c r="J10" s="54">
        <v>1.74</v>
      </c>
      <c r="K10" s="54">
        <v>345.48</v>
      </c>
      <c r="L10" s="54">
        <v>12.18</v>
      </c>
      <c r="M10" s="54">
        <v>81.22</v>
      </c>
      <c r="N10" s="54">
        <v>56.6</v>
      </c>
      <c r="O10" s="54">
        <v>0</v>
      </c>
      <c r="P10" s="54">
        <v>1.68</v>
      </c>
      <c r="Q10" s="54">
        <v>9.6999999999999993</v>
      </c>
      <c r="R10" s="43"/>
      <c r="S10" s="43"/>
      <c r="T10" s="43"/>
      <c r="U10" s="43"/>
    </row>
    <row r="11" spans="1:21" s="11" customFormat="1" x14ac:dyDescent="0.25">
      <c r="A11" s="53" t="s">
        <v>494</v>
      </c>
      <c r="B11" s="54">
        <v>71.510000000000005</v>
      </c>
      <c r="C11" s="54">
        <v>65.81</v>
      </c>
      <c r="D11" s="54">
        <v>90.35</v>
      </c>
      <c r="E11" s="54">
        <v>9.39</v>
      </c>
      <c r="F11" s="54">
        <v>2.13</v>
      </c>
      <c r="G11" s="54">
        <v>222.2</v>
      </c>
      <c r="H11" s="54">
        <v>68.62</v>
      </c>
      <c r="I11" s="55" t="s">
        <v>15</v>
      </c>
      <c r="J11" s="54">
        <v>1.73</v>
      </c>
      <c r="K11" s="54">
        <v>336.86</v>
      </c>
      <c r="L11" s="54">
        <v>11.65</v>
      </c>
      <c r="M11" s="54">
        <v>83.86</v>
      </c>
      <c r="N11" s="54">
        <v>55</v>
      </c>
      <c r="O11" s="54">
        <v>0</v>
      </c>
      <c r="P11" s="54">
        <v>1.64</v>
      </c>
      <c r="Q11" s="54">
        <v>9.48</v>
      </c>
      <c r="R11" s="43"/>
      <c r="S11" s="43"/>
      <c r="T11" s="43"/>
      <c r="U11" s="43"/>
    </row>
    <row r="12" spans="1:21" s="11" customFormat="1" x14ac:dyDescent="0.25">
      <c r="A12" s="53" t="s">
        <v>495</v>
      </c>
      <c r="B12" s="54">
        <v>63.2</v>
      </c>
      <c r="C12" s="54">
        <v>61.37</v>
      </c>
      <c r="D12" s="54">
        <v>81.37</v>
      </c>
      <c r="E12" s="54">
        <v>8.89</v>
      </c>
      <c r="F12" s="54">
        <v>2.13</v>
      </c>
      <c r="G12" s="54">
        <v>210.12</v>
      </c>
      <c r="H12" s="54">
        <v>68.62</v>
      </c>
      <c r="I12" s="55" t="s">
        <v>15</v>
      </c>
      <c r="J12" s="54">
        <v>1.59</v>
      </c>
      <c r="K12" s="54">
        <v>336.9</v>
      </c>
      <c r="L12" s="54">
        <v>10.91</v>
      </c>
      <c r="M12" s="54">
        <v>91.86</v>
      </c>
      <c r="N12" s="54">
        <v>54.6</v>
      </c>
      <c r="O12" s="54">
        <v>0</v>
      </c>
      <c r="P12" s="54">
        <v>1.55</v>
      </c>
      <c r="Q12" s="54">
        <v>9.0299999999999994</v>
      </c>
      <c r="R12" s="43"/>
      <c r="S12" s="43"/>
      <c r="T12" s="43"/>
      <c r="U12" s="43"/>
    </row>
    <row r="13" spans="1:21" s="11" customFormat="1" x14ac:dyDescent="0.25">
      <c r="A13" s="53" t="s">
        <v>496</v>
      </c>
      <c r="B13" s="54">
        <v>64.319999999999993</v>
      </c>
      <c r="C13" s="54">
        <v>58.26</v>
      </c>
      <c r="D13" s="54">
        <v>80.19</v>
      </c>
      <c r="E13" s="54">
        <v>8.8800000000000008</v>
      </c>
      <c r="F13" s="54">
        <v>2.13</v>
      </c>
      <c r="G13" s="54">
        <v>160.80000000000001</v>
      </c>
      <c r="H13" s="54">
        <v>65.680000000000007</v>
      </c>
      <c r="I13" s="55" t="s">
        <v>15</v>
      </c>
      <c r="J13" s="54">
        <v>1.81</v>
      </c>
      <c r="K13" s="54">
        <v>339.64</v>
      </c>
      <c r="L13" s="54">
        <v>10.19</v>
      </c>
      <c r="M13" s="54">
        <v>94.65</v>
      </c>
      <c r="N13" s="54">
        <v>54.3</v>
      </c>
      <c r="O13" s="54">
        <v>0</v>
      </c>
      <c r="P13" s="54">
        <v>1.48</v>
      </c>
      <c r="Q13" s="54">
        <v>8.86</v>
      </c>
      <c r="R13" s="43"/>
      <c r="S13" s="43"/>
      <c r="T13" s="43"/>
      <c r="U13" s="43"/>
    </row>
    <row r="14" spans="1:21" s="11" customFormat="1" x14ac:dyDescent="0.25">
      <c r="A14" s="53" t="s">
        <v>497</v>
      </c>
      <c r="B14" s="54">
        <v>69.91</v>
      </c>
      <c r="C14" s="54">
        <v>57.59</v>
      </c>
      <c r="D14" s="54">
        <v>84.68</v>
      </c>
      <c r="E14" s="54">
        <v>8.76</v>
      </c>
      <c r="F14" s="54">
        <v>2.13</v>
      </c>
      <c r="G14" s="54">
        <v>165.5</v>
      </c>
      <c r="H14" s="54">
        <v>62.62</v>
      </c>
      <c r="I14" s="55" t="s">
        <v>15</v>
      </c>
      <c r="J14" s="54">
        <v>1.75</v>
      </c>
      <c r="K14" s="54">
        <v>339.53</v>
      </c>
      <c r="L14" s="54">
        <v>10.07</v>
      </c>
      <c r="M14" s="54">
        <v>92.97</v>
      </c>
      <c r="N14" s="54">
        <v>53.9</v>
      </c>
      <c r="O14" s="54">
        <v>0</v>
      </c>
      <c r="P14" s="54">
        <v>1.44</v>
      </c>
      <c r="Q14" s="54">
        <v>9.0299999999999994</v>
      </c>
      <c r="R14" s="43"/>
      <c r="S14" s="43"/>
      <c r="T14" s="43"/>
      <c r="U14" s="43"/>
    </row>
    <row r="15" spans="1:21" s="11" customFormat="1" x14ac:dyDescent="0.25">
      <c r="A15" s="53" t="s">
        <v>498</v>
      </c>
      <c r="B15" s="54">
        <v>71.17</v>
      </c>
      <c r="C15" s="54">
        <v>56.41</v>
      </c>
      <c r="D15" s="54">
        <v>85.17</v>
      </c>
      <c r="E15" s="54">
        <v>8.3699999999999992</v>
      </c>
      <c r="F15" s="54">
        <v>2.13</v>
      </c>
      <c r="G15" s="54">
        <v>165.5</v>
      </c>
      <c r="H15" s="54">
        <v>59.36</v>
      </c>
      <c r="I15" s="55" t="s">
        <v>15</v>
      </c>
      <c r="J15" s="54">
        <v>1.55</v>
      </c>
      <c r="K15" s="54">
        <v>307.32</v>
      </c>
      <c r="L15" s="54">
        <v>10.31</v>
      </c>
      <c r="M15" s="54">
        <v>87.9</v>
      </c>
      <c r="N15" s="54">
        <v>64.3</v>
      </c>
      <c r="O15" s="54">
        <v>0</v>
      </c>
      <c r="P15" s="54">
        <v>1.43</v>
      </c>
      <c r="Q15" s="54">
        <v>9.1</v>
      </c>
      <c r="R15" s="43"/>
      <c r="S15" s="43"/>
      <c r="T15" s="43"/>
      <c r="U15" s="43"/>
    </row>
    <row r="16" spans="1:21" s="11" customFormat="1" x14ac:dyDescent="0.25">
      <c r="A16" s="53" t="s">
        <v>499</v>
      </c>
      <c r="B16" s="54">
        <v>70.89</v>
      </c>
      <c r="C16" s="54">
        <v>56.02</v>
      </c>
      <c r="D16" s="54">
        <v>84.72</v>
      </c>
      <c r="E16" s="54">
        <v>8.16</v>
      </c>
      <c r="F16" s="54">
        <v>2.13</v>
      </c>
      <c r="G16" s="54">
        <v>130.28</v>
      </c>
      <c r="H16" s="54">
        <v>54.67</v>
      </c>
      <c r="I16" s="55" t="s">
        <v>15</v>
      </c>
      <c r="J16" s="54">
        <v>1.19</v>
      </c>
      <c r="K16" s="54">
        <v>336.56</v>
      </c>
      <c r="L16" s="54">
        <v>13.52</v>
      </c>
      <c r="M16" s="54">
        <v>80.95</v>
      </c>
      <c r="N16" s="54">
        <v>210.2</v>
      </c>
      <c r="O16" s="54">
        <v>0</v>
      </c>
      <c r="P16" s="54">
        <v>1.38</v>
      </c>
      <c r="Q16" s="54">
        <v>9.1</v>
      </c>
      <c r="R16" s="43"/>
      <c r="S16" s="43"/>
      <c r="T16" s="43"/>
      <c r="U16" s="43"/>
    </row>
    <row r="17" spans="1:21" s="11" customFormat="1" x14ac:dyDescent="0.25">
      <c r="A17" s="53" t="s">
        <v>500</v>
      </c>
      <c r="B17" s="54">
        <v>65.760000000000005</v>
      </c>
      <c r="C17" s="54">
        <v>58.1</v>
      </c>
      <c r="D17" s="54">
        <v>80.430000000000007</v>
      </c>
      <c r="E17" s="54">
        <v>6.54</v>
      </c>
      <c r="F17" s="54">
        <v>2.13</v>
      </c>
      <c r="G17" s="54">
        <v>127.32</v>
      </c>
      <c r="H17" s="54">
        <v>53.06</v>
      </c>
      <c r="I17" s="55" t="s">
        <v>15</v>
      </c>
      <c r="J17" s="54">
        <v>1.4</v>
      </c>
      <c r="K17" s="54">
        <v>111.3</v>
      </c>
      <c r="L17" s="54">
        <v>18.16</v>
      </c>
      <c r="M17" s="54">
        <v>54.31</v>
      </c>
      <c r="N17" s="54">
        <v>436.4</v>
      </c>
      <c r="O17" s="54">
        <v>0</v>
      </c>
      <c r="P17" s="54">
        <v>1.32</v>
      </c>
      <c r="Q17" s="54">
        <v>8.8699999999999992</v>
      </c>
      <c r="R17" s="43"/>
      <c r="S17" s="43"/>
      <c r="T17" s="43"/>
      <c r="U17" s="43"/>
    </row>
    <row r="18" spans="1:21" s="11" customFormat="1" x14ac:dyDescent="0.25">
      <c r="A18" s="53" t="s">
        <v>501</v>
      </c>
      <c r="B18" s="54">
        <v>56.21</v>
      </c>
      <c r="C18" s="54">
        <v>62.63</v>
      </c>
      <c r="D18" s="54">
        <v>74.45</v>
      </c>
      <c r="E18" s="54">
        <v>5.8</v>
      </c>
      <c r="F18" s="54">
        <v>2.13</v>
      </c>
      <c r="G18" s="54">
        <v>86.66</v>
      </c>
      <c r="H18" s="54">
        <v>46.86</v>
      </c>
      <c r="I18" s="55" t="s">
        <v>15</v>
      </c>
      <c r="J18" s="54">
        <v>2.0699999999999998</v>
      </c>
      <c r="K18" s="54">
        <v>117</v>
      </c>
      <c r="L18" s="54">
        <v>22.7</v>
      </c>
      <c r="M18" s="54">
        <v>42.01</v>
      </c>
      <c r="N18" s="54">
        <v>613.20000000000005</v>
      </c>
      <c r="O18" s="54">
        <v>0</v>
      </c>
      <c r="P18" s="54">
        <v>1.19</v>
      </c>
      <c r="Q18" s="54">
        <v>8.33</v>
      </c>
      <c r="R18" s="43"/>
      <c r="S18" s="43"/>
      <c r="T18" s="43"/>
      <c r="U18" s="43"/>
    </row>
    <row r="19" spans="1:21" s="11" customFormat="1" x14ac:dyDescent="0.25">
      <c r="A19" s="53" t="s">
        <v>502</v>
      </c>
      <c r="B19" s="54">
        <v>48.61</v>
      </c>
      <c r="C19" s="54">
        <v>64.739999999999995</v>
      </c>
      <c r="D19" s="54">
        <v>70.56</v>
      </c>
      <c r="E19" s="54">
        <v>5.72</v>
      </c>
      <c r="F19" s="54">
        <v>2.13</v>
      </c>
      <c r="G19" s="54">
        <v>81.16</v>
      </c>
      <c r="H19" s="54">
        <v>37.28</v>
      </c>
      <c r="I19" s="55" t="s">
        <v>15</v>
      </c>
      <c r="J19" s="54">
        <v>2.91</v>
      </c>
      <c r="K19" s="54">
        <v>123.87</v>
      </c>
      <c r="L19" s="54">
        <v>21.35</v>
      </c>
      <c r="M19" s="54">
        <v>40.56</v>
      </c>
      <c r="N19" s="54">
        <v>663.3</v>
      </c>
      <c r="O19" s="54">
        <v>0</v>
      </c>
      <c r="P19" s="54">
        <v>1.1000000000000001</v>
      </c>
      <c r="Q19" s="54">
        <v>8.2100000000000009</v>
      </c>
      <c r="R19" s="43"/>
      <c r="S19" s="43"/>
      <c r="T19" s="43"/>
      <c r="U19" s="43"/>
    </row>
    <row r="20" spans="1:21" s="11" customFormat="1" x14ac:dyDescent="0.25">
      <c r="A20" s="53" t="s">
        <v>503</v>
      </c>
      <c r="B20" s="54">
        <v>41.86</v>
      </c>
      <c r="C20" s="54">
        <v>68.64</v>
      </c>
      <c r="D20" s="54">
        <v>66.52</v>
      </c>
      <c r="E20" s="54">
        <v>5.57</v>
      </c>
      <c r="F20" s="54">
        <v>2.13</v>
      </c>
      <c r="G20" s="54">
        <v>78.7</v>
      </c>
      <c r="H20" s="54">
        <v>35.47</v>
      </c>
      <c r="I20" s="55" t="s">
        <v>15</v>
      </c>
      <c r="J20" s="54">
        <v>1.23</v>
      </c>
      <c r="K20" s="54">
        <v>342.55</v>
      </c>
      <c r="L20" s="54">
        <v>26.12</v>
      </c>
      <c r="M20" s="54">
        <v>33.86</v>
      </c>
      <c r="N20" s="54">
        <v>725.4</v>
      </c>
      <c r="O20" s="54">
        <v>0</v>
      </c>
      <c r="P20" s="54">
        <v>0.97</v>
      </c>
      <c r="Q20" s="54">
        <v>8.2100000000000009</v>
      </c>
      <c r="R20" s="43"/>
      <c r="S20" s="43"/>
      <c r="T20" s="43"/>
      <c r="U20" s="43"/>
    </row>
    <row r="21" spans="1:21" s="11" customFormat="1" x14ac:dyDescent="0.25">
      <c r="A21" s="53" t="s">
        <v>504</v>
      </c>
      <c r="B21" s="54">
        <v>35.659999999999997</v>
      </c>
      <c r="C21" s="54">
        <v>72.59</v>
      </c>
      <c r="D21" s="54">
        <v>62.68</v>
      </c>
      <c r="E21" s="54">
        <v>5.64</v>
      </c>
      <c r="F21" s="54">
        <v>2.13</v>
      </c>
      <c r="G21" s="54">
        <v>78.7</v>
      </c>
      <c r="H21" s="54">
        <v>29.94</v>
      </c>
      <c r="I21" s="55" t="s">
        <v>15</v>
      </c>
      <c r="J21" s="54">
        <v>0.91</v>
      </c>
      <c r="K21" s="54">
        <v>333.82</v>
      </c>
      <c r="L21" s="54">
        <v>27.33</v>
      </c>
      <c r="M21" s="54">
        <v>27.46</v>
      </c>
      <c r="N21" s="54">
        <v>727.8</v>
      </c>
      <c r="O21" s="54">
        <v>0</v>
      </c>
      <c r="P21" s="54">
        <v>0.89</v>
      </c>
      <c r="Q21" s="54">
        <v>8.2100000000000009</v>
      </c>
      <c r="R21" s="43"/>
      <c r="S21" s="43"/>
      <c r="T21" s="43"/>
      <c r="U21" s="43"/>
    </row>
    <row r="22" spans="1:21" s="11" customFormat="1" x14ac:dyDescent="0.25">
      <c r="A22" s="53" t="s">
        <v>505</v>
      </c>
      <c r="B22" s="54">
        <v>24.07</v>
      </c>
      <c r="C22" s="54">
        <v>75.36</v>
      </c>
      <c r="D22" s="54">
        <v>56.49</v>
      </c>
      <c r="E22" s="54">
        <v>5.45</v>
      </c>
      <c r="F22" s="54">
        <v>2.13</v>
      </c>
      <c r="G22" s="54">
        <v>69.16</v>
      </c>
      <c r="H22" s="54">
        <v>28.84</v>
      </c>
      <c r="I22" s="55" t="s">
        <v>15</v>
      </c>
      <c r="J22" s="54">
        <v>1.68</v>
      </c>
      <c r="K22" s="54">
        <v>310.66000000000003</v>
      </c>
      <c r="L22" s="54">
        <v>27.26</v>
      </c>
      <c r="M22" s="54">
        <v>28.23</v>
      </c>
      <c r="N22" s="54">
        <v>649.79999999999995</v>
      </c>
      <c r="O22" s="54">
        <v>0</v>
      </c>
      <c r="P22" s="54">
        <v>0.88</v>
      </c>
      <c r="Q22" s="54">
        <v>8.2100000000000009</v>
      </c>
      <c r="R22" s="43"/>
      <c r="S22" s="43"/>
      <c r="T22" s="43"/>
      <c r="U22" s="43"/>
    </row>
    <row r="23" spans="1:21" s="11" customFormat="1" x14ac:dyDescent="0.25">
      <c r="A23" s="53" t="s">
        <v>506</v>
      </c>
      <c r="B23" s="54">
        <v>14.55</v>
      </c>
      <c r="C23" s="54">
        <v>75.31</v>
      </c>
      <c r="D23" s="54">
        <v>49.64</v>
      </c>
      <c r="E23" s="54">
        <v>5.7</v>
      </c>
      <c r="F23" s="54">
        <v>2.13</v>
      </c>
      <c r="G23" s="54">
        <v>78.84</v>
      </c>
      <c r="H23" s="54">
        <v>29.55</v>
      </c>
      <c r="I23" s="55" t="s">
        <v>15</v>
      </c>
      <c r="J23" s="54">
        <v>1.59</v>
      </c>
      <c r="K23" s="54">
        <v>326.89</v>
      </c>
      <c r="L23" s="54">
        <v>24.74</v>
      </c>
      <c r="M23" s="54">
        <v>27.75</v>
      </c>
      <c r="N23" s="54">
        <v>445.9</v>
      </c>
      <c r="O23" s="54">
        <v>0</v>
      </c>
      <c r="P23" s="54">
        <v>0.83</v>
      </c>
      <c r="Q23" s="54">
        <v>8.2100000000000009</v>
      </c>
      <c r="R23" s="43"/>
      <c r="S23" s="43"/>
      <c r="T23" s="43"/>
      <c r="U23" s="43"/>
    </row>
    <row r="24" spans="1:21" s="11" customFormat="1" x14ac:dyDescent="0.25">
      <c r="A24" s="53" t="s">
        <v>507</v>
      </c>
      <c r="B24" s="54">
        <v>12.43</v>
      </c>
      <c r="C24" s="54">
        <v>72.38</v>
      </c>
      <c r="D24" s="54">
        <v>46.27</v>
      </c>
      <c r="E24" s="54">
        <v>6.29</v>
      </c>
      <c r="F24" s="54">
        <v>2.13</v>
      </c>
      <c r="G24" s="54">
        <v>84.53</v>
      </c>
      <c r="H24" s="54">
        <v>29.55</v>
      </c>
      <c r="I24" s="55" t="s">
        <v>15</v>
      </c>
      <c r="J24" s="54">
        <v>2.86</v>
      </c>
      <c r="K24" s="54">
        <v>344.4</v>
      </c>
      <c r="L24" s="54">
        <v>24.66</v>
      </c>
      <c r="M24" s="54">
        <v>26.73</v>
      </c>
      <c r="N24" s="54">
        <v>173</v>
      </c>
      <c r="O24" s="54">
        <v>0</v>
      </c>
      <c r="P24" s="54">
        <v>0.81</v>
      </c>
      <c r="Q24" s="54">
        <v>8.2100000000000009</v>
      </c>
      <c r="R24" s="43"/>
      <c r="S24" s="43"/>
      <c r="T24" s="43"/>
      <c r="U24" s="43"/>
    </row>
    <row r="25" spans="1:21" s="11" customFormat="1" x14ac:dyDescent="0.25">
      <c r="A25" s="53" t="s">
        <v>508</v>
      </c>
      <c r="B25" s="54">
        <v>12.75</v>
      </c>
      <c r="C25" s="54">
        <v>72.760000000000005</v>
      </c>
      <c r="D25" s="54">
        <v>46.86</v>
      </c>
      <c r="E25" s="54">
        <v>6.67</v>
      </c>
      <c r="F25" s="54">
        <v>2.13</v>
      </c>
      <c r="G25" s="54">
        <v>92.59</v>
      </c>
      <c r="H25" s="54">
        <v>29.41</v>
      </c>
      <c r="I25" s="55" t="s">
        <v>15</v>
      </c>
      <c r="J25" s="54">
        <v>2.77</v>
      </c>
      <c r="K25" s="54">
        <v>351.18</v>
      </c>
      <c r="L25" s="54">
        <v>23.36</v>
      </c>
      <c r="M25" s="54">
        <v>25.75</v>
      </c>
      <c r="N25" s="54">
        <v>126.3</v>
      </c>
      <c r="O25" s="54">
        <v>0</v>
      </c>
      <c r="P25" s="54">
        <v>0.81</v>
      </c>
      <c r="Q25" s="54">
        <v>8.2100000000000009</v>
      </c>
      <c r="R25" s="43"/>
      <c r="S25" s="43"/>
      <c r="T25" s="43"/>
      <c r="U25" s="43"/>
    </row>
    <row r="26" spans="1:21" s="11" customFormat="1" x14ac:dyDescent="0.25">
      <c r="A26" s="53" t="s">
        <v>509</v>
      </c>
      <c r="B26" s="54">
        <v>17.46</v>
      </c>
      <c r="C26" s="54">
        <v>73.28</v>
      </c>
      <c r="D26" s="54">
        <v>50.91</v>
      </c>
      <c r="E26" s="54">
        <v>6.18</v>
      </c>
      <c r="F26" s="54">
        <v>2.13</v>
      </c>
      <c r="G26" s="54">
        <v>92.59</v>
      </c>
      <c r="H26" s="54">
        <v>29.41</v>
      </c>
      <c r="I26" s="55" t="s">
        <v>15</v>
      </c>
      <c r="J26" s="54">
        <v>2.0499999999999998</v>
      </c>
      <c r="K26" s="54">
        <v>356.12</v>
      </c>
      <c r="L26" s="54">
        <v>21.59</v>
      </c>
      <c r="M26" s="54">
        <v>36.85</v>
      </c>
      <c r="N26" s="54">
        <v>98.1</v>
      </c>
      <c r="O26" s="54">
        <v>0</v>
      </c>
      <c r="P26" s="54">
        <v>0.92</v>
      </c>
      <c r="Q26" s="54">
        <v>8.2100000000000009</v>
      </c>
      <c r="R26" s="43"/>
      <c r="S26" s="43"/>
      <c r="T26" s="43"/>
      <c r="U26" s="43"/>
    </row>
    <row r="27" spans="1:21" s="11" customFormat="1" x14ac:dyDescent="0.25">
      <c r="A27" s="53" t="s">
        <v>510</v>
      </c>
      <c r="B27" s="54">
        <v>27.4</v>
      </c>
      <c r="C27" s="54">
        <v>73.95</v>
      </c>
      <c r="D27" s="54">
        <v>58.61</v>
      </c>
      <c r="E27" s="54">
        <v>6.22</v>
      </c>
      <c r="F27" s="54">
        <v>2.13</v>
      </c>
      <c r="G27" s="54">
        <v>95.48</v>
      </c>
      <c r="H27" s="54">
        <v>27.98</v>
      </c>
      <c r="I27" s="55" t="s">
        <v>15</v>
      </c>
      <c r="J27" s="54">
        <v>1.76</v>
      </c>
      <c r="K27" s="54">
        <v>336.44</v>
      </c>
      <c r="L27" s="54">
        <v>18.53</v>
      </c>
      <c r="M27" s="54">
        <v>48.75</v>
      </c>
      <c r="N27" s="54">
        <v>81.3</v>
      </c>
      <c r="O27" s="54">
        <v>0</v>
      </c>
      <c r="P27" s="54">
        <v>1.52</v>
      </c>
      <c r="Q27" s="54">
        <v>8.2100000000000009</v>
      </c>
      <c r="R27" s="43"/>
      <c r="S27" s="43"/>
      <c r="T27" s="43"/>
      <c r="U27" s="43"/>
    </row>
    <row r="28" spans="1:21" s="11" customFormat="1" x14ac:dyDescent="0.25">
      <c r="A28" s="53" t="s">
        <v>511</v>
      </c>
      <c r="B28" s="54">
        <v>55.47</v>
      </c>
      <c r="C28" s="54">
        <v>73.25</v>
      </c>
      <c r="D28" s="54">
        <v>81.260000000000005</v>
      </c>
      <c r="E28" s="54">
        <v>6.45</v>
      </c>
      <c r="F28" s="54">
        <v>2.13</v>
      </c>
      <c r="G28" s="54">
        <v>131.22</v>
      </c>
      <c r="H28" s="54">
        <v>31.06</v>
      </c>
      <c r="I28" s="55" t="s">
        <v>15</v>
      </c>
      <c r="J28" s="54">
        <v>1.76</v>
      </c>
      <c r="K28" s="54">
        <v>286.56</v>
      </c>
      <c r="L28" s="54">
        <v>15.63</v>
      </c>
      <c r="M28" s="54">
        <v>57.31</v>
      </c>
      <c r="N28" s="54">
        <v>81.099999999999994</v>
      </c>
      <c r="O28" s="54">
        <v>0</v>
      </c>
      <c r="P28" s="54">
        <v>1.47</v>
      </c>
      <c r="Q28" s="54">
        <v>8.25</v>
      </c>
      <c r="R28" s="43"/>
      <c r="S28" s="43"/>
      <c r="T28" s="43"/>
      <c r="U28" s="43"/>
    </row>
    <row r="29" spans="1:21" s="11" customFormat="1" x14ac:dyDescent="0.25">
      <c r="A29" s="53" t="s">
        <v>512</v>
      </c>
      <c r="B29" s="54">
        <v>93.35</v>
      </c>
      <c r="C29" s="54">
        <v>73.67</v>
      </c>
      <c r="D29" s="54">
        <v>111.97</v>
      </c>
      <c r="E29" s="54">
        <v>8.49</v>
      </c>
      <c r="F29" s="54">
        <v>2.13</v>
      </c>
      <c r="G29" s="54">
        <v>166.39</v>
      </c>
      <c r="H29" s="54">
        <v>40.18</v>
      </c>
      <c r="I29" s="55" t="s">
        <v>15</v>
      </c>
      <c r="J29" s="54">
        <v>1.74</v>
      </c>
      <c r="K29" s="54">
        <v>315.08</v>
      </c>
      <c r="L29" s="54">
        <v>14.19</v>
      </c>
      <c r="M29" s="54">
        <v>68.739999999999995</v>
      </c>
      <c r="N29" s="54">
        <v>80.900000000000006</v>
      </c>
      <c r="O29" s="54">
        <v>0</v>
      </c>
      <c r="P29" s="54">
        <v>1.66</v>
      </c>
      <c r="Q29" s="54">
        <v>9.7100000000000009</v>
      </c>
      <c r="R29" s="43"/>
      <c r="S29" s="43"/>
      <c r="T29" s="43"/>
      <c r="U29" s="43"/>
    </row>
    <row r="30" spans="1:21" s="11" customFormat="1" x14ac:dyDescent="0.25">
      <c r="A30" s="53" t="s">
        <v>513</v>
      </c>
      <c r="B30" s="54">
        <v>135.87</v>
      </c>
      <c r="C30" s="54">
        <v>76.3</v>
      </c>
      <c r="D30" s="54">
        <v>147.44999999999999</v>
      </c>
      <c r="E30" s="54">
        <v>10.029999999999999</v>
      </c>
      <c r="F30" s="54">
        <v>2.13</v>
      </c>
      <c r="G30" s="54">
        <v>188.78</v>
      </c>
      <c r="H30" s="54">
        <v>49.7</v>
      </c>
      <c r="I30" s="55" t="s">
        <v>15</v>
      </c>
      <c r="J30" s="54">
        <v>1.73</v>
      </c>
      <c r="K30" s="54">
        <v>294.27</v>
      </c>
      <c r="L30" s="54">
        <v>13.38</v>
      </c>
      <c r="M30" s="54">
        <v>69.02</v>
      </c>
      <c r="N30" s="54">
        <v>80.900000000000006</v>
      </c>
      <c r="O30" s="54">
        <v>0</v>
      </c>
      <c r="P30" s="54">
        <v>2.04</v>
      </c>
      <c r="Q30" s="54">
        <v>9.9700000000000006</v>
      </c>
      <c r="R30" s="43"/>
      <c r="S30" s="43"/>
      <c r="T30" s="43"/>
      <c r="U30" s="43"/>
    </row>
    <row r="31" spans="1:21" s="11" customFormat="1" x14ac:dyDescent="0.25">
      <c r="A31" s="53" t="s">
        <v>514</v>
      </c>
      <c r="B31" s="54">
        <v>179.31</v>
      </c>
      <c r="C31" s="54">
        <v>75.66</v>
      </c>
      <c r="D31" s="54">
        <v>180.88</v>
      </c>
      <c r="E31" s="54">
        <v>10.61</v>
      </c>
      <c r="F31" s="54">
        <v>2.13</v>
      </c>
      <c r="G31" s="54">
        <v>210.29</v>
      </c>
      <c r="H31" s="54">
        <v>58.8</v>
      </c>
      <c r="I31" s="55" t="s">
        <v>15</v>
      </c>
      <c r="J31" s="54">
        <v>1.75</v>
      </c>
      <c r="K31" s="54">
        <v>314.5</v>
      </c>
      <c r="L31" s="54">
        <v>12.92</v>
      </c>
      <c r="M31" s="54">
        <v>76.52</v>
      </c>
      <c r="N31" s="54">
        <v>80.900000000000006</v>
      </c>
      <c r="O31" s="54">
        <v>0</v>
      </c>
      <c r="P31" s="54">
        <v>2.39</v>
      </c>
      <c r="Q31" s="54">
        <v>10.16</v>
      </c>
      <c r="R31" s="43"/>
      <c r="S31" s="43"/>
      <c r="T31" s="43"/>
      <c r="U31" s="43"/>
    </row>
    <row r="32" spans="1:21" s="11" customFormat="1" x14ac:dyDescent="0.25">
      <c r="A32" s="53" t="s">
        <v>515</v>
      </c>
      <c r="B32" s="54">
        <v>212.16</v>
      </c>
      <c r="C32" s="54">
        <v>75.75</v>
      </c>
      <c r="D32" s="54">
        <v>207.47</v>
      </c>
      <c r="E32" s="54">
        <v>11.1</v>
      </c>
      <c r="F32" s="54">
        <v>2.13</v>
      </c>
      <c r="G32" s="54">
        <v>210.96</v>
      </c>
      <c r="H32" s="54">
        <v>61.24</v>
      </c>
      <c r="I32" s="55" t="s">
        <v>15</v>
      </c>
      <c r="J32" s="54">
        <v>1.77</v>
      </c>
      <c r="K32" s="54">
        <v>303.58</v>
      </c>
      <c r="L32" s="54">
        <v>11.84</v>
      </c>
      <c r="M32" s="54">
        <v>80.14</v>
      </c>
      <c r="N32" s="54">
        <v>81</v>
      </c>
      <c r="O32" s="54">
        <v>0</v>
      </c>
      <c r="P32" s="54">
        <v>2.34</v>
      </c>
      <c r="Q32" s="54">
        <v>10.41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12.43</v>
      </c>
      <c r="C34" s="28">
        <f t="shared" si="0"/>
        <v>56.02</v>
      </c>
      <c r="D34" s="28">
        <f t="shared" si="0"/>
        <v>46.27</v>
      </c>
      <c r="E34" s="28">
        <f t="shared" si="0"/>
        <v>5.45</v>
      </c>
      <c r="F34" s="28">
        <f t="shared" si="0"/>
        <v>2.13</v>
      </c>
      <c r="G34" s="28">
        <f t="shared" si="0"/>
        <v>69.16</v>
      </c>
      <c r="H34" s="28">
        <f t="shared" si="0"/>
        <v>27.98</v>
      </c>
      <c r="I34" s="28">
        <f t="shared" si="0"/>
        <v>0</v>
      </c>
      <c r="J34" s="28">
        <f t="shared" si="0"/>
        <v>0.91</v>
      </c>
      <c r="K34" s="28">
        <f t="shared" si="0"/>
        <v>111.3</v>
      </c>
      <c r="L34" s="28">
        <f t="shared" si="0"/>
        <v>10.07</v>
      </c>
      <c r="M34" s="28">
        <f t="shared" si="0"/>
        <v>25.75</v>
      </c>
      <c r="N34" s="28">
        <f t="shared" si="0"/>
        <v>53.9</v>
      </c>
      <c r="O34" s="28">
        <f t="shared" si="0"/>
        <v>0</v>
      </c>
      <c r="P34" s="28">
        <f t="shared" si="0"/>
        <v>0.81</v>
      </c>
      <c r="Q34" s="28">
        <f t="shared" si="0"/>
        <v>8.2100000000000009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212.16</v>
      </c>
      <c r="C35" s="29">
        <f t="shared" si="1"/>
        <v>76.3</v>
      </c>
      <c r="D35" s="29">
        <f t="shared" si="1"/>
        <v>207.47</v>
      </c>
      <c r="E35" s="29">
        <f t="shared" si="1"/>
        <v>11.1</v>
      </c>
      <c r="F35" s="29">
        <f t="shared" si="1"/>
        <v>2.13</v>
      </c>
      <c r="G35" s="29">
        <f t="shared" si="1"/>
        <v>222.2</v>
      </c>
      <c r="H35" s="29">
        <f t="shared" si="1"/>
        <v>68.62</v>
      </c>
      <c r="I35" s="29">
        <f t="shared" si="1"/>
        <v>0</v>
      </c>
      <c r="J35" s="29">
        <f t="shared" si="1"/>
        <v>2.91</v>
      </c>
      <c r="K35" s="29">
        <f t="shared" si="1"/>
        <v>356.12</v>
      </c>
      <c r="L35" s="29">
        <f t="shared" si="1"/>
        <v>27.33</v>
      </c>
      <c r="M35" s="29">
        <f t="shared" si="1"/>
        <v>94.65</v>
      </c>
      <c r="N35" s="29">
        <f t="shared" si="1"/>
        <v>727.8</v>
      </c>
      <c r="O35" s="29">
        <f t="shared" si="1"/>
        <v>0</v>
      </c>
      <c r="P35" s="29">
        <f t="shared" si="1"/>
        <v>2.39</v>
      </c>
      <c r="Q35" s="29">
        <f t="shared" si="1"/>
        <v>10.41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67.265416666666667</v>
      </c>
      <c r="C36" s="28">
        <f t="shared" si="2"/>
        <v>68.520833333333343</v>
      </c>
      <c r="D36" s="28">
        <f t="shared" si="2"/>
        <v>87.852083333333326</v>
      </c>
      <c r="E36" s="28">
        <f t="shared" si="2"/>
        <v>7.6287500000000001</v>
      </c>
      <c r="F36" s="28">
        <f t="shared" si="2"/>
        <v>2.1300000000000003</v>
      </c>
      <c r="G36" s="28">
        <f t="shared" si="2"/>
        <v>137.0566666666667</v>
      </c>
      <c r="H36" s="28">
        <f t="shared" si="2"/>
        <v>45.698749999999997</v>
      </c>
      <c r="I36" s="28" t="e">
        <f t="shared" si="2"/>
        <v>#DIV/0!</v>
      </c>
      <c r="J36" s="28">
        <f t="shared" si="2"/>
        <v>1.8041666666666665</v>
      </c>
      <c r="K36" s="28">
        <f t="shared" si="2"/>
        <v>301.56666666666666</v>
      </c>
      <c r="L36" s="28">
        <f t="shared" si="2"/>
        <v>17.293333333333333</v>
      </c>
      <c r="M36" s="28">
        <f t="shared" si="2"/>
        <v>60.162916666666668</v>
      </c>
      <c r="N36" s="28">
        <f t="shared" si="2"/>
        <v>239.77499999999998</v>
      </c>
      <c r="O36" s="28">
        <f t="shared" si="2"/>
        <v>0</v>
      </c>
      <c r="P36" s="28">
        <f t="shared" si="2"/>
        <v>1.3941666666666663</v>
      </c>
      <c r="Q36" s="28">
        <f t="shared" si="2"/>
        <v>8.9020833333333353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49.631124349209202</v>
      </c>
      <c r="C37" s="28">
        <f t="shared" ref="C37:Q37" si="3">STDEV(C9:C32)</f>
        <v>7.1669336822518481</v>
      </c>
      <c r="D37" s="28">
        <f t="shared" si="3"/>
        <v>40.420527391431328</v>
      </c>
      <c r="E37" s="28">
        <f t="shared" si="3"/>
        <v>1.7857949453832951</v>
      </c>
      <c r="F37" s="28">
        <f t="shared" si="3"/>
        <v>4.5364060814922986E-16</v>
      </c>
      <c r="G37" s="28">
        <f t="shared" si="3"/>
        <v>53.355356983536097</v>
      </c>
      <c r="H37" s="28">
        <f t="shared" si="3"/>
        <v>14.576314710635137</v>
      </c>
      <c r="I37" s="28" t="e">
        <f t="shared" si="3"/>
        <v>#DIV/0!</v>
      </c>
      <c r="J37" s="28">
        <f t="shared" si="3"/>
        <v>0.47992677581577886</v>
      </c>
      <c r="K37" s="28">
        <f t="shared" si="3"/>
        <v>73.315671595159273</v>
      </c>
      <c r="L37" s="28">
        <f t="shared" si="3"/>
        <v>6.0982824856972888</v>
      </c>
      <c r="M37" s="28">
        <f t="shared" si="3"/>
        <v>25.154459796324918</v>
      </c>
      <c r="N37" s="28">
        <f t="shared" si="3"/>
        <v>252.4229081625069</v>
      </c>
      <c r="O37" s="28">
        <f t="shared" si="3"/>
        <v>0</v>
      </c>
      <c r="P37" s="28">
        <f t="shared" si="3"/>
        <v>0.45382353079302745</v>
      </c>
      <c r="Q37" s="28">
        <f t="shared" si="3"/>
        <v>0.73818802345406154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0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&lt;90%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LESS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0" sqref="G50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20/01/2025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3" t="s">
        <v>516</v>
      </c>
      <c r="B9" s="54">
        <v>216.81</v>
      </c>
      <c r="C9" s="54">
        <v>73.08</v>
      </c>
      <c r="D9" s="54">
        <v>208.44</v>
      </c>
      <c r="E9" s="54">
        <v>10.55</v>
      </c>
      <c r="F9" s="54">
        <v>2.13</v>
      </c>
      <c r="G9" s="54">
        <v>210.96</v>
      </c>
      <c r="H9" s="54">
        <v>61.24</v>
      </c>
      <c r="I9" s="55" t="s">
        <v>15</v>
      </c>
      <c r="J9" s="54">
        <v>1.74</v>
      </c>
      <c r="K9" s="54">
        <v>331.62</v>
      </c>
      <c r="L9" s="54">
        <v>11.15</v>
      </c>
      <c r="M9" s="54">
        <v>83.93</v>
      </c>
      <c r="N9" s="54">
        <v>81</v>
      </c>
      <c r="O9" s="54">
        <v>0</v>
      </c>
      <c r="P9" s="54">
        <v>2.2200000000000002</v>
      </c>
      <c r="Q9" s="54">
        <v>10.44</v>
      </c>
      <c r="R9" s="43"/>
      <c r="S9" s="43"/>
      <c r="T9" s="43"/>
      <c r="U9" s="43"/>
    </row>
    <row r="10" spans="1:21" s="11" customFormat="1" x14ac:dyDescent="0.25">
      <c r="A10" s="53" t="s">
        <v>517</v>
      </c>
      <c r="B10" s="54">
        <v>215.47</v>
      </c>
      <c r="C10" s="54">
        <v>69.19</v>
      </c>
      <c r="D10" s="54">
        <v>207.57</v>
      </c>
      <c r="E10" s="54">
        <v>10.11</v>
      </c>
      <c r="F10" s="54">
        <v>2.13</v>
      </c>
      <c r="G10" s="54">
        <v>190.58</v>
      </c>
      <c r="H10" s="54">
        <v>58.13</v>
      </c>
      <c r="I10" s="55" t="s">
        <v>15</v>
      </c>
      <c r="J10" s="54">
        <v>1.58</v>
      </c>
      <c r="K10" s="54">
        <v>307.68</v>
      </c>
      <c r="L10" s="54">
        <v>12.08</v>
      </c>
      <c r="M10" s="54">
        <v>80.52</v>
      </c>
      <c r="N10" s="54">
        <v>80.599999999999994</v>
      </c>
      <c r="O10" s="54">
        <v>0</v>
      </c>
      <c r="P10" s="54">
        <v>2</v>
      </c>
      <c r="Q10" s="54">
        <v>10.4</v>
      </c>
      <c r="R10" s="43"/>
      <c r="S10" s="43"/>
      <c r="T10" s="43"/>
      <c r="U10" s="43"/>
    </row>
    <row r="11" spans="1:21" s="11" customFormat="1" x14ac:dyDescent="0.25">
      <c r="A11" s="53" t="s">
        <v>518</v>
      </c>
      <c r="B11" s="54">
        <v>186.75</v>
      </c>
      <c r="C11" s="54">
        <v>65.13</v>
      </c>
      <c r="D11" s="54">
        <v>182.41</v>
      </c>
      <c r="E11" s="54">
        <v>9.91</v>
      </c>
      <c r="F11" s="54">
        <v>2.13</v>
      </c>
      <c r="G11" s="54">
        <v>203.08</v>
      </c>
      <c r="H11" s="54">
        <v>64.14</v>
      </c>
      <c r="I11" s="55" t="s">
        <v>15</v>
      </c>
      <c r="J11" s="54">
        <v>1.76</v>
      </c>
      <c r="K11" s="54">
        <v>322.45</v>
      </c>
      <c r="L11" s="54">
        <v>11.48</v>
      </c>
      <c r="M11" s="54">
        <v>79.59</v>
      </c>
      <c r="N11" s="54">
        <v>81.099999999999994</v>
      </c>
      <c r="O11" s="54">
        <v>0</v>
      </c>
      <c r="P11" s="54">
        <v>2.0099999999999998</v>
      </c>
      <c r="Q11" s="54">
        <v>10.29</v>
      </c>
      <c r="R11" s="43"/>
      <c r="S11" s="43"/>
      <c r="T11" s="43"/>
      <c r="U11" s="43"/>
    </row>
    <row r="12" spans="1:21" s="11" customFormat="1" x14ac:dyDescent="0.25">
      <c r="A12" s="53" t="s">
        <v>519</v>
      </c>
      <c r="B12" s="54">
        <v>161.16</v>
      </c>
      <c r="C12" s="54">
        <v>60.57</v>
      </c>
      <c r="D12" s="54">
        <v>159.51</v>
      </c>
      <c r="E12" s="54">
        <v>9.4600000000000009</v>
      </c>
      <c r="F12" s="54">
        <v>2.13</v>
      </c>
      <c r="G12" s="54">
        <v>203.08</v>
      </c>
      <c r="H12" s="54">
        <v>64.97</v>
      </c>
      <c r="I12" s="55" t="s">
        <v>15</v>
      </c>
      <c r="J12" s="54">
        <v>1.71</v>
      </c>
      <c r="K12" s="54">
        <v>333.88</v>
      </c>
      <c r="L12" s="54">
        <v>10.44</v>
      </c>
      <c r="M12" s="54">
        <v>91.01</v>
      </c>
      <c r="N12" s="54">
        <v>81.3</v>
      </c>
      <c r="O12" s="54">
        <v>0</v>
      </c>
      <c r="P12" s="54">
        <v>1.94</v>
      </c>
      <c r="Q12" s="54">
        <v>10.130000000000001</v>
      </c>
      <c r="R12" s="43"/>
      <c r="S12" s="43"/>
      <c r="T12" s="43"/>
      <c r="U12" s="43"/>
    </row>
    <row r="13" spans="1:21" s="11" customFormat="1" x14ac:dyDescent="0.25">
      <c r="A13" s="53" t="s">
        <v>520</v>
      </c>
      <c r="B13" s="54">
        <v>137.36000000000001</v>
      </c>
      <c r="C13" s="54">
        <v>58.47</v>
      </c>
      <c r="D13" s="54">
        <v>139.33000000000001</v>
      </c>
      <c r="E13" s="54">
        <v>9.34</v>
      </c>
      <c r="F13" s="54">
        <v>2.13</v>
      </c>
      <c r="G13" s="54">
        <v>171.02</v>
      </c>
      <c r="H13" s="54">
        <v>65.400000000000006</v>
      </c>
      <c r="I13" s="55" t="s">
        <v>15</v>
      </c>
      <c r="J13" s="54">
        <v>1.79</v>
      </c>
      <c r="K13" s="54">
        <v>359.31</v>
      </c>
      <c r="L13" s="54">
        <v>10.06</v>
      </c>
      <c r="M13" s="54">
        <v>91.33</v>
      </c>
      <c r="N13" s="54">
        <v>81.2</v>
      </c>
      <c r="O13" s="54">
        <v>0</v>
      </c>
      <c r="P13" s="54">
        <v>1.79</v>
      </c>
      <c r="Q13" s="54">
        <v>9.9700000000000006</v>
      </c>
      <c r="R13" s="43"/>
      <c r="S13" s="43"/>
      <c r="T13" s="43"/>
      <c r="U13" s="43"/>
    </row>
    <row r="14" spans="1:21" s="11" customFormat="1" x14ac:dyDescent="0.25">
      <c r="A14" s="53" t="s">
        <v>521</v>
      </c>
      <c r="B14" s="54">
        <v>124.81</v>
      </c>
      <c r="C14" s="54">
        <v>58.25</v>
      </c>
      <c r="D14" s="54">
        <v>129.15</v>
      </c>
      <c r="E14" s="54">
        <v>9.43</v>
      </c>
      <c r="F14" s="54">
        <v>2.13</v>
      </c>
      <c r="G14" s="54">
        <v>163.99</v>
      </c>
      <c r="H14" s="54">
        <v>65.400000000000006</v>
      </c>
      <c r="I14" s="55" t="s">
        <v>15</v>
      </c>
      <c r="J14" s="54">
        <v>1.76</v>
      </c>
      <c r="K14" s="54">
        <v>325.33999999999997</v>
      </c>
      <c r="L14" s="54">
        <v>9.7100000000000009</v>
      </c>
      <c r="M14" s="54">
        <v>85.42</v>
      </c>
      <c r="N14" s="54">
        <v>81.599999999999994</v>
      </c>
      <c r="O14" s="54">
        <v>0</v>
      </c>
      <c r="P14" s="54">
        <v>1.7</v>
      </c>
      <c r="Q14" s="54">
        <v>9.93</v>
      </c>
      <c r="R14" s="43"/>
      <c r="S14" s="43"/>
      <c r="T14" s="43"/>
      <c r="U14" s="43"/>
    </row>
    <row r="15" spans="1:21" s="11" customFormat="1" x14ac:dyDescent="0.25">
      <c r="A15" s="53" t="s">
        <v>522</v>
      </c>
      <c r="B15" s="54">
        <v>127.76</v>
      </c>
      <c r="C15" s="54">
        <v>59.52</v>
      </c>
      <c r="D15" s="54">
        <v>132.16999999999999</v>
      </c>
      <c r="E15" s="54">
        <v>8.1</v>
      </c>
      <c r="F15" s="54">
        <v>2.13</v>
      </c>
      <c r="G15" s="54">
        <v>150.72</v>
      </c>
      <c r="H15" s="54">
        <v>59.96</v>
      </c>
      <c r="I15" s="55" t="s">
        <v>15</v>
      </c>
      <c r="J15" s="54">
        <v>1.75</v>
      </c>
      <c r="K15" s="54">
        <v>324.14999999999998</v>
      </c>
      <c r="L15" s="54">
        <v>9.0500000000000007</v>
      </c>
      <c r="M15" s="54">
        <v>85.92</v>
      </c>
      <c r="N15" s="54">
        <v>92.1</v>
      </c>
      <c r="O15" s="54">
        <v>0</v>
      </c>
      <c r="P15" s="54">
        <v>1.67</v>
      </c>
      <c r="Q15" s="54">
        <v>9.9</v>
      </c>
      <c r="R15" s="43"/>
      <c r="S15" s="43"/>
      <c r="T15" s="43"/>
      <c r="U15" s="43"/>
    </row>
    <row r="16" spans="1:21" s="11" customFormat="1" x14ac:dyDescent="0.25">
      <c r="A16" s="53" t="s">
        <v>523</v>
      </c>
      <c r="B16" s="54">
        <v>130.1</v>
      </c>
      <c r="C16" s="54">
        <v>57.89</v>
      </c>
      <c r="D16" s="54">
        <v>133.15</v>
      </c>
      <c r="E16" s="54">
        <v>8.98</v>
      </c>
      <c r="F16" s="54">
        <v>2.13</v>
      </c>
      <c r="G16" s="54">
        <v>152.65</v>
      </c>
      <c r="H16" s="54">
        <v>55.86</v>
      </c>
      <c r="I16" s="55" t="s">
        <v>15</v>
      </c>
      <c r="J16" s="54">
        <v>1.96</v>
      </c>
      <c r="K16" s="54">
        <v>266.12</v>
      </c>
      <c r="L16" s="54">
        <v>11.54</v>
      </c>
      <c r="M16" s="54">
        <v>93.82</v>
      </c>
      <c r="N16" s="54">
        <v>261.2</v>
      </c>
      <c r="O16" s="54">
        <v>0</v>
      </c>
      <c r="P16" s="54">
        <v>1.73</v>
      </c>
      <c r="Q16" s="54">
        <v>9.9499999999999993</v>
      </c>
      <c r="R16" s="43"/>
      <c r="S16" s="43"/>
      <c r="T16" s="43"/>
      <c r="U16" s="43"/>
    </row>
    <row r="17" spans="1:21" s="11" customFormat="1" x14ac:dyDescent="0.25">
      <c r="A17" s="53" t="s">
        <v>524</v>
      </c>
      <c r="B17" s="54">
        <v>120.94</v>
      </c>
      <c r="C17" s="54">
        <v>60.81</v>
      </c>
      <c r="D17" s="54">
        <v>125.66</v>
      </c>
      <c r="E17" s="54">
        <v>8.6</v>
      </c>
      <c r="F17" s="54">
        <v>2.13</v>
      </c>
      <c r="G17" s="54">
        <v>152.65</v>
      </c>
      <c r="H17" s="54">
        <v>53.59</v>
      </c>
      <c r="I17" s="55" t="s">
        <v>15</v>
      </c>
      <c r="J17" s="54">
        <v>1.57</v>
      </c>
      <c r="K17" s="54">
        <v>332.21</v>
      </c>
      <c r="L17" s="54">
        <v>20.329999999999998</v>
      </c>
      <c r="M17" s="54">
        <v>70.510000000000005</v>
      </c>
      <c r="N17" s="54">
        <v>481.9</v>
      </c>
      <c r="O17" s="54">
        <v>0</v>
      </c>
      <c r="P17" s="54">
        <v>1.66</v>
      </c>
      <c r="Q17" s="54">
        <v>9.8800000000000008</v>
      </c>
      <c r="R17" s="43"/>
      <c r="S17" s="43"/>
      <c r="T17" s="43"/>
      <c r="U17" s="43"/>
    </row>
    <row r="18" spans="1:21" s="11" customFormat="1" x14ac:dyDescent="0.25">
      <c r="A18" s="53" t="s">
        <v>525</v>
      </c>
      <c r="B18" s="54">
        <v>112.06</v>
      </c>
      <c r="C18" s="54">
        <v>68.599999999999994</v>
      </c>
      <c r="D18" s="54">
        <v>121.42</v>
      </c>
      <c r="E18" s="54">
        <v>9.1999999999999993</v>
      </c>
      <c r="F18" s="54">
        <v>2.13</v>
      </c>
      <c r="G18" s="54">
        <v>144.38</v>
      </c>
      <c r="H18" s="54">
        <v>53.59</v>
      </c>
      <c r="I18" s="55" t="s">
        <v>15</v>
      </c>
      <c r="J18" s="54">
        <v>2.73</v>
      </c>
      <c r="K18" s="54">
        <v>353</v>
      </c>
      <c r="L18" s="54">
        <v>26.94</v>
      </c>
      <c r="M18" s="54">
        <v>41.12</v>
      </c>
      <c r="N18" s="54">
        <v>582.20000000000005</v>
      </c>
      <c r="O18" s="54">
        <v>0</v>
      </c>
      <c r="P18" s="54">
        <v>1.66</v>
      </c>
      <c r="Q18" s="54">
        <v>9.82</v>
      </c>
      <c r="R18" s="43"/>
      <c r="S18" s="43"/>
      <c r="T18" s="43"/>
      <c r="U18" s="43"/>
    </row>
    <row r="19" spans="1:21" s="11" customFormat="1" x14ac:dyDescent="0.25">
      <c r="A19" s="53" t="s">
        <v>526</v>
      </c>
      <c r="B19" s="54">
        <v>92.18</v>
      </c>
      <c r="C19" s="54">
        <v>81.25</v>
      </c>
      <c r="D19" s="54">
        <v>109.43</v>
      </c>
      <c r="E19" s="54">
        <v>8.77</v>
      </c>
      <c r="F19" s="54">
        <v>2.44</v>
      </c>
      <c r="G19" s="54">
        <v>144.38</v>
      </c>
      <c r="H19" s="54">
        <v>49.92</v>
      </c>
      <c r="I19" s="55" t="s">
        <v>15</v>
      </c>
      <c r="J19" s="54">
        <v>2.4500000000000002</v>
      </c>
      <c r="K19" s="54">
        <v>342.08</v>
      </c>
      <c r="L19" s="54">
        <v>27.26</v>
      </c>
      <c r="M19" s="54">
        <v>33.71</v>
      </c>
      <c r="N19" s="54">
        <v>678.8</v>
      </c>
      <c r="O19" s="54">
        <v>0</v>
      </c>
      <c r="P19" s="54">
        <v>1.61</v>
      </c>
      <c r="Q19" s="54">
        <v>9.7899999999999991</v>
      </c>
      <c r="R19" s="43"/>
      <c r="S19" s="43"/>
      <c r="T19" s="43"/>
      <c r="U19" s="43"/>
    </row>
    <row r="20" spans="1:21" s="11" customFormat="1" x14ac:dyDescent="0.25">
      <c r="A20" s="53" t="s">
        <v>527</v>
      </c>
      <c r="B20" s="54">
        <v>19.420000000000002</v>
      </c>
      <c r="C20" s="54">
        <v>99.05</v>
      </c>
      <c r="D20" s="54">
        <v>65.59</v>
      </c>
      <c r="E20" s="18" t="s">
        <v>12</v>
      </c>
      <c r="F20" s="54">
        <v>2.5299999999999998</v>
      </c>
      <c r="G20" s="57" t="s">
        <v>12</v>
      </c>
      <c r="H20" s="57" t="s">
        <v>12</v>
      </c>
      <c r="I20" s="55" t="s">
        <v>15</v>
      </c>
      <c r="J20" s="54">
        <v>2.1800000000000002</v>
      </c>
      <c r="K20" s="54">
        <v>343.75</v>
      </c>
      <c r="L20" s="54">
        <v>26.65</v>
      </c>
      <c r="M20" s="54">
        <v>29.19</v>
      </c>
      <c r="N20" s="54">
        <v>724.7</v>
      </c>
      <c r="O20" s="54">
        <v>0</v>
      </c>
      <c r="P20" s="54">
        <v>0.89</v>
      </c>
      <c r="Q20" s="54">
        <v>8.35</v>
      </c>
      <c r="R20" s="43"/>
      <c r="S20" s="43"/>
      <c r="T20" s="43"/>
      <c r="U20" s="43"/>
    </row>
    <row r="21" spans="1:21" s="11" customFormat="1" x14ac:dyDescent="0.25">
      <c r="A21" s="53" t="s">
        <v>528</v>
      </c>
      <c r="B21" s="54">
        <v>4.96</v>
      </c>
      <c r="C21" s="54">
        <v>86.52</v>
      </c>
      <c r="D21" s="54">
        <v>47.8</v>
      </c>
      <c r="E21" s="18" t="s">
        <v>12</v>
      </c>
      <c r="F21" s="54">
        <v>8.4499999999999993</v>
      </c>
      <c r="G21" s="54">
        <v>16.87</v>
      </c>
      <c r="H21" s="54">
        <v>8.66</v>
      </c>
      <c r="I21" s="55" t="s">
        <v>15</v>
      </c>
      <c r="J21" s="54">
        <v>2.42</v>
      </c>
      <c r="K21" s="54">
        <v>137.65</v>
      </c>
      <c r="L21" s="54">
        <v>24.64</v>
      </c>
      <c r="M21" s="54">
        <v>28.79</v>
      </c>
      <c r="N21" s="54">
        <v>718.9</v>
      </c>
      <c r="O21" s="54">
        <v>0</v>
      </c>
      <c r="P21" s="54">
        <v>0.63</v>
      </c>
      <c r="Q21" s="54">
        <v>8.2100000000000009</v>
      </c>
      <c r="R21" s="43"/>
      <c r="S21" s="43"/>
      <c r="T21" s="43"/>
      <c r="U21" s="43"/>
    </row>
    <row r="22" spans="1:21" s="11" customFormat="1" x14ac:dyDescent="0.25">
      <c r="A22" s="53" t="s">
        <v>529</v>
      </c>
      <c r="B22" s="54">
        <v>2.33</v>
      </c>
      <c r="C22" s="54">
        <v>65.05</v>
      </c>
      <c r="D22" s="54">
        <v>34.47</v>
      </c>
      <c r="E22" s="54">
        <v>20.55</v>
      </c>
      <c r="F22" s="54">
        <v>21.64</v>
      </c>
      <c r="G22" s="54">
        <v>38.79</v>
      </c>
      <c r="H22" s="54">
        <v>19</v>
      </c>
      <c r="I22" s="55" t="s">
        <v>15</v>
      </c>
      <c r="J22" s="54">
        <v>2.5299999999999998</v>
      </c>
      <c r="K22" s="54">
        <v>311.13</v>
      </c>
      <c r="L22" s="54">
        <v>25.62</v>
      </c>
      <c r="M22" s="54">
        <v>28.49</v>
      </c>
      <c r="N22" s="54">
        <v>659.6</v>
      </c>
      <c r="O22" s="54">
        <v>0</v>
      </c>
      <c r="P22" s="54">
        <v>0.62</v>
      </c>
      <c r="Q22" s="54">
        <v>8.2100000000000009</v>
      </c>
      <c r="R22" s="43"/>
      <c r="S22" s="43"/>
      <c r="T22" s="43"/>
      <c r="U22" s="43"/>
    </row>
    <row r="23" spans="1:21" s="11" customFormat="1" x14ac:dyDescent="0.25">
      <c r="A23" s="53" t="s">
        <v>530</v>
      </c>
      <c r="B23" s="54">
        <v>3.22</v>
      </c>
      <c r="C23" s="54">
        <v>62.05</v>
      </c>
      <c r="D23" s="54">
        <v>33.619999999999997</v>
      </c>
      <c r="E23" s="54">
        <v>12.95</v>
      </c>
      <c r="F23" s="54">
        <v>10.24</v>
      </c>
      <c r="G23" s="54">
        <v>46.83</v>
      </c>
      <c r="H23" s="54">
        <v>21.24</v>
      </c>
      <c r="I23" s="55" t="s">
        <v>15</v>
      </c>
      <c r="J23" s="54">
        <v>1.98</v>
      </c>
      <c r="K23" s="54">
        <v>335.13</v>
      </c>
      <c r="L23" s="54">
        <v>26.96</v>
      </c>
      <c r="M23" s="54">
        <v>25.36</v>
      </c>
      <c r="N23" s="54">
        <v>453.8</v>
      </c>
      <c r="O23" s="54">
        <v>0</v>
      </c>
      <c r="P23" s="54">
        <v>0.67</v>
      </c>
      <c r="Q23" s="54">
        <v>8.2100000000000009</v>
      </c>
      <c r="R23" s="43"/>
      <c r="S23" s="43"/>
      <c r="T23" s="43"/>
      <c r="U23" s="43"/>
    </row>
    <row r="24" spans="1:21" s="11" customFormat="1" x14ac:dyDescent="0.25">
      <c r="A24" s="53" t="s">
        <v>531</v>
      </c>
      <c r="B24" s="54">
        <v>5.18</v>
      </c>
      <c r="C24" s="54">
        <v>64.739999999999995</v>
      </c>
      <c r="D24" s="54">
        <v>36.6</v>
      </c>
      <c r="E24" s="54">
        <v>9.01</v>
      </c>
      <c r="F24" s="54">
        <v>2.35</v>
      </c>
      <c r="G24" s="54">
        <v>65.17</v>
      </c>
      <c r="H24" s="54">
        <v>24.66</v>
      </c>
      <c r="I24" s="55" t="s">
        <v>15</v>
      </c>
      <c r="J24" s="54">
        <v>2.5</v>
      </c>
      <c r="K24" s="54">
        <v>324.92</v>
      </c>
      <c r="L24" s="54">
        <v>25.42</v>
      </c>
      <c r="M24" s="54">
        <v>25.42</v>
      </c>
      <c r="N24" s="54">
        <v>180.5</v>
      </c>
      <c r="O24" s="54">
        <v>0</v>
      </c>
      <c r="P24" s="54">
        <v>0.69</v>
      </c>
      <c r="Q24" s="54">
        <v>8.2100000000000009</v>
      </c>
      <c r="R24" s="43"/>
      <c r="S24" s="43"/>
      <c r="T24" s="43"/>
      <c r="U24" s="43"/>
    </row>
    <row r="25" spans="1:21" s="11" customFormat="1" x14ac:dyDescent="0.25">
      <c r="A25" s="53" t="s">
        <v>532</v>
      </c>
      <c r="B25" s="54">
        <v>5.82</v>
      </c>
      <c r="C25" s="54">
        <v>85.94</v>
      </c>
      <c r="D25" s="54">
        <v>46.67</v>
      </c>
      <c r="E25" s="54">
        <v>11</v>
      </c>
      <c r="F25" s="54">
        <v>14.24</v>
      </c>
      <c r="G25" s="54">
        <v>78.64</v>
      </c>
      <c r="H25" s="54">
        <v>24.4</v>
      </c>
      <c r="I25" s="55" t="s">
        <v>15</v>
      </c>
      <c r="J25" s="54">
        <v>2.95</v>
      </c>
      <c r="K25" s="54">
        <v>332.71</v>
      </c>
      <c r="L25" s="54">
        <v>24.02</v>
      </c>
      <c r="M25" s="54">
        <v>26.44</v>
      </c>
      <c r="N25" s="54">
        <v>114.7</v>
      </c>
      <c r="O25" s="54">
        <v>0</v>
      </c>
      <c r="P25" s="54">
        <v>0.67</v>
      </c>
      <c r="Q25" s="54">
        <v>8.2100000000000009</v>
      </c>
      <c r="R25" s="43"/>
      <c r="S25" s="43"/>
      <c r="T25" s="43"/>
      <c r="U25" s="43"/>
    </row>
    <row r="26" spans="1:21" s="11" customFormat="1" x14ac:dyDescent="0.25">
      <c r="A26" s="53" t="s">
        <v>533</v>
      </c>
      <c r="B26" s="54">
        <v>9.52</v>
      </c>
      <c r="C26" s="54">
        <v>83.06</v>
      </c>
      <c r="D26" s="54">
        <v>47.52</v>
      </c>
      <c r="E26" s="54">
        <v>6.35</v>
      </c>
      <c r="F26" s="54">
        <v>2.8</v>
      </c>
      <c r="G26" s="54">
        <v>64.02</v>
      </c>
      <c r="H26" s="54">
        <v>21.82</v>
      </c>
      <c r="I26" s="55" t="s">
        <v>15</v>
      </c>
      <c r="J26" s="54">
        <v>2.54</v>
      </c>
      <c r="K26" s="54">
        <v>331.9</v>
      </c>
      <c r="L26" s="54">
        <v>22.45</v>
      </c>
      <c r="M26" s="54">
        <v>38.590000000000003</v>
      </c>
      <c r="N26" s="54">
        <v>92.9</v>
      </c>
      <c r="O26" s="54">
        <v>0</v>
      </c>
      <c r="P26" s="54">
        <v>0.76</v>
      </c>
      <c r="Q26" s="54">
        <v>8.2100000000000009</v>
      </c>
      <c r="R26" s="43"/>
      <c r="S26" s="43"/>
      <c r="T26" s="43"/>
      <c r="U26" s="43"/>
    </row>
    <row r="27" spans="1:21" s="11" customFormat="1" x14ac:dyDescent="0.25">
      <c r="A27" s="53" t="s">
        <v>534</v>
      </c>
      <c r="B27" s="54">
        <v>46.73</v>
      </c>
      <c r="C27" s="54">
        <v>81.900000000000006</v>
      </c>
      <c r="D27" s="54">
        <v>78.89</v>
      </c>
      <c r="E27" s="54">
        <v>6.06</v>
      </c>
      <c r="F27" s="54">
        <v>2.13</v>
      </c>
      <c r="G27" s="54">
        <v>117.19</v>
      </c>
      <c r="H27" s="54">
        <v>24.47</v>
      </c>
      <c r="I27" s="55" t="s">
        <v>15</v>
      </c>
      <c r="J27" s="54">
        <v>1.73</v>
      </c>
      <c r="K27" s="54">
        <v>302.5</v>
      </c>
      <c r="L27" s="54">
        <v>18.23</v>
      </c>
      <c r="M27" s="54">
        <v>56.17</v>
      </c>
      <c r="N27" s="54">
        <v>76.400000000000006</v>
      </c>
      <c r="O27" s="54">
        <v>0</v>
      </c>
      <c r="P27" s="54">
        <v>1.01</v>
      </c>
      <c r="Q27" s="54">
        <v>8.2100000000000009</v>
      </c>
      <c r="R27" s="43"/>
      <c r="S27" s="43"/>
      <c r="T27" s="43"/>
      <c r="U27" s="43"/>
    </row>
    <row r="28" spans="1:21" s="11" customFormat="1" x14ac:dyDescent="0.25">
      <c r="A28" s="53" t="s">
        <v>535</v>
      </c>
      <c r="B28" s="54">
        <v>96.88</v>
      </c>
      <c r="C28" s="54">
        <v>83.67</v>
      </c>
      <c r="D28" s="54">
        <v>118.14</v>
      </c>
      <c r="E28" s="54">
        <v>6.29</v>
      </c>
      <c r="F28" s="54">
        <v>2.13</v>
      </c>
      <c r="G28" s="54">
        <v>166.42</v>
      </c>
      <c r="H28" s="54">
        <v>29.15</v>
      </c>
      <c r="I28" s="55" t="s">
        <v>15</v>
      </c>
      <c r="J28" s="54">
        <v>1.79</v>
      </c>
      <c r="K28" s="54">
        <v>307.13</v>
      </c>
      <c r="L28" s="54">
        <v>16.149999999999999</v>
      </c>
      <c r="M28" s="54">
        <v>63.73</v>
      </c>
      <c r="N28" s="54">
        <v>75.900000000000006</v>
      </c>
      <c r="O28" s="54">
        <v>0</v>
      </c>
      <c r="P28" s="54">
        <v>1.71</v>
      </c>
      <c r="Q28" s="54">
        <v>9.7899999999999991</v>
      </c>
      <c r="R28" s="43"/>
      <c r="S28" s="43"/>
      <c r="T28" s="43"/>
      <c r="U28" s="43"/>
    </row>
    <row r="29" spans="1:21" s="11" customFormat="1" x14ac:dyDescent="0.25">
      <c r="A29" s="53" t="s">
        <v>536</v>
      </c>
      <c r="B29" s="54">
        <v>130.91999999999999</v>
      </c>
      <c r="C29" s="54">
        <v>78.36</v>
      </c>
      <c r="D29" s="54">
        <v>142.94</v>
      </c>
      <c r="E29" s="54">
        <v>8.6</v>
      </c>
      <c r="F29" s="54">
        <v>2.13</v>
      </c>
      <c r="G29" s="54">
        <v>175.6</v>
      </c>
      <c r="H29" s="54">
        <v>35.92</v>
      </c>
      <c r="I29" s="55" t="s">
        <v>15</v>
      </c>
      <c r="J29" s="54">
        <v>1.72</v>
      </c>
      <c r="K29" s="54">
        <v>300.64</v>
      </c>
      <c r="L29" s="54">
        <v>15.62</v>
      </c>
      <c r="M29" s="54">
        <v>69.55</v>
      </c>
      <c r="N29" s="54">
        <v>75.7</v>
      </c>
      <c r="O29" s="54">
        <v>0</v>
      </c>
      <c r="P29" s="54">
        <v>0.95</v>
      </c>
      <c r="Q29" s="54">
        <v>9.92</v>
      </c>
      <c r="R29" s="43"/>
      <c r="S29" s="43"/>
      <c r="T29" s="43"/>
      <c r="U29" s="43"/>
    </row>
    <row r="30" spans="1:21" s="11" customFormat="1" x14ac:dyDescent="0.25">
      <c r="A30" s="53" t="s">
        <v>537</v>
      </c>
      <c r="B30" s="54">
        <v>175.7</v>
      </c>
      <c r="C30" s="54">
        <v>75.19</v>
      </c>
      <c r="D30" s="54">
        <v>178.81</v>
      </c>
      <c r="E30" s="54">
        <v>10.23</v>
      </c>
      <c r="F30" s="54">
        <v>2.13</v>
      </c>
      <c r="G30" s="54">
        <v>197.47</v>
      </c>
      <c r="H30" s="54">
        <v>45.11</v>
      </c>
      <c r="I30" s="55" t="s">
        <v>15</v>
      </c>
      <c r="J30" s="54">
        <v>1.42</v>
      </c>
      <c r="K30" s="54">
        <v>344.57</v>
      </c>
      <c r="L30" s="54">
        <v>14.7</v>
      </c>
      <c r="M30" s="54">
        <v>70.8</v>
      </c>
      <c r="N30" s="54">
        <v>75.5</v>
      </c>
      <c r="O30" s="54">
        <v>0</v>
      </c>
      <c r="P30" s="54">
        <v>0.92</v>
      </c>
      <c r="Q30" s="54">
        <v>10.18</v>
      </c>
      <c r="R30" s="43"/>
      <c r="S30" s="43"/>
      <c r="T30" s="43"/>
      <c r="U30" s="43"/>
    </row>
    <row r="31" spans="1:21" s="11" customFormat="1" x14ac:dyDescent="0.25">
      <c r="A31" s="53" t="s">
        <v>538</v>
      </c>
      <c r="B31" s="54">
        <v>175.75</v>
      </c>
      <c r="C31" s="54">
        <v>74.36</v>
      </c>
      <c r="D31" s="54">
        <v>178.41</v>
      </c>
      <c r="E31" s="54">
        <v>8.8800000000000008</v>
      </c>
      <c r="F31" s="54">
        <v>2.13</v>
      </c>
      <c r="G31" s="54">
        <v>219.99</v>
      </c>
      <c r="H31" s="54">
        <v>51.54</v>
      </c>
      <c r="I31" s="55" t="s">
        <v>15</v>
      </c>
      <c r="J31" s="54">
        <v>1.65</v>
      </c>
      <c r="K31" s="54">
        <v>319.74</v>
      </c>
      <c r="L31" s="54">
        <v>14.89</v>
      </c>
      <c r="M31" s="54">
        <v>72.63</v>
      </c>
      <c r="N31" s="54">
        <v>76.099999999999994</v>
      </c>
      <c r="O31" s="54">
        <v>0</v>
      </c>
      <c r="P31" s="54">
        <v>0.82</v>
      </c>
      <c r="Q31" s="54">
        <v>10.220000000000001</v>
      </c>
      <c r="R31" s="43"/>
      <c r="S31" s="43"/>
      <c r="T31" s="43"/>
      <c r="U31" s="43"/>
    </row>
    <row r="32" spans="1:21" s="11" customFormat="1" x14ac:dyDescent="0.25">
      <c r="A32" s="53" t="s">
        <v>539</v>
      </c>
      <c r="B32" s="54">
        <v>169.94</v>
      </c>
      <c r="C32" s="54">
        <v>71.34</v>
      </c>
      <c r="D32" s="54">
        <v>171.28</v>
      </c>
      <c r="E32" s="54">
        <v>8.18</v>
      </c>
      <c r="F32" s="54">
        <v>2.13</v>
      </c>
      <c r="G32" s="54">
        <v>141.97999999999999</v>
      </c>
      <c r="H32" s="54">
        <v>43.11</v>
      </c>
      <c r="I32" s="55" t="s">
        <v>15</v>
      </c>
      <c r="J32" s="54">
        <v>1.73</v>
      </c>
      <c r="K32" s="54">
        <v>316.49</v>
      </c>
      <c r="L32" s="54">
        <v>13.05</v>
      </c>
      <c r="M32" s="54">
        <v>77.91</v>
      </c>
      <c r="N32" s="54">
        <v>76</v>
      </c>
      <c r="O32" s="54">
        <v>0</v>
      </c>
      <c r="P32" s="54">
        <v>0.25</v>
      </c>
      <c r="Q32" s="54">
        <v>10.19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2.33</v>
      </c>
      <c r="C34" s="28">
        <f t="shared" si="0"/>
        <v>57.89</v>
      </c>
      <c r="D34" s="28">
        <f t="shared" si="0"/>
        <v>33.619999999999997</v>
      </c>
      <c r="E34" s="28">
        <f t="shared" si="0"/>
        <v>6.06</v>
      </c>
      <c r="F34" s="28">
        <f t="shared" si="0"/>
        <v>2.13</v>
      </c>
      <c r="G34" s="28">
        <f t="shared" si="0"/>
        <v>16.87</v>
      </c>
      <c r="H34" s="28">
        <f t="shared" si="0"/>
        <v>8.66</v>
      </c>
      <c r="I34" s="28">
        <f t="shared" si="0"/>
        <v>0</v>
      </c>
      <c r="J34" s="28">
        <f t="shared" si="0"/>
        <v>1.42</v>
      </c>
      <c r="K34" s="28">
        <f t="shared" si="0"/>
        <v>137.65</v>
      </c>
      <c r="L34" s="28">
        <f t="shared" si="0"/>
        <v>9.0500000000000007</v>
      </c>
      <c r="M34" s="28">
        <f t="shared" si="0"/>
        <v>25.36</v>
      </c>
      <c r="N34" s="28">
        <f t="shared" si="0"/>
        <v>75.5</v>
      </c>
      <c r="O34" s="28">
        <f t="shared" si="0"/>
        <v>0</v>
      </c>
      <c r="P34" s="28">
        <f t="shared" si="0"/>
        <v>0.25</v>
      </c>
      <c r="Q34" s="28">
        <f t="shared" si="0"/>
        <v>8.2100000000000009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216.81</v>
      </c>
      <c r="C35" s="29">
        <f t="shared" si="1"/>
        <v>99.05</v>
      </c>
      <c r="D35" s="29">
        <f t="shared" si="1"/>
        <v>208.44</v>
      </c>
      <c r="E35" s="29">
        <f t="shared" si="1"/>
        <v>20.55</v>
      </c>
      <c r="F35" s="29">
        <f t="shared" si="1"/>
        <v>21.64</v>
      </c>
      <c r="G35" s="29">
        <f t="shared" si="1"/>
        <v>219.99</v>
      </c>
      <c r="H35" s="29">
        <f t="shared" si="1"/>
        <v>65.400000000000006</v>
      </c>
      <c r="I35" s="29">
        <f t="shared" si="1"/>
        <v>0</v>
      </c>
      <c r="J35" s="29">
        <f t="shared" si="1"/>
        <v>2.95</v>
      </c>
      <c r="K35" s="29">
        <f t="shared" si="1"/>
        <v>359.31</v>
      </c>
      <c r="L35" s="29">
        <f t="shared" si="1"/>
        <v>27.26</v>
      </c>
      <c r="M35" s="29">
        <f t="shared" si="1"/>
        <v>93.82</v>
      </c>
      <c r="N35" s="29">
        <f t="shared" si="1"/>
        <v>724.7</v>
      </c>
      <c r="O35" s="29">
        <f t="shared" si="1"/>
        <v>0</v>
      </c>
      <c r="P35" s="29">
        <f t="shared" si="1"/>
        <v>2.2200000000000002</v>
      </c>
      <c r="Q35" s="29">
        <f t="shared" si="1"/>
        <v>10.44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102.99041666666666</v>
      </c>
      <c r="C36" s="28">
        <f t="shared" si="2"/>
        <v>71.832916666666662</v>
      </c>
      <c r="D36" s="28">
        <f t="shared" si="2"/>
        <v>117.87416666666668</v>
      </c>
      <c r="E36" s="28">
        <f t="shared" si="2"/>
        <v>9.5704545454545435</v>
      </c>
      <c r="F36" s="28">
        <f t="shared" si="2"/>
        <v>4.1154166666666647</v>
      </c>
      <c r="G36" s="28">
        <f t="shared" si="2"/>
        <v>139.84608695652173</v>
      </c>
      <c r="H36" s="28">
        <f t="shared" si="2"/>
        <v>43.533913043478258</v>
      </c>
      <c r="I36" s="28" t="e">
        <f t="shared" si="2"/>
        <v>#DIV/0!</v>
      </c>
      <c r="J36" s="28">
        <f t="shared" si="2"/>
        <v>1.9974999999999996</v>
      </c>
      <c r="K36" s="28">
        <f t="shared" si="2"/>
        <v>316.92083333333329</v>
      </c>
      <c r="L36" s="28">
        <f t="shared" si="2"/>
        <v>17.851666666666663</v>
      </c>
      <c r="M36" s="28">
        <f t="shared" si="2"/>
        <v>60.414583333333333</v>
      </c>
      <c r="N36" s="28">
        <f t="shared" si="2"/>
        <v>249.3208333333333</v>
      </c>
      <c r="O36" s="28">
        <f t="shared" si="2"/>
        <v>0</v>
      </c>
      <c r="P36" s="28">
        <f t="shared" si="2"/>
        <v>1.2741666666666671</v>
      </c>
      <c r="Q36" s="28">
        <f t="shared" si="2"/>
        <v>9.4425000000000008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73.130287574221953</v>
      </c>
      <c r="C37" s="28">
        <f t="shared" ref="C37:Q37" si="3">STDEV(C9:C32)</f>
        <v>11.200856519720462</v>
      </c>
      <c r="D37" s="28">
        <f t="shared" si="3"/>
        <v>56.728950121468422</v>
      </c>
      <c r="E37" s="28">
        <f t="shared" si="3"/>
        <v>2.9052816882897523</v>
      </c>
      <c r="F37" s="28">
        <f t="shared" si="3"/>
        <v>4.8416445096651843</v>
      </c>
      <c r="G37" s="28">
        <f t="shared" si="3"/>
        <v>59.915023669066741</v>
      </c>
      <c r="H37" s="28">
        <f t="shared" si="3"/>
        <v>18.135486493494792</v>
      </c>
      <c r="I37" s="28" t="e">
        <f t="shared" si="3"/>
        <v>#DIV/0!</v>
      </c>
      <c r="J37" s="28">
        <f t="shared" si="3"/>
        <v>0.42390780375803283</v>
      </c>
      <c r="K37" s="28">
        <f t="shared" si="3"/>
        <v>42.931138381757698</v>
      </c>
      <c r="L37" s="28">
        <f t="shared" si="3"/>
        <v>6.6866789486499894</v>
      </c>
      <c r="M37" s="28">
        <f t="shared" si="3"/>
        <v>25.151470175573309</v>
      </c>
      <c r="N37" s="28">
        <f t="shared" si="3"/>
        <v>249.19638663575935</v>
      </c>
      <c r="O37" s="28">
        <f t="shared" si="3"/>
        <v>0</v>
      </c>
      <c r="P37" s="28">
        <f t="shared" si="3"/>
        <v>0.57861090528104009</v>
      </c>
      <c r="Q37" s="28">
        <f t="shared" si="3"/>
        <v>0.89498724790526651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>COUNT(E9:E32)+2</f>
        <v>24</v>
      </c>
      <c r="F38" s="32">
        <f t="shared" si="4"/>
        <v>24</v>
      </c>
      <c r="G38" s="32">
        <f>COUNT(G9:G32)+1</f>
        <v>24</v>
      </c>
      <c r="H38" s="32">
        <f>COUNT(H9:H32)+1</f>
        <v>24</v>
      </c>
      <c r="I38" s="32">
        <f t="shared" si="4"/>
        <v>0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&lt;90%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LESS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2" sqref="G52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21/01/2025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8"/>
      <c r="B8" s="59" t="s">
        <v>22</v>
      </c>
      <c r="C8" s="59" t="s">
        <v>22</v>
      </c>
      <c r="D8" s="29" t="s">
        <v>42</v>
      </c>
      <c r="E8" s="59" t="s">
        <v>22</v>
      </c>
      <c r="F8" s="59" t="s">
        <v>22</v>
      </c>
      <c r="G8" s="59" t="s">
        <v>23</v>
      </c>
      <c r="H8" s="59" t="s">
        <v>22</v>
      </c>
      <c r="I8" s="59" t="s">
        <v>22</v>
      </c>
      <c r="J8" s="59" t="s">
        <v>24</v>
      </c>
      <c r="K8" s="59" t="s">
        <v>25</v>
      </c>
      <c r="L8" s="58" t="s">
        <v>27</v>
      </c>
      <c r="M8" s="59" t="s">
        <v>26</v>
      </c>
      <c r="N8" s="59" t="s">
        <v>28</v>
      </c>
      <c r="O8" s="58" t="s">
        <v>29</v>
      </c>
      <c r="P8" s="59" t="s">
        <v>22</v>
      </c>
      <c r="Q8" s="59" t="s">
        <v>22</v>
      </c>
      <c r="R8" s="27"/>
      <c r="S8" s="29"/>
      <c r="T8" s="27"/>
      <c r="U8" s="27"/>
    </row>
    <row r="9" spans="1:21" s="11" customFormat="1" x14ac:dyDescent="0.25">
      <c r="A9" s="53" t="s">
        <v>540</v>
      </c>
      <c r="B9" s="54">
        <v>170.52</v>
      </c>
      <c r="C9" s="54">
        <v>67.819999999999993</v>
      </c>
      <c r="D9" s="54">
        <v>170.8</v>
      </c>
      <c r="E9" s="54">
        <v>7.73</v>
      </c>
      <c r="F9" s="54">
        <v>2.13</v>
      </c>
      <c r="G9" s="54">
        <v>131.78</v>
      </c>
      <c r="H9" s="54">
        <v>43.93</v>
      </c>
      <c r="I9" s="55" t="s">
        <v>15</v>
      </c>
      <c r="J9" s="54">
        <v>1.75</v>
      </c>
      <c r="K9" s="54">
        <v>319.60000000000002</v>
      </c>
      <c r="L9" s="54">
        <v>12.26</v>
      </c>
      <c r="M9" s="54">
        <v>80.040000000000006</v>
      </c>
      <c r="N9" s="54">
        <v>76</v>
      </c>
      <c r="O9" s="54">
        <v>0</v>
      </c>
      <c r="P9" s="54">
        <v>1.98</v>
      </c>
      <c r="Q9" s="54">
        <v>10.19</v>
      </c>
      <c r="R9" s="43"/>
      <c r="S9" s="43"/>
      <c r="T9" s="43"/>
      <c r="U9" s="43"/>
    </row>
    <row r="10" spans="1:21" s="11" customFormat="1" x14ac:dyDescent="0.25">
      <c r="A10" s="53" t="s">
        <v>541</v>
      </c>
      <c r="B10" s="54">
        <v>160.34</v>
      </c>
      <c r="C10" s="54">
        <v>65.349999999999994</v>
      </c>
      <c r="D10" s="54">
        <v>161.35</v>
      </c>
      <c r="E10" s="54">
        <v>7.34</v>
      </c>
      <c r="F10" s="54">
        <v>2.13</v>
      </c>
      <c r="G10" s="54">
        <v>120.7</v>
      </c>
      <c r="H10" s="54">
        <v>36.31</v>
      </c>
      <c r="I10" s="55" t="s">
        <v>15</v>
      </c>
      <c r="J10" s="54">
        <v>1.8</v>
      </c>
      <c r="K10" s="54">
        <v>355.29</v>
      </c>
      <c r="L10" s="54">
        <v>11.73</v>
      </c>
      <c r="M10" s="54">
        <v>82.88</v>
      </c>
      <c r="N10" s="54">
        <v>76.2</v>
      </c>
      <c r="O10" s="54">
        <v>0</v>
      </c>
      <c r="P10" s="54">
        <v>1.66</v>
      </c>
      <c r="Q10" s="54">
        <v>10.119999999999999</v>
      </c>
      <c r="R10" s="43"/>
      <c r="S10" s="43"/>
      <c r="T10" s="43"/>
      <c r="U10" s="43"/>
    </row>
    <row r="11" spans="1:21" s="11" customFormat="1" x14ac:dyDescent="0.25">
      <c r="A11" s="53" t="s">
        <v>542</v>
      </c>
      <c r="B11" s="54">
        <v>140.94999999999999</v>
      </c>
      <c r="C11" s="54">
        <v>64.13</v>
      </c>
      <c r="D11" s="54">
        <v>145.16</v>
      </c>
      <c r="E11" s="54">
        <v>7.42</v>
      </c>
      <c r="F11" s="54">
        <v>2.13</v>
      </c>
      <c r="G11" s="54">
        <v>88.59</v>
      </c>
      <c r="H11" s="54">
        <v>36.340000000000003</v>
      </c>
      <c r="I11" s="55" t="s">
        <v>15</v>
      </c>
      <c r="J11" s="54">
        <v>1.66</v>
      </c>
      <c r="K11" s="54">
        <v>301.45</v>
      </c>
      <c r="L11" s="54">
        <v>11.4</v>
      </c>
      <c r="M11" s="54">
        <v>87.37</v>
      </c>
      <c r="N11" s="54">
        <v>76.3</v>
      </c>
      <c r="O11" s="54">
        <v>0</v>
      </c>
      <c r="P11" s="54">
        <v>1.56</v>
      </c>
      <c r="Q11" s="54">
        <v>10</v>
      </c>
      <c r="R11" s="43"/>
      <c r="S11" s="43"/>
      <c r="T11" s="43"/>
      <c r="U11" s="43"/>
    </row>
    <row r="12" spans="1:21" s="11" customFormat="1" x14ac:dyDescent="0.25">
      <c r="A12" s="53" t="s">
        <v>543</v>
      </c>
      <c r="B12" s="54">
        <v>117.01</v>
      </c>
      <c r="C12" s="54">
        <v>62.56</v>
      </c>
      <c r="D12" s="54">
        <v>125.14</v>
      </c>
      <c r="E12" s="54">
        <v>6.55</v>
      </c>
      <c r="F12" s="54">
        <v>2.13</v>
      </c>
      <c r="G12" s="54">
        <v>85.77</v>
      </c>
      <c r="H12" s="54">
        <v>35.9</v>
      </c>
      <c r="I12" s="55" t="s">
        <v>15</v>
      </c>
      <c r="J12" s="54">
        <v>1.44</v>
      </c>
      <c r="K12" s="54">
        <v>331.08</v>
      </c>
      <c r="L12" s="54">
        <v>10.79</v>
      </c>
      <c r="M12" s="54">
        <v>92.99</v>
      </c>
      <c r="N12" s="54">
        <v>76.5</v>
      </c>
      <c r="O12" s="54">
        <v>0</v>
      </c>
      <c r="P12" s="54">
        <v>1.4</v>
      </c>
      <c r="Q12" s="54">
        <v>9.9</v>
      </c>
      <c r="R12" s="43"/>
      <c r="S12" s="43"/>
      <c r="T12" s="43"/>
      <c r="U12" s="43"/>
    </row>
    <row r="13" spans="1:21" s="11" customFormat="1" x14ac:dyDescent="0.25">
      <c r="A13" s="53" t="s">
        <v>544</v>
      </c>
      <c r="B13" s="54">
        <v>110.42</v>
      </c>
      <c r="C13" s="54">
        <v>59</v>
      </c>
      <c r="D13" s="54">
        <v>117.74</v>
      </c>
      <c r="E13" s="54">
        <v>6.66</v>
      </c>
      <c r="F13" s="54">
        <v>2.13</v>
      </c>
      <c r="G13" s="54">
        <v>87.78</v>
      </c>
      <c r="H13" s="54">
        <v>30.45</v>
      </c>
      <c r="I13" s="55" t="s">
        <v>15</v>
      </c>
      <c r="J13" s="54">
        <v>1.69</v>
      </c>
      <c r="K13" s="54">
        <v>336.75</v>
      </c>
      <c r="L13" s="54">
        <v>10.43</v>
      </c>
      <c r="M13" s="54">
        <v>100.22</v>
      </c>
      <c r="N13" s="54">
        <v>76.400000000000006</v>
      </c>
      <c r="O13" s="54">
        <v>0</v>
      </c>
      <c r="P13" s="54">
        <v>1.25</v>
      </c>
      <c r="Q13" s="54">
        <v>9.84</v>
      </c>
      <c r="R13" s="43"/>
      <c r="S13" s="43"/>
      <c r="T13" s="43"/>
      <c r="U13" s="43"/>
    </row>
    <row r="14" spans="1:21" s="11" customFormat="1" x14ac:dyDescent="0.25">
      <c r="A14" s="53" t="s">
        <v>545</v>
      </c>
      <c r="B14" s="54">
        <v>117.03</v>
      </c>
      <c r="C14" s="54">
        <v>57.48</v>
      </c>
      <c r="D14" s="54">
        <v>121.79</v>
      </c>
      <c r="E14" s="54">
        <v>8.2799999999999994</v>
      </c>
      <c r="F14" s="54">
        <v>2.13</v>
      </c>
      <c r="G14" s="54">
        <v>100.76</v>
      </c>
      <c r="H14" s="54">
        <v>31.31</v>
      </c>
      <c r="I14" s="55" t="s">
        <v>15</v>
      </c>
      <c r="J14" s="54">
        <v>1.72</v>
      </c>
      <c r="K14" s="54">
        <v>275.06</v>
      </c>
      <c r="L14" s="54">
        <v>10.220000000000001</v>
      </c>
      <c r="M14" s="54">
        <v>99.99</v>
      </c>
      <c r="N14" s="54">
        <v>76.5</v>
      </c>
      <c r="O14" s="54">
        <v>0</v>
      </c>
      <c r="P14" s="54">
        <v>1.18</v>
      </c>
      <c r="Q14" s="54">
        <v>9.83</v>
      </c>
      <c r="R14" s="43"/>
      <c r="S14" s="43"/>
      <c r="T14" s="43"/>
      <c r="U14" s="43"/>
    </row>
    <row r="15" spans="1:21" s="11" customFormat="1" x14ac:dyDescent="0.25">
      <c r="A15" s="53" t="s">
        <v>546</v>
      </c>
      <c r="B15" s="54">
        <v>118.66</v>
      </c>
      <c r="C15" s="54">
        <v>55.73</v>
      </c>
      <c r="D15" s="54">
        <v>122.89</v>
      </c>
      <c r="E15" s="54">
        <v>8.3000000000000007</v>
      </c>
      <c r="F15" s="54">
        <v>2.13</v>
      </c>
      <c r="G15" s="54">
        <v>111.31</v>
      </c>
      <c r="H15" s="54">
        <v>33.799999999999997</v>
      </c>
      <c r="I15" s="55" t="s">
        <v>15</v>
      </c>
      <c r="J15" s="54">
        <v>1.77</v>
      </c>
      <c r="K15" s="54">
        <v>330.41</v>
      </c>
      <c r="L15" s="54">
        <v>9.9700000000000006</v>
      </c>
      <c r="M15" s="54">
        <v>96.68</v>
      </c>
      <c r="N15" s="54">
        <v>87.7</v>
      </c>
      <c r="O15" s="54">
        <v>0</v>
      </c>
      <c r="P15" s="54">
        <v>1.1200000000000001</v>
      </c>
      <c r="Q15" s="54">
        <v>9.8699999999999992</v>
      </c>
      <c r="R15" s="43"/>
      <c r="S15" s="43"/>
      <c r="T15" s="43"/>
      <c r="U15" s="43"/>
    </row>
    <row r="16" spans="1:21" s="11" customFormat="1" x14ac:dyDescent="0.25">
      <c r="A16" s="53" t="s">
        <v>547</v>
      </c>
      <c r="B16" s="54">
        <v>119.09</v>
      </c>
      <c r="C16" s="54">
        <v>56.29</v>
      </c>
      <c r="D16" s="54">
        <v>123.53</v>
      </c>
      <c r="E16" s="54">
        <v>8.65</v>
      </c>
      <c r="F16" s="54">
        <v>2.13</v>
      </c>
      <c r="G16" s="54">
        <v>119.77</v>
      </c>
      <c r="H16" s="54">
        <v>37.130000000000003</v>
      </c>
      <c r="I16" s="55" t="s">
        <v>15</v>
      </c>
      <c r="J16" s="54">
        <v>1.76</v>
      </c>
      <c r="K16" s="54">
        <v>356.04</v>
      </c>
      <c r="L16" s="54">
        <v>13.33</v>
      </c>
      <c r="M16" s="54">
        <v>95.43</v>
      </c>
      <c r="N16" s="54">
        <v>235.9</v>
      </c>
      <c r="O16" s="54">
        <v>0</v>
      </c>
      <c r="P16" s="54">
        <v>1.21</v>
      </c>
      <c r="Q16" s="54">
        <v>9.8800000000000008</v>
      </c>
      <c r="R16" s="43"/>
      <c r="S16" s="43"/>
      <c r="T16" s="43"/>
      <c r="U16" s="43"/>
    </row>
    <row r="17" spans="1:21" s="11" customFormat="1" x14ac:dyDescent="0.25">
      <c r="A17" s="53" t="s">
        <v>548</v>
      </c>
      <c r="B17" s="54">
        <v>120.74</v>
      </c>
      <c r="C17" s="54">
        <v>61.2</v>
      </c>
      <c r="D17" s="54">
        <v>125.49</v>
      </c>
      <c r="E17" s="54">
        <v>7.72</v>
      </c>
      <c r="F17" s="54">
        <v>2.13</v>
      </c>
      <c r="G17" s="54">
        <v>152.71</v>
      </c>
      <c r="H17" s="54">
        <v>40.98</v>
      </c>
      <c r="I17" s="55" t="s">
        <v>15</v>
      </c>
      <c r="J17" s="54">
        <v>1.89</v>
      </c>
      <c r="K17" s="54">
        <v>322.56</v>
      </c>
      <c r="L17" s="54">
        <v>19.78</v>
      </c>
      <c r="M17" s="54">
        <v>67.31</v>
      </c>
      <c r="N17" s="54">
        <v>463</v>
      </c>
      <c r="O17" s="54">
        <v>0</v>
      </c>
      <c r="P17" s="54">
        <v>1.28</v>
      </c>
      <c r="Q17" s="54">
        <v>9.89</v>
      </c>
      <c r="R17" s="43"/>
      <c r="S17" s="43"/>
      <c r="T17" s="43"/>
      <c r="U17" s="43"/>
    </row>
    <row r="18" spans="1:21" s="11" customFormat="1" x14ac:dyDescent="0.25">
      <c r="A18" s="53" t="s">
        <v>549</v>
      </c>
      <c r="B18" s="54">
        <v>109.91</v>
      </c>
      <c r="C18" s="54">
        <v>67.709999999999994</v>
      </c>
      <c r="D18" s="54">
        <v>119.32</v>
      </c>
      <c r="E18" s="54">
        <v>7.17</v>
      </c>
      <c r="F18" s="54">
        <v>2.13</v>
      </c>
      <c r="G18" s="54">
        <v>156.55000000000001</v>
      </c>
      <c r="H18" s="54">
        <v>42</v>
      </c>
      <c r="I18" s="55" t="s">
        <v>15</v>
      </c>
      <c r="J18" s="54">
        <v>2</v>
      </c>
      <c r="K18" s="54">
        <v>357.9</v>
      </c>
      <c r="L18" s="54">
        <v>23.78</v>
      </c>
      <c r="M18" s="54">
        <v>54.19</v>
      </c>
      <c r="N18" s="54">
        <v>596.6</v>
      </c>
      <c r="O18" s="54">
        <v>0</v>
      </c>
      <c r="P18" s="54">
        <v>1.27</v>
      </c>
      <c r="Q18" s="54">
        <v>9.83</v>
      </c>
      <c r="R18" s="43"/>
      <c r="S18" s="43"/>
      <c r="T18" s="43"/>
      <c r="U18" s="43"/>
    </row>
    <row r="19" spans="1:21" s="11" customFormat="1" x14ac:dyDescent="0.25">
      <c r="A19" s="53" t="s">
        <v>550</v>
      </c>
      <c r="B19" s="54">
        <v>87.54</v>
      </c>
      <c r="C19" s="54">
        <v>72.72</v>
      </c>
      <c r="D19" s="54">
        <v>104.72</v>
      </c>
      <c r="E19" s="54">
        <v>6.33</v>
      </c>
      <c r="F19" s="54">
        <v>2.13</v>
      </c>
      <c r="G19" s="54">
        <v>107.89</v>
      </c>
      <c r="H19" s="54">
        <v>42.4</v>
      </c>
      <c r="I19" s="55" t="s">
        <v>15</v>
      </c>
      <c r="J19" s="54">
        <v>2.99</v>
      </c>
      <c r="K19" s="54">
        <v>342.54</v>
      </c>
      <c r="L19" s="54">
        <v>27.46</v>
      </c>
      <c r="M19" s="54">
        <v>42.18</v>
      </c>
      <c r="N19" s="54">
        <v>654.5</v>
      </c>
      <c r="O19" s="54">
        <v>0</v>
      </c>
      <c r="P19" s="54">
        <v>1.19</v>
      </c>
      <c r="Q19" s="54">
        <v>9.7100000000000009</v>
      </c>
      <c r="R19" s="43"/>
      <c r="S19" s="43"/>
      <c r="T19" s="43"/>
      <c r="U19" s="43"/>
    </row>
    <row r="20" spans="1:21" s="11" customFormat="1" x14ac:dyDescent="0.25">
      <c r="A20" s="53" t="s">
        <v>551</v>
      </c>
      <c r="B20" s="54">
        <v>64.06</v>
      </c>
      <c r="C20" s="54">
        <v>76.489999999999995</v>
      </c>
      <c r="D20" s="54">
        <v>88.51</v>
      </c>
      <c r="E20" s="54">
        <v>5.34</v>
      </c>
      <c r="F20" s="54">
        <v>2.13</v>
      </c>
      <c r="G20" s="54">
        <v>77.19</v>
      </c>
      <c r="H20" s="54">
        <v>34.770000000000003</v>
      </c>
      <c r="I20" s="55" t="s">
        <v>15</v>
      </c>
      <c r="J20" s="54">
        <v>1.67</v>
      </c>
      <c r="K20" s="54">
        <v>344.95</v>
      </c>
      <c r="L20" s="54">
        <v>28.12</v>
      </c>
      <c r="M20" s="54">
        <v>34.67</v>
      </c>
      <c r="N20" s="54">
        <v>685.1</v>
      </c>
      <c r="O20" s="54">
        <v>0</v>
      </c>
      <c r="P20" s="54">
        <v>1.07</v>
      </c>
      <c r="Q20" s="54">
        <v>8.94</v>
      </c>
      <c r="R20" s="43"/>
      <c r="S20" s="43"/>
      <c r="T20" s="43"/>
      <c r="U20" s="43"/>
    </row>
    <row r="21" spans="1:21" s="11" customFormat="1" x14ac:dyDescent="0.25">
      <c r="A21" s="53" t="s">
        <v>552</v>
      </c>
      <c r="B21" s="54">
        <v>42.68</v>
      </c>
      <c r="C21" s="54">
        <v>77.03</v>
      </c>
      <c r="D21" s="54">
        <v>73.09</v>
      </c>
      <c r="E21" s="54">
        <v>5.0999999999999996</v>
      </c>
      <c r="F21" s="54">
        <v>2.13</v>
      </c>
      <c r="G21" s="54">
        <v>54.44</v>
      </c>
      <c r="H21" s="54">
        <v>30.78</v>
      </c>
      <c r="I21" s="55" t="s">
        <v>15</v>
      </c>
      <c r="J21" s="54">
        <v>1.74</v>
      </c>
      <c r="K21" s="54">
        <v>344.81</v>
      </c>
      <c r="L21" s="54">
        <v>27.73</v>
      </c>
      <c r="M21" s="54">
        <v>32.99</v>
      </c>
      <c r="N21" s="54">
        <v>682.1</v>
      </c>
      <c r="O21" s="54">
        <v>0</v>
      </c>
      <c r="P21" s="54">
        <v>0.95</v>
      </c>
      <c r="Q21" s="54">
        <v>8.2100000000000009</v>
      </c>
      <c r="R21" s="43"/>
      <c r="S21" s="43"/>
      <c r="T21" s="43"/>
      <c r="U21" s="43"/>
    </row>
    <row r="22" spans="1:21" s="11" customFormat="1" x14ac:dyDescent="0.25">
      <c r="A22" s="53" t="s">
        <v>553</v>
      </c>
      <c r="B22" s="54">
        <v>27.9</v>
      </c>
      <c r="C22" s="54">
        <v>76.599999999999994</v>
      </c>
      <c r="D22" s="54">
        <v>61.01</v>
      </c>
      <c r="E22" s="54">
        <v>4.59</v>
      </c>
      <c r="F22" s="54">
        <v>2.13</v>
      </c>
      <c r="G22" s="54">
        <v>60.1</v>
      </c>
      <c r="H22" s="54">
        <v>29.26</v>
      </c>
      <c r="I22" s="55" t="s">
        <v>15</v>
      </c>
      <c r="J22" s="54">
        <v>2.31</v>
      </c>
      <c r="K22" s="54">
        <v>329.44</v>
      </c>
      <c r="L22" s="54">
        <v>26.21</v>
      </c>
      <c r="M22" s="54">
        <v>34.9</v>
      </c>
      <c r="N22" s="54">
        <v>641.20000000000005</v>
      </c>
      <c r="O22" s="54">
        <v>0</v>
      </c>
      <c r="P22" s="54">
        <v>0.88</v>
      </c>
      <c r="Q22" s="54">
        <v>8.2100000000000009</v>
      </c>
      <c r="R22" s="43"/>
      <c r="S22" s="43"/>
      <c r="T22" s="43"/>
      <c r="U22" s="43"/>
    </row>
    <row r="23" spans="1:21" s="11" customFormat="1" x14ac:dyDescent="0.25">
      <c r="A23" s="53" t="s">
        <v>554</v>
      </c>
      <c r="B23" s="54">
        <v>17.510000000000002</v>
      </c>
      <c r="C23" s="54">
        <v>79.459999999999994</v>
      </c>
      <c r="D23" s="54">
        <v>51.47</v>
      </c>
      <c r="E23" s="54">
        <v>5.7</v>
      </c>
      <c r="F23" s="54">
        <v>2.13</v>
      </c>
      <c r="G23" s="54">
        <v>76.349999999999994</v>
      </c>
      <c r="H23" s="54">
        <v>29.36</v>
      </c>
      <c r="I23" s="55" t="s">
        <v>15</v>
      </c>
      <c r="J23" s="54">
        <v>2.4</v>
      </c>
      <c r="K23" s="54">
        <v>330.78</v>
      </c>
      <c r="L23" s="54">
        <v>27.32</v>
      </c>
      <c r="M23" s="54">
        <v>32.119999999999997</v>
      </c>
      <c r="N23" s="54">
        <v>418.5</v>
      </c>
      <c r="O23" s="54">
        <v>0</v>
      </c>
      <c r="P23" s="54">
        <v>0.87</v>
      </c>
      <c r="Q23" s="54">
        <v>8.2100000000000009</v>
      </c>
      <c r="R23" s="43"/>
      <c r="S23" s="43"/>
      <c r="T23" s="43"/>
      <c r="U23" s="43"/>
    </row>
    <row r="24" spans="1:21" s="11" customFormat="1" x14ac:dyDescent="0.25">
      <c r="A24" s="53" t="s">
        <v>555</v>
      </c>
      <c r="B24" s="54">
        <v>9.8000000000000007</v>
      </c>
      <c r="C24" s="54">
        <v>80.98</v>
      </c>
      <c r="D24" s="54">
        <v>48.59</v>
      </c>
      <c r="E24" s="54">
        <v>6.56</v>
      </c>
      <c r="F24" s="54">
        <v>2.13</v>
      </c>
      <c r="G24" s="54">
        <v>88.18</v>
      </c>
      <c r="H24" s="54">
        <v>29.45</v>
      </c>
      <c r="I24" s="55" t="s">
        <v>15</v>
      </c>
      <c r="J24" s="54">
        <v>2.73</v>
      </c>
      <c r="K24" s="54">
        <v>341.26</v>
      </c>
      <c r="L24" s="54">
        <v>26.39</v>
      </c>
      <c r="M24" s="54">
        <v>31.13</v>
      </c>
      <c r="N24" s="54">
        <v>194.7</v>
      </c>
      <c r="O24" s="54">
        <v>0</v>
      </c>
      <c r="P24" s="54">
        <v>0.87</v>
      </c>
      <c r="Q24" s="54">
        <v>8.2100000000000009</v>
      </c>
      <c r="R24" s="43"/>
      <c r="S24" s="43"/>
      <c r="T24" s="43"/>
      <c r="U24" s="43"/>
    </row>
    <row r="25" spans="1:21" s="11" customFormat="1" x14ac:dyDescent="0.25">
      <c r="A25" s="53" t="s">
        <v>556</v>
      </c>
      <c r="B25" s="54">
        <v>7.18</v>
      </c>
      <c r="C25" s="54">
        <v>80.209999999999994</v>
      </c>
      <c r="D25" s="54">
        <v>45.73</v>
      </c>
      <c r="E25" s="54">
        <v>6.87</v>
      </c>
      <c r="F25" s="54">
        <v>2.13</v>
      </c>
      <c r="G25" s="54">
        <v>89.35</v>
      </c>
      <c r="H25" s="54">
        <v>30.43</v>
      </c>
      <c r="I25" s="55" t="s">
        <v>15</v>
      </c>
      <c r="J25" s="54">
        <v>2.57</v>
      </c>
      <c r="K25" s="54">
        <v>346.36</v>
      </c>
      <c r="L25" s="54">
        <v>25.03</v>
      </c>
      <c r="M25" s="54">
        <v>33.549999999999997</v>
      </c>
      <c r="N25" s="54">
        <v>122.5</v>
      </c>
      <c r="O25" s="54">
        <v>0</v>
      </c>
      <c r="P25" s="54">
        <v>0.94</v>
      </c>
      <c r="Q25" s="54">
        <v>8.2100000000000009</v>
      </c>
      <c r="R25" s="43"/>
      <c r="S25" s="43"/>
      <c r="T25" s="43"/>
      <c r="U25" s="43"/>
    </row>
    <row r="26" spans="1:21" s="11" customFormat="1" x14ac:dyDescent="0.25">
      <c r="A26" s="53" t="s">
        <v>557</v>
      </c>
      <c r="B26" s="54">
        <v>14.36</v>
      </c>
      <c r="C26" s="54">
        <v>77.510000000000005</v>
      </c>
      <c r="D26" s="54">
        <v>50.59</v>
      </c>
      <c r="E26" s="54">
        <v>6.88</v>
      </c>
      <c r="F26" s="54">
        <v>2.13</v>
      </c>
      <c r="G26" s="54">
        <v>99.85</v>
      </c>
      <c r="H26" s="54">
        <v>31.59</v>
      </c>
      <c r="I26" s="55" t="s">
        <v>15</v>
      </c>
      <c r="J26" s="54">
        <v>1.84</v>
      </c>
      <c r="K26" s="54">
        <v>349.85</v>
      </c>
      <c r="L26" s="54">
        <v>23.22</v>
      </c>
      <c r="M26" s="54">
        <v>48.11</v>
      </c>
      <c r="N26" s="54">
        <v>93.6</v>
      </c>
      <c r="O26" s="54">
        <v>0</v>
      </c>
      <c r="P26" s="54">
        <v>1.4</v>
      </c>
      <c r="Q26" s="54">
        <v>8.2100000000000009</v>
      </c>
      <c r="R26" s="43"/>
      <c r="S26" s="43"/>
      <c r="T26" s="43"/>
      <c r="U26" s="43"/>
    </row>
    <row r="27" spans="1:21" s="11" customFormat="1" x14ac:dyDescent="0.25">
      <c r="A27" s="53" t="s">
        <v>558</v>
      </c>
      <c r="B27" s="54">
        <v>23.09</v>
      </c>
      <c r="C27" s="54">
        <v>79.790000000000006</v>
      </c>
      <c r="D27" s="54">
        <v>58.82</v>
      </c>
      <c r="E27" s="54">
        <v>7.24</v>
      </c>
      <c r="F27" s="54">
        <v>2.13</v>
      </c>
      <c r="G27" s="54">
        <v>111.63</v>
      </c>
      <c r="H27" s="54">
        <v>33.26</v>
      </c>
      <c r="I27" s="55" t="s">
        <v>15</v>
      </c>
      <c r="J27" s="54">
        <v>1.75</v>
      </c>
      <c r="K27" s="54">
        <v>226.7</v>
      </c>
      <c r="L27" s="54">
        <v>19.73</v>
      </c>
      <c r="M27" s="54">
        <v>51.34</v>
      </c>
      <c r="N27" s="54">
        <v>76.599999999999994</v>
      </c>
      <c r="O27" s="54">
        <v>0</v>
      </c>
      <c r="P27" s="54">
        <v>1.4</v>
      </c>
      <c r="Q27" s="54">
        <v>8.2100000000000009</v>
      </c>
      <c r="R27" s="43"/>
      <c r="S27" s="43"/>
      <c r="T27" s="43"/>
      <c r="U27" s="43"/>
    </row>
    <row r="28" spans="1:21" s="11" customFormat="1" x14ac:dyDescent="0.25">
      <c r="A28" s="53" t="s">
        <v>559</v>
      </c>
      <c r="B28" s="54">
        <v>49.61</v>
      </c>
      <c r="C28" s="54">
        <v>81.319999999999993</v>
      </c>
      <c r="D28" s="54">
        <v>80.89</v>
      </c>
      <c r="E28" s="54">
        <v>8.14</v>
      </c>
      <c r="F28" s="54">
        <v>2.13</v>
      </c>
      <c r="G28" s="54">
        <v>118.13</v>
      </c>
      <c r="H28" s="54">
        <v>34.93</v>
      </c>
      <c r="I28" s="55" t="s">
        <v>15</v>
      </c>
      <c r="J28" s="54">
        <v>1.62</v>
      </c>
      <c r="K28" s="54">
        <v>357.84</v>
      </c>
      <c r="L28" s="54">
        <v>18.190000000000001</v>
      </c>
      <c r="M28" s="54">
        <v>64.47</v>
      </c>
      <c r="N28" s="54">
        <v>76.599999999999994</v>
      </c>
      <c r="O28" s="54">
        <v>0</v>
      </c>
      <c r="P28" s="54">
        <v>1.6</v>
      </c>
      <c r="Q28" s="54">
        <v>8.2100000000000009</v>
      </c>
      <c r="R28" s="43"/>
      <c r="S28" s="43"/>
      <c r="T28" s="43"/>
      <c r="U28" s="43"/>
    </row>
    <row r="29" spans="1:21" s="11" customFormat="1" x14ac:dyDescent="0.25">
      <c r="A29" s="53" t="s">
        <v>560</v>
      </c>
      <c r="B29" s="54">
        <v>70.5</v>
      </c>
      <c r="C29" s="54">
        <v>81.069999999999993</v>
      </c>
      <c r="D29" s="54">
        <v>95.59</v>
      </c>
      <c r="E29" s="54">
        <v>8.56</v>
      </c>
      <c r="F29" s="54">
        <v>2.13</v>
      </c>
      <c r="G29" s="54">
        <v>131.30000000000001</v>
      </c>
      <c r="H29" s="54">
        <v>35.99</v>
      </c>
      <c r="I29" s="55" t="s">
        <v>15</v>
      </c>
      <c r="J29" s="54">
        <v>1.78</v>
      </c>
      <c r="K29" s="54">
        <v>327.32</v>
      </c>
      <c r="L29" s="54">
        <v>17.84</v>
      </c>
      <c r="M29" s="54">
        <v>76.84</v>
      </c>
      <c r="N29" s="54">
        <v>76.7</v>
      </c>
      <c r="O29" s="54">
        <v>0</v>
      </c>
      <c r="P29" s="54">
        <v>2.0299999999999998</v>
      </c>
      <c r="Q29" s="54">
        <v>8.9700000000000006</v>
      </c>
      <c r="R29" s="43"/>
      <c r="S29" s="43"/>
      <c r="T29" s="43"/>
      <c r="U29" s="43"/>
    </row>
    <row r="30" spans="1:21" s="11" customFormat="1" x14ac:dyDescent="0.25">
      <c r="A30" s="53" t="s">
        <v>561</v>
      </c>
      <c r="B30" s="54">
        <v>95.34</v>
      </c>
      <c r="C30" s="54">
        <v>77.09</v>
      </c>
      <c r="D30" s="54">
        <v>114.14</v>
      </c>
      <c r="E30" s="54">
        <v>9.2200000000000006</v>
      </c>
      <c r="F30" s="54">
        <v>2.13</v>
      </c>
      <c r="G30" s="54">
        <v>149.58000000000001</v>
      </c>
      <c r="H30" s="54">
        <v>39.56</v>
      </c>
      <c r="I30" s="55" t="s">
        <v>15</v>
      </c>
      <c r="J30" s="54">
        <v>1.73</v>
      </c>
      <c r="K30" s="54">
        <v>293.04000000000002</v>
      </c>
      <c r="L30" s="54">
        <v>15.44</v>
      </c>
      <c r="M30" s="54">
        <v>77.3</v>
      </c>
      <c r="N30" s="54">
        <v>76.400000000000006</v>
      </c>
      <c r="O30" s="54">
        <v>0</v>
      </c>
      <c r="P30" s="54">
        <v>2.29</v>
      </c>
      <c r="Q30" s="54">
        <v>9.6999999999999993</v>
      </c>
      <c r="R30" s="43"/>
      <c r="S30" s="43"/>
      <c r="T30" s="43"/>
      <c r="U30" s="43"/>
    </row>
    <row r="31" spans="1:21" s="11" customFormat="1" x14ac:dyDescent="0.25">
      <c r="A31" s="53" t="s">
        <v>562</v>
      </c>
      <c r="B31" s="54">
        <v>129.35</v>
      </c>
      <c r="C31" s="54">
        <v>73.64</v>
      </c>
      <c r="D31" s="54">
        <v>140.16999999999999</v>
      </c>
      <c r="E31" s="54">
        <v>9.98</v>
      </c>
      <c r="F31" s="54">
        <v>2.13</v>
      </c>
      <c r="G31" s="54">
        <v>199.37</v>
      </c>
      <c r="H31" s="54">
        <v>45.78</v>
      </c>
      <c r="I31" s="55" t="s">
        <v>15</v>
      </c>
      <c r="J31" s="54">
        <v>1.77</v>
      </c>
      <c r="K31" s="54">
        <v>307.18</v>
      </c>
      <c r="L31" s="54">
        <v>14.64</v>
      </c>
      <c r="M31" s="54">
        <v>89.55</v>
      </c>
      <c r="N31" s="54">
        <v>76.400000000000006</v>
      </c>
      <c r="O31" s="54">
        <v>0</v>
      </c>
      <c r="P31" s="54">
        <v>2.42</v>
      </c>
      <c r="Q31" s="54">
        <v>9.7799999999999994</v>
      </c>
      <c r="R31" s="43"/>
      <c r="S31" s="43"/>
      <c r="T31" s="43"/>
      <c r="U31" s="43"/>
    </row>
    <row r="32" spans="1:21" s="11" customFormat="1" x14ac:dyDescent="0.25">
      <c r="A32" s="53" t="s">
        <v>563</v>
      </c>
      <c r="B32" s="54">
        <v>170.25</v>
      </c>
      <c r="C32" s="54">
        <v>72.88</v>
      </c>
      <c r="D32" s="54">
        <v>173.21</v>
      </c>
      <c r="E32" s="54">
        <v>10.84</v>
      </c>
      <c r="F32" s="54">
        <v>2.13</v>
      </c>
      <c r="G32" s="54">
        <v>246.81</v>
      </c>
      <c r="H32" s="54">
        <v>49.34</v>
      </c>
      <c r="I32" s="55" t="s">
        <v>15</v>
      </c>
      <c r="J32" s="54">
        <v>1.56</v>
      </c>
      <c r="K32" s="54">
        <v>309.66000000000003</v>
      </c>
      <c r="L32" s="54">
        <v>13.65</v>
      </c>
      <c r="M32" s="54">
        <v>91.04</v>
      </c>
      <c r="N32" s="54">
        <v>76.5</v>
      </c>
      <c r="O32" s="54">
        <v>0</v>
      </c>
      <c r="P32" s="54">
        <v>2.58</v>
      </c>
      <c r="Q32" s="54">
        <v>10.07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7.18</v>
      </c>
      <c r="C34" s="28">
        <f t="shared" si="0"/>
        <v>55.73</v>
      </c>
      <c r="D34" s="28">
        <f t="shared" si="0"/>
        <v>45.73</v>
      </c>
      <c r="E34" s="28">
        <f t="shared" si="0"/>
        <v>4.59</v>
      </c>
      <c r="F34" s="28">
        <f t="shared" si="0"/>
        <v>2.13</v>
      </c>
      <c r="G34" s="28">
        <f t="shared" si="0"/>
        <v>54.44</v>
      </c>
      <c r="H34" s="28">
        <f t="shared" si="0"/>
        <v>29.26</v>
      </c>
      <c r="I34" s="28">
        <f t="shared" si="0"/>
        <v>0</v>
      </c>
      <c r="J34" s="28">
        <f t="shared" si="0"/>
        <v>1.44</v>
      </c>
      <c r="K34" s="28">
        <f t="shared" si="0"/>
        <v>226.7</v>
      </c>
      <c r="L34" s="28">
        <f t="shared" si="0"/>
        <v>9.9700000000000006</v>
      </c>
      <c r="M34" s="28">
        <f t="shared" si="0"/>
        <v>31.13</v>
      </c>
      <c r="N34" s="28">
        <f t="shared" si="0"/>
        <v>76</v>
      </c>
      <c r="O34" s="28">
        <f t="shared" si="0"/>
        <v>0</v>
      </c>
      <c r="P34" s="28">
        <f t="shared" si="0"/>
        <v>0.87</v>
      </c>
      <c r="Q34" s="28">
        <f t="shared" si="0"/>
        <v>8.2100000000000009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170.52</v>
      </c>
      <c r="C35" s="29">
        <f t="shared" si="1"/>
        <v>81.319999999999993</v>
      </c>
      <c r="D35" s="29">
        <f t="shared" si="1"/>
        <v>173.21</v>
      </c>
      <c r="E35" s="29">
        <f t="shared" si="1"/>
        <v>10.84</v>
      </c>
      <c r="F35" s="29">
        <f t="shared" si="1"/>
        <v>2.13</v>
      </c>
      <c r="G35" s="29">
        <f t="shared" si="1"/>
        <v>246.81</v>
      </c>
      <c r="H35" s="29">
        <f t="shared" si="1"/>
        <v>49.34</v>
      </c>
      <c r="I35" s="29">
        <f t="shared" si="1"/>
        <v>0</v>
      </c>
      <c r="J35" s="29">
        <f t="shared" si="1"/>
        <v>2.99</v>
      </c>
      <c r="K35" s="29">
        <f t="shared" si="1"/>
        <v>357.9</v>
      </c>
      <c r="L35" s="29">
        <f t="shared" si="1"/>
        <v>28.12</v>
      </c>
      <c r="M35" s="29">
        <f t="shared" si="1"/>
        <v>100.22</v>
      </c>
      <c r="N35" s="29">
        <f t="shared" si="1"/>
        <v>685.1</v>
      </c>
      <c r="O35" s="29">
        <f t="shared" si="1"/>
        <v>0</v>
      </c>
      <c r="P35" s="29">
        <f t="shared" si="1"/>
        <v>2.58</v>
      </c>
      <c r="Q35" s="29">
        <f t="shared" si="1"/>
        <v>10.19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87.243333333333325</v>
      </c>
      <c r="C36" s="28">
        <f t="shared" si="2"/>
        <v>71.002499999999998</v>
      </c>
      <c r="D36" s="28">
        <f t="shared" si="2"/>
        <v>104.98916666666666</v>
      </c>
      <c r="E36" s="28">
        <f t="shared" si="2"/>
        <v>7.3820833333333331</v>
      </c>
      <c r="F36" s="28">
        <f t="shared" si="2"/>
        <v>2.1300000000000003</v>
      </c>
      <c r="G36" s="28">
        <f t="shared" si="2"/>
        <v>115.24541666666666</v>
      </c>
      <c r="H36" s="28">
        <f t="shared" si="2"/>
        <v>36.043750000000003</v>
      </c>
      <c r="I36" s="28" t="e">
        <f t="shared" si="2"/>
        <v>#DIV/0!</v>
      </c>
      <c r="J36" s="28">
        <f t="shared" si="2"/>
        <v>1.9141666666666666</v>
      </c>
      <c r="K36" s="28">
        <f t="shared" si="2"/>
        <v>326.57791666666662</v>
      </c>
      <c r="L36" s="28">
        <f t="shared" si="2"/>
        <v>18.5275</v>
      </c>
      <c r="M36" s="28">
        <f t="shared" si="2"/>
        <v>66.553749999999994</v>
      </c>
      <c r="N36" s="28">
        <f t="shared" si="2"/>
        <v>241.35416666666666</v>
      </c>
      <c r="O36" s="28">
        <f t="shared" si="2"/>
        <v>0</v>
      </c>
      <c r="P36" s="28">
        <f t="shared" si="2"/>
        <v>1.4333333333333333</v>
      </c>
      <c r="Q36" s="28">
        <f t="shared" si="2"/>
        <v>9.2583333333333346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52.865006397893083</v>
      </c>
      <c r="C37" s="28">
        <f t="shared" ref="C37:Q37" si="3">STDEV(C9:C32)</f>
        <v>8.7864417539554545</v>
      </c>
      <c r="D37" s="28">
        <f t="shared" si="3"/>
        <v>39.440507748370528</v>
      </c>
      <c r="E37" s="28">
        <f t="shared" si="3"/>
        <v>1.4908444620901702</v>
      </c>
      <c r="F37" s="28">
        <f t="shared" si="3"/>
        <v>4.5364060814922986E-16</v>
      </c>
      <c r="G37" s="28">
        <f t="shared" si="3"/>
        <v>43.353983015371284</v>
      </c>
      <c r="H37" s="28">
        <f t="shared" si="3"/>
        <v>5.6349868349832697</v>
      </c>
      <c r="I37" s="28" t="e">
        <f t="shared" si="3"/>
        <v>#DIV/0!</v>
      </c>
      <c r="J37" s="28">
        <f t="shared" si="3"/>
        <v>0.39136235479875164</v>
      </c>
      <c r="K37" s="28">
        <f t="shared" si="3"/>
        <v>30.218088590771426</v>
      </c>
      <c r="L37" s="28">
        <f t="shared" si="3"/>
        <v>6.6905301343212589</v>
      </c>
      <c r="M37" s="28">
        <f t="shared" si="3"/>
        <v>25.470746359474767</v>
      </c>
      <c r="N37" s="28">
        <f t="shared" si="3"/>
        <v>239.2591899632782</v>
      </c>
      <c r="O37" s="28">
        <f t="shared" si="3"/>
        <v>0</v>
      </c>
      <c r="P37" s="28">
        <f t="shared" si="3"/>
        <v>0.49697928105415207</v>
      </c>
      <c r="Q37" s="28">
        <f t="shared" si="3"/>
        <v>0.8083889865795969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0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&lt;90%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LESS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I9" sqref="I9:I32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22/01/2025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8"/>
      <c r="B8" s="59" t="s">
        <v>22</v>
      </c>
      <c r="C8" s="59" t="s">
        <v>22</v>
      </c>
      <c r="D8" s="29" t="s">
        <v>42</v>
      </c>
      <c r="E8" s="59" t="s">
        <v>22</v>
      </c>
      <c r="F8" s="59" t="s">
        <v>22</v>
      </c>
      <c r="G8" s="59" t="s">
        <v>23</v>
      </c>
      <c r="H8" s="59" t="s">
        <v>22</v>
      </c>
      <c r="I8" s="59" t="s">
        <v>22</v>
      </c>
      <c r="J8" s="59" t="s">
        <v>24</v>
      </c>
      <c r="K8" s="59" t="s">
        <v>25</v>
      </c>
      <c r="L8" s="58" t="s">
        <v>27</v>
      </c>
      <c r="M8" s="59" t="s">
        <v>26</v>
      </c>
      <c r="N8" s="59" t="s">
        <v>28</v>
      </c>
      <c r="O8" s="58" t="s">
        <v>29</v>
      </c>
      <c r="P8" s="59" t="s">
        <v>22</v>
      </c>
      <c r="Q8" s="59" t="s">
        <v>22</v>
      </c>
      <c r="R8" s="27"/>
      <c r="S8" s="29"/>
      <c r="T8" s="27"/>
      <c r="U8" s="27"/>
    </row>
    <row r="9" spans="1:21" s="11" customFormat="1" x14ac:dyDescent="0.25">
      <c r="A9" s="53" t="s">
        <v>564</v>
      </c>
      <c r="B9" s="54">
        <v>182.34</v>
      </c>
      <c r="C9" s="54">
        <v>73.22</v>
      </c>
      <c r="D9" s="54">
        <v>182.16</v>
      </c>
      <c r="E9" s="54">
        <v>8.84</v>
      </c>
      <c r="F9" s="54">
        <v>2.13</v>
      </c>
      <c r="G9" s="54">
        <v>191.33</v>
      </c>
      <c r="H9" s="54">
        <v>50.97</v>
      </c>
      <c r="I9" s="55" t="s">
        <v>15</v>
      </c>
      <c r="J9" s="54">
        <v>1.8</v>
      </c>
      <c r="K9" s="54">
        <v>288.16000000000003</v>
      </c>
      <c r="L9" s="54">
        <v>13.01</v>
      </c>
      <c r="M9" s="54">
        <v>93.83</v>
      </c>
      <c r="N9" s="54">
        <v>76.5</v>
      </c>
      <c r="O9" s="54">
        <v>0</v>
      </c>
      <c r="P9" s="54">
        <v>2.59</v>
      </c>
      <c r="Q9" s="54">
        <v>10.23</v>
      </c>
      <c r="R9" s="43"/>
      <c r="S9" s="43"/>
      <c r="T9" s="43"/>
      <c r="U9" s="43"/>
    </row>
    <row r="10" spans="1:21" s="11" customFormat="1" x14ac:dyDescent="0.25">
      <c r="A10" s="53" t="s">
        <v>565</v>
      </c>
      <c r="B10" s="54">
        <v>179.02</v>
      </c>
      <c r="C10" s="54">
        <v>66.239999999999995</v>
      </c>
      <c r="D10" s="54">
        <v>176.79</v>
      </c>
      <c r="E10" s="54">
        <v>8.42</v>
      </c>
      <c r="F10" s="54">
        <v>2.13</v>
      </c>
      <c r="G10" s="54">
        <v>152.81</v>
      </c>
      <c r="H10" s="54">
        <v>49.19</v>
      </c>
      <c r="I10" s="55" t="s">
        <v>15</v>
      </c>
      <c r="J10" s="54">
        <v>1.75</v>
      </c>
      <c r="K10" s="54">
        <v>313.17</v>
      </c>
      <c r="L10" s="54">
        <v>12.63</v>
      </c>
      <c r="M10" s="54">
        <v>98.28</v>
      </c>
      <c r="N10" s="54">
        <v>76.5</v>
      </c>
      <c r="O10" s="54">
        <v>0</v>
      </c>
      <c r="P10" s="54">
        <v>2.21</v>
      </c>
      <c r="Q10" s="54">
        <v>10.210000000000001</v>
      </c>
      <c r="R10" s="43"/>
      <c r="S10" s="43"/>
      <c r="T10" s="43"/>
      <c r="U10" s="43"/>
    </row>
    <row r="11" spans="1:21" s="11" customFormat="1" x14ac:dyDescent="0.25">
      <c r="A11" s="53" t="s">
        <v>566</v>
      </c>
      <c r="B11" s="54">
        <v>171.49</v>
      </c>
      <c r="C11" s="54">
        <v>63.5</v>
      </c>
      <c r="D11" s="54">
        <v>169.32</v>
      </c>
      <c r="E11" s="54">
        <v>8.65</v>
      </c>
      <c r="F11" s="54">
        <v>2.13</v>
      </c>
      <c r="G11" s="54">
        <v>131.05000000000001</v>
      </c>
      <c r="H11" s="54">
        <v>47.93</v>
      </c>
      <c r="I11" s="55" t="s">
        <v>15</v>
      </c>
      <c r="J11" s="54">
        <v>1.2</v>
      </c>
      <c r="K11" s="54">
        <v>313.14999999999998</v>
      </c>
      <c r="L11" s="54">
        <v>12.46</v>
      </c>
      <c r="M11" s="54">
        <v>100.71</v>
      </c>
      <c r="N11" s="54">
        <v>76.400000000000006</v>
      </c>
      <c r="O11" s="54">
        <v>0</v>
      </c>
      <c r="P11" s="54">
        <v>2.13</v>
      </c>
      <c r="Q11" s="54">
        <v>10.16</v>
      </c>
      <c r="R11" s="43"/>
      <c r="S11" s="43"/>
      <c r="T11" s="43"/>
      <c r="U11" s="43"/>
    </row>
    <row r="12" spans="1:21" s="11" customFormat="1" x14ac:dyDescent="0.25">
      <c r="A12" s="53" t="s">
        <v>567</v>
      </c>
      <c r="B12" s="54">
        <v>159.5</v>
      </c>
      <c r="C12" s="54">
        <v>61.67</v>
      </c>
      <c r="D12" s="54">
        <v>158.75</v>
      </c>
      <c r="E12" s="54">
        <v>8.99</v>
      </c>
      <c r="F12" s="54">
        <v>2.13</v>
      </c>
      <c r="G12" s="54">
        <v>146.71</v>
      </c>
      <c r="H12" s="54">
        <v>51.2</v>
      </c>
      <c r="I12" s="55" t="s">
        <v>15</v>
      </c>
      <c r="J12" s="54">
        <v>1.77</v>
      </c>
      <c r="K12" s="54">
        <v>298.3</v>
      </c>
      <c r="L12" s="54">
        <v>12.21</v>
      </c>
      <c r="M12" s="54">
        <v>101.42</v>
      </c>
      <c r="N12" s="54">
        <v>76.599999999999994</v>
      </c>
      <c r="O12" s="54">
        <v>0</v>
      </c>
      <c r="P12" s="54">
        <v>2.1</v>
      </c>
      <c r="Q12" s="54">
        <v>10.1</v>
      </c>
      <c r="R12" s="43"/>
      <c r="S12" s="43"/>
      <c r="T12" s="43"/>
      <c r="U12" s="43"/>
    </row>
    <row r="13" spans="1:21" s="11" customFormat="1" x14ac:dyDescent="0.25">
      <c r="A13" s="53" t="s">
        <v>568</v>
      </c>
      <c r="B13" s="54">
        <v>150.46</v>
      </c>
      <c r="C13" s="54">
        <v>58.67</v>
      </c>
      <c r="D13" s="54">
        <v>149.93</v>
      </c>
      <c r="E13" s="54">
        <v>8.9700000000000006</v>
      </c>
      <c r="F13" s="54">
        <v>2.13</v>
      </c>
      <c r="G13" s="54">
        <v>168.98</v>
      </c>
      <c r="H13" s="54">
        <v>53.58</v>
      </c>
      <c r="I13" s="55" t="s">
        <v>15</v>
      </c>
      <c r="J13" s="54">
        <v>1.69</v>
      </c>
      <c r="K13" s="54">
        <v>331.39</v>
      </c>
      <c r="L13" s="54">
        <v>11.36</v>
      </c>
      <c r="M13" s="54">
        <v>103.19</v>
      </c>
      <c r="N13" s="54">
        <v>76.7</v>
      </c>
      <c r="O13" s="54">
        <v>0</v>
      </c>
      <c r="P13" s="54">
        <v>2.06</v>
      </c>
      <c r="Q13" s="54">
        <v>10.1</v>
      </c>
      <c r="R13" s="43"/>
      <c r="S13" s="43"/>
      <c r="T13" s="43"/>
      <c r="U13" s="43"/>
    </row>
    <row r="14" spans="1:21" s="11" customFormat="1" x14ac:dyDescent="0.25">
      <c r="A14" s="53" t="s">
        <v>569</v>
      </c>
      <c r="B14" s="54">
        <v>140.44999999999999</v>
      </c>
      <c r="C14" s="54">
        <v>56.67</v>
      </c>
      <c r="D14" s="54">
        <v>140.66</v>
      </c>
      <c r="E14" s="54">
        <v>8.09</v>
      </c>
      <c r="F14" s="54">
        <v>2.13</v>
      </c>
      <c r="G14" s="54">
        <v>128.16999999999999</v>
      </c>
      <c r="H14" s="54">
        <v>47.07</v>
      </c>
      <c r="I14" s="55" t="s">
        <v>15</v>
      </c>
      <c r="J14" s="54">
        <v>1.79</v>
      </c>
      <c r="K14" s="54">
        <v>305.73</v>
      </c>
      <c r="L14" s="54">
        <v>10.75</v>
      </c>
      <c r="M14" s="54">
        <v>103.63</v>
      </c>
      <c r="N14" s="54">
        <v>76.7</v>
      </c>
      <c r="O14" s="54">
        <v>0</v>
      </c>
      <c r="P14" s="54">
        <v>1.86</v>
      </c>
      <c r="Q14" s="54">
        <v>10</v>
      </c>
      <c r="R14" s="43"/>
      <c r="S14" s="43"/>
      <c r="T14" s="43"/>
      <c r="U14" s="43"/>
    </row>
    <row r="15" spans="1:21" s="11" customFormat="1" x14ac:dyDescent="0.25">
      <c r="A15" s="53" t="s">
        <v>570</v>
      </c>
      <c r="B15" s="54">
        <v>151.96</v>
      </c>
      <c r="C15" s="54">
        <v>56.62</v>
      </c>
      <c r="D15" s="54">
        <v>148.86000000000001</v>
      </c>
      <c r="E15" s="54">
        <v>8.4600000000000009</v>
      </c>
      <c r="F15" s="54">
        <v>2.13</v>
      </c>
      <c r="G15" s="54">
        <v>144.01</v>
      </c>
      <c r="H15" s="54">
        <v>44.56</v>
      </c>
      <c r="I15" s="55" t="s">
        <v>15</v>
      </c>
      <c r="J15" s="54">
        <v>1.81</v>
      </c>
      <c r="K15" s="54">
        <v>351.2</v>
      </c>
      <c r="L15" s="54">
        <v>10.66</v>
      </c>
      <c r="M15" s="54">
        <v>103.62</v>
      </c>
      <c r="N15" s="54">
        <v>87.2</v>
      </c>
      <c r="O15" s="54">
        <v>0</v>
      </c>
      <c r="P15" s="54">
        <v>1.7</v>
      </c>
      <c r="Q15" s="54">
        <v>9.93</v>
      </c>
      <c r="R15" s="43"/>
      <c r="S15" s="43"/>
      <c r="T15" s="43"/>
      <c r="U15" s="43"/>
    </row>
    <row r="16" spans="1:21" s="11" customFormat="1" x14ac:dyDescent="0.25">
      <c r="A16" s="53" t="s">
        <v>571</v>
      </c>
      <c r="B16" s="54">
        <v>165.37</v>
      </c>
      <c r="C16" s="54">
        <v>60.66</v>
      </c>
      <c r="D16" s="54">
        <v>162.94</v>
      </c>
      <c r="E16" s="54">
        <v>8.58</v>
      </c>
      <c r="F16" s="54">
        <v>2.13</v>
      </c>
      <c r="G16" s="54">
        <v>155.63</v>
      </c>
      <c r="H16" s="54">
        <v>45.28</v>
      </c>
      <c r="I16" s="55" t="s">
        <v>15</v>
      </c>
      <c r="J16" s="54">
        <v>1.83</v>
      </c>
      <c r="K16" s="54">
        <v>331.46</v>
      </c>
      <c r="L16" s="54">
        <v>13.65</v>
      </c>
      <c r="M16" s="54">
        <v>103.02</v>
      </c>
      <c r="N16" s="54">
        <v>212.1</v>
      </c>
      <c r="O16" s="54">
        <v>0</v>
      </c>
      <c r="P16" s="54">
        <v>1.76</v>
      </c>
      <c r="Q16" s="54">
        <v>10.039999999999999</v>
      </c>
      <c r="R16" s="43"/>
      <c r="S16" s="43"/>
      <c r="T16" s="43"/>
      <c r="U16" s="43"/>
    </row>
    <row r="17" spans="1:21" s="11" customFormat="1" x14ac:dyDescent="0.25">
      <c r="A17" s="53" t="s">
        <v>572</v>
      </c>
      <c r="B17" s="54">
        <v>166.18</v>
      </c>
      <c r="C17" s="54">
        <v>71.22</v>
      </c>
      <c r="D17" s="54">
        <v>165.77</v>
      </c>
      <c r="E17" s="54">
        <v>9.16</v>
      </c>
      <c r="F17" s="54">
        <v>2.13</v>
      </c>
      <c r="G17" s="54">
        <v>172.25</v>
      </c>
      <c r="H17" s="54">
        <v>49.33</v>
      </c>
      <c r="I17" s="55" t="s">
        <v>15</v>
      </c>
      <c r="J17" s="54">
        <v>2.81</v>
      </c>
      <c r="K17" s="54">
        <v>326.08</v>
      </c>
      <c r="L17" s="54">
        <v>20.6</v>
      </c>
      <c r="M17" s="54">
        <v>71.989999999999995</v>
      </c>
      <c r="N17" s="54">
        <v>459.2</v>
      </c>
      <c r="O17" s="54">
        <v>0</v>
      </c>
      <c r="P17" s="54">
        <v>1.8</v>
      </c>
      <c r="Q17" s="54">
        <v>10.130000000000001</v>
      </c>
      <c r="R17" s="43"/>
      <c r="S17" s="43"/>
      <c r="T17" s="43"/>
      <c r="U17" s="43"/>
    </row>
    <row r="18" spans="1:21" s="11" customFormat="1" x14ac:dyDescent="0.25">
      <c r="A18" s="53" t="s">
        <v>573</v>
      </c>
      <c r="B18" s="54">
        <v>152.09</v>
      </c>
      <c r="C18" s="54">
        <v>73.260000000000005</v>
      </c>
      <c r="D18" s="54">
        <v>157.69999999999999</v>
      </c>
      <c r="E18" s="54">
        <v>8.27</v>
      </c>
      <c r="F18" s="54">
        <v>2.13</v>
      </c>
      <c r="G18" s="54">
        <v>182.76</v>
      </c>
      <c r="H18" s="54">
        <v>51.79</v>
      </c>
      <c r="I18" s="55" t="s">
        <v>15</v>
      </c>
      <c r="J18" s="54">
        <v>2.89</v>
      </c>
      <c r="K18" s="54">
        <v>343.42</v>
      </c>
      <c r="L18" s="54">
        <v>25.63</v>
      </c>
      <c r="M18" s="54">
        <v>51.5</v>
      </c>
      <c r="N18" s="54">
        <v>581.6</v>
      </c>
      <c r="O18" s="54">
        <v>0</v>
      </c>
      <c r="P18" s="54">
        <v>1.75</v>
      </c>
      <c r="Q18" s="54">
        <v>10.11</v>
      </c>
      <c r="R18" s="43"/>
      <c r="S18" s="43"/>
      <c r="T18" s="43"/>
      <c r="U18" s="43"/>
    </row>
    <row r="19" spans="1:21" s="11" customFormat="1" x14ac:dyDescent="0.25">
      <c r="A19" s="53" t="s">
        <v>574</v>
      </c>
      <c r="B19" s="54">
        <v>124.44</v>
      </c>
      <c r="C19" s="54">
        <v>125.22</v>
      </c>
      <c r="D19" s="54">
        <v>136.88</v>
      </c>
      <c r="E19" s="54">
        <v>18.63</v>
      </c>
      <c r="F19" s="54">
        <v>41.59</v>
      </c>
      <c r="G19" s="54">
        <v>117.5</v>
      </c>
      <c r="H19" s="54">
        <v>47.66</v>
      </c>
      <c r="I19" s="55" t="s">
        <v>15</v>
      </c>
      <c r="J19" s="54">
        <v>2.88</v>
      </c>
      <c r="K19" s="54">
        <v>352.32</v>
      </c>
      <c r="L19" s="54">
        <v>27.68</v>
      </c>
      <c r="M19" s="54">
        <v>50</v>
      </c>
      <c r="N19" s="54">
        <v>631.20000000000005</v>
      </c>
      <c r="O19" s="54">
        <v>0</v>
      </c>
      <c r="P19" s="54">
        <v>1.6</v>
      </c>
      <c r="Q19" s="54">
        <v>9.9</v>
      </c>
      <c r="R19" s="43"/>
      <c r="S19" s="43"/>
      <c r="T19" s="43"/>
      <c r="U19" s="43"/>
    </row>
    <row r="20" spans="1:21" s="11" customFormat="1" x14ac:dyDescent="0.25">
      <c r="A20" s="53" t="s">
        <v>575</v>
      </c>
      <c r="B20" s="54">
        <v>2.63</v>
      </c>
      <c r="C20" s="54">
        <v>76.28</v>
      </c>
      <c r="D20" s="54">
        <v>40.57</v>
      </c>
      <c r="E20" s="54">
        <v>25.38</v>
      </c>
      <c r="F20" s="54">
        <v>51.29</v>
      </c>
      <c r="G20" s="54">
        <v>86.62</v>
      </c>
      <c r="H20" s="54">
        <v>39.71</v>
      </c>
      <c r="I20" s="55" t="s">
        <v>15</v>
      </c>
      <c r="J20" s="54">
        <v>1.88</v>
      </c>
      <c r="K20" s="54">
        <v>355.72</v>
      </c>
      <c r="L20" s="54">
        <v>28.29</v>
      </c>
      <c r="M20" s="54">
        <v>36.47</v>
      </c>
      <c r="N20" s="54">
        <v>684.1</v>
      </c>
      <c r="O20" s="54">
        <v>0</v>
      </c>
      <c r="P20" s="54">
        <v>0.56999999999999995</v>
      </c>
      <c r="Q20" s="54">
        <v>8.2100000000000009</v>
      </c>
      <c r="R20" s="43"/>
      <c r="S20" s="43"/>
      <c r="T20" s="43"/>
      <c r="U20" s="43"/>
    </row>
    <row r="21" spans="1:21" s="11" customFormat="1" x14ac:dyDescent="0.25">
      <c r="A21" s="53" t="s">
        <v>576</v>
      </c>
      <c r="B21" s="54">
        <v>3.04</v>
      </c>
      <c r="C21" s="54">
        <v>73.11</v>
      </c>
      <c r="D21" s="54">
        <v>39.15</v>
      </c>
      <c r="E21" s="54">
        <v>10.029999999999999</v>
      </c>
      <c r="F21" s="54">
        <v>8.69</v>
      </c>
      <c r="G21" s="54">
        <v>106.48</v>
      </c>
      <c r="H21" s="54">
        <v>37.11</v>
      </c>
      <c r="I21" s="55" t="s">
        <v>15</v>
      </c>
      <c r="J21" s="54">
        <v>1.83</v>
      </c>
      <c r="K21" s="54">
        <v>337.27</v>
      </c>
      <c r="L21" s="54">
        <v>29.93</v>
      </c>
      <c r="M21" s="54">
        <v>29.23</v>
      </c>
      <c r="N21" s="54">
        <v>695.7</v>
      </c>
      <c r="O21" s="54">
        <v>0</v>
      </c>
      <c r="P21" s="54">
        <v>0.59</v>
      </c>
      <c r="Q21" s="54">
        <v>8.2100000000000009</v>
      </c>
      <c r="R21" s="43"/>
      <c r="S21" s="43"/>
      <c r="T21" s="43"/>
      <c r="U21" s="43"/>
    </row>
    <row r="22" spans="1:21" s="11" customFormat="1" x14ac:dyDescent="0.25">
      <c r="A22" s="53" t="s">
        <v>577</v>
      </c>
      <c r="B22" s="54">
        <v>3.18</v>
      </c>
      <c r="C22" s="54">
        <v>69.86</v>
      </c>
      <c r="D22" s="54">
        <v>37.340000000000003</v>
      </c>
      <c r="E22" s="54">
        <v>7.57</v>
      </c>
      <c r="F22" s="54">
        <v>4.75</v>
      </c>
      <c r="G22" s="54">
        <v>101.17</v>
      </c>
      <c r="H22" s="54">
        <v>34.4</v>
      </c>
      <c r="I22" s="55" t="s">
        <v>15</v>
      </c>
      <c r="J22" s="54">
        <v>1.67</v>
      </c>
      <c r="K22" s="54">
        <v>336.8</v>
      </c>
      <c r="L22" s="54">
        <v>29.12</v>
      </c>
      <c r="M22" s="54">
        <v>27.09</v>
      </c>
      <c r="N22" s="54">
        <v>619.20000000000005</v>
      </c>
      <c r="O22" s="54">
        <v>0</v>
      </c>
      <c r="P22" s="54">
        <v>0.79</v>
      </c>
      <c r="Q22" s="54">
        <v>8.2100000000000009</v>
      </c>
      <c r="R22" s="43"/>
      <c r="S22" s="43"/>
      <c r="T22" s="43"/>
      <c r="U22" s="43"/>
    </row>
    <row r="23" spans="1:21" s="11" customFormat="1" x14ac:dyDescent="0.25">
      <c r="A23" s="53" t="s">
        <v>578</v>
      </c>
      <c r="B23" s="54">
        <v>4.53</v>
      </c>
      <c r="C23" s="54">
        <v>82.66</v>
      </c>
      <c r="D23" s="54">
        <v>45.45</v>
      </c>
      <c r="E23" s="54">
        <v>9.73</v>
      </c>
      <c r="F23" s="54">
        <v>9.56</v>
      </c>
      <c r="G23" s="54">
        <v>81.77</v>
      </c>
      <c r="H23" s="54">
        <v>29.41</v>
      </c>
      <c r="I23" s="55" t="s">
        <v>15</v>
      </c>
      <c r="J23" s="54">
        <v>3.09</v>
      </c>
      <c r="K23" s="54">
        <v>338.44</v>
      </c>
      <c r="L23" s="54">
        <v>28.74</v>
      </c>
      <c r="M23" s="54">
        <v>28.19</v>
      </c>
      <c r="N23" s="54">
        <v>361</v>
      </c>
      <c r="O23" s="54">
        <v>0</v>
      </c>
      <c r="P23" s="54">
        <v>0.9</v>
      </c>
      <c r="Q23" s="54">
        <v>8.2100000000000009</v>
      </c>
      <c r="R23" s="43"/>
      <c r="S23" s="43"/>
      <c r="T23" s="43"/>
      <c r="U23" s="43"/>
    </row>
    <row r="24" spans="1:21" s="11" customFormat="1" x14ac:dyDescent="0.25">
      <c r="A24" s="53" t="s">
        <v>579</v>
      </c>
      <c r="B24" s="54">
        <v>4.0999999999999996</v>
      </c>
      <c r="C24" s="54">
        <v>85.06</v>
      </c>
      <c r="D24" s="54">
        <v>46.35</v>
      </c>
      <c r="E24" s="54">
        <v>12.01</v>
      </c>
      <c r="F24" s="54">
        <v>26.56</v>
      </c>
      <c r="G24" s="54">
        <v>91.34</v>
      </c>
      <c r="H24" s="54">
        <v>38.25</v>
      </c>
      <c r="I24" s="55" t="s">
        <v>15</v>
      </c>
      <c r="J24" s="54">
        <v>2.85</v>
      </c>
      <c r="K24" s="54">
        <v>329.9</v>
      </c>
      <c r="L24" s="54">
        <v>27.4</v>
      </c>
      <c r="M24" s="54">
        <v>28.02</v>
      </c>
      <c r="N24" s="54">
        <v>206.2</v>
      </c>
      <c r="O24" s="54">
        <v>0</v>
      </c>
      <c r="P24" s="54">
        <v>0.86</v>
      </c>
      <c r="Q24" s="54">
        <v>8.2100000000000009</v>
      </c>
      <c r="R24" s="43"/>
      <c r="S24" s="43"/>
      <c r="T24" s="43"/>
      <c r="U24" s="43"/>
    </row>
    <row r="25" spans="1:21" s="11" customFormat="1" x14ac:dyDescent="0.25">
      <c r="A25" s="53" t="s">
        <v>580</v>
      </c>
      <c r="B25" s="54">
        <v>6.19</v>
      </c>
      <c r="C25" s="54">
        <v>96.41</v>
      </c>
      <c r="D25" s="54">
        <v>53.96</v>
      </c>
      <c r="E25" s="54">
        <v>15.81</v>
      </c>
      <c r="F25" s="54">
        <v>32.630000000000003</v>
      </c>
      <c r="G25" s="54">
        <v>86.99</v>
      </c>
      <c r="H25" s="54">
        <v>30.22</v>
      </c>
      <c r="I25" s="55" t="s">
        <v>15</v>
      </c>
      <c r="J25" s="54">
        <v>2.17</v>
      </c>
      <c r="K25" s="54">
        <v>333.09</v>
      </c>
      <c r="L25" s="54">
        <v>25.83</v>
      </c>
      <c r="M25" s="54">
        <v>31.75</v>
      </c>
      <c r="N25" s="54">
        <v>119.7</v>
      </c>
      <c r="O25" s="54">
        <v>0</v>
      </c>
      <c r="P25" s="54">
        <v>0.88</v>
      </c>
      <c r="Q25" s="54">
        <v>8.2100000000000009</v>
      </c>
      <c r="R25" s="43"/>
      <c r="S25" s="43"/>
      <c r="T25" s="43"/>
      <c r="U25" s="43"/>
    </row>
    <row r="26" spans="1:21" s="11" customFormat="1" x14ac:dyDescent="0.25">
      <c r="A26" s="53" t="s">
        <v>581</v>
      </c>
      <c r="B26" s="54">
        <v>10.49</v>
      </c>
      <c r="C26" s="54">
        <v>102.7</v>
      </c>
      <c r="D26" s="54">
        <v>58.73</v>
      </c>
      <c r="E26" s="54">
        <v>9.4700000000000006</v>
      </c>
      <c r="F26" s="54">
        <v>2.16</v>
      </c>
      <c r="G26" s="54">
        <v>90.06</v>
      </c>
      <c r="H26" s="54">
        <v>28.69</v>
      </c>
      <c r="I26" s="55" t="s">
        <v>15</v>
      </c>
      <c r="J26" s="54">
        <v>1.78</v>
      </c>
      <c r="K26" s="54">
        <v>326.73</v>
      </c>
      <c r="L26" s="54">
        <v>23.84</v>
      </c>
      <c r="M26" s="54">
        <v>45.89</v>
      </c>
      <c r="N26" s="54">
        <v>92.3</v>
      </c>
      <c r="O26" s="54">
        <v>0</v>
      </c>
      <c r="P26" s="54">
        <v>1.1000000000000001</v>
      </c>
      <c r="Q26" s="54">
        <v>8.2100000000000009</v>
      </c>
      <c r="R26" s="43"/>
      <c r="S26" s="43"/>
      <c r="T26" s="43"/>
      <c r="U26" s="43"/>
    </row>
    <row r="27" spans="1:21" s="11" customFormat="1" x14ac:dyDescent="0.25">
      <c r="A27" s="53" t="s">
        <v>582</v>
      </c>
      <c r="B27" s="54">
        <v>32.619999999999997</v>
      </c>
      <c r="C27" s="54">
        <v>94.73</v>
      </c>
      <c r="D27" s="54">
        <v>71.98</v>
      </c>
      <c r="E27" s="54">
        <v>6.99</v>
      </c>
      <c r="F27" s="54">
        <v>2.13</v>
      </c>
      <c r="G27" s="54">
        <v>125.84</v>
      </c>
      <c r="H27" s="54">
        <v>31.99</v>
      </c>
      <c r="I27" s="55" t="s">
        <v>15</v>
      </c>
      <c r="J27" s="54">
        <v>1.53</v>
      </c>
      <c r="K27" s="54">
        <v>320.81</v>
      </c>
      <c r="L27" s="54">
        <v>19.88</v>
      </c>
      <c r="M27" s="54">
        <v>58.34</v>
      </c>
      <c r="N27" s="54">
        <v>75.3</v>
      </c>
      <c r="O27" s="54">
        <v>0</v>
      </c>
      <c r="P27" s="54">
        <v>1.5</v>
      </c>
      <c r="Q27" s="54">
        <v>8.2100000000000009</v>
      </c>
      <c r="R27" s="43"/>
      <c r="S27" s="43"/>
      <c r="T27" s="43"/>
      <c r="U27" s="43"/>
    </row>
    <row r="28" spans="1:21" s="11" customFormat="1" x14ac:dyDescent="0.25">
      <c r="A28" s="53" t="s">
        <v>583</v>
      </c>
      <c r="B28" s="54">
        <v>60.04</v>
      </c>
      <c r="C28" s="54">
        <v>89.05</v>
      </c>
      <c r="D28" s="54">
        <v>91.29</v>
      </c>
      <c r="E28" s="54">
        <v>7.85</v>
      </c>
      <c r="F28" s="54">
        <v>2.13</v>
      </c>
      <c r="G28" s="54">
        <v>164.21</v>
      </c>
      <c r="H28" s="54">
        <v>40.93</v>
      </c>
      <c r="I28" s="55" t="s">
        <v>15</v>
      </c>
      <c r="J28" s="54">
        <v>1.66</v>
      </c>
      <c r="K28" s="54">
        <v>317.2</v>
      </c>
      <c r="L28" s="54">
        <v>18.37</v>
      </c>
      <c r="M28" s="54">
        <v>61.43</v>
      </c>
      <c r="N28" s="54">
        <v>74.900000000000006</v>
      </c>
      <c r="O28" s="54">
        <v>0</v>
      </c>
      <c r="P28" s="54">
        <v>1.44</v>
      </c>
      <c r="Q28" s="54">
        <v>8.8000000000000007</v>
      </c>
      <c r="R28" s="43"/>
      <c r="S28" s="43"/>
      <c r="T28" s="43"/>
      <c r="U28" s="43"/>
    </row>
    <row r="29" spans="1:21" s="11" customFormat="1" x14ac:dyDescent="0.25">
      <c r="A29" s="53" t="s">
        <v>584</v>
      </c>
      <c r="B29" s="54">
        <v>83.7</v>
      </c>
      <c r="C29" s="54">
        <v>85.1</v>
      </c>
      <c r="D29" s="54">
        <v>109.84</v>
      </c>
      <c r="E29" s="54">
        <v>8.82</v>
      </c>
      <c r="F29" s="54">
        <v>2.13</v>
      </c>
      <c r="G29" s="54">
        <v>185.54</v>
      </c>
      <c r="H29" s="54">
        <v>47.51</v>
      </c>
      <c r="I29" s="55" t="s">
        <v>15</v>
      </c>
      <c r="J29" s="54">
        <v>1.69</v>
      </c>
      <c r="K29" s="54">
        <v>316.13</v>
      </c>
      <c r="L29" s="54">
        <v>17.73</v>
      </c>
      <c r="M29" s="54">
        <v>71.36</v>
      </c>
      <c r="N29" s="54">
        <v>74.8</v>
      </c>
      <c r="O29" s="54">
        <v>0</v>
      </c>
      <c r="P29" s="54">
        <v>1.77</v>
      </c>
      <c r="Q29" s="54">
        <v>9.66</v>
      </c>
      <c r="R29" s="43"/>
      <c r="S29" s="43"/>
      <c r="T29" s="43"/>
      <c r="U29" s="43"/>
    </row>
    <row r="30" spans="1:21" s="11" customFormat="1" x14ac:dyDescent="0.25">
      <c r="A30" s="53" t="s">
        <v>585</v>
      </c>
      <c r="B30" s="54">
        <v>124.78</v>
      </c>
      <c r="C30" s="54">
        <v>83.99</v>
      </c>
      <c r="D30" s="54">
        <v>141.1</v>
      </c>
      <c r="E30" s="54">
        <v>9.6199999999999992</v>
      </c>
      <c r="F30" s="54">
        <v>2.13</v>
      </c>
      <c r="G30" s="54">
        <v>201.28</v>
      </c>
      <c r="H30" s="54">
        <v>52.47</v>
      </c>
      <c r="I30" s="55" t="s">
        <v>15</v>
      </c>
      <c r="J30" s="54">
        <v>1.72</v>
      </c>
      <c r="K30" s="54">
        <v>316.56</v>
      </c>
      <c r="L30" s="54">
        <v>16.02</v>
      </c>
      <c r="M30" s="54">
        <v>79.319999999999993</v>
      </c>
      <c r="N30" s="54">
        <v>74.5</v>
      </c>
      <c r="O30" s="54">
        <v>0</v>
      </c>
      <c r="P30" s="54">
        <v>2.52</v>
      </c>
      <c r="Q30" s="54">
        <v>9.82</v>
      </c>
      <c r="R30" s="43"/>
      <c r="S30" s="43"/>
      <c r="T30" s="43"/>
      <c r="U30" s="43"/>
    </row>
    <row r="31" spans="1:21" s="11" customFormat="1" x14ac:dyDescent="0.25">
      <c r="A31" s="53" t="s">
        <v>586</v>
      </c>
      <c r="B31" s="54">
        <v>155.47999999999999</v>
      </c>
      <c r="C31" s="54">
        <v>80.739999999999995</v>
      </c>
      <c r="D31" s="54">
        <v>163.68</v>
      </c>
      <c r="E31" s="54">
        <v>9.83</v>
      </c>
      <c r="F31" s="54">
        <v>2.13</v>
      </c>
      <c r="G31" s="54">
        <v>216.77</v>
      </c>
      <c r="H31" s="54">
        <v>59.81</v>
      </c>
      <c r="I31" s="55" t="s">
        <v>15</v>
      </c>
      <c r="J31" s="54">
        <v>1.77</v>
      </c>
      <c r="K31" s="54">
        <v>312.58999999999997</v>
      </c>
      <c r="L31" s="54">
        <v>15.3</v>
      </c>
      <c r="M31" s="54">
        <v>83.45</v>
      </c>
      <c r="N31" s="54">
        <v>74.599999999999994</v>
      </c>
      <c r="O31" s="54">
        <v>0</v>
      </c>
      <c r="P31" s="54">
        <v>2.65</v>
      </c>
      <c r="Q31" s="54">
        <v>9.89</v>
      </c>
      <c r="R31" s="43"/>
      <c r="S31" s="43"/>
      <c r="T31" s="43"/>
      <c r="U31" s="43"/>
    </row>
    <row r="32" spans="1:21" s="11" customFormat="1" x14ac:dyDescent="0.25">
      <c r="A32" s="53" t="s">
        <v>587</v>
      </c>
      <c r="B32" s="54">
        <v>186.06</v>
      </c>
      <c r="C32" s="54">
        <v>76.489999999999995</v>
      </c>
      <c r="D32" s="54">
        <v>186.88</v>
      </c>
      <c r="E32" s="54">
        <v>10.55</v>
      </c>
      <c r="F32" s="54">
        <v>2.13</v>
      </c>
      <c r="G32" s="54">
        <v>206.91</v>
      </c>
      <c r="H32" s="54">
        <v>66.010000000000005</v>
      </c>
      <c r="I32" s="55" t="s">
        <v>15</v>
      </c>
      <c r="J32" s="54">
        <v>1.71</v>
      </c>
      <c r="K32" s="54">
        <v>321.68</v>
      </c>
      <c r="L32" s="54">
        <v>14.61</v>
      </c>
      <c r="M32" s="54">
        <v>84.49</v>
      </c>
      <c r="N32" s="54">
        <v>74.5</v>
      </c>
      <c r="O32" s="54">
        <v>0</v>
      </c>
      <c r="P32" s="54">
        <v>2.69</v>
      </c>
      <c r="Q32" s="54">
        <v>10.1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2.63</v>
      </c>
      <c r="C34" s="28">
        <f t="shared" si="0"/>
        <v>56.62</v>
      </c>
      <c r="D34" s="28">
        <f t="shared" si="0"/>
        <v>37.340000000000003</v>
      </c>
      <c r="E34" s="28">
        <f t="shared" si="0"/>
        <v>6.99</v>
      </c>
      <c r="F34" s="28">
        <f t="shared" si="0"/>
        <v>2.13</v>
      </c>
      <c r="G34" s="28">
        <f t="shared" si="0"/>
        <v>81.77</v>
      </c>
      <c r="H34" s="28">
        <f t="shared" si="0"/>
        <v>28.69</v>
      </c>
      <c r="I34" s="28">
        <f t="shared" si="0"/>
        <v>0</v>
      </c>
      <c r="J34" s="28">
        <f t="shared" si="0"/>
        <v>1.2</v>
      </c>
      <c r="K34" s="28">
        <f t="shared" si="0"/>
        <v>288.16000000000003</v>
      </c>
      <c r="L34" s="28">
        <f t="shared" si="0"/>
        <v>10.66</v>
      </c>
      <c r="M34" s="28">
        <f t="shared" si="0"/>
        <v>27.09</v>
      </c>
      <c r="N34" s="28">
        <f t="shared" si="0"/>
        <v>74.5</v>
      </c>
      <c r="O34" s="28">
        <f t="shared" si="0"/>
        <v>0</v>
      </c>
      <c r="P34" s="28">
        <f t="shared" si="0"/>
        <v>0.56999999999999995</v>
      </c>
      <c r="Q34" s="28">
        <f t="shared" si="0"/>
        <v>8.2100000000000009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186.06</v>
      </c>
      <c r="C35" s="29">
        <f t="shared" si="1"/>
        <v>125.22</v>
      </c>
      <c r="D35" s="29">
        <f t="shared" si="1"/>
        <v>186.88</v>
      </c>
      <c r="E35" s="29">
        <f t="shared" si="1"/>
        <v>25.38</v>
      </c>
      <c r="F35" s="29">
        <f t="shared" si="1"/>
        <v>51.29</v>
      </c>
      <c r="G35" s="29">
        <f t="shared" si="1"/>
        <v>216.77</v>
      </c>
      <c r="H35" s="29">
        <f t="shared" si="1"/>
        <v>66.010000000000005</v>
      </c>
      <c r="I35" s="29">
        <f t="shared" si="1"/>
        <v>0</v>
      </c>
      <c r="J35" s="29">
        <f t="shared" si="1"/>
        <v>3.09</v>
      </c>
      <c r="K35" s="29">
        <f t="shared" si="1"/>
        <v>355.72</v>
      </c>
      <c r="L35" s="29">
        <f t="shared" si="1"/>
        <v>29.93</v>
      </c>
      <c r="M35" s="29">
        <f t="shared" si="1"/>
        <v>103.63</v>
      </c>
      <c r="N35" s="29">
        <f t="shared" si="1"/>
        <v>695.7</v>
      </c>
      <c r="O35" s="29">
        <f t="shared" si="1"/>
        <v>0</v>
      </c>
      <c r="P35" s="29">
        <f t="shared" si="1"/>
        <v>2.69</v>
      </c>
      <c r="Q35" s="29">
        <f t="shared" si="1"/>
        <v>10.23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100.83916666666669</v>
      </c>
      <c r="C36" s="28">
        <f t="shared" si="2"/>
        <v>77.630416666666676</v>
      </c>
      <c r="D36" s="28">
        <f t="shared" si="2"/>
        <v>118.17</v>
      </c>
      <c r="E36" s="28">
        <f t="shared" si="2"/>
        <v>10.363333333333333</v>
      </c>
      <c r="F36" s="28">
        <f t="shared" si="2"/>
        <v>8.8045833333333317</v>
      </c>
      <c r="G36" s="28">
        <f t="shared" si="2"/>
        <v>143.17416666666668</v>
      </c>
      <c r="H36" s="28">
        <f t="shared" si="2"/>
        <v>44.794583333333328</v>
      </c>
      <c r="I36" s="28" t="e">
        <f t="shared" si="2"/>
        <v>#DIV/0!</v>
      </c>
      <c r="J36" s="28">
        <f t="shared" si="2"/>
        <v>1.9820833333333334</v>
      </c>
      <c r="K36" s="28">
        <f t="shared" si="2"/>
        <v>325.72083333333336</v>
      </c>
      <c r="L36" s="28">
        <f t="shared" si="2"/>
        <v>19.404166666666665</v>
      </c>
      <c r="M36" s="28">
        <f t="shared" si="2"/>
        <v>68.592499999999987</v>
      </c>
      <c r="N36" s="28">
        <f t="shared" si="2"/>
        <v>235.72916666666666</v>
      </c>
      <c r="O36" s="28">
        <f t="shared" si="2"/>
        <v>0</v>
      </c>
      <c r="P36" s="28">
        <f t="shared" si="2"/>
        <v>1.6591666666666667</v>
      </c>
      <c r="Q36" s="28">
        <f t="shared" si="2"/>
        <v>9.3691666666666684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72.647178461422669</v>
      </c>
      <c r="C37" s="28">
        <f t="shared" ref="C37:Q37" si="3">STDEV(C9:C32)</f>
        <v>16.326997508572301</v>
      </c>
      <c r="D37" s="28">
        <f t="shared" si="3"/>
        <v>54.205110219545212</v>
      </c>
      <c r="E37" s="28">
        <f t="shared" si="3"/>
        <v>4.1016419476432429</v>
      </c>
      <c r="F37" s="28">
        <f t="shared" si="3"/>
        <v>14.044609666644561</v>
      </c>
      <c r="G37" s="28">
        <f t="shared" si="3"/>
        <v>42.131675878355892</v>
      </c>
      <c r="H37" s="28">
        <f t="shared" si="3"/>
        <v>9.6316159550616103</v>
      </c>
      <c r="I37" s="28" t="e">
        <f t="shared" si="3"/>
        <v>#DIV/0!</v>
      </c>
      <c r="J37" s="28">
        <f t="shared" si="3"/>
        <v>0.5109069443617904</v>
      </c>
      <c r="K37" s="28">
        <f t="shared" si="3"/>
        <v>16.765766600729741</v>
      </c>
      <c r="L37" s="28">
        <f t="shared" si="3"/>
        <v>6.9036662702519553</v>
      </c>
      <c r="M37" s="28">
        <f t="shared" si="3"/>
        <v>28.983682403245016</v>
      </c>
      <c r="N37" s="28">
        <f t="shared" si="3"/>
        <v>234.64047332251627</v>
      </c>
      <c r="O37" s="28">
        <f t="shared" si="3"/>
        <v>0</v>
      </c>
      <c r="P37" s="28">
        <f t="shared" si="3"/>
        <v>0.65677020444694023</v>
      </c>
      <c r="Q37" s="28">
        <f t="shared" si="3"/>
        <v>0.88170248687543007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0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&lt;90%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LESS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I9" sqref="I9:I32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23/01/2025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8"/>
      <c r="B8" s="59" t="s">
        <v>22</v>
      </c>
      <c r="C8" s="59" t="s">
        <v>22</v>
      </c>
      <c r="D8" s="29" t="s">
        <v>42</v>
      </c>
      <c r="E8" s="59" t="s">
        <v>22</v>
      </c>
      <c r="F8" s="59" t="s">
        <v>22</v>
      </c>
      <c r="G8" s="59" t="s">
        <v>23</v>
      </c>
      <c r="H8" s="59" t="s">
        <v>22</v>
      </c>
      <c r="I8" s="59" t="s">
        <v>22</v>
      </c>
      <c r="J8" s="59" t="s">
        <v>24</v>
      </c>
      <c r="K8" s="59" t="s">
        <v>25</v>
      </c>
      <c r="L8" s="58" t="s">
        <v>27</v>
      </c>
      <c r="M8" s="59" t="s">
        <v>26</v>
      </c>
      <c r="N8" s="59" t="s">
        <v>28</v>
      </c>
      <c r="O8" s="58" t="s">
        <v>29</v>
      </c>
      <c r="P8" s="59" t="s">
        <v>22</v>
      </c>
      <c r="Q8" s="59" t="s">
        <v>22</v>
      </c>
      <c r="R8" s="27"/>
      <c r="S8" s="29"/>
      <c r="T8" s="27"/>
      <c r="U8" s="27"/>
    </row>
    <row r="9" spans="1:21" s="11" customFormat="1" x14ac:dyDescent="0.25">
      <c r="A9" s="53" t="s">
        <v>588</v>
      </c>
      <c r="B9" s="54">
        <v>195</v>
      </c>
      <c r="C9" s="54">
        <v>75.34</v>
      </c>
      <c r="D9" s="54">
        <v>194.37</v>
      </c>
      <c r="E9" s="54">
        <v>11.57</v>
      </c>
      <c r="F9" s="54">
        <v>2.13</v>
      </c>
      <c r="G9" s="54">
        <v>204.91</v>
      </c>
      <c r="H9" s="54">
        <v>68</v>
      </c>
      <c r="I9" s="55" t="s">
        <v>15</v>
      </c>
      <c r="J9" s="54">
        <v>1.72</v>
      </c>
      <c r="K9" s="54">
        <v>320.68</v>
      </c>
      <c r="L9" s="54">
        <v>14.12</v>
      </c>
      <c r="M9" s="54">
        <v>93.36</v>
      </c>
      <c r="N9" s="54">
        <v>74.7</v>
      </c>
      <c r="O9" s="54">
        <v>0</v>
      </c>
      <c r="P9" s="54">
        <v>2.7</v>
      </c>
      <c r="Q9" s="54">
        <v>10.27</v>
      </c>
      <c r="R9" s="43"/>
      <c r="S9" s="43"/>
      <c r="T9" s="43"/>
      <c r="U9" s="43"/>
    </row>
    <row r="10" spans="1:21" s="11" customFormat="1" x14ac:dyDescent="0.25">
      <c r="A10" s="53" t="s">
        <v>589</v>
      </c>
      <c r="B10" s="54">
        <v>192.82</v>
      </c>
      <c r="C10" s="54">
        <v>73.349999999999994</v>
      </c>
      <c r="D10" s="54">
        <v>191.57</v>
      </c>
      <c r="E10" s="54">
        <v>11.65</v>
      </c>
      <c r="F10" s="54">
        <v>2.13</v>
      </c>
      <c r="G10" s="54">
        <v>178.14</v>
      </c>
      <c r="H10" s="54">
        <v>64.91</v>
      </c>
      <c r="I10" s="55" t="s">
        <v>15</v>
      </c>
      <c r="J10" s="54">
        <v>2.1</v>
      </c>
      <c r="K10" s="54">
        <v>340.73</v>
      </c>
      <c r="L10" s="54">
        <v>14.07</v>
      </c>
      <c r="M10" s="54">
        <v>97.27</v>
      </c>
      <c r="N10" s="54">
        <v>74.7</v>
      </c>
      <c r="O10" s="54">
        <v>0</v>
      </c>
      <c r="P10" s="54">
        <v>2.5299999999999998</v>
      </c>
      <c r="Q10" s="54">
        <v>10.29</v>
      </c>
      <c r="R10" s="43"/>
      <c r="S10" s="43"/>
      <c r="T10" s="43"/>
      <c r="U10" s="43"/>
    </row>
    <row r="11" spans="1:21" s="11" customFormat="1" x14ac:dyDescent="0.25">
      <c r="A11" s="53" t="s">
        <v>590</v>
      </c>
      <c r="B11" s="54">
        <v>179.04</v>
      </c>
      <c r="C11" s="54">
        <v>65.25</v>
      </c>
      <c r="D11" s="54">
        <v>176.29</v>
      </c>
      <c r="E11" s="54">
        <v>10.86</v>
      </c>
      <c r="F11" s="54">
        <v>2.13</v>
      </c>
      <c r="G11" s="54">
        <v>188.57</v>
      </c>
      <c r="H11" s="54">
        <v>65.62</v>
      </c>
      <c r="I11" s="55" t="s">
        <v>15</v>
      </c>
      <c r="J11" s="54">
        <v>1.79</v>
      </c>
      <c r="K11" s="54">
        <v>300.62</v>
      </c>
      <c r="L11" s="54">
        <v>14.15</v>
      </c>
      <c r="M11" s="54">
        <v>91.7</v>
      </c>
      <c r="N11" s="54">
        <v>75</v>
      </c>
      <c r="O11" s="54">
        <v>0</v>
      </c>
      <c r="P11" s="54">
        <v>2.5099999999999998</v>
      </c>
      <c r="Q11" s="54">
        <v>10.220000000000001</v>
      </c>
      <c r="R11" s="43"/>
      <c r="S11" s="43"/>
      <c r="T11" s="43"/>
      <c r="U11" s="43"/>
    </row>
    <row r="12" spans="1:21" s="11" customFormat="1" x14ac:dyDescent="0.25">
      <c r="A12" s="53" t="s">
        <v>591</v>
      </c>
      <c r="B12" s="54">
        <v>162.21</v>
      </c>
      <c r="C12" s="54">
        <v>63.02</v>
      </c>
      <c r="D12" s="54">
        <v>161.63</v>
      </c>
      <c r="E12" s="54">
        <v>10.8</v>
      </c>
      <c r="F12" s="54">
        <v>2.13</v>
      </c>
      <c r="G12" s="54">
        <v>207.71</v>
      </c>
      <c r="H12" s="54">
        <v>68.39</v>
      </c>
      <c r="I12" s="55" t="s">
        <v>15</v>
      </c>
      <c r="J12" s="54">
        <v>1.22</v>
      </c>
      <c r="K12" s="54">
        <v>357.48</v>
      </c>
      <c r="L12" s="54">
        <v>12.96</v>
      </c>
      <c r="M12" s="54">
        <v>97.09</v>
      </c>
      <c r="N12" s="54">
        <v>74.7</v>
      </c>
      <c r="O12" s="54">
        <v>0</v>
      </c>
      <c r="P12" s="54">
        <v>2.4</v>
      </c>
      <c r="Q12" s="54">
        <v>10.1</v>
      </c>
      <c r="R12" s="43"/>
      <c r="S12" s="43"/>
      <c r="T12" s="43"/>
      <c r="U12" s="43"/>
    </row>
    <row r="13" spans="1:21" s="11" customFormat="1" x14ac:dyDescent="0.25">
      <c r="A13" s="53" t="s">
        <v>592</v>
      </c>
      <c r="B13" s="54">
        <v>148.52000000000001</v>
      </c>
      <c r="C13" s="54">
        <v>61.24</v>
      </c>
      <c r="D13" s="54">
        <v>149.72</v>
      </c>
      <c r="E13" s="54">
        <v>10.88</v>
      </c>
      <c r="F13" s="54">
        <v>2.13</v>
      </c>
      <c r="G13" s="54">
        <v>205.86</v>
      </c>
      <c r="H13" s="54">
        <v>68.81</v>
      </c>
      <c r="I13" s="55" t="s">
        <v>15</v>
      </c>
      <c r="J13" s="54">
        <v>1.48</v>
      </c>
      <c r="K13" s="54">
        <v>279.83</v>
      </c>
      <c r="L13" s="54">
        <v>12.91</v>
      </c>
      <c r="M13" s="54">
        <v>92.18</v>
      </c>
      <c r="N13" s="54">
        <v>74.599999999999994</v>
      </c>
      <c r="O13" s="54">
        <v>0</v>
      </c>
      <c r="P13" s="54">
        <v>2.31</v>
      </c>
      <c r="Q13" s="54">
        <v>10</v>
      </c>
      <c r="R13" s="43"/>
      <c r="S13" s="43"/>
      <c r="T13" s="43"/>
      <c r="U13" s="43"/>
    </row>
    <row r="14" spans="1:21" s="11" customFormat="1" x14ac:dyDescent="0.25">
      <c r="A14" s="53" t="s">
        <v>593</v>
      </c>
      <c r="B14" s="54">
        <v>131.87</v>
      </c>
      <c r="C14" s="54">
        <v>61.7</v>
      </c>
      <c r="D14" s="54">
        <v>136.43</v>
      </c>
      <c r="E14" s="54">
        <v>10.130000000000001</v>
      </c>
      <c r="F14" s="54">
        <v>2.13</v>
      </c>
      <c r="G14" s="54">
        <v>188.23</v>
      </c>
      <c r="H14" s="54">
        <v>63.73</v>
      </c>
      <c r="I14" s="55" t="s">
        <v>15</v>
      </c>
      <c r="J14" s="54">
        <v>1.8</v>
      </c>
      <c r="K14" s="54">
        <v>339.03</v>
      </c>
      <c r="L14" s="54">
        <v>12.8</v>
      </c>
      <c r="M14" s="54">
        <v>98.28</v>
      </c>
      <c r="N14" s="54">
        <v>75.099999999999994</v>
      </c>
      <c r="O14" s="54">
        <v>0</v>
      </c>
      <c r="P14" s="54">
        <v>2.15</v>
      </c>
      <c r="Q14" s="54">
        <v>9.9600000000000009</v>
      </c>
      <c r="R14" s="43"/>
      <c r="S14" s="43"/>
      <c r="T14" s="43"/>
      <c r="U14" s="43"/>
    </row>
    <row r="15" spans="1:21" s="11" customFormat="1" x14ac:dyDescent="0.25">
      <c r="A15" s="53" t="s">
        <v>594</v>
      </c>
      <c r="B15" s="54">
        <v>144.69</v>
      </c>
      <c r="C15" s="54">
        <v>60.57</v>
      </c>
      <c r="D15" s="54">
        <v>146.29</v>
      </c>
      <c r="E15" s="54">
        <v>9.8800000000000008</v>
      </c>
      <c r="F15" s="54">
        <v>2.13</v>
      </c>
      <c r="G15" s="54">
        <v>197.55</v>
      </c>
      <c r="H15" s="54">
        <v>65.84</v>
      </c>
      <c r="I15" s="55" t="s">
        <v>15</v>
      </c>
      <c r="J15" s="54">
        <v>1.8</v>
      </c>
      <c r="K15" s="54">
        <v>334.58</v>
      </c>
      <c r="L15" s="54">
        <v>11.92</v>
      </c>
      <c r="M15" s="54">
        <v>100.15</v>
      </c>
      <c r="N15" s="54">
        <v>85.7</v>
      </c>
      <c r="O15" s="54">
        <v>0</v>
      </c>
      <c r="P15" s="54">
        <v>2.14</v>
      </c>
      <c r="Q15" s="54">
        <v>9.91</v>
      </c>
      <c r="R15" s="43"/>
      <c r="S15" s="43"/>
      <c r="T15" s="43"/>
      <c r="U15" s="43"/>
    </row>
    <row r="16" spans="1:21" s="11" customFormat="1" x14ac:dyDescent="0.25">
      <c r="A16" s="53" t="s">
        <v>595</v>
      </c>
      <c r="B16" s="54">
        <v>153.02000000000001</v>
      </c>
      <c r="C16" s="54">
        <v>63.86</v>
      </c>
      <c r="D16" s="54">
        <v>154.66999999999999</v>
      </c>
      <c r="E16" s="54">
        <v>9.8000000000000007</v>
      </c>
      <c r="F16" s="54">
        <v>2.13</v>
      </c>
      <c r="G16" s="54">
        <v>197.92</v>
      </c>
      <c r="H16" s="54">
        <v>66.22</v>
      </c>
      <c r="I16" s="55" t="s">
        <v>15</v>
      </c>
      <c r="J16" s="54">
        <v>2.04</v>
      </c>
      <c r="K16" s="54">
        <v>338.86</v>
      </c>
      <c r="L16" s="54">
        <v>15.58</v>
      </c>
      <c r="M16" s="54">
        <v>95.06</v>
      </c>
      <c r="N16" s="54">
        <v>227.4</v>
      </c>
      <c r="O16" s="54">
        <v>0</v>
      </c>
      <c r="P16" s="54">
        <v>2.1</v>
      </c>
      <c r="Q16" s="54">
        <v>9.94</v>
      </c>
      <c r="R16" s="43"/>
      <c r="S16" s="43"/>
      <c r="T16" s="43"/>
      <c r="U16" s="43"/>
    </row>
    <row r="17" spans="1:21" s="11" customFormat="1" x14ac:dyDescent="0.25">
      <c r="A17" s="53" t="s">
        <v>596</v>
      </c>
      <c r="B17" s="54">
        <v>149.80000000000001</v>
      </c>
      <c r="C17" s="54">
        <v>69.86</v>
      </c>
      <c r="D17" s="54">
        <v>153.25</v>
      </c>
      <c r="E17" s="54">
        <v>7.23</v>
      </c>
      <c r="F17" s="54">
        <v>2.13</v>
      </c>
      <c r="G17" s="54">
        <v>177.82</v>
      </c>
      <c r="H17" s="54">
        <v>59.93</v>
      </c>
      <c r="I17" s="55" t="s">
        <v>15</v>
      </c>
      <c r="J17" s="54">
        <v>1.9</v>
      </c>
      <c r="K17" s="54">
        <v>201.3</v>
      </c>
      <c r="L17" s="54">
        <v>19.28</v>
      </c>
      <c r="M17" s="54">
        <v>67.209999999999994</v>
      </c>
      <c r="N17" s="54">
        <v>442.4</v>
      </c>
      <c r="O17" s="54">
        <v>0</v>
      </c>
      <c r="P17" s="54">
        <v>2.02</v>
      </c>
      <c r="Q17" s="54">
        <v>9.9700000000000006</v>
      </c>
      <c r="R17" s="43"/>
      <c r="S17" s="43"/>
      <c r="T17" s="43"/>
      <c r="U17" s="43"/>
    </row>
    <row r="18" spans="1:21" s="11" customFormat="1" x14ac:dyDescent="0.25">
      <c r="A18" s="53" t="s">
        <v>597</v>
      </c>
      <c r="B18" s="54">
        <v>119.53</v>
      </c>
      <c r="C18" s="54">
        <v>75.94</v>
      </c>
      <c r="D18" s="54">
        <v>131.99</v>
      </c>
      <c r="E18" s="54">
        <v>6.01</v>
      </c>
      <c r="F18" s="54">
        <v>2.13</v>
      </c>
      <c r="G18" s="54">
        <v>153.18</v>
      </c>
      <c r="H18" s="54">
        <v>52.3</v>
      </c>
      <c r="I18" s="55" t="s">
        <v>15</v>
      </c>
      <c r="J18" s="54">
        <v>2.63</v>
      </c>
      <c r="K18" s="54">
        <v>177.01</v>
      </c>
      <c r="L18" s="54">
        <v>23.23</v>
      </c>
      <c r="M18" s="54">
        <v>59.83</v>
      </c>
      <c r="N18" s="54">
        <v>570.9</v>
      </c>
      <c r="O18" s="54">
        <v>0</v>
      </c>
      <c r="P18" s="54">
        <v>1.81</v>
      </c>
      <c r="Q18" s="54">
        <v>9.93</v>
      </c>
      <c r="R18" s="43"/>
      <c r="S18" s="43"/>
      <c r="T18" s="43"/>
      <c r="U18" s="43"/>
    </row>
    <row r="19" spans="1:21" s="11" customFormat="1" x14ac:dyDescent="0.25">
      <c r="A19" s="53" t="s">
        <v>598</v>
      </c>
      <c r="B19" s="54">
        <v>86.67</v>
      </c>
      <c r="C19" s="54">
        <v>79.14</v>
      </c>
      <c r="D19" s="54">
        <v>108.47</v>
      </c>
      <c r="E19" s="54">
        <v>5.23</v>
      </c>
      <c r="F19" s="54">
        <v>2.13</v>
      </c>
      <c r="G19" s="54">
        <v>119.92</v>
      </c>
      <c r="H19" s="54">
        <v>47.92</v>
      </c>
      <c r="I19" s="55" t="s">
        <v>15</v>
      </c>
      <c r="J19" s="54">
        <v>1.49</v>
      </c>
      <c r="K19" s="54">
        <v>297.58999999999997</v>
      </c>
      <c r="L19" s="54">
        <v>27.27</v>
      </c>
      <c r="M19" s="54">
        <v>44.93</v>
      </c>
      <c r="N19" s="54">
        <v>621.1</v>
      </c>
      <c r="O19" s="54">
        <v>0</v>
      </c>
      <c r="P19" s="54">
        <v>1.56</v>
      </c>
      <c r="Q19" s="54">
        <v>9.77</v>
      </c>
      <c r="R19" s="43"/>
      <c r="S19" s="43"/>
      <c r="T19" s="43"/>
      <c r="U19" s="43"/>
    </row>
    <row r="20" spans="1:21" s="11" customFormat="1" x14ac:dyDescent="0.25">
      <c r="A20" s="53" t="s">
        <v>599</v>
      </c>
      <c r="B20" s="54">
        <v>59.1</v>
      </c>
      <c r="C20" s="54">
        <v>81.040000000000006</v>
      </c>
      <c r="D20" s="54">
        <v>88.22</v>
      </c>
      <c r="E20" s="54">
        <v>4.71</v>
      </c>
      <c r="F20" s="54">
        <v>2.13</v>
      </c>
      <c r="G20" s="54">
        <v>98.03</v>
      </c>
      <c r="H20" s="54">
        <v>41.83</v>
      </c>
      <c r="I20" s="55" t="s">
        <v>15</v>
      </c>
      <c r="J20" s="54">
        <v>1.38</v>
      </c>
      <c r="K20" s="54">
        <v>193.93</v>
      </c>
      <c r="L20" s="54">
        <v>27.19</v>
      </c>
      <c r="M20" s="54">
        <v>35.520000000000003</v>
      </c>
      <c r="N20" s="54">
        <v>671.5</v>
      </c>
      <c r="O20" s="54">
        <v>0</v>
      </c>
      <c r="P20" s="54">
        <v>1.32</v>
      </c>
      <c r="Q20" s="54">
        <v>8.68</v>
      </c>
      <c r="R20" s="43"/>
      <c r="S20" s="43"/>
      <c r="T20" s="43"/>
      <c r="U20" s="43"/>
    </row>
    <row r="21" spans="1:21" s="11" customFormat="1" x14ac:dyDescent="0.25">
      <c r="A21" s="53" t="s">
        <v>600</v>
      </c>
      <c r="B21" s="54">
        <v>38.04</v>
      </c>
      <c r="C21" s="54">
        <v>82.49</v>
      </c>
      <c r="D21" s="54">
        <v>71.150000000000006</v>
      </c>
      <c r="E21" s="54">
        <v>4.74</v>
      </c>
      <c r="F21" s="54">
        <v>2.13</v>
      </c>
      <c r="G21" s="54">
        <v>99.59</v>
      </c>
      <c r="H21" s="54">
        <v>34.93</v>
      </c>
      <c r="I21" s="55" t="s">
        <v>15</v>
      </c>
      <c r="J21" s="54">
        <v>1.69</v>
      </c>
      <c r="K21" s="54">
        <v>341.96</v>
      </c>
      <c r="L21" s="54">
        <v>29.66</v>
      </c>
      <c r="M21" s="54">
        <v>35.79</v>
      </c>
      <c r="N21" s="54">
        <v>683.1</v>
      </c>
      <c r="O21" s="54">
        <v>0</v>
      </c>
      <c r="P21" s="54">
        <v>1.1200000000000001</v>
      </c>
      <c r="Q21" s="54">
        <v>8.2100000000000009</v>
      </c>
      <c r="R21" s="43"/>
      <c r="S21" s="43"/>
      <c r="T21" s="43"/>
      <c r="U21" s="43"/>
    </row>
    <row r="22" spans="1:21" s="11" customFormat="1" x14ac:dyDescent="0.25">
      <c r="A22" s="53" t="s">
        <v>601</v>
      </c>
      <c r="B22" s="54">
        <v>22.73</v>
      </c>
      <c r="C22" s="54">
        <v>84.46</v>
      </c>
      <c r="D22" s="54">
        <v>59.99</v>
      </c>
      <c r="E22" s="54">
        <v>4.41</v>
      </c>
      <c r="F22" s="54">
        <v>2.13</v>
      </c>
      <c r="G22" s="54">
        <v>73.39</v>
      </c>
      <c r="H22" s="54">
        <v>31.73</v>
      </c>
      <c r="I22" s="55" t="s">
        <v>15</v>
      </c>
      <c r="J22" s="54">
        <v>1.91</v>
      </c>
      <c r="K22" s="54">
        <v>311.58999999999997</v>
      </c>
      <c r="L22" s="54">
        <v>30.06</v>
      </c>
      <c r="M22" s="54">
        <v>26.42</v>
      </c>
      <c r="N22" s="54">
        <v>647.29999999999995</v>
      </c>
      <c r="O22" s="54">
        <v>0</v>
      </c>
      <c r="P22" s="54">
        <v>1.1200000000000001</v>
      </c>
      <c r="Q22" s="54">
        <v>8.2100000000000009</v>
      </c>
      <c r="R22" s="43"/>
      <c r="S22" s="43"/>
      <c r="T22" s="43"/>
      <c r="U22" s="43"/>
    </row>
    <row r="23" spans="1:21" s="11" customFormat="1" x14ac:dyDescent="0.25">
      <c r="A23" s="53" t="s">
        <v>602</v>
      </c>
      <c r="B23" s="54">
        <v>9.77</v>
      </c>
      <c r="C23" s="54">
        <v>83.13</v>
      </c>
      <c r="D23" s="54">
        <v>49.89</v>
      </c>
      <c r="E23" s="54">
        <v>3.5</v>
      </c>
      <c r="F23" s="54">
        <v>2.13</v>
      </c>
      <c r="G23" s="54">
        <v>64.22</v>
      </c>
      <c r="H23" s="54">
        <v>27.07</v>
      </c>
      <c r="I23" s="55" t="s">
        <v>15</v>
      </c>
      <c r="J23" s="54">
        <v>2.5099999999999998</v>
      </c>
      <c r="K23" s="54">
        <v>337.77</v>
      </c>
      <c r="L23" s="54">
        <v>27.92</v>
      </c>
      <c r="M23" s="54">
        <v>23.23</v>
      </c>
      <c r="N23" s="54">
        <v>465.4</v>
      </c>
      <c r="O23" s="54">
        <v>0</v>
      </c>
      <c r="P23" s="54">
        <v>0.99</v>
      </c>
      <c r="Q23" s="54">
        <v>8.2100000000000009</v>
      </c>
      <c r="R23" s="43"/>
      <c r="S23" s="43"/>
      <c r="T23" s="43"/>
      <c r="U23" s="43"/>
    </row>
    <row r="24" spans="1:21" s="11" customFormat="1" x14ac:dyDescent="0.25">
      <c r="A24" s="53" t="s">
        <v>603</v>
      </c>
      <c r="B24" s="54">
        <v>6.28</v>
      </c>
      <c r="C24" s="54">
        <v>71.97</v>
      </c>
      <c r="D24" s="54">
        <v>41.26</v>
      </c>
      <c r="E24" s="54">
        <v>5.26</v>
      </c>
      <c r="F24" s="54">
        <v>2.1800000000000002</v>
      </c>
      <c r="G24" s="54">
        <v>49.26</v>
      </c>
      <c r="H24" s="54">
        <v>24.11</v>
      </c>
      <c r="I24" s="55" t="s">
        <v>15</v>
      </c>
      <c r="J24" s="54">
        <v>1.89</v>
      </c>
      <c r="K24" s="54">
        <v>315.63</v>
      </c>
      <c r="L24" s="54">
        <v>26.84</v>
      </c>
      <c r="M24" s="54">
        <v>26.11</v>
      </c>
      <c r="N24" s="54">
        <v>185.1</v>
      </c>
      <c r="O24" s="54">
        <v>0</v>
      </c>
      <c r="P24" s="54">
        <v>0.74</v>
      </c>
      <c r="Q24" s="54">
        <v>8.2100000000000009</v>
      </c>
      <c r="R24" s="43"/>
      <c r="S24" s="43"/>
      <c r="T24" s="43"/>
      <c r="U24" s="43"/>
    </row>
    <row r="25" spans="1:21" s="11" customFormat="1" x14ac:dyDescent="0.25">
      <c r="A25" s="53" t="s">
        <v>604</v>
      </c>
      <c r="B25" s="54">
        <v>4.9000000000000004</v>
      </c>
      <c r="C25" s="54">
        <v>65.290000000000006</v>
      </c>
      <c r="D25" s="54">
        <v>36.67</v>
      </c>
      <c r="E25" s="54">
        <v>6.06</v>
      </c>
      <c r="F25" s="54">
        <v>2.13</v>
      </c>
      <c r="G25" s="54">
        <v>46.24</v>
      </c>
      <c r="H25" s="54">
        <v>21.6</v>
      </c>
      <c r="I25" s="55" t="s">
        <v>15</v>
      </c>
      <c r="J25" s="54">
        <v>1.17</v>
      </c>
      <c r="K25" s="54">
        <v>311.86</v>
      </c>
      <c r="L25" s="54">
        <v>26.06</v>
      </c>
      <c r="M25" s="54">
        <v>28.5</v>
      </c>
      <c r="N25" s="54">
        <v>118.2</v>
      </c>
      <c r="O25" s="54">
        <v>0</v>
      </c>
      <c r="P25" s="54">
        <v>0.79</v>
      </c>
      <c r="Q25" s="54">
        <v>8.2100000000000009</v>
      </c>
      <c r="R25" s="43"/>
      <c r="S25" s="43"/>
      <c r="T25" s="43"/>
      <c r="U25" s="43"/>
    </row>
    <row r="26" spans="1:21" s="11" customFormat="1" x14ac:dyDescent="0.25">
      <c r="A26" s="53" t="s">
        <v>605</v>
      </c>
      <c r="B26" s="54">
        <v>20.03</v>
      </c>
      <c r="C26" s="54">
        <v>75.64</v>
      </c>
      <c r="D26" s="54">
        <v>54.21</v>
      </c>
      <c r="E26" s="54">
        <v>6.79</v>
      </c>
      <c r="F26" s="54">
        <v>2.13</v>
      </c>
      <c r="G26" s="54">
        <v>91.67</v>
      </c>
      <c r="H26" s="54">
        <v>19.690000000000001</v>
      </c>
      <c r="I26" s="55" t="s">
        <v>15</v>
      </c>
      <c r="J26" s="54">
        <v>1.75</v>
      </c>
      <c r="K26" s="54">
        <v>317.92</v>
      </c>
      <c r="L26" s="54">
        <v>24.6</v>
      </c>
      <c r="M26" s="54">
        <v>48.58</v>
      </c>
      <c r="N26" s="54">
        <v>92.1</v>
      </c>
      <c r="O26" s="54">
        <v>0</v>
      </c>
      <c r="P26" s="54">
        <v>1.07</v>
      </c>
      <c r="Q26" s="54">
        <v>8.2100000000000009</v>
      </c>
      <c r="R26" s="43"/>
      <c r="S26" s="43"/>
      <c r="T26" s="43"/>
      <c r="U26" s="43"/>
    </row>
    <row r="27" spans="1:21" s="11" customFormat="1" x14ac:dyDescent="0.25">
      <c r="A27" s="53" t="s">
        <v>606</v>
      </c>
      <c r="B27" s="54">
        <v>23.16</v>
      </c>
      <c r="C27" s="54">
        <v>79.44</v>
      </c>
      <c r="D27" s="54">
        <v>58.58</v>
      </c>
      <c r="E27" s="54">
        <v>6.78</v>
      </c>
      <c r="F27" s="54">
        <v>2.13</v>
      </c>
      <c r="G27" s="54">
        <v>146.03</v>
      </c>
      <c r="H27" s="54">
        <v>25.67</v>
      </c>
      <c r="I27" s="55" t="s">
        <v>15</v>
      </c>
      <c r="J27" s="54">
        <v>2.85</v>
      </c>
      <c r="K27" s="54">
        <v>353.14</v>
      </c>
      <c r="L27" s="54">
        <v>21.8</v>
      </c>
      <c r="M27" s="54">
        <v>52</v>
      </c>
      <c r="N27" s="54">
        <v>75.099999999999994</v>
      </c>
      <c r="O27" s="54">
        <v>0</v>
      </c>
      <c r="P27" s="54">
        <v>1.42</v>
      </c>
      <c r="Q27" s="54">
        <v>8.2100000000000009</v>
      </c>
      <c r="R27" s="43"/>
      <c r="S27" s="43"/>
      <c r="T27" s="43"/>
      <c r="U27" s="43"/>
    </row>
    <row r="28" spans="1:21" s="11" customFormat="1" x14ac:dyDescent="0.25">
      <c r="A28" s="53" t="s">
        <v>607</v>
      </c>
      <c r="B28" s="54">
        <v>25.73</v>
      </c>
      <c r="C28" s="54">
        <v>80.38</v>
      </c>
      <c r="D28" s="54">
        <v>61.25</v>
      </c>
      <c r="E28" s="54">
        <v>6.9</v>
      </c>
      <c r="F28" s="54">
        <v>2.13</v>
      </c>
      <c r="G28" s="54">
        <v>141.05000000000001</v>
      </c>
      <c r="H28" s="54">
        <v>33.4</v>
      </c>
      <c r="I28" s="55" t="s">
        <v>15</v>
      </c>
      <c r="J28" s="54">
        <v>2.11</v>
      </c>
      <c r="K28" s="54">
        <v>356.27</v>
      </c>
      <c r="L28" s="54">
        <v>21</v>
      </c>
      <c r="M28" s="54">
        <v>53.18</v>
      </c>
      <c r="N28" s="54">
        <v>74.5</v>
      </c>
      <c r="O28" s="54">
        <v>0</v>
      </c>
      <c r="P28" s="54">
        <v>1.57</v>
      </c>
      <c r="Q28" s="54">
        <v>8.2100000000000009</v>
      </c>
      <c r="R28" s="43"/>
      <c r="S28" s="43"/>
      <c r="T28" s="43"/>
      <c r="U28" s="43"/>
    </row>
    <row r="29" spans="1:21" s="11" customFormat="1" x14ac:dyDescent="0.25">
      <c r="A29" s="53" t="s">
        <v>608</v>
      </c>
      <c r="B29" s="54">
        <v>26.92</v>
      </c>
      <c r="C29" s="54">
        <v>81.319999999999993</v>
      </c>
      <c r="D29" s="54">
        <v>62.2</v>
      </c>
      <c r="E29" s="54">
        <v>8.34</v>
      </c>
      <c r="F29" s="54">
        <v>2.13</v>
      </c>
      <c r="G29" s="54">
        <v>171.86</v>
      </c>
      <c r="H29" s="54">
        <v>44.15</v>
      </c>
      <c r="I29" s="55" t="s">
        <v>15</v>
      </c>
      <c r="J29" s="54">
        <v>1.66</v>
      </c>
      <c r="K29" s="54">
        <v>86.7</v>
      </c>
      <c r="L29" s="54">
        <v>19.93</v>
      </c>
      <c r="M29" s="54">
        <v>58.39</v>
      </c>
      <c r="N29" s="54">
        <v>74.5</v>
      </c>
      <c r="O29" s="54">
        <v>0</v>
      </c>
      <c r="P29" s="54">
        <v>1.64</v>
      </c>
      <c r="Q29" s="54">
        <v>8.2100000000000009</v>
      </c>
      <c r="R29" s="43"/>
      <c r="S29" s="43"/>
      <c r="T29" s="43"/>
      <c r="U29" s="43"/>
    </row>
    <row r="30" spans="1:21" s="11" customFormat="1" x14ac:dyDescent="0.25">
      <c r="A30" s="53" t="s">
        <v>609</v>
      </c>
      <c r="B30" s="54">
        <v>25.58</v>
      </c>
      <c r="C30" s="54">
        <v>81.709999999999994</v>
      </c>
      <c r="D30" s="54">
        <v>61.73</v>
      </c>
      <c r="E30" s="54">
        <v>8.9700000000000006</v>
      </c>
      <c r="F30" s="54">
        <v>2.13</v>
      </c>
      <c r="G30" s="54">
        <v>204.64</v>
      </c>
      <c r="H30" s="54">
        <v>56.73</v>
      </c>
      <c r="I30" s="55" t="s">
        <v>15</v>
      </c>
      <c r="J30" s="54">
        <v>1.85</v>
      </c>
      <c r="K30" s="54">
        <v>281.13</v>
      </c>
      <c r="L30" s="54">
        <v>19.079999999999998</v>
      </c>
      <c r="M30" s="54">
        <v>66.17</v>
      </c>
      <c r="N30" s="54">
        <v>74.900000000000006</v>
      </c>
      <c r="O30" s="54">
        <v>0</v>
      </c>
      <c r="P30" s="54">
        <v>1.57</v>
      </c>
      <c r="Q30" s="54">
        <v>8.2100000000000009</v>
      </c>
      <c r="R30" s="43"/>
      <c r="S30" s="43"/>
      <c r="T30" s="43"/>
      <c r="U30" s="43"/>
    </row>
    <row r="31" spans="1:21" s="11" customFormat="1" x14ac:dyDescent="0.25">
      <c r="A31" s="53" t="s">
        <v>610</v>
      </c>
      <c r="B31" s="54">
        <v>36.74</v>
      </c>
      <c r="C31" s="54">
        <v>80.94</v>
      </c>
      <c r="D31" s="54">
        <v>68.12</v>
      </c>
      <c r="E31" s="54">
        <v>8.9600000000000009</v>
      </c>
      <c r="F31" s="54">
        <v>2.13</v>
      </c>
      <c r="G31" s="54">
        <v>198.01</v>
      </c>
      <c r="H31" s="54">
        <v>63.04</v>
      </c>
      <c r="I31" s="55" t="s">
        <v>15</v>
      </c>
      <c r="J31" s="54">
        <v>1.8</v>
      </c>
      <c r="K31" s="54">
        <v>313.91000000000003</v>
      </c>
      <c r="L31" s="54">
        <v>17.600000000000001</v>
      </c>
      <c r="M31" s="54">
        <v>82.91</v>
      </c>
      <c r="N31" s="54">
        <v>74.900000000000006</v>
      </c>
      <c r="O31" s="54">
        <v>0</v>
      </c>
      <c r="P31" s="54">
        <v>2.04</v>
      </c>
      <c r="Q31" s="54">
        <v>8.2100000000000009</v>
      </c>
      <c r="R31" s="43"/>
      <c r="S31" s="43"/>
      <c r="T31" s="43"/>
      <c r="U31" s="43"/>
    </row>
    <row r="32" spans="1:21" s="11" customFormat="1" x14ac:dyDescent="0.25">
      <c r="A32" s="53" t="s">
        <v>611</v>
      </c>
      <c r="B32" s="54">
        <v>53.29</v>
      </c>
      <c r="C32" s="54">
        <v>75.459999999999994</v>
      </c>
      <c r="D32" s="54">
        <v>79.260000000000005</v>
      </c>
      <c r="E32" s="54">
        <v>9</v>
      </c>
      <c r="F32" s="54">
        <v>2.13</v>
      </c>
      <c r="G32" s="54">
        <v>207.59</v>
      </c>
      <c r="H32" s="54">
        <v>63.71</v>
      </c>
      <c r="I32" s="55" t="s">
        <v>15</v>
      </c>
      <c r="J32" s="54">
        <v>1.61</v>
      </c>
      <c r="K32" s="54">
        <v>301.25</v>
      </c>
      <c r="L32" s="54">
        <v>16.350000000000001</v>
      </c>
      <c r="M32" s="54">
        <v>86.5</v>
      </c>
      <c r="N32" s="54">
        <v>74.8</v>
      </c>
      <c r="O32" s="54">
        <v>0</v>
      </c>
      <c r="P32" s="54">
        <v>2.0699999999999998</v>
      </c>
      <c r="Q32" s="54">
        <v>8.2100000000000009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4.9000000000000004</v>
      </c>
      <c r="C34" s="28">
        <f t="shared" si="0"/>
        <v>60.57</v>
      </c>
      <c r="D34" s="28">
        <f t="shared" si="0"/>
        <v>36.67</v>
      </c>
      <c r="E34" s="28">
        <f t="shared" si="0"/>
        <v>3.5</v>
      </c>
      <c r="F34" s="28">
        <f t="shared" si="0"/>
        <v>2.13</v>
      </c>
      <c r="G34" s="28">
        <f t="shared" si="0"/>
        <v>46.24</v>
      </c>
      <c r="H34" s="28">
        <f t="shared" si="0"/>
        <v>19.690000000000001</v>
      </c>
      <c r="I34" s="28">
        <f t="shared" si="0"/>
        <v>0</v>
      </c>
      <c r="J34" s="28">
        <f t="shared" si="0"/>
        <v>1.17</v>
      </c>
      <c r="K34" s="28">
        <f t="shared" si="0"/>
        <v>86.7</v>
      </c>
      <c r="L34" s="28">
        <f t="shared" si="0"/>
        <v>11.92</v>
      </c>
      <c r="M34" s="28">
        <f t="shared" si="0"/>
        <v>23.23</v>
      </c>
      <c r="N34" s="28">
        <f t="shared" si="0"/>
        <v>74.5</v>
      </c>
      <c r="O34" s="28">
        <f t="shared" si="0"/>
        <v>0</v>
      </c>
      <c r="P34" s="28">
        <f t="shared" si="0"/>
        <v>0.74</v>
      </c>
      <c r="Q34" s="28">
        <f t="shared" si="0"/>
        <v>8.2100000000000009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195</v>
      </c>
      <c r="C35" s="29">
        <f t="shared" si="1"/>
        <v>84.46</v>
      </c>
      <c r="D35" s="29">
        <f t="shared" si="1"/>
        <v>194.37</v>
      </c>
      <c r="E35" s="29">
        <f t="shared" si="1"/>
        <v>11.65</v>
      </c>
      <c r="F35" s="29">
        <f t="shared" si="1"/>
        <v>2.1800000000000002</v>
      </c>
      <c r="G35" s="29">
        <f t="shared" si="1"/>
        <v>207.71</v>
      </c>
      <c r="H35" s="29">
        <f t="shared" si="1"/>
        <v>68.81</v>
      </c>
      <c r="I35" s="29">
        <f t="shared" si="1"/>
        <v>0</v>
      </c>
      <c r="J35" s="29">
        <f t="shared" si="1"/>
        <v>2.85</v>
      </c>
      <c r="K35" s="29">
        <f t="shared" si="1"/>
        <v>357.48</v>
      </c>
      <c r="L35" s="29">
        <f t="shared" si="1"/>
        <v>30.06</v>
      </c>
      <c r="M35" s="29">
        <f t="shared" si="1"/>
        <v>100.15</v>
      </c>
      <c r="N35" s="29">
        <f t="shared" si="1"/>
        <v>683.1</v>
      </c>
      <c r="O35" s="29">
        <f t="shared" si="1"/>
        <v>0</v>
      </c>
      <c r="P35" s="29">
        <f t="shared" si="1"/>
        <v>2.7</v>
      </c>
      <c r="Q35" s="29">
        <f t="shared" si="1"/>
        <v>10.29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83.976666666666674</v>
      </c>
      <c r="C36" s="28">
        <f t="shared" si="2"/>
        <v>73.855833333333337</v>
      </c>
      <c r="D36" s="28">
        <f t="shared" si="2"/>
        <v>104.05041666666666</v>
      </c>
      <c r="E36" s="28">
        <f t="shared" si="2"/>
        <v>7.8525</v>
      </c>
      <c r="F36" s="28">
        <f t="shared" si="2"/>
        <v>2.1320833333333336</v>
      </c>
      <c r="G36" s="28">
        <f t="shared" si="2"/>
        <v>150.47458333333336</v>
      </c>
      <c r="H36" s="28">
        <f t="shared" si="2"/>
        <v>49.138749999999995</v>
      </c>
      <c r="I36" s="28" t="e">
        <f t="shared" si="2"/>
        <v>#DIV/0!</v>
      </c>
      <c r="J36" s="28">
        <f t="shared" si="2"/>
        <v>1.8395833333333333</v>
      </c>
      <c r="K36" s="28">
        <f t="shared" si="2"/>
        <v>296.28208333333333</v>
      </c>
      <c r="L36" s="28">
        <f t="shared" si="2"/>
        <v>20.265833333333337</v>
      </c>
      <c r="M36" s="28">
        <f t="shared" si="2"/>
        <v>65.015000000000001</v>
      </c>
      <c r="N36" s="28">
        <f t="shared" si="2"/>
        <v>237.82083333333333</v>
      </c>
      <c r="O36" s="28">
        <f t="shared" si="2"/>
        <v>0</v>
      </c>
      <c r="P36" s="28">
        <f t="shared" si="2"/>
        <v>1.7370833333333333</v>
      </c>
      <c r="Q36" s="28">
        <f t="shared" si="2"/>
        <v>9.0650000000000031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67.612411496749587</v>
      </c>
      <c r="C37" s="28">
        <f t="shared" ref="C37:Q37" si="3">STDEV(C9:C32)</f>
        <v>8.0058717129401646</v>
      </c>
      <c r="D37" s="28">
        <f t="shared" si="3"/>
        <v>51.74128748160048</v>
      </c>
      <c r="E37" s="28">
        <f t="shared" si="3"/>
        <v>2.5229214432272071</v>
      </c>
      <c r="F37" s="28">
        <f t="shared" si="3"/>
        <v>1.0206207261596632E-2</v>
      </c>
      <c r="G37" s="28">
        <f t="shared" si="3"/>
        <v>55.722514455201519</v>
      </c>
      <c r="H37" s="28">
        <f t="shared" si="3"/>
        <v>17.60587434389566</v>
      </c>
      <c r="I37" s="28" t="e">
        <f t="shared" si="3"/>
        <v>#DIV/0!</v>
      </c>
      <c r="J37" s="28">
        <f t="shared" si="3"/>
        <v>0.4021299721392993</v>
      </c>
      <c r="K37" s="28">
        <f t="shared" si="3"/>
        <v>66.55691412024845</v>
      </c>
      <c r="L37" s="28">
        <f t="shared" si="3"/>
        <v>6.0445706264358314</v>
      </c>
      <c r="M37" s="28">
        <f t="shared" si="3"/>
        <v>27.358079483828458</v>
      </c>
      <c r="N37" s="28">
        <f t="shared" si="3"/>
        <v>236.46206052735093</v>
      </c>
      <c r="O37" s="28">
        <f t="shared" si="3"/>
        <v>0</v>
      </c>
      <c r="P37" s="28">
        <f t="shared" si="3"/>
        <v>0.57862264617509285</v>
      </c>
      <c r="Q37" s="28">
        <f t="shared" si="3"/>
        <v>0.92071805626393244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0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&lt;90%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LESS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H41" sqref="H41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24/01/2025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25"/>
      <c r="B8" s="51" t="s">
        <v>22</v>
      </c>
      <c r="C8" s="51" t="s">
        <v>22</v>
      </c>
      <c r="D8" s="29" t="s">
        <v>42</v>
      </c>
      <c r="E8" s="51" t="s">
        <v>22</v>
      </c>
      <c r="F8" s="51" t="s">
        <v>22</v>
      </c>
      <c r="G8" s="51" t="s">
        <v>23</v>
      </c>
      <c r="H8" s="51" t="s">
        <v>22</v>
      </c>
      <c r="I8" s="51" t="s">
        <v>22</v>
      </c>
      <c r="J8" s="51" t="s">
        <v>24</v>
      </c>
      <c r="K8" s="51" t="s">
        <v>25</v>
      </c>
      <c r="L8" s="25" t="s">
        <v>27</v>
      </c>
      <c r="M8" s="51" t="s">
        <v>26</v>
      </c>
      <c r="N8" s="51" t="s">
        <v>28</v>
      </c>
      <c r="O8" s="25" t="s">
        <v>29</v>
      </c>
      <c r="P8" s="51" t="s">
        <v>22</v>
      </c>
      <c r="Q8" s="51" t="s">
        <v>22</v>
      </c>
      <c r="R8" s="27"/>
      <c r="S8" s="29"/>
      <c r="T8" s="27"/>
      <c r="U8" s="27"/>
    </row>
    <row r="9" spans="1:21" s="11" customFormat="1" x14ac:dyDescent="0.25">
      <c r="A9" s="61" t="s">
        <v>612</v>
      </c>
      <c r="B9" s="62">
        <v>52.79</v>
      </c>
      <c r="C9" s="62">
        <v>71.44</v>
      </c>
      <c r="D9" s="62">
        <v>78.28</v>
      </c>
      <c r="E9" s="62">
        <v>7.58</v>
      </c>
      <c r="F9" s="62">
        <v>2.13</v>
      </c>
      <c r="G9" s="62">
        <v>195.73</v>
      </c>
      <c r="H9" s="62">
        <v>63.49</v>
      </c>
      <c r="I9" s="63" t="s">
        <v>15</v>
      </c>
      <c r="J9" s="62">
        <v>1.83</v>
      </c>
      <c r="K9" s="62">
        <v>339.01</v>
      </c>
      <c r="L9" s="62">
        <v>16.13</v>
      </c>
      <c r="M9" s="62">
        <v>87.72</v>
      </c>
      <c r="N9" s="62">
        <v>74.900000000000006</v>
      </c>
      <c r="O9" s="62">
        <v>0</v>
      </c>
      <c r="P9" s="62">
        <v>1.79</v>
      </c>
      <c r="Q9" s="62">
        <v>8.2100000000000009</v>
      </c>
      <c r="R9" s="43"/>
      <c r="S9" s="43"/>
      <c r="T9" s="43"/>
      <c r="U9" s="43"/>
    </row>
    <row r="10" spans="1:21" s="11" customFormat="1" x14ac:dyDescent="0.25">
      <c r="A10" s="61" t="s">
        <v>613</v>
      </c>
      <c r="B10" s="62">
        <v>47.32</v>
      </c>
      <c r="C10" s="62">
        <v>65.22</v>
      </c>
      <c r="D10" s="62">
        <v>70</v>
      </c>
      <c r="E10" s="62">
        <v>7.65</v>
      </c>
      <c r="F10" s="62">
        <v>2.13</v>
      </c>
      <c r="G10" s="62">
        <v>155.58000000000001</v>
      </c>
      <c r="H10" s="62">
        <v>52.53</v>
      </c>
      <c r="I10" s="63" t="s">
        <v>15</v>
      </c>
      <c r="J10" s="62">
        <v>1.72</v>
      </c>
      <c r="K10" s="62">
        <v>339.5</v>
      </c>
      <c r="L10" s="62">
        <v>14.87</v>
      </c>
      <c r="M10" s="62">
        <v>95.02</v>
      </c>
      <c r="N10" s="62">
        <v>74.8</v>
      </c>
      <c r="O10" s="62">
        <v>0</v>
      </c>
      <c r="P10" s="62">
        <v>1.65</v>
      </c>
      <c r="Q10" s="62">
        <v>8.2100000000000009</v>
      </c>
      <c r="R10" s="43"/>
      <c r="S10" s="43"/>
      <c r="T10" s="43"/>
      <c r="U10" s="43"/>
    </row>
    <row r="11" spans="1:21" s="11" customFormat="1" x14ac:dyDescent="0.25">
      <c r="A11" s="61" t="s">
        <v>614</v>
      </c>
      <c r="B11" s="62">
        <v>41.49</v>
      </c>
      <c r="C11" s="62">
        <v>65.28</v>
      </c>
      <c r="D11" s="62">
        <v>65.94</v>
      </c>
      <c r="E11" s="62">
        <v>7.5</v>
      </c>
      <c r="F11" s="62">
        <v>2.13</v>
      </c>
      <c r="G11" s="62">
        <v>143.41999999999999</v>
      </c>
      <c r="H11" s="62">
        <v>53.25</v>
      </c>
      <c r="I11" s="63" t="s">
        <v>15</v>
      </c>
      <c r="J11" s="62">
        <v>1.83</v>
      </c>
      <c r="K11" s="62">
        <v>302.77999999999997</v>
      </c>
      <c r="L11" s="62">
        <v>14.74</v>
      </c>
      <c r="M11" s="62">
        <v>97</v>
      </c>
      <c r="N11" s="62">
        <v>74.900000000000006</v>
      </c>
      <c r="O11" s="62">
        <v>0</v>
      </c>
      <c r="P11" s="62">
        <v>1.57</v>
      </c>
      <c r="Q11" s="62">
        <v>8.2100000000000009</v>
      </c>
      <c r="R11" s="43"/>
      <c r="S11" s="43"/>
      <c r="T11" s="43"/>
      <c r="U11" s="43"/>
    </row>
    <row r="12" spans="1:21" s="11" customFormat="1" x14ac:dyDescent="0.25">
      <c r="A12" s="61" t="s">
        <v>615</v>
      </c>
      <c r="B12" s="62">
        <v>38.44</v>
      </c>
      <c r="C12" s="62">
        <v>62.02</v>
      </c>
      <c r="D12" s="62">
        <v>61.58</v>
      </c>
      <c r="E12" s="62">
        <v>7.29</v>
      </c>
      <c r="F12" s="62">
        <v>2.13</v>
      </c>
      <c r="G12" s="62">
        <v>149.63</v>
      </c>
      <c r="H12" s="62">
        <v>52.58</v>
      </c>
      <c r="I12" s="63" t="s">
        <v>15</v>
      </c>
      <c r="J12" s="62">
        <v>1.81</v>
      </c>
      <c r="K12" s="62">
        <v>277.91000000000003</v>
      </c>
      <c r="L12" s="62">
        <v>14.05</v>
      </c>
      <c r="M12" s="62">
        <v>102.55</v>
      </c>
      <c r="N12" s="62">
        <v>74.599999999999994</v>
      </c>
      <c r="O12" s="62">
        <v>0</v>
      </c>
      <c r="P12" s="62">
        <v>1.47</v>
      </c>
      <c r="Q12" s="62">
        <v>8.2100000000000009</v>
      </c>
      <c r="R12" s="43"/>
      <c r="S12" s="43"/>
      <c r="T12" s="43"/>
      <c r="U12" s="43"/>
    </row>
    <row r="13" spans="1:21" s="11" customFormat="1" x14ac:dyDescent="0.25">
      <c r="A13" s="61" t="s">
        <v>616</v>
      </c>
      <c r="B13" s="62">
        <v>37.21</v>
      </c>
      <c r="C13" s="62">
        <v>61.02</v>
      </c>
      <c r="D13" s="62">
        <v>60.05</v>
      </c>
      <c r="E13" s="62">
        <v>7.46</v>
      </c>
      <c r="F13" s="62">
        <v>2.13</v>
      </c>
      <c r="G13" s="62">
        <v>145.22</v>
      </c>
      <c r="H13" s="62">
        <v>57.92</v>
      </c>
      <c r="I13" s="63" t="s">
        <v>15</v>
      </c>
      <c r="J13" s="62">
        <v>1.83</v>
      </c>
      <c r="K13" s="62">
        <v>356.14</v>
      </c>
      <c r="L13" s="62">
        <v>14.03</v>
      </c>
      <c r="M13" s="62">
        <v>100.6</v>
      </c>
      <c r="N13" s="62">
        <v>74.8</v>
      </c>
      <c r="O13" s="62">
        <v>0</v>
      </c>
      <c r="P13" s="62">
        <v>1.44</v>
      </c>
      <c r="Q13" s="62">
        <v>8.2100000000000009</v>
      </c>
      <c r="R13" s="43"/>
      <c r="S13" s="43"/>
      <c r="T13" s="43"/>
      <c r="U13" s="43"/>
    </row>
    <row r="14" spans="1:21" s="11" customFormat="1" x14ac:dyDescent="0.25">
      <c r="A14" s="61" t="s">
        <v>617</v>
      </c>
      <c r="B14" s="62">
        <v>47.77</v>
      </c>
      <c r="C14" s="62">
        <v>63.29</v>
      </c>
      <c r="D14" s="62">
        <v>70</v>
      </c>
      <c r="E14" s="62">
        <v>8.7100000000000009</v>
      </c>
      <c r="F14" s="62">
        <v>2.13</v>
      </c>
      <c r="G14" s="62">
        <v>202.2</v>
      </c>
      <c r="H14" s="62">
        <v>66.33</v>
      </c>
      <c r="I14" s="63" t="s">
        <v>15</v>
      </c>
      <c r="J14" s="62">
        <v>1.95</v>
      </c>
      <c r="K14" s="62">
        <v>312.52999999999997</v>
      </c>
      <c r="L14" s="62">
        <v>14.44</v>
      </c>
      <c r="M14" s="62">
        <v>103.14</v>
      </c>
      <c r="N14" s="62">
        <v>75.099999999999994</v>
      </c>
      <c r="O14" s="62">
        <v>0</v>
      </c>
      <c r="P14" s="62">
        <v>1.52</v>
      </c>
      <c r="Q14" s="62">
        <v>8.2100000000000009</v>
      </c>
      <c r="R14" s="43"/>
      <c r="S14" s="43"/>
      <c r="T14" s="43"/>
      <c r="U14" s="43"/>
    </row>
    <row r="15" spans="1:21" s="11" customFormat="1" x14ac:dyDescent="0.25">
      <c r="A15" s="61" t="s">
        <v>618</v>
      </c>
      <c r="B15" s="62">
        <v>61.18</v>
      </c>
      <c r="C15" s="62">
        <v>62.79</v>
      </c>
      <c r="D15" s="62">
        <v>80.349999999999994</v>
      </c>
      <c r="E15" s="62">
        <v>9.74</v>
      </c>
      <c r="F15" s="62">
        <v>2.13</v>
      </c>
      <c r="G15" s="62">
        <v>246.29</v>
      </c>
      <c r="H15" s="62">
        <v>72.8</v>
      </c>
      <c r="I15" s="63" t="s">
        <v>15</v>
      </c>
      <c r="J15" s="62">
        <v>1.59</v>
      </c>
      <c r="K15" s="62">
        <v>316.48</v>
      </c>
      <c r="L15" s="62">
        <v>13.42</v>
      </c>
      <c r="M15" s="62">
        <v>103.55</v>
      </c>
      <c r="N15" s="62">
        <v>83</v>
      </c>
      <c r="O15" s="62">
        <v>0</v>
      </c>
      <c r="P15" s="62">
        <v>1.55</v>
      </c>
      <c r="Q15" s="62">
        <v>8.2200000000000006</v>
      </c>
      <c r="R15" s="43"/>
      <c r="S15" s="43"/>
      <c r="T15" s="43"/>
      <c r="U15" s="43"/>
    </row>
    <row r="16" spans="1:21" s="11" customFormat="1" x14ac:dyDescent="0.25">
      <c r="A16" s="61" t="s">
        <v>619</v>
      </c>
      <c r="B16" s="62">
        <v>76.040000000000006</v>
      </c>
      <c r="C16" s="62">
        <v>59.72</v>
      </c>
      <c r="D16" s="62">
        <v>90.54</v>
      </c>
      <c r="E16" s="62">
        <v>9.2899999999999991</v>
      </c>
      <c r="F16" s="62">
        <v>2.13</v>
      </c>
      <c r="G16" s="62">
        <v>168.45</v>
      </c>
      <c r="H16" s="62">
        <v>70.48</v>
      </c>
      <c r="I16" s="63" t="s">
        <v>15</v>
      </c>
      <c r="J16" s="62">
        <v>1.82</v>
      </c>
      <c r="K16" s="62">
        <v>308.77</v>
      </c>
      <c r="L16" s="62">
        <v>15.52</v>
      </c>
      <c r="M16" s="62">
        <v>103.32</v>
      </c>
      <c r="N16" s="62">
        <v>180.1</v>
      </c>
      <c r="O16" s="62">
        <v>0</v>
      </c>
      <c r="P16" s="62">
        <v>1.55</v>
      </c>
      <c r="Q16" s="62">
        <v>8.89</v>
      </c>
      <c r="R16" s="43"/>
      <c r="S16" s="43"/>
      <c r="T16" s="43"/>
      <c r="U16" s="43"/>
    </row>
    <row r="17" spans="1:21" s="11" customFormat="1" x14ac:dyDescent="0.25">
      <c r="A17" s="61" t="s">
        <v>620</v>
      </c>
      <c r="B17" s="62">
        <v>77.650000000000006</v>
      </c>
      <c r="C17" s="62">
        <v>63.2</v>
      </c>
      <c r="D17" s="62">
        <v>92.29</v>
      </c>
      <c r="E17" s="62">
        <v>9.49</v>
      </c>
      <c r="F17" s="62">
        <v>2.13</v>
      </c>
      <c r="G17" s="62">
        <v>187.62</v>
      </c>
      <c r="H17" s="64" t="s">
        <v>14</v>
      </c>
      <c r="I17" s="63" t="s">
        <v>15</v>
      </c>
      <c r="J17" s="62">
        <v>2.57</v>
      </c>
      <c r="K17" s="62">
        <v>330.98</v>
      </c>
      <c r="L17" s="62">
        <v>22.12</v>
      </c>
      <c r="M17" s="62">
        <v>78.63</v>
      </c>
      <c r="N17" s="62">
        <v>335.3</v>
      </c>
      <c r="O17" s="62">
        <v>0</v>
      </c>
      <c r="P17" s="62">
        <v>1.58</v>
      </c>
      <c r="Q17" s="62">
        <v>9.02</v>
      </c>
      <c r="R17" s="43"/>
      <c r="S17" s="43"/>
      <c r="T17" s="43"/>
      <c r="U17" s="43"/>
    </row>
    <row r="18" spans="1:21" s="11" customFormat="1" x14ac:dyDescent="0.25">
      <c r="A18" s="61" t="s">
        <v>621</v>
      </c>
      <c r="B18" s="62">
        <v>72.02</v>
      </c>
      <c r="C18" s="62">
        <v>76.290000000000006</v>
      </c>
      <c r="D18" s="62">
        <v>92.11</v>
      </c>
      <c r="E18" s="62">
        <v>9.81</v>
      </c>
      <c r="F18" s="62">
        <v>2.13</v>
      </c>
      <c r="G18" s="62">
        <v>207.85</v>
      </c>
      <c r="H18" s="64" t="s">
        <v>14</v>
      </c>
      <c r="I18" s="63" t="s">
        <v>15</v>
      </c>
      <c r="J18" s="62">
        <v>2.34</v>
      </c>
      <c r="K18" s="62">
        <v>338.9</v>
      </c>
      <c r="L18" s="62">
        <v>26.34</v>
      </c>
      <c r="M18" s="62">
        <v>56.07</v>
      </c>
      <c r="N18" s="62">
        <v>444.7</v>
      </c>
      <c r="O18" s="62">
        <v>0</v>
      </c>
      <c r="P18" s="62">
        <v>1.61</v>
      </c>
      <c r="Q18" s="62">
        <v>8.85</v>
      </c>
      <c r="R18" s="43"/>
      <c r="S18" s="43"/>
      <c r="T18" s="43"/>
      <c r="U18" s="43"/>
    </row>
    <row r="19" spans="1:21" s="11" customFormat="1" x14ac:dyDescent="0.25">
      <c r="A19" s="61" t="s">
        <v>622</v>
      </c>
      <c r="B19" s="62">
        <v>65.819999999999993</v>
      </c>
      <c r="C19" s="62">
        <v>87.12</v>
      </c>
      <c r="D19" s="62">
        <v>92.74</v>
      </c>
      <c r="E19" s="62">
        <v>10.24</v>
      </c>
      <c r="F19" s="62">
        <v>2.17</v>
      </c>
      <c r="G19" s="62">
        <v>217.71</v>
      </c>
      <c r="H19" s="64" t="s">
        <v>14</v>
      </c>
      <c r="I19" s="63" t="s">
        <v>15</v>
      </c>
      <c r="J19" s="62">
        <v>2.29</v>
      </c>
      <c r="K19" s="62">
        <v>335.54</v>
      </c>
      <c r="L19" s="62">
        <v>28.04</v>
      </c>
      <c r="M19" s="62">
        <v>41.67</v>
      </c>
      <c r="N19" s="62">
        <v>541</v>
      </c>
      <c r="O19" s="62">
        <v>0</v>
      </c>
      <c r="P19" s="62">
        <v>1.62</v>
      </c>
      <c r="Q19" s="62">
        <v>8.67</v>
      </c>
      <c r="R19" s="43"/>
      <c r="S19" s="43"/>
      <c r="T19" s="43"/>
      <c r="U19" s="43"/>
    </row>
    <row r="20" spans="1:21" s="11" customFormat="1" x14ac:dyDescent="0.25">
      <c r="A20" s="61" t="s">
        <v>623</v>
      </c>
      <c r="B20" s="62">
        <v>55.61</v>
      </c>
      <c r="C20" s="62">
        <v>89.18</v>
      </c>
      <c r="D20" s="62">
        <v>89.81</v>
      </c>
      <c r="E20" s="62">
        <v>9.41</v>
      </c>
      <c r="F20" s="62">
        <v>2.13</v>
      </c>
      <c r="G20" s="62">
        <v>188.57</v>
      </c>
      <c r="H20" s="64" t="s">
        <v>14</v>
      </c>
      <c r="I20" s="63" t="s">
        <v>15</v>
      </c>
      <c r="J20" s="62">
        <v>2.86</v>
      </c>
      <c r="K20" s="62">
        <v>330.84</v>
      </c>
      <c r="L20" s="62">
        <v>30.53</v>
      </c>
      <c r="M20" s="62">
        <v>36.42</v>
      </c>
      <c r="N20" s="62">
        <v>610.5</v>
      </c>
      <c r="O20" s="62">
        <v>0</v>
      </c>
      <c r="P20" s="62">
        <v>1.6</v>
      </c>
      <c r="Q20" s="62">
        <v>8.4499999999999993</v>
      </c>
      <c r="R20" s="43"/>
      <c r="S20" s="43"/>
      <c r="T20" s="43"/>
      <c r="U20" s="43"/>
    </row>
    <row r="21" spans="1:21" s="11" customFormat="1" x14ac:dyDescent="0.25">
      <c r="A21" s="61" t="s">
        <v>624</v>
      </c>
      <c r="B21" s="62">
        <v>39.799999999999997</v>
      </c>
      <c r="C21" s="62">
        <v>88.91</v>
      </c>
      <c r="D21" s="62">
        <v>76.989999999999995</v>
      </c>
      <c r="E21" s="62">
        <v>7.85</v>
      </c>
      <c r="F21" s="62">
        <v>2.13</v>
      </c>
      <c r="G21" s="62">
        <v>135.96</v>
      </c>
      <c r="H21" s="64" t="s">
        <v>14</v>
      </c>
      <c r="I21" s="63" t="s">
        <v>15</v>
      </c>
      <c r="J21" s="62">
        <v>2.8</v>
      </c>
      <c r="K21" s="62">
        <v>336.45</v>
      </c>
      <c r="L21" s="62">
        <v>28.79</v>
      </c>
      <c r="M21" s="62">
        <v>38.71</v>
      </c>
      <c r="N21" s="62">
        <v>631.20000000000005</v>
      </c>
      <c r="O21" s="62">
        <v>0</v>
      </c>
      <c r="P21" s="62">
        <v>1.46</v>
      </c>
      <c r="Q21" s="62">
        <v>8.2100000000000009</v>
      </c>
      <c r="R21" s="43"/>
      <c r="S21" s="43"/>
      <c r="T21" s="43"/>
      <c r="U21" s="43"/>
    </row>
    <row r="22" spans="1:21" s="11" customFormat="1" x14ac:dyDescent="0.25">
      <c r="A22" s="61" t="s">
        <v>625</v>
      </c>
      <c r="B22" s="62">
        <v>24.96</v>
      </c>
      <c r="C22" s="62">
        <v>90.55</v>
      </c>
      <c r="D22" s="62">
        <v>64.59</v>
      </c>
      <c r="E22" s="62">
        <v>6.78</v>
      </c>
      <c r="F22" s="62">
        <v>2.3199999999999998</v>
      </c>
      <c r="G22" s="62">
        <v>56.24</v>
      </c>
      <c r="H22" s="64" t="s">
        <v>14</v>
      </c>
      <c r="I22" s="63" t="s">
        <v>15</v>
      </c>
      <c r="J22" s="62">
        <v>2.5499999999999998</v>
      </c>
      <c r="K22" s="62">
        <v>325.07</v>
      </c>
      <c r="L22" s="62">
        <v>29.58</v>
      </c>
      <c r="M22" s="62">
        <v>34.880000000000003</v>
      </c>
      <c r="N22" s="62">
        <v>574.4</v>
      </c>
      <c r="O22" s="62">
        <v>0</v>
      </c>
      <c r="P22" s="62">
        <v>1.18</v>
      </c>
      <c r="Q22" s="62">
        <v>8.2100000000000009</v>
      </c>
      <c r="R22" s="43"/>
      <c r="S22" s="43"/>
      <c r="T22" s="43"/>
      <c r="U22" s="43"/>
    </row>
    <row r="23" spans="1:21" s="11" customFormat="1" x14ac:dyDescent="0.25">
      <c r="A23" s="61" t="s">
        <v>626</v>
      </c>
      <c r="B23" s="62">
        <v>11.3</v>
      </c>
      <c r="C23" s="62">
        <v>89.52</v>
      </c>
      <c r="D23" s="62">
        <v>54.46</v>
      </c>
      <c r="E23" s="62">
        <v>6.65</v>
      </c>
      <c r="F23" s="62">
        <v>2.13</v>
      </c>
      <c r="G23" s="62">
        <v>55.21</v>
      </c>
      <c r="H23" s="64" t="s">
        <v>14</v>
      </c>
      <c r="I23" s="63" t="s">
        <v>15</v>
      </c>
      <c r="J23" s="62">
        <v>2.6</v>
      </c>
      <c r="K23" s="62">
        <v>322.92</v>
      </c>
      <c r="L23" s="62">
        <v>29.53</v>
      </c>
      <c r="M23" s="62">
        <v>32.54</v>
      </c>
      <c r="N23" s="62">
        <v>399.3</v>
      </c>
      <c r="O23" s="62">
        <v>0</v>
      </c>
      <c r="P23" s="62">
        <v>1.07</v>
      </c>
      <c r="Q23" s="62">
        <v>8.2100000000000009</v>
      </c>
      <c r="R23" s="43"/>
      <c r="S23" s="43"/>
      <c r="T23" s="43"/>
      <c r="U23" s="43"/>
    </row>
    <row r="24" spans="1:21" s="11" customFormat="1" x14ac:dyDescent="0.25">
      <c r="A24" s="61" t="s">
        <v>627</v>
      </c>
      <c r="B24" s="62">
        <v>5.68</v>
      </c>
      <c r="C24" s="62">
        <v>83.42</v>
      </c>
      <c r="D24" s="62">
        <v>46.14</v>
      </c>
      <c r="E24" s="62">
        <v>6.44</v>
      </c>
      <c r="F24" s="62">
        <v>2.13</v>
      </c>
      <c r="G24" s="62">
        <v>57.85</v>
      </c>
      <c r="H24" s="64" t="s">
        <v>14</v>
      </c>
      <c r="I24" s="63" t="s">
        <v>15</v>
      </c>
      <c r="J24" s="62">
        <v>2.72</v>
      </c>
      <c r="K24" s="62">
        <v>336.98</v>
      </c>
      <c r="L24" s="62">
        <v>27.31</v>
      </c>
      <c r="M24" s="62">
        <v>31.5</v>
      </c>
      <c r="N24" s="62">
        <v>213.4</v>
      </c>
      <c r="O24" s="62">
        <v>0</v>
      </c>
      <c r="P24" s="62">
        <v>0.9</v>
      </c>
      <c r="Q24" s="62">
        <v>8.2100000000000009</v>
      </c>
      <c r="R24" s="43"/>
      <c r="S24" s="43"/>
      <c r="T24" s="43"/>
      <c r="U24" s="43"/>
    </row>
    <row r="25" spans="1:21" s="11" customFormat="1" x14ac:dyDescent="0.25">
      <c r="A25" s="61" t="s">
        <v>628</v>
      </c>
      <c r="B25" s="62">
        <v>7.41</v>
      </c>
      <c r="C25" s="62">
        <v>76.430000000000007</v>
      </c>
      <c r="D25" s="62">
        <v>43.99</v>
      </c>
      <c r="E25" s="62">
        <v>4.7699999999999996</v>
      </c>
      <c r="F25" s="62">
        <v>2.13</v>
      </c>
      <c r="G25" s="62">
        <v>62.5</v>
      </c>
      <c r="H25" s="64" t="s">
        <v>14</v>
      </c>
      <c r="I25" s="63" t="s">
        <v>15</v>
      </c>
      <c r="J25" s="62">
        <v>2.59</v>
      </c>
      <c r="K25" s="62">
        <v>343.52</v>
      </c>
      <c r="L25" s="62">
        <v>26.09</v>
      </c>
      <c r="M25" s="62">
        <v>35.36</v>
      </c>
      <c r="N25" s="62">
        <v>121.6</v>
      </c>
      <c r="O25" s="62">
        <v>0</v>
      </c>
      <c r="P25" s="62">
        <v>0.88</v>
      </c>
      <c r="Q25" s="62">
        <v>8.2100000000000009</v>
      </c>
      <c r="R25" s="43"/>
      <c r="S25" s="43"/>
      <c r="T25" s="43"/>
      <c r="U25" s="43"/>
    </row>
    <row r="26" spans="1:21" s="11" customFormat="1" x14ac:dyDescent="0.25">
      <c r="A26" s="61" t="s">
        <v>629</v>
      </c>
      <c r="B26" s="62">
        <v>13.11</v>
      </c>
      <c r="C26" s="62">
        <v>81.599999999999994</v>
      </c>
      <c r="D26" s="62">
        <v>51.77</v>
      </c>
      <c r="E26" s="62">
        <v>5.17</v>
      </c>
      <c r="F26" s="62">
        <v>2.13</v>
      </c>
      <c r="G26" s="62">
        <v>78.459999999999994</v>
      </c>
      <c r="H26" s="64" t="s">
        <v>14</v>
      </c>
      <c r="I26" s="63" t="s">
        <v>15</v>
      </c>
      <c r="J26" s="62">
        <v>1.81</v>
      </c>
      <c r="K26" s="62">
        <v>331.51</v>
      </c>
      <c r="L26" s="62">
        <v>24.2</v>
      </c>
      <c r="M26" s="62">
        <v>47.32</v>
      </c>
      <c r="N26" s="62">
        <v>90.3</v>
      </c>
      <c r="O26" s="62">
        <v>0</v>
      </c>
      <c r="P26" s="62">
        <v>1.02</v>
      </c>
      <c r="Q26" s="62">
        <v>8.2100000000000009</v>
      </c>
      <c r="R26" s="43"/>
      <c r="S26" s="43"/>
      <c r="T26" s="43"/>
      <c r="U26" s="43"/>
    </row>
    <row r="27" spans="1:21" s="11" customFormat="1" x14ac:dyDescent="0.25">
      <c r="A27" s="61" t="s">
        <v>630</v>
      </c>
      <c r="B27" s="62">
        <v>42.24</v>
      </c>
      <c r="C27" s="62">
        <v>88.52</v>
      </c>
      <c r="D27" s="62">
        <v>78.75</v>
      </c>
      <c r="E27" s="62">
        <v>6.4</v>
      </c>
      <c r="F27" s="62">
        <v>2.13</v>
      </c>
      <c r="G27" s="62">
        <v>136.22</v>
      </c>
      <c r="H27" s="64" t="s">
        <v>14</v>
      </c>
      <c r="I27" s="63" t="s">
        <v>15</v>
      </c>
      <c r="J27" s="62">
        <v>1.74</v>
      </c>
      <c r="K27" s="62">
        <v>294.45</v>
      </c>
      <c r="L27" s="62">
        <v>20.83</v>
      </c>
      <c r="M27" s="62">
        <v>60.12</v>
      </c>
      <c r="N27" s="62">
        <v>72</v>
      </c>
      <c r="O27" s="62">
        <v>0</v>
      </c>
      <c r="P27" s="62">
        <v>1.48</v>
      </c>
      <c r="Q27" s="62">
        <v>8.2100000000000009</v>
      </c>
      <c r="R27" s="43"/>
      <c r="S27" s="43"/>
      <c r="T27" s="43"/>
      <c r="U27" s="43"/>
    </row>
    <row r="28" spans="1:21" s="11" customFormat="1" x14ac:dyDescent="0.25">
      <c r="A28" s="61" t="s">
        <v>631</v>
      </c>
      <c r="B28" s="62">
        <v>81.430000000000007</v>
      </c>
      <c r="C28" s="62">
        <v>88.15</v>
      </c>
      <c r="D28" s="62">
        <v>107.72</v>
      </c>
      <c r="E28" s="62">
        <v>7.16</v>
      </c>
      <c r="F28" s="62">
        <v>2.13</v>
      </c>
      <c r="G28" s="62">
        <v>199.58</v>
      </c>
      <c r="H28" s="64" t="s">
        <v>14</v>
      </c>
      <c r="I28" s="63" t="s">
        <v>15</v>
      </c>
      <c r="J28" s="62">
        <v>1.85</v>
      </c>
      <c r="K28" s="62">
        <v>287.33</v>
      </c>
      <c r="L28" s="62">
        <v>19.04</v>
      </c>
      <c r="M28" s="62">
        <v>67.959999999999994</v>
      </c>
      <c r="N28" s="62">
        <v>71.7</v>
      </c>
      <c r="O28" s="62">
        <v>0</v>
      </c>
      <c r="P28" s="62">
        <v>1.75</v>
      </c>
      <c r="Q28" s="62">
        <v>9.26</v>
      </c>
      <c r="R28" s="43"/>
      <c r="S28" s="43"/>
      <c r="T28" s="43"/>
      <c r="U28" s="43"/>
    </row>
    <row r="29" spans="1:21" s="11" customFormat="1" x14ac:dyDescent="0.25">
      <c r="A29" s="61" t="s">
        <v>632</v>
      </c>
      <c r="B29" s="62">
        <v>116.1</v>
      </c>
      <c r="C29" s="62">
        <v>83.12</v>
      </c>
      <c r="D29" s="62">
        <v>133.47</v>
      </c>
      <c r="E29" s="62">
        <v>7.28</v>
      </c>
      <c r="F29" s="62">
        <v>2.13</v>
      </c>
      <c r="G29" s="62">
        <v>230.88</v>
      </c>
      <c r="H29" s="64" t="s">
        <v>14</v>
      </c>
      <c r="I29" s="63" t="s">
        <v>15</v>
      </c>
      <c r="J29" s="62">
        <v>1.82</v>
      </c>
      <c r="K29" s="62">
        <v>328.23</v>
      </c>
      <c r="L29" s="62">
        <v>18.04</v>
      </c>
      <c r="M29" s="62">
        <v>76.38</v>
      </c>
      <c r="N29" s="62">
        <v>71.5</v>
      </c>
      <c r="O29" s="62">
        <v>0</v>
      </c>
      <c r="P29" s="62">
        <v>2.52</v>
      </c>
      <c r="Q29" s="62">
        <v>9.51</v>
      </c>
      <c r="R29" s="43"/>
      <c r="S29" s="43"/>
      <c r="T29" s="43"/>
      <c r="U29" s="43"/>
    </row>
    <row r="30" spans="1:21" s="11" customFormat="1" x14ac:dyDescent="0.25">
      <c r="A30" s="61" t="s">
        <v>633</v>
      </c>
      <c r="B30" s="62">
        <v>178.67</v>
      </c>
      <c r="C30" s="62">
        <v>88.06</v>
      </c>
      <c r="D30" s="62">
        <v>187.39</v>
      </c>
      <c r="E30" s="62">
        <v>11.11</v>
      </c>
      <c r="F30" s="62">
        <v>2.13</v>
      </c>
      <c r="G30" s="62">
        <v>253.1</v>
      </c>
      <c r="H30" s="62">
        <v>68.180000000000007</v>
      </c>
      <c r="I30" s="63" t="s">
        <v>15</v>
      </c>
      <c r="J30" s="62">
        <v>1.82</v>
      </c>
      <c r="K30" s="62">
        <v>318.33</v>
      </c>
      <c r="L30" s="62">
        <v>17.2</v>
      </c>
      <c r="M30" s="62">
        <v>84</v>
      </c>
      <c r="N30" s="62">
        <v>71.400000000000006</v>
      </c>
      <c r="O30" s="62">
        <v>0</v>
      </c>
      <c r="P30" s="62">
        <v>2.57</v>
      </c>
      <c r="Q30" s="62">
        <v>9.7799999999999994</v>
      </c>
      <c r="R30" s="43"/>
      <c r="S30" s="43"/>
      <c r="T30" s="43"/>
      <c r="U30" s="43"/>
    </row>
    <row r="31" spans="1:21" s="11" customFormat="1" x14ac:dyDescent="0.25">
      <c r="A31" s="61" t="s">
        <v>634</v>
      </c>
      <c r="B31" s="62">
        <v>236.74</v>
      </c>
      <c r="C31" s="62">
        <v>86.85</v>
      </c>
      <c r="D31" s="62">
        <v>233.74</v>
      </c>
      <c r="E31" s="62">
        <v>11.08</v>
      </c>
      <c r="F31" s="62">
        <v>2.13</v>
      </c>
      <c r="G31" s="62">
        <v>227.79</v>
      </c>
      <c r="H31" s="62">
        <v>69.95</v>
      </c>
      <c r="I31" s="63" t="s">
        <v>15</v>
      </c>
      <c r="J31" s="62">
        <v>1.77</v>
      </c>
      <c r="K31" s="62">
        <v>328.67</v>
      </c>
      <c r="L31" s="62">
        <v>16.809999999999999</v>
      </c>
      <c r="M31" s="62">
        <v>82.83</v>
      </c>
      <c r="N31" s="62">
        <v>71.2</v>
      </c>
      <c r="O31" s="62">
        <v>0</v>
      </c>
      <c r="P31" s="62">
        <v>2.85</v>
      </c>
      <c r="Q31" s="62">
        <v>10.1</v>
      </c>
      <c r="R31" s="43"/>
      <c r="S31" s="43"/>
      <c r="T31" s="43"/>
      <c r="U31" s="43"/>
    </row>
    <row r="32" spans="1:21" s="11" customFormat="1" x14ac:dyDescent="0.25">
      <c r="A32" s="61" t="s">
        <v>635</v>
      </c>
      <c r="B32" s="62">
        <v>237.39</v>
      </c>
      <c r="C32" s="62">
        <v>85.36</v>
      </c>
      <c r="D32" s="62">
        <v>233.59</v>
      </c>
      <c r="E32" s="62">
        <v>10.7</v>
      </c>
      <c r="F32" s="62">
        <v>2.13</v>
      </c>
      <c r="G32" s="62">
        <v>191.7</v>
      </c>
      <c r="H32" s="62">
        <v>56.07</v>
      </c>
      <c r="I32" s="63" t="s">
        <v>15</v>
      </c>
      <c r="J32" s="62">
        <v>1.82</v>
      </c>
      <c r="K32" s="62">
        <v>315.3</v>
      </c>
      <c r="L32" s="62">
        <v>16.8</v>
      </c>
      <c r="M32" s="62">
        <v>74.64</v>
      </c>
      <c r="N32" s="62">
        <v>71.3</v>
      </c>
      <c r="O32" s="62">
        <v>0</v>
      </c>
      <c r="P32" s="62">
        <v>2.76</v>
      </c>
      <c r="Q32" s="62">
        <v>10.3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5.68</v>
      </c>
      <c r="C34" s="28">
        <f t="shared" si="0"/>
        <v>59.72</v>
      </c>
      <c r="D34" s="28">
        <f t="shared" si="0"/>
        <v>43.99</v>
      </c>
      <c r="E34" s="28">
        <f t="shared" si="0"/>
        <v>4.7699999999999996</v>
      </c>
      <c r="F34" s="28">
        <f t="shared" si="0"/>
        <v>2.13</v>
      </c>
      <c r="G34" s="28">
        <f t="shared" si="0"/>
        <v>55.21</v>
      </c>
      <c r="H34" s="28">
        <f t="shared" si="0"/>
        <v>52.53</v>
      </c>
      <c r="I34" s="28">
        <f t="shared" si="0"/>
        <v>0</v>
      </c>
      <c r="J34" s="28">
        <f t="shared" si="0"/>
        <v>1.59</v>
      </c>
      <c r="K34" s="28">
        <f t="shared" si="0"/>
        <v>277.91000000000003</v>
      </c>
      <c r="L34" s="28">
        <f t="shared" si="0"/>
        <v>13.42</v>
      </c>
      <c r="M34" s="28">
        <f t="shared" si="0"/>
        <v>31.5</v>
      </c>
      <c r="N34" s="28">
        <f t="shared" si="0"/>
        <v>71.2</v>
      </c>
      <c r="O34" s="28">
        <f t="shared" si="0"/>
        <v>0</v>
      </c>
      <c r="P34" s="28">
        <f t="shared" si="0"/>
        <v>0.88</v>
      </c>
      <c r="Q34" s="28">
        <f t="shared" si="0"/>
        <v>8.2100000000000009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237.39</v>
      </c>
      <c r="C35" s="29">
        <f t="shared" si="1"/>
        <v>90.55</v>
      </c>
      <c r="D35" s="29">
        <f t="shared" si="1"/>
        <v>233.74</v>
      </c>
      <c r="E35" s="29">
        <f t="shared" si="1"/>
        <v>11.11</v>
      </c>
      <c r="F35" s="29">
        <f t="shared" si="1"/>
        <v>2.3199999999999998</v>
      </c>
      <c r="G35" s="29">
        <f t="shared" si="1"/>
        <v>253.1</v>
      </c>
      <c r="H35" s="29">
        <f t="shared" si="1"/>
        <v>72.8</v>
      </c>
      <c r="I35" s="29">
        <f t="shared" si="1"/>
        <v>0</v>
      </c>
      <c r="J35" s="29">
        <f t="shared" si="1"/>
        <v>2.86</v>
      </c>
      <c r="K35" s="29">
        <f t="shared" si="1"/>
        <v>356.14</v>
      </c>
      <c r="L35" s="29">
        <f t="shared" si="1"/>
        <v>30.53</v>
      </c>
      <c r="M35" s="29">
        <f t="shared" si="1"/>
        <v>103.55</v>
      </c>
      <c r="N35" s="29">
        <f t="shared" si="1"/>
        <v>631.20000000000005</v>
      </c>
      <c r="O35" s="29">
        <f t="shared" si="1"/>
        <v>0</v>
      </c>
      <c r="P35" s="29">
        <f t="shared" si="1"/>
        <v>2.85</v>
      </c>
      <c r="Q35" s="29">
        <f t="shared" si="1"/>
        <v>10.3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69.507083333333341</v>
      </c>
      <c r="C36" s="28">
        <f t="shared" si="2"/>
        <v>77.377499999999984</v>
      </c>
      <c r="D36" s="28">
        <f t="shared" si="2"/>
        <v>94.012083333333337</v>
      </c>
      <c r="E36" s="28">
        <f t="shared" si="2"/>
        <v>8.1483333333333317</v>
      </c>
      <c r="F36" s="28">
        <f t="shared" si="2"/>
        <v>2.1395833333333338</v>
      </c>
      <c r="G36" s="28">
        <f t="shared" si="2"/>
        <v>162.23999999999998</v>
      </c>
      <c r="H36" s="28">
        <f t="shared" si="2"/>
        <v>62.143636363636375</v>
      </c>
      <c r="I36" s="28" t="e">
        <f t="shared" si="2"/>
        <v>#DIV/0!</v>
      </c>
      <c r="J36" s="28">
        <f t="shared" si="2"/>
        <v>2.0970833333333339</v>
      </c>
      <c r="K36" s="28">
        <f t="shared" si="2"/>
        <v>323.25583333333344</v>
      </c>
      <c r="L36" s="28">
        <f t="shared" si="2"/>
        <v>20.768750000000001</v>
      </c>
      <c r="M36" s="28">
        <f t="shared" si="2"/>
        <v>69.663749999999979</v>
      </c>
      <c r="N36" s="28">
        <f t="shared" si="2"/>
        <v>212.62499999999997</v>
      </c>
      <c r="O36" s="28">
        <f t="shared" si="2"/>
        <v>0</v>
      </c>
      <c r="P36" s="28">
        <f t="shared" si="2"/>
        <v>1.6412500000000001</v>
      </c>
      <c r="Q36" s="28">
        <f t="shared" si="2"/>
        <v>8.6575000000000006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63.560660069845817</v>
      </c>
      <c r="C37" s="28">
        <f t="shared" ref="C37:Q37" si="3">STDEV(C9:C32)</f>
        <v>11.500857907508369</v>
      </c>
      <c r="D37" s="28">
        <f t="shared" si="3"/>
        <v>52.593491660434857</v>
      </c>
      <c r="E37" s="28">
        <f t="shared" si="3"/>
        <v>1.7810052526999898</v>
      </c>
      <c r="F37" s="28">
        <f t="shared" si="3"/>
        <v>3.9284820242038457E-2</v>
      </c>
      <c r="G37" s="28">
        <f t="shared" si="3"/>
        <v>62.070325403144011</v>
      </c>
      <c r="H37" s="28">
        <f t="shared" si="3"/>
        <v>7.8579797311105262</v>
      </c>
      <c r="I37" s="28" t="e">
        <f t="shared" si="3"/>
        <v>#DIV/0!</v>
      </c>
      <c r="J37" s="28">
        <f t="shared" si="3"/>
        <v>0.41112231509735953</v>
      </c>
      <c r="K37" s="28">
        <f t="shared" si="3"/>
        <v>18.719002183706888</v>
      </c>
      <c r="L37" s="28">
        <f t="shared" si="3"/>
        <v>6.0506846989482828</v>
      </c>
      <c r="M37" s="28">
        <f t="shared" si="3"/>
        <v>26.810016267854262</v>
      </c>
      <c r="N37" s="28">
        <f t="shared" si="3"/>
        <v>203.28263308271929</v>
      </c>
      <c r="O37" s="28">
        <f t="shared" si="3"/>
        <v>0</v>
      </c>
      <c r="P37" s="28">
        <f t="shared" si="3"/>
        <v>0.53598598700047195</v>
      </c>
      <c r="Q37" s="28">
        <f t="shared" si="3"/>
        <v>0.66557755240157335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>COUNT(H9:H32)+13</f>
        <v>24</v>
      </c>
      <c r="I38" s="32">
        <f t="shared" si="4"/>
        <v>0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&lt;90%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LESS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9" sqref="G49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25/01/2025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8"/>
      <c r="B8" s="59" t="s">
        <v>22</v>
      </c>
      <c r="C8" s="59" t="s">
        <v>22</v>
      </c>
      <c r="D8" s="29" t="s">
        <v>42</v>
      </c>
      <c r="E8" s="59" t="s">
        <v>22</v>
      </c>
      <c r="F8" s="59" t="s">
        <v>22</v>
      </c>
      <c r="G8" s="59" t="s">
        <v>23</v>
      </c>
      <c r="H8" s="59" t="s">
        <v>22</v>
      </c>
      <c r="I8" s="59" t="s">
        <v>22</v>
      </c>
      <c r="J8" s="59" t="s">
        <v>24</v>
      </c>
      <c r="K8" s="59" t="s">
        <v>25</v>
      </c>
      <c r="L8" s="58" t="s">
        <v>27</v>
      </c>
      <c r="M8" s="59" t="s">
        <v>26</v>
      </c>
      <c r="N8" s="59" t="s">
        <v>28</v>
      </c>
      <c r="O8" s="58" t="s">
        <v>29</v>
      </c>
      <c r="P8" s="59" t="s">
        <v>22</v>
      </c>
      <c r="Q8" s="59" t="s">
        <v>22</v>
      </c>
      <c r="R8" s="27"/>
      <c r="S8" s="29"/>
      <c r="T8" s="27"/>
      <c r="U8" s="27"/>
    </row>
    <row r="9" spans="1:21" s="11" customFormat="1" x14ac:dyDescent="0.25">
      <c r="A9" s="53" t="s">
        <v>636</v>
      </c>
      <c r="B9" s="54">
        <v>202.64</v>
      </c>
      <c r="C9" s="54">
        <v>74.78</v>
      </c>
      <c r="D9" s="54">
        <v>200.2</v>
      </c>
      <c r="E9" s="54">
        <v>8.44</v>
      </c>
      <c r="F9" s="54">
        <v>2.13</v>
      </c>
      <c r="G9" s="54">
        <v>98.12</v>
      </c>
      <c r="H9" s="54">
        <v>46.03</v>
      </c>
      <c r="I9" s="55" t="s">
        <v>15</v>
      </c>
      <c r="J9" s="54">
        <v>1.82</v>
      </c>
      <c r="K9" s="54">
        <v>315.69</v>
      </c>
      <c r="L9" s="54">
        <v>16.23</v>
      </c>
      <c r="M9" s="54">
        <v>77.84</v>
      </c>
      <c r="N9" s="54">
        <v>71.2</v>
      </c>
      <c r="O9" s="54">
        <v>0</v>
      </c>
      <c r="P9" s="54">
        <v>2.3199999999999998</v>
      </c>
      <c r="Q9" s="54">
        <v>10.210000000000001</v>
      </c>
      <c r="R9" s="43"/>
      <c r="S9" s="43"/>
      <c r="T9" s="43"/>
      <c r="U9" s="43"/>
    </row>
    <row r="10" spans="1:21" s="11" customFormat="1" x14ac:dyDescent="0.25">
      <c r="A10" s="53" t="s">
        <v>637</v>
      </c>
      <c r="B10" s="54">
        <v>172.65</v>
      </c>
      <c r="C10" s="54">
        <v>69.8</v>
      </c>
      <c r="D10" s="54">
        <v>173.54</v>
      </c>
      <c r="E10" s="54">
        <v>7.79</v>
      </c>
      <c r="F10" s="54">
        <v>2.13</v>
      </c>
      <c r="G10" s="54">
        <v>77.959999999999994</v>
      </c>
      <c r="H10" s="54">
        <v>28.37</v>
      </c>
      <c r="I10" s="55" t="s">
        <v>15</v>
      </c>
      <c r="J10" s="54">
        <v>1.68</v>
      </c>
      <c r="K10" s="54">
        <v>343.05</v>
      </c>
      <c r="L10" s="54">
        <v>15.83</v>
      </c>
      <c r="M10" s="54">
        <v>79.03</v>
      </c>
      <c r="N10" s="54">
        <v>71.2</v>
      </c>
      <c r="O10" s="54">
        <v>0</v>
      </c>
      <c r="P10" s="54">
        <v>1.96</v>
      </c>
      <c r="Q10" s="54">
        <v>10.01</v>
      </c>
      <c r="R10" s="43"/>
      <c r="S10" s="43"/>
      <c r="T10" s="43"/>
      <c r="U10" s="43"/>
    </row>
    <row r="11" spans="1:21" s="11" customFormat="1" x14ac:dyDescent="0.25">
      <c r="A11" s="53" t="s">
        <v>638</v>
      </c>
      <c r="B11" s="54">
        <v>142.93</v>
      </c>
      <c r="C11" s="54">
        <v>67.27</v>
      </c>
      <c r="D11" s="54">
        <v>148.38999999999999</v>
      </c>
      <c r="E11" s="54">
        <v>7.19</v>
      </c>
      <c r="F11" s="54">
        <v>2.13</v>
      </c>
      <c r="G11" s="54">
        <v>77.400000000000006</v>
      </c>
      <c r="H11" s="54">
        <v>35.17</v>
      </c>
      <c r="I11" s="55" t="s">
        <v>15</v>
      </c>
      <c r="J11" s="54">
        <v>1.54</v>
      </c>
      <c r="K11" s="54">
        <v>359.14</v>
      </c>
      <c r="L11" s="54">
        <v>15.35</v>
      </c>
      <c r="M11" s="54">
        <v>79.56</v>
      </c>
      <c r="N11" s="54">
        <v>71.2</v>
      </c>
      <c r="O11" s="54">
        <v>0</v>
      </c>
      <c r="P11" s="54">
        <v>1.85</v>
      </c>
      <c r="Q11" s="54">
        <v>9.8800000000000008</v>
      </c>
      <c r="R11" s="43"/>
      <c r="S11" s="43"/>
      <c r="T11" s="43"/>
      <c r="U11" s="43"/>
    </row>
    <row r="12" spans="1:21" s="11" customFormat="1" x14ac:dyDescent="0.25">
      <c r="A12" s="53" t="s">
        <v>639</v>
      </c>
      <c r="B12" s="54">
        <v>109.91</v>
      </c>
      <c r="C12" s="54">
        <v>65.989999999999995</v>
      </c>
      <c r="D12" s="54">
        <v>121.25</v>
      </c>
      <c r="E12" s="54">
        <v>6.67</v>
      </c>
      <c r="F12" s="54">
        <v>2.13</v>
      </c>
      <c r="G12" s="54">
        <v>77.38</v>
      </c>
      <c r="H12" s="54">
        <v>39.46</v>
      </c>
      <c r="I12" s="55" t="s">
        <v>15</v>
      </c>
      <c r="J12" s="54">
        <v>1.82</v>
      </c>
      <c r="K12" s="54">
        <v>321.58</v>
      </c>
      <c r="L12" s="54">
        <v>14.92</v>
      </c>
      <c r="M12" s="54">
        <v>86.99</v>
      </c>
      <c r="N12" s="54">
        <v>71.3</v>
      </c>
      <c r="O12" s="54">
        <v>0</v>
      </c>
      <c r="P12" s="54">
        <v>1.56</v>
      </c>
      <c r="Q12" s="54">
        <v>9.7799999999999994</v>
      </c>
      <c r="R12" s="43"/>
      <c r="S12" s="43"/>
      <c r="T12" s="43"/>
      <c r="U12" s="43"/>
    </row>
    <row r="13" spans="1:21" s="11" customFormat="1" x14ac:dyDescent="0.25">
      <c r="A13" s="53" t="s">
        <v>640</v>
      </c>
      <c r="B13" s="54">
        <v>86</v>
      </c>
      <c r="C13" s="54">
        <v>61.84</v>
      </c>
      <c r="D13" s="54">
        <v>99.27</v>
      </c>
      <c r="E13" s="54">
        <v>6.04</v>
      </c>
      <c r="F13" s="54">
        <v>2.13</v>
      </c>
      <c r="G13" s="54">
        <v>68.61</v>
      </c>
      <c r="H13" s="54">
        <v>27.31</v>
      </c>
      <c r="I13" s="55" t="s">
        <v>15</v>
      </c>
      <c r="J13" s="54">
        <v>1.22</v>
      </c>
      <c r="K13" s="54">
        <v>356.29</v>
      </c>
      <c r="L13" s="54">
        <v>14.28</v>
      </c>
      <c r="M13" s="54">
        <v>89.97</v>
      </c>
      <c r="N13" s="54">
        <v>71.3</v>
      </c>
      <c r="O13" s="54">
        <v>0</v>
      </c>
      <c r="P13" s="54">
        <v>1.27</v>
      </c>
      <c r="Q13" s="54">
        <v>9.36</v>
      </c>
      <c r="R13" s="43"/>
      <c r="S13" s="43"/>
      <c r="T13" s="43"/>
      <c r="U13" s="43"/>
    </row>
    <row r="14" spans="1:21" s="11" customFormat="1" x14ac:dyDescent="0.25">
      <c r="A14" s="53" t="s">
        <v>641</v>
      </c>
      <c r="B14" s="54">
        <v>72.55</v>
      </c>
      <c r="C14" s="54">
        <v>62.7</v>
      </c>
      <c r="D14" s="54">
        <v>88.7</v>
      </c>
      <c r="E14" s="54">
        <v>6.53</v>
      </c>
      <c r="F14" s="54">
        <v>2.13</v>
      </c>
      <c r="G14" s="54">
        <v>90.41</v>
      </c>
      <c r="H14" s="54">
        <v>31.16</v>
      </c>
      <c r="I14" s="55" t="s">
        <v>15</v>
      </c>
      <c r="J14" s="54">
        <v>1.84</v>
      </c>
      <c r="K14" s="54">
        <v>316.52999999999997</v>
      </c>
      <c r="L14" s="54">
        <v>13.65</v>
      </c>
      <c r="M14" s="54">
        <v>97.35</v>
      </c>
      <c r="N14" s="54">
        <v>71.400000000000006</v>
      </c>
      <c r="O14" s="54">
        <v>0</v>
      </c>
      <c r="P14" s="54">
        <v>1.1499999999999999</v>
      </c>
      <c r="Q14" s="54">
        <v>8.65</v>
      </c>
      <c r="R14" s="43"/>
      <c r="S14" s="43"/>
      <c r="T14" s="43"/>
      <c r="U14" s="43"/>
    </row>
    <row r="15" spans="1:21" s="11" customFormat="1" x14ac:dyDescent="0.25">
      <c r="A15" s="53" t="s">
        <v>642</v>
      </c>
      <c r="B15" s="54">
        <v>66.69</v>
      </c>
      <c r="C15" s="54">
        <v>64.47</v>
      </c>
      <c r="D15" s="54">
        <v>85.58</v>
      </c>
      <c r="E15" s="54">
        <v>6.81</v>
      </c>
      <c r="F15" s="54">
        <v>2.13</v>
      </c>
      <c r="G15" s="54">
        <v>119.36</v>
      </c>
      <c r="H15" s="54">
        <v>35.36</v>
      </c>
      <c r="I15" s="55" t="s">
        <v>15</v>
      </c>
      <c r="J15" s="54">
        <v>1.21</v>
      </c>
      <c r="K15" s="54">
        <v>359.19</v>
      </c>
      <c r="L15" s="54">
        <v>13.69</v>
      </c>
      <c r="M15" s="54">
        <v>93.24</v>
      </c>
      <c r="N15" s="54">
        <v>81.7</v>
      </c>
      <c r="O15" s="54">
        <v>0</v>
      </c>
      <c r="P15" s="54">
        <v>1.06</v>
      </c>
      <c r="Q15" s="54">
        <v>8.36</v>
      </c>
      <c r="R15" s="43"/>
      <c r="S15" s="43"/>
      <c r="T15" s="43"/>
      <c r="U15" s="43"/>
    </row>
    <row r="16" spans="1:21" s="11" customFormat="1" x14ac:dyDescent="0.25">
      <c r="A16" s="53" t="s">
        <v>643</v>
      </c>
      <c r="B16" s="54">
        <v>55.13</v>
      </c>
      <c r="C16" s="54">
        <v>65.33</v>
      </c>
      <c r="D16" s="54">
        <v>76.17</v>
      </c>
      <c r="E16" s="54">
        <v>6.09</v>
      </c>
      <c r="F16" s="54">
        <v>2.13</v>
      </c>
      <c r="G16" s="54">
        <v>74.150000000000006</v>
      </c>
      <c r="H16" s="54">
        <v>35.450000000000003</v>
      </c>
      <c r="I16" s="55" t="s">
        <v>15</v>
      </c>
      <c r="J16" s="54">
        <v>2.57</v>
      </c>
      <c r="K16" s="54">
        <v>351.93</v>
      </c>
      <c r="L16" s="54">
        <v>15.85</v>
      </c>
      <c r="M16" s="54">
        <v>89.9</v>
      </c>
      <c r="N16" s="54">
        <v>216.5</v>
      </c>
      <c r="O16" s="54">
        <v>0</v>
      </c>
      <c r="P16" s="54">
        <v>1.08</v>
      </c>
      <c r="Q16" s="54">
        <v>8.2100000000000009</v>
      </c>
      <c r="R16" s="43"/>
      <c r="S16" s="43"/>
      <c r="T16" s="43"/>
      <c r="U16" s="43"/>
    </row>
    <row r="17" spans="1:21" s="11" customFormat="1" x14ac:dyDescent="0.25">
      <c r="A17" s="53" t="s">
        <v>644</v>
      </c>
      <c r="B17" s="54">
        <v>50.8</v>
      </c>
      <c r="C17" s="54">
        <v>63.46</v>
      </c>
      <c r="D17" s="54">
        <v>72.44</v>
      </c>
      <c r="E17" s="54">
        <v>5.87</v>
      </c>
      <c r="F17" s="54">
        <v>2.15</v>
      </c>
      <c r="G17" s="54">
        <v>77.08</v>
      </c>
      <c r="H17" s="54">
        <v>32.03</v>
      </c>
      <c r="I17" s="55" t="s">
        <v>15</v>
      </c>
      <c r="J17" s="54">
        <v>2.89</v>
      </c>
      <c r="K17" s="54">
        <v>114.37</v>
      </c>
      <c r="L17" s="54">
        <v>20.52</v>
      </c>
      <c r="M17" s="54">
        <v>74.650000000000006</v>
      </c>
      <c r="N17" s="54">
        <v>390.6</v>
      </c>
      <c r="O17" s="54">
        <v>0</v>
      </c>
      <c r="P17" s="54">
        <v>1.04</v>
      </c>
      <c r="Q17" s="54">
        <v>8.2100000000000009</v>
      </c>
      <c r="R17" s="43"/>
      <c r="S17" s="43"/>
      <c r="T17" s="43"/>
      <c r="U17" s="43"/>
    </row>
    <row r="18" spans="1:21" s="11" customFormat="1" x14ac:dyDescent="0.25">
      <c r="A18" s="53" t="s">
        <v>645</v>
      </c>
      <c r="B18" s="54">
        <v>41.09</v>
      </c>
      <c r="C18" s="54">
        <v>66.650000000000006</v>
      </c>
      <c r="D18" s="54">
        <v>65.22</v>
      </c>
      <c r="E18" s="54">
        <v>6.35</v>
      </c>
      <c r="F18" s="54">
        <v>2.13</v>
      </c>
      <c r="G18" s="54">
        <v>82.32</v>
      </c>
      <c r="H18" s="54">
        <v>30.58</v>
      </c>
      <c r="I18" s="55" t="s">
        <v>15</v>
      </c>
      <c r="J18" s="54">
        <v>1.48</v>
      </c>
      <c r="K18" s="54">
        <v>354.04</v>
      </c>
      <c r="L18" s="54">
        <v>24.14</v>
      </c>
      <c r="M18" s="54">
        <v>59.05</v>
      </c>
      <c r="N18" s="54">
        <v>504.5</v>
      </c>
      <c r="O18" s="54">
        <v>0</v>
      </c>
      <c r="P18" s="54">
        <v>0.96</v>
      </c>
      <c r="Q18" s="54">
        <v>8.2100000000000009</v>
      </c>
      <c r="R18" s="43"/>
      <c r="S18" s="43"/>
      <c r="T18" s="43"/>
      <c r="U18" s="43"/>
    </row>
    <row r="19" spans="1:21" s="11" customFormat="1" x14ac:dyDescent="0.25">
      <c r="A19" s="53" t="s">
        <v>646</v>
      </c>
      <c r="B19" s="54">
        <v>35.57</v>
      </c>
      <c r="C19" s="54">
        <v>72.760000000000005</v>
      </c>
      <c r="D19" s="54">
        <v>62.76</v>
      </c>
      <c r="E19" s="54">
        <v>6.38</v>
      </c>
      <c r="F19" s="54">
        <v>2.13</v>
      </c>
      <c r="G19" s="54">
        <v>72.22</v>
      </c>
      <c r="H19" s="54">
        <v>32.340000000000003</v>
      </c>
      <c r="I19" s="55" t="s">
        <v>15</v>
      </c>
      <c r="J19" s="54">
        <v>2.44</v>
      </c>
      <c r="K19" s="54">
        <v>348</v>
      </c>
      <c r="L19" s="54">
        <v>24.88</v>
      </c>
      <c r="M19" s="54">
        <v>47.78</v>
      </c>
      <c r="N19" s="54">
        <v>568.9</v>
      </c>
      <c r="O19" s="54">
        <v>0</v>
      </c>
      <c r="P19" s="54">
        <v>0.9</v>
      </c>
      <c r="Q19" s="54">
        <v>8.2100000000000009</v>
      </c>
      <c r="R19" s="43"/>
      <c r="S19" s="43"/>
      <c r="T19" s="43"/>
      <c r="U19" s="43"/>
    </row>
    <row r="20" spans="1:21" s="11" customFormat="1" x14ac:dyDescent="0.25">
      <c r="A20" s="53" t="s">
        <v>647</v>
      </c>
      <c r="B20" s="54">
        <v>23.88</v>
      </c>
      <c r="C20" s="54">
        <v>77.53</v>
      </c>
      <c r="D20" s="54">
        <v>56.21</v>
      </c>
      <c r="E20" s="54">
        <v>5.94</v>
      </c>
      <c r="F20" s="54">
        <v>2.13</v>
      </c>
      <c r="G20" s="54">
        <v>79.16</v>
      </c>
      <c r="H20" s="54">
        <v>24.03</v>
      </c>
      <c r="I20" s="55" t="s">
        <v>15</v>
      </c>
      <c r="J20" s="54">
        <v>2.1800000000000002</v>
      </c>
      <c r="K20" s="54">
        <v>346.92</v>
      </c>
      <c r="L20" s="54">
        <v>25.8</v>
      </c>
      <c r="M20" s="54">
        <v>44.39</v>
      </c>
      <c r="N20" s="54">
        <v>605.5</v>
      </c>
      <c r="O20" s="54">
        <v>0</v>
      </c>
      <c r="P20" s="54">
        <v>0.83</v>
      </c>
      <c r="Q20" s="54">
        <v>8.2100000000000009</v>
      </c>
      <c r="R20" s="43"/>
      <c r="S20" s="43"/>
      <c r="T20" s="43"/>
      <c r="U20" s="43"/>
    </row>
    <row r="21" spans="1:21" s="11" customFormat="1" x14ac:dyDescent="0.25">
      <c r="A21" s="53" t="s">
        <v>648</v>
      </c>
      <c r="B21" s="54">
        <v>13.75</v>
      </c>
      <c r="C21" s="54">
        <v>78.09</v>
      </c>
      <c r="D21" s="54">
        <v>50.45</v>
      </c>
      <c r="E21" s="54">
        <v>5.71</v>
      </c>
      <c r="F21" s="54">
        <v>2.13</v>
      </c>
      <c r="G21" s="54">
        <v>88.72</v>
      </c>
      <c r="H21" s="54">
        <v>24.61</v>
      </c>
      <c r="I21" s="55" t="s">
        <v>15</v>
      </c>
      <c r="J21" s="54">
        <v>2.75</v>
      </c>
      <c r="K21" s="54">
        <v>350.18</v>
      </c>
      <c r="L21" s="54">
        <v>27.94</v>
      </c>
      <c r="M21" s="54">
        <v>43.53</v>
      </c>
      <c r="N21" s="54">
        <v>604.5</v>
      </c>
      <c r="O21" s="54">
        <v>0</v>
      </c>
      <c r="P21" s="54">
        <v>0.78</v>
      </c>
      <c r="Q21" s="54">
        <v>8.2100000000000009</v>
      </c>
      <c r="R21" s="43"/>
      <c r="S21" s="43"/>
      <c r="T21" s="43"/>
      <c r="U21" s="43"/>
    </row>
    <row r="22" spans="1:21" s="11" customFormat="1" x14ac:dyDescent="0.25">
      <c r="A22" s="53" t="s">
        <v>649</v>
      </c>
      <c r="B22" s="54">
        <v>8.19</v>
      </c>
      <c r="C22" s="54">
        <v>76.02</v>
      </c>
      <c r="D22" s="54">
        <v>44.91</v>
      </c>
      <c r="E22" s="54">
        <v>5.78</v>
      </c>
      <c r="F22" s="54">
        <v>2.16</v>
      </c>
      <c r="G22" s="54">
        <v>87.57</v>
      </c>
      <c r="H22" s="54">
        <v>26.04</v>
      </c>
      <c r="I22" s="55" t="s">
        <v>15</v>
      </c>
      <c r="J22" s="54">
        <v>2.08</v>
      </c>
      <c r="K22" s="54">
        <v>321.95999999999998</v>
      </c>
      <c r="L22" s="54">
        <v>27.99</v>
      </c>
      <c r="M22" s="54">
        <v>38.33</v>
      </c>
      <c r="N22" s="54">
        <v>555.4</v>
      </c>
      <c r="O22" s="54">
        <v>0</v>
      </c>
      <c r="P22" s="54">
        <v>0.78</v>
      </c>
      <c r="Q22" s="54">
        <v>8.2100000000000009</v>
      </c>
      <c r="R22" s="43"/>
      <c r="S22" s="43"/>
      <c r="T22" s="43"/>
      <c r="U22" s="43"/>
    </row>
    <row r="23" spans="1:21" s="11" customFormat="1" x14ac:dyDescent="0.25">
      <c r="A23" s="53" t="s">
        <v>650</v>
      </c>
      <c r="B23" s="54">
        <v>4.57</v>
      </c>
      <c r="C23" s="54">
        <v>72.790000000000006</v>
      </c>
      <c r="D23" s="54">
        <v>40.32</v>
      </c>
      <c r="E23" s="54">
        <v>6.17</v>
      </c>
      <c r="F23" s="54">
        <v>2.97</v>
      </c>
      <c r="G23" s="54">
        <v>68.31</v>
      </c>
      <c r="H23" s="54">
        <v>28.22</v>
      </c>
      <c r="I23" s="55" t="s">
        <v>15</v>
      </c>
      <c r="J23" s="54">
        <v>1.41</v>
      </c>
      <c r="K23" s="54">
        <v>313.3</v>
      </c>
      <c r="L23" s="54">
        <v>27.68</v>
      </c>
      <c r="M23" s="54">
        <v>35.46</v>
      </c>
      <c r="N23" s="54">
        <v>384.2</v>
      </c>
      <c r="O23" s="54">
        <v>0</v>
      </c>
      <c r="P23" s="54">
        <v>0.75</v>
      </c>
      <c r="Q23" s="54">
        <v>8.2100000000000009</v>
      </c>
      <c r="R23" s="43"/>
      <c r="S23" s="43"/>
      <c r="T23" s="43"/>
      <c r="U23" s="43"/>
    </row>
    <row r="24" spans="1:21" s="11" customFormat="1" x14ac:dyDescent="0.25">
      <c r="A24" s="53" t="s">
        <v>651</v>
      </c>
      <c r="B24" s="54">
        <v>4.38</v>
      </c>
      <c r="C24" s="54">
        <v>74.72</v>
      </c>
      <c r="D24" s="54">
        <v>41.17</v>
      </c>
      <c r="E24" s="54">
        <v>6</v>
      </c>
      <c r="F24" s="54">
        <v>2.9</v>
      </c>
      <c r="G24" s="54">
        <v>66.2</v>
      </c>
      <c r="H24" s="54">
        <v>26.89</v>
      </c>
      <c r="I24" s="55" t="s">
        <v>15</v>
      </c>
      <c r="J24" s="54">
        <v>2.93</v>
      </c>
      <c r="K24" s="54">
        <v>338</v>
      </c>
      <c r="L24" s="54">
        <v>26.54</v>
      </c>
      <c r="M24" s="54">
        <v>34.130000000000003</v>
      </c>
      <c r="N24" s="54">
        <v>212.7</v>
      </c>
      <c r="O24" s="54">
        <v>0</v>
      </c>
      <c r="P24" s="54">
        <v>0.75</v>
      </c>
      <c r="Q24" s="54">
        <v>8.2100000000000009</v>
      </c>
      <c r="R24" s="43"/>
      <c r="S24" s="43"/>
      <c r="T24" s="43"/>
      <c r="U24" s="43"/>
    </row>
    <row r="25" spans="1:21" s="11" customFormat="1" x14ac:dyDescent="0.25">
      <c r="A25" s="53" t="s">
        <v>652</v>
      </c>
      <c r="B25" s="54">
        <v>6.34</v>
      </c>
      <c r="C25" s="54">
        <v>77.66</v>
      </c>
      <c r="D25" s="54">
        <v>43.39</v>
      </c>
      <c r="E25" s="54">
        <v>4.83</v>
      </c>
      <c r="F25" s="54">
        <v>2.13</v>
      </c>
      <c r="G25" s="54">
        <v>71.680000000000007</v>
      </c>
      <c r="H25" s="54">
        <v>25.61</v>
      </c>
      <c r="I25" s="55" t="s">
        <v>15</v>
      </c>
      <c r="J25" s="54">
        <v>3.14</v>
      </c>
      <c r="K25" s="54">
        <v>338.08</v>
      </c>
      <c r="L25" s="54">
        <v>25.86</v>
      </c>
      <c r="M25" s="54">
        <v>35.07</v>
      </c>
      <c r="N25" s="54">
        <v>123.4</v>
      </c>
      <c r="O25" s="54">
        <v>0</v>
      </c>
      <c r="P25" s="54">
        <v>0.79</v>
      </c>
      <c r="Q25" s="54">
        <v>8.2100000000000009</v>
      </c>
      <c r="R25" s="43"/>
      <c r="S25" s="43"/>
      <c r="T25" s="43"/>
      <c r="U25" s="43"/>
    </row>
    <row r="26" spans="1:21" s="11" customFormat="1" x14ac:dyDescent="0.25">
      <c r="A26" s="53" t="s">
        <v>653</v>
      </c>
      <c r="B26" s="54">
        <v>8.76</v>
      </c>
      <c r="C26" s="54">
        <v>74.819999999999993</v>
      </c>
      <c r="D26" s="54">
        <v>44.15</v>
      </c>
      <c r="E26" s="54">
        <v>4.38</v>
      </c>
      <c r="F26" s="54">
        <v>2.13</v>
      </c>
      <c r="G26" s="54">
        <v>70.84</v>
      </c>
      <c r="H26" s="54">
        <v>24.08</v>
      </c>
      <c r="I26" s="55" t="s">
        <v>15</v>
      </c>
      <c r="J26" s="54">
        <v>2.96</v>
      </c>
      <c r="K26" s="54">
        <v>355.29</v>
      </c>
      <c r="L26" s="54">
        <v>24.29</v>
      </c>
      <c r="M26" s="54">
        <v>46.16</v>
      </c>
      <c r="N26" s="54">
        <v>87.5</v>
      </c>
      <c r="O26" s="54">
        <v>0</v>
      </c>
      <c r="P26" s="54">
        <v>0.97</v>
      </c>
      <c r="Q26" s="54">
        <v>8.2100000000000009</v>
      </c>
      <c r="R26" s="43"/>
      <c r="S26" s="43"/>
      <c r="T26" s="43"/>
      <c r="U26" s="43"/>
    </row>
    <row r="27" spans="1:21" s="11" customFormat="1" x14ac:dyDescent="0.25">
      <c r="A27" s="53" t="s">
        <v>654</v>
      </c>
      <c r="B27" s="54">
        <v>19.38</v>
      </c>
      <c r="C27" s="54">
        <v>79.05</v>
      </c>
      <c r="D27" s="54">
        <v>55.47</v>
      </c>
      <c r="E27" s="54">
        <v>4.8600000000000003</v>
      </c>
      <c r="F27" s="54">
        <v>2.13</v>
      </c>
      <c r="G27" s="54">
        <v>83.04</v>
      </c>
      <c r="H27" s="54">
        <v>26.16</v>
      </c>
      <c r="I27" s="55" t="s">
        <v>15</v>
      </c>
      <c r="J27" s="54">
        <v>1.82</v>
      </c>
      <c r="K27" s="54">
        <v>354.65</v>
      </c>
      <c r="L27" s="54">
        <v>21.05</v>
      </c>
      <c r="M27" s="54">
        <v>54.32</v>
      </c>
      <c r="N27" s="54">
        <v>70.900000000000006</v>
      </c>
      <c r="O27" s="54">
        <v>0</v>
      </c>
      <c r="P27" s="54">
        <v>1.2</v>
      </c>
      <c r="Q27" s="54">
        <v>8.2100000000000009</v>
      </c>
      <c r="R27" s="43"/>
      <c r="S27" s="43"/>
      <c r="T27" s="43"/>
      <c r="U27" s="43"/>
    </row>
    <row r="28" spans="1:21" s="11" customFormat="1" x14ac:dyDescent="0.25">
      <c r="A28" s="53" t="s">
        <v>655</v>
      </c>
      <c r="B28" s="54">
        <v>57.54</v>
      </c>
      <c r="C28" s="54">
        <v>83.07</v>
      </c>
      <c r="D28" s="54">
        <v>88.17</v>
      </c>
      <c r="E28" s="54">
        <v>6.46</v>
      </c>
      <c r="F28" s="54">
        <v>2.13</v>
      </c>
      <c r="G28" s="54">
        <v>113.6</v>
      </c>
      <c r="H28" s="54">
        <v>33.159999999999997</v>
      </c>
      <c r="I28" s="55" t="s">
        <v>15</v>
      </c>
      <c r="J28" s="54">
        <v>1.8</v>
      </c>
      <c r="K28" s="54">
        <v>350.9</v>
      </c>
      <c r="L28" s="54">
        <v>19.440000000000001</v>
      </c>
      <c r="M28" s="54">
        <v>62.67</v>
      </c>
      <c r="N28" s="54">
        <v>70.400000000000006</v>
      </c>
      <c r="O28" s="54">
        <v>0</v>
      </c>
      <c r="P28" s="54">
        <v>1.67</v>
      </c>
      <c r="Q28" s="54">
        <v>8.2100000000000009</v>
      </c>
      <c r="R28" s="43"/>
      <c r="S28" s="43"/>
      <c r="T28" s="43"/>
      <c r="U28" s="43"/>
    </row>
    <row r="29" spans="1:21" s="11" customFormat="1" x14ac:dyDescent="0.25">
      <c r="A29" s="53" t="s">
        <v>656</v>
      </c>
      <c r="B29" s="54">
        <v>90.2</v>
      </c>
      <c r="C29" s="54">
        <v>83.7</v>
      </c>
      <c r="D29" s="54">
        <v>112.25</v>
      </c>
      <c r="E29" s="54">
        <v>7.74</v>
      </c>
      <c r="F29" s="54">
        <v>2.13</v>
      </c>
      <c r="G29" s="54">
        <v>164.59</v>
      </c>
      <c r="H29" s="54">
        <v>41.53</v>
      </c>
      <c r="I29" s="55" t="s">
        <v>15</v>
      </c>
      <c r="J29" s="54">
        <v>1.82</v>
      </c>
      <c r="K29" s="54">
        <v>337.04</v>
      </c>
      <c r="L29" s="54">
        <v>18.649999999999999</v>
      </c>
      <c r="M29" s="54">
        <v>72.400000000000006</v>
      </c>
      <c r="N29" s="54">
        <v>70</v>
      </c>
      <c r="O29" s="54">
        <v>0</v>
      </c>
      <c r="P29" s="54">
        <v>2.71</v>
      </c>
      <c r="Q29" s="54">
        <v>9.3699999999999992</v>
      </c>
      <c r="R29" s="43"/>
      <c r="S29" s="43"/>
      <c r="T29" s="43"/>
      <c r="U29" s="43"/>
    </row>
    <row r="30" spans="1:21" s="11" customFormat="1" x14ac:dyDescent="0.25">
      <c r="A30" s="53" t="s">
        <v>657</v>
      </c>
      <c r="B30" s="54">
        <v>112.88</v>
      </c>
      <c r="C30" s="54">
        <v>78.91</v>
      </c>
      <c r="D30" s="54">
        <v>129.27000000000001</v>
      </c>
      <c r="E30" s="54">
        <v>7.84</v>
      </c>
      <c r="F30" s="54">
        <v>2.13</v>
      </c>
      <c r="G30" s="54">
        <v>206.21</v>
      </c>
      <c r="H30" s="54">
        <v>49.25</v>
      </c>
      <c r="I30" s="55" t="s">
        <v>15</v>
      </c>
      <c r="J30" s="54">
        <v>1.83</v>
      </c>
      <c r="K30" s="54">
        <v>293.67</v>
      </c>
      <c r="L30" s="54">
        <v>18.11</v>
      </c>
      <c r="M30" s="54">
        <v>77.06</v>
      </c>
      <c r="N30" s="54">
        <v>70</v>
      </c>
      <c r="O30" s="54">
        <v>0</v>
      </c>
      <c r="P30" s="54">
        <v>2.75</v>
      </c>
      <c r="Q30" s="54">
        <v>9.49</v>
      </c>
      <c r="R30" s="43"/>
      <c r="S30" s="43"/>
      <c r="T30" s="43"/>
      <c r="U30" s="43"/>
    </row>
    <row r="31" spans="1:21" s="11" customFormat="1" x14ac:dyDescent="0.25">
      <c r="A31" s="53" t="s">
        <v>658</v>
      </c>
      <c r="B31" s="54">
        <v>131.4</v>
      </c>
      <c r="C31" s="54">
        <v>76.900000000000006</v>
      </c>
      <c r="D31" s="54">
        <v>144.18</v>
      </c>
      <c r="E31" s="54">
        <v>7.97</v>
      </c>
      <c r="F31" s="54">
        <v>2.13</v>
      </c>
      <c r="G31" s="54">
        <v>211.53</v>
      </c>
      <c r="H31" s="54">
        <v>55.19</v>
      </c>
      <c r="I31" s="55" t="s">
        <v>15</v>
      </c>
      <c r="J31" s="54">
        <v>1.83</v>
      </c>
      <c r="K31" s="54">
        <v>297.10000000000002</v>
      </c>
      <c r="L31" s="54">
        <v>16.98</v>
      </c>
      <c r="M31" s="54">
        <v>82.53</v>
      </c>
      <c r="N31" s="54">
        <v>69.5</v>
      </c>
      <c r="O31" s="54">
        <v>0</v>
      </c>
      <c r="P31" s="54">
        <v>2.56</v>
      </c>
      <c r="Q31" s="54">
        <v>9.58</v>
      </c>
      <c r="R31" s="43"/>
      <c r="S31" s="43"/>
      <c r="T31" s="43"/>
      <c r="U31" s="43"/>
    </row>
    <row r="32" spans="1:21" s="11" customFormat="1" x14ac:dyDescent="0.25">
      <c r="A32" s="53" t="s">
        <v>659</v>
      </c>
      <c r="B32" s="54">
        <v>140.29</v>
      </c>
      <c r="C32" s="54">
        <v>76.08</v>
      </c>
      <c r="D32" s="54">
        <v>149.99</v>
      </c>
      <c r="E32" s="54">
        <v>8.3000000000000007</v>
      </c>
      <c r="F32" s="54">
        <v>2.13</v>
      </c>
      <c r="G32" s="54">
        <v>202.82</v>
      </c>
      <c r="H32" s="54">
        <v>56.91</v>
      </c>
      <c r="I32" s="55" t="s">
        <v>15</v>
      </c>
      <c r="J32" s="54">
        <v>1.77</v>
      </c>
      <c r="K32" s="54">
        <v>344.47</v>
      </c>
      <c r="L32" s="54">
        <v>16.489999999999998</v>
      </c>
      <c r="M32" s="54">
        <v>88.78</v>
      </c>
      <c r="N32" s="54">
        <v>68.8</v>
      </c>
      <c r="O32" s="54">
        <v>0</v>
      </c>
      <c r="P32" s="54">
        <v>2.64</v>
      </c>
      <c r="Q32" s="54">
        <v>9.7100000000000009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4.38</v>
      </c>
      <c r="C34" s="28">
        <f t="shared" si="0"/>
        <v>61.84</v>
      </c>
      <c r="D34" s="28">
        <f t="shared" si="0"/>
        <v>40.32</v>
      </c>
      <c r="E34" s="28">
        <f t="shared" si="0"/>
        <v>4.38</v>
      </c>
      <c r="F34" s="28">
        <f t="shared" si="0"/>
        <v>2.13</v>
      </c>
      <c r="G34" s="28">
        <f t="shared" si="0"/>
        <v>66.2</v>
      </c>
      <c r="H34" s="28">
        <f t="shared" si="0"/>
        <v>24.03</v>
      </c>
      <c r="I34" s="28">
        <f t="shared" si="0"/>
        <v>0</v>
      </c>
      <c r="J34" s="28">
        <f t="shared" si="0"/>
        <v>1.21</v>
      </c>
      <c r="K34" s="28">
        <f t="shared" si="0"/>
        <v>114.37</v>
      </c>
      <c r="L34" s="28">
        <f t="shared" si="0"/>
        <v>13.65</v>
      </c>
      <c r="M34" s="28">
        <f t="shared" si="0"/>
        <v>34.130000000000003</v>
      </c>
      <c r="N34" s="28">
        <f t="shared" si="0"/>
        <v>68.8</v>
      </c>
      <c r="O34" s="28">
        <f t="shared" si="0"/>
        <v>0</v>
      </c>
      <c r="P34" s="28">
        <f t="shared" si="0"/>
        <v>0.75</v>
      </c>
      <c r="Q34" s="28">
        <f t="shared" si="0"/>
        <v>8.2100000000000009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202.64</v>
      </c>
      <c r="C35" s="29">
        <f t="shared" si="1"/>
        <v>83.7</v>
      </c>
      <c r="D35" s="29">
        <f t="shared" si="1"/>
        <v>200.2</v>
      </c>
      <c r="E35" s="29">
        <f t="shared" si="1"/>
        <v>8.44</v>
      </c>
      <c r="F35" s="29">
        <f t="shared" si="1"/>
        <v>2.97</v>
      </c>
      <c r="G35" s="29">
        <f t="shared" si="1"/>
        <v>211.53</v>
      </c>
      <c r="H35" s="29">
        <f t="shared" si="1"/>
        <v>56.91</v>
      </c>
      <c r="I35" s="29">
        <f t="shared" si="1"/>
        <v>0</v>
      </c>
      <c r="J35" s="29">
        <f t="shared" si="1"/>
        <v>3.14</v>
      </c>
      <c r="K35" s="29">
        <f t="shared" si="1"/>
        <v>359.19</v>
      </c>
      <c r="L35" s="29">
        <f t="shared" si="1"/>
        <v>27.99</v>
      </c>
      <c r="M35" s="29">
        <f t="shared" si="1"/>
        <v>97.35</v>
      </c>
      <c r="N35" s="29">
        <f t="shared" si="1"/>
        <v>605.5</v>
      </c>
      <c r="O35" s="29">
        <f t="shared" si="1"/>
        <v>0</v>
      </c>
      <c r="P35" s="29">
        <f t="shared" si="1"/>
        <v>2.75</v>
      </c>
      <c r="Q35" s="29">
        <f t="shared" si="1"/>
        <v>10.210000000000001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69.063333333333333</v>
      </c>
      <c r="C36" s="28">
        <f t="shared" si="2"/>
        <v>72.682916666666671</v>
      </c>
      <c r="D36" s="28">
        <f t="shared" si="2"/>
        <v>91.393750000000026</v>
      </c>
      <c r="E36" s="28">
        <f t="shared" si="2"/>
        <v>6.5058333333333325</v>
      </c>
      <c r="F36" s="28">
        <f t="shared" si="2"/>
        <v>2.1991666666666672</v>
      </c>
      <c r="G36" s="28">
        <f t="shared" si="2"/>
        <v>101.21999999999998</v>
      </c>
      <c r="H36" s="28">
        <f t="shared" si="2"/>
        <v>33.955833333333331</v>
      </c>
      <c r="I36" s="28" t="e">
        <f t="shared" si="2"/>
        <v>#DIV/0!</v>
      </c>
      <c r="J36" s="28">
        <f t="shared" si="2"/>
        <v>2.0345833333333334</v>
      </c>
      <c r="K36" s="28">
        <f t="shared" si="2"/>
        <v>328.39041666666668</v>
      </c>
      <c r="L36" s="28">
        <f t="shared" si="2"/>
        <v>20.256666666666671</v>
      </c>
      <c r="M36" s="28">
        <f t="shared" si="2"/>
        <v>66.257916666666674</v>
      </c>
      <c r="N36" s="28">
        <f t="shared" si="2"/>
        <v>215.94166666666663</v>
      </c>
      <c r="O36" s="28">
        <f t="shared" si="2"/>
        <v>0</v>
      </c>
      <c r="P36" s="28">
        <f t="shared" si="2"/>
        <v>1.4304166666666667</v>
      </c>
      <c r="Q36" s="28">
        <f t="shared" si="2"/>
        <v>8.7970833333333385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57.891190038363973</v>
      </c>
      <c r="C37" s="28">
        <f t="shared" ref="C37:Q37" si="3">STDEV(C9:C32)</f>
        <v>6.5351467693619121</v>
      </c>
      <c r="D37" s="28">
        <f t="shared" si="3"/>
        <v>46.184201779631664</v>
      </c>
      <c r="E37" s="28">
        <f t="shared" si="3"/>
        <v>1.0907911634766971</v>
      </c>
      <c r="F37" s="28">
        <f t="shared" si="3"/>
        <v>0.22698241009548228</v>
      </c>
      <c r="G37" s="28">
        <f t="shared" si="3"/>
        <v>45.994786282984236</v>
      </c>
      <c r="H37" s="28">
        <f t="shared" si="3"/>
        <v>9.5818455681957975</v>
      </c>
      <c r="I37" s="28" t="e">
        <f t="shared" si="3"/>
        <v>#DIV/0!</v>
      </c>
      <c r="J37" s="28">
        <f t="shared" si="3"/>
        <v>0.56875897826963473</v>
      </c>
      <c r="K37" s="28">
        <f t="shared" si="3"/>
        <v>49.496734936600227</v>
      </c>
      <c r="L37" s="28">
        <f t="shared" si="3"/>
        <v>5.0734866380691859</v>
      </c>
      <c r="M37" s="28">
        <f t="shared" si="3"/>
        <v>21.262022886125944</v>
      </c>
      <c r="N37" s="28">
        <f t="shared" si="3"/>
        <v>206.54701521143713</v>
      </c>
      <c r="O37" s="28">
        <f t="shared" si="3"/>
        <v>0</v>
      </c>
      <c r="P37" s="28">
        <f t="shared" si="3"/>
        <v>0.69990359066937535</v>
      </c>
      <c r="Q37" s="28">
        <f t="shared" si="3"/>
        <v>0.74807857740414818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0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&lt;90%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LESS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4" sqref="G54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26/01/2025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52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65"/>
      <c r="B8" s="66" t="s">
        <v>22</v>
      </c>
      <c r="C8" s="66" t="s">
        <v>22</v>
      </c>
      <c r="D8" s="29" t="s">
        <v>42</v>
      </c>
      <c r="E8" s="66" t="s">
        <v>22</v>
      </c>
      <c r="F8" s="66" t="s">
        <v>22</v>
      </c>
      <c r="G8" s="66" t="s">
        <v>23</v>
      </c>
      <c r="H8" s="66" t="s">
        <v>22</v>
      </c>
      <c r="I8" s="66" t="s">
        <v>22</v>
      </c>
      <c r="J8" s="66" t="s">
        <v>24</v>
      </c>
      <c r="K8" s="66" t="s">
        <v>25</v>
      </c>
      <c r="L8" s="65" t="s">
        <v>27</v>
      </c>
      <c r="M8" s="66" t="s">
        <v>26</v>
      </c>
      <c r="N8" s="66" t="s">
        <v>28</v>
      </c>
      <c r="O8" s="65" t="s">
        <v>29</v>
      </c>
      <c r="P8" s="66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3" t="s">
        <v>660</v>
      </c>
      <c r="B9" s="54">
        <v>135.91999999999999</v>
      </c>
      <c r="C9" s="54">
        <v>73.510000000000005</v>
      </c>
      <c r="D9" s="54">
        <v>146.03</v>
      </c>
      <c r="E9" s="54">
        <v>9.0399999999999991</v>
      </c>
      <c r="F9" s="54">
        <v>2.13</v>
      </c>
      <c r="G9" s="54">
        <v>182.52</v>
      </c>
      <c r="H9" s="54">
        <v>57.17</v>
      </c>
      <c r="I9" s="55" t="s">
        <v>15</v>
      </c>
      <c r="J9" s="54">
        <v>1.66</v>
      </c>
      <c r="K9" s="54">
        <v>357.95</v>
      </c>
      <c r="L9" s="54">
        <v>16.64</v>
      </c>
      <c r="M9" s="54">
        <v>80.92</v>
      </c>
      <c r="N9" s="54">
        <v>68.8</v>
      </c>
      <c r="O9" s="54">
        <v>0</v>
      </c>
      <c r="P9" s="54">
        <v>2.56</v>
      </c>
      <c r="Q9" s="54">
        <v>9.7799999999999994</v>
      </c>
      <c r="R9" s="43"/>
      <c r="S9" s="43"/>
      <c r="T9" s="43"/>
      <c r="U9" s="43"/>
    </row>
    <row r="10" spans="1:21" s="11" customFormat="1" x14ac:dyDescent="0.25">
      <c r="A10" s="53" t="s">
        <v>661</v>
      </c>
      <c r="B10" s="54">
        <v>110.26</v>
      </c>
      <c r="C10" s="54">
        <v>65.52</v>
      </c>
      <c r="D10" s="54">
        <v>121.26</v>
      </c>
      <c r="E10" s="54">
        <v>7.71</v>
      </c>
      <c r="F10" s="54">
        <v>2.13</v>
      </c>
      <c r="G10" s="54">
        <v>87.1</v>
      </c>
      <c r="H10" s="54">
        <v>44.54</v>
      </c>
      <c r="I10" s="55" t="s">
        <v>15</v>
      </c>
      <c r="J10" s="54">
        <v>2.0499999999999998</v>
      </c>
      <c r="K10" s="54">
        <v>356.51</v>
      </c>
      <c r="L10" s="54">
        <v>15.47</v>
      </c>
      <c r="M10" s="54">
        <v>84.66</v>
      </c>
      <c r="N10" s="54">
        <v>68.7</v>
      </c>
      <c r="O10" s="54">
        <v>0</v>
      </c>
      <c r="P10" s="54">
        <v>1.91</v>
      </c>
      <c r="Q10" s="54">
        <v>9.67</v>
      </c>
      <c r="R10" s="43"/>
      <c r="S10" s="43"/>
      <c r="T10" s="43"/>
      <c r="U10" s="43"/>
    </row>
    <row r="11" spans="1:21" s="11" customFormat="1" x14ac:dyDescent="0.25">
      <c r="A11" s="53" t="s">
        <v>662</v>
      </c>
      <c r="B11" s="54">
        <v>93.66</v>
      </c>
      <c r="C11" s="54">
        <v>63.92</v>
      </c>
      <c r="D11" s="54">
        <v>107.13</v>
      </c>
      <c r="E11" s="54">
        <v>7.59</v>
      </c>
      <c r="F11" s="54">
        <v>2.13</v>
      </c>
      <c r="G11" s="54">
        <v>115.81</v>
      </c>
      <c r="H11" s="54">
        <v>42.48</v>
      </c>
      <c r="I11" s="55" t="s">
        <v>15</v>
      </c>
      <c r="J11" s="54">
        <v>1.34</v>
      </c>
      <c r="K11" s="54">
        <v>104.35</v>
      </c>
      <c r="L11" s="54">
        <v>15.19</v>
      </c>
      <c r="M11" s="54">
        <v>86.57</v>
      </c>
      <c r="N11" s="54">
        <v>68.400000000000006</v>
      </c>
      <c r="O11" s="54">
        <v>0</v>
      </c>
      <c r="P11" s="54">
        <v>1.76</v>
      </c>
      <c r="Q11" s="54">
        <v>9.5399999999999991</v>
      </c>
      <c r="R11" s="43"/>
      <c r="S11" s="43"/>
      <c r="T11" s="43"/>
      <c r="U11" s="43"/>
    </row>
    <row r="12" spans="1:21" s="11" customFormat="1" x14ac:dyDescent="0.25">
      <c r="A12" s="53" t="s">
        <v>663</v>
      </c>
      <c r="B12" s="54">
        <v>80.510000000000005</v>
      </c>
      <c r="C12" s="54">
        <v>61.41</v>
      </c>
      <c r="D12" s="54">
        <v>94.3</v>
      </c>
      <c r="E12" s="54">
        <v>7.53</v>
      </c>
      <c r="F12" s="54">
        <v>2.13</v>
      </c>
      <c r="G12" s="54">
        <v>143.69</v>
      </c>
      <c r="H12" s="54">
        <v>44.81</v>
      </c>
      <c r="I12" s="55" t="s">
        <v>15</v>
      </c>
      <c r="J12" s="54">
        <v>1.42</v>
      </c>
      <c r="K12" s="54">
        <v>332.93</v>
      </c>
      <c r="L12" s="54">
        <v>14.81</v>
      </c>
      <c r="M12" s="54">
        <v>83.17</v>
      </c>
      <c r="N12" s="54">
        <v>68.5</v>
      </c>
      <c r="O12" s="54">
        <v>0</v>
      </c>
      <c r="P12" s="54">
        <v>1.7</v>
      </c>
      <c r="Q12" s="54">
        <v>8.85</v>
      </c>
      <c r="R12" s="43"/>
      <c r="S12" s="43"/>
      <c r="T12" s="43"/>
      <c r="U12" s="43"/>
    </row>
    <row r="13" spans="1:21" s="11" customFormat="1" x14ac:dyDescent="0.25">
      <c r="A13" s="53" t="s">
        <v>664</v>
      </c>
      <c r="B13" s="54">
        <v>64.010000000000005</v>
      </c>
      <c r="C13" s="54">
        <v>62.74</v>
      </c>
      <c r="D13" s="54">
        <v>82.24</v>
      </c>
      <c r="E13" s="54">
        <v>6.94</v>
      </c>
      <c r="F13" s="54">
        <v>2.13</v>
      </c>
      <c r="G13" s="54">
        <v>93.43</v>
      </c>
      <c r="H13" s="54">
        <v>42.8</v>
      </c>
      <c r="I13" s="55" t="s">
        <v>15</v>
      </c>
      <c r="J13" s="54">
        <v>1.53</v>
      </c>
      <c r="K13" s="54">
        <v>350.46</v>
      </c>
      <c r="L13" s="54">
        <v>14.58</v>
      </c>
      <c r="M13" s="54">
        <v>73.61</v>
      </c>
      <c r="N13" s="54">
        <v>68.599999999999994</v>
      </c>
      <c r="O13" s="54">
        <v>0</v>
      </c>
      <c r="P13" s="54">
        <v>1.47</v>
      </c>
      <c r="Q13" s="54">
        <v>8.2100000000000009</v>
      </c>
      <c r="R13" s="43"/>
      <c r="S13" s="43"/>
      <c r="T13" s="43"/>
      <c r="U13" s="43"/>
    </row>
    <row r="14" spans="1:21" s="11" customFormat="1" x14ac:dyDescent="0.25">
      <c r="A14" s="53" t="s">
        <v>665</v>
      </c>
      <c r="B14" s="54">
        <v>51.65</v>
      </c>
      <c r="C14" s="54">
        <v>60.66</v>
      </c>
      <c r="D14" s="54">
        <v>71.03</v>
      </c>
      <c r="E14" s="54">
        <v>6.59</v>
      </c>
      <c r="F14" s="54">
        <v>2.13</v>
      </c>
      <c r="G14" s="54">
        <v>111.7</v>
      </c>
      <c r="H14" s="54">
        <v>34.700000000000003</v>
      </c>
      <c r="I14" s="55" t="s">
        <v>15</v>
      </c>
      <c r="J14" s="54">
        <v>1.0900000000000001</v>
      </c>
      <c r="K14" s="54">
        <v>74.209999999999994</v>
      </c>
      <c r="L14" s="54">
        <v>13.92</v>
      </c>
      <c r="M14" s="54">
        <v>77.78</v>
      </c>
      <c r="N14" s="54">
        <v>68.8</v>
      </c>
      <c r="O14" s="54">
        <v>0</v>
      </c>
      <c r="P14" s="54">
        <v>1.26</v>
      </c>
      <c r="Q14" s="54">
        <v>8.2100000000000009</v>
      </c>
      <c r="R14" s="43"/>
      <c r="S14" s="43"/>
      <c r="T14" s="43"/>
      <c r="U14" s="43"/>
    </row>
    <row r="15" spans="1:21" s="11" customFormat="1" x14ac:dyDescent="0.25">
      <c r="A15" s="53" t="s">
        <v>666</v>
      </c>
      <c r="B15" s="54">
        <v>45.86</v>
      </c>
      <c r="C15" s="54">
        <v>60.65</v>
      </c>
      <c r="D15" s="54">
        <v>67.08</v>
      </c>
      <c r="E15" s="54">
        <v>6.47</v>
      </c>
      <c r="F15" s="54">
        <v>2.13</v>
      </c>
      <c r="G15" s="54">
        <v>169.14</v>
      </c>
      <c r="H15" s="54">
        <v>32.1</v>
      </c>
      <c r="I15" s="55" t="s">
        <v>15</v>
      </c>
      <c r="J15" s="54">
        <v>1.1499999999999999</v>
      </c>
      <c r="K15" s="54">
        <v>355.59</v>
      </c>
      <c r="L15" s="54">
        <v>13.61</v>
      </c>
      <c r="M15" s="54">
        <v>79.099999999999994</v>
      </c>
      <c r="N15" s="54">
        <v>79.099999999999994</v>
      </c>
      <c r="O15" s="54">
        <v>0</v>
      </c>
      <c r="P15" s="54">
        <v>1.1299999999999999</v>
      </c>
      <c r="Q15" s="54">
        <v>8.2100000000000009</v>
      </c>
      <c r="R15" s="43"/>
      <c r="S15" s="43"/>
      <c r="T15" s="43"/>
      <c r="U15" s="43"/>
    </row>
    <row r="16" spans="1:21" s="11" customFormat="1" x14ac:dyDescent="0.25">
      <c r="A16" s="53" t="s">
        <v>667</v>
      </c>
      <c r="B16" s="54">
        <v>43.04</v>
      </c>
      <c r="C16" s="54">
        <v>62.25</v>
      </c>
      <c r="D16" s="54">
        <v>65.39</v>
      </c>
      <c r="E16" s="54">
        <v>6.76</v>
      </c>
      <c r="F16" s="54">
        <v>2.13</v>
      </c>
      <c r="G16" s="54">
        <v>86.69</v>
      </c>
      <c r="H16" s="54">
        <v>29.09</v>
      </c>
      <c r="I16" s="55" t="s">
        <v>15</v>
      </c>
      <c r="J16" s="54">
        <v>2.91</v>
      </c>
      <c r="K16" s="54">
        <v>121.53</v>
      </c>
      <c r="L16" s="54">
        <v>15.31</v>
      </c>
      <c r="M16" s="54">
        <v>72.66</v>
      </c>
      <c r="N16" s="54">
        <v>229.4</v>
      </c>
      <c r="O16" s="54">
        <v>0</v>
      </c>
      <c r="P16" s="54">
        <v>1.18</v>
      </c>
      <c r="Q16" s="54">
        <v>8.2100000000000009</v>
      </c>
      <c r="R16" s="43"/>
      <c r="S16" s="43"/>
      <c r="T16" s="43"/>
      <c r="U16" s="43"/>
    </row>
    <row r="17" spans="1:21" s="11" customFormat="1" x14ac:dyDescent="0.25">
      <c r="A17" s="53" t="s">
        <v>668</v>
      </c>
      <c r="B17" s="54">
        <v>38.630000000000003</v>
      </c>
      <c r="C17" s="54">
        <v>63.38</v>
      </c>
      <c r="D17" s="54">
        <v>61.89</v>
      </c>
      <c r="E17" s="54">
        <v>5.26</v>
      </c>
      <c r="F17" s="54">
        <v>2.13</v>
      </c>
      <c r="G17" s="54">
        <v>90.9</v>
      </c>
      <c r="H17" s="54">
        <v>28.5</v>
      </c>
      <c r="I17" s="55" t="s">
        <v>15</v>
      </c>
      <c r="J17" s="54">
        <v>2.75</v>
      </c>
      <c r="K17" s="54">
        <v>112.67</v>
      </c>
      <c r="L17" s="54">
        <v>19.170000000000002</v>
      </c>
      <c r="M17" s="54">
        <v>62.44</v>
      </c>
      <c r="N17" s="54">
        <v>415.8</v>
      </c>
      <c r="O17" s="54">
        <v>0</v>
      </c>
      <c r="P17" s="54">
        <v>1.1000000000000001</v>
      </c>
      <c r="Q17" s="54">
        <v>8.2100000000000009</v>
      </c>
      <c r="R17" s="43"/>
      <c r="S17" s="43"/>
      <c r="T17" s="43"/>
      <c r="U17" s="43"/>
    </row>
    <row r="18" spans="1:21" s="11" customFormat="1" x14ac:dyDescent="0.25">
      <c r="A18" s="53" t="s">
        <v>669</v>
      </c>
      <c r="B18" s="54">
        <v>30.02</v>
      </c>
      <c r="C18" s="54">
        <v>64.709999999999994</v>
      </c>
      <c r="D18" s="54">
        <v>55.95</v>
      </c>
      <c r="E18" s="54">
        <v>5.01</v>
      </c>
      <c r="F18" s="54">
        <v>2.13</v>
      </c>
      <c r="G18" s="54">
        <v>74.819999999999993</v>
      </c>
      <c r="H18" s="54">
        <v>25.53</v>
      </c>
      <c r="I18" s="55" t="s">
        <v>15</v>
      </c>
      <c r="J18" s="54">
        <v>2.97</v>
      </c>
      <c r="K18" s="54">
        <v>340.52</v>
      </c>
      <c r="L18" s="54">
        <v>22.13</v>
      </c>
      <c r="M18" s="54">
        <v>47.85</v>
      </c>
      <c r="N18" s="54">
        <v>537.1</v>
      </c>
      <c r="O18" s="54">
        <v>0</v>
      </c>
      <c r="P18" s="54">
        <v>0.99</v>
      </c>
      <c r="Q18" s="54">
        <v>8.2100000000000009</v>
      </c>
      <c r="R18" s="43"/>
      <c r="S18" s="43"/>
      <c r="T18" s="43"/>
      <c r="U18" s="43"/>
    </row>
    <row r="19" spans="1:21" s="11" customFormat="1" x14ac:dyDescent="0.25">
      <c r="A19" s="53" t="s">
        <v>670</v>
      </c>
      <c r="B19" s="54">
        <v>23.67</v>
      </c>
      <c r="C19" s="54">
        <v>68.290000000000006</v>
      </c>
      <c r="D19" s="54">
        <v>51.81</v>
      </c>
      <c r="E19" s="54">
        <v>5.0599999999999996</v>
      </c>
      <c r="F19" s="54">
        <v>2.13</v>
      </c>
      <c r="G19" s="54">
        <v>83.51</v>
      </c>
      <c r="H19" s="54">
        <v>88.96</v>
      </c>
      <c r="I19" s="55" t="s">
        <v>15</v>
      </c>
      <c r="J19" s="54">
        <v>2.7</v>
      </c>
      <c r="K19" s="54">
        <v>348.36</v>
      </c>
      <c r="L19" s="54">
        <v>24.28</v>
      </c>
      <c r="M19" s="54">
        <v>41.01</v>
      </c>
      <c r="N19" s="54">
        <v>602.1</v>
      </c>
      <c r="O19" s="54">
        <v>0</v>
      </c>
      <c r="P19" s="54">
        <v>0.89</v>
      </c>
      <c r="Q19" s="54">
        <v>8.2100000000000009</v>
      </c>
      <c r="R19" s="43"/>
      <c r="S19" s="43"/>
      <c r="T19" s="43"/>
      <c r="U19" s="43"/>
    </row>
    <row r="20" spans="1:21" s="11" customFormat="1" x14ac:dyDescent="0.25">
      <c r="A20" s="53" t="s">
        <v>671</v>
      </c>
      <c r="B20" s="54">
        <v>18.22</v>
      </c>
      <c r="C20" s="54">
        <v>69.81</v>
      </c>
      <c r="D20" s="54">
        <v>48.39</v>
      </c>
      <c r="E20" s="54">
        <v>4.8899999999999997</v>
      </c>
      <c r="F20" s="54">
        <v>2.13</v>
      </c>
      <c r="G20" s="54">
        <v>105.16</v>
      </c>
      <c r="H20" s="54">
        <v>90.96</v>
      </c>
      <c r="I20" s="55" t="s">
        <v>15</v>
      </c>
      <c r="J20" s="54">
        <v>2.4700000000000002</v>
      </c>
      <c r="K20" s="54">
        <v>120.9</v>
      </c>
      <c r="L20" s="54">
        <v>23.67</v>
      </c>
      <c r="M20" s="54">
        <v>42.95</v>
      </c>
      <c r="N20" s="54">
        <v>632.70000000000005</v>
      </c>
      <c r="O20" s="54">
        <v>0</v>
      </c>
      <c r="P20" s="54">
        <v>0.81</v>
      </c>
      <c r="Q20" s="54">
        <v>8.2100000000000009</v>
      </c>
      <c r="R20" s="43"/>
      <c r="S20" s="43"/>
      <c r="T20" s="43"/>
      <c r="U20" s="43"/>
    </row>
    <row r="21" spans="1:21" s="11" customFormat="1" x14ac:dyDescent="0.25">
      <c r="A21" s="53" t="s">
        <v>672</v>
      </c>
      <c r="B21" s="54">
        <v>14.11</v>
      </c>
      <c r="C21" s="54">
        <v>74.62</v>
      </c>
      <c r="D21" s="54">
        <v>48.52</v>
      </c>
      <c r="E21" s="54">
        <v>4.9800000000000004</v>
      </c>
      <c r="F21" s="54">
        <v>2.13</v>
      </c>
      <c r="G21" s="54">
        <v>52.9</v>
      </c>
      <c r="H21" s="54">
        <v>28.96</v>
      </c>
      <c r="I21" s="55" t="s">
        <v>15</v>
      </c>
      <c r="J21" s="54">
        <v>2.95</v>
      </c>
      <c r="K21" s="54">
        <v>359.96</v>
      </c>
      <c r="L21" s="54">
        <v>27.44</v>
      </c>
      <c r="M21" s="54">
        <v>35.090000000000003</v>
      </c>
      <c r="N21" s="54">
        <v>633.6</v>
      </c>
      <c r="O21" s="54">
        <v>0</v>
      </c>
      <c r="P21" s="54">
        <v>0.71</v>
      </c>
      <c r="Q21" s="54">
        <v>8.2100000000000009</v>
      </c>
      <c r="R21" s="43"/>
      <c r="S21" s="43"/>
      <c r="T21" s="43"/>
      <c r="U21" s="43"/>
    </row>
    <row r="22" spans="1:21" s="11" customFormat="1" x14ac:dyDescent="0.25">
      <c r="A22" s="53" t="s">
        <v>673</v>
      </c>
      <c r="B22" s="54">
        <v>13.76</v>
      </c>
      <c r="C22" s="54">
        <v>75.84</v>
      </c>
      <c r="D22" s="54">
        <v>49.28</v>
      </c>
      <c r="E22" s="54">
        <v>4.9000000000000004</v>
      </c>
      <c r="F22" s="54">
        <v>2.13</v>
      </c>
      <c r="G22" s="54">
        <v>47.54</v>
      </c>
      <c r="H22" s="54">
        <v>28.96</v>
      </c>
      <c r="I22" s="55" t="s">
        <v>15</v>
      </c>
      <c r="J22" s="54">
        <v>1.62</v>
      </c>
      <c r="K22" s="54">
        <v>353.26</v>
      </c>
      <c r="L22" s="54">
        <v>27.35</v>
      </c>
      <c r="M22" s="54">
        <v>35.29</v>
      </c>
      <c r="N22" s="54">
        <v>592.1</v>
      </c>
      <c r="O22" s="54">
        <v>0</v>
      </c>
      <c r="P22" s="54">
        <v>0.66</v>
      </c>
      <c r="Q22" s="54">
        <v>8.2100000000000009</v>
      </c>
      <c r="R22" s="43"/>
      <c r="S22" s="43"/>
      <c r="T22" s="43"/>
      <c r="U22" s="43"/>
    </row>
    <row r="23" spans="1:21" s="11" customFormat="1" x14ac:dyDescent="0.25">
      <c r="A23" s="53" t="s">
        <v>674</v>
      </c>
      <c r="B23" s="54">
        <v>12.5</v>
      </c>
      <c r="C23" s="54">
        <v>73.13</v>
      </c>
      <c r="D23" s="54">
        <v>46.86</v>
      </c>
      <c r="E23" s="54">
        <v>4.21</v>
      </c>
      <c r="F23" s="54">
        <v>2.13</v>
      </c>
      <c r="G23" s="54">
        <v>66.16</v>
      </c>
      <c r="H23" s="54">
        <v>23.96</v>
      </c>
      <c r="I23" s="55" t="s">
        <v>15</v>
      </c>
      <c r="J23" s="54">
        <v>3</v>
      </c>
      <c r="K23" s="54">
        <v>326.89</v>
      </c>
      <c r="L23" s="54">
        <v>26.86</v>
      </c>
      <c r="M23" s="54">
        <v>32.97</v>
      </c>
      <c r="N23" s="54">
        <v>422</v>
      </c>
      <c r="O23" s="54">
        <v>0</v>
      </c>
      <c r="P23" s="54">
        <v>0.62</v>
      </c>
      <c r="Q23" s="54">
        <v>8.2100000000000009</v>
      </c>
      <c r="R23" s="43"/>
      <c r="S23" s="43"/>
      <c r="T23" s="43"/>
      <c r="U23" s="43"/>
    </row>
    <row r="24" spans="1:21" s="11" customFormat="1" x14ac:dyDescent="0.25">
      <c r="A24" s="53" t="s">
        <v>675</v>
      </c>
      <c r="B24" s="54">
        <v>8.85</v>
      </c>
      <c r="C24" s="54">
        <v>73.44</v>
      </c>
      <c r="D24" s="54">
        <v>43.15</v>
      </c>
      <c r="E24" s="54">
        <v>5.93</v>
      </c>
      <c r="F24" s="54">
        <v>2.3199999999999998</v>
      </c>
      <c r="G24" s="54">
        <v>78.81</v>
      </c>
      <c r="H24" s="54">
        <v>28.96</v>
      </c>
      <c r="I24" s="55" t="s">
        <v>15</v>
      </c>
      <c r="J24" s="54">
        <v>2.21</v>
      </c>
      <c r="K24" s="54">
        <v>320.62</v>
      </c>
      <c r="L24" s="54">
        <v>26.06</v>
      </c>
      <c r="M24" s="54">
        <v>33.04</v>
      </c>
      <c r="N24" s="54">
        <v>257.8</v>
      </c>
      <c r="O24" s="54">
        <v>0</v>
      </c>
      <c r="P24" s="54">
        <v>0.61</v>
      </c>
      <c r="Q24" s="54">
        <v>8.2100000000000009</v>
      </c>
      <c r="R24" s="43"/>
      <c r="S24" s="43"/>
      <c r="T24" s="43"/>
      <c r="U24" s="43"/>
    </row>
    <row r="25" spans="1:21" s="11" customFormat="1" x14ac:dyDescent="0.25">
      <c r="A25" s="53" t="s">
        <v>676</v>
      </c>
      <c r="B25" s="54">
        <v>5.58</v>
      </c>
      <c r="C25" s="54">
        <v>71.98</v>
      </c>
      <c r="D25" s="54">
        <v>40.42</v>
      </c>
      <c r="E25" s="54">
        <v>6.77</v>
      </c>
      <c r="F25" s="54">
        <v>2.13</v>
      </c>
      <c r="G25" s="54">
        <v>52.45</v>
      </c>
      <c r="H25" s="54">
        <v>28.96</v>
      </c>
      <c r="I25" s="55" t="s">
        <v>15</v>
      </c>
      <c r="J25" s="54">
        <v>2.29</v>
      </c>
      <c r="K25" s="54">
        <v>340.43</v>
      </c>
      <c r="L25" s="54">
        <v>24.3</v>
      </c>
      <c r="M25" s="54">
        <v>36.08</v>
      </c>
      <c r="N25" s="54">
        <v>114.3</v>
      </c>
      <c r="O25" s="54">
        <v>0</v>
      </c>
      <c r="P25" s="54">
        <v>0.61</v>
      </c>
      <c r="Q25" s="54">
        <v>8.2100000000000009</v>
      </c>
      <c r="R25" s="43"/>
      <c r="S25" s="43"/>
      <c r="T25" s="43"/>
      <c r="U25" s="43"/>
    </row>
    <row r="26" spans="1:21" s="11" customFormat="1" x14ac:dyDescent="0.25">
      <c r="A26" s="53" t="s">
        <v>677</v>
      </c>
      <c r="B26" s="54">
        <v>8.56</v>
      </c>
      <c r="C26" s="54">
        <v>72.650000000000006</v>
      </c>
      <c r="D26" s="54">
        <v>43.06</v>
      </c>
      <c r="E26" s="54">
        <v>6.7</v>
      </c>
      <c r="F26" s="54">
        <v>2.13</v>
      </c>
      <c r="G26" s="54">
        <v>52.94</v>
      </c>
      <c r="H26" s="54">
        <v>23.79</v>
      </c>
      <c r="I26" s="55" t="s">
        <v>15</v>
      </c>
      <c r="J26" s="54">
        <v>2.33</v>
      </c>
      <c r="K26" s="54">
        <v>346.67</v>
      </c>
      <c r="L26" s="54">
        <v>23</v>
      </c>
      <c r="M26" s="54">
        <v>45.99</v>
      </c>
      <c r="N26" s="54">
        <v>90.9</v>
      </c>
      <c r="O26" s="54">
        <v>0</v>
      </c>
      <c r="P26" s="54">
        <v>0.88</v>
      </c>
      <c r="Q26" s="54">
        <v>8.2100000000000009</v>
      </c>
      <c r="R26" s="43"/>
      <c r="S26" s="43"/>
      <c r="T26" s="43"/>
      <c r="U26" s="43"/>
    </row>
    <row r="27" spans="1:21" s="11" customFormat="1" x14ac:dyDescent="0.25">
      <c r="A27" s="53" t="s">
        <v>678</v>
      </c>
      <c r="B27" s="54">
        <v>23.45</v>
      </c>
      <c r="C27" s="54">
        <v>75.02</v>
      </c>
      <c r="D27" s="54">
        <v>56.62</v>
      </c>
      <c r="E27" s="54">
        <v>7.02</v>
      </c>
      <c r="F27" s="54">
        <v>2.13</v>
      </c>
      <c r="G27" s="54">
        <v>80.069999999999993</v>
      </c>
      <c r="H27" s="54">
        <v>23.37</v>
      </c>
      <c r="I27" s="55" t="s">
        <v>15</v>
      </c>
      <c r="J27" s="54">
        <v>1.81</v>
      </c>
      <c r="K27" s="54">
        <v>281.85000000000002</v>
      </c>
      <c r="L27" s="54">
        <v>19.87</v>
      </c>
      <c r="M27" s="54">
        <v>59.55</v>
      </c>
      <c r="N27" s="54">
        <v>73.400000000000006</v>
      </c>
      <c r="O27" s="54">
        <v>0</v>
      </c>
      <c r="P27" s="54">
        <v>1.38</v>
      </c>
      <c r="Q27" s="54">
        <v>8.2100000000000009</v>
      </c>
      <c r="R27" s="43"/>
      <c r="S27" s="43"/>
      <c r="T27" s="43"/>
      <c r="U27" s="43"/>
    </row>
    <row r="28" spans="1:21" s="11" customFormat="1" x14ac:dyDescent="0.25">
      <c r="A28" s="53" t="s">
        <v>679</v>
      </c>
      <c r="B28" s="54">
        <v>35.130000000000003</v>
      </c>
      <c r="C28" s="54">
        <v>76.5</v>
      </c>
      <c r="D28" s="54">
        <v>66.77</v>
      </c>
      <c r="E28" s="54">
        <v>7.37</v>
      </c>
      <c r="F28" s="54">
        <v>2.2400000000000002</v>
      </c>
      <c r="G28" s="54">
        <v>102.05</v>
      </c>
      <c r="H28" s="54">
        <v>32.19</v>
      </c>
      <c r="I28" s="55" t="s">
        <v>15</v>
      </c>
      <c r="J28" s="54">
        <v>1.64</v>
      </c>
      <c r="K28" s="54">
        <v>322.23</v>
      </c>
      <c r="L28" s="54">
        <v>18.690000000000001</v>
      </c>
      <c r="M28" s="54">
        <v>59.06</v>
      </c>
      <c r="N28" s="54">
        <v>73.099999999999994</v>
      </c>
      <c r="O28" s="54">
        <v>0</v>
      </c>
      <c r="P28" s="54">
        <v>1.1599999999999999</v>
      </c>
      <c r="Q28" s="54">
        <v>8.2100000000000009</v>
      </c>
      <c r="R28" s="43"/>
      <c r="S28" s="43"/>
      <c r="T28" s="43"/>
      <c r="U28" s="43"/>
    </row>
    <row r="29" spans="1:21" s="11" customFormat="1" x14ac:dyDescent="0.25">
      <c r="A29" s="53" t="s">
        <v>680</v>
      </c>
      <c r="B29" s="54">
        <v>40.58</v>
      </c>
      <c r="C29" s="54">
        <v>76.510000000000005</v>
      </c>
      <c r="D29" s="54">
        <v>70.92</v>
      </c>
      <c r="E29" s="54">
        <v>7.6</v>
      </c>
      <c r="F29" s="54">
        <v>2.13</v>
      </c>
      <c r="G29" s="54">
        <v>103.56</v>
      </c>
      <c r="H29" s="54">
        <v>38.15</v>
      </c>
      <c r="I29" s="55" t="s">
        <v>15</v>
      </c>
      <c r="J29" s="54">
        <v>1.79</v>
      </c>
      <c r="K29" s="54">
        <v>331.05</v>
      </c>
      <c r="L29" s="54">
        <v>18.52</v>
      </c>
      <c r="M29" s="54">
        <v>64.540000000000006</v>
      </c>
      <c r="N29" s="54">
        <v>73.3</v>
      </c>
      <c r="O29" s="54">
        <v>0</v>
      </c>
      <c r="P29" s="54">
        <v>1.25</v>
      </c>
      <c r="Q29" s="54">
        <v>8.2100000000000009</v>
      </c>
      <c r="R29" s="43"/>
      <c r="S29" s="43"/>
      <c r="T29" s="43"/>
      <c r="U29" s="43"/>
    </row>
    <row r="30" spans="1:21" s="11" customFormat="1" x14ac:dyDescent="0.25">
      <c r="A30" s="53" t="s">
        <v>681</v>
      </c>
      <c r="B30" s="54">
        <v>61.93</v>
      </c>
      <c r="C30" s="54">
        <v>76.17</v>
      </c>
      <c r="D30" s="54">
        <v>85.86</v>
      </c>
      <c r="E30" s="54">
        <v>8.57</v>
      </c>
      <c r="F30" s="54">
        <v>2.13</v>
      </c>
      <c r="G30" s="54">
        <v>115.85</v>
      </c>
      <c r="H30" s="54">
        <v>39.799999999999997</v>
      </c>
      <c r="I30" s="55" t="s">
        <v>15</v>
      </c>
      <c r="J30" s="54">
        <v>1.76</v>
      </c>
      <c r="K30" s="54">
        <v>348.13</v>
      </c>
      <c r="L30" s="54">
        <v>16.61</v>
      </c>
      <c r="M30" s="54">
        <v>72.55</v>
      </c>
      <c r="N30" s="54">
        <v>73.3</v>
      </c>
      <c r="O30" s="54">
        <v>0</v>
      </c>
      <c r="P30" s="54">
        <v>1.55</v>
      </c>
      <c r="Q30" s="54">
        <v>8.2100000000000009</v>
      </c>
      <c r="R30" s="43"/>
      <c r="S30" s="43"/>
      <c r="T30" s="43"/>
      <c r="U30" s="43"/>
    </row>
    <row r="31" spans="1:21" s="11" customFormat="1" x14ac:dyDescent="0.25">
      <c r="A31" s="53" t="s">
        <v>682</v>
      </c>
      <c r="B31" s="54">
        <v>63.37</v>
      </c>
      <c r="C31" s="54">
        <v>71.92</v>
      </c>
      <c r="D31" s="54">
        <v>87.02</v>
      </c>
      <c r="E31" s="54">
        <v>8.17</v>
      </c>
      <c r="F31" s="54">
        <v>2.13</v>
      </c>
      <c r="G31" s="54">
        <v>123.14</v>
      </c>
      <c r="H31" s="54">
        <v>47.58</v>
      </c>
      <c r="I31" s="55" t="s">
        <v>15</v>
      </c>
      <c r="J31" s="54">
        <v>1.41</v>
      </c>
      <c r="K31" s="54">
        <v>342.38</v>
      </c>
      <c r="L31" s="54">
        <v>16.91</v>
      </c>
      <c r="M31" s="54">
        <v>59.89</v>
      </c>
      <c r="N31" s="54">
        <v>73</v>
      </c>
      <c r="O31" s="54">
        <v>0</v>
      </c>
      <c r="P31" s="54">
        <v>1.42</v>
      </c>
      <c r="Q31" s="54">
        <v>8.2100000000000009</v>
      </c>
      <c r="R31" s="43"/>
      <c r="S31" s="43"/>
      <c r="T31" s="43"/>
      <c r="U31" s="43"/>
    </row>
    <row r="32" spans="1:21" s="11" customFormat="1" x14ac:dyDescent="0.25">
      <c r="A32" s="53" t="s">
        <v>683</v>
      </c>
      <c r="B32" s="54">
        <v>61.16</v>
      </c>
      <c r="C32" s="54">
        <v>69.58</v>
      </c>
      <c r="D32" s="54">
        <v>84.02</v>
      </c>
      <c r="E32" s="54">
        <v>7.69</v>
      </c>
      <c r="F32" s="54">
        <v>2.13</v>
      </c>
      <c r="G32" s="54">
        <v>100.52</v>
      </c>
      <c r="H32" s="54">
        <v>28.96</v>
      </c>
      <c r="I32" s="55" t="s">
        <v>15</v>
      </c>
      <c r="J32" s="54">
        <v>1.78</v>
      </c>
      <c r="K32" s="54">
        <v>350.54</v>
      </c>
      <c r="L32" s="54">
        <v>16.309999999999999</v>
      </c>
      <c r="M32" s="54">
        <v>62.16</v>
      </c>
      <c r="N32" s="54">
        <v>73.3</v>
      </c>
      <c r="O32" s="54">
        <v>0</v>
      </c>
      <c r="P32" s="54">
        <v>1.38</v>
      </c>
      <c r="Q32" s="54">
        <v>8.2100000000000009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5.58</v>
      </c>
      <c r="C34" s="28">
        <f t="shared" si="0"/>
        <v>60.65</v>
      </c>
      <c r="D34" s="28">
        <f t="shared" si="0"/>
        <v>40.42</v>
      </c>
      <c r="E34" s="28">
        <f t="shared" si="0"/>
        <v>4.21</v>
      </c>
      <c r="F34" s="28">
        <f t="shared" si="0"/>
        <v>2.13</v>
      </c>
      <c r="G34" s="28">
        <f t="shared" si="0"/>
        <v>47.54</v>
      </c>
      <c r="H34" s="28">
        <f t="shared" si="0"/>
        <v>23.37</v>
      </c>
      <c r="I34" s="28">
        <f t="shared" si="0"/>
        <v>0</v>
      </c>
      <c r="J34" s="28">
        <f t="shared" si="0"/>
        <v>1.0900000000000001</v>
      </c>
      <c r="K34" s="28">
        <f t="shared" si="0"/>
        <v>74.209999999999994</v>
      </c>
      <c r="L34" s="28">
        <f t="shared" si="0"/>
        <v>13.61</v>
      </c>
      <c r="M34" s="28">
        <f t="shared" si="0"/>
        <v>32.97</v>
      </c>
      <c r="N34" s="28">
        <f t="shared" si="0"/>
        <v>68.400000000000006</v>
      </c>
      <c r="O34" s="28">
        <f t="shared" si="0"/>
        <v>0</v>
      </c>
      <c r="P34" s="28">
        <f t="shared" si="0"/>
        <v>0.61</v>
      </c>
      <c r="Q34" s="28">
        <f t="shared" si="0"/>
        <v>8.2100000000000009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135.91999999999999</v>
      </c>
      <c r="C35" s="29">
        <f t="shared" si="1"/>
        <v>76.510000000000005</v>
      </c>
      <c r="D35" s="29">
        <f t="shared" si="1"/>
        <v>146.03</v>
      </c>
      <c r="E35" s="29">
        <f t="shared" si="1"/>
        <v>9.0399999999999991</v>
      </c>
      <c r="F35" s="29">
        <f t="shared" si="1"/>
        <v>2.3199999999999998</v>
      </c>
      <c r="G35" s="29">
        <f t="shared" si="1"/>
        <v>182.52</v>
      </c>
      <c r="H35" s="29">
        <f t="shared" si="1"/>
        <v>90.96</v>
      </c>
      <c r="I35" s="29">
        <f t="shared" si="1"/>
        <v>0</v>
      </c>
      <c r="J35" s="29">
        <f t="shared" si="1"/>
        <v>3</v>
      </c>
      <c r="K35" s="29">
        <f t="shared" si="1"/>
        <v>359.96</v>
      </c>
      <c r="L35" s="29">
        <f t="shared" si="1"/>
        <v>27.44</v>
      </c>
      <c r="M35" s="29">
        <f t="shared" si="1"/>
        <v>86.57</v>
      </c>
      <c r="N35" s="29">
        <f t="shared" si="1"/>
        <v>633.6</v>
      </c>
      <c r="O35" s="29">
        <f t="shared" si="1"/>
        <v>0</v>
      </c>
      <c r="P35" s="29">
        <f t="shared" si="1"/>
        <v>2.56</v>
      </c>
      <c r="Q35" s="29">
        <f t="shared" si="1"/>
        <v>9.7799999999999994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45.184583333333336</v>
      </c>
      <c r="C36" s="28">
        <f t="shared" si="2"/>
        <v>69.342083333333335</v>
      </c>
      <c r="D36" s="28">
        <f t="shared" si="2"/>
        <v>70.625</v>
      </c>
      <c r="E36" s="28">
        <f t="shared" si="2"/>
        <v>6.6149999999999993</v>
      </c>
      <c r="F36" s="28">
        <f t="shared" si="2"/>
        <v>2.1425000000000005</v>
      </c>
      <c r="G36" s="28">
        <f t="shared" si="2"/>
        <v>96.685833333333335</v>
      </c>
      <c r="H36" s="28">
        <f t="shared" si="2"/>
        <v>38.970000000000006</v>
      </c>
      <c r="I36" s="28" t="e">
        <f t="shared" si="2"/>
        <v>#DIV/0!</v>
      </c>
      <c r="J36" s="28">
        <f t="shared" si="2"/>
        <v>2.0262499999999997</v>
      </c>
      <c r="K36" s="28">
        <f t="shared" si="2"/>
        <v>291.66625000000005</v>
      </c>
      <c r="L36" s="28">
        <f t="shared" si="2"/>
        <v>19.612500000000001</v>
      </c>
      <c r="M36" s="28">
        <f t="shared" si="2"/>
        <v>59.53875</v>
      </c>
      <c r="N36" s="28">
        <f t="shared" si="2"/>
        <v>227.42083333333335</v>
      </c>
      <c r="O36" s="28">
        <f t="shared" si="2"/>
        <v>0</v>
      </c>
      <c r="P36" s="28">
        <f t="shared" si="2"/>
        <v>1.2079166666666665</v>
      </c>
      <c r="Q36" s="28">
        <f t="shared" si="2"/>
        <v>8.4183333333333383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34.034602466258235</v>
      </c>
      <c r="C37" s="28">
        <f t="shared" ref="C37:Q37" si="3">STDEV(C9:C32)</f>
        <v>5.6520061687761878</v>
      </c>
      <c r="D37" s="28">
        <f t="shared" si="3"/>
        <v>26.609507290832525</v>
      </c>
      <c r="E37" s="28">
        <f t="shared" si="3"/>
        <v>1.3157969976901596</v>
      </c>
      <c r="F37" s="28">
        <f t="shared" si="3"/>
        <v>4.3961445559173508E-2</v>
      </c>
      <c r="G37" s="28">
        <f t="shared" si="3"/>
        <v>34.430374218712473</v>
      </c>
      <c r="H37" s="28">
        <f t="shared" si="3"/>
        <v>17.937298037039046</v>
      </c>
      <c r="I37" s="28" t="e">
        <f t="shared" si="3"/>
        <v>#DIV/0!</v>
      </c>
      <c r="J37" s="28">
        <f t="shared" si="3"/>
        <v>0.61274019247823253</v>
      </c>
      <c r="K37" s="28">
        <f t="shared" si="3"/>
        <v>98.624097629089306</v>
      </c>
      <c r="L37" s="28">
        <f t="shared" si="3"/>
        <v>4.6797066518988126</v>
      </c>
      <c r="M37" s="28">
        <f t="shared" si="3"/>
        <v>18.363117172272482</v>
      </c>
      <c r="N37" s="28">
        <f t="shared" si="3"/>
        <v>220.68479977435985</v>
      </c>
      <c r="O37" s="28">
        <f t="shared" si="3"/>
        <v>0</v>
      </c>
      <c r="P37" s="28">
        <f t="shared" si="3"/>
        <v>0.47577834779641309</v>
      </c>
      <c r="Q37" s="28">
        <f t="shared" si="3"/>
        <v>0.49927483645667553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0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&lt;90%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LESS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2" sqref="G52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27/01/2025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8"/>
      <c r="B8" s="59" t="s">
        <v>22</v>
      </c>
      <c r="C8" s="59" t="s">
        <v>22</v>
      </c>
      <c r="D8" s="29" t="s">
        <v>42</v>
      </c>
      <c r="E8" s="59" t="s">
        <v>22</v>
      </c>
      <c r="F8" s="59" t="s">
        <v>22</v>
      </c>
      <c r="G8" s="59" t="s">
        <v>23</v>
      </c>
      <c r="H8" s="59" t="s">
        <v>22</v>
      </c>
      <c r="I8" s="59" t="s">
        <v>22</v>
      </c>
      <c r="J8" s="59" t="s">
        <v>24</v>
      </c>
      <c r="K8" s="59" t="s">
        <v>25</v>
      </c>
      <c r="L8" s="58" t="s">
        <v>27</v>
      </c>
      <c r="M8" s="59" t="s">
        <v>26</v>
      </c>
      <c r="N8" s="59" t="s">
        <v>28</v>
      </c>
      <c r="O8" s="58" t="s">
        <v>29</v>
      </c>
      <c r="P8" s="59" t="s">
        <v>22</v>
      </c>
      <c r="Q8" s="59" t="s">
        <v>22</v>
      </c>
      <c r="R8" s="27"/>
      <c r="S8" s="29"/>
      <c r="T8" s="27"/>
      <c r="U8" s="27"/>
    </row>
    <row r="9" spans="1:21" s="11" customFormat="1" x14ac:dyDescent="0.25">
      <c r="A9" s="53" t="s">
        <v>684</v>
      </c>
      <c r="B9" s="54">
        <v>53.91</v>
      </c>
      <c r="C9" s="54">
        <v>68.790000000000006</v>
      </c>
      <c r="D9" s="54">
        <v>77.790000000000006</v>
      </c>
      <c r="E9" s="54">
        <v>5.81</v>
      </c>
      <c r="F9" s="54">
        <v>2.13</v>
      </c>
      <c r="G9" s="54">
        <v>85.06</v>
      </c>
      <c r="H9" s="54">
        <v>31.55</v>
      </c>
      <c r="I9" s="55" t="s">
        <v>15</v>
      </c>
      <c r="J9" s="54">
        <v>0.85</v>
      </c>
      <c r="K9" s="54">
        <v>359.35</v>
      </c>
      <c r="L9" s="54">
        <v>16.29</v>
      </c>
      <c r="M9" s="54">
        <v>56.58</v>
      </c>
      <c r="N9" s="54">
        <v>73</v>
      </c>
      <c r="O9" s="54">
        <v>0</v>
      </c>
      <c r="P9" s="54">
        <v>1.3</v>
      </c>
      <c r="Q9" s="54">
        <v>8.2100000000000009</v>
      </c>
      <c r="R9" s="43"/>
      <c r="S9" s="43"/>
      <c r="T9" s="43"/>
      <c r="U9" s="43"/>
    </row>
    <row r="10" spans="1:21" s="11" customFormat="1" x14ac:dyDescent="0.25">
      <c r="A10" s="53" t="s">
        <v>685</v>
      </c>
      <c r="B10" s="54">
        <v>39.58</v>
      </c>
      <c r="C10" s="54">
        <v>66.680000000000007</v>
      </c>
      <c r="D10" s="54">
        <v>65.2</v>
      </c>
      <c r="E10" s="54">
        <v>4.95</v>
      </c>
      <c r="F10" s="54">
        <v>2.13</v>
      </c>
      <c r="G10" s="54">
        <v>55.82</v>
      </c>
      <c r="H10" s="54">
        <v>20.83</v>
      </c>
      <c r="I10" s="55" t="s">
        <v>15</v>
      </c>
      <c r="J10" s="54">
        <v>1.38</v>
      </c>
      <c r="K10" s="54">
        <v>345.1</v>
      </c>
      <c r="L10" s="54">
        <v>15.43</v>
      </c>
      <c r="M10" s="54">
        <v>51.45</v>
      </c>
      <c r="N10" s="54">
        <v>73.2</v>
      </c>
      <c r="O10" s="54">
        <v>0</v>
      </c>
      <c r="P10" s="54">
        <v>1.1299999999999999</v>
      </c>
      <c r="Q10" s="54">
        <v>8.2100000000000009</v>
      </c>
      <c r="R10" s="43"/>
      <c r="S10" s="43"/>
      <c r="T10" s="43"/>
      <c r="U10" s="43"/>
    </row>
    <row r="11" spans="1:21" s="11" customFormat="1" x14ac:dyDescent="0.25">
      <c r="A11" s="53" t="s">
        <v>686</v>
      </c>
      <c r="B11" s="54">
        <v>28.2</v>
      </c>
      <c r="C11" s="54">
        <v>61.81</v>
      </c>
      <c r="D11" s="54">
        <v>53.46</v>
      </c>
      <c r="E11" s="54">
        <v>4.84</v>
      </c>
      <c r="F11" s="54">
        <v>2.13</v>
      </c>
      <c r="G11" s="54">
        <v>59.12</v>
      </c>
      <c r="H11" s="54">
        <v>19.66</v>
      </c>
      <c r="I11" s="55" t="s">
        <v>15</v>
      </c>
      <c r="J11" s="54">
        <v>1.69</v>
      </c>
      <c r="K11" s="54">
        <v>324.14999999999998</v>
      </c>
      <c r="L11" s="54">
        <v>14.54</v>
      </c>
      <c r="M11" s="54">
        <v>80.95</v>
      </c>
      <c r="N11" s="54">
        <v>73.400000000000006</v>
      </c>
      <c r="O11" s="54">
        <v>0</v>
      </c>
      <c r="P11" s="54">
        <v>1.01</v>
      </c>
      <c r="Q11" s="54">
        <v>8.2100000000000009</v>
      </c>
      <c r="R11" s="43"/>
      <c r="S11" s="43"/>
      <c r="T11" s="43"/>
      <c r="U11" s="43"/>
    </row>
    <row r="12" spans="1:21" s="11" customFormat="1" x14ac:dyDescent="0.25">
      <c r="A12" s="53" t="s">
        <v>687</v>
      </c>
      <c r="B12" s="54">
        <v>24.07</v>
      </c>
      <c r="C12" s="54">
        <v>59.4</v>
      </c>
      <c r="D12" s="54">
        <v>48.96</v>
      </c>
      <c r="E12" s="54">
        <v>4.87</v>
      </c>
      <c r="F12" s="54">
        <v>2.13</v>
      </c>
      <c r="G12" s="54">
        <v>69.05</v>
      </c>
      <c r="H12" s="54">
        <v>28.8</v>
      </c>
      <c r="I12" s="55" t="s">
        <v>15</v>
      </c>
      <c r="J12" s="54">
        <v>1.84</v>
      </c>
      <c r="K12" s="54">
        <v>352.16</v>
      </c>
      <c r="L12" s="54">
        <v>12.4</v>
      </c>
      <c r="M12" s="54">
        <v>88.64</v>
      </c>
      <c r="N12" s="54">
        <v>73.2</v>
      </c>
      <c r="O12" s="54">
        <v>0</v>
      </c>
      <c r="P12" s="54">
        <v>0.94</v>
      </c>
      <c r="Q12" s="54">
        <v>8.2100000000000009</v>
      </c>
      <c r="R12" s="43"/>
      <c r="S12" s="43"/>
      <c r="T12" s="43"/>
      <c r="U12" s="43"/>
    </row>
    <row r="13" spans="1:21" s="11" customFormat="1" x14ac:dyDescent="0.25">
      <c r="A13" s="53" t="s">
        <v>688</v>
      </c>
      <c r="B13" s="54">
        <v>26.93</v>
      </c>
      <c r="C13" s="54">
        <v>57.74</v>
      </c>
      <c r="D13" s="54">
        <v>50.37</v>
      </c>
      <c r="E13" s="54">
        <v>5.28</v>
      </c>
      <c r="F13" s="54">
        <v>2.13</v>
      </c>
      <c r="G13" s="54">
        <v>76.290000000000006</v>
      </c>
      <c r="H13" s="54">
        <v>35.520000000000003</v>
      </c>
      <c r="I13" s="55" t="s">
        <v>15</v>
      </c>
      <c r="J13" s="54">
        <v>1.71</v>
      </c>
      <c r="K13" s="54">
        <v>335.14</v>
      </c>
      <c r="L13" s="54">
        <v>12.41</v>
      </c>
      <c r="M13" s="54">
        <v>88.05</v>
      </c>
      <c r="N13" s="54">
        <v>72.900000000000006</v>
      </c>
      <c r="O13" s="54">
        <v>0</v>
      </c>
      <c r="P13" s="54">
        <v>0.9</v>
      </c>
      <c r="Q13" s="54">
        <v>8.2100000000000009</v>
      </c>
      <c r="R13" s="43"/>
      <c r="S13" s="43"/>
      <c r="T13" s="43"/>
      <c r="U13" s="43"/>
    </row>
    <row r="14" spans="1:21" s="11" customFormat="1" x14ac:dyDescent="0.25">
      <c r="A14" s="53" t="s">
        <v>689</v>
      </c>
      <c r="B14" s="54">
        <v>25.9</v>
      </c>
      <c r="C14" s="54">
        <v>59.53</v>
      </c>
      <c r="D14" s="54">
        <v>50.03</v>
      </c>
      <c r="E14" s="54">
        <v>5.12</v>
      </c>
      <c r="F14" s="54">
        <v>2.13</v>
      </c>
      <c r="G14" s="54">
        <v>77.650000000000006</v>
      </c>
      <c r="H14" s="54">
        <v>49.06</v>
      </c>
      <c r="I14" s="55" t="s">
        <v>15</v>
      </c>
      <c r="J14" s="54">
        <v>1.91</v>
      </c>
      <c r="K14" s="54">
        <v>349.07</v>
      </c>
      <c r="L14" s="54">
        <v>12.64</v>
      </c>
      <c r="M14" s="54">
        <v>67.09</v>
      </c>
      <c r="N14" s="54">
        <v>73.2</v>
      </c>
      <c r="O14" s="54">
        <v>0</v>
      </c>
      <c r="P14" s="54">
        <v>0.84</v>
      </c>
      <c r="Q14" s="54">
        <v>8.2100000000000009</v>
      </c>
      <c r="R14" s="43"/>
      <c r="S14" s="43"/>
      <c r="T14" s="43"/>
      <c r="U14" s="43"/>
    </row>
    <row r="15" spans="1:21" s="11" customFormat="1" x14ac:dyDescent="0.25">
      <c r="A15" s="53" t="s">
        <v>690</v>
      </c>
      <c r="B15" s="54">
        <v>24.29</v>
      </c>
      <c r="C15" s="54">
        <v>58.65</v>
      </c>
      <c r="D15" s="54">
        <v>48.23</v>
      </c>
      <c r="E15" s="54">
        <v>5.13</v>
      </c>
      <c r="F15" s="54">
        <v>2.13</v>
      </c>
      <c r="G15" s="54">
        <v>75.05</v>
      </c>
      <c r="H15" s="54">
        <v>61.27</v>
      </c>
      <c r="I15" s="55" t="s">
        <v>15</v>
      </c>
      <c r="J15" s="54">
        <v>2.06</v>
      </c>
      <c r="K15" s="54">
        <v>351.19</v>
      </c>
      <c r="L15" s="54">
        <v>12.71</v>
      </c>
      <c r="M15" s="54">
        <v>56.19</v>
      </c>
      <c r="N15" s="54">
        <v>84.4</v>
      </c>
      <c r="O15" s="54">
        <v>0</v>
      </c>
      <c r="P15" s="54">
        <v>0.79</v>
      </c>
      <c r="Q15" s="54">
        <v>8.2100000000000009</v>
      </c>
      <c r="R15" s="43"/>
      <c r="S15" s="43"/>
      <c r="T15" s="43"/>
      <c r="U15" s="43"/>
    </row>
    <row r="16" spans="1:21" s="11" customFormat="1" x14ac:dyDescent="0.25">
      <c r="A16" s="53" t="s">
        <v>691</v>
      </c>
      <c r="B16" s="54">
        <v>24.32</v>
      </c>
      <c r="C16" s="54">
        <v>58.36</v>
      </c>
      <c r="D16" s="54">
        <v>48.61</v>
      </c>
      <c r="E16" s="54">
        <v>5.04</v>
      </c>
      <c r="F16" s="54">
        <v>2.13</v>
      </c>
      <c r="G16" s="54">
        <v>70.209999999999994</v>
      </c>
      <c r="H16" s="54">
        <v>47.87</v>
      </c>
      <c r="I16" s="55" t="s">
        <v>15</v>
      </c>
      <c r="J16" s="54">
        <v>1.85</v>
      </c>
      <c r="K16" s="54">
        <v>112.14</v>
      </c>
      <c r="L16" s="54">
        <v>14.61</v>
      </c>
      <c r="M16" s="54">
        <v>55.83</v>
      </c>
      <c r="N16" s="54">
        <v>255.6</v>
      </c>
      <c r="O16" s="54">
        <v>0</v>
      </c>
      <c r="P16" s="54">
        <v>0.77</v>
      </c>
      <c r="Q16" s="54">
        <v>8.2100000000000009</v>
      </c>
      <c r="R16" s="43"/>
      <c r="S16" s="43"/>
      <c r="T16" s="43"/>
      <c r="U16" s="43"/>
    </row>
    <row r="17" spans="1:21" s="11" customFormat="1" x14ac:dyDescent="0.25">
      <c r="A17" s="53" t="s">
        <v>692</v>
      </c>
      <c r="B17" s="54">
        <v>24.89</v>
      </c>
      <c r="C17" s="54">
        <v>60.76</v>
      </c>
      <c r="D17" s="54">
        <v>49.58</v>
      </c>
      <c r="E17" s="54">
        <v>5.45</v>
      </c>
      <c r="F17" s="54">
        <v>2.13</v>
      </c>
      <c r="G17" s="54">
        <v>71.680000000000007</v>
      </c>
      <c r="H17" s="54">
        <v>67.900000000000006</v>
      </c>
      <c r="I17" s="55" t="s">
        <v>15</v>
      </c>
      <c r="J17" s="54">
        <v>2.13</v>
      </c>
      <c r="K17" s="54">
        <v>123.21</v>
      </c>
      <c r="L17" s="54">
        <v>18.66</v>
      </c>
      <c r="M17" s="54">
        <v>42.58</v>
      </c>
      <c r="N17" s="54">
        <v>465.9</v>
      </c>
      <c r="O17" s="54">
        <v>0</v>
      </c>
      <c r="P17" s="54">
        <v>0.77</v>
      </c>
      <c r="Q17" s="54">
        <v>8.2100000000000009</v>
      </c>
      <c r="R17" s="43"/>
      <c r="S17" s="43"/>
      <c r="T17" s="43"/>
      <c r="U17" s="43"/>
    </row>
    <row r="18" spans="1:21" s="11" customFormat="1" x14ac:dyDescent="0.25">
      <c r="A18" s="53" t="s">
        <v>693</v>
      </c>
      <c r="B18" s="54">
        <v>23.7</v>
      </c>
      <c r="C18" s="54">
        <v>65.739999999999995</v>
      </c>
      <c r="D18" s="54">
        <v>51.97</v>
      </c>
      <c r="E18" s="54">
        <v>5.33</v>
      </c>
      <c r="F18" s="54">
        <v>2.13</v>
      </c>
      <c r="G18" s="54">
        <v>69.709999999999994</v>
      </c>
      <c r="H18" s="54">
        <v>61.9</v>
      </c>
      <c r="I18" s="55" t="s">
        <v>15</v>
      </c>
      <c r="J18" s="54">
        <v>2.79</v>
      </c>
      <c r="K18" s="54">
        <v>351.67</v>
      </c>
      <c r="L18" s="54">
        <v>26.04</v>
      </c>
      <c r="M18" s="54">
        <v>34.97</v>
      </c>
      <c r="N18" s="54">
        <v>571.1</v>
      </c>
      <c r="O18" s="54">
        <v>0</v>
      </c>
      <c r="P18" s="54">
        <v>0.73</v>
      </c>
      <c r="Q18" s="54">
        <v>8.2100000000000009</v>
      </c>
      <c r="R18" s="43"/>
      <c r="S18" s="43"/>
      <c r="T18" s="43"/>
      <c r="U18" s="43"/>
    </row>
    <row r="19" spans="1:21" s="11" customFormat="1" x14ac:dyDescent="0.25">
      <c r="A19" s="53" t="s">
        <v>694</v>
      </c>
      <c r="B19" s="54">
        <v>24.13</v>
      </c>
      <c r="C19" s="54">
        <v>106.03</v>
      </c>
      <c r="D19" s="54">
        <v>66.180000000000007</v>
      </c>
      <c r="E19" s="54">
        <v>11.16</v>
      </c>
      <c r="F19" s="54">
        <v>3.33</v>
      </c>
      <c r="G19" s="54">
        <v>71.08</v>
      </c>
      <c r="H19" s="54">
        <v>60.33</v>
      </c>
      <c r="I19" s="55" t="s">
        <v>15</v>
      </c>
      <c r="J19" s="54">
        <v>2.67</v>
      </c>
      <c r="K19" s="54">
        <v>346.38</v>
      </c>
      <c r="L19" s="54">
        <v>27.85</v>
      </c>
      <c r="M19" s="54">
        <v>23.24</v>
      </c>
      <c r="N19" s="54">
        <v>614.9</v>
      </c>
      <c r="O19" s="54">
        <v>0</v>
      </c>
      <c r="P19" s="54">
        <v>0.76</v>
      </c>
      <c r="Q19" s="54">
        <v>8.2100000000000009</v>
      </c>
      <c r="R19" s="43"/>
      <c r="S19" s="43"/>
      <c r="T19" s="43"/>
      <c r="U19" s="43"/>
    </row>
    <row r="20" spans="1:21" s="11" customFormat="1" x14ac:dyDescent="0.25">
      <c r="A20" s="53" t="s">
        <v>695</v>
      </c>
      <c r="B20" s="54">
        <v>16.88</v>
      </c>
      <c r="C20" s="54">
        <v>100.9</v>
      </c>
      <c r="D20" s="54">
        <v>62.42</v>
      </c>
      <c r="E20" s="54">
        <v>10.1</v>
      </c>
      <c r="F20" s="54">
        <v>2.13</v>
      </c>
      <c r="G20" s="54">
        <v>69.489999999999995</v>
      </c>
      <c r="H20" s="54">
        <v>39.31</v>
      </c>
      <c r="I20" s="55" t="s">
        <v>15</v>
      </c>
      <c r="J20" s="54">
        <v>1.63</v>
      </c>
      <c r="K20" s="54">
        <v>343.83</v>
      </c>
      <c r="L20" s="54">
        <v>27.65</v>
      </c>
      <c r="M20" s="54">
        <v>23.93</v>
      </c>
      <c r="N20" s="54">
        <v>608.70000000000005</v>
      </c>
      <c r="O20" s="54">
        <v>0</v>
      </c>
      <c r="P20" s="54">
        <v>0.77</v>
      </c>
      <c r="Q20" s="54">
        <v>8.2100000000000009</v>
      </c>
      <c r="R20" s="43"/>
      <c r="S20" s="43"/>
      <c r="T20" s="43"/>
      <c r="U20" s="43"/>
    </row>
    <row r="21" spans="1:21" s="11" customFormat="1" x14ac:dyDescent="0.25">
      <c r="A21" s="53" t="s">
        <v>696</v>
      </c>
      <c r="B21" s="54">
        <v>17.71</v>
      </c>
      <c r="C21" s="54">
        <v>103.32</v>
      </c>
      <c r="D21" s="54">
        <v>65.489999999999995</v>
      </c>
      <c r="E21" s="54">
        <v>12.75</v>
      </c>
      <c r="F21" s="54">
        <v>3.18</v>
      </c>
      <c r="G21" s="54">
        <v>76.56</v>
      </c>
      <c r="H21" s="54">
        <v>57.57</v>
      </c>
      <c r="I21" s="55" t="s">
        <v>15</v>
      </c>
      <c r="J21" s="54">
        <v>3.21</v>
      </c>
      <c r="K21" s="54">
        <v>332.5</v>
      </c>
      <c r="L21" s="54">
        <v>29.5</v>
      </c>
      <c r="M21" s="54">
        <v>22.39</v>
      </c>
      <c r="N21" s="54">
        <v>659.2</v>
      </c>
      <c r="O21" s="54">
        <v>0</v>
      </c>
      <c r="P21" s="54">
        <v>0.8</v>
      </c>
      <c r="Q21" s="54">
        <v>8.2100000000000009</v>
      </c>
      <c r="R21" s="43"/>
      <c r="S21" s="43"/>
      <c r="T21" s="43"/>
      <c r="U21" s="43"/>
    </row>
    <row r="22" spans="1:21" s="11" customFormat="1" x14ac:dyDescent="0.25">
      <c r="A22" s="53" t="s">
        <v>697</v>
      </c>
      <c r="B22" s="54">
        <v>6.78</v>
      </c>
      <c r="C22" s="54">
        <v>98.46</v>
      </c>
      <c r="D22" s="54">
        <v>55.51</v>
      </c>
      <c r="E22" s="54">
        <v>9.1199999999999992</v>
      </c>
      <c r="F22" s="54">
        <v>9.98</v>
      </c>
      <c r="G22" s="54">
        <v>83.48</v>
      </c>
      <c r="H22" s="54">
        <v>64.260000000000005</v>
      </c>
      <c r="I22" s="55" t="s">
        <v>15</v>
      </c>
      <c r="J22" s="54">
        <v>2.14</v>
      </c>
      <c r="K22" s="54">
        <v>310.51</v>
      </c>
      <c r="L22" s="54">
        <v>28.97</v>
      </c>
      <c r="M22" s="54">
        <v>26.1</v>
      </c>
      <c r="N22" s="54">
        <v>645.6</v>
      </c>
      <c r="O22" s="54">
        <v>0</v>
      </c>
      <c r="P22" s="54">
        <v>0.63</v>
      </c>
      <c r="Q22" s="54">
        <v>8.2100000000000009</v>
      </c>
      <c r="R22" s="43"/>
      <c r="S22" s="43"/>
      <c r="T22" s="43"/>
      <c r="U22" s="43"/>
    </row>
    <row r="23" spans="1:21" s="11" customFormat="1" x14ac:dyDescent="0.25">
      <c r="A23" s="53" t="s">
        <v>698</v>
      </c>
      <c r="B23" s="54">
        <v>3.68</v>
      </c>
      <c r="C23" s="54">
        <v>74.319999999999993</v>
      </c>
      <c r="D23" s="54">
        <v>40.32</v>
      </c>
      <c r="E23" s="54">
        <v>6.69</v>
      </c>
      <c r="F23" s="54">
        <v>6.48</v>
      </c>
      <c r="G23" s="54">
        <v>68.55</v>
      </c>
      <c r="H23" s="54">
        <v>40.83</v>
      </c>
      <c r="I23" s="55" t="s">
        <v>15</v>
      </c>
      <c r="J23" s="54">
        <v>3.34</v>
      </c>
      <c r="K23" s="54">
        <v>314.98</v>
      </c>
      <c r="L23" s="54">
        <v>27.67</v>
      </c>
      <c r="M23" s="54">
        <v>27.83</v>
      </c>
      <c r="N23" s="54">
        <v>480</v>
      </c>
      <c r="O23" s="54">
        <v>0</v>
      </c>
      <c r="P23" s="54">
        <v>0.56000000000000005</v>
      </c>
      <c r="Q23" s="54">
        <v>8.2100000000000009</v>
      </c>
      <c r="R23" s="43"/>
      <c r="S23" s="43"/>
      <c r="T23" s="43"/>
      <c r="U23" s="43"/>
    </row>
    <row r="24" spans="1:21" s="11" customFormat="1" x14ac:dyDescent="0.25">
      <c r="A24" s="53" t="s">
        <v>699</v>
      </c>
      <c r="B24" s="54">
        <v>4.5</v>
      </c>
      <c r="C24" s="54">
        <v>64.180000000000007</v>
      </c>
      <c r="D24" s="54">
        <v>35.6</v>
      </c>
      <c r="E24" s="54">
        <v>6.54</v>
      </c>
      <c r="F24" s="54">
        <v>4.3099999999999996</v>
      </c>
      <c r="G24" s="54">
        <v>49.53</v>
      </c>
      <c r="H24" s="54">
        <v>43.24</v>
      </c>
      <c r="I24" s="55" t="s">
        <v>15</v>
      </c>
      <c r="J24" s="54">
        <v>2.86</v>
      </c>
      <c r="K24" s="54">
        <v>328.83</v>
      </c>
      <c r="L24" s="54">
        <v>25.79</v>
      </c>
      <c r="M24" s="54">
        <v>29.65</v>
      </c>
      <c r="N24" s="54">
        <v>259.89999999999998</v>
      </c>
      <c r="O24" s="54">
        <v>0</v>
      </c>
      <c r="P24" s="54">
        <v>0.49</v>
      </c>
      <c r="Q24" s="54">
        <v>8.2100000000000009</v>
      </c>
      <c r="R24" s="43"/>
      <c r="S24" s="43"/>
      <c r="T24" s="43"/>
      <c r="U24" s="43"/>
    </row>
    <row r="25" spans="1:21" s="11" customFormat="1" x14ac:dyDescent="0.25">
      <c r="A25" s="53" t="s">
        <v>700</v>
      </c>
      <c r="B25" s="54">
        <v>4.51</v>
      </c>
      <c r="C25" s="54">
        <v>70.62</v>
      </c>
      <c r="D25" s="54">
        <v>39.14</v>
      </c>
      <c r="E25" s="54">
        <v>8.16</v>
      </c>
      <c r="F25" s="54">
        <v>6.41</v>
      </c>
      <c r="G25" s="54">
        <v>41.37</v>
      </c>
      <c r="H25" s="54">
        <v>18.45</v>
      </c>
      <c r="I25" s="55" t="s">
        <v>15</v>
      </c>
      <c r="J25" s="54">
        <v>2.8</v>
      </c>
      <c r="K25" s="54">
        <v>333.51</v>
      </c>
      <c r="L25" s="54">
        <v>24.07</v>
      </c>
      <c r="M25" s="54">
        <v>33.57</v>
      </c>
      <c r="N25" s="54">
        <v>111.9</v>
      </c>
      <c r="O25" s="54">
        <v>0</v>
      </c>
      <c r="P25" s="54">
        <v>0.53</v>
      </c>
      <c r="Q25" s="54">
        <v>8.2100000000000009</v>
      </c>
      <c r="R25" s="43"/>
      <c r="S25" s="43"/>
      <c r="T25" s="43"/>
      <c r="U25" s="43"/>
    </row>
    <row r="26" spans="1:21" s="11" customFormat="1" x14ac:dyDescent="0.25">
      <c r="A26" s="53" t="s">
        <v>701</v>
      </c>
      <c r="B26" s="54">
        <v>6.23</v>
      </c>
      <c r="C26" s="54">
        <v>79.819999999999993</v>
      </c>
      <c r="D26" s="54">
        <v>45.21</v>
      </c>
      <c r="E26" s="54">
        <v>9.25</v>
      </c>
      <c r="F26" s="54">
        <v>10.34</v>
      </c>
      <c r="G26" s="54">
        <v>49.02</v>
      </c>
      <c r="H26" s="54">
        <v>28.61</v>
      </c>
      <c r="I26" s="55" t="s">
        <v>15</v>
      </c>
      <c r="J26" s="54">
        <v>2.36</v>
      </c>
      <c r="K26" s="54">
        <v>357.78</v>
      </c>
      <c r="L26" s="54">
        <v>23.19</v>
      </c>
      <c r="M26" s="54">
        <v>42.45</v>
      </c>
      <c r="N26" s="54">
        <v>94.2</v>
      </c>
      <c r="O26" s="54">
        <v>0</v>
      </c>
      <c r="P26" s="54">
        <v>0.69</v>
      </c>
      <c r="Q26" s="54">
        <v>8.2100000000000009</v>
      </c>
      <c r="R26" s="43"/>
      <c r="S26" s="43"/>
      <c r="T26" s="43"/>
      <c r="U26" s="43"/>
    </row>
    <row r="27" spans="1:21" s="11" customFormat="1" x14ac:dyDescent="0.25">
      <c r="A27" s="53" t="s">
        <v>702</v>
      </c>
      <c r="B27" s="54">
        <v>32.83</v>
      </c>
      <c r="C27" s="54">
        <v>82.43</v>
      </c>
      <c r="D27" s="54">
        <v>66.989999999999995</v>
      </c>
      <c r="E27" s="54">
        <v>6.85</v>
      </c>
      <c r="F27" s="54">
        <v>2.13</v>
      </c>
      <c r="G27" s="54">
        <v>100.77</v>
      </c>
      <c r="H27" s="54">
        <v>41.63</v>
      </c>
      <c r="I27" s="55" t="s">
        <v>15</v>
      </c>
      <c r="J27" s="54">
        <v>1.83</v>
      </c>
      <c r="K27" s="54">
        <v>350.99</v>
      </c>
      <c r="L27" s="54">
        <v>19.87</v>
      </c>
      <c r="M27" s="54">
        <v>54.15</v>
      </c>
      <c r="N27" s="54">
        <v>76.599999999999994</v>
      </c>
      <c r="O27" s="54">
        <v>0</v>
      </c>
      <c r="P27" s="54">
        <v>0.99</v>
      </c>
      <c r="Q27" s="54">
        <v>8.2100000000000009</v>
      </c>
      <c r="R27" s="43"/>
      <c r="S27" s="43"/>
      <c r="T27" s="43"/>
      <c r="U27" s="43"/>
    </row>
    <row r="28" spans="1:21" s="11" customFormat="1" x14ac:dyDescent="0.25">
      <c r="A28" s="53" t="s">
        <v>703</v>
      </c>
      <c r="B28" s="54">
        <v>58.24</v>
      </c>
      <c r="C28" s="54">
        <v>80.5</v>
      </c>
      <c r="D28" s="54">
        <v>86.09</v>
      </c>
      <c r="E28" s="54">
        <v>7.03</v>
      </c>
      <c r="F28" s="54">
        <v>2.13</v>
      </c>
      <c r="G28" s="54">
        <v>153.28</v>
      </c>
      <c r="H28" s="54">
        <v>44.72</v>
      </c>
      <c r="I28" s="55" t="s">
        <v>15</v>
      </c>
      <c r="J28" s="54">
        <v>1.67</v>
      </c>
      <c r="K28" s="54">
        <v>312.57</v>
      </c>
      <c r="L28" s="54">
        <v>18.100000000000001</v>
      </c>
      <c r="M28" s="54">
        <v>62.57</v>
      </c>
      <c r="N28" s="54">
        <v>76.3</v>
      </c>
      <c r="O28" s="54">
        <v>0</v>
      </c>
      <c r="P28" s="54">
        <v>1.57</v>
      </c>
      <c r="Q28" s="54">
        <v>8.86</v>
      </c>
      <c r="R28" s="43"/>
      <c r="S28" s="43"/>
      <c r="T28" s="43"/>
      <c r="U28" s="43"/>
    </row>
    <row r="29" spans="1:21" s="11" customFormat="1" x14ac:dyDescent="0.25">
      <c r="A29" s="53" t="s">
        <v>704</v>
      </c>
      <c r="B29" s="54">
        <v>68.66</v>
      </c>
      <c r="C29" s="54">
        <v>76.48</v>
      </c>
      <c r="D29" s="54">
        <v>92.64</v>
      </c>
      <c r="E29" s="54">
        <v>7.51</v>
      </c>
      <c r="F29" s="54">
        <v>2.13</v>
      </c>
      <c r="G29" s="54">
        <v>155.43</v>
      </c>
      <c r="H29" s="54">
        <v>42.83</v>
      </c>
      <c r="I29" s="55" t="s">
        <v>15</v>
      </c>
      <c r="J29" s="54">
        <v>1.75</v>
      </c>
      <c r="K29" s="54">
        <v>341.77</v>
      </c>
      <c r="L29" s="54">
        <v>18.079999999999998</v>
      </c>
      <c r="M29" s="54">
        <v>57.65</v>
      </c>
      <c r="N29" s="54">
        <v>76.3</v>
      </c>
      <c r="O29" s="54">
        <v>0</v>
      </c>
      <c r="P29" s="54">
        <v>1.35</v>
      </c>
      <c r="Q29" s="54">
        <v>9.33</v>
      </c>
      <c r="R29" s="43"/>
      <c r="S29" s="43"/>
      <c r="T29" s="43"/>
      <c r="U29" s="43"/>
    </row>
    <row r="30" spans="1:21" s="11" customFormat="1" x14ac:dyDescent="0.25">
      <c r="A30" s="53" t="s">
        <v>705</v>
      </c>
      <c r="B30" s="54">
        <v>85.15</v>
      </c>
      <c r="C30" s="54">
        <v>74.83</v>
      </c>
      <c r="D30" s="54">
        <v>105.9</v>
      </c>
      <c r="E30" s="54">
        <v>7.74</v>
      </c>
      <c r="F30" s="54">
        <v>2.13</v>
      </c>
      <c r="G30" s="54">
        <v>124.21</v>
      </c>
      <c r="H30" s="54">
        <v>35.69</v>
      </c>
      <c r="I30" s="55" t="s">
        <v>15</v>
      </c>
      <c r="J30" s="54">
        <v>1.36</v>
      </c>
      <c r="K30" s="54">
        <v>275.66000000000003</v>
      </c>
      <c r="L30" s="54">
        <v>16.98</v>
      </c>
      <c r="M30" s="54">
        <v>55.54</v>
      </c>
      <c r="N30" s="54">
        <v>76.5</v>
      </c>
      <c r="O30" s="54">
        <v>0</v>
      </c>
      <c r="P30" s="54">
        <v>1.33</v>
      </c>
      <c r="Q30" s="54">
        <v>9.93</v>
      </c>
      <c r="R30" s="43"/>
      <c r="S30" s="43"/>
      <c r="T30" s="43"/>
      <c r="U30" s="43"/>
    </row>
    <row r="31" spans="1:21" s="11" customFormat="1" x14ac:dyDescent="0.25">
      <c r="A31" s="53" t="s">
        <v>706</v>
      </c>
      <c r="B31" s="54">
        <v>97.22</v>
      </c>
      <c r="C31" s="54">
        <v>74.17</v>
      </c>
      <c r="D31" s="54">
        <v>113.44</v>
      </c>
      <c r="E31" s="54">
        <v>7.56</v>
      </c>
      <c r="F31" s="54">
        <v>2.13</v>
      </c>
      <c r="G31" s="54">
        <v>128.09</v>
      </c>
      <c r="H31" s="54">
        <v>36.840000000000003</v>
      </c>
      <c r="I31" s="55" t="s">
        <v>15</v>
      </c>
      <c r="J31" s="54">
        <v>1.52</v>
      </c>
      <c r="K31" s="54">
        <v>316.14</v>
      </c>
      <c r="L31" s="54">
        <v>15.87</v>
      </c>
      <c r="M31" s="54">
        <v>61.53</v>
      </c>
      <c r="N31" s="54">
        <v>76.3</v>
      </c>
      <c r="O31" s="54">
        <v>0</v>
      </c>
      <c r="P31" s="54">
        <v>1.41</v>
      </c>
      <c r="Q31" s="54">
        <v>10.02</v>
      </c>
      <c r="R31" s="43"/>
      <c r="S31" s="43"/>
      <c r="T31" s="43"/>
      <c r="U31" s="43"/>
    </row>
    <row r="32" spans="1:21" s="11" customFormat="1" x14ac:dyDescent="0.25">
      <c r="A32" s="53" t="s">
        <v>707</v>
      </c>
      <c r="B32" s="54">
        <v>101.09</v>
      </c>
      <c r="C32" s="54">
        <v>69.430000000000007</v>
      </c>
      <c r="D32" s="54">
        <v>115</v>
      </c>
      <c r="E32" s="54">
        <v>7.49</v>
      </c>
      <c r="F32" s="54">
        <v>2.13</v>
      </c>
      <c r="G32" s="54">
        <v>130.1</v>
      </c>
      <c r="H32" s="54">
        <v>37.08</v>
      </c>
      <c r="I32" s="55" t="s">
        <v>15</v>
      </c>
      <c r="J32" s="54">
        <v>1.73</v>
      </c>
      <c r="K32" s="54">
        <v>306.10000000000002</v>
      </c>
      <c r="L32" s="54">
        <v>15.32</v>
      </c>
      <c r="M32" s="54">
        <v>65.349999999999994</v>
      </c>
      <c r="N32" s="54">
        <v>76.3</v>
      </c>
      <c r="O32" s="54">
        <v>0</v>
      </c>
      <c r="P32" s="54">
        <v>1.41</v>
      </c>
      <c r="Q32" s="54">
        <v>10.02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3.68</v>
      </c>
      <c r="C34" s="28">
        <f t="shared" si="0"/>
        <v>57.74</v>
      </c>
      <c r="D34" s="28">
        <f t="shared" si="0"/>
        <v>35.6</v>
      </c>
      <c r="E34" s="28">
        <f t="shared" si="0"/>
        <v>4.84</v>
      </c>
      <c r="F34" s="28">
        <f t="shared" si="0"/>
        <v>2.13</v>
      </c>
      <c r="G34" s="28">
        <f t="shared" si="0"/>
        <v>41.37</v>
      </c>
      <c r="H34" s="28">
        <f t="shared" si="0"/>
        <v>18.45</v>
      </c>
      <c r="I34" s="28">
        <f t="shared" si="0"/>
        <v>0</v>
      </c>
      <c r="J34" s="28">
        <f t="shared" si="0"/>
        <v>0.85</v>
      </c>
      <c r="K34" s="28">
        <f t="shared" si="0"/>
        <v>112.14</v>
      </c>
      <c r="L34" s="28">
        <f t="shared" si="0"/>
        <v>12.4</v>
      </c>
      <c r="M34" s="28">
        <f t="shared" si="0"/>
        <v>22.39</v>
      </c>
      <c r="N34" s="28">
        <f t="shared" si="0"/>
        <v>72.900000000000006</v>
      </c>
      <c r="O34" s="28">
        <f t="shared" si="0"/>
        <v>0</v>
      </c>
      <c r="P34" s="28">
        <f t="shared" si="0"/>
        <v>0.49</v>
      </c>
      <c r="Q34" s="28">
        <f t="shared" si="0"/>
        <v>8.2100000000000009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101.09</v>
      </c>
      <c r="C35" s="29">
        <f t="shared" si="1"/>
        <v>106.03</v>
      </c>
      <c r="D35" s="29">
        <f t="shared" si="1"/>
        <v>115</v>
      </c>
      <c r="E35" s="29">
        <f t="shared" si="1"/>
        <v>12.75</v>
      </c>
      <c r="F35" s="29">
        <f t="shared" si="1"/>
        <v>10.34</v>
      </c>
      <c r="G35" s="29">
        <f t="shared" si="1"/>
        <v>155.43</v>
      </c>
      <c r="H35" s="29">
        <f t="shared" si="1"/>
        <v>67.900000000000006</v>
      </c>
      <c r="I35" s="29">
        <f t="shared" si="1"/>
        <v>0</v>
      </c>
      <c r="J35" s="29">
        <f t="shared" si="1"/>
        <v>3.34</v>
      </c>
      <c r="K35" s="29">
        <f t="shared" si="1"/>
        <v>359.35</v>
      </c>
      <c r="L35" s="29">
        <f t="shared" si="1"/>
        <v>29.5</v>
      </c>
      <c r="M35" s="29">
        <f t="shared" si="1"/>
        <v>88.64</v>
      </c>
      <c r="N35" s="29">
        <f t="shared" si="1"/>
        <v>659.2</v>
      </c>
      <c r="O35" s="29">
        <f t="shared" si="1"/>
        <v>0</v>
      </c>
      <c r="P35" s="29">
        <f t="shared" si="1"/>
        <v>1.57</v>
      </c>
      <c r="Q35" s="29">
        <f t="shared" si="1"/>
        <v>10.02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34.30833333333333</v>
      </c>
      <c r="C36" s="28">
        <f t="shared" si="2"/>
        <v>73.872916666666669</v>
      </c>
      <c r="D36" s="28">
        <f t="shared" si="2"/>
        <v>63.922083333333347</v>
      </c>
      <c r="E36" s="28">
        <f t="shared" si="2"/>
        <v>7.0737500000000004</v>
      </c>
      <c r="F36" s="28">
        <f t="shared" si="2"/>
        <v>3.3433333333333319</v>
      </c>
      <c r="G36" s="28">
        <f t="shared" si="2"/>
        <v>83.774999999999991</v>
      </c>
      <c r="H36" s="28">
        <f t="shared" si="2"/>
        <v>42.322916666666679</v>
      </c>
      <c r="I36" s="28" t="e">
        <f t="shared" si="2"/>
        <v>#DIV/0!</v>
      </c>
      <c r="J36" s="28">
        <f t="shared" si="2"/>
        <v>2.0449999999999995</v>
      </c>
      <c r="K36" s="28">
        <f t="shared" si="2"/>
        <v>315.61375000000004</v>
      </c>
      <c r="L36" s="28">
        <f t="shared" si="2"/>
        <v>19.776666666666667</v>
      </c>
      <c r="M36" s="28">
        <f t="shared" si="2"/>
        <v>50.344999999999999</v>
      </c>
      <c r="N36" s="28">
        <f t="shared" si="2"/>
        <v>239.52500000000001</v>
      </c>
      <c r="O36" s="28">
        <f t="shared" si="2"/>
        <v>0</v>
      </c>
      <c r="P36" s="28">
        <f t="shared" si="2"/>
        <v>0.93624999999999992</v>
      </c>
      <c r="Q36" s="28">
        <f t="shared" si="2"/>
        <v>8.506250000000005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28.576199836602651</v>
      </c>
      <c r="C37" s="28">
        <f t="shared" ref="C37:Q37" si="3">STDEV(C9:C32)</f>
        <v>14.934647920674028</v>
      </c>
      <c r="D37" s="28">
        <f t="shared" si="3"/>
        <v>23.112116336631086</v>
      </c>
      <c r="E37" s="28">
        <f t="shared" si="3"/>
        <v>2.1496851387243163</v>
      </c>
      <c r="F37" s="28">
        <f t="shared" si="3"/>
        <v>2.4515313167694717</v>
      </c>
      <c r="G37" s="28">
        <f t="shared" si="3"/>
        <v>31.713820331205774</v>
      </c>
      <c r="H37" s="28">
        <f t="shared" si="3"/>
        <v>14.30940568728092</v>
      </c>
      <c r="I37" s="28" t="e">
        <f t="shared" si="3"/>
        <v>#DIV/0!</v>
      </c>
      <c r="J37" s="28">
        <f t="shared" si="3"/>
        <v>0.61949488540542375</v>
      </c>
      <c r="K37" s="28">
        <f t="shared" si="3"/>
        <v>64.145594434271942</v>
      </c>
      <c r="L37" s="28">
        <f t="shared" si="3"/>
        <v>5.9659087041846943</v>
      </c>
      <c r="M37" s="28">
        <f t="shared" si="3"/>
        <v>19.979854636717157</v>
      </c>
      <c r="N37" s="28">
        <f t="shared" si="3"/>
        <v>230.79791131976299</v>
      </c>
      <c r="O37" s="28">
        <f t="shared" si="3"/>
        <v>0</v>
      </c>
      <c r="P37" s="28">
        <f t="shared" si="3"/>
        <v>0.31083075920758768</v>
      </c>
      <c r="Q37" s="28">
        <f t="shared" si="3"/>
        <v>0.62835750347545982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0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&lt;90%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LESS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66929133858267698" right="2.63779527559055" top="0.196850393700787" bottom="2.0866141732283499" header="0.31496062992126" footer="0.15748031496063"/>
  <pageSetup paperSize="9" scale="90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7" sqref="G47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28/01/2025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3" t="s">
        <v>708</v>
      </c>
      <c r="B9" s="54">
        <v>101.03</v>
      </c>
      <c r="C9" s="54">
        <v>66.16</v>
      </c>
      <c r="D9" s="54">
        <v>114.21</v>
      </c>
      <c r="E9" s="54">
        <v>7.15</v>
      </c>
      <c r="F9" s="54">
        <v>2.13</v>
      </c>
      <c r="G9" s="54">
        <v>96.98</v>
      </c>
      <c r="H9" s="54">
        <v>28.36</v>
      </c>
      <c r="I9" s="55" t="s">
        <v>15</v>
      </c>
      <c r="J9" s="54">
        <v>1.81</v>
      </c>
      <c r="K9" s="54">
        <v>314.14999999999998</v>
      </c>
      <c r="L9" s="54">
        <v>14.95</v>
      </c>
      <c r="M9" s="54">
        <v>64.959999999999994</v>
      </c>
      <c r="N9" s="54">
        <v>76.400000000000006</v>
      </c>
      <c r="O9" s="54">
        <v>0</v>
      </c>
      <c r="P9" s="54">
        <v>1.38</v>
      </c>
      <c r="Q9" s="54">
        <v>9.98</v>
      </c>
      <c r="R9" s="43"/>
      <c r="S9" s="43"/>
      <c r="T9" s="43"/>
      <c r="U9" s="43"/>
    </row>
    <row r="10" spans="1:21" s="11" customFormat="1" x14ac:dyDescent="0.25">
      <c r="A10" s="53" t="s">
        <v>709</v>
      </c>
      <c r="B10" s="54">
        <v>92.43</v>
      </c>
      <c r="C10" s="54">
        <v>64.430000000000007</v>
      </c>
      <c r="D10" s="54">
        <v>106.41</v>
      </c>
      <c r="E10" s="54">
        <v>7.26</v>
      </c>
      <c r="F10" s="54">
        <v>2.13</v>
      </c>
      <c r="G10" s="54">
        <v>90.89</v>
      </c>
      <c r="H10" s="54">
        <v>27.4</v>
      </c>
      <c r="I10" s="55" t="s">
        <v>15</v>
      </c>
      <c r="J10" s="54">
        <v>1.82</v>
      </c>
      <c r="K10" s="54">
        <v>270.32</v>
      </c>
      <c r="L10" s="54">
        <v>13.56</v>
      </c>
      <c r="M10" s="54">
        <v>78.56</v>
      </c>
      <c r="N10" s="54">
        <v>76.400000000000006</v>
      </c>
      <c r="O10" s="54">
        <v>0</v>
      </c>
      <c r="P10" s="54">
        <v>1.25</v>
      </c>
      <c r="Q10" s="54">
        <v>10</v>
      </c>
      <c r="R10" s="43"/>
      <c r="S10" s="43"/>
      <c r="T10" s="43"/>
      <c r="U10" s="43"/>
    </row>
    <row r="11" spans="1:21" s="11" customFormat="1" x14ac:dyDescent="0.25">
      <c r="A11" s="53" t="s">
        <v>710</v>
      </c>
      <c r="B11" s="54">
        <v>85.15</v>
      </c>
      <c r="C11" s="54">
        <v>61.48</v>
      </c>
      <c r="D11" s="54">
        <v>99.03</v>
      </c>
      <c r="E11" s="54">
        <v>7.94</v>
      </c>
      <c r="F11" s="54">
        <v>2.13</v>
      </c>
      <c r="G11" s="54">
        <v>114.02</v>
      </c>
      <c r="H11" s="54">
        <v>34.26</v>
      </c>
      <c r="I11" s="55" t="s">
        <v>15</v>
      </c>
      <c r="J11" s="54">
        <v>1.93</v>
      </c>
      <c r="K11" s="54">
        <v>344.1</v>
      </c>
      <c r="L11" s="54">
        <v>12.54</v>
      </c>
      <c r="M11" s="54">
        <v>82.64</v>
      </c>
      <c r="N11" s="54">
        <v>76</v>
      </c>
      <c r="O11" s="54">
        <v>0</v>
      </c>
      <c r="P11" s="54">
        <v>1.25</v>
      </c>
      <c r="Q11" s="54">
        <v>9.74</v>
      </c>
      <c r="R11" s="43"/>
      <c r="S11" s="43"/>
      <c r="T11" s="43"/>
      <c r="U11" s="43"/>
    </row>
    <row r="12" spans="1:21" s="11" customFormat="1" x14ac:dyDescent="0.25">
      <c r="A12" s="53" t="s">
        <v>711</v>
      </c>
      <c r="B12" s="54">
        <v>78.430000000000007</v>
      </c>
      <c r="C12" s="54">
        <v>56.25</v>
      </c>
      <c r="D12" s="54">
        <v>90.67</v>
      </c>
      <c r="E12" s="54">
        <v>8.2899999999999991</v>
      </c>
      <c r="F12" s="54">
        <v>2.13</v>
      </c>
      <c r="G12" s="54">
        <v>145.63999999999999</v>
      </c>
      <c r="H12" s="54">
        <v>49.83</v>
      </c>
      <c r="I12" s="55" t="s">
        <v>15</v>
      </c>
      <c r="J12" s="54">
        <v>1.77</v>
      </c>
      <c r="K12" s="54">
        <v>304.07</v>
      </c>
      <c r="L12" s="54">
        <v>12.38</v>
      </c>
      <c r="M12" s="54">
        <v>76.39</v>
      </c>
      <c r="N12" s="54">
        <v>76.099999999999994</v>
      </c>
      <c r="O12" s="54">
        <v>0</v>
      </c>
      <c r="P12" s="54">
        <v>1.25</v>
      </c>
      <c r="Q12" s="54">
        <v>9.31</v>
      </c>
      <c r="R12" s="43"/>
      <c r="S12" s="43"/>
      <c r="T12" s="43"/>
      <c r="U12" s="43"/>
    </row>
    <row r="13" spans="1:21" s="11" customFormat="1" x14ac:dyDescent="0.25">
      <c r="A13" s="53" t="s">
        <v>712</v>
      </c>
      <c r="B13" s="54">
        <v>69.540000000000006</v>
      </c>
      <c r="C13" s="54">
        <v>55.19</v>
      </c>
      <c r="D13" s="54">
        <v>83.23</v>
      </c>
      <c r="E13" s="54">
        <v>8.8800000000000008</v>
      </c>
      <c r="F13" s="54">
        <v>2.13</v>
      </c>
      <c r="G13" s="54">
        <v>181.33</v>
      </c>
      <c r="H13" s="54">
        <v>62.97</v>
      </c>
      <c r="I13" s="55" t="s">
        <v>15</v>
      </c>
      <c r="J13" s="54">
        <v>1.74</v>
      </c>
      <c r="K13" s="54">
        <v>329.84</v>
      </c>
      <c r="L13" s="54">
        <v>12.11</v>
      </c>
      <c r="M13" s="54">
        <v>78.8</v>
      </c>
      <c r="N13" s="54">
        <v>76.3</v>
      </c>
      <c r="O13" s="54">
        <v>0</v>
      </c>
      <c r="P13" s="54">
        <v>1.3</v>
      </c>
      <c r="Q13" s="54">
        <v>8.7899999999999991</v>
      </c>
      <c r="R13" s="43"/>
      <c r="S13" s="43"/>
      <c r="T13" s="43"/>
      <c r="U13" s="43"/>
    </row>
    <row r="14" spans="1:21" s="11" customFormat="1" x14ac:dyDescent="0.25">
      <c r="A14" s="53" t="s">
        <v>713</v>
      </c>
      <c r="B14" s="54">
        <v>69.22</v>
      </c>
      <c r="C14" s="54">
        <v>61.31</v>
      </c>
      <c r="D14" s="54">
        <v>84.25</v>
      </c>
      <c r="E14" s="54">
        <v>9.0399999999999991</v>
      </c>
      <c r="F14" s="54">
        <v>2.13</v>
      </c>
      <c r="G14" s="54">
        <v>203.3</v>
      </c>
      <c r="H14" s="54">
        <v>66.38</v>
      </c>
      <c r="I14" s="55" t="s">
        <v>15</v>
      </c>
      <c r="J14" s="54">
        <v>1.34</v>
      </c>
      <c r="K14" s="54">
        <v>94.92</v>
      </c>
      <c r="L14" s="54">
        <v>12.35</v>
      </c>
      <c r="M14" s="54">
        <v>69.290000000000006</v>
      </c>
      <c r="N14" s="54">
        <v>76</v>
      </c>
      <c r="O14" s="54">
        <v>0</v>
      </c>
      <c r="P14" s="54">
        <v>1.32</v>
      </c>
      <c r="Q14" s="54">
        <v>8.6199999999999992</v>
      </c>
      <c r="R14" s="43"/>
      <c r="S14" s="43"/>
      <c r="T14" s="43"/>
      <c r="U14" s="43"/>
    </row>
    <row r="15" spans="1:21" s="11" customFormat="1" x14ac:dyDescent="0.25">
      <c r="A15" s="53" t="s">
        <v>714</v>
      </c>
      <c r="B15" s="54">
        <v>61.58</v>
      </c>
      <c r="C15" s="54">
        <v>60.8</v>
      </c>
      <c r="D15" s="54">
        <v>79.78</v>
      </c>
      <c r="E15" s="54">
        <v>7.93</v>
      </c>
      <c r="F15" s="54">
        <v>2.13</v>
      </c>
      <c r="G15" s="54">
        <v>164.81</v>
      </c>
      <c r="H15" s="54">
        <v>66.84</v>
      </c>
      <c r="I15" s="55" t="s">
        <v>15</v>
      </c>
      <c r="J15" s="54">
        <v>1.43</v>
      </c>
      <c r="K15" s="54">
        <v>112.08</v>
      </c>
      <c r="L15" s="54">
        <v>12.36</v>
      </c>
      <c r="M15" s="54">
        <v>58.3</v>
      </c>
      <c r="N15" s="54">
        <v>87.7</v>
      </c>
      <c r="O15" s="54">
        <v>0</v>
      </c>
      <c r="P15" s="54">
        <v>1.31</v>
      </c>
      <c r="Q15" s="54">
        <v>8.43</v>
      </c>
      <c r="R15" s="43"/>
      <c r="S15" s="43"/>
      <c r="T15" s="43"/>
      <c r="U15" s="43"/>
    </row>
    <row r="16" spans="1:21" s="11" customFormat="1" x14ac:dyDescent="0.25">
      <c r="A16" s="53" t="s">
        <v>715</v>
      </c>
      <c r="B16" s="54">
        <v>49.31</v>
      </c>
      <c r="C16" s="54">
        <v>56.84</v>
      </c>
      <c r="D16" s="54">
        <v>67.87</v>
      </c>
      <c r="E16" s="54">
        <v>6.89</v>
      </c>
      <c r="F16" s="54">
        <v>2.13</v>
      </c>
      <c r="G16" s="54">
        <v>75.25</v>
      </c>
      <c r="H16" s="54">
        <v>20.47</v>
      </c>
      <c r="I16" s="55" t="s">
        <v>15</v>
      </c>
      <c r="J16" s="54">
        <v>1.4</v>
      </c>
      <c r="K16" s="54">
        <v>348.22</v>
      </c>
      <c r="L16" s="54">
        <v>15.12</v>
      </c>
      <c r="M16" s="54">
        <v>54.16</v>
      </c>
      <c r="N16" s="54">
        <v>263.2</v>
      </c>
      <c r="O16" s="54">
        <v>0</v>
      </c>
      <c r="P16" s="54">
        <v>1.1299999999999999</v>
      </c>
      <c r="Q16" s="54">
        <v>8.2100000000000009</v>
      </c>
      <c r="R16" s="43"/>
      <c r="S16" s="43"/>
      <c r="T16" s="43"/>
      <c r="U16" s="43"/>
    </row>
    <row r="17" spans="1:21" s="11" customFormat="1" x14ac:dyDescent="0.25">
      <c r="A17" s="53" t="s">
        <v>716</v>
      </c>
      <c r="B17" s="54">
        <v>46.4</v>
      </c>
      <c r="C17" s="54">
        <v>58.47</v>
      </c>
      <c r="D17" s="54">
        <v>65.58</v>
      </c>
      <c r="E17" s="54">
        <v>6.1</v>
      </c>
      <c r="F17" s="54">
        <v>2.13</v>
      </c>
      <c r="G17" s="54">
        <v>77.900000000000006</v>
      </c>
      <c r="H17" s="54">
        <v>46.06</v>
      </c>
      <c r="I17" s="55" t="s">
        <v>15</v>
      </c>
      <c r="J17" s="54">
        <v>1.33</v>
      </c>
      <c r="K17" s="54">
        <v>104.57</v>
      </c>
      <c r="L17" s="54">
        <v>19.13</v>
      </c>
      <c r="M17" s="54">
        <v>42.05</v>
      </c>
      <c r="N17" s="54">
        <v>462.9</v>
      </c>
      <c r="O17" s="54">
        <v>0</v>
      </c>
      <c r="P17" s="54">
        <v>1.06</v>
      </c>
      <c r="Q17" s="54">
        <v>8.2100000000000009</v>
      </c>
      <c r="R17" s="43"/>
      <c r="S17" s="43"/>
      <c r="T17" s="43"/>
      <c r="U17" s="43"/>
    </row>
    <row r="18" spans="1:21" s="11" customFormat="1" x14ac:dyDescent="0.25">
      <c r="A18" s="53" t="s">
        <v>717</v>
      </c>
      <c r="B18" s="54">
        <v>41.5</v>
      </c>
      <c r="C18" s="54">
        <v>63.65</v>
      </c>
      <c r="D18" s="54">
        <v>62.75</v>
      </c>
      <c r="E18" s="54">
        <v>5.87</v>
      </c>
      <c r="F18" s="54">
        <v>2.13</v>
      </c>
      <c r="G18" s="54">
        <v>81.11</v>
      </c>
      <c r="H18" s="54">
        <v>24.4</v>
      </c>
      <c r="I18" s="55" t="s">
        <v>15</v>
      </c>
      <c r="J18" s="54">
        <v>0.75</v>
      </c>
      <c r="K18" s="54">
        <v>50.75</v>
      </c>
      <c r="L18" s="54">
        <v>22.63</v>
      </c>
      <c r="M18" s="54">
        <v>36.83</v>
      </c>
      <c r="N18" s="54">
        <v>552.9</v>
      </c>
      <c r="O18" s="54">
        <v>0</v>
      </c>
      <c r="P18" s="54">
        <v>1</v>
      </c>
      <c r="Q18" s="54">
        <v>8.2100000000000009</v>
      </c>
      <c r="R18" s="43"/>
      <c r="S18" s="43"/>
      <c r="T18" s="43"/>
      <c r="U18" s="43"/>
    </row>
    <row r="19" spans="1:21" s="11" customFormat="1" x14ac:dyDescent="0.25">
      <c r="A19" s="53" t="s">
        <v>718</v>
      </c>
      <c r="B19" s="54">
        <v>32.54</v>
      </c>
      <c r="C19" s="54">
        <v>68.599999999999994</v>
      </c>
      <c r="D19" s="54">
        <v>58.64</v>
      </c>
      <c r="E19" s="54">
        <v>5.58</v>
      </c>
      <c r="F19" s="54">
        <v>2.13</v>
      </c>
      <c r="G19" s="54">
        <v>87.59</v>
      </c>
      <c r="H19" s="54">
        <v>27.95</v>
      </c>
      <c r="I19" s="55" t="s">
        <v>15</v>
      </c>
      <c r="J19" s="54">
        <v>2.72</v>
      </c>
      <c r="K19" s="54">
        <v>121.88</v>
      </c>
      <c r="L19" s="54">
        <v>23.98</v>
      </c>
      <c r="M19" s="54">
        <v>29.59</v>
      </c>
      <c r="N19" s="54">
        <v>607.79999999999995</v>
      </c>
      <c r="O19" s="54">
        <v>0</v>
      </c>
      <c r="P19" s="54">
        <v>0.95</v>
      </c>
      <c r="Q19" s="54">
        <v>8.2100000000000009</v>
      </c>
      <c r="R19" s="43"/>
      <c r="S19" s="43"/>
      <c r="T19" s="43"/>
      <c r="U19" s="43"/>
    </row>
    <row r="20" spans="1:21" s="11" customFormat="1" x14ac:dyDescent="0.25">
      <c r="A20" s="53" t="s">
        <v>719</v>
      </c>
      <c r="B20" s="54">
        <v>20.99</v>
      </c>
      <c r="C20" s="54">
        <v>69.260000000000005</v>
      </c>
      <c r="D20" s="54">
        <v>51.56</v>
      </c>
      <c r="E20" s="54">
        <v>5.49</v>
      </c>
      <c r="F20" s="54">
        <v>2.13</v>
      </c>
      <c r="G20" s="54">
        <v>91.63</v>
      </c>
      <c r="H20" s="54">
        <v>25.94</v>
      </c>
      <c r="I20" s="55" t="s">
        <v>15</v>
      </c>
      <c r="J20" s="54">
        <v>2.02</v>
      </c>
      <c r="K20" s="54">
        <v>115.99</v>
      </c>
      <c r="L20" s="54">
        <v>24.97</v>
      </c>
      <c r="M20" s="54">
        <v>28.93</v>
      </c>
      <c r="N20" s="54">
        <v>637.9</v>
      </c>
      <c r="O20" s="54">
        <v>0</v>
      </c>
      <c r="P20" s="54">
        <v>0.86</v>
      </c>
      <c r="Q20" s="54">
        <v>8.2100000000000009</v>
      </c>
      <c r="R20" s="43"/>
      <c r="S20" s="43"/>
      <c r="T20" s="43"/>
      <c r="U20" s="43"/>
    </row>
    <row r="21" spans="1:21" s="11" customFormat="1" x14ac:dyDescent="0.25">
      <c r="A21" s="53" t="s">
        <v>720</v>
      </c>
      <c r="B21" s="54">
        <v>14.59</v>
      </c>
      <c r="C21" s="54">
        <v>68.239999999999995</v>
      </c>
      <c r="D21" s="54">
        <v>45.98</v>
      </c>
      <c r="E21" s="54">
        <v>5.19</v>
      </c>
      <c r="F21" s="54">
        <v>2.13</v>
      </c>
      <c r="G21" s="54">
        <v>63.55</v>
      </c>
      <c r="H21" s="54">
        <v>19.649999999999999</v>
      </c>
      <c r="I21" s="55" t="s">
        <v>15</v>
      </c>
      <c r="J21" s="54">
        <v>2.5099999999999998</v>
      </c>
      <c r="K21" s="54">
        <v>318.27</v>
      </c>
      <c r="L21" s="54">
        <v>27.41</v>
      </c>
      <c r="M21" s="54">
        <v>24.72</v>
      </c>
      <c r="N21" s="54">
        <v>635.29999999999995</v>
      </c>
      <c r="O21" s="54">
        <v>0</v>
      </c>
      <c r="P21" s="54">
        <v>0.78</v>
      </c>
      <c r="Q21" s="54">
        <v>8.2100000000000009</v>
      </c>
      <c r="R21" s="43"/>
      <c r="S21" s="43"/>
      <c r="T21" s="43"/>
      <c r="U21" s="43"/>
    </row>
    <row r="22" spans="1:21" s="11" customFormat="1" x14ac:dyDescent="0.25">
      <c r="A22" s="53" t="s">
        <v>721</v>
      </c>
      <c r="B22" s="54">
        <v>10.02</v>
      </c>
      <c r="C22" s="54">
        <v>67.680000000000007</v>
      </c>
      <c r="D22" s="54">
        <v>41.35</v>
      </c>
      <c r="E22" s="54">
        <v>5.52</v>
      </c>
      <c r="F22" s="54">
        <v>2.13</v>
      </c>
      <c r="G22" s="54">
        <v>59.32</v>
      </c>
      <c r="H22" s="54">
        <v>16.170000000000002</v>
      </c>
      <c r="I22" s="55" t="s">
        <v>15</v>
      </c>
      <c r="J22" s="54">
        <v>1.98</v>
      </c>
      <c r="K22" s="54">
        <v>324.11</v>
      </c>
      <c r="L22" s="54">
        <v>29.14</v>
      </c>
      <c r="M22" s="54">
        <v>24.87</v>
      </c>
      <c r="N22" s="54">
        <v>585.29999999999995</v>
      </c>
      <c r="O22" s="54">
        <v>0</v>
      </c>
      <c r="P22" s="54">
        <v>0.75</v>
      </c>
      <c r="Q22" s="54">
        <v>8.2100000000000009</v>
      </c>
      <c r="R22" s="43"/>
      <c r="S22" s="43"/>
      <c r="T22" s="43"/>
      <c r="U22" s="43"/>
    </row>
    <row r="23" spans="1:21" s="11" customFormat="1" x14ac:dyDescent="0.25">
      <c r="A23" s="53" t="s">
        <v>722</v>
      </c>
      <c r="B23" s="54">
        <v>8.1</v>
      </c>
      <c r="C23" s="54">
        <v>70.78</v>
      </c>
      <c r="D23" s="54">
        <v>42.05</v>
      </c>
      <c r="E23" s="54">
        <v>5.55</v>
      </c>
      <c r="F23" s="54">
        <v>2.13</v>
      </c>
      <c r="G23" s="54">
        <v>74.930000000000007</v>
      </c>
      <c r="H23" s="54">
        <v>17.25</v>
      </c>
      <c r="I23" s="55" t="s">
        <v>15</v>
      </c>
      <c r="J23" s="54">
        <v>2.15</v>
      </c>
      <c r="K23" s="54">
        <v>348.63</v>
      </c>
      <c r="L23" s="54">
        <v>27.38</v>
      </c>
      <c r="M23" s="54">
        <v>25.47</v>
      </c>
      <c r="N23" s="54">
        <v>463.9</v>
      </c>
      <c r="O23" s="54">
        <v>0</v>
      </c>
      <c r="P23" s="54">
        <v>0.72</v>
      </c>
      <c r="Q23" s="54">
        <v>8.2100000000000009</v>
      </c>
      <c r="R23" s="43"/>
      <c r="S23" s="43"/>
      <c r="T23" s="43"/>
      <c r="U23" s="43"/>
    </row>
    <row r="24" spans="1:21" s="11" customFormat="1" x14ac:dyDescent="0.25">
      <c r="A24" s="53" t="s">
        <v>723</v>
      </c>
      <c r="B24" s="54">
        <v>7.6</v>
      </c>
      <c r="C24" s="54">
        <v>71.010000000000005</v>
      </c>
      <c r="D24" s="54">
        <v>41.77</v>
      </c>
      <c r="E24" s="54">
        <v>5.41</v>
      </c>
      <c r="F24" s="54">
        <v>2.13</v>
      </c>
      <c r="G24" s="54">
        <v>81.569999999999993</v>
      </c>
      <c r="H24" s="54">
        <v>19.100000000000001</v>
      </c>
      <c r="I24" s="55" t="s">
        <v>15</v>
      </c>
      <c r="J24" s="54">
        <v>2.4900000000000002</v>
      </c>
      <c r="K24" s="54">
        <v>121.62</v>
      </c>
      <c r="L24" s="54">
        <v>24.82</v>
      </c>
      <c r="M24" s="54">
        <v>28.09</v>
      </c>
      <c r="N24" s="54">
        <v>247</v>
      </c>
      <c r="O24" s="54">
        <v>0</v>
      </c>
      <c r="P24" s="54">
        <v>0.69</v>
      </c>
      <c r="Q24" s="54">
        <v>8.2100000000000009</v>
      </c>
      <c r="R24" s="43"/>
      <c r="S24" s="43"/>
      <c r="T24" s="43"/>
      <c r="U24" s="43"/>
    </row>
    <row r="25" spans="1:21" s="11" customFormat="1" x14ac:dyDescent="0.25">
      <c r="A25" s="53" t="s">
        <v>724</v>
      </c>
      <c r="B25" s="54">
        <v>8.24</v>
      </c>
      <c r="C25" s="54">
        <v>69.12</v>
      </c>
      <c r="D25" s="54">
        <v>41.13</v>
      </c>
      <c r="E25" s="54">
        <v>6.16</v>
      </c>
      <c r="F25" s="54">
        <v>2.13</v>
      </c>
      <c r="G25" s="54">
        <v>59.63</v>
      </c>
      <c r="H25" s="54">
        <v>30.22</v>
      </c>
      <c r="I25" s="55" t="s">
        <v>15</v>
      </c>
      <c r="J25" s="54">
        <v>2.0699999999999998</v>
      </c>
      <c r="K25" s="54">
        <v>330.46</v>
      </c>
      <c r="L25" s="54">
        <v>25.09</v>
      </c>
      <c r="M25" s="54">
        <v>30.55</v>
      </c>
      <c r="N25" s="54">
        <v>120.6</v>
      </c>
      <c r="O25" s="54">
        <v>0</v>
      </c>
      <c r="P25" s="54">
        <v>0.7</v>
      </c>
      <c r="Q25" s="54">
        <v>8.2100000000000009</v>
      </c>
      <c r="R25" s="43"/>
      <c r="S25" s="43"/>
      <c r="T25" s="43"/>
      <c r="U25" s="43"/>
    </row>
    <row r="26" spans="1:21" s="11" customFormat="1" x14ac:dyDescent="0.25">
      <c r="A26" s="53" t="s">
        <v>725</v>
      </c>
      <c r="B26" s="54">
        <v>9.2100000000000009</v>
      </c>
      <c r="C26" s="54">
        <v>72.66</v>
      </c>
      <c r="D26" s="54">
        <v>43.97</v>
      </c>
      <c r="E26" s="54">
        <v>6.83</v>
      </c>
      <c r="F26" s="54">
        <v>2.13</v>
      </c>
      <c r="G26" s="54">
        <v>61.7</v>
      </c>
      <c r="H26" s="54">
        <v>16.84</v>
      </c>
      <c r="I26" s="55" t="s">
        <v>15</v>
      </c>
      <c r="J26" s="54">
        <v>1.61</v>
      </c>
      <c r="K26" s="54">
        <v>160.02000000000001</v>
      </c>
      <c r="L26" s="54">
        <v>23.94</v>
      </c>
      <c r="M26" s="54">
        <v>42.38</v>
      </c>
      <c r="N26" s="54">
        <v>96.3</v>
      </c>
      <c r="O26" s="54">
        <v>0</v>
      </c>
      <c r="P26" s="54">
        <v>0.76</v>
      </c>
      <c r="Q26" s="54">
        <v>8.2100000000000009</v>
      </c>
      <c r="R26" s="43"/>
      <c r="S26" s="43"/>
      <c r="T26" s="43"/>
      <c r="U26" s="43"/>
    </row>
    <row r="27" spans="1:21" s="11" customFormat="1" x14ac:dyDescent="0.25">
      <c r="A27" s="53" t="s">
        <v>726</v>
      </c>
      <c r="B27" s="54">
        <v>38.42</v>
      </c>
      <c r="C27" s="54">
        <v>81.75</v>
      </c>
      <c r="D27" s="54">
        <v>72.150000000000006</v>
      </c>
      <c r="E27" s="54">
        <v>7.8</v>
      </c>
      <c r="F27" s="54">
        <v>2.13</v>
      </c>
      <c r="G27" s="54">
        <v>108.74</v>
      </c>
      <c r="H27" s="54">
        <v>29.32</v>
      </c>
      <c r="I27" s="55" t="s">
        <v>15</v>
      </c>
      <c r="J27" s="54">
        <v>1.54</v>
      </c>
      <c r="K27" s="54">
        <v>337.86</v>
      </c>
      <c r="L27" s="54">
        <v>20.66</v>
      </c>
      <c r="M27" s="54">
        <v>56.53</v>
      </c>
      <c r="N27" s="54">
        <v>78.5</v>
      </c>
      <c r="O27" s="54">
        <v>0</v>
      </c>
      <c r="P27" s="54">
        <v>1.19</v>
      </c>
      <c r="Q27" s="54">
        <v>8.2100000000000009</v>
      </c>
      <c r="R27" s="43"/>
      <c r="S27" s="43"/>
      <c r="T27" s="43"/>
      <c r="U27" s="43"/>
    </row>
    <row r="28" spans="1:21" s="11" customFormat="1" x14ac:dyDescent="0.25">
      <c r="A28" s="53" t="s">
        <v>727</v>
      </c>
      <c r="B28" s="54">
        <v>53.81</v>
      </c>
      <c r="C28" s="54">
        <v>83.02</v>
      </c>
      <c r="D28" s="54">
        <v>84.29</v>
      </c>
      <c r="E28" s="54">
        <v>8.3000000000000007</v>
      </c>
      <c r="F28" s="54">
        <v>2.13</v>
      </c>
      <c r="G28" s="54">
        <v>153.94999999999999</v>
      </c>
      <c r="H28" s="54">
        <v>40.44</v>
      </c>
      <c r="I28" s="55" t="s">
        <v>15</v>
      </c>
      <c r="J28" s="54">
        <v>1.73</v>
      </c>
      <c r="K28" s="54">
        <v>303.27</v>
      </c>
      <c r="L28" s="54">
        <v>19.78</v>
      </c>
      <c r="M28" s="54">
        <v>50.72</v>
      </c>
      <c r="N28" s="54">
        <v>78</v>
      </c>
      <c r="O28" s="54">
        <v>0</v>
      </c>
      <c r="P28" s="54">
        <v>1.34</v>
      </c>
      <c r="Q28" s="54">
        <v>8.2100000000000009</v>
      </c>
      <c r="R28" s="43"/>
      <c r="S28" s="43"/>
      <c r="T28" s="43"/>
      <c r="U28" s="43"/>
    </row>
    <row r="29" spans="1:21" s="11" customFormat="1" x14ac:dyDescent="0.25">
      <c r="A29" s="53" t="s">
        <v>728</v>
      </c>
      <c r="B29" s="54">
        <v>70.87</v>
      </c>
      <c r="C29" s="54">
        <v>81.33</v>
      </c>
      <c r="D29" s="54">
        <v>97.77</v>
      </c>
      <c r="E29" s="54">
        <v>8.43</v>
      </c>
      <c r="F29" s="54">
        <v>2.13</v>
      </c>
      <c r="G29" s="54">
        <v>141.63</v>
      </c>
      <c r="H29" s="54">
        <v>35.97</v>
      </c>
      <c r="I29" s="55" t="s">
        <v>15</v>
      </c>
      <c r="J29" s="54">
        <v>1.72</v>
      </c>
      <c r="K29" s="54">
        <v>318.95</v>
      </c>
      <c r="L29" s="54">
        <v>18.54</v>
      </c>
      <c r="M29" s="54">
        <v>61.17</v>
      </c>
      <c r="N29" s="54">
        <v>78</v>
      </c>
      <c r="O29" s="54">
        <v>0</v>
      </c>
      <c r="P29" s="54">
        <v>1.75</v>
      </c>
      <c r="Q29" s="54">
        <v>8.76</v>
      </c>
      <c r="R29" s="43"/>
      <c r="S29" s="43"/>
      <c r="T29" s="43"/>
      <c r="U29" s="43"/>
    </row>
    <row r="30" spans="1:21" s="11" customFormat="1" x14ac:dyDescent="0.25">
      <c r="A30" s="53" t="s">
        <v>729</v>
      </c>
      <c r="B30" s="54">
        <v>86.05</v>
      </c>
      <c r="C30" s="54">
        <v>82.21</v>
      </c>
      <c r="D30" s="54">
        <v>110.58</v>
      </c>
      <c r="E30" s="54">
        <v>8.8699999999999992</v>
      </c>
      <c r="F30" s="54">
        <v>2.13</v>
      </c>
      <c r="G30" s="54">
        <v>151.26</v>
      </c>
      <c r="H30" s="54">
        <v>38.369999999999997</v>
      </c>
      <c r="I30" s="55" t="s">
        <v>15</v>
      </c>
      <c r="J30" s="54">
        <v>1.6</v>
      </c>
      <c r="K30" s="54">
        <v>337.11</v>
      </c>
      <c r="L30" s="54">
        <v>16.79</v>
      </c>
      <c r="M30" s="54">
        <v>62.09</v>
      </c>
      <c r="N30" s="54">
        <v>77.599999999999994</v>
      </c>
      <c r="O30" s="54">
        <v>0</v>
      </c>
      <c r="P30" s="54">
        <v>1.74</v>
      </c>
      <c r="Q30" s="54">
        <v>9.5</v>
      </c>
      <c r="R30" s="43"/>
      <c r="S30" s="43"/>
      <c r="T30" s="43"/>
      <c r="U30" s="43"/>
    </row>
    <row r="31" spans="1:21" s="11" customFormat="1" x14ac:dyDescent="0.25">
      <c r="A31" s="53" t="s">
        <v>730</v>
      </c>
      <c r="B31" s="54">
        <v>91.23</v>
      </c>
      <c r="C31" s="54">
        <v>84.57</v>
      </c>
      <c r="D31" s="54">
        <v>115.97</v>
      </c>
      <c r="E31" s="54">
        <v>8.94</v>
      </c>
      <c r="F31" s="54">
        <v>2.13</v>
      </c>
      <c r="G31" s="54">
        <v>135.33000000000001</v>
      </c>
      <c r="H31" s="54">
        <v>39.26</v>
      </c>
      <c r="I31" s="55" t="s">
        <v>15</v>
      </c>
      <c r="J31" s="54">
        <v>1.64</v>
      </c>
      <c r="K31" s="54">
        <v>336.36</v>
      </c>
      <c r="L31" s="54">
        <v>16.37</v>
      </c>
      <c r="M31" s="54">
        <v>65.91</v>
      </c>
      <c r="N31" s="54">
        <v>77.7</v>
      </c>
      <c r="O31" s="54">
        <v>0</v>
      </c>
      <c r="P31" s="54">
        <v>1.87</v>
      </c>
      <c r="Q31" s="54">
        <v>9.66</v>
      </c>
      <c r="R31" s="43"/>
      <c r="S31" s="43"/>
      <c r="T31" s="43"/>
      <c r="U31" s="43"/>
    </row>
    <row r="32" spans="1:21" s="11" customFormat="1" x14ac:dyDescent="0.25">
      <c r="A32" s="53" t="s">
        <v>731</v>
      </c>
      <c r="B32" s="54">
        <v>98</v>
      </c>
      <c r="C32" s="54">
        <v>85.66</v>
      </c>
      <c r="D32" s="54">
        <v>121.97</v>
      </c>
      <c r="E32" s="54">
        <v>9.02</v>
      </c>
      <c r="F32" s="54">
        <v>2.13</v>
      </c>
      <c r="G32" s="54">
        <v>118.53</v>
      </c>
      <c r="H32" s="54">
        <v>41.43</v>
      </c>
      <c r="I32" s="55" t="s">
        <v>15</v>
      </c>
      <c r="J32" s="54">
        <v>1.45</v>
      </c>
      <c r="K32" s="54">
        <v>350.83</v>
      </c>
      <c r="L32" s="54">
        <v>15.79</v>
      </c>
      <c r="M32" s="54">
        <v>67.239999999999995</v>
      </c>
      <c r="N32" s="54">
        <v>77.7</v>
      </c>
      <c r="O32" s="54">
        <v>0</v>
      </c>
      <c r="P32" s="54">
        <v>1.94</v>
      </c>
      <c r="Q32" s="54">
        <v>9.77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7.6</v>
      </c>
      <c r="C34" s="28">
        <f t="shared" si="0"/>
        <v>55.19</v>
      </c>
      <c r="D34" s="28">
        <f t="shared" si="0"/>
        <v>41.13</v>
      </c>
      <c r="E34" s="28">
        <f t="shared" si="0"/>
        <v>5.19</v>
      </c>
      <c r="F34" s="28">
        <f t="shared" si="0"/>
        <v>2.13</v>
      </c>
      <c r="G34" s="28">
        <f t="shared" si="0"/>
        <v>59.32</v>
      </c>
      <c r="H34" s="28">
        <f t="shared" si="0"/>
        <v>16.170000000000002</v>
      </c>
      <c r="I34" s="28">
        <f t="shared" si="0"/>
        <v>0</v>
      </c>
      <c r="J34" s="28">
        <f t="shared" si="0"/>
        <v>0.75</v>
      </c>
      <c r="K34" s="28">
        <f t="shared" si="0"/>
        <v>50.75</v>
      </c>
      <c r="L34" s="28">
        <f t="shared" si="0"/>
        <v>12.11</v>
      </c>
      <c r="M34" s="28">
        <f t="shared" si="0"/>
        <v>24.72</v>
      </c>
      <c r="N34" s="28">
        <f t="shared" si="0"/>
        <v>76</v>
      </c>
      <c r="O34" s="28">
        <f t="shared" si="0"/>
        <v>0</v>
      </c>
      <c r="P34" s="28">
        <f t="shared" si="0"/>
        <v>0.69</v>
      </c>
      <c r="Q34" s="28">
        <f t="shared" si="0"/>
        <v>8.2100000000000009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101.03</v>
      </c>
      <c r="C35" s="29">
        <f t="shared" si="1"/>
        <v>85.66</v>
      </c>
      <c r="D35" s="29">
        <f t="shared" si="1"/>
        <v>121.97</v>
      </c>
      <c r="E35" s="29">
        <f t="shared" si="1"/>
        <v>9.0399999999999991</v>
      </c>
      <c r="F35" s="29">
        <f t="shared" si="1"/>
        <v>2.13</v>
      </c>
      <c r="G35" s="29">
        <f t="shared" si="1"/>
        <v>203.3</v>
      </c>
      <c r="H35" s="29">
        <f t="shared" si="1"/>
        <v>66.84</v>
      </c>
      <c r="I35" s="29">
        <f t="shared" si="1"/>
        <v>0</v>
      </c>
      <c r="J35" s="29">
        <f t="shared" si="1"/>
        <v>2.72</v>
      </c>
      <c r="K35" s="29">
        <f t="shared" si="1"/>
        <v>350.83</v>
      </c>
      <c r="L35" s="29">
        <f t="shared" si="1"/>
        <v>29.14</v>
      </c>
      <c r="M35" s="29">
        <f t="shared" si="1"/>
        <v>82.64</v>
      </c>
      <c r="N35" s="29">
        <f t="shared" si="1"/>
        <v>637.9</v>
      </c>
      <c r="O35" s="29">
        <f t="shared" si="1"/>
        <v>0</v>
      </c>
      <c r="P35" s="29">
        <f t="shared" si="1"/>
        <v>1.94</v>
      </c>
      <c r="Q35" s="29">
        <f t="shared" si="1"/>
        <v>10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51.844166666666673</v>
      </c>
      <c r="C36" s="28">
        <f t="shared" si="2"/>
        <v>69.186250000000001</v>
      </c>
      <c r="D36" s="28">
        <f t="shared" si="2"/>
        <v>75.956666666666663</v>
      </c>
      <c r="E36" s="28">
        <f t="shared" si="2"/>
        <v>7.1850000000000014</v>
      </c>
      <c r="F36" s="28">
        <f t="shared" si="2"/>
        <v>2.1300000000000003</v>
      </c>
      <c r="G36" s="28">
        <f t="shared" si="2"/>
        <v>109.19124999999998</v>
      </c>
      <c r="H36" s="28">
        <f t="shared" si="2"/>
        <v>34.370000000000005</v>
      </c>
      <c r="I36" s="28" t="e">
        <f t="shared" si="2"/>
        <v>#DIV/0!</v>
      </c>
      <c r="J36" s="28">
        <f t="shared" si="2"/>
        <v>1.7729166666666665</v>
      </c>
      <c r="K36" s="28">
        <f t="shared" si="2"/>
        <v>254.0991666666666</v>
      </c>
      <c r="L36" s="28">
        <f t="shared" si="2"/>
        <v>19.241250000000001</v>
      </c>
      <c r="M36" s="28">
        <f t="shared" si="2"/>
        <v>51.676666666666669</v>
      </c>
      <c r="N36" s="28">
        <f t="shared" si="2"/>
        <v>236.89583333333334</v>
      </c>
      <c r="O36" s="28">
        <f t="shared" si="2"/>
        <v>0</v>
      </c>
      <c r="P36" s="28">
        <f t="shared" si="2"/>
        <v>1.1787500000000002</v>
      </c>
      <c r="Q36" s="28">
        <f t="shared" si="2"/>
        <v>8.7204166666666705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32.427182359821217</v>
      </c>
      <c r="C37" s="28">
        <f t="shared" ref="C37:Q37" si="3">STDEV(C9:C32)</f>
        <v>9.510850925447599</v>
      </c>
      <c r="D37" s="28">
        <f t="shared" si="3"/>
        <v>26.90233021532692</v>
      </c>
      <c r="E37" s="28">
        <f t="shared" si="3"/>
        <v>1.3724018932228759</v>
      </c>
      <c r="F37" s="28">
        <f t="shared" si="3"/>
        <v>4.5364060814922986E-16</v>
      </c>
      <c r="G37" s="28">
        <f t="shared" si="3"/>
        <v>41.441060955918857</v>
      </c>
      <c r="H37" s="28">
        <f t="shared" si="3"/>
        <v>15.202325623003402</v>
      </c>
      <c r="I37" s="28" t="e">
        <f t="shared" si="3"/>
        <v>#DIV/0!</v>
      </c>
      <c r="J37" s="28">
        <f t="shared" si="3"/>
        <v>0.42946355989229529</v>
      </c>
      <c r="K37" s="28">
        <f t="shared" si="3"/>
        <v>106.66425919950761</v>
      </c>
      <c r="L37" s="28">
        <f t="shared" si="3"/>
        <v>5.5928753688334787</v>
      </c>
      <c r="M37" s="28">
        <f t="shared" si="3"/>
        <v>19.529114422956496</v>
      </c>
      <c r="N37" s="28">
        <f t="shared" si="3"/>
        <v>223.01142392100752</v>
      </c>
      <c r="O37" s="28">
        <f t="shared" si="3"/>
        <v>0</v>
      </c>
      <c r="P37" s="28">
        <f t="shared" si="3"/>
        <v>0.3748311213936445</v>
      </c>
      <c r="Q37" s="28">
        <f t="shared" si="3"/>
        <v>0.68177823225079137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0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&lt;90%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LESS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selection activeCell="G46" sqref="G46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29/01/2025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3" t="s">
        <v>732</v>
      </c>
      <c r="B9" s="54">
        <v>95.56</v>
      </c>
      <c r="C9" s="54">
        <v>80.540000000000006</v>
      </c>
      <c r="D9" s="54">
        <v>117.34</v>
      </c>
      <c r="E9" s="54">
        <v>6.77</v>
      </c>
      <c r="F9" s="54">
        <v>2.13</v>
      </c>
      <c r="G9" s="54">
        <v>117.62</v>
      </c>
      <c r="H9" s="54">
        <v>49.15</v>
      </c>
      <c r="I9" s="55" t="s">
        <v>15</v>
      </c>
      <c r="J9" s="54">
        <v>1.64</v>
      </c>
      <c r="K9" s="54">
        <v>314.19</v>
      </c>
      <c r="L9" s="54">
        <v>15.18</v>
      </c>
      <c r="M9" s="54">
        <v>68.88</v>
      </c>
      <c r="N9" s="54">
        <v>77.5</v>
      </c>
      <c r="O9" s="54">
        <v>0</v>
      </c>
      <c r="P9" s="54">
        <v>1.86</v>
      </c>
      <c r="Q9" s="54">
        <v>9.77</v>
      </c>
      <c r="R9" s="43"/>
      <c r="S9" s="43"/>
      <c r="T9" s="43"/>
      <c r="U9" s="43"/>
    </row>
    <row r="10" spans="1:21" s="11" customFormat="1" x14ac:dyDescent="0.25">
      <c r="A10" s="53" t="s">
        <v>733</v>
      </c>
      <c r="B10" s="54">
        <v>86.12</v>
      </c>
      <c r="C10" s="54">
        <v>74.69</v>
      </c>
      <c r="D10" s="54">
        <v>106.71</v>
      </c>
      <c r="E10" s="54">
        <v>6.82</v>
      </c>
      <c r="F10" s="54">
        <v>2.13</v>
      </c>
      <c r="G10" s="54">
        <v>113.47</v>
      </c>
      <c r="H10" s="54">
        <v>39.909999999999997</v>
      </c>
      <c r="I10" s="55" t="s">
        <v>15</v>
      </c>
      <c r="J10" s="54">
        <v>1.67</v>
      </c>
      <c r="K10" s="54">
        <v>320.73</v>
      </c>
      <c r="L10" s="54">
        <v>14.42</v>
      </c>
      <c r="M10" s="54">
        <v>85.54</v>
      </c>
      <c r="N10" s="54">
        <v>77.7</v>
      </c>
      <c r="O10" s="54">
        <v>0</v>
      </c>
      <c r="P10" s="54">
        <v>1.69</v>
      </c>
      <c r="Q10" s="54">
        <v>9.5299999999999994</v>
      </c>
      <c r="R10" s="43"/>
      <c r="S10" s="43"/>
      <c r="T10" s="43"/>
      <c r="U10" s="43"/>
    </row>
    <row r="11" spans="1:21" s="11" customFormat="1" x14ac:dyDescent="0.25">
      <c r="A11" s="53" t="s">
        <v>734</v>
      </c>
      <c r="B11" s="54">
        <v>79.099999999999994</v>
      </c>
      <c r="C11" s="54">
        <v>70.86</v>
      </c>
      <c r="D11" s="54">
        <v>99.07</v>
      </c>
      <c r="E11" s="54">
        <v>6.71</v>
      </c>
      <c r="F11" s="54">
        <v>2.13</v>
      </c>
      <c r="G11" s="54">
        <v>116.43</v>
      </c>
      <c r="H11" s="54">
        <v>43.83</v>
      </c>
      <c r="I11" s="55" t="s">
        <v>15</v>
      </c>
      <c r="J11" s="54">
        <v>1.7</v>
      </c>
      <c r="K11" s="54">
        <v>329.63</v>
      </c>
      <c r="L11" s="54">
        <v>13.58</v>
      </c>
      <c r="M11" s="54">
        <v>86.42</v>
      </c>
      <c r="N11" s="54">
        <v>77.599999999999994</v>
      </c>
      <c r="O11" s="54">
        <v>0</v>
      </c>
      <c r="P11" s="54">
        <v>1.67</v>
      </c>
      <c r="Q11" s="54">
        <v>9.1199999999999992</v>
      </c>
      <c r="R11" s="43"/>
      <c r="S11" s="43"/>
      <c r="T11" s="43"/>
      <c r="U11" s="43"/>
    </row>
    <row r="12" spans="1:21" s="11" customFormat="1" x14ac:dyDescent="0.25">
      <c r="A12" s="53" t="s">
        <v>735</v>
      </c>
      <c r="B12" s="54">
        <v>71.58</v>
      </c>
      <c r="C12" s="54">
        <v>66.989999999999995</v>
      </c>
      <c r="D12" s="54">
        <v>91.03</v>
      </c>
      <c r="E12" s="54">
        <v>6.82</v>
      </c>
      <c r="F12" s="54">
        <v>2.13</v>
      </c>
      <c r="G12" s="54">
        <v>129.19</v>
      </c>
      <c r="H12" s="54">
        <v>40.950000000000003</v>
      </c>
      <c r="I12" s="55" t="s">
        <v>15</v>
      </c>
      <c r="J12" s="54">
        <v>1.66</v>
      </c>
      <c r="K12" s="54">
        <v>334.62</v>
      </c>
      <c r="L12" s="54">
        <v>12.98</v>
      </c>
      <c r="M12" s="54">
        <v>94.94</v>
      </c>
      <c r="N12" s="54">
        <v>77.8</v>
      </c>
      <c r="O12" s="54">
        <v>0</v>
      </c>
      <c r="P12" s="54">
        <v>1.56</v>
      </c>
      <c r="Q12" s="54">
        <v>8.67</v>
      </c>
      <c r="R12" s="43"/>
      <c r="S12" s="43"/>
      <c r="T12" s="43"/>
      <c r="U12" s="43"/>
    </row>
    <row r="13" spans="1:21" s="11" customFormat="1" x14ac:dyDescent="0.25">
      <c r="A13" s="53" t="s">
        <v>736</v>
      </c>
      <c r="B13" s="54">
        <v>74.13</v>
      </c>
      <c r="C13" s="54">
        <v>61.67</v>
      </c>
      <c r="D13" s="54">
        <v>90.18</v>
      </c>
      <c r="E13" s="54">
        <v>6.38</v>
      </c>
      <c r="F13" s="54">
        <v>2.13</v>
      </c>
      <c r="G13" s="54">
        <v>143.74</v>
      </c>
      <c r="H13" s="54">
        <v>44</v>
      </c>
      <c r="I13" s="55" t="s">
        <v>15</v>
      </c>
      <c r="J13" s="54">
        <v>1.64</v>
      </c>
      <c r="K13" s="54">
        <v>339.1</v>
      </c>
      <c r="L13" s="54">
        <v>13.25</v>
      </c>
      <c r="M13" s="54">
        <v>97.92</v>
      </c>
      <c r="N13" s="54">
        <v>77.599999999999994</v>
      </c>
      <c r="O13" s="54">
        <v>0</v>
      </c>
      <c r="P13" s="54">
        <v>1.48</v>
      </c>
      <c r="Q13" s="54">
        <v>8.59</v>
      </c>
      <c r="R13" s="43"/>
      <c r="S13" s="43"/>
      <c r="T13" s="43"/>
      <c r="U13" s="43"/>
    </row>
    <row r="14" spans="1:21" s="11" customFormat="1" x14ac:dyDescent="0.25">
      <c r="A14" s="53" t="s">
        <v>737</v>
      </c>
      <c r="B14" s="54">
        <v>73.53</v>
      </c>
      <c r="C14" s="54">
        <v>61.71</v>
      </c>
      <c r="D14" s="54">
        <v>89.83</v>
      </c>
      <c r="E14" s="54">
        <v>6.76</v>
      </c>
      <c r="F14" s="54">
        <v>2.13</v>
      </c>
      <c r="G14" s="54">
        <v>142.6</v>
      </c>
      <c r="H14" s="54">
        <v>46.21</v>
      </c>
      <c r="I14" s="55" t="s">
        <v>15</v>
      </c>
      <c r="J14" s="54">
        <v>1.33</v>
      </c>
      <c r="K14" s="54">
        <v>341.98</v>
      </c>
      <c r="L14" s="54">
        <v>13.33</v>
      </c>
      <c r="M14" s="54">
        <v>78.63</v>
      </c>
      <c r="N14" s="54">
        <v>77.8</v>
      </c>
      <c r="O14" s="54">
        <v>0</v>
      </c>
      <c r="P14" s="54">
        <v>1.37</v>
      </c>
      <c r="Q14" s="54">
        <v>8.57</v>
      </c>
      <c r="R14" s="43"/>
      <c r="S14" s="43"/>
      <c r="T14" s="43"/>
      <c r="U14" s="43"/>
    </row>
    <row r="15" spans="1:21" s="11" customFormat="1" x14ac:dyDescent="0.25">
      <c r="A15" s="53" t="s">
        <v>738</v>
      </c>
      <c r="B15" s="54">
        <v>71.87</v>
      </c>
      <c r="C15" s="54">
        <v>61.74</v>
      </c>
      <c r="D15" s="54">
        <v>88.33</v>
      </c>
      <c r="E15" s="54">
        <v>6.76</v>
      </c>
      <c r="F15" s="54">
        <v>2.13</v>
      </c>
      <c r="G15" s="54">
        <v>131.97999999999999</v>
      </c>
      <c r="H15" s="54">
        <v>48.06</v>
      </c>
      <c r="I15" s="55" t="s">
        <v>15</v>
      </c>
      <c r="J15" s="54">
        <v>1.43</v>
      </c>
      <c r="K15" s="54">
        <v>356.37</v>
      </c>
      <c r="L15" s="54">
        <v>13.09</v>
      </c>
      <c r="M15" s="54">
        <v>67.73</v>
      </c>
      <c r="N15" s="54">
        <v>93.3</v>
      </c>
      <c r="O15" s="54">
        <v>0</v>
      </c>
      <c r="P15" s="54">
        <v>1.36</v>
      </c>
      <c r="Q15" s="54">
        <v>8.44</v>
      </c>
      <c r="R15" s="43"/>
      <c r="S15" s="43"/>
      <c r="T15" s="43"/>
      <c r="U15" s="43"/>
    </row>
    <row r="16" spans="1:21" s="11" customFormat="1" x14ac:dyDescent="0.25">
      <c r="A16" s="53" t="s">
        <v>739</v>
      </c>
      <c r="B16" s="54">
        <v>66.22</v>
      </c>
      <c r="C16" s="54">
        <v>61.93</v>
      </c>
      <c r="D16" s="54">
        <v>83.84</v>
      </c>
      <c r="E16" s="54">
        <v>6.63</v>
      </c>
      <c r="F16" s="54">
        <v>2.13</v>
      </c>
      <c r="G16" s="54">
        <v>126.73</v>
      </c>
      <c r="H16" s="54">
        <v>42.17</v>
      </c>
      <c r="I16" s="55" t="s">
        <v>15</v>
      </c>
      <c r="J16" s="54">
        <v>1.71</v>
      </c>
      <c r="K16" s="54">
        <v>124.62</v>
      </c>
      <c r="L16" s="54">
        <v>15.17</v>
      </c>
      <c r="M16" s="54">
        <v>66.19</v>
      </c>
      <c r="N16" s="54">
        <v>196.3</v>
      </c>
      <c r="O16" s="54">
        <v>0</v>
      </c>
      <c r="P16" s="54">
        <v>1.28</v>
      </c>
      <c r="Q16" s="54">
        <v>8.2100000000000009</v>
      </c>
      <c r="R16" s="43"/>
      <c r="S16" s="43"/>
      <c r="T16" s="43"/>
      <c r="U16" s="43"/>
    </row>
    <row r="17" spans="1:21" s="11" customFormat="1" x14ac:dyDescent="0.25">
      <c r="A17" s="53" t="s">
        <v>740</v>
      </c>
      <c r="B17" s="54">
        <v>59.12</v>
      </c>
      <c r="C17" s="54">
        <v>62.36</v>
      </c>
      <c r="D17" s="54">
        <v>78.11</v>
      </c>
      <c r="E17" s="54">
        <v>6.46</v>
      </c>
      <c r="F17" s="54">
        <v>2.13</v>
      </c>
      <c r="G17" s="54">
        <v>111.03</v>
      </c>
      <c r="H17" s="54">
        <v>37.53</v>
      </c>
      <c r="I17" s="55" t="s">
        <v>15</v>
      </c>
      <c r="J17" s="54">
        <v>2.17</v>
      </c>
      <c r="K17" s="54">
        <v>119.44</v>
      </c>
      <c r="L17" s="54">
        <v>18.43</v>
      </c>
      <c r="M17" s="54">
        <v>53.93</v>
      </c>
      <c r="N17" s="54">
        <v>386.6</v>
      </c>
      <c r="O17" s="54">
        <v>0</v>
      </c>
      <c r="P17" s="54">
        <v>1.22</v>
      </c>
      <c r="Q17" s="54">
        <v>8.2100000000000009</v>
      </c>
      <c r="R17" s="43"/>
      <c r="S17" s="43"/>
      <c r="T17" s="43"/>
      <c r="U17" s="43"/>
    </row>
    <row r="18" spans="1:21" s="11" customFormat="1" x14ac:dyDescent="0.25">
      <c r="A18" s="53" t="s">
        <v>741</v>
      </c>
      <c r="B18" s="54">
        <v>38.299999999999997</v>
      </c>
      <c r="C18" s="54">
        <v>85.33</v>
      </c>
      <c r="D18" s="54">
        <v>66.19</v>
      </c>
      <c r="E18" s="54">
        <v>8.7200000000000006</v>
      </c>
      <c r="F18" s="54">
        <v>2.13</v>
      </c>
      <c r="G18" s="54">
        <v>93.27</v>
      </c>
      <c r="H18" s="54">
        <v>26.37</v>
      </c>
      <c r="I18" s="55" t="s">
        <v>15</v>
      </c>
      <c r="J18" s="54">
        <v>2.52</v>
      </c>
      <c r="K18" s="54">
        <v>126.99</v>
      </c>
      <c r="L18" s="54">
        <v>22.99</v>
      </c>
      <c r="M18" s="54">
        <v>47.46</v>
      </c>
      <c r="N18" s="54">
        <v>516</v>
      </c>
      <c r="O18" s="54">
        <v>0</v>
      </c>
      <c r="P18" s="54">
        <v>1.07</v>
      </c>
      <c r="Q18" s="54">
        <v>8.2100000000000009</v>
      </c>
      <c r="R18" s="43"/>
      <c r="S18" s="43"/>
      <c r="T18" s="43"/>
      <c r="U18" s="43"/>
    </row>
    <row r="19" spans="1:21" s="11" customFormat="1" x14ac:dyDescent="0.25">
      <c r="A19" s="53" t="s">
        <v>742</v>
      </c>
      <c r="B19" s="54">
        <v>10.1</v>
      </c>
      <c r="C19" s="54">
        <v>88.2</v>
      </c>
      <c r="D19" s="54">
        <v>50.36</v>
      </c>
      <c r="E19" s="54">
        <v>8.57</v>
      </c>
      <c r="F19" s="54">
        <v>2.2799999999999998</v>
      </c>
      <c r="G19" s="54">
        <v>87.78</v>
      </c>
      <c r="H19" s="54">
        <v>42.58</v>
      </c>
      <c r="I19" s="55" t="s">
        <v>15</v>
      </c>
      <c r="J19" s="54">
        <v>1.97</v>
      </c>
      <c r="K19" s="54">
        <v>332.12</v>
      </c>
      <c r="L19" s="54">
        <v>28.21</v>
      </c>
      <c r="M19" s="54">
        <v>38.78</v>
      </c>
      <c r="N19" s="54">
        <v>556.29999999999995</v>
      </c>
      <c r="O19" s="54">
        <v>0</v>
      </c>
      <c r="P19" s="54">
        <v>0.91</v>
      </c>
      <c r="Q19" s="54">
        <v>8.2100000000000009</v>
      </c>
      <c r="R19" s="43"/>
      <c r="S19" s="43"/>
      <c r="T19" s="43"/>
      <c r="U19" s="43"/>
    </row>
    <row r="20" spans="1:21" s="11" customFormat="1" x14ac:dyDescent="0.25">
      <c r="A20" s="53" t="s">
        <v>743</v>
      </c>
      <c r="B20" s="54">
        <v>5.46</v>
      </c>
      <c r="C20" s="54">
        <v>87.84</v>
      </c>
      <c r="D20" s="54">
        <v>48.89</v>
      </c>
      <c r="E20" s="54">
        <v>6.86</v>
      </c>
      <c r="F20" s="54">
        <v>2.13</v>
      </c>
      <c r="G20" s="54">
        <v>102.98</v>
      </c>
      <c r="H20" s="54">
        <v>52.99</v>
      </c>
      <c r="I20" s="55" t="s">
        <v>15</v>
      </c>
      <c r="J20" s="54">
        <v>1.91</v>
      </c>
      <c r="K20" s="54">
        <v>332.76</v>
      </c>
      <c r="L20" s="54">
        <v>29.55</v>
      </c>
      <c r="M20" s="54">
        <v>31.05</v>
      </c>
      <c r="N20" s="54">
        <v>589.29999999999995</v>
      </c>
      <c r="O20" s="54">
        <v>0</v>
      </c>
      <c r="P20" s="54">
        <v>0.91</v>
      </c>
      <c r="Q20" s="54">
        <v>8.2100000000000009</v>
      </c>
      <c r="R20" s="43"/>
      <c r="S20" s="43"/>
      <c r="T20" s="43"/>
      <c r="U20" s="43"/>
    </row>
    <row r="21" spans="1:21" s="11" customFormat="1" x14ac:dyDescent="0.25">
      <c r="A21" s="53" t="s">
        <v>744</v>
      </c>
      <c r="B21" s="54">
        <v>4.51</v>
      </c>
      <c r="C21" s="54">
        <v>82.46</v>
      </c>
      <c r="D21" s="54">
        <v>45.04</v>
      </c>
      <c r="E21" s="54">
        <v>7.32</v>
      </c>
      <c r="F21" s="54">
        <v>2.87</v>
      </c>
      <c r="G21" s="54">
        <v>106</v>
      </c>
      <c r="H21" s="54">
        <v>53.95</v>
      </c>
      <c r="I21" s="55" t="s">
        <v>15</v>
      </c>
      <c r="J21" s="54">
        <v>2.2999999999999998</v>
      </c>
      <c r="K21" s="54">
        <v>346.36</v>
      </c>
      <c r="L21" s="54">
        <v>29.44</v>
      </c>
      <c r="M21" s="54">
        <v>33.270000000000003</v>
      </c>
      <c r="N21" s="54">
        <v>559.5</v>
      </c>
      <c r="O21" s="54">
        <v>0</v>
      </c>
      <c r="P21" s="54">
        <v>1.03</v>
      </c>
      <c r="Q21" s="54">
        <v>8.2100000000000009</v>
      </c>
      <c r="R21" s="43"/>
      <c r="S21" s="43"/>
      <c r="T21" s="43"/>
      <c r="U21" s="43"/>
    </row>
    <row r="22" spans="1:21" s="11" customFormat="1" x14ac:dyDescent="0.25">
      <c r="A22" s="53" t="s">
        <v>745</v>
      </c>
      <c r="B22" s="54">
        <v>4.82</v>
      </c>
      <c r="C22" s="54">
        <v>79.819999999999993</v>
      </c>
      <c r="D22" s="54">
        <v>44.09</v>
      </c>
      <c r="E22" s="54">
        <v>7.41</v>
      </c>
      <c r="F22" s="54">
        <v>2.4500000000000002</v>
      </c>
      <c r="G22" s="54">
        <v>118.43</v>
      </c>
      <c r="H22" s="54">
        <v>50.1</v>
      </c>
      <c r="I22" s="55" t="s">
        <v>15</v>
      </c>
      <c r="J22" s="54">
        <v>1.78</v>
      </c>
      <c r="K22" s="54">
        <v>319.14999999999998</v>
      </c>
      <c r="L22" s="54">
        <v>28.96</v>
      </c>
      <c r="M22" s="54">
        <v>34.299999999999997</v>
      </c>
      <c r="N22" s="54">
        <v>444.9</v>
      </c>
      <c r="O22" s="54">
        <v>0</v>
      </c>
      <c r="P22" s="54">
        <v>1.08</v>
      </c>
      <c r="Q22" s="54">
        <v>8.2100000000000009</v>
      </c>
      <c r="R22" s="43"/>
      <c r="S22" s="43"/>
      <c r="T22" s="43"/>
      <c r="U22" s="43"/>
    </row>
    <row r="23" spans="1:21" s="11" customFormat="1" x14ac:dyDescent="0.25">
      <c r="A23" s="53" t="s">
        <v>746</v>
      </c>
      <c r="B23" s="54">
        <v>4.78</v>
      </c>
      <c r="C23" s="54">
        <v>78</v>
      </c>
      <c r="D23" s="54">
        <v>43.13</v>
      </c>
      <c r="E23" s="54">
        <v>6.6</v>
      </c>
      <c r="F23" s="54">
        <v>2.41</v>
      </c>
      <c r="G23" s="54">
        <v>125.63</v>
      </c>
      <c r="H23" s="54">
        <v>42.44</v>
      </c>
      <c r="I23" s="55" t="s">
        <v>15</v>
      </c>
      <c r="J23" s="54">
        <v>2.0099999999999998</v>
      </c>
      <c r="K23" s="54">
        <v>322.7</v>
      </c>
      <c r="L23" s="54">
        <v>28.42</v>
      </c>
      <c r="M23" s="54">
        <v>35.9</v>
      </c>
      <c r="N23" s="54">
        <v>357.6</v>
      </c>
      <c r="O23" s="54">
        <v>0</v>
      </c>
      <c r="P23" s="54">
        <v>1.07</v>
      </c>
      <c r="Q23" s="54">
        <v>8.2100000000000009</v>
      </c>
      <c r="R23" s="43"/>
      <c r="S23" s="43"/>
      <c r="T23" s="43"/>
      <c r="U23" s="43"/>
    </row>
    <row r="24" spans="1:21" s="11" customFormat="1" x14ac:dyDescent="0.25">
      <c r="A24" s="53" t="s">
        <v>747</v>
      </c>
      <c r="B24" s="54">
        <v>3.99</v>
      </c>
      <c r="C24" s="54">
        <v>77.23</v>
      </c>
      <c r="D24" s="54">
        <v>42.18</v>
      </c>
      <c r="E24" s="54">
        <v>6.4</v>
      </c>
      <c r="F24" s="54">
        <v>3.01</v>
      </c>
      <c r="G24" s="54">
        <v>110.31</v>
      </c>
      <c r="H24" s="54">
        <v>38.18</v>
      </c>
      <c r="I24" s="55" t="s">
        <v>15</v>
      </c>
      <c r="J24" s="54">
        <v>1.63</v>
      </c>
      <c r="K24" s="54">
        <v>335.33</v>
      </c>
      <c r="L24" s="54">
        <v>26.54</v>
      </c>
      <c r="M24" s="54">
        <v>37.85</v>
      </c>
      <c r="N24" s="54">
        <v>245.7</v>
      </c>
      <c r="O24" s="54">
        <v>0</v>
      </c>
      <c r="P24" s="54">
        <v>1.05</v>
      </c>
      <c r="Q24" s="54">
        <v>8.2100000000000009</v>
      </c>
      <c r="R24" s="43"/>
      <c r="S24" s="43"/>
      <c r="T24" s="43"/>
      <c r="U24" s="43"/>
    </row>
    <row r="25" spans="1:21" s="11" customFormat="1" x14ac:dyDescent="0.25">
      <c r="A25" s="53" t="s">
        <v>748</v>
      </c>
      <c r="B25" s="54">
        <v>4.34</v>
      </c>
      <c r="C25" s="54">
        <v>74.459999999999994</v>
      </c>
      <c r="D25" s="54">
        <v>40.6</v>
      </c>
      <c r="E25" s="54">
        <v>7.26</v>
      </c>
      <c r="F25" s="54">
        <v>2.79</v>
      </c>
      <c r="G25" s="54">
        <v>97.32</v>
      </c>
      <c r="H25" s="54">
        <v>44.19</v>
      </c>
      <c r="I25" s="55" t="s">
        <v>15</v>
      </c>
      <c r="J25" s="54">
        <v>1.58</v>
      </c>
      <c r="K25" s="54">
        <v>307.95</v>
      </c>
      <c r="L25" s="54">
        <v>25.45</v>
      </c>
      <c r="M25" s="54">
        <v>40.26</v>
      </c>
      <c r="N25" s="54">
        <v>127</v>
      </c>
      <c r="O25" s="54">
        <v>0</v>
      </c>
      <c r="P25" s="54">
        <v>1.07</v>
      </c>
      <c r="Q25" s="54">
        <v>8.2100000000000009</v>
      </c>
      <c r="R25" s="43"/>
      <c r="S25" s="43"/>
      <c r="T25" s="43"/>
      <c r="U25" s="43"/>
    </row>
    <row r="26" spans="1:21" s="11" customFormat="1" x14ac:dyDescent="0.25">
      <c r="A26" s="53" t="s">
        <v>749</v>
      </c>
      <c r="B26" s="54">
        <v>8.68</v>
      </c>
      <c r="C26" s="54">
        <v>78.77</v>
      </c>
      <c r="D26" s="54">
        <v>46.74</v>
      </c>
      <c r="E26" s="54">
        <v>7.06</v>
      </c>
      <c r="F26" s="54">
        <v>2.13</v>
      </c>
      <c r="G26" s="54">
        <v>95.8</v>
      </c>
      <c r="H26" s="54">
        <v>47.45</v>
      </c>
      <c r="I26" s="55" t="s">
        <v>15</v>
      </c>
      <c r="J26" s="54">
        <v>1.63</v>
      </c>
      <c r="K26" s="54">
        <v>347.06</v>
      </c>
      <c r="L26" s="54">
        <v>24.36</v>
      </c>
      <c r="M26" s="54">
        <v>55.56</v>
      </c>
      <c r="N26" s="54">
        <v>96</v>
      </c>
      <c r="O26" s="54">
        <v>0</v>
      </c>
      <c r="P26" s="54">
        <v>1.59</v>
      </c>
      <c r="Q26" s="54">
        <v>8.2100000000000009</v>
      </c>
      <c r="R26" s="43"/>
      <c r="S26" s="43"/>
      <c r="T26" s="43"/>
      <c r="U26" s="43"/>
    </row>
    <row r="27" spans="1:21" s="11" customFormat="1" x14ac:dyDescent="0.25">
      <c r="A27" s="53" t="s">
        <v>750</v>
      </c>
      <c r="B27" s="54">
        <v>27.14</v>
      </c>
      <c r="C27" s="54">
        <v>89.62</v>
      </c>
      <c r="D27" s="54">
        <v>67.209999999999994</v>
      </c>
      <c r="E27" s="54">
        <v>7.81</v>
      </c>
      <c r="F27" s="54">
        <v>2.13</v>
      </c>
      <c r="G27" s="54">
        <v>123.4</v>
      </c>
      <c r="H27" s="54">
        <v>56.81</v>
      </c>
      <c r="I27" s="55" t="s">
        <v>15</v>
      </c>
      <c r="J27" s="54">
        <v>1.67</v>
      </c>
      <c r="K27" s="54">
        <v>112.02</v>
      </c>
      <c r="L27" s="54">
        <v>21.3</v>
      </c>
      <c r="M27" s="54">
        <v>66</v>
      </c>
      <c r="N27" s="54">
        <v>77.599999999999994</v>
      </c>
      <c r="O27" s="54">
        <v>0</v>
      </c>
      <c r="P27" s="54">
        <v>1.58</v>
      </c>
      <c r="Q27" s="54">
        <v>8.2100000000000009</v>
      </c>
      <c r="R27" s="43"/>
      <c r="S27" s="43"/>
      <c r="T27" s="43"/>
      <c r="U27" s="43"/>
    </row>
    <row r="28" spans="1:21" s="11" customFormat="1" x14ac:dyDescent="0.25">
      <c r="A28" s="53" t="s">
        <v>751</v>
      </c>
      <c r="B28" s="54">
        <v>59.82</v>
      </c>
      <c r="C28" s="54">
        <v>93.85</v>
      </c>
      <c r="D28" s="54">
        <v>95.63</v>
      </c>
      <c r="E28" s="54">
        <v>8.81</v>
      </c>
      <c r="F28" s="54">
        <v>2.13</v>
      </c>
      <c r="G28" s="54">
        <v>151.96</v>
      </c>
      <c r="H28" s="54">
        <v>54.62</v>
      </c>
      <c r="I28" s="55" t="s">
        <v>15</v>
      </c>
      <c r="J28" s="54">
        <v>1.59</v>
      </c>
      <c r="K28" s="54">
        <v>273.2</v>
      </c>
      <c r="L28" s="54">
        <v>19.600000000000001</v>
      </c>
      <c r="M28" s="54">
        <v>70.66</v>
      </c>
      <c r="N28" s="54">
        <v>77.2</v>
      </c>
      <c r="O28" s="54">
        <v>0</v>
      </c>
      <c r="P28" s="54">
        <v>1.73</v>
      </c>
      <c r="Q28" s="54">
        <v>8.23</v>
      </c>
      <c r="R28" s="43"/>
      <c r="S28" s="43"/>
      <c r="T28" s="43"/>
      <c r="U28" s="43"/>
    </row>
    <row r="29" spans="1:21" s="11" customFormat="1" x14ac:dyDescent="0.25">
      <c r="A29" s="53" t="s">
        <v>752</v>
      </c>
      <c r="B29" s="54">
        <v>66.52</v>
      </c>
      <c r="C29" s="54">
        <v>93.26</v>
      </c>
      <c r="D29" s="54">
        <v>97.39</v>
      </c>
      <c r="E29" s="54">
        <v>8.86</v>
      </c>
      <c r="F29" s="54">
        <v>2.13</v>
      </c>
      <c r="G29" s="54">
        <v>166.9</v>
      </c>
      <c r="H29" s="54">
        <v>55.21</v>
      </c>
      <c r="I29" s="55" t="s">
        <v>15</v>
      </c>
      <c r="J29" s="54">
        <v>1.43</v>
      </c>
      <c r="K29" s="54">
        <v>302.70999999999998</v>
      </c>
      <c r="L29" s="54">
        <v>19.739999999999998</v>
      </c>
      <c r="M29" s="54">
        <v>72.099999999999994</v>
      </c>
      <c r="N29" s="54">
        <v>77.3</v>
      </c>
      <c r="O29" s="54">
        <v>0</v>
      </c>
      <c r="P29" s="54">
        <v>1.96</v>
      </c>
      <c r="Q29" s="54">
        <v>8.49</v>
      </c>
      <c r="R29" s="43"/>
      <c r="S29" s="43"/>
      <c r="T29" s="43"/>
      <c r="U29" s="43"/>
    </row>
    <row r="30" spans="1:21" s="11" customFormat="1" x14ac:dyDescent="0.25">
      <c r="A30" s="53" t="s">
        <v>753</v>
      </c>
      <c r="B30" s="54">
        <v>82.87</v>
      </c>
      <c r="C30" s="54">
        <v>86.95</v>
      </c>
      <c r="D30" s="54">
        <v>109.22</v>
      </c>
      <c r="E30" s="54">
        <v>8.9600000000000009</v>
      </c>
      <c r="F30" s="54">
        <v>2.13</v>
      </c>
      <c r="G30" s="54">
        <v>170.36</v>
      </c>
      <c r="H30" s="54">
        <v>53.19</v>
      </c>
      <c r="I30" s="55" t="s">
        <v>15</v>
      </c>
      <c r="J30" s="54">
        <v>1.67</v>
      </c>
      <c r="K30" s="54">
        <v>330.59</v>
      </c>
      <c r="L30" s="54">
        <v>18.309999999999999</v>
      </c>
      <c r="M30" s="54">
        <v>82.52</v>
      </c>
      <c r="N30" s="54">
        <v>77.2</v>
      </c>
      <c r="O30" s="54">
        <v>0</v>
      </c>
      <c r="P30" s="54">
        <v>2.5099999999999998</v>
      </c>
      <c r="Q30" s="54">
        <v>9.15</v>
      </c>
      <c r="R30" s="43"/>
      <c r="S30" s="43"/>
      <c r="T30" s="43"/>
      <c r="U30" s="43"/>
    </row>
    <row r="31" spans="1:21" s="11" customFormat="1" x14ac:dyDescent="0.25">
      <c r="A31" s="53" t="s">
        <v>754</v>
      </c>
      <c r="B31" s="54">
        <v>92.7</v>
      </c>
      <c r="C31" s="54">
        <v>83.89</v>
      </c>
      <c r="D31" s="54">
        <v>116.79</v>
      </c>
      <c r="E31" s="54">
        <v>8.7899999999999991</v>
      </c>
      <c r="F31" s="54">
        <v>2.13</v>
      </c>
      <c r="G31" s="54">
        <v>168.86</v>
      </c>
      <c r="H31" s="54">
        <v>53.32</v>
      </c>
      <c r="I31" s="55" t="s">
        <v>15</v>
      </c>
      <c r="J31" s="54">
        <v>1.33</v>
      </c>
      <c r="K31" s="54">
        <v>292.73</v>
      </c>
      <c r="L31" s="54">
        <v>17.37</v>
      </c>
      <c r="M31" s="54">
        <v>87.74</v>
      </c>
      <c r="N31" s="54">
        <v>77.099999999999994</v>
      </c>
      <c r="O31" s="54">
        <v>0</v>
      </c>
      <c r="P31" s="54">
        <v>2.11</v>
      </c>
      <c r="Q31" s="54">
        <v>9.48</v>
      </c>
      <c r="R31" s="43"/>
      <c r="S31" s="43"/>
      <c r="T31" s="43"/>
      <c r="U31" s="43"/>
    </row>
    <row r="32" spans="1:21" s="11" customFormat="1" x14ac:dyDescent="0.25">
      <c r="A32" s="53" t="s">
        <v>755</v>
      </c>
      <c r="B32" s="54">
        <v>91.65</v>
      </c>
      <c r="C32" s="54">
        <v>82.63</v>
      </c>
      <c r="D32" s="54">
        <v>115.29</v>
      </c>
      <c r="E32" s="54">
        <v>8.84</v>
      </c>
      <c r="F32" s="54">
        <v>2.13</v>
      </c>
      <c r="G32" s="54">
        <v>162.55000000000001</v>
      </c>
      <c r="H32" s="54">
        <v>49.48</v>
      </c>
      <c r="I32" s="55" t="s">
        <v>15</v>
      </c>
      <c r="J32" s="54">
        <v>1.63</v>
      </c>
      <c r="K32" s="54">
        <v>311.52</v>
      </c>
      <c r="L32" s="54">
        <v>17.309999999999999</v>
      </c>
      <c r="M32" s="54">
        <v>89.67</v>
      </c>
      <c r="N32" s="54">
        <v>77.2</v>
      </c>
      <c r="O32" s="54">
        <v>0</v>
      </c>
      <c r="P32" s="54">
        <v>2.06</v>
      </c>
      <c r="Q32" s="54">
        <v>9.5299999999999994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3.99</v>
      </c>
      <c r="C34" s="28">
        <f t="shared" si="0"/>
        <v>61.67</v>
      </c>
      <c r="D34" s="28">
        <f t="shared" si="0"/>
        <v>40.6</v>
      </c>
      <c r="E34" s="28">
        <f t="shared" si="0"/>
        <v>6.38</v>
      </c>
      <c r="F34" s="28">
        <f t="shared" si="0"/>
        <v>2.13</v>
      </c>
      <c r="G34" s="28">
        <f t="shared" si="0"/>
        <v>87.78</v>
      </c>
      <c r="H34" s="28">
        <f t="shared" si="0"/>
        <v>26.37</v>
      </c>
      <c r="I34" s="28">
        <f t="shared" si="0"/>
        <v>0</v>
      </c>
      <c r="J34" s="28">
        <f t="shared" si="0"/>
        <v>1.33</v>
      </c>
      <c r="K34" s="28">
        <f t="shared" si="0"/>
        <v>112.02</v>
      </c>
      <c r="L34" s="28">
        <f t="shared" si="0"/>
        <v>12.98</v>
      </c>
      <c r="M34" s="28">
        <f t="shared" si="0"/>
        <v>31.05</v>
      </c>
      <c r="N34" s="28">
        <f t="shared" si="0"/>
        <v>77.099999999999994</v>
      </c>
      <c r="O34" s="28">
        <f t="shared" si="0"/>
        <v>0</v>
      </c>
      <c r="P34" s="28">
        <f t="shared" si="0"/>
        <v>0.91</v>
      </c>
      <c r="Q34" s="28">
        <f t="shared" si="0"/>
        <v>8.2100000000000009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95.56</v>
      </c>
      <c r="C35" s="29">
        <f t="shared" si="1"/>
        <v>93.85</v>
      </c>
      <c r="D35" s="29">
        <f t="shared" si="1"/>
        <v>117.34</v>
      </c>
      <c r="E35" s="29">
        <f t="shared" si="1"/>
        <v>8.9600000000000009</v>
      </c>
      <c r="F35" s="29">
        <f t="shared" si="1"/>
        <v>3.01</v>
      </c>
      <c r="G35" s="29">
        <f t="shared" si="1"/>
        <v>170.36</v>
      </c>
      <c r="H35" s="29">
        <f t="shared" si="1"/>
        <v>56.81</v>
      </c>
      <c r="I35" s="29">
        <f t="shared" si="1"/>
        <v>0</v>
      </c>
      <c r="J35" s="29">
        <f t="shared" si="1"/>
        <v>2.52</v>
      </c>
      <c r="K35" s="29">
        <f t="shared" si="1"/>
        <v>356.37</v>
      </c>
      <c r="L35" s="29">
        <f t="shared" si="1"/>
        <v>29.55</v>
      </c>
      <c r="M35" s="29">
        <f t="shared" si="1"/>
        <v>97.92</v>
      </c>
      <c r="N35" s="29">
        <f t="shared" si="1"/>
        <v>589.29999999999995</v>
      </c>
      <c r="O35" s="29">
        <f t="shared" si="1"/>
        <v>0</v>
      </c>
      <c r="P35" s="29">
        <f t="shared" si="1"/>
        <v>2.5099999999999998</v>
      </c>
      <c r="Q35" s="29">
        <f t="shared" si="1"/>
        <v>9.77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49.287916666666668</v>
      </c>
      <c r="C36" s="28">
        <f t="shared" si="2"/>
        <v>77.7</v>
      </c>
      <c r="D36" s="28">
        <f t="shared" si="2"/>
        <v>78.049583333333331</v>
      </c>
      <c r="E36" s="28">
        <f t="shared" si="2"/>
        <v>7.432500000000001</v>
      </c>
      <c r="F36" s="28">
        <f t="shared" si="2"/>
        <v>2.2562500000000005</v>
      </c>
      <c r="G36" s="28">
        <f t="shared" si="2"/>
        <v>125.59750000000003</v>
      </c>
      <c r="H36" s="28">
        <f t="shared" si="2"/>
        <v>46.362083333333324</v>
      </c>
      <c r="I36" s="28" t="e">
        <f t="shared" si="2"/>
        <v>#DIV/0!</v>
      </c>
      <c r="J36" s="28">
        <f t="shared" si="2"/>
        <v>1.7333333333333341</v>
      </c>
      <c r="K36" s="28">
        <f t="shared" si="2"/>
        <v>290.57791666666668</v>
      </c>
      <c r="L36" s="28">
        <f t="shared" si="2"/>
        <v>20.290833333333339</v>
      </c>
      <c r="M36" s="28">
        <f t="shared" si="2"/>
        <v>63.470833333333331</v>
      </c>
      <c r="N36" s="28">
        <f t="shared" si="2"/>
        <v>212.42083333333335</v>
      </c>
      <c r="O36" s="28">
        <f t="shared" si="2"/>
        <v>0</v>
      </c>
      <c r="P36" s="28">
        <f t="shared" si="2"/>
        <v>1.4675000000000002</v>
      </c>
      <c r="Q36" s="28">
        <f t="shared" si="2"/>
        <v>8.5870833333333358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34.859210495084078</v>
      </c>
      <c r="C37" s="28">
        <f t="shared" ref="C37:Q37" si="3">STDEV(C9:C32)</f>
        <v>10.495515398409838</v>
      </c>
      <c r="D37" s="28">
        <f t="shared" si="3"/>
        <v>27.146805798035089</v>
      </c>
      <c r="E37" s="28">
        <f t="shared" si="3"/>
        <v>0.95024596358224611</v>
      </c>
      <c r="F37" s="28">
        <f t="shared" si="3"/>
        <v>0.26196270063071414</v>
      </c>
      <c r="G37" s="28">
        <f t="shared" si="3"/>
        <v>24.821173683842357</v>
      </c>
      <c r="H37" s="28">
        <f t="shared" si="3"/>
        <v>7.1239247726704198</v>
      </c>
      <c r="I37" s="28" t="e">
        <f t="shared" si="3"/>
        <v>#DIV/0!</v>
      </c>
      <c r="J37" s="28">
        <f t="shared" si="3"/>
        <v>0.28881567262463426</v>
      </c>
      <c r="K37" s="28">
        <f t="shared" si="3"/>
        <v>79.723376364459554</v>
      </c>
      <c r="L37" s="28">
        <f t="shared" si="3"/>
        <v>5.9879501585642032</v>
      </c>
      <c r="M37" s="28">
        <f t="shared" si="3"/>
        <v>21.904153252525997</v>
      </c>
      <c r="N37" s="28">
        <f t="shared" si="3"/>
        <v>190.34715420073616</v>
      </c>
      <c r="O37" s="28">
        <f t="shared" si="3"/>
        <v>0</v>
      </c>
      <c r="P37" s="28">
        <f t="shared" si="3"/>
        <v>0.42590313248539108</v>
      </c>
      <c r="Q37" s="28">
        <f t="shared" si="3"/>
        <v>0.52946633646462815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0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&lt;90%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LESS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zoomScale="90" zoomScaleNormal="90" workbookViewId="0">
      <selection activeCell="G54" sqref="G54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6" width="9.140625" style="20" customWidth="1"/>
    <col min="17" max="17" width="16.42578125" style="20" customWidth="1"/>
    <col min="18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30/01/2025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3" t="s">
        <v>756</v>
      </c>
      <c r="B9" s="54">
        <v>81.62</v>
      </c>
      <c r="C9" s="54">
        <v>77.02</v>
      </c>
      <c r="D9" s="54">
        <v>104.32</v>
      </c>
      <c r="E9" s="54">
        <v>8.19</v>
      </c>
      <c r="F9" s="54">
        <v>2.13</v>
      </c>
      <c r="G9" s="54">
        <v>134.29</v>
      </c>
      <c r="H9" s="54">
        <v>47.19</v>
      </c>
      <c r="I9" s="55" t="s">
        <v>15</v>
      </c>
      <c r="J9" s="54">
        <v>1.62</v>
      </c>
      <c r="K9" s="54">
        <v>289.70999999999998</v>
      </c>
      <c r="L9" s="54">
        <v>16.13</v>
      </c>
      <c r="M9" s="54">
        <v>91.54</v>
      </c>
      <c r="N9" s="54">
        <v>77.099999999999994</v>
      </c>
      <c r="O9" s="54">
        <v>0</v>
      </c>
      <c r="P9" s="54">
        <v>1.87</v>
      </c>
      <c r="Q9" s="54">
        <v>9.15</v>
      </c>
      <c r="R9" s="43"/>
      <c r="S9" s="43"/>
      <c r="T9" s="43"/>
      <c r="U9" s="43"/>
    </row>
    <row r="10" spans="1:21" s="11" customFormat="1" x14ac:dyDescent="0.25">
      <c r="A10" s="53" t="s">
        <v>757</v>
      </c>
      <c r="B10" s="54">
        <v>71.17</v>
      </c>
      <c r="C10" s="54">
        <v>67.760000000000005</v>
      </c>
      <c r="D10" s="54">
        <v>91.1</v>
      </c>
      <c r="E10" s="54">
        <v>7.92</v>
      </c>
      <c r="F10" s="54">
        <v>2.13</v>
      </c>
      <c r="G10" s="54">
        <v>119.17</v>
      </c>
      <c r="H10" s="54">
        <v>41.66</v>
      </c>
      <c r="I10" s="55" t="s">
        <v>15</v>
      </c>
      <c r="J10" s="54">
        <v>1.49</v>
      </c>
      <c r="K10" s="54">
        <v>301.95</v>
      </c>
      <c r="L10" s="54">
        <v>15.65</v>
      </c>
      <c r="M10" s="54">
        <v>94.95</v>
      </c>
      <c r="N10" s="54">
        <v>76.900000000000006</v>
      </c>
      <c r="O10" s="54">
        <v>0</v>
      </c>
      <c r="P10" s="54">
        <v>1.5</v>
      </c>
      <c r="Q10" s="54">
        <v>8.48</v>
      </c>
      <c r="R10" s="43"/>
      <c r="S10" s="43"/>
      <c r="T10" s="43"/>
      <c r="U10" s="43"/>
    </row>
    <row r="11" spans="1:21" s="11" customFormat="1" x14ac:dyDescent="0.25">
      <c r="A11" s="53" t="s">
        <v>758</v>
      </c>
      <c r="B11" s="54">
        <v>65.150000000000006</v>
      </c>
      <c r="C11" s="54">
        <v>65.72</v>
      </c>
      <c r="D11" s="54">
        <v>85.21</v>
      </c>
      <c r="E11" s="54">
        <v>8.08</v>
      </c>
      <c r="F11" s="54">
        <v>2.13</v>
      </c>
      <c r="G11" s="54">
        <v>100.54</v>
      </c>
      <c r="H11" s="54">
        <v>37.71</v>
      </c>
      <c r="I11" s="55" t="s">
        <v>15</v>
      </c>
      <c r="J11" s="54">
        <v>1.71</v>
      </c>
      <c r="K11" s="54">
        <v>294.37</v>
      </c>
      <c r="L11" s="54">
        <v>15.65</v>
      </c>
      <c r="M11" s="54">
        <v>96.35</v>
      </c>
      <c r="N11" s="54">
        <v>75.599999999999994</v>
      </c>
      <c r="O11" s="54">
        <v>0</v>
      </c>
      <c r="P11" s="54">
        <v>1.44</v>
      </c>
      <c r="Q11" s="54">
        <v>8.2100000000000009</v>
      </c>
      <c r="R11" s="43"/>
      <c r="S11" s="43"/>
      <c r="T11" s="43"/>
      <c r="U11" s="43"/>
    </row>
    <row r="12" spans="1:21" s="11" customFormat="1" x14ac:dyDescent="0.25">
      <c r="A12" s="53" t="s">
        <v>759</v>
      </c>
      <c r="B12" s="54">
        <v>56.8</v>
      </c>
      <c r="C12" s="54">
        <v>64.010000000000005</v>
      </c>
      <c r="D12" s="54">
        <v>77.62</v>
      </c>
      <c r="E12" s="54">
        <v>7.52</v>
      </c>
      <c r="F12" s="54">
        <v>2.13</v>
      </c>
      <c r="G12" s="54">
        <v>91.89</v>
      </c>
      <c r="H12" s="54">
        <v>35.5</v>
      </c>
      <c r="I12" s="55" t="s">
        <v>15</v>
      </c>
      <c r="J12" s="54">
        <v>1.41</v>
      </c>
      <c r="K12" s="54">
        <v>311.04000000000002</v>
      </c>
      <c r="L12" s="54">
        <v>15.29</v>
      </c>
      <c r="M12" s="54">
        <v>101.39</v>
      </c>
      <c r="N12" s="54">
        <v>76</v>
      </c>
      <c r="O12" s="54">
        <v>0</v>
      </c>
      <c r="P12" s="54">
        <v>1.4</v>
      </c>
      <c r="Q12" s="54">
        <v>8.2100000000000009</v>
      </c>
      <c r="R12" s="43"/>
      <c r="S12" s="43"/>
      <c r="T12" s="43"/>
      <c r="U12" s="43"/>
    </row>
    <row r="13" spans="1:21" s="11" customFormat="1" x14ac:dyDescent="0.25">
      <c r="A13" s="53" t="s">
        <v>760</v>
      </c>
      <c r="B13" s="54">
        <v>47.31</v>
      </c>
      <c r="C13" s="54">
        <v>60.86</v>
      </c>
      <c r="D13" s="54">
        <v>68.36</v>
      </c>
      <c r="E13" s="54">
        <v>7.15</v>
      </c>
      <c r="F13" s="54">
        <v>2.13</v>
      </c>
      <c r="G13" s="54">
        <v>70.760000000000005</v>
      </c>
      <c r="H13" s="54">
        <v>32.630000000000003</v>
      </c>
      <c r="I13" s="55" t="s">
        <v>15</v>
      </c>
      <c r="J13" s="54">
        <v>1.66</v>
      </c>
      <c r="K13" s="54">
        <v>311.07</v>
      </c>
      <c r="L13" s="54">
        <v>14.58</v>
      </c>
      <c r="M13" s="54">
        <v>104.48</v>
      </c>
      <c r="N13" s="54">
        <v>76.599999999999994</v>
      </c>
      <c r="O13" s="54">
        <v>0</v>
      </c>
      <c r="P13" s="54">
        <v>1.22</v>
      </c>
      <c r="Q13" s="54">
        <v>8.2100000000000009</v>
      </c>
      <c r="R13" s="43"/>
      <c r="S13" s="43"/>
      <c r="T13" s="43"/>
      <c r="U13" s="43"/>
    </row>
    <row r="14" spans="1:21" s="11" customFormat="1" x14ac:dyDescent="0.25">
      <c r="A14" s="53" t="s">
        <v>761</v>
      </c>
      <c r="B14" s="54">
        <v>44.56</v>
      </c>
      <c r="C14" s="54">
        <v>57.69</v>
      </c>
      <c r="D14" s="54">
        <v>64.260000000000005</v>
      </c>
      <c r="E14" s="54">
        <v>7.13</v>
      </c>
      <c r="F14" s="54">
        <v>2.13</v>
      </c>
      <c r="G14" s="54">
        <v>72.02</v>
      </c>
      <c r="H14" s="54">
        <v>29.79</v>
      </c>
      <c r="I14" s="55" t="s">
        <v>15</v>
      </c>
      <c r="J14" s="54">
        <v>1.62</v>
      </c>
      <c r="K14" s="54">
        <v>285.62</v>
      </c>
      <c r="L14" s="54">
        <v>14.54</v>
      </c>
      <c r="M14" s="54">
        <v>104.49</v>
      </c>
      <c r="N14" s="54">
        <v>76.599999999999994</v>
      </c>
      <c r="O14" s="54">
        <v>0</v>
      </c>
      <c r="P14" s="54">
        <v>1.01</v>
      </c>
      <c r="Q14" s="54">
        <v>8.2100000000000009</v>
      </c>
      <c r="R14" s="43"/>
      <c r="S14" s="43"/>
      <c r="T14" s="43"/>
      <c r="U14" s="43"/>
    </row>
    <row r="15" spans="1:21" s="11" customFormat="1" x14ac:dyDescent="0.25">
      <c r="A15" s="53" t="s">
        <v>762</v>
      </c>
      <c r="B15" s="54">
        <v>43.37</v>
      </c>
      <c r="C15" s="54">
        <v>57.54</v>
      </c>
      <c r="D15" s="54">
        <v>63.31</v>
      </c>
      <c r="E15" s="54">
        <v>7.03</v>
      </c>
      <c r="F15" s="54">
        <v>2.13</v>
      </c>
      <c r="G15" s="54">
        <v>71.28</v>
      </c>
      <c r="H15" s="54">
        <v>27.84</v>
      </c>
      <c r="I15" s="55" t="s">
        <v>15</v>
      </c>
      <c r="J15" s="54">
        <v>1.63</v>
      </c>
      <c r="K15" s="54">
        <v>329.26</v>
      </c>
      <c r="L15" s="54">
        <v>14.29</v>
      </c>
      <c r="M15" s="54">
        <v>104.12</v>
      </c>
      <c r="N15" s="54">
        <v>87.3</v>
      </c>
      <c r="O15" s="54">
        <v>0</v>
      </c>
      <c r="P15" s="54">
        <v>0.92</v>
      </c>
      <c r="Q15" s="54">
        <v>8.2100000000000009</v>
      </c>
      <c r="R15" s="43"/>
      <c r="S15" s="43"/>
      <c r="T15" s="43"/>
      <c r="U15" s="43"/>
    </row>
    <row r="16" spans="1:21" s="11" customFormat="1" x14ac:dyDescent="0.25">
      <c r="A16" s="53" t="s">
        <v>763</v>
      </c>
      <c r="B16" s="54">
        <v>50.36</v>
      </c>
      <c r="C16" s="54">
        <v>60.83</v>
      </c>
      <c r="D16" s="54">
        <v>70.790000000000006</v>
      </c>
      <c r="E16" s="54">
        <v>7.63</v>
      </c>
      <c r="F16" s="54">
        <v>2.13</v>
      </c>
      <c r="G16" s="54">
        <v>75.13</v>
      </c>
      <c r="H16" s="54">
        <v>28.15</v>
      </c>
      <c r="I16" s="55" t="s">
        <v>15</v>
      </c>
      <c r="J16" s="54">
        <v>1.26</v>
      </c>
      <c r="K16" s="54">
        <v>335.63</v>
      </c>
      <c r="L16" s="54">
        <v>17.59</v>
      </c>
      <c r="M16" s="54">
        <v>104.22</v>
      </c>
      <c r="N16" s="54">
        <v>220.5</v>
      </c>
      <c r="O16" s="54">
        <v>0</v>
      </c>
      <c r="P16" s="54">
        <v>1.03</v>
      </c>
      <c r="Q16" s="54">
        <v>8.2100000000000009</v>
      </c>
      <c r="R16" s="43"/>
      <c r="S16" s="43"/>
      <c r="T16" s="43"/>
      <c r="U16" s="43"/>
    </row>
    <row r="17" spans="1:21" s="11" customFormat="1" x14ac:dyDescent="0.25">
      <c r="A17" s="53" t="s">
        <v>764</v>
      </c>
      <c r="B17" s="54">
        <v>50.41</v>
      </c>
      <c r="C17" s="54">
        <v>62.76</v>
      </c>
      <c r="D17" s="54">
        <v>70.89</v>
      </c>
      <c r="E17" s="54">
        <v>7.56</v>
      </c>
      <c r="F17" s="54">
        <v>2.13</v>
      </c>
      <c r="G17" s="54">
        <v>82.82</v>
      </c>
      <c r="H17" s="54">
        <v>19.16</v>
      </c>
      <c r="I17" s="55" t="s">
        <v>15</v>
      </c>
      <c r="J17" s="54">
        <v>1.33</v>
      </c>
      <c r="K17" s="54">
        <v>316.36</v>
      </c>
      <c r="L17" s="54">
        <v>22.86</v>
      </c>
      <c r="M17" s="54">
        <v>84.33</v>
      </c>
      <c r="N17" s="54">
        <v>385.4</v>
      </c>
      <c r="O17" s="54">
        <v>0</v>
      </c>
      <c r="P17" s="54">
        <v>1.02</v>
      </c>
      <c r="Q17" s="54">
        <v>8.2100000000000009</v>
      </c>
      <c r="R17" s="43"/>
      <c r="S17" s="43"/>
      <c r="T17" s="43"/>
      <c r="U17" s="43"/>
    </row>
    <row r="18" spans="1:21" s="11" customFormat="1" x14ac:dyDescent="0.25">
      <c r="A18" s="53" t="s">
        <v>765</v>
      </c>
      <c r="B18" s="54">
        <v>43.17</v>
      </c>
      <c r="C18" s="54">
        <v>64.64</v>
      </c>
      <c r="D18" s="54">
        <v>66.48</v>
      </c>
      <c r="E18" s="54">
        <v>7.46</v>
      </c>
      <c r="F18" s="54">
        <v>2.13</v>
      </c>
      <c r="G18" s="54">
        <v>85.28</v>
      </c>
      <c r="H18" s="54">
        <v>23.78</v>
      </c>
      <c r="I18" s="55" t="s">
        <v>15</v>
      </c>
      <c r="J18" s="54">
        <v>1.53</v>
      </c>
      <c r="K18" s="54">
        <v>276.25</v>
      </c>
      <c r="L18" s="54">
        <v>25</v>
      </c>
      <c r="M18" s="54">
        <v>70.819999999999993</v>
      </c>
      <c r="N18" s="54">
        <v>511.4</v>
      </c>
      <c r="O18" s="54">
        <v>0</v>
      </c>
      <c r="P18" s="54">
        <v>0.97</v>
      </c>
      <c r="Q18" s="54">
        <v>8.2100000000000009</v>
      </c>
      <c r="R18" s="43"/>
      <c r="S18" s="43"/>
      <c r="T18" s="43"/>
      <c r="U18" s="43"/>
    </row>
    <row r="19" spans="1:21" s="11" customFormat="1" x14ac:dyDescent="0.25">
      <c r="A19" s="53" t="s">
        <v>766</v>
      </c>
      <c r="B19" s="54">
        <v>27.98</v>
      </c>
      <c r="C19" s="54">
        <v>72.77</v>
      </c>
      <c r="D19" s="54">
        <v>55.87</v>
      </c>
      <c r="E19" s="54">
        <v>9.6999999999999993</v>
      </c>
      <c r="F19" s="54">
        <v>7.7</v>
      </c>
      <c r="G19" s="54">
        <v>72.36</v>
      </c>
      <c r="H19" s="54">
        <v>28.07</v>
      </c>
      <c r="I19" s="55" t="s">
        <v>15</v>
      </c>
      <c r="J19" s="54">
        <v>1.52</v>
      </c>
      <c r="K19" s="54">
        <v>268.85000000000002</v>
      </c>
      <c r="L19" s="54">
        <v>26.87</v>
      </c>
      <c r="M19" s="54">
        <v>61.13</v>
      </c>
      <c r="N19" s="54">
        <v>564.4</v>
      </c>
      <c r="O19" s="54">
        <v>0</v>
      </c>
      <c r="P19" s="54">
        <v>0.86</v>
      </c>
      <c r="Q19" s="54">
        <v>8.2100000000000009</v>
      </c>
      <c r="R19" s="43"/>
      <c r="S19" s="43"/>
      <c r="T19" s="43"/>
      <c r="U19" s="43"/>
    </row>
    <row r="20" spans="1:21" s="11" customFormat="1" x14ac:dyDescent="0.25">
      <c r="A20" s="53" t="s">
        <v>767</v>
      </c>
      <c r="B20" s="54">
        <v>3.62</v>
      </c>
      <c r="C20" s="54">
        <v>65.510000000000005</v>
      </c>
      <c r="D20" s="54">
        <v>35.68</v>
      </c>
      <c r="E20" s="54">
        <v>10.19</v>
      </c>
      <c r="F20" s="54">
        <v>7.87</v>
      </c>
      <c r="G20" s="54">
        <v>64.94</v>
      </c>
      <c r="H20" s="54">
        <v>26.55</v>
      </c>
      <c r="I20" s="55" t="s">
        <v>15</v>
      </c>
      <c r="J20" s="54">
        <v>1.71</v>
      </c>
      <c r="K20" s="54">
        <v>282.14</v>
      </c>
      <c r="L20" s="54">
        <v>27.85</v>
      </c>
      <c r="M20" s="54">
        <v>51.43</v>
      </c>
      <c r="N20" s="54">
        <v>576</v>
      </c>
      <c r="O20" s="54">
        <v>0</v>
      </c>
      <c r="P20" s="54">
        <v>0.62</v>
      </c>
      <c r="Q20" s="54">
        <v>8.2100000000000009</v>
      </c>
      <c r="R20" s="43"/>
      <c r="S20" s="43"/>
      <c r="T20" s="43"/>
      <c r="U20" s="43"/>
    </row>
    <row r="21" spans="1:21" s="11" customFormat="1" x14ac:dyDescent="0.25">
      <c r="A21" s="53" t="s">
        <v>768</v>
      </c>
      <c r="B21" s="54">
        <v>3.67</v>
      </c>
      <c r="C21" s="54">
        <v>61.75</v>
      </c>
      <c r="D21" s="54">
        <v>33.67</v>
      </c>
      <c r="E21" s="54">
        <v>9.86</v>
      </c>
      <c r="F21" s="54">
        <v>6.45</v>
      </c>
      <c r="G21" s="54">
        <v>60.89</v>
      </c>
      <c r="H21" s="54">
        <v>25.13</v>
      </c>
      <c r="I21" s="55" t="s">
        <v>15</v>
      </c>
      <c r="J21" s="54">
        <v>1.56</v>
      </c>
      <c r="K21" s="54">
        <v>288.49</v>
      </c>
      <c r="L21" s="54">
        <v>29.01</v>
      </c>
      <c r="M21" s="54">
        <v>50.43</v>
      </c>
      <c r="N21" s="54">
        <v>564.5</v>
      </c>
      <c r="O21" s="54">
        <v>0</v>
      </c>
      <c r="P21" s="54">
        <v>0.75</v>
      </c>
      <c r="Q21" s="54">
        <v>8.2100000000000009</v>
      </c>
      <c r="R21" s="43"/>
      <c r="S21" s="43"/>
      <c r="T21" s="43"/>
      <c r="U21" s="43"/>
    </row>
    <row r="22" spans="1:21" s="11" customFormat="1" x14ac:dyDescent="0.25">
      <c r="A22" s="53" t="s">
        <v>769</v>
      </c>
      <c r="B22" s="54">
        <v>3.47</v>
      </c>
      <c r="C22" s="54">
        <v>66.599999999999994</v>
      </c>
      <c r="D22" s="54">
        <v>35.96</v>
      </c>
      <c r="E22" s="54">
        <v>11.17</v>
      </c>
      <c r="F22" s="54">
        <v>12.97</v>
      </c>
      <c r="G22" s="54">
        <v>74.47</v>
      </c>
      <c r="H22" s="54">
        <v>25.33</v>
      </c>
      <c r="I22" s="55" t="s">
        <v>15</v>
      </c>
      <c r="J22" s="54">
        <v>2.04</v>
      </c>
      <c r="K22" s="54">
        <v>288.23</v>
      </c>
      <c r="L22" s="54">
        <v>29.63</v>
      </c>
      <c r="M22" s="54">
        <v>43.22</v>
      </c>
      <c r="N22" s="54">
        <v>542</v>
      </c>
      <c r="O22" s="54">
        <v>0</v>
      </c>
      <c r="P22" s="54">
        <v>0.78</v>
      </c>
      <c r="Q22" s="54">
        <v>8.2100000000000009</v>
      </c>
      <c r="R22" s="43"/>
      <c r="S22" s="43"/>
      <c r="T22" s="43"/>
      <c r="U22" s="43"/>
    </row>
    <row r="23" spans="1:21" s="11" customFormat="1" x14ac:dyDescent="0.25">
      <c r="A23" s="53" t="s">
        <v>770</v>
      </c>
      <c r="B23" s="54">
        <v>3.78</v>
      </c>
      <c r="C23" s="54">
        <v>61.03</v>
      </c>
      <c r="D23" s="54">
        <v>33.54</v>
      </c>
      <c r="E23" s="54">
        <v>10.36</v>
      </c>
      <c r="F23" s="54">
        <v>7</v>
      </c>
      <c r="G23" s="54">
        <v>69.94</v>
      </c>
      <c r="H23" s="54">
        <v>25.68</v>
      </c>
      <c r="I23" s="55" t="s">
        <v>15</v>
      </c>
      <c r="J23" s="54">
        <v>1.68</v>
      </c>
      <c r="K23" s="54">
        <v>292.68</v>
      </c>
      <c r="L23" s="54">
        <v>28.8</v>
      </c>
      <c r="M23" s="54">
        <v>41.41</v>
      </c>
      <c r="N23" s="54">
        <v>434.3</v>
      </c>
      <c r="O23" s="54">
        <v>0</v>
      </c>
      <c r="P23" s="54">
        <v>0.74</v>
      </c>
      <c r="Q23" s="54">
        <v>8.2100000000000009</v>
      </c>
      <c r="R23" s="43"/>
      <c r="S23" s="43"/>
      <c r="T23" s="43"/>
      <c r="U23" s="43"/>
    </row>
    <row r="24" spans="1:21" s="11" customFormat="1" x14ac:dyDescent="0.25">
      <c r="A24" s="53" t="s">
        <v>771</v>
      </c>
      <c r="B24" s="54">
        <v>3.84</v>
      </c>
      <c r="C24" s="54">
        <v>61.8</v>
      </c>
      <c r="D24" s="54">
        <v>33.99</v>
      </c>
      <c r="E24" s="54">
        <v>8.31</v>
      </c>
      <c r="F24" s="54">
        <v>3.45</v>
      </c>
      <c r="G24" s="54">
        <v>69.53</v>
      </c>
      <c r="H24" s="54">
        <v>26.68</v>
      </c>
      <c r="I24" s="55" t="s">
        <v>15</v>
      </c>
      <c r="J24" s="54">
        <v>1.64</v>
      </c>
      <c r="K24" s="54">
        <v>275.3</v>
      </c>
      <c r="L24" s="54">
        <v>27.21</v>
      </c>
      <c r="M24" s="54">
        <v>44.17</v>
      </c>
      <c r="N24" s="54">
        <v>283.10000000000002</v>
      </c>
      <c r="O24" s="54">
        <v>0</v>
      </c>
      <c r="P24" s="54">
        <v>0.73</v>
      </c>
      <c r="Q24" s="54">
        <v>8.2100000000000009</v>
      </c>
      <c r="R24" s="43"/>
      <c r="S24" s="43"/>
      <c r="T24" s="43"/>
      <c r="U24" s="43"/>
    </row>
    <row r="25" spans="1:21" s="11" customFormat="1" x14ac:dyDescent="0.25">
      <c r="A25" s="53" t="s">
        <v>772</v>
      </c>
      <c r="B25" s="54">
        <v>3.88</v>
      </c>
      <c r="C25" s="54">
        <v>62</v>
      </c>
      <c r="D25" s="54">
        <v>34.01</v>
      </c>
      <c r="E25" s="54">
        <v>6.48</v>
      </c>
      <c r="F25" s="54">
        <v>2.9</v>
      </c>
      <c r="G25" s="54">
        <v>64.77</v>
      </c>
      <c r="H25" s="54">
        <v>26.12</v>
      </c>
      <c r="I25" s="55" t="s">
        <v>15</v>
      </c>
      <c r="J25" s="54">
        <v>1.45</v>
      </c>
      <c r="K25" s="54">
        <v>297.83</v>
      </c>
      <c r="L25" s="54">
        <v>26.52</v>
      </c>
      <c r="M25" s="54">
        <v>45.57</v>
      </c>
      <c r="N25" s="54">
        <v>131.5</v>
      </c>
      <c r="O25" s="54">
        <v>0</v>
      </c>
      <c r="P25" s="54">
        <v>0.68</v>
      </c>
      <c r="Q25" s="54">
        <v>8.2100000000000009</v>
      </c>
      <c r="R25" s="43"/>
      <c r="S25" s="43"/>
      <c r="T25" s="43"/>
      <c r="U25" s="43"/>
    </row>
    <row r="26" spans="1:21" s="11" customFormat="1" x14ac:dyDescent="0.25">
      <c r="A26" s="53" t="s">
        <v>773</v>
      </c>
      <c r="B26" s="54">
        <v>5.04</v>
      </c>
      <c r="C26" s="54">
        <v>60.53</v>
      </c>
      <c r="D26" s="54">
        <v>33.61</v>
      </c>
      <c r="E26" s="54">
        <v>6.42</v>
      </c>
      <c r="F26" s="54">
        <v>2.13</v>
      </c>
      <c r="G26" s="54">
        <v>60.29</v>
      </c>
      <c r="H26" s="54">
        <v>23.36</v>
      </c>
      <c r="I26" s="55" t="s">
        <v>15</v>
      </c>
      <c r="J26" s="54">
        <v>1.27</v>
      </c>
      <c r="K26" s="54">
        <v>358.42</v>
      </c>
      <c r="L26" s="54">
        <v>25.62</v>
      </c>
      <c r="M26" s="54">
        <v>49.61</v>
      </c>
      <c r="N26" s="54">
        <v>98.3</v>
      </c>
      <c r="O26" s="54">
        <v>0</v>
      </c>
      <c r="P26" s="54">
        <v>0.72</v>
      </c>
      <c r="Q26" s="54">
        <v>8.2100000000000009</v>
      </c>
      <c r="R26" s="43"/>
      <c r="S26" s="43"/>
      <c r="T26" s="43"/>
      <c r="U26" s="43"/>
    </row>
    <row r="27" spans="1:21" s="11" customFormat="1" x14ac:dyDescent="0.25">
      <c r="A27" s="53" t="s">
        <v>774</v>
      </c>
      <c r="B27" s="54">
        <v>12.65</v>
      </c>
      <c r="C27" s="54">
        <v>59.34</v>
      </c>
      <c r="D27" s="54">
        <v>39.770000000000003</v>
      </c>
      <c r="E27" s="54">
        <v>5.7</v>
      </c>
      <c r="F27" s="54">
        <v>2.13</v>
      </c>
      <c r="G27" s="54">
        <v>65.06</v>
      </c>
      <c r="H27" s="54">
        <v>23.95</v>
      </c>
      <c r="I27" s="55" t="s">
        <v>15</v>
      </c>
      <c r="J27" s="54">
        <v>1.66</v>
      </c>
      <c r="K27" s="54">
        <v>301.44</v>
      </c>
      <c r="L27" s="54">
        <v>23.68</v>
      </c>
      <c r="M27" s="54">
        <v>58.06</v>
      </c>
      <c r="N27" s="54">
        <v>78.5</v>
      </c>
      <c r="O27" s="54">
        <v>0</v>
      </c>
      <c r="P27" s="54">
        <v>1.1299999999999999</v>
      </c>
      <c r="Q27" s="54">
        <v>8.2100000000000009</v>
      </c>
      <c r="R27" s="43"/>
      <c r="S27" s="43"/>
      <c r="T27" s="43"/>
      <c r="U27" s="43"/>
    </row>
    <row r="28" spans="1:21" s="11" customFormat="1" x14ac:dyDescent="0.25">
      <c r="A28" s="53" t="s">
        <v>775</v>
      </c>
      <c r="B28" s="54">
        <v>19.52</v>
      </c>
      <c r="C28" s="54">
        <v>65.819999999999993</v>
      </c>
      <c r="D28" s="54">
        <v>48.39</v>
      </c>
      <c r="E28" s="54">
        <v>6.61</v>
      </c>
      <c r="F28" s="54">
        <v>2.13</v>
      </c>
      <c r="G28" s="54">
        <v>72.739999999999995</v>
      </c>
      <c r="H28" s="54">
        <v>25.45</v>
      </c>
      <c r="I28" s="55" t="s">
        <v>15</v>
      </c>
      <c r="J28" s="54">
        <v>1.63</v>
      </c>
      <c r="K28" s="54">
        <v>282.66000000000003</v>
      </c>
      <c r="L28" s="54">
        <v>22</v>
      </c>
      <c r="M28" s="54">
        <v>59.33</v>
      </c>
      <c r="N28" s="54">
        <v>78</v>
      </c>
      <c r="O28" s="54">
        <v>0</v>
      </c>
      <c r="P28" s="54">
        <v>1.1000000000000001</v>
      </c>
      <c r="Q28" s="54">
        <v>8.2100000000000009</v>
      </c>
      <c r="R28" s="43"/>
      <c r="S28" s="43"/>
      <c r="T28" s="43"/>
      <c r="U28" s="43"/>
    </row>
    <row r="29" spans="1:21" s="11" customFormat="1" x14ac:dyDescent="0.25">
      <c r="A29" s="53" t="s">
        <v>776</v>
      </c>
      <c r="B29" s="54">
        <v>21.57</v>
      </c>
      <c r="C29" s="54">
        <v>66.2</v>
      </c>
      <c r="D29" s="54">
        <v>50.06</v>
      </c>
      <c r="E29" s="54">
        <v>6.5</v>
      </c>
      <c r="F29" s="54">
        <v>2.13</v>
      </c>
      <c r="G29" s="54">
        <v>78.45</v>
      </c>
      <c r="H29" s="54">
        <v>25.59</v>
      </c>
      <c r="I29" s="55" t="s">
        <v>15</v>
      </c>
      <c r="J29" s="54">
        <v>1.22</v>
      </c>
      <c r="K29" s="54">
        <v>304.7</v>
      </c>
      <c r="L29" s="54">
        <v>21.9</v>
      </c>
      <c r="M29" s="54">
        <v>62.05</v>
      </c>
      <c r="N29" s="54">
        <v>78</v>
      </c>
      <c r="O29" s="54">
        <v>0</v>
      </c>
      <c r="P29" s="54">
        <v>0.98</v>
      </c>
      <c r="Q29" s="54">
        <v>8.2100000000000009</v>
      </c>
      <c r="R29" s="43"/>
      <c r="S29" s="43"/>
      <c r="T29" s="43"/>
      <c r="U29" s="43"/>
    </row>
    <row r="30" spans="1:21" s="11" customFormat="1" x14ac:dyDescent="0.25">
      <c r="A30" s="53" t="s">
        <v>777</v>
      </c>
      <c r="B30" s="54">
        <v>19.93</v>
      </c>
      <c r="C30" s="54">
        <v>67.06</v>
      </c>
      <c r="D30" s="54">
        <v>49.61</v>
      </c>
      <c r="E30" s="54">
        <v>6.1</v>
      </c>
      <c r="F30" s="54">
        <v>2.13</v>
      </c>
      <c r="G30" s="54">
        <v>80.989999999999995</v>
      </c>
      <c r="H30" s="54">
        <v>23.35</v>
      </c>
      <c r="I30" s="55" t="s">
        <v>15</v>
      </c>
      <c r="J30" s="54">
        <v>1.47</v>
      </c>
      <c r="K30" s="54">
        <v>277.31</v>
      </c>
      <c r="L30" s="54">
        <v>21.34</v>
      </c>
      <c r="M30" s="54">
        <v>71.010000000000005</v>
      </c>
      <c r="N30" s="54">
        <v>76.599999999999994</v>
      </c>
      <c r="O30" s="54">
        <v>0</v>
      </c>
      <c r="P30" s="54">
        <v>0.98</v>
      </c>
      <c r="Q30" s="54">
        <v>8.2100000000000009</v>
      </c>
      <c r="R30" s="43"/>
      <c r="S30" s="43"/>
      <c r="T30" s="43"/>
      <c r="U30" s="43"/>
    </row>
    <row r="31" spans="1:21" s="11" customFormat="1" x14ac:dyDescent="0.25">
      <c r="A31" s="53" t="s">
        <v>778</v>
      </c>
      <c r="B31" s="54">
        <v>18.45</v>
      </c>
      <c r="C31" s="54">
        <v>58.52</v>
      </c>
      <c r="D31" s="54">
        <v>43.82</v>
      </c>
      <c r="E31" s="54">
        <v>5.51</v>
      </c>
      <c r="F31" s="54">
        <v>2.13</v>
      </c>
      <c r="G31" s="54">
        <v>81.08</v>
      </c>
      <c r="H31" s="54">
        <v>24.58</v>
      </c>
      <c r="I31" s="55" t="s">
        <v>15</v>
      </c>
      <c r="J31" s="54">
        <v>1.03</v>
      </c>
      <c r="K31" s="54">
        <v>306.02</v>
      </c>
      <c r="L31" s="54">
        <v>19.68</v>
      </c>
      <c r="M31" s="54">
        <v>78.27</v>
      </c>
      <c r="N31" s="54">
        <v>76.5</v>
      </c>
      <c r="O31" s="54">
        <v>0</v>
      </c>
      <c r="P31" s="54">
        <v>0.82</v>
      </c>
      <c r="Q31" s="54">
        <v>8.2100000000000009</v>
      </c>
      <c r="R31" s="43"/>
      <c r="S31" s="43"/>
      <c r="T31" s="43"/>
      <c r="U31" s="43"/>
    </row>
    <row r="32" spans="1:21" s="11" customFormat="1" x14ac:dyDescent="0.25">
      <c r="A32" s="53" t="s">
        <v>779</v>
      </c>
      <c r="B32" s="54">
        <v>17.61</v>
      </c>
      <c r="C32" s="54">
        <v>58.27</v>
      </c>
      <c r="D32" s="54">
        <v>42.43</v>
      </c>
      <c r="E32" s="54">
        <v>5.1100000000000003</v>
      </c>
      <c r="F32" s="54">
        <v>2.13</v>
      </c>
      <c r="G32" s="54">
        <v>72.48</v>
      </c>
      <c r="H32" s="54">
        <v>25.32</v>
      </c>
      <c r="I32" s="55" t="s">
        <v>15</v>
      </c>
      <c r="J32" s="54">
        <v>1.17</v>
      </c>
      <c r="K32" s="54">
        <v>248.52</v>
      </c>
      <c r="L32" s="54">
        <v>18.649999999999999</v>
      </c>
      <c r="M32" s="54">
        <v>87.81</v>
      </c>
      <c r="N32" s="54">
        <v>76.400000000000006</v>
      </c>
      <c r="O32" s="54">
        <v>0</v>
      </c>
      <c r="P32" s="54">
        <v>0.83</v>
      </c>
      <c r="Q32" s="54">
        <v>8.2100000000000009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3.47</v>
      </c>
      <c r="C34" s="28">
        <f t="shared" si="0"/>
        <v>57.54</v>
      </c>
      <c r="D34" s="28">
        <f t="shared" si="0"/>
        <v>33.54</v>
      </c>
      <c r="E34" s="28">
        <f t="shared" si="0"/>
        <v>5.1100000000000003</v>
      </c>
      <c r="F34" s="28">
        <f t="shared" si="0"/>
        <v>2.13</v>
      </c>
      <c r="G34" s="28">
        <f t="shared" si="0"/>
        <v>60.29</v>
      </c>
      <c r="H34" s="28">
        <f t="shared" si="0"/>
        <v>19.16</v>
      </c>
      <c r="I34" s="28">
        <f t="shared" si="0"/>
        <v>0</v>
      </c>
      <c r="J34" s="28">
        <f t="shared" si="0"/>
        <v>1.03</v>
      </c>
      <c r="K34" s="28">
        <f t="shared" si="0"/>
        <v>248.52</v>
      </c>
      <c r="L34" s="28">
        <f t="shared" si="0"/>
        <v>14.29</v>
      </c>
      <c r="M34" s="28">
        <f t="shared" si="0"/>
        <v>41.41</v>
      </c>
      <c r="N34" s="28">
        <f t="shared" si="0"/>
        <v>75.599999999999994</v>
      </c>
      <c r="O34" s="28">
        <f t="shared" si="0"/>
        <v>0</v>
      </c>
      <c r="P34" s="28">
        <f t="shared" si="0"/>
        <v>0.62</v>
      </c>
      <c r="Q34" s="28">
        <f t="shared" si="0"/>
        <v>8.2100000000000009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81.62</v>
      </c>
      <c r="C35" s="29">
        <f t="shared" si="1"/>
        <v>77.02</v>
      </c>
      <c r="D35" s="29">
        <f t="shared" si="1"/>
        <v>104.32</v>
      </c>
      <c r="E35" s="29">
        <f t="shared" si="1"/>
        <v>11.17</v>
      </c>
      <c r="F35" s="29">
        <f t="shared" si="1"/>
        <v>12.97</v>
      </c>
      <c r="G35" s="29">
        <f t="shared" si="1"/>
        <v>134.29</v>
      </c>
      <c r="H35" s="29">
        <f t="shared" si="1"/>
        <v>47.19</v>
      </c>
      <c r="I35" s="29">
        <f t="shared" si="1"/>
        <v>0</v>
      </c>
      <c r="J35" s="29">
        <f t="shared" si="1"/>
        <v>2.04</v>
      </c>
      <c r="K35" s="29">
        <f t="shared" si="1"/>
        <v>358.42</v>
      </c>
      <c r="L35" s="29">
        <f t="shared" si="1"/>
        <v>29.63</v>
      </c>
      <c r="M35" s="29">
        <f t="shared" si="1"/>
        <v>104.49</v>
      </c>
      <c r="N35" s="29">
        <f t="shared" si="1"/>
        <v>576</v>
      </c>
      <c r="O35" s="29">
        <f t="shared" si="1"/>
        <v>0</v>
      </c>
      <c r="P35" s="29">
        <f t="shared" si="1"/>
        <v>1.87</v>
      </c>
      <c r="Q35" s="29">
        <f t="shared" si="1"/>
        <v>9.15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29.955416666666665</v>
      </c>
      <c r="C36" s="28">
        <f t="shared" si="2"/>
        <v>63.58458333333332</v>
      </c>
      <c r="D36" s="28">
        <f t="shared" si="2"/>
        <v>55.531249999999993</v>
      </c>
      <c r="E36" s="28">
        <f t="shared" si="2"/>
        <v>7.6537499999999987</v>
      </c>
      <c r="F36" s="28">
        <f t="shared" si="2"/>
        <v>3.5229166666666654</v>
      </c>
      <c r="G36" s="28">
        <f t="shared" si="2"/>
        <v>78.798749999999998</v>
      </c>
      <c r="H36" s="28">
        <f t="shared" si="2"/>
        <v>28.273750000000007</v>
      </c>
      <c r="I36" s="28" t="e">
        <f t="shared" si="2"/>
        <v>#DIV/0!</v>
      </c>
      <c r="J36" s="28">
        <f t="shared" si="2"/>
        <v>1.5129166666666667</v>
      </c>
      <c r="K36" s="28">
        <f t="shared" si="2"/>
        <v>296.82708333333335</v>
      </c>
      <c r="L36" s="28">
        <f t="shared" si="2"/>
        <v>21.680833333333329</v>
      </c>
      <c r="M36" s="28">
        <f t="shared" si="2"/>
        <v>73.341249999999988</v>
      </c>
      <c r="N36" s="28">
        <f t="shared" si="2"/>
        <v>221.72916666666671</v>
      </c>
      <c r="O36" s="28">
        <f t="shared" si="2"/>
        <v>0</v>
      </c>
      <c r="P36" s="28">
        <f t="shared" si="2"/>
        <v>1.0041666666666667</v>
      </c>
      <c r="Q36" s="28">
        <f t="shared" si="2"/>
        <v>8.2604166666666732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24.363785666286624</v>
      </c>
      <c r="C37" s="28">
        <f t="shared" ref="C37:Q37" si="3">STDEV(C9:C32)</f>
        <v>4.7028686704908154</v>
      </c>
      <c r="D37" s="28">
        <f t="shared" si="3"/>
        <v>20.56144456786517</v>
      </c>
      <c r="E37" s="28">
        <f t="shared" si="3"/>
        <v>1.6117201518334765</v>
      </c>
      <c r="F37" s="28">
        <f t="shared" si="3"/>
        <v>2.7946182428353996</v>
      </c>
      <c r="G37" s="28">
        <f t="shared" si="3"/>
        <v>17.624324917691133</v>
      </c>
      <c r="H37" s="28">
        <f t="shared" si="3"/>
        <v>6.4034866945927007</v>
      </c>
      <c r="I37" s="28" t="e">
        <f t="shared" si="3"/>
        <v>#DIV/0!</v>
      </c>
      <c r="J37" s="28">
        <f t="shared" si="3"/>
        <v>0.21925722766663233</v>
      </c>
      <c r="K37" s="28">
        <f t="shared" si="3"/>
        <v>23.290259482782972</v>
      </c>
      <c r="L37" s="28">
        <f t="shared" si="3"/>
        <v>5.3124512614985262</v>
      </c>
      <c r="M37" s="28">
        <f t="shared" si="3"/>
        <v>22.979084689172748</v>
      </c>
      <c r="N37" s="28">
        <f t="shared" si="3"/>
        <v>199.54396590653931</v>
      </c>
      <c r="O37" s="28">
        <f t="shared" si="3"/>
        <v>0</v>
      </c>
      <c r="P37" s="28">
        <f t="shared" si="3"/>
        <v>0.30233751175547646</v>
      </c>
      <c r="Q37" s="28">
        <f t="shared" si="3"/>
        <v>0.19731852789151691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0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&lt;90%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LESS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topLeftCell="A19" zoomScale="90" zoomScaleNormal="90" workbookViewId="0">
      <selection activeCell="G47" sqref="G47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6" width="9.140625" style="20" customWidth="1"/>
    <col min="17" max="17" width="16.42578125" style="20" customWidth="1"/>
    <col min="18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31/01/2025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3" t="s">
        <v>780</v>
      </c>
      <c r="B9" s="54">
        <v>16.34</v>
      </c>
      <c r="C9" s="54">
        <v>56.14</v>
      </c>
      <c r="D9" s="54">
        <v>40.9</v>
      </c>
      <c r="E9" s="54">
        <v>5.81</v>
      </c>
      <c r="F9" s="54">
        <v>2.13</v>
      </c>
      <c r="G9" s="54">
        <v>65.98</v>
      </c>
      <c r="H9" s="54">
        <v>24.59</v>
      </c>
      <c r="I9" s="63" t="s">
        <v>15</v>
      </c>
      <c r="J9" s="54">
        <v>0.99</v>
      </c>
      <c r="K9" s="54">
        <v>243.56</v>
      </c>
      <c r="L9" s="54">
        <v>17.95</v>
      </c>
      <c r="M9" s="54">
        <v>91.94</v>
      </c>
      <c r="N9" s="54">
        <v>76.3</v>
      </c>
      <c r="O9" s="54">
        <v>0</v>
      </c>
      <c r="P9" s="54">
        <v>0.79</v>
      </c>
      <c r="Q9" s="54">
        <v>8.2100000000000009</v>
      </c>
      <c r="R9" s="43"/>
      <c r="S9" s="43"/>
      <c r="T9" s="43"/>
      <c r="U9" s="43"/>
    </row>
    <row r="10" spans="1:21" s="11" customFormat="1" x14ac:dyDescent="0.25">
      <c r="A10" s="53" t="s">
        <v>781</v>
      </c>
      <c r="B10" s="54">
        <v>15.04</v>
      </c>
      <c r="C10" s="54">
        <v>54.93</v>
      </c>
      <c r="D10" s="54">
        <v>39.380000000000003</v>
      </c>
      <c r="E10" s="54">
        <v>5.85</v>
      </c>
      <c r="F10" s="54">
        <v>2.13</v>
      </c>
      <c r="G10" s="54">
        <v>60.39</v>
      </c>
      <c r="H10" s="54">
        <v>22.07</v>
      </c>
      <c r="I10" s="63" t="s">
        <v>15</v>
      </c>
      <c r="J10" s="54">
        <v>0.9</v>
      </c>
      <c r="K10" s="54">
        <v>282.62</v>
      </c>
      <c r="L10" s="54">
        <v>17.899999999999999</v>
      </c>
      <c r="M10" s="54">
        <v>95.26</v>
      </c>
      <c r="N10" s="54">
        <v>76.2</v>
      </c>
      <c r="O10" s="54">
        <v>0</v>
      </c>
      <c r="P10" s="54">
        <v>0.71</v>
      </c>
      <c r="Q10" s="54">
        <v>8.2100000000000009</v>
      </c>
      <c r="R10" s="43"/>
      <c r="S10" s="43"/>
      <c r="T10" s="43"/>
      <c r="U10" s="43"/>
    </row>
    <row r="11" spans="1:21" s="11" customFormat="1" x14ac:dyDescent="0.25">
      <c r="A11" s="53" t="s">
        <v>782</v>
      </c>
      <c r="B11" s="54">
        <v>12.98</v>
      </c>
      <c r="C11" s="54">
        <v>48.53</v>
      </c>
      <c r="D11" s="54">
        <v>33.869999999999997</v>
      </c>
      <c r="E11" s="54">
        <v>5.93</v>
      </c>
      <c r="F11" s="54">
        <v>2.13</v>
      </c>
      <c r="G11" s="54">
        <v>54.74</v>
      </c>
      <c r="H11" s="54">
        <v>21.47</v>
      </c>
      <c r="I11" s="63" t="s">
        <v>15</v>
      </c>
      <c r="J11" s="54">
        <v>0.78</v>
      </c>
      <c r="K11" s="54">
        <v>304.52999999999997</v>
      </c>
      <c r="L11" s="54">
        <v>17.57</v>
      </c>
      <c r="M11" s="54">
        <v>99.55</v>
      </c>
      <c r="N11" s="54">
        <v>76.099999999999994</v>
      </c>
      <c r="O11" s="54">
        <v>0</v>
      </c>
      <c r="P11" s="54">
        <v>0.65</v>
      </c>
      <c r="Q11" s="54">
        <v>8.2100000000000009</v>
      </c>
      <c r="R11" s="43"/>
      <c r="S11" s="43"/>
      <c r="T11" s="43"/>
      <c r="U11" s="43"/>
    </row>
    <row r="12" spans="1:21" s="11" customFormat="1" x14ac:dyDescent="0.25">
      <c r="A12" s="53" t="s">
        <v>783</v>
      </c>
      <c r="B12" s="54">
        <v>12.5</v>
      </c>
      <c r="C12" s="54">
        <v>48.42</v>
      </c>
      <c r="D12" s="54">
        <v>33.909999999999997</v>
      </c>
      <c r="E12" s="54">
        <v>5.8</v>
      </c>
      <c r="F12" s="54">
        <v>2.13</v>
      </c>
      <c r="G12" s="54">
        <v>53.47</v>
      </c>
      <c r="H12" s="54">
        <v>21.18</v>
      </c>
      <c r="I12" s="63" t="s">
        <v>15</v>
      </c>
      <c r="J12" s="54">
        <v>1.65</v>
      </c>
      <c r="K12" s="54">
        <v>305.43</v>
      </c>
      <c r="L12" s="54">
        <v>16.95</v>
      </c>
      <c r="M12" s="54">
        <v>102.22</v>
      </c>
      <c r="N12" s="54">
        <v>76</v>
      </c>
      <c r="O12" s="54">
        <v>0</v>
      </c>
      <c r="P12" s="54">
        <v>0.57999999999999996</v>
      </c>
      <c r="Q12" s="54">
        <v>8.2100000000000009</v>
      </c>
      <c r="R12" s="43"/>
      <c r="S12" s="43"/>
      <c r="T12" s="43"/>
      <c r="U12" s="43"/>
    </row>
    <row r="13" spans="1:21" s="11" customFormat="1" x14ac:dyDescent="0.25">
      <c r="A13" s="53" t="s">
        <v>784</v>
      </c>
      <c r="B13" s="54">
        <v>12.79</v>
      </c>
      <c r="C13" s="54">
        <v>48.68</v>
      </c>
      <c r="D13" s="54">
        <v>33.96</v>
      </c>
      <c r="E13" s="54">
        <v>5.81</v>
      </c>
      <c r="F13" s="54">
        <v>2.13</v>
      </c>
      <c r="G13" s="54">
        <v>50.1</v>
      </c>
      <c r="H13" s="54">
        <v>20.100000000000001</v>
      </c>
      <c r="I13" s="63" t="s">
        <v>15</v>
      </c>
      <c r="J13" s="54">
        <v>1.6</v>
      </c>
      <c r="K13" s="54">
        <v>307.27999999999997</v>
      </c>
      <c r="L13" s="54">
        <v>16.809999999999999</v>
      </c>
      <c r="M13" s="54">
        <v>105.42</v>
      </c>
      <c r="N13" s="54">
        <v>76.3</v>
      </c>
      <c r="O13" s="54">
        <v>0</v>
      </c>
      <c r="P13" s="54">
        <v>0.56999999999999995</v>
      </c>
      <c r="Q13" s="54">
        <v>8.2100000000000009</v>
      </c>
      <c r="R13" s="43"/>
      <c r="S13" s="43"/>
      <c r="T13" s="43"/>
      <c r="U13" s="43"/>
    </row>
    <row r="14" spans="1:21" s="11" customFormat="1" x14ac:dyDescent="0.25">
      <c r="A14" s="53" t="s">
        <v>785</v>
      </c>
      <c r="B14" s="54">
        <v>16.510000000000002</v>
      </c>
      <c r="C14" s="54">
        <v>50.03</v>
      </c>
      <c r="D14" s="54">
        <v>38</v>
      </c>
      <c r="E14" s="54">
        <v>5.9</v>
      </c>
      <c r="F14" s="54">
        <v>2.13</v>
      </c>
      <c r="G14" s="54">
        <v>50.34</v>
      </c>
      <c r="H14" s="54">
        <v>19.100000000000001</v>
      </c>
      <c r="I14" s="63" t="s">
        <v>15</v>
      </c>
      <c r="J14" s="54">
        <v>1.6</v>
      </c>
      <c r="K14" s="54">
        <v>274.77</v>
      </c>
      <c r="L14" s="54">
        <v>16.309999999999999</v>
      </c>
      <c r="M14" s="54">
        <v>104.58</v>
      </c>
      <c r="N14" s="54">
        <v>76.2</v>
      </c>
      <c r="O14" s="54">
        <v>0</v>
      </c>
      <c r="P14" s="54">
        <v>0.56999999999999995</v>
      </c>
      <c r="Q14" s="54">
        <v>8.2100000000000009</v>
      </c>
      <c r="R14" s="43"/>
      <c r="S14" s="43"/>
      <c r="T14" s="43"/>
      <c r="U14" s="43"/>
    </row>
    <row r="15" spans="1:21" s="11" customFormat="1" x14ac:dyDescent="0.25">
      <c r="A15" s="53" t="s">
        <v>786</v>
      </c>
      <c r="B15" s="54">
        <v>24.47</v>
      </c>
      <c r="C15" s="54">
        <v>48.81</v>
      </c>
      <c r="D15" s="54">
        <v>43.46</v>
      </c>
      <c r="E15" s="54">
        <v>5.86</v>
      </c>
      <c r="F15" s="54">
        <v>2.13</v>
      </c>
      <c r="G15" s="54">
        <v>55.37</v>
      </c>
      <c r="H15" s="54">
        <v>22.79</v>
      </c>
      <c r="I15" s="63" t="s">
        <v>15</v>
      </c>
      <c r="J15" s="54">
        <v>1.1299999999999999</v>
      </c>
      <c r="K15" s="54">
        <v>339.84</v>
      </c>
      <c r="L15" s="54">
        <v>15.73</v>
      </c>
      <c r="M15" s="54">
        <v>104.2</v>
      </c>
      <c r="N15" s="54">
        <v>85.7</v>
      </c>
      <c r="O15" s="54">
        <v>0</v>
      </c>
      <c r="P15" s="54">
        <v>0.6</v>
      </c>
      <c r="Q15" s="54">
        <v>8.2100000000000009</v>
      </c>
      <c r="R15" s="43"/>
      <c r="S15" s="43"/>
      <c r="T15" s="43"/>
      <c r="U15" s="43"/>
    </row>
    <row r="16" spans="1:21" s="11" customFormat="1" x14ac:dyDescent="0.25">
      <c r="A16" s="53" t="s">
        <v>787</v>
      </c>
      <c r="B16" s="54">
        <v>32.549999999999997</v>
      </c>
      <c r="C16" s="54">
        <v>48.28</v>
      </c>
      <c r="D16" s="54">
        <v>49.95</v>
      </c>
      <c r="E16" s="54">
        <v>6.16</v>
      </c>
      <c r="F16" s="54">
        <v>2.13</v>
      </c>
      <c r="G16" s="54">
        <v>62.88</v>
      </c>
      <c r="H16" s="54">
        <v>24.38</v>
      </c>
      <c r="I16" s="63" t="s">
        <v>15</v>
      </c>
      <c r="J16" s="54">
        <v>1.33</v>
      </c>
      <c r="K16" s="54">
        <v>353.15</v>
      </c>
      <c r="L16" s="54">
        <v>17.86</v>
      </c>
      <c r="M16" s="54">
        <v>104.22</v>
      </c>
      <c r="N16" s="54">
        <v>188.2</v>
      </c>
      <c r="O16" s="54">
        <v>0</v>
      </c>
      <c r="P16" s="54">
        <v>0.68</v>
      </c>
      <c r="Q16" s="54">
        <v>8.2100000000000009</v>
      </c>
      <c r="R16" s="43"/>
      <c r="S16" s="43"/>
      <c r="T16" s="43"/>
      <c r="U16" s="43"/>
    </row>
    <row r="17" spans="1:21" s="11" customFormat="1" x14ac:dyDescent="0.25">
      <c r="A17" s="53" t="s">
        <v>788</v>
      </c>
      <c r="B17" s="54">
        <v>33.76</v>
      </c>
      <c r="C17" s="54">
        <v>51.81</v>
      </c>
      <c r="D17" s="54">
        <v>52.7</v>
      </c>
      <c r="E17" s="54">
        <v>5.59</v>
      </c>
      <c r="F17" s="54">
        <v>2.13</v>
      </c>
      <c r="G17" s="54">
        <v>69.95</v>
      </c>
      <c r="H17" s="54">
        <v>25.17</v>
      </c>
      <c r="I17" s="63" t="s">
        <v>15</v>
      </c>
      <c r="J17" s="54">
        <v>1.57</v>
      </c>
      <c r="K17" s="54">
        <v>354.52</v>
      </c>
      <c r="L17" s="54">
        <v>22.54</v>
      </c>
      <c r="M17" s="54">
        <v>89.45</v>
      </c>
      <c r="N17" s="54">
        <v>335</v>
      </c>
      <c r="O17" s="54">
        <v>0</v>
      </c>
      <c r="P17" s="54">
        <v>0.69</v>
      </c>
      <c r="Q17" s="54">
        <v>8.2100000000000009</v>
      </c>
      <c r="R17" s="43"/>
      <c r="S17" s="43"/>
      <c r="T17" s="43"/>
      <c r="U17" s="43"/>
    </row>
    <row r="18" spans="1:21" s="11" customFormat="1" x14ac:dyDescent="0.25">
      <c r="A18" s="53" t="s">
        <v>789</v>
      </c>
      <c r="B18" s="54">
        <v>32.159999999999997</v>
      </c>
      <c r="C18" s="54">
        <v>53.17</v>
      </c>
      <c r="D18" s="54">
        <v>51.16</v>
      </c>
      <c r="E18" s="54">
        <v>5.2</v>
      </c>
      <c r="F18" s="54">
        <v>2.13</v>
      </c>
      <c r="G18" s="54">
        <v>72.040000000000006</v>
      </c>
      <c r="H18" s="54">
        <v>24.93</v>
      </c>
      <c r="I18" s="63" t="s">
        <v>15</v>
      </c>
      <c r="J18" s="54">
        <v>1.68</v>
      </c>
      <c r="K18" s="54">
        <v>281.66000000000003</v>
      </c>
      <c r="L18" s="54">
        <v>24.68</v>
      </c>
      <c r="M18" s="54">
        <v>74.31</v>
      </c>
      <c r="N18" s="54">
        <v>455.1</v>
      </c>
      <c r="O18" s="54">
        <v>0</v>
      </c>
      <c r="P18" s="54">
        <v>0.7</v>
      </c>
      <c r="Q18" s="54">
        <v>8.2100000000000009</v>
      </c>
      <c r="R18" s="43"/>
      <c r="S18" s="43"/>
      <c r="T18" s="43"/>
      <c r="U18" s="43"/>
    </row>
    <row r="19" spans="1:21" s="11" customFormat="1" x14ac:dyDescent="0.25">
      <c r="A19" s="53" t="s">
        <v>790</v>
      </c>
      <c r="B19" s="54">
        <v>24.3</v>
      </c>
      <c r="C19" s="54">
        <v>55.13</v>
      </c>
      <c r="D19" s="54">
        <v>46.91</v>
      </c>
      <c r="E19" s="54">
        <v>5.47</v>
      </c>
      <c r="F19" s="54">
        <v>2.13</v>
      </c>
      <c r="G19" s="54">
        <v>71.180000000000007</v>
      </c>
      <c r="H19" s="54">
        <v>24.91</v>
      </c>
      <c r="I19" s="63" t="s">
        <v>15</v>
      </c>
      <c r="J19" s="54">
        <v>1.33</v>
      </c>
      <c r="K19" s="54">
        <v>271.83</v>
      </c>
      <c r="L19" s="54">
        <v>25.34</v>
      </c>
      <c r="M19" s="54">
        <v>67.48</v>
      </c>
      <c r="N19" s="54">
        <v>532</v>
      </c>
      <c r="O19" s="54">
        <v>0</v>
      </c>
      <c r="P19" s="54">
        <v>0.68</v>
      </c>
      <c r="Q19" s="54">
        <v>8.2100000000000009</v>
      </c>
      <c r="R19" s="43"/>
      <c r="S19" s="43"/>
      <c r="T19" s="43"/>
      <c r="U19" s="43"/>
    </row>
    <row r="20" spans="1:21" s="11" customFormat="1" x14ac:dyDescent="0.25">
      <c r="A20" s="53" t="s">
        <v>791</v>
      </c>
      <c r="B20" s="54">
        <v>15.89</v>
      </c>
      <c r="C20" s="54">
        <v>57.99</v>
      </c>
      <c r="D20" s="54">
        <v>40.369999999999997</v>
      </c>
      <c r="E20" s="54">
        <v>5.72</v>
      </c>
      <c r="F20" s="54">
        <v>2.13</v>
      </c>
      <c r="G20" s="54">
        <v>65.83</v>
      </c>
      <c r="H20" s="54">
        <v>25.74</v>
      </c>
      <c r="I20" s="63" t="s">
        <v>15</v>
      </c>
      <c r="J20" s="54">
        <v>1.45</v>
      </c>
      <c r="K20" s="54">
        <v>282.01</v>
      </c>
      <c r="L20" s="54">
        <v>27.58</v>
      </c>
      <c r="M20" s="54">
        <v>54.3</v>
      </c>
      <c r="N20" s="54">
        <v>556.29999999999995</v>
      </c>
      <c r="O20" s="54">
        <v>0</v>
      </c>
      <c r="P20" s="54">
        <v>0.67</v>
      </c>
      <c r="Q20" s="54">
        <v>8.2100000000000009</v>
      </c>
      <c r="R20" s="43"/>
      <c r="S20" s="43"/>
      <c r="T20" s="43"/>
      <c r="U20" s="43"/>
    </row>
    <row r="21" spans="1:21" s="11" customFormat="1" x14ac:dyDescent="0.25">
      <c r="A21" s="53" t="s">
        <v>792</v>
      </c>
      <c r="B21" s="54">
        <v>8.4499999999999993</v>
      </c>
      <c r="C21" s="54">
        <v>63.38</v>
      </c>
      <c r="D21" s="54">
        <v>36.42</v>
      </c>
      <c r="E21" s="54">
        <v>6.12</v>
      </c>
      <c r="F21" s="54">
        <v>3.34</v>
      </c>
      <c r="G21" s="54">
        <v>62.65</v>
      </c>
      <c r="H21" s="54">
        <v>23.14</v>
      </c>
      <c r="I21" s="63" t="s">
        <v>15</v>
      </c>
      <c r="J21" s="54">
        <v>1.76</v>
      </c>
      <c r="K21" s="54">
        <v>287.31</v>
      </c>
      <c r="L21" s="54">
        <v>29.35</v>
      </c>
      <c r="M21" s="54">
        <v>49.3</v>
      </c>
      <c r="N21" s="54">
        <v>551</v>
      </c>
      <c r="O21" s="54">
        <v>0</v>
      </c>
      <c r="P21" s="54">
        <v>0.63</v>
      </c>
      <c r="Q21" s="54">
        <v>8.39</v>
      </c>
      <c r="R21" s="43"/>
      <c r="S21" s="43"/>
      <c r="T21" s="43"/>
      <c r="U21" s="43"/>
    </row>
    <row r="22" spans="1:21" s="11" customFormat="1" x14ac:dyDescent="0.25">
      <c r="A22" s="53" t="s">
        <v>793</v>
      </c>
      <c r="B22" s="54">
        <v>4.13</v>
      </c>
      <c r="C22" s="54">
        <v>59.84</v>
      </c>
      <c r="D22" s="54">
        <v>33.19</v>
      </c>
      <c r="E22" s="54">
        <v>3.76</v>
      </c>
      <c r="F22" s="54">
        <v>2.13</v>
      </c>
      <c r="G22" s="54">
        <v>54.73</v>
      </c>
      <c r="H22" s="54">
        <v>21.37</v>
      </c>
      <c r="I22" s="63" t="s">
        <v>15</v>
      </c>
      <c r="J22" s="54">
        <v>4.6900000000000004</v>
      </c>
      <c r="K22" s="54">
        <v>272.63</v>
      </c>
      <c r="L22" s="54">
        <v>29.08</v>
      </c>
      <c r="M22" s="54">
        <v>46.25</v>
      </c>
      <c r="N22" s="54">
        <v>519.9</v>
      </c>
      <c r="O22" s="54">
        <v>0</v>
      </c>
      <c r="P22" s="54">
        <v>0.59</v>
      </c>
      <c r="Q22" s="54">
        <v>9.2899999999999991</v>
      </c>
      <c r="R22" s="43"/>
      <c r="S22" s="43"/>
      <c r="T22" s="43"/>
      <c r="U22" s="43"/>
    </row>
    <row r="23" spans="1:21" s="11" customFormat="1" x14ac:dyDescent="0.25">
      <c r="A23" s="53" t="s">
        <v>794</v>
      </c>
      <c r="B23" s="54">
        <v>3.46</v>
      </c>
      <c r="C23" s="54">
        <v>56.01</v>
      </c>
      <c r="D23" s="54">
        <v>30.45</v>
      </c>
      <c r="E23" s="54">
        <v>3.47</v>
      </c>
      <c r="F23" s="54">
        <v>2.2400000000000002</v>
      </c>
      <c r="G23" s="54">
        <v>62.98</v>
      </c>
      <c r="H23" s="54">
        <v>21.95</v>
      </c>
      <c r="I23" s="63" t="s">
        <v>15</v>
      </c>
      <c r="J23" s="54">
        <v>2.58</v>
      </c>
      <c r="K23" s="54">
        <v>232.06</v>
      </c>
      <c r="L23" s="54">
        <v>28.9</v>
      </c>
      <c r="M23" s="54">
        <v>48.72</v>
      </c>
      <c r="N23" s="54">
        <v>435.3</v>
      </c>
      <c r="O23" s="54">
        <v>0</v>
      </c>
      <c r="P23" s="54">
        <v>0.56999999999999995</v>
      </c>
      <c r="Q23" s="54">
        <v>9.25</v>
      </c>
      <c r="R23" s="43"/>
      <c r="S23" s="43"/>
      <c r="T23" s="43"/>
      <c r="U23" s="43"/>
    </row>
    <row r="24" spans="1:21" s="11" customFormat="1" x14ac:dyDescent="0.25">
      <c r="A24" s="53" t="s">
        <v>795</v>
      </c>
      <c r="B24" s="54">
        <v>4.18</v>
      </c>
      <c r="C24" s="54">
        <v>53.26</v>
      </c>
      <c r="D24" s="54">
        <v>29.81</v>
      </c>
      <c r="E24" s="54">
        <v>5.86</v>
      </c>
      <c r="F24" s="54">
        <v>2.2400000000000002</v>
      </c>
      <c r="G24" s="54">
        <v>59.71</v>
      </c>
      <c r="H24" s="54">
        <v>22.38</v>
      </c>
      <c r="I24" s="63" t="s">
        <v>15</v>
      </c>
      <c r="J24" s="54">
        <v>1.07</v>
      </c>
      <c r="K24" s="54">
        <v>313.3</v>
      </c>
      <c r="L24" s="54">
        <v>27.41</v>
      </c>
      <c r="M24" s="54">
        <v>47.4</v>
      </c>
      <c r="N24" s="54">
        <v>267.89999999999998</v>
      </c>
      <c r="O24" s="54">
        <v>0</v>
      </c>
      <c r="P24" s="54">
        <v>0.56999999999999995</v>
      </c>
      <c r="Q24" s="54">
        <v>9.24</v>
      </c>
      <c r="R24" s="43"/>
      <c r="S24" s="43"/>
      <c r="T24" s="43"/>
      <c r="U24" s="43"/>
    </row>
    <row r="25" spans="1:21" s="11" customFormat="1" x14ac:dyDescent="0.25">
      <c r="A25" s="53" t="s">
        <v>796</v>
      </c>
      <c r="B25" s="54">
        <v>5.25</v>
      </c>
      <c r="C25" s="54">
        <v>53.92</v>
      </c>
      <c r="D25" s="54">
        <v>31</v>
      </c>
      <c r="E25" s="54">
        <v>6.99</v>
      </c>
      <c r="F25" s="54">
        <v>2.13</v>
      </c>
      <c r="G25" s="54">
        <v>58.37</v>
      </c>
      <c r="H25" s="54">
        <v>22.25</v>
      </c>
      <c r="I25" s="63" t="s">
        <v>15</v>
      </c>
      <c r="J25" s="54">
        <v>0.86</v>
      </c>
      <c r="K25" s="54">
        <v>306.19</v>
      </c>
      <c r="L25" s="54">
        <v>26.55</v>
      </c>
      <c r="M25" s="54">
        <v>47.79</v>
      </c>
      <c r="N25" s="54">
        <v>134.69999999999999</v>
      </c>
      <c r="O25" s="54">
        <v>0</v>
      </c>
      <c r="P25" s="54">
        <v>0.57999999999999996</v>
      </c>
      <c r="Q25" s="54">
        <v>9.27</v>
      </c>
      <c r="R25" s="43"/>
      <c r="S25" s="43"/>
      <c r="T25" s="43"/>
      <c r="U25" s="43"/>
    </row>
    <row r="26" spans="1:21" s="11" customFormat="1" x14ac:dyDescent="0.25">
      <c r="A26" s="53" t="s">
        <v>797</v>
      </c>
      <c r="B26" s="54">
        <v>8.3699999999999992</v>
      </c>
      <c r="C26" s="54">
        <v>56.8</v>
      </c>
      <c r="D26" s="54">
        <v>35</v>
      </c>
      <c r="E26" s="54">
        <v>6.77</v>
      </c>
      <c r="F26" s="54">
        <v>2.13</v>
      </c>
      <c r="G26" s="54">
        <v>58.8</v>
      </c>
      <c r="H26" s="54">
        <v>22.03</v>
      </c>
      <c r="I26" s="63" t="s">
        <v>15</v>
      </c>
      <c r="J26" s="54">
        <v>0.49</v>
      </c>
      <c r="K26" s="54">
        <v>303.60000000000002</v>
      </c>
      <c r="L26" s="54">
        <v>25.63</v>
      </c>
      <c r="M26" s="54">
        <v>52.04</v>
      </c>
      <c r="N26" s="54">
        <v>99.4</v>
      </c>
      <c r="O26" s="54">
        <v>0</v>
      </c>
      <c r="P26" s="54">
        <v>0.68</v>
      </c>
      <c r="Q26" s="54">
        <v>9.4499999999999993</v>
      </c>
      <c r="R26" s="43"/>
      <c r="S26" s="43"/>
      <c r="T26" s="43"/>
      <c r="U26" s="43"/>
    </row>
    <row r="27" spans="1:21" s="11" customFormat="1" x14ac:dyDescent="0.25">
      <c r="A27" s="53" t="s">
        <v>798</v>
      </c>
      <c r="B27" s="54">
        <v>10.23</v>
      </c>
      <c r="C27" s="54">
        <v>61.59</v>
      </c>
      <c r="D27" s="54">
        <v>38.81</v>
      </c>
      <c r="E27" s="54">
        <v>6.37</v>
      </c>
      <c r="F27" s="54">
        <v>2.13</v>
      </c>
      <c r="G27" s="54">
        <v>62.09</v>
      </c>
      <c r="H27" s="54">
        <v>23.8</v>
      </c>
      <c r="I27" s="63" t="s">
        <v>15</v>
      </c>
      <c r="J27" s="54">
        <v>0.56999999999999995</v>
      </c>
      <c r="K27" s="54">
        <v>264.93</v>
      </c>
      <c r="L27" s="54">
        <v>23.86</v>
      </c>
      <c r="M27" s="54">
        <v>55.99</v>
      </c>
      <c r="N27" s="54">
        <v>79.099999999999994</v>
      </c>
      <c r="O27" s="54">
        <v>0</v>
      </c>
      <c r="P27" s="54">
        <v>0.86</v>
      </c>
      <c r="Q27" s="54">
        <v>9.5</v>
      </c>
      <c r="R27" s="43"/>
      <c r="S27" s="43"/>
      <c r="T27" s="43"/>
      <c r="U27" s="43"/>
    </row>
    <row r="28" spans="1:21" s="11" customFormat="1" x14ac:dyDescent="0.25">
      <c r="A28" s="53" t="s">
        <v>799</v>
      </c>
      <c r="B28" s="54">
        <v>14.17</v>
      </c>
      <c r="C28" s="54">
        <v>60.11</v>
      </c>
      <c r="D28" s="54">
        <v>41.39</v>
      </c>
      <c r="E28" s="54">
        <v>6.5</v>
      </c>
      <c r="F28" s="54">
        <v>2.13</v>
      </c>
      <c r="G28" s="54">
        <v>67.959999999999994</v>
      </c>
      <c r="H28" s="54">
        <v>24.16</v>
      </c>
      <c r="I28" s="63" t="s">
        <v>15</v>
      </c>
      <c r="J28" s="54">
        <v>0.62</v>
      </c>
      <c r="K28" s="54">
        <v>297.52</v>
      </c>
      <c r="L28" s="54">
        <v>22.52</v>
      </c>
      <c r="M28" s="54">
        <v>61.37</v>
      </c>
      <c r="N28" s="54">
        <v>79</v>
      </c>
      <c r="O28" s="54">
        <v>0</v>
      </c>
      <c r="P28" s="54">
        <v>1.47</v>
      </c>
      <c r="Q28" s="54">
        <v>9.5</v>
      </c>
      <c r="R28" s="43"/>
      <c r="S28" s="43"/>
      <c r="T28" s="43"/>
      <c r="U28" s="43"/>
    </row>
    <row r="29" spans="1:21" s="11" customFormat="1" x14ac:dyDescent="0.25">
      <c r="A29" s="53" t="s">
        <v>800</v>
      </c>
      <c r="B29" s="54">
        <v>25.54</v>
      </c>
      <c r="C29" s="54">
        <v>59.99</v>
      </c>
      <c r="D29" s="54">
        <v>49.47</v>
      </c>
      <c r="E29" s="54">
        <v>6.84</v>
      </c>
      <c r="F29" s="54">
        <v>2.13</v>
      </c>
      <c r="G29" s="54">
        <v>80.56</v>
      </c>
      <c r="H29" s="54">
        <v>25.96</v>
      </c>
      <c r="I29" s="63" t="s">
        <v>15</v>
      </c>
      <c r="J29" s="54">
        <v>0.57999999999999996</v>
      </c>
      <c r="K29" s="54">
        <v>304.89</v>
      </c>
      <c r="L29" s="54">
        <v>21.35</v>
      </c>
      <c r="M29" s="54">
        <v>74.790000000000006</v>
      </c>
      <c r="N29" s="54">
        <v>79</v>
      </c>
      <c r="O29" s="54">
        <v>0</v>
      </c>
      <c r="P29" s="54">
        <v>1.57</v>
      </c>
      <c r="Q29" s="54">
        <v>9.49</v>
      </c>
      <c r="R29" s="43"/>
      <c r="S29" s="43"/>
      <c r="T29" s="43"/>
      <c r="U29" s="43"/>
    </row>
    <row r="30" spans="1:21" s="11" customFormat="1" x14ac:dyDescent="0.25">
      <c r="A30" s="53" t="s">
        <v>801</v>
      </c>
      <c r="B30" s="54">
        <v>66.25</v>
      </c>
      <c r="C30" s="54">
        <v>61.89</v>
      </c>
      <c r="D30" s="54">
        <v>83.32</v>
      </c>
      <c r="E30" s="54">
        <v>7.9</v>
      </c>
      <c r="F30" s="54">
        <v>2.13</v>
      </c>
      <c r="G30" s="54">
        <v>100.63</v>
      </c>
      <c r="H30" s="54">
        <v>27.13</v>
      </c>
      <c r="I30" s="63" t="s">
        <v>15</v>
      </c>
      <c r="J30" s="54">
        <v>0.62</v>
      </c>
      <c r="K30" s="54">
        <v>351.44</v>
      </c>
      <c r="L30" s="54">
        <v>19.920000000000002</v>
      </c>
      <c r="M30" s="54">
        <v>80.63</v>
      </c>
      <c r="N30" s="54">
        <v>79</v>
      </c>
      <c r="O30" s="54">
        <v>0</v>
      </c>
      <c r="P30" s="54">
        <v>1.36</v>
      </c>
      <c r="Q30" s="54">
        <v>9.6</v>
      </c>
      <c r="R30" s="43"/>
      <c r="S30" s="43"/>
      <c r="T30" s="43"/>
      <c r="U30" s="43"/>
    </row>
    <row r="31" spans="1:21" s="11" customFormat="1" x14ac:dyDescent="0.25">
      <c r="A31" s="53" t="s">
        <v>802</v>
      </c>
      <c r="B31" s="54">
        <v>83.49</v>
      </c>
      <c r="C31" s="54">
        <v>62.13</v>
      </c>
      <c r="D31" s="54">
        <v>96.96</v>
      </c>
      <c r="E31" s="54">
        <v>8.1999999999999993</v>
      </c>
      <c r="F31" s="54">
        <v>2.13</v>
      </c>
      <c r="G31" s="54">
        <v>118.64</v>
      </c>
      <c r="H31" s="54">
        <v>30.3</v>
      </c>
      <c r="I31" s="63" t="s">
        <v>15</v>
      </c>
      <c r="J31" s="54">
        <v>0.6</v>
      </c>
      <c r="K31" s="54">
        <v>309.63</v>
      </c>
      <c r="L31" s="54">
        <v>19.61</v>
      </c>
      <c r="M31" s="54">
        <v>82.93</v>
      </c>
      <c r="N31" s="54">
        <v>79.099999999999994</v>
      </c>
      <c r="O31" s="54">
        <v>0</v>
      </c>
      <c r="P31" s="54">
        <v>1.48</v>
      </c>
      <c r="Q31" s="54">
        <v>9.7899999999999991</v>
      </c>
      <c r="R31" s="43"/>
      <c r="S31" s="43"/>
      <c r="T31" s="43"/>
      <c r="U31" s="43"/>
    </row>
    <row r="32" spans="1:21" s="11" customFormat="1" x14ac:dyDescent="0.25">
      <c r="A32" s="53" t="s">
        <v>803</v>
      </c>
      <c r="B32" s="54">
        <v>82.9</v>
      </c>
      <c r="C32" s="54">
        <v>60.34</v>
      </c>
      <c r="D32" s="54">
        <v>96.63</v>
      </c>
      <c r="E32" s="54">
        <v>7.64</v>
      </c>
      <c r="F32" s="54">
        <v>2.13</v>
      </c>
      <c r="G32" s="54">
        <v>121.95</v>
      </c>
      <c r="H32" s="54">
        <v>32.67</v>
      </c>
      <c r="I32" s="63" t="s">
        <v>15</v>
      </c>
      <c r="J32" s="54">
        <v>0.62</v>
      </c>
      <c r="K32" s="54">
        <v>326.20999999999998</v>
      </c>
      <c r="L32" s="54">
        <v>18.95</v>
      </c>
      <c r="M32" s="54">
        <v>92.01</v>
      </c>
      <c r="N32" s="54">
        <v>79</v>
      </c>
      <c r="O32" s="54">
        <v>0</v>
      </c>
      <c r="P32" s="54">
        <v>1.4</v>
      </c>
      <c r="Q32" s="54">
        <v>9.86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3.46</v>
      </c>
      <c r="C34" s="28">
        <f t="shared" si="0"/>
        <v>48.28</v>
      </c>
      <c r="D34" s="28">
        <f t="shared" si="0"/>
        <v>29.81</v>
      </c>
      <c r="E34" s="28">
        <f t="shared" si="0"/>
        <v>3.47</v>
      </c>
      <c r="F34" s="28">
        <f t="shared" si="0"/>
        <v>2.13</v>
      </c>
      <c r="G34" s="28">
        <f t="shared" si="0"/>
        <v>50.1</v>
      </c>
      <c r="H34" s="28">
        <f t="shared" si="0"/>
        <v>19.100000000000001</v>
      </c>
      <c r="I34" s="28">
        <f t="shared" si="0"/>
        <v>0</v>
      </c>
      <c r="J34" s="28">
        <f t="shared" si="0"/>
        <v>0.49</v>
      </c>
      <c r="K34" s="28">
        <f t="shared" si="0"/>
        <v>232.06</v>
      </c>
      <c r="L34" s="28">
        <f t="shared" si="0"/>
        <v>15.73</v>
      </c>
      <c r="M34" s="28">
        <f t="shared" si="0"/>
        <v>46.25</v>
      </c>
      <c r="N34" s="28">
        <f t="shared" si="0"/>
        <v>76</v>
      </c>
      <c r="O34" s="28">
        <f t="shared" si="0"/>
        <v>0</v>
      </c>
      <c r="P34" s="28">
        <f t="shared" si="0"/>
        <v>0.56999999999999995</v>
      </c>
      <c r="Q34" s="28">
        <f t="shared" si="0"/>
        <v>8.2100000000000009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83.49</v>
      </c>
      <c r="C35" s="29">
        <f t="shared" si="1"/>
        <v>63.38</v>
      </c>
      <c r="D35" s="29">
        <f t="shared" si="1"/>
        <v>96.96</v>
      </c>
      <c r="E35" s="29">
        <f t="shared" si="1"/>
        <v>8.1999999999999993</v>
      </c>
      <c r="F35" s="29">
        <f t="shared" si="1"/>
        <v>3.34</v>
      </c>
      <c r="G35" s="29">
        <f t="shared" si="1"/>
        <v>121.95</v>
      </c>
      <c r="H35" s="29">
        <f t="shared" si="1"/>
        <v>32.67</v>
      </c>
      <c r="I35" s="29">
        <f t="shared" si="1"/>
        <v>0</v>
      </c>
      <c r="J35" s="29">
        <f t="shared" si="1"/>
        <v>4.6900000000000004</v>
      </c>
      <c r="K35" s="29">
        <f t="shared" si="1"/>
        <v>354.52</v>
      </c>
      <c r="L35" s="29">
        <f t="shared" si="1"/>
        <v>29.35</v>
      </c>
      <c r="M35" s="29">
        <f t="shared" si="1"/>
        <v>105.42</v>
      </c>
      <c r="N35" s="29">
        <f t="shared" si="1"/>
        <v>556.29999999999995</v>
      </c>
      <c r="O35" s="29">
        <f t="shared" si="1"/>
        <v>0</v>
      </c>
      <c r="P35" s="29">
        <f t="shared" si="1"/>
        <v>1.57</v>
      </c>
      <c r="Q35" s="29">
        <f t="shared" si="1"/>
        <v>9.86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23.571250000000003</v>
      </c>
      <c r="C36" s="28">
        <f t="shared" si="2"/>
        <v>55.465833333333336</v>
      </c>
      <c r="D36" s="28">
        <f t="shared" si="2"/>
        <v>46.125833333333333</v>
      </c>
      <c r="E36" s="28">
        <f t="shared" si="2"/>
        <v>6.0633333333333326</v>
      </c>
      <c r="F36" s="28">
        <f t="shared" si="2"/>
        <v>2.1895833333333337</v>
      </c>
      <c r="G36" s="28">
        <f t="shared" si="2"/>
        <v>68.389166666666668</v>
      </c>
      <c r="H36" s="28">
        <f t="shared" si="2"/>
        <v>23.898749999999996</v>
      </c>
      <c r="I36" s="28" t="e">
        <f t="shared" si="2"/>
        <v>#DIV/0!</v>
      </c>
      <c r="J36" s="28">
        <f t="shared" si="2"/>
        <v>1.2945833333333334</v>
      </c>
      <c r="K36" s="28">
        <f t="shared" si="2"/>
        <v>298.78791666666666</v>
      </c>
      <c r="L36" s="28">
        <f t="shared" si="2"/>
        <v>22.097916666666666</v>
      </c>
      <c r="M36" s="28">
        <f t="shared" si="2"/>
        <v>76.339583333333337</v>
      </c>
      <c r="N36" s="28">
        <f t="shared" si="2"/>
        <v>212.1583333333333</v>
      </c>
      <c r="O36" s="28">
        <f t="shared" si="2"/>
        <v>0</v>
      </c>
      <c r="P36" s="28">
        <f t="shared" si="2"/>
        <v>0.81874999999999998</v>
      </c>
      <c r="Q36" s="28">
        <f t="shared" si="2"/>
        <v>8.7979166666666675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22.841778525229859</v>
      </c>
      <c r="C37" s="28">
        <f t="shared" ref="C37:Q37" si="3">STDEV(C9:C32)</f>
        <v>5.0009676599866042</v>
      </c>
      <c r="D37" s="28">
        <f t="shared" si="3"/>
        <v>19.158034735523792</v>
      </c>
      <c r="E37" s="28">
        <f t="shared" si="3"/>
        <v>1.0738701511119941</v>
      </c>
      <c r="F37" s="28">
        <f t="shared" si="3"/>
        <v>0.24699021573063384</v>
      </c>
      <c r="G37" s="28">
        <f t="shared" si="3"/>
        <v>19.231651428482817</v>
      </c>
      <c r="H37" s="28">
        <f t="shared" si="3"/>
        <v>3.0580475619755401</v>
      </c>
      <c r="I37" s="28" t="e">
        <f t="shared" si="3"/>
        <v>#DIV/0!</v>
      </c>
      <c r="J37" s="28">
        <f t="shared" si="3"/>
        <v>0.89131060885040247</v>
      </c>
      <c r="K37" s="28">
        <f t="shared" si="3"/>
        <v>31.944151942055132</v>
      </c>
      <c r="L37" s="28">
        <f t="shared" si="3"/>
        <v>4.5780211969485416</v>
      </c>
      <c r="M37" s="28">
        <f t="shared" si="3"/>
        <v>22.20187447612528</v>
      </c>
      <c r="N37" s="28">
        <f t="shared" si="3"/>
        <v>187.64092423902466</v>
      </c>
      <c r="O37" s="28">
        <f t="shared" si="3"/>
        <v>0</v>
      </c>
      <c r="P37" s="28">
        <f t="shared" si="3"/>
        <v>0.34308463273278711</v>
      </c>
      <c r="Q37" s="28">
        <f t="shared" si="3"/>
        <v>0.65357198576722175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0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&lt;90%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LESS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5"/>
  <sheetViews>
    <sheetView tabSelected="1" zoomScale="90" zoomScaleNormal="90" workbookViewId="0">
      <pane xSplit="1" ySplit="8" topLeftCell="C9" activePane="bottomRight" state="frozen"/>
      <selection activeCell="B2" sqref="B2"/>
      <selection pane="topRight" activeCell="B2" sqref="B2"/>
      <selection pane="bottomLeft" activeCell="B2" sqref="B2"/>
      <selection pane="bottomRight" activeCell="C51" sqref="C51"/>
    </sheetView>
  </sheetViews>
  <sheetFormatPr defaultColWidth="8.85546875" defaultRowHeight="15" x14ac:dyDescent="0.25"/>
  <cols>
    <col min="1" max="1" width="17.42578125" style="11" customWidth="1"/>
    <col min="2" max="2" width="17.85546875" style="11" customWidth="1"/>
    <col min="3" max="3" width="9.85546875" style="11" customWidth="1"/>
    <col min="4" max="4" width="12.5703125" style="11" customWidth="1"/>
    <col min="5" max="5" width="9.7109375" style="11" customWidth="1"/>
    <col min="6" max="6" width="8.85546875" style="11"/>
    <col min="7" max="7" width="11.28515625" style="11" customWidth="1"/>
    <col min="8" max="8" width="12.42578125" style="11" customWidth="1"/>
    <col min="9" max="9" width="13" style="11" customWidth="1"/>
    <col min="10" max="10" width="8.85546875" style="11"/>
    <col min="11" max="11" width="9.7109375" style="11" customWidth="1"/>
    <col min="12" max="12" width="11" style="11" customWidth="1"/>
    <col min="13" max="13" width="10" style="11" customWidth="1"/>
    <col min="14" max="15" width="8.85546875" style="11"/>
    <col min="16" max="16" width="11" style="11" customWidth="1"/>
    <col min="17" max="17" width="15.85546875" style="11" customWidth="1"/>
    <col min="18" max="18" width="8.85546875" style="11"/>
    <col min="19" max="19" width="12.140625" style="11" customWidth="1"/>
    <col min="20" max="20" width="12.7109375" style="11" customWidth="1"/>
    <col min="21" max="16384" width="8.85546875" style="11"/>
  </cols>
  <sheetData>
    <row r="1" spans="1:21" s="21" customFormat="1" ht="27.75" customHeight="1" x14ac:dyDescent="0.25">
      <c r="A1" s="14" t="s">
        <v>2</v>
      </c>
      <c r="B1" s="23" t="s">
        <v>59</v>
      </c>
      <c r="C1" s="2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01/01/2025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37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25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x14ac:dyDescent="0.25">
      <c r="A9" s="36" t="str">
        <f>'01'!$B$2</f>
        <v>01/01/2025 01:00</v>
      </c>
      <c r="B9" s="24">
        <f>'01'!B36</f>
        <v>32.57090909090909</v>
      </c>
      <c r="C9" s="24">
        <f>'01'!C36</f>
        <v>50.410909090909101</v>
      </c>
      <c r="D9" s="24">
        <f>'01'!D36</f>
        <v>50.950909090909093</v>
      </c>
      <c r="E9" s="24">
        <f>'01'!E36</f>
        <v>7.120909090909092</v>
      </c>
      <c r="F9" s="24">
        <f>'01'!F36</f>
        <v>2.1299999999999994</v>
      </c>
      <c r="G9" s="24">
        <f>'01'!G36</f>
        <v>77.410909090909087</v>
      </c>
      <c r="H9" s="24">
        <f>'01'!H36</f>
        <v>31.875454545454545</v>
      </c>
      <c r="I9" s="55" t="s">
        <v>15</v>
      </c>
      <c r="J9" s="24">
        <f>'01'!J36</f>
        <v>2.1636363636363636</v>
      </c>
      <c r="K9" s="24">
        <f>'01'!K36</f>
        <v>213.44636363636363</v>
      </c>
      <c r="L9" s="24">
        <f>'01'!L36</f>
        <v>14.885454545454543</v>
      </c>
      <c r="M9" s="24">
        <f>'01'!M36</f>
        <v>70.605454545454549</v>
      </c>
      <c r="N9" s="24">
        <f>'01'!N36</f>
        <v>203.08181818181814</v>
      </c>
      <c r="O9" s="24">
        <f>'01'!O36</f>
        <v>0</v>
      </c>
      <c r="P9" s="30">
        <f>'01'!$P$36</f>
        <v>0.99636363636363623</v>
      </c>
      <c r="Q9" s="24">
        <f>'01'!Q36</f>
        <v>8.5009090909090919</v>
      </c>
      <c r="R9" s="44"/>
      <c r="S9" s="44"/>
      <c r="T9" s="44"/>
      <c r="U9" s="45"/>
    </row>
    <row r="10" spans="1:21" s="34" customFormat="1" x14ac:dyDescent="0.25">
      <c r="A10" s="36" t="str">
        <f>'02'!$B$2</f>
        <v>02/01/2025 01:00</v>
      </c>
      <c r="B10" s="33">
        <f>'02'!B36</f>
        <v>66.33208333333333</v>
      </c>
      <c r="C10" s="33">
        <f>'02'!C36</f>
        <v>54.432083333333331</v>
      </c>
      <c r="D10" s="33">
        <f>'02'!D36</f>
        <v>79.375833333333333</v>
      </c>
      <c r="E10" s="33">
        <f>'02'!E36</f>
        <v>7.5487500000000018</v>
      </c>
      <c r="F10" s="33">
        <f>'02'!F36</f>
        <v>2.2904166666666672</v>
      </c>
      <c r="G10" s="33">
        <f>'02'!G36</f>
        <v>117.36250000000001</v>
      </c>
      <c r="H10" s="33">
        <f>'02'!H36</f>
        <v>39.532500000000006</v>
      </c>
      <c r="I10" s="55" t="s">
        <v>15</v>
      </c>
      <c r="J10" s="33">
        <f>'02'!J36</f>
        <v>2.6012499999999998</v>
      </c>
      <c r="K10" s="33">
        <f>'02'!K36</f>
        <v>300.32249999999999</v>
      </c>
      <c r="L10" s="33">
        <f>'02'!L36</f>
        <v>16.853333333333335</v>
      </c>
      <c r="M10" s="33">
        <f>'02'!M36</f>
        <v>58.461666666666673</v>
      </c>
      <c r="N10" s="33">
        <f>'02'!N36</f>
        <v>296.90416666666675</v>
      </c>
      <c r="O10" s="33">
        <f>'02'!O36</f>
        <v>0</v>
      </c>
      <c r="P10" s="30">
        <f>'02'!$P$36</f>
        <v>1.3412499999999998</v>
      </c>
      <c r="Q10" s="33">
        <f>'02'!Q36</f>
        <v>9.2562500000000014</v>
      </c>
      <c r="R10" s="46"/>
      <c r="S10" s="46"/>
      <c r="T10" s="46"/>
      <c r="U10" s="46"/>
    </row>
    <row r="11" spans="1:21" s="34" customFormat="1" x14ac:dyDescent="0.25">
      <c r="A11" s="36" t="str">
        <f>'03'!$B$2</f>
        <v>03/01/2025 01:00</v>
      </c>
      <c r="B11" s="33">
        <f>'03'!B36</f>
        <v>74.867083333333326</v>
      </c>
      <c r="C11" s="33">
        <f>'03'!C36</f>
        <v>51.568750000000001</v>
      </c>
      <c r="D11" s="33">
        <f>'03'!D36</f>
        <v>84.940416666666664</v>
      </c>
      <c r="E11" s="33">
        <f>'03'!E36</f>
        <v>7.4383333333333352</v>
      </c>
      <c r="F11" s="33">
        <f>'03'!F36</f>
        <v>2.1300000000000003</v>
      </c>
      <c r="G11" s="33">
        <f>'03'!G36</f>
        <v>112.40874999999998</v>
      </c>
      <c r="H11" s="33">
        <f>'03'!H36</f>
        <v>43.950416666666662</v>
      </c>
      <c r="I11" s="55" t="s">
        <v>15</v>
      </c>
      <c r="J11" s="33">
        <f>'03'!J36</f>
        <v>1.8829166666666668</v>
      </c>
      <c r="K11" s="33">
        <f>'03'!K36</f>
        <v>317.76958333333329</v>
      </c>
      <c r="L11" s="33">
        <f>'03'!L36</f>
        <v>17.421249999999997</v>
      </c>
      <c r="M11" s="33">
        <f>'03'!M36</f>
        <v>52.174166666666657</v>
      </c>
      <c r="N11" s="33">
        <f>'03'!N36</f>
        <v>271.79166666666669</v>
      </c>
      <c r="O11" s="33">
        <f>'03'!O36</f>
        <v>0</v>
      </c>
      <c r="P11" s="30">
        <f>'03'!$P$36</f>
        <v>1.2154166666666666</v>
      </c>
      <c r="Q11" s="33">
        <f>'03'!Q36</f>
        <v>9.6562500000000018</v>
      </c>
      <c r="R11" s="46"/>
      <c r="S11" s="46"/>
      <c r="T11" s="46"/>
      <c r="U11" s="46"/>
    </row>
    <row r="12" spans="1:21" s="34" customFormat="1" x14ac:dyDescent="0.25">
      <c r="A12" s="36" t="str">
        <f>'04'!$B$2</f>
        <v>04/01/2025 01:00</v>
      </c>
      <c r="B12" s="33">
        <f>'04'!B36</f>
        <v>114.04666666666667</v>
      </c>
      <c r="C12" s="33">
        <f>'04'!C36</f>
        <v>50.041666666666664</v>
      </c>
      <c r="D12" s="33">
        <f>'04'!D36</f>
        <v>115.76208333333334</v>
      </c>
      <c r="E12" s="33">
        <f>'04'!E36</f>
        <v>7.9416666666666664</v>
      </c>
      <c r="F12" s="33">
        <f>'04'!F36</f>
        <v>2.1300000000000003</v>
      </c>
      <c r="G12" s="33">
        <f>'04'!G36</f>
        <v>126.06416666666667</v>
      </c>
      <c r="H12" s="33">
        <f>'04'!H36</f>
        <v>34.800416666666663</v>
      </c>
      <c r="I12" s="55" t="s">
        <v>15</v>
      </c>
      <c r="J12" s="33">
        <f>'04'!J36</f>
        <v>1.4441666666666668</v>
      </c>
      <c r="K12" s="33">
        <f>'04'!K36</f>
        <v>309.27708333333334</v>
      </c>
      <c r="L12" s="33">
        <f>'04'!L36</f>
        <v>16.987916666666667</v>
      </c>
      <c r="M12" s="33">
        <f>'04'!M36</f>
        <v>60.227500000000013</v>
      </c>
      <c r="N12" s="33">
        <f>'04'!N36</f>
        <v>247.02500000000001</v>
      </c>
      <c r="O12" s="33">
        <f>'04'!O36</f>
        <v>0</v>
      </c>
      <c r="P12" s="30">
        <f>'04'!$P$36</f>
        <v>1.4225000000000001</v>
      </c>
      <c r="Q12" s="33">
        <f>'04'!Q36</f>
        <v>9.6879166666666681</v>
      </c>
      <c r="R12" s="46"/>
      <c r="S12" s="46"/>
      <c r="T12" s="46"/>
      <c r="U12" s="46"/>
    </row>
    <row r="13" spans="1:21" s="34" customFormat="1" x14ac:dyDescent="0.25">
      <c r="A13" s="36" t="str">
        <f>'05'!$B$2</f>
        <v>05/01/2025 01:00</v>
      </c>
      <c r="B13" s="33">
        <f>'05'!B36</f>
        <v>113.23458333333338</v>
      </c>
      <c r="C13" s="33">
        <f>'05'!C36</f>
        <v>58.530416666666646</v>
      </c>
      <c r="D13" s="33">
        <f>'05'!D36</f>
        <v>119.33916666666669</v>
      </c>
      <c r="E13" s="33">
        <f>'05'!E36</f>
        <v>8.2754166666666666</v>
      </c>
      <c r="F13" s="33">
        <f>'05'!F36</f>
        <v>2.1300000000000003</v>
      </c>
      <c r="G13" s="33">
        <f>'05'!G36</f>
        <v>150.61583333333334</v>
      </c>
      <c r="H13" s="33">
        <f>'05'!H36</f>
        <v>42.662916666666675</v>
      </c>
      <c r="I13" s="55" t="s">
        <v>15</v>
      </c>
      <c r="J13" s="33">
        <f>'05'!J36</f>
        <v>1.2862499999999999</v>
      </c>
      <c r="K13" s="33">
        <f>'05'!K36</f>
        <v>295.53166666666664</v>
      </c>
      <c r="L13" s="33">
        <f>'05'!L36</f>
        <v>16.998333333333335</v>
      </c>
      <c r="M13" s="33">
        <f>'05'!M36</f>
        <v>65.751666666666665</v>
      </c>
      <c r="N13" s="33">
        <f>'05'!N36</f>
        <v>251.32916666666662</v>
      </c>
      <c r="O13" s="33">
        <f>'05'!O36</f>
        <v>0</v>
      </c>
      <c r="P13" s="30">
        <f>'05'!$P$36</f>
        <v>1.4816666666666662</v>
      </c>
      <c r="Q13" s="33">
        <f>'05'!Q36</f>
        <v>9.6120833333333362</v>
      </c>
      <c r="R13" s="46"/>
      <c r="S13" s="46"/>
      <c r="T13" s="46"/>
      <c r="U13" s="46"/>
    </row>
    <row r="14" spans="1:21" s="34" customFormat="1" x14ac:dyDescent="0.25">
      <c r="A14" s="36" t="str">
        <f>'06'!$B$2</f>
        <v>06/01/2025 01:00</v>
      </c>
      <c r="B14" s="33">
        <f>'06'!B36</f>
        <v>33.119166666666686</v>
      </c>
      <c r="C14" s="33">
        <f>'06'!C36</f>
        <v>67.084999999999994</v>
      </c>
      <c r="D14" s="33">
        <f>'06'!D36</f>
        <v>59.512083333333344</v>
      </c>
      <c r="E14" s="33">
        <f>'06'!E36</f>
        <v>8.9054166666666674</v>
      </c>
      <c r="F14" s="33">
        <f>'06'!F36</f>
        <v>5.4454166666666657</v>
      </c>
      <c r="G14" s="33">
        <f>'06'!G36</f>
        <v>140.02874999999997</v>
      </c>
      <c r="H14" s="33">
        <f>'06'!H36</f>
        <v>51.967083333333328</v>
      </c>
      <c r="I14" s="55" t="s">
        <v>15</v>
      </c>
      <c r="J14" s="33">
        <f>'06'!J36</f>
        <v>1.337083333333333</v>
      </c>
      <c r="K14" s="33">
        <f>'06'!K36</f>
        <v>292.6829166666667</v>
      </c>
      <c r="L14" s="33">
        <f>'06'!L36</f>
        <v>17.041250000000002</v>
      </c>
      <c r="M14" s="33">
        <f>'06'!M36</f>
        <v>70.287916666666675</v>
      </c>
      <c r="N14" s="33">
        <f>'06'!N36</f>
        <v>234.48750000000004</v>
      </c>
      <c r="O14" s="33">
        <f>'06'!O36</f>
        <v>0</v>
      </c>
      <c r="P14" s="30">
        <f>'06'!$P$36</f>
        <v>1.2483333333333335</v>
      </c>
      <c r="Q14" s="33">
        <f>'06'!Q36</f>
        <v>8.6733333333333373</v>
      </c>
      <c r="R14" s="46"/>
      <c r="S14" s="46"/>
      <c r="T14" s="46"/>
      <c r="U14" s="46"/>
    </row>
    <row r="15" spans="1:21" s="34" customFormat="1" x14ac:dyDescent="0.25">
      <c r="A15" s="36" t="str">
        <f>'07'!$B$2</f>
        <v>07/01/2025 01:00</v>
      </c>
      <c r="B15" s="33">
        <f>'07'!B36</f>
        <v>24.489583333333332</v>
      </c>
      <c r="C15" s="33">
        <f>'07'!C36</f>
        <v>62.127916666666664</v>
      </c>
      <c r="D15" s="33">
        <f>'07'!D36</f>
        <v>50.407499999999999</v>
      </c>
      <c r="E15" s="33">
        <f>'07'!E36</f>
        <v>7.1854166666666677</v>
      </c>
      <c r="F15" s="33">
        <f>'07'!F36</f>
        <v>2.1316666666666673</v>
      </c>
      <c r="G15" s="33">
        <f>'07'!G36</f>
        <v>128.27041666666668</v>
      </c>
      <c r="H15" s="33">
        <f>'07'!H36</f>
        <v>41.950416666666662</v>
      </c>
      <c r="I15" s="55" t="s">
        <v>15</v>
      </c>
      <c r="J15" s="33">
        <f>'07'!J36</f>
        <v>2.1691666666666669</v>
      </c>
      <c r="K15" s="33">
        <f>'07'!K36</f>
        <v>330.49916666666661</v>
      </c>
      <c r="L15" s="33">
        <f>'07'!L36</f>
        <v>18.325833333333332</v>
      </c>
      <c r="M15" s="33">
        <f>'07'!M36</f>
        <v>63.026666666666664</v>
      </c>
      <c r="N15" s="33">
        <f>'07'!N36</f>
        <v>222.20416666666668</v>
      </c>
      <c r="O15" s="33">
        <f>'07'!O36</f>
        <v>0</v>
      </c>
      <c r="P15" s="33">
        <f>'07'!P36</f>
        <v>1.0887499999999999</v>
      </c>
      <c r="Q15" s="33">
        <f>'07'!Q36</f>
        <v>8.3525000000000045</v>
      </c>
      <c r="R15" s="46"/>
      <c r="S15" s="46"/>
      <c r="T15" s="46"/>
      <c r="U15" s="46"/>
    </row>
    <row r="16" spans="1:21" s="34" customFormat="1" x14ac:dyDescent="0.25">
      <c r="A16" s="36" t="str">
        <f>'08'!$B$2</f>
        <v>08/01/2025 01:00</v>
      </c>
      <c r="B16" s="33">
        <f>'08'!B36</f>
        <v>36.596249999999998</v>
      </c>
      <c r="C16" s="33">
        <f>'08'!C36</f>
        <v>60.832916666666669</v>
      </c>
      <c r="D16" s="33">
        <f>'08'!D36</f>
        <v>59.360833333333346</v>
      </c>
      <c r="E16" s="33">
        <f>'08'!E36</f>
        <v>8.1662499999999998</v>
      </c>
      <c r="F16" s="33">
        <f>'08'!F36</f>
        <v>2.4212500000000001</v>
      </c>
      <c r="G16" s="33">
        <f>'08'!G36</f>
        <v>104.80416666666666</v>
      </c>
      <c r="H16" s="33">
        <f>'08'!H36</f>
        <v>33.491250000000001</v>
      </c>
      <c r="I16" s="55" t="s">
        <v>15</v>
      </c>
      <c r="J16" s="33">
        <f>'08'!J36</f>
        <v>1.7604166666666667</v>
      </c>
      <c r="K16" s="33">
        <f>'08'!K36</f>
        <v>304.15291666666673</v>
      </c>
      <c r="L16" s="33">
        <f>'08'!L36</f>
        <v>15.770416666666668</v>
      </c>
      <c r="M16" s="33">
        <f>'08'!M36</f>
        <v>57.886666666666656</v>
      </c>
      <c r="N16" s="33">
        <f>'08'!N36</f>
        <v>228.16666666666666</v>
      </c>
      <c r="O16" s="33">
        <f>'08'!O36</f>
        <v>0</v>
      </c>
      <c r="P16" s="30">
        <f>'08'!$P$36</f>
        <v>1.0274999999999999</v>
      </c>
      <c r="Q16" s="33">
        <f>'08'!Q36</f>
        <v>8.5537500000000044</v>
      </c>
      <c r="R16" s="46"/>
      <c r="S16" s="46"/>
      <c r="T16" s="46"/>
      <c r="U16" s="46"/>
    </row>
    <row r="17" spans="1:24" s="34" customFormat="1" x14ac:dyDescent="0.25">
      <c r="A17" s="36" t="str">
        <f>'09'!$B$2</f>
        <v>09/01/2025 01:00</v>
      </c>
      <c r="B17" s="33">
        <f>'09'!B36</f>
        <v>60.114166666666669</v>
      </c>
      <c r="C17" s="33">
        <f>'09'!C36</f>
        <v>57.989583333333336</v>
      </c>
      <c r="D17" s="33">
        <f>'09'!D36</f>
        <v>76.345416666666665</v>
      </c>
      <c r="E17" s="33">
        <f>'09'!E36</f>
        <v>8.1116666666666664</v>
      </c>
      <c r="F17" s="33">
        <f>'09'!F36</f>
        <v>3.7020833333333321</v>
      </c>
      <c r="G17" s="33">
        <f>'09'!G36</f>
        <v>121.71499999999999</v>
      </c>
      <c r="H17" s="33">
        <f>'09'!H36</f>
        <v>40.89166666666668</v>
      </c>
      <c r="I17" s="55" t="s">
        <v>15</v>
      </c>
      <c r="J17" s="33">
        <f>'09'!J36</f>
        <v>1.6120833333333333</v>
      </c>
      <c r="K17" s="33">
        <f>'09'!K36</f>
        <v>268.22916666666669</v>
      </c>
      <c r="L17" s="33">
        <f>'09'!L36</f>
        <v>15.199166666666663</v>
      </c>
      <c r="M17" s="33">
        <f>'09'!M36</f>
        <v>58.467916666666675</v>
      </c>
      <c r="N17" s="33">
        <f>'09'!N36</f>
        <v>242.27500000000001</v>
      </c>
      <c r="O17" s="33">
        <f>'09'!O36</f>
        <v>0</v>
      </c>
      <c r="P17" s="33">
        <f>'09'!P36</f>
        <v>1.2520833333333334</v>
      </c>
      <c r="Q17" s="33">
        <f>'09'!Q36</f>
        <v>9.1058333333333348</v>
      </c>
      <c r="R17" s="46"/>
      <c r="S17" s="46"/>
      <c r="T17" s="46"/>
      <c r="U17" s="46"/>
      <c r="V17" s="35"/>
      <c r="W17" s="35"/>
      <c r="X17" s="35"/>
    </row>
    <row r="18" spans="1:24" s="34" customFormat="1" x14ac:dyDescent="0.25">
      <c r="A18" s="36" t="str">
        <f>'10'!$B$2</f>
        <v>10/01/2025 01:00</v>
      </c>
      <c r="B18" s="33">
        <f>'10'!B36</f>
        <v>51.212083333333339</v>
      </c>
      <c r="C18" s="33">
        <f>'10'!C36</f>
        <v>56.15291666666667</v>
      </c>
      <c r="D18" s="33">
        <f>'10'!D36</f>
        <v>68.713333333333324</v>
      </c>
      <c r="E18" s="33">
        <f>'10'!E36</f>
        <v>8.2816666666666681</v>
      </c>
      <c r="F18" s="33">
        <f>'10'!F36</f>
        <v>2.1300000000000003</v>
      </c>
      <c r="G18" s="33">
        <f>'10'!G36</f>
        <v>117.16625000000003</v>
      </c>
      <c r="H18" s="33">
        <f>'10'!H36</f>
        <v>40.596250000000005</v>
      </c>
      <c r="I18" s="55" t="s">
        <v>15</v>
      </c>
      <c r="J18" s="33">
        <f>'10'!J36</f>
        <v>1.5649999999999997</v>
      </c>
      <c r="K18" s="33">
        <f>'10'!K36</f>
        <v>298.54041666666666</v>
      </c>
      <c r="L18" s="33">
        <f>'10'!L36</f>
        <v>16.03916666666667</v>
      </c>
      <c r="M18" s="33">
        <f>'10'!M36</f>
        <v>53.733333333333348</v>
      </c>
      <c r="N18" s="33">
        <f>'10'!N36</f>
        <v>249.35833333333335</v>
      </c>
      <c r="O18" s="33">
        <f>'10'!O36</f>
        <v>0</v>
      </c>
      <c r="P18" s="30">
        <f>'10'!$P$36</f>
        <v>1.2516666666666669</v>
      </c>
      <c r="Q18" s="33">
        <f>'10'!Q36</f>
        <v>8.9250000000000025</v>
      </c>
      <c r="R18" s="46"/>
      <c r="S18" s="46"/>
      <c r="T18" s="46"/>
      <c r="U18" s="46"/>
    </row>
    <row r="19" spans="1:24" s="34" customFormat="1" x14ac:dyDescent="0.25">
      <c r="A19" s="36" t="str">
        <f>'11'!$B$2</f>
        <v>11/01/2025 01:00</v>
      </c>
      <c r="B19" s="33">
        <f>'11'!B36</f>
        <v>47.48458333333334</v>
      </c>
      <c r="C19" s="33">
        <f>'11'!C36</f>
        <v>55.077083333333327</v>
      </c>
      <c r="D19" s="33">
        <f>'11'!D36</f>
        <v>64.987083333333317</v>
      </c>
      <c r="E19" s="33">
        <f>'11'!E36</f>
        <v>7.5633333333333352</v>
      </c>
      <c r="F19" s="33">
        <f>'11'!F36</f>
        <v>2.1300000000000003</v>
      </c>
      <c r="G19" s="33">
        <f>'11'!G36</f>
        <v>106.89333333333332</v>
      </c>
      <c r="H19" s="33">
        <f>'11'!H36</f>
        <v>38.511249999999997</v>
      </c>
      <c r="I19" s="55" t="s">
        <v>15</v>
      </c>
      <c r="J19" s="33">
        <f>'11'!J36</f>
        <v>1.8854166666666663</v>
      </c>
      <c r="K19" s="33">
        <f>'11'!K36</f>
        <v>274.34583333333336</v>
      </c>
      <c r="L19" s="33">
        <f>'11'!L36</f>
        <v>16.564166666666669</v>
      </c>
      <c r="M19" s="33">
        <f>'11'!M36</f>
        <v>63.878749999999997</v>
      </c>
      <c r="N19" s="33">
        <f>'11'!N36</f>
        <v>242.91666666666674</v>
      </c>
      <c r="O19" s="33">
        <f>'11'!O36</f>
        <v>0</v>
      </c>
      <c r="P19" s="33">
        <f>'11'!P36</f>
        <v>1.2250000000000003</v>
      </c>
      <c r="Q19" s="33">
        <f>'11'!Q36</f>
        <v>8.8050000000000015</v>
      </c>
      <c r="R19" s="46"/>
      <c r="S19" s="46"/>
      <c r="T19" s="46"/>
      <c r="U19" s="46"/>
    </row>
    <row r="20" spans="1:24" s="34" customFormat="1" x14ac:dyDescent="0.25">
      <c r="A20" s="36" t="str">
        <f>'12'!$B$2</f>
        <v>12/01/2025 01:00</v>
      </c>
      <c r="B20" s="33">
        <f>'12'!B36</f>
        <v>24.082083333333333</v>
      </c>
      <c r="C20" s="33">
        <f>'12'!C36</f>
        <v>54.734583333333326</v>
      </c>
      <c r="D20" s="33">
        <f>'12'!D36</f>
        <v>46.313333333333333</v>
      </c>
      <c r="E20" s="33">
        <f>'12'!E36</f>
        <v>7.559166666666667</v>
      </c>
      <c r="F20" s="33">
        <f>'12'!F36</f>
        <v>2.132916666666667</v>
      </c>
      <c r="G20" s="33">
        <f>'12'!G36</f>
        <v>91.265833333333333</v>
      </c>
      <c r="H20" s="33">
        <f>'12'!H36</f>
        <v>34.93333333333333</v>
      </c>
      <c r="I20" s="55" t="s">
        <v>15</v>
      </c>
      <c r="J20" s="33">
        <f>'12'!J36</f>
        <v>2.2962499999999992</v>
      </c>
      <c r="K20" s="33">
        <f>'12'!K36</f>
        <v>271.32166666666666</v>
      </c>
      <c r="L20" s="33">
        <f>'12'!L36</f>
        <v>18.178333333333331</v>
      </c>
      <c r="M20" s="33">
        <f>'12'!M36</f>
        <v>63.802500000000002</v>
      </c>
      <c r="N20" s="33">
        <f>'12'!N36</f>
        <v>233.31250000000003</v>
      </c>
      <c r="O20" s="33">
        <f>'12'!O36</f>
        <v>0</v>
      </c>
      <c r="P20" s="33">
        <f>'12'!P36</f>
        <v>1.0999999999999999</v>
      </c>
      <c r="Q20" s="33">
        <f>'12'!Q36</f>
        <v>8.4129166666666713</v>
      </c>
      <c r="R20" s="46"/>
      <c r="S20" s="46"/>
      <c r="T20" s="46"/>
      <c r="U20" s="46"/>
    </row>
    <row r="21" spans="1:24" s="34" customFormat="1" x14ac:dyDescent="0.25">
      <c r="A21" s="36" t="str">
        <f>'13'!$B$2</f>
        <v>13/01/2025 01:00</v>
      </c>
      <c r="B21" s="33">
        <f>'13'!B36</f>
        <v>25.644090909090906</v>
      </c>
      <c r="C21" s="33">
        <f>'13'!C36</f>
        <v>71.75090909090909</v>
      </c>
      <c r="D21" s="33">
        <f>'13'!D36</f>
        <v>56.270454545454534</v>
      </c>
      <c r="E21" s="33">
        <f>'13'!E36</f>
        <v>9.9083333333333314</v>
      </c>
      <c r="F21" s="33">
        <f>'13'!F36</f>
        <v>2.3779166666666671</v>
      </c>
      <c r="G21" s="33">
        <f>'13'!G36</f>
        <v>135.40333333333334</v>
      </c>
      <c r="H21" s="33">
        <f>'13'!H36</f>
        <v>49.534166666666671</v>
      </c>
      <c r="I21" s="55" t="s">
        <v>15</v>
      </c>
      <c r="J21" s="33">
        <f>'13'!J36</f>
        <v>2.4479166666666665</v>
      </c>
      <c r="K21" s="33">
        <f>'13'!K36</f>
        <v>348.7</v>
      </c>
      <c r="L21" s="33">
        <f>'13'!L36</f>
        <v>18.058333333333334</v>
      </c>
      <c r="M21" s="33">
        <f>'13'!M36</f>
        <v>69.166666666666671</v>
      </c>
      <c r="N21" s="33">
        <f>'13'!N36</f>
        <v>206.07916666666668</v>
      </c>
      <c r="O21" s="33">
        <f>'13'!O36</f>
        <v>0</v>
      </c>
      <c r="P21" s="33">
        <f>'13'!P36</f>
        <v>1.3045833333333328</v>
      </c>
      <c r="Q21" s="33">
        <f>'13'!Q36</f>
        <v>8.2287500000000033</v>
      </c>
      <c r="R21" s="46"/>
      <c r="S21" s="46"/>
      <c r="T21" s="46"/>
      <c r="U21" s="46"/>
    </row>
    <row r="22" spans="1:24" s="34" customFormat="1" x14ac:dyDescent="0.25">
      <c r="A22" s="36" t="str">
        <f>'14'!$B$2</f>
        <v>14/01/2025 01:00</v>
      </c>
      <c r="B22" s="30">
        <f>'14'!B36</f>
        <v>14.623749999999999</v>
      </c>
      <c r="C22" s="30">
        <f>'14'!C36</f>
        <v>63.673333333333339</v>
      </c>
      <c r="D22" s="30">
        <f>'14'!D36</f>
        <v>43.385000000000012</v>
      </c>
      <c r="E22" s="30">
        <f>'14'!E36</f>
        <v>6.6741666666666655</v>
      </c>
      <c r="F22" s="30">
        <f>'14'!F36</f>
        <v>2.1300000000000003</v>
      </c>
      <c r="G22" s="30">
        <f>'14'!G36</f>
        <v>88.127499999999998</v>
      </c>
      <c r="H22" s="30">
        <f>'14'!H36</f>
        <v>41.215833333333329</v>
      </c>
      <c r="I22" s="55" t="s">
        <v>15</v>
      </c>
      <c r="J22" s="30">
        <f>'14'!J36</f>
        <v>2.0958333333333328</v>
      </c>
      <c r="K22" s="30">
        <f>'14'!K36</f>
        <v>292.0266666666667</v>
      </c>
      <c r="L22" s="30">
        <f>'14'!L36</f>
        <v>16.724999999999998</v>
      </c>
      <c r="M22" s="30">
        <f>'14'!M36</f>
        <v>78.500000000000014</v>
      </c>
      <c r="N22" s="30">
        <f>'14'!N36</f>
        <v>210.20416666666668</v>
      </c>
      <c r="O22" s="30">
        <f>'14'!O36</f>
        <v>0</v>
      </c>
      <c r="P22" s="30">
        <f>'14'!P36</f>
        <v>0.94458333333333311</v>
      </c>
      <c r="Q22" s="30">
        <f>'14'!Q36</f>
        <v>8.2100000000000062</v>
      </c>
      <c r="R22" s="47"/>
      <c r="S22" s="47"/>
      <c r="T22" s="47"/>
      <c r="U22" s="47"/>
    </row>
    <row r="23" spans="1:24" s="34" customFormat="1" x14ac:dyDescent="0.25">
      <c r="A23" s="36" t="str">
        <f>'15'!$B$2</f>
        <v>15/01/2025 01:00</v>
      </c>
      <c r="B23" s="33">
        <f>'15'!B36</f>
        <v>29.818333333333339</v>
      </c>
      <c r="C23" s="33">
        <f>'15'!C36</f>
        <v>62.987083333333338</v>
      </c>
      <c r="D23" s="33">
        <f>'15'!D36</f>
        <v>55.248749999999994</v>
      </c>
      <c r="E23" s="33">
        <f>'15'!E36</f>
        <v>6.9329166666666673</v>
      </c>
      <c r="F23" s="33">
        <f>'15'!F36</f>
        <v>2.1300000000000003</v>
      </c>
      <c r="G23" s="33">
        <f>'15'!G36</f>
        <v>100.59291666666667</v>
      </c>
      <c r="H23" s="33">
        <f>'15'!H36</f>
        <v>39.587916666666672</v>
      </c>
      <c r="I23" s="55" t="s">
        <v>15</v>
      </c>
      <c r="J23" s="33">
        <f>'15'!J36</f>
        <v>2.0554166666666664</v>
      </c>
      <c r="K23" s="33">
        <f>'15'!K36</f>
        <v>293.61625000000004</v>
      </c>
      <c r="L23" s="33">
        <f>'15'!L36</f>
        <v>17.209999999999997</v>
      </c>
      <c r="M23" s="33">
        <f>'15'!M36</f>
        <v>66.725000000000023</v>
      </c>
      <c r="N23" s="33">
        <f>'15'!N36</f>
        <v>199.5625</v>
      </c>
      <c r="O23" s="33">
        <f>'15'!O36</f>
        <v>0</v>
      </c>
      <c r="P23" s="30">
        <f>'15'!P36</f>
        <v>1.1087499999999997</v>
      </c>
      <c r="Q23" s="30">
        <f>'15'!Q36</f>
        <v>8.4354166666666703</v>
      </c>
      <c r="R23" s="47"/>
      <c r="S23" s="47"/>
      <c r="T23" s="47"/>
      <c r="U23" s="46"/>
    </row>
    <row r="24" spans="1:24" s="34" customFormat="1" x14ac:dyDescent="0.25">
      <c r="A24" s="36" t="str">
        <f>'16'!$B$2</f>
        <v>16/01/2025 01:00</v>
      </c>
      <c r="B24" s="33">
        <f>'16'!B36</f>
        <v>43.465000000000003</v>
      </c>
      <c r="C24" s="33">
        <f>'16'!C36</f>
        <v>70.58208333333333</v>
      </c>
      <c r="D24" s="33">
        <f>'16'!D36</f>
        <v>69.72375000000001</v>
      </c>
      <c r="E24" s="33">
        <f>'16'!E36</f>
        <v>7.9362500000000011</v>
      </c>
      <c r="F24" s="33">
        <f>'16'!F36</f>
        <v>3.6208333333333313</v>
      </c>
      <c r="G24" s="33">
        <f>'16'!G36</f>
        <v>123.16958333333334</v>
      </c>
      <c r="H24" s="33">
        <f>'16'!H36</f>
        <v>45.3675</v>
      </c>
      <c r="I24" s="55" t="s">
        <v>15</v>
      </c>
      <c r="J24" s="33">
        <f>'16'!J36</f>
        <v>2.3975000000000004</v>
      </c>
      <c r="K24" s="33">
        <f>'16'!K36</f>
        <v>301.68</v>
      </c>
      <c r="L24" s="33">
        <f>'16'!L36</f>
        <v>19.852499999999999</v>
      </c>
      <c r="M24" s="33">
        <f>'16'!M36</f>
        <v>63.658333333333339</v>
      </c>
      <c r="N24" s="33">
        <f>'16'!N36</f>
        <v>208.30833333333337</v>
      </c>
      <c r="O24" s="33">
        <f>'16'!O36</f>
        <v>0</v>
      </c>
      <c r="P24" s="30">
        <f>'16'!P36</f>
        <v>1.2962500000000001</v>
      </c>
      <c r="Q24" s="30">
        <f>'16'!Q36</f>
        <v>8.6983333333333377</v>
      </c>
      <c r="R24" s="47"/>
      <c r="S24" s="47"/>
      <c r="T24" s="47"/>
      <c r="U24" s="46"/>
    </row>
    <row r="25" spans="1:24" s="34" customFormat="1" x14ac:dyDescent="0.25">
      <c r="A25" s="36" t="str">
        <f>'17'!$B$2</f>
        <v>17/01/2025 01:00</v>
      </c>
      <c r="B25" s="33">
        <f>'17'!B36</f>
        <v>23.887500000000003</v>
      </c>
      <c r="C25" s="33">
        <f>'17'!C36</f>
        <v>62.20416666666668</v>
      </c>
      <c r="D25" s="33">
        <f>'17'!D36</f>
        <v>49.869583333333331</v>
      </c>
      <c r="E25" s="33">
        <f>'17'!E36</f>
        <v>6.6604166666666664</v>
      </c>
      <c r="F25" s="33">
        <f>'17'!F36</f>
        <v>2.1304166666666671</v>
      </c>
      <c r="G25" s="33">
        <f>'17'!G36</f>
        <v>70.036666666666676</v>
      </c>
      <c r="H25" s="33">
        <f>'17'!H36</f>
        <v>27.092500000000005</v>
      </c>
      <c r="I25" s="55" t="s">
        <v>15</v>
      </c>
      <c r="J25" s="33">
        <f>'17'!J36</f>
        <v>2.1820833333333334</v>
      </c>
      <c r="K25" s="33">
        <f>'17'!K36</f>
        <v>338.81749999999994</v>
      </c>
      <c r="L25" s="33">
        <f>'17'!L36</f>
        <v>18.649583333333339</v>
      </c>
      <c r="M25" s="33">
        <f>'17'!M36</f>
        <v>43.354999999999997</v>
      </c>
      <c r="N25" s="33">
        <f>'17'!N36</f>
        <v>214.47916666666671</v>
      </c>
      <c r="O25" s="33">
        <f>'17'!O36</f>
        <v>0</v>
      </c>
      <c r="P25" s="30">
        <f>'17'!P36</f>
        <v>0.81166666666666665</v>
      </c>
      <c r="Q25" s="30">
        <f>'17'!Q36</f>
        <v>8.4995833333333373</v>
      </c>
      <c r="R25" s="47"/>
      <c r="S25" s="47"/>
      <c r="T25" s="47"/>
      <c r="U25" s="46"/>
    </row>
    <row r="26" spans="1:24" s="34" customFormat="1" x14ac:dyDescent="0.25">
      <c r="A26" s="36" t="str">
        <f>'18'!$B$2</f>
        <v>18/01/2025 01:00</v>
      </c>
      <c r="B26" s="33">
        <f>'18'!B36</f>
        <v>38.475416666666668</v>
      </c>
      <c r="C26" s="33">
        <f>'18'!C36</f>
        <v>64.245833333333323</v>
      </c>
      <c r="D26" s="33">
        <f>'18'!D36</f>
        <v>62.71</v>
      </c>
      <c r="E26" s="33">
        <f>'18'!E36</f>
        <v>7.2754166666666684</v>
      </c>
      <c r="F26" s="33">
        <f>'18'!F36</f>
        <v>2.1300000000000003</v>
      </c>
      <c r="G26" s="33">
        <f>'18'!G36</f>
        <v>86.034166666666678</v>
      </c>
      <c r="H26" s="33">
        <f>'18'!H36</f>
        <v>29.273749999999996</v>
      </c>
      <c r="I26" s="55" t="s">
        <v>15</v>
      </c>
      <c r="J26" s="33">
        <f>'18'!J36</f>
        <v>1.8758333333333337</v>
      </c>
      <c r="K26" s="33">
        <f>'18'!K36</f>
        <v>335.80500000000001</v>
      </c>
      <c r="L26" s="33">
        <f>'18'!L36</f>
        <v>17.837083333333336</v>
      </c>
      <c r="M26" s="33">
        <f>'18'!M36</f>
        <v>50.444583333333327</v>
      </c>
      <c r="N26" s="33">
        <f>'18'!N36</f>
        <v>220.95416666666665</v>
      </c>
      <c r="O26" s="33">
        <f>'18'!O36</f>
        <v>0</v>
      </c>
      <c r="P26" s="30">
        <f>'18'!P36</f>
        <v>0.96583333333333321</v>
      </c>
      <c r="Q26" s="30">
        <f>'18'!Q36</f>
        <v>8.4533333333333367</v>
      </c>
      <c r="R26" s="47"/>
      <c r="S26" s="47"/>
      <c r="T26" s="47"/>
      <c r="U26" s="46"/>
    </row>
    <row r="27" spans="1:24" s="34" customFormat="1" x14ac:dyDescent="0.25">
      <c r="A27" s="36" t="str">
        <f>'19'!$B$2</f>
        <v>19/01/2025 01:00</v>
      </c>
      <c r="B27" s="33">
        <f>'19'!B36</f>
        <v>67.265416666666667</v>
      </c>
      <c r="C27" s="33">
        <f>'19'!C36</f>
        <v>68.520833333333343</v>
      </c>
      <c r="D27" s="33">
        <f>'19'!D36</f>
        <v>87.852083333333326</v>
      </c>
      <c r="E27" s="33">
        <f>'19'!E36</f>
        <v>7.6287500000000001</v>
      </c>
      <c r="F27" s="33">
        <f>'19'!F36</f>
        <v>2.1300000000000003</v>
      </c>
      <c r="G27" s="33">
        <f>'19'!G36</f>
        <v>137.0566666666667</v>
      </c>
      <c r="H27" s="33">
        <f>'19'!H36</f>
        <v>45.698749999999997</v>
      </c>
      <c r="I27" s="55" t="s">
        <v>15</v>
      </c>
      <c r="J27" s="33">
        <f>'19'!J36</f>
        <v>1.8041666666666665</v>
      </c>
      <c r="K27" s="33">
        <f>'19'!K36</f>
        <v>301.56666666666666</v>
      </c>
      <c r="L27" s="33">
        <f>'19'!L36</f>
        <v>17.293333333333333</v>
      </c>
      <c r="M27" s="33">
        <f>'19'!M36</f>
        <v>60.162916666666668</v>
      </c>
      <c r="N27" s="33">
        <f>'19'!N36</f>
        <v>239.77499999999998</v>
      </c>
      <c r="O27" s="33">
        <f>'19'!O36</f>
        <v>0</v>
      </c>
      <c r="P27" s="30">
        <f>'19'!P36</f>
        <v>1.3941666666666663</v>
      </c>
      <c r="Q27" s="30">
        <f>'19'!Q36</f>
        <v>8.9020833333333353</v>
      </c>
      <c r="R27" s="47"/>
      <c r="S27" s="47"/>
      <c r="T27" s="47"/>
      <c r="U27" s="46"/>
    </row>
    <row r="28" spans="1:24" s="34" customFormat="1" x14ac:dyDescent="0.25">
      <c r="A28" s="36" t="str">
        <f>'20'!$B$2</f>
        <v>20/01/2025 01:00</v>
      </c>
      <c r="B28" s="33">
        <f>'20'!B36</f>
        <v>102.99041666666666</v>
      </c>
      <c r="C28" s="33">
        <f>'20'!C36</f>
        <v>71.832916666666662</v>
      </c>
      <c r="D28" s="33">
        <f>'20'!D36</f>
        <v>117.87416666666668</v>
      </c>
      <c r="E28" s="33">
        <f>'20'!E36</f>
        <v>9.5704545454545435</v>
      </c>
      <c r="F28" s="33">
        <f>'20'!F36</f>
        <v>4.1154166666666647</v>
      </c>
      <c r="G28" s="33">
        <f>'20'!G36</f>
        <v>139.84608695652173</v>
      </c>
      <c r="H28" s="33">
        <f>'20'!H36</f>
        <v>43.533913043478258</v>
      </c>
      <c r="I28" s="55" t="s">
        <v>15</v>
      </c>
      <c r="J28" s="33">
        <f>'20'!J36</f>
        <v>1.9974999999999996</v>
      </c>
      <c r="K28" s="33">
        <f>'20'!K36</f>
        <v>316.92083333333329</v>
      </c>
      <c r="L28" s="33">
        <f>'20'!L36</f>
        <v>17.851666666666663</v>
      </c>
      <c r="M28" s="33">
        <f>'20'!M36</f>
        <v>60.414583333333333</v>
      </c>
      <c r="N28" s="33">
        <f>'20'!N36</f>
        <v>249.3208333333333</v>
      </c>
      <c r="O28" s="33">
        <f>'20'!O36</f>
        <v>0</v>
      </c>
      <c r="P28" s="30">
        <f>'20'!P36</f>
        <v>1.2741666666666671</v>
      </c>
      <c r="Q28" s="30">
        <f>'20'!Q36</f>
        <v>9.4425000000000008</v>
      </c>
      <c r="R28" s="47"/>
      <c r="S28" s="47"/>
      <c r="T28" s="47"/>
      <c r="U28" s="46"/>
    </row>
    <row r="29" spans="1:24" s="34" customFormat="1" x14ac:dyDescent="0.25">
      <c r="A29" s="36" t="str">
        <f>'21'!$B$2</f>
        <v>21/01/2025 01:00</v>
      </c>
      <c r="B29" s="33">
        <f>'21'!B36</f>
        <v>87.243333333333325</v>
      </c>
      <c r="C29" s="33">
        <f>'21'!C36</f>
        <v>71.002499999999998</v>
      </c>
      <c r="D29" s="33">
        <f>'21'!D36</f>
        <v>104.98916666666666</v>
      </c>
      <c r="E29" s="33">
        <f>'21'!E36</f>
        <v>7.3820833333333331</v>
      </c>
      <c r="F29" s="33">
        <f>'21'!F36</f>
        <v>2.1300000000000003</v>
      </c>
      <c r="G29" s="33">
        <f>'21'!G36</f>
        <v>115.24541666666666</v>
      </c>
      <c r="H29" s="33">
        <f>'21'!H36</f>
        <v>36.043750000000003</v>
      </c>
      <c r="I29" s="55" t="s">
        <v>15</v>
      </c>
      <c r="J29" s="33">
        <f>'21'!J36</f>
        <v>1.9141666666666666</v>
      </c>
      <c r="K29" s="33">
        <f>'21'!K36</f>
        <v>326.57791666666662</v>
      </c>
      <c r="L29" s="33">
        <f>'21'!L36</f>
        <v>18.5275</v>
      </c>
      <c r="M29" s="33">
        <f>'21'!M36</f>
        <v>66.553749999999994</v>
      </c>
      <c r="N29" s="33">
        <f>'21'!N36</f>
        <v>241.35416666666666</v>
      </c>
      <c r="O29" s="33">
        <f>'21'!O36</f>
        <v>0</v>
      </c>
      <c r="P29" s="30">
        <f>'21'!P36</f>
        <v>1.4333333333333333</v>
      </c>
      <c r="Q29" s="30">
        <f>'21'!Q36</f>
        <v>9.2583333333333346</v>
      </c>
      <c r="R29" s="47"/>
      <c r="S29" s="47"/>
      <c r="T29" s="47"/>
      <c r="U29" s="46"/>
    </row>
    <row r="30" spans="1:24" s="34" customFormat="1" x14ac:dyDescent="0.25">
      <c r="A30" s="36" t="str">
        <f>'22'!$B$2</f>
        <v>22/01/2025 01:00</v>
      </c>
      <c r="B30" s="33">
        <f>'22'!B36</f>
        <v>100.83916666666669</v>
      </c>
      <c r="C30" s="33">
        <f>'22'!C36</f>
        <v>77.630416666666676</v>
      </c>
      <c r="D30" s="33">
        <f>'22'!D36</f>
        <v>118.17</v>
      </c>
      <c r="E30" s="33">
        <f>'22'!E36</f>
        <v>10.363333333333333</v>
      </c>
      <c r="F30" s="33">
        <f>'22'!F36</f>
        <v>8.8045833333333317</v>
      </c>
      <c r="G30" s="33">
        <f>'22'!G36</f>
        <v>143.17416666666668</v>
      </c>
      <c r="H30" s="33">
        <f>'22'!H36</f>
        <v>44.794583333333328</v>
      </c>
      <c r="I30" s="55" t="s">
        <v>15</v>
      </c>
      <c r="J30" s="33">
        <f>'22'!J36</f>
        <v>1.9820833333333334</v>
      </c>
      <c r="K30" s="33">
        <f>'22'!K36</f>
        <v>325.72083333333336</v>
      </c>
      <c r="L30" s="33">
        <f>'22'!L36</f>
        <v>19.404166666666665</v>
      </c>
      <c r="M30" s="33">
        <f>'22'!M36</f>
        <v>68.592499999999987</v>
      </c>
      <c r="N30" s="33">
        <f>'22'!N36</f>
        <v>235.72916666666666</v>
      </c>
      <c r="O30" s="33">
        <f>'22'!O36</f>
        <v>0</v>
      </c>
      <c r="P30" s="30">
        <f>'22'!P36</f>
        <v>1.6591666666666667</v>
      </c>
      <c r="Q30" s="30">
        <f>'22'!Q36</f>
        <v>9.3691666666666684</v>
      </c>
      <c r="R30" s="47"/>
      <c r="S30" s="46"/>
      <c r="T30" s="46"/>
      <c r="U30" s="46"/>
    </row>
    <row r="31" spans="1:24" s="34" customFormat="1" x14ac:dyDescent="0.25">
      <c r="A31" s="36" t="str">
        <f>'23'!$B$2</f>
        <v>23/01/2025 01:00</v>
      </c>
      <c r="B31" s="33">
        <f>'23'!B36</f>
        <v>83.976666666666674</v>
      </c>
      <c r="C31" s="33">
        <f>'23'!C36</f>
        <v>73.855833333333337</v>
      </c>
      <c r="D31" s="33">
        <f>'23'!D36</f>
        <v>104.05041666666666</v>
      </c>
      <c r="E31" s="33">
        <f>'23'!E36</f>
        <v>7.8525</v>
      </c>
      <c r="F31" s="33">
        <f>'23'!F36</f>
        <v>2.1320833333333336</v>
      </c>
      <c r="G31" s="33">
        <f>'23'!G36</f>
        <v>150.47458333333336</v>
      </c>
      <c r="H31" s="33">
        <f>'23'!H36</f>
        <v>49.138749999999995</v>
      </c>
      <c r="I31" s="55" t="s">
        <v>15</v>
      </c>
      <c r="J31" s="33">
        <f>'23'!J36</f>
        <v>1.8395833333333333</v>
      </c>
      <c r="K31" s="33">
        <f>'23'!K36</f>
        <v>296.28208333333333</v>
      </c>
      <c r="L31" s="33">
        <f>'23'!L36</f>
        <v>20.265833333333337</v>
      </c>
      <c r="M31" s="33">
        <f>'23'!M36</f>
        <v>65.015000000000001</v>
      </c>
      <c r="N31" s="33">
        <f>'23'!N36</f>
        <v>237.82083333333333</v>
      </c>
      <c r="O31" s="33">
        <f>'23'!O36</f>
        <v>0</v>
      </c>
      <c r="P31" s="33">
        <f>'23'!P36</f>
        <v>1.7370833333333333</v>
      </c>
      <c r="Q31" s="33">
        <f>'23'!Q36</f>
        <v>9.0650000000000031</v>
      </c>
      <c r="R31" s="46"/>
      <c r="S31" s="46"/>
      <c r="T31" s="46"/>
      <c r="U31" s="46"/>
    </row>
    <row r="32" spans="1:24" s="34" customFormat="1" x14ac:dyDescent="0.25">
      <c r="A32" s="36" t="str">
        <f>'24'!$B$2</f>
        <v>24/01/2025 01:00</v>
      </c>
      <c r="B32" s="33">
        <f>'24'!B36</f>
        <v>69.507083333333341</v>
      </c>
      <c r="C32" s="33">
        <f>'24'!C36</f>
        <v>77.377499999999984</v>
      </c>
      <c r="D32" s="33">
        <f>'24'!D36</f>
        <v>94.012083333333337</v>
      </c>
      <c r="E32" s="33">
        <f>'24'!E36</f>
        <v>8.1483333333333317</v>
      </c>
      <c r="F32" s="33">
        <f>'24'!F36</f>
        <v>2.1395833333333338</v>
      </c>
      <c r="G32" s="33">
        <f>'24'!G36</f>
        <v>162.23999999999998</v>
      </c>
      <c r="H32" s="33">
        <f>'24'!H36</f>
        <v>62.143636363636375</v>
      </c>
      <c r="I32" s="55" t="s">
        <v>15</v>
      </c>
      <c r="J32" s="33">
        <f>'24'!J36</f>
        <v>2.0970833333333339</v>
      </c>
      <c r="K32" s="33">
        <f>'24'!K36</f>
        <v>323.25583333333344</v>
      </c>
      <c r="L32" s="33">
        <f>'24'!L36</f>
        <v>20.768750000000001</v>
      </c>
      <c r="M32" s="33">
        <f>'24'!M36</f>
        <v>69.663749999999979</v>
      </c>
      <c r="N32" s="33">
        <f>'24'!N36</f>
        <v>212.62499999999997</v>
      </c>
      <c r="O32" s="33">
        <f>'24'!O36</f>
        <v>0</v>
      </c>
      <c r="P32" s="33">
        <f>'24'!P36</f>
        <v>1.6412500000000001</v>
      </c>
      <c r="Q32" s="33">
        <f>'24'!Q36</f>
        <v>8.6575000000000006</v>
      </c>
      <c r="R32" s="46"/>
      <c r="S32" s="46"/>
      <c r="T32" s="46"/>
      <c r="U32" s="46"/>
    </row>
    <row r="33" spans="1:21" s="34" customFormat="1" x14ac:dyDescent="0.25">
      <c r="A33" s="36" t="str">
        <f>'25'!$B$2</f>
        <v>25/01/2025 01:00</v>
      </c>
      <c r="B33" s="33">
        <f>'25'!B36</f>
        <v>69.063333333333333</v>
      </c>
      <c r="C33" s="33">
        <f>'25'!C36</f>
        <v>72.682916666666671</v>
      </c>
      <c r="D33" s="33">
        <f>'25'!D36</f>
        <v>91.393750000000026</v>
      </c>
      <c r="E33" s="33">
        <f>'25'!E36</f>
        <v>6.5058333333333325</v>
      </c>
      <c r="F33" s="33">
        <f>'25'!F36</f>
        <v>2.1991666666666672</v>
      </c>
      <c r="G33" s="33">
        <f>'25'!G36</f>
        <v>101.21999999999998</v>
      </c>
      <c r="H33" s="33">
        <f>'25'!H36</f>
        <v>33.955833333333331</v>
      </c>
      <c r="I33" s="55" t="s">
        <v>15</v>
      </c>
      <c r="J33" s="33">
        <f>'25'!J36</f>
        <v>2.0345833333333334</v>
      </c>
      <c r="K33" s="33">
        <f>'25'!K36</f>
        <v>328.39041666666668</v>
      </c>
      <c r="L33" s="33">
        <f>'25'!L36</f>
        <v>20.256666666666671</v>
      </c>
      <c r="M33" s="33">
        <f>'25'!M36</f>
        <v>66.257916666666674</v>
      </c>
      <c r="N33" s="33">
        <f>'25'!N36</f>
        <v>215.94166666666663</v>
      </c>
      <c r="O33" s="33">
        <f>'25'!O36</f>
        <v>0</v>
      </c>
      <c r="P33" s="33">
        <f>'25'!P36</f>
        <v>1.4304166666666667</v>
      </c>
      <c r="Q33" s="33">
        <f>'25'!Q36</f>
        <v>8.7970833333333385</v>
      </c>
      <c r="R33" s="46"/>
      <c r="S33" s="46"/>
      <c r="T33" s="46"/>
      <c r="U33" s="46"/>
    </row>
    <row r="34" spans="1:21" s="34" customFormat="1" x14ac:dyDescent="0.25">
      <c r="A34" s="36" t="str">
        <f>'26'!$B$2</f>
        <v>26/01/2025 01:00</v>
      </c>
      <c r="B34" s="33">
        <f>'26'!B36</f>
        <v>45.184583333333336</v>
      </c>
      <c r="C34" s="33">
        <f>'26'!C36</f>
        <v>69.342083333333335</v>
      </c>
      <c r="D34" s="33">
        <f>'26'!D36</f>
        <v>70.625</v>
      </c>
      <c r="E34" s="33">
        <f>'26'!E36</f>
        <v>6.6149999999999993</v>
      </c>
      <c r="F34" s="33">
        <f>'26'!F36</f>
        <v>2.1425000000000005</v>
      </c>
      <c r="G34" s="33">
        <f>'26'!G36</f>
        <v>96.685833333333335</v>
      </c>
      <c r="H34" s="33">
        <f>'26'!H36</f>
        <v>38.970000000000006</v>
      </c>
      <c r="I34" s="55" t="s">
        <v>15</v>
      </c>
      <c r="J34" s="33">
        <f>'26'!J36</f>
        <v>2.0262499999999997</v>
      </c>
      <c r="K34" s="33">
        <f>'26'!K36</f>
        <v>291.66625000000005</v>
      </c>
      <c r="L34" s="33">
        <f>'26'!L36</f>
        <v>19.612500000000001</v>
      </c>
      <c r="M34" s="33">
        <f>'26'!M36</f>
        <v>59.53875</v>
      </c>
      <c r="N34" s="33">
        <f>'26'!N36</f>
        <v>227.42083333333335</v>
      </c>
      <c r="O34" s="33">
        <f>'26'!O36</f>
        <v>0</v>
      </c>
      <c r="P34" s="33">
        <f>'26'!P36</f>
        <v>1.2079166666666665</v>
      </c>
      <c r="Q34" s="33">
        <f>'26'!Q36</f>
        <v>8.4183333333333383</v>
      </c>
      <c r="R34" s="46"/>
      <c r="S34" s="46"/>
      <c r="T34" s="46"/>
      <c r="U34" s="46"/>
    </row>
    <row r="35" spans="1:21" s="34" customFormat="1" x14ac:dyDescent="0.25">
      <c r="A35" s="36" t="str">
        <f>'27'!$B$2</f>
        <v>27/01/2025 01:00</v>
      </c>
      <c r="B35" s="33">
        <f>'27'!B36</f>
        <v>34.30833333333333</v>
      </c>
      <c r="C35" s="33">
        <f>'27'!C36</f>
        <v>73.872916666666669</v>
      </c>
      <c r="D35" s="33">
        <f>'27'!D36</f>
        <v>63.922083333333347</v>
      </c>
      <c r="E35" s="33">
        <f>'27'!E36</f>
        <v>7.0737500000000004</v>
      </c>
      <c r="F35" s="33">
        <f>'27'!F36</f>
        <v>3.3433333333333319</v>
      </c>
      <c r="G35" s="33">
        <f>'27'!G36</f>
        <v>83.774999999999991</v>
      </c>
      <c r="H35" s="33">
        <f>'27'!H36</f>
        <v>42.322916666666679</v>
      </c>
      <c r="I35" s="55" t="s">
        <v>15</v>
      </c>
      <c r="J35" s="33">
        <f>'27'!J36</f>
        <v>2.0449999999999995</v>
      </c>
      <c r="K35" s="33">
        <f>'27'!K36</f>
        <v>315.61375000000004</v>
      </c>
      <c r="L35" s="33">
        <f>'27'!L36</f>
        <v>19.776666666666667</v>
      </c>
      <c r="M35" s="33">
        <f>'27'!M36</f>
        <v>50.344999999999999</v>
      </c>
      <c r="N35" s="33">
        <f>'27'!N36</f>
        <v>239.52500000000001</v>
      </c>
      <c r="O35" s="33">
        <f>'27'!O36</f>
        <v>0</v>
      </c>
      <c r="P35" s="30">
        <f>'27'!P36</f>
        <v>0.93624999999999992</v>
      </c>
      <c r="Q35" s="33">
        <f>'27'!Q36</f>
        <v>8.506250000000005</v>
      </c>
      <c r="R35" s="46"/>
      <c r="S35" s="46"/>
      <c r="T35" s="46"/>
      <c r="U35" s="46"/>
    </row>
    <row r="36" spans="1:21" s="34" customFormat="1" x14ac:dyDescent="0.25">
      <c r="A36" s="36" t="str">
        <f>'28'!$B$2</f>
        <v>28/01/2025 01:00</v>
      </c>
      <c r="B36" s="33">
        <f>'28'!B36</f>
        <v>51.844166666666673</v>
      </c>
      <c r="C36" s="33">
        <f>'28'!C36</f>
        <v>69.186250000000001</v>
      </c>
      <c r="D36" s="33">
        <f>'28'!D36</f>
        <v>75.956666666666663</v>
      </c>
      <c r="E36" s="33">
        <f>'28'!E36</f>
        <v>7.1850000000000014</v>
      </c>
      <c r="F36" s="33">
        <f>'28'!F36</f>
        <v>2.1300000000000003</v>
      </c>
      <c r="G36" s="33">
        <f>'28'!G36</f>
        <v>109.19124999999998</v>
      </c>
      <c r="H36" s="33">
        <f>'28'!H36</f>
        <v>34.370000000000005</v>
      </c>
      <c r="I36" s="55" t="s">
        <v>15</v>
      </c>
      <c r="J36" s="33">
        <f>'28'!J36</f>
        <v>1.7729166666666665</v>
      </c>
      <c r="K36" s="33">
        <f>'28'!K36</f>
        <v>254.0991666666666</v>
      </c>
      <c r="L36" s="33">
        <f>'28'!L36</f>
        <v>19.241250000000001</v>
      </c>
      <c r="M36" s="33">
        <f>'28'!M36</f>
        <v>51.676666666666669</v>
      </c>
      <c r="N36" s="33">
        <f>'28'!N36</f>
        <v>236.89583333333334</v>
      </c>
      <c r="O36" s="33">
        <f>'28'!O36</f>
        <v>0</v>
      </c>
      <c r="P36" s="30">
        <f>'28'!P36</f>
        <v>1.1787500000000002</v>
      </c>
      <c r="Q36" s="33">
        <f>'28'!Q36</f>
        <v>8.7204166666666705</v>
      </c>
      <c r="R36" s="46"/>
      <c r="S36" s="46"/>
      <c r="T36" s="46"/>
      <c r="U36" s="46"/>
    </row>
    <row r="37" spans="1:21" s="34" customFormat="1" x14ac:dyDescent="0.25">
      <c r="A37" s="36" t="str">
        <f>'29'!$B$2</f>
        <v>29/01/2025 01:00</v>
      </c>
      <c r="B37" s="33">
        <f>'29'!B36</f>
        <v>49.287916666666668</v>
      </c>
      <c r="C37" s="33">
        <f>'29'!C36</f>
        <v>77.7</v>
      </c>
      <c r="D37" s="33">
        <f>'29'!D36</f>
        <v>78.049583333333331</v>
      </c>
      <c r="E37" s="33">
        <f>'29'!E36</f>
        <v>7.432500000000001</v>
      </c>
      <c r="F37" s="33">
        <f>'29'!F36</f>
        <v>2.2562500000000005</v>
      </c>
      <c r="G37" s="33">
        <f>'29'!G36</f>
        <v>125.59750000000003</v>
      </c>
      <c r="H37" s="33">
        <f>'29'!H36</f>
        <v>46.362083333333324</v>
      </c>
      <c r="I37" s="55" t="s">
        <v>15</v>
      </c>
      <c r="J37" s="33">
        <f>'29'!J36</f>
        <v>1.7333333333333341</v>
      </c>
      <c r="K37" s="33">
        <f>'29'!K36</f>
        <v>290.57791666666668</v>
      </c>
      <c r="L37" s="33">
        <f>'29'!L36</f>
        <v>20.290833333333339</v>
      </c>
      <c r="M37" s="33">
        <f>'29'!M36</f>
        <v>63.470833333333331</v>
      </c>
      <c r="N37" s="33">
        <f>'29'!N36</f>
        <v>212.42083333333335</v>
      </c>
      <c r="O37" s="33">
        <f>'29'!O36</f>
        <v>0</v>
      </c>
      <c r="P37" s="33">
        <f>'29'!P36</f>
        <v>1.4675000000000002</v>
      </c>
      <c r="Q37" s="33">
        <f>'29'!Q36</f>
        <v>8.5870833333333358</v>
      </c>
      <c r="R37" s="46"/>
      <c r="S37" s="46"/>
      <c r="T37" s="46"/>
      <c r="U37" s="46"/>
    </row>
    <row r="38" spans="1:21" s="34" customFormat="1" x14ac:dyDescent="0.25">
      <c r="A38" s="36" t="str">
        <f>'30'!$B$2</f>
        <v>30/01/2025 01:00</v>
      </c>
      <c r="B38" s="33">
        <f>'30'!B36</f>
        <v>29.955416666666665</v>
      </c>
      <c r="C38" s="33">
        <f>'30'!C36</f>
        <v>63.58458333333332</v>
      </c>
      <c r="D38" s="33">
        <f>'30'!D36</f>
        <v>55.531249999999993</v>
      </c>
      <c r="E38" s="33">
        <f>'30'!E36</f>
        <v>7.6537499999999987</v>
      </c>
      <c r="F38" s="33">
        <f>'30'!F36</f>
        <v>3.5229166666666654</v>
      </c>
      <c r="G38" s="33">
        <f>'30'!G36</f>
        <v>78.798749999999998</v>
      </c>
      <c r="H38" s="33">
        <f>'30'!H36</f>
        <v>28.273750000000007</v>
      </c>
      <c r="I38" s="55" t="s">
        <v>15</v>
      </c>
      <c r="J38" s="33">
        <f>'30'!J36</f>
        <v>1.5129166666666667</v>
      </c>
      <c r="K38" s="33">
        <f>'30'!K36</f>
        <v>296.82708333333335</v>
      </c>
      <c r="L38" s="33">
        <f>'30'!L36</f>
        <v>21.680833333333329</v>
      </c>
      <c r="M38" s="33">
        <f>'30'!M36</f>
        <v>73.341249999999988</v>
      </c>
      <c r="N38" s="33">
        <f>'30'!N36</f>
        <v>221.72916666666671</v>
      </c>
      <c r="O38" s="33">
        <f>'30'!O36</f>
        <v>0</v>
      </c>
      <c r="P38" s="33">
        <f>'30'!P36</f>
        <v>1.0041666666666667</v>
      </c>
      <c r="Q38" s="33">
        <f>'30'!Q36</f>
        <v>8.2604166666666732</v>
      </c>
      <c r="R38" s="46"/>
      <c r="S38" s="46"/>
      <c r="T38" s="46"/>
      <c r="U38" s="46"/>
    </row>
    <row r="39" spans="1:21" s="34" customFormat="1" x14ac:dyDescent="0.25">
      <c r="A39" s="36" t="str">
        <f>'31'!$B$2</f>
        <v>31/01/2025 01:00</v>
      </c>
      <c r="B39" s="33">
        <f>'31'!B36</f>
        <v>23.571250000000003</v>
      </c>
      <c r="C39" s="33">
        <f>'30'!C36</f>
        <v>63.58458333333332</v>
      </c>
      <c r="D39" s="33">
        <f>'30'!D36</f>
        <v>55.531249999999993</v>
      </c>
      <c r="E39" s="33">
        <f>'30'!E36</f>
        <v>7.6537499999999987</v>
      </c>
      <c r="F39" s="33">
        <f>'30'!F36</f>
        <v>3.5229166666666654</v>
      </c>
      <c r="G39" s="33">
        <f>'30'!G36</f>
        <v>78.798749999999998</v>
      </c>
      <c r="H39" s="33">
        <f>'30'!H36</f>
        <v>28.273750000000007</v>
      </c>
      <c r="I39" s="55" t="s">
        <v>15</v>
      </c>
      <c r="J39" s="33">
        <f>'30'!J36</f>
        <v>1.5129166666666667</v>
      </c>
      <c r="K39" s="33">
        <f>'30'!K36</f>
        <v>296.82708333333335</v>
      </c>
      <c r="L39" s="33">
        <f>'30'!L36</f>
        <v>21.680833333333329</v>
      </c>
      <c r="M39" s="33">
        <f>'30'!M36</f>
        <v>73.341249999999988</v>
      </c>
      <c r="N39" s="33">
        <f>'30'!N36</f>
        <v>221.72916666666671</v>
      </c>
      <c r="O39" s="33">
        <f>'30'!O36</f>
        <v>0</v>
      </c>
      <c r="P39" s="33">
        <f>'30'!P36</f>
        <v>1.0041666666666667</v>
      </c>
      <c r="Q39" s="33">
        <f>'30'!Q36</f>
        <v>8.2604166666666732</v>
      </c>
      <c r="R39" s="46"/>
      <c r="S39" s="46"/>
      <c r="T39" s="46"/>
      <c r="U39" s="46"/>
    </row>
    <row r="40" spans="1:21" x14ac:dyDescent="0.25"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0"/>
      <c r="S40" s="20"/>
      <c r="T40" s="20"/>
      <c r="U40" s="48"/>
    </row>
    <row r="41" spans="1:21" s="21" customFormat="1" x14ac:dyDescent="0.25">
      <c r="A41" s="14" t="s">
        <v>30</v>
      </c>
      <c r="B41" s="15">
        <f t="shared" ref="B41:Q41" si="0">MIN(B9:B38)</f>
        <v>14.623749999999999</v>
      </c>
      <c r="C41" s="15">
        <f t="shared" si="0"/>
        <v>50.041666666666664</v>
      </c>
      <c r="D41" s="15">
        <f t="shared" si="0"/>
        <v>43.385000000000012</v>
      </c>
      <c r="E41" s="15">
        <f t="shared" si="0"/>
        <v>6.5058333333333325</v>
      </c>
      <c r="F41" s="15">
        <f t="shared" si="0"/>
        <v>2.1299999999999994</v>
      </c>
      <c r="G41" s="15">
        <f t="shared" si="0"/>
        <v>70.036666666666676</v>
      </c>
      <c r="H41" s="15">
        <f t="shared" si="0"/>
        <v>27.092500000000005</v>
      </c>
      <c r="I41" s="15">
        <f t="shared" si="0"/>
        <v>0</v>
      </c>
      <c r="J41" s="15">
        <f t="shared" si="0"/>
        <v>1.2862499999999999</v>
      </c>
      <c r="K41" s="15">
        <f t="shared" si="0"/>
        <v>213.44636363636363</v>
      </c>
      <c r="L41" s="15">
        <f t="shared" si="0"/>
        <v>14.885454545454543</v>
      </c>
      <c r="M41" s="15">
        <f t="shared" si="0"/>
        <v>43.354999999999997</v>
      </c>
      <c r="N41" s="15">
        <f t="shared" si="0"/>
        <v>199.5625</v>
      </c>
      <c r="O41" s="15">
        <f t="shared" si="0"/>
        <v>0</v>
      </c>
      <c r="P41" s="15">
        <f t="shared" si="0"/>
        <v>0.81166666666666665</v>
      </c>
      <c r="Q41" s="15">
        <f t="shared" si="0"/>
        <v>8.2100000000000062</v>
      </c>
      <c r="R41" s="28"/>
      <c r="S41" s="28"/>
      <c r="T41" s="28"/>
      <c r="U41" s="28"/>
    </row>
    <row r="42" spans="1:21" s="21" customFormat="1" x14ac:dyDescent="0.25">
      <c r="A42" s="14" t="s">
        <v>31</v>
      </c>
      <c r="B42" s="15">
        <f t="shared" ref="B42:Q42" si="1">MAX(B9:B38)</f>
        <v>114.04666666666667</v>
      </c>
      <c r="C42" s="15">
        <f t="shared" si="1"/>
        <v>77.7</v>
      </c>
      <c r="D42" s="15">
        <f t="shared" si="1"/>
        <v>119.33916666666669</v>
      </c>
      <c r="E42" s="15">
        <f t="shared" si="1"/>
        <v>10.363333333333333</v>
      </c>
      <c r="F42" s="15">
        <f t="shared" si="1"/>
        <v>8.8045833333333317</v>
      </c>
      <c r="G42" s="15">
        <f t="shared" si="1"/>
        <v>162.23999999999998</v>
      </c>
      <c r="H42" s="15">
        <f t="shared" si="1"/>
        <v>62.143636363636375</v>
      </c>
      <c r="I42" s="15">
        <f t="shared" si="1"/>
        <v>0</v>
      </c>
      <c r="J42" s="15">
        <f t="shared" si="1"/>
        <v>2.6012499999999998</v>
      </c>
      <c r="K42" s="15">
        <f t="shared" si="1"/>
        <v>348.7</v>
      </c>
      <c r="L42" s="15">
        <f t="shared" si="1"/>
        <v>21.680833333333329</v>
      </c>
      <c r="M42" s="15">
        <f t="shared" si="1"/>
        <v>78.500000000000014</v>
      </c>
      <c r="N42" s="15">
        <f t="shared" si="1"/>
        <v>296.90416666666675</v>
      </c>
      <c r="O42" s="15">
        <f t="shared" si="1"/>
        <v>0</v>
      </c>
      <c r="P42" s="15">
        <f t="shared" si="1"/>
        <v>1.7370833333333333</v>
      </c>
      <c r="Q42" s="15">
        <f t="shared" si="1"/>
        <v>9.6879166666666681</v>
      </c>
      <c r="R42" s="28"/>
      <c r="S42" s="28"/>
      <c r="T42" s="28"/>
      <c r="U42" s="28"/>
    </row>
    <row r="43" spans="1:21" s="21" customFormat="1" x14ac:dyDescent="0.25">
      <c r="A43" s="14" t="s">
        <v>32</v>
      </c>
      <c r="B43" s="15">
        <f t="shared" ref="B43:Q43" si="2">AVERAGE(B9:B38)</f>
        <v>54.850972222222239</v>
      </c>
      <c r="C43" s="15">
        <f t="shared" si="2"/>
        <v>64.700532828282832</v>
      </c>
      <c r="D43" s="15">
        <f t="shared" si="2"/>
        <v>75.854726010101032</v>
      </c>
      <c r="E43" s="15">
        <f t="shared" si="2"/>
        <v>7.7632260101010102</v>
      </c>
      <c r="F43" s="15">
        <f t="shared" si="2"/>
        <v>2.7489583333333329</v>
      </c>
      <c r="G43" s="15">
        <f t="shared" si="2"/>
        <v>114.68917764602544</v>
      </c>
      <c r="H43" s="15">
        <f t="shared" si="2"/>
        <v>40.428086242863422</v>
      </c>
      <c r="I43" s="15" t="e">
        <f t="shared" si="2"/>
        <v>#DIV/0!</v>
      </c>
      <c r="J43" s="15">
        <f t="shared" si="2"/>
        <v>1.9272601010101014</v>
      </c>
      <c r="K43" s="15">
        <f t="shared" si="2"/>
        <v>301.80878156565666</v>
      </c>
      <c r="L43" s="15">
        <f t="shared" si="2"/>
        <v>18.11890404040404</v>
      </c>
      <c r="M43" s="15">
        <f t="shared" si="2"/>
        <v>62.172890151515155</v>
      </c>
      <c r="N43" s="15">
        <f t="shared" si="2"/>
        <v>231.76661616161618</v>
      </c>
      <c r="O43" s="15">
        <f t="shared" si="2"/>
        <v>0</v>
      </c>
      <c r="P43" s="15">
        <f t="shared" si="2"/>
        <v>1.2482121212121213</v>
      </c>
      <c r="Q43" s="15">
        <f t="shared" si="2"/>
        <v>8.8017108585858619</v>
      </c>
      <c r="R43" s="28"/>
      <c r="S43" s="28"/>
      <c r="T43" s="28"/>
      <c r="U43" s="28"/>
    </row>
    <row r="44" spans="1:21" s="21" customFormat="1" x14ac:dyDescent="0.25">
      <c r="A44" s="14" t="s">
        <v>38</v>
      </c>
      <c r="B44" s="15">
        <f t="shared" ref="B44:Q44" si="3">STDEV(B9:B38)</f>
        <v>28.309464799905449</v>
      </c>
      <c r="C44" s="15">
        <f t="shared" si="3"/>
        <v>8.3947611476747461</v>
      </c>
      <c r="D44" s="15">
        <f t="shared" si="3"/>
        <v>23.25134932517572</v>
      </c>
      <c r="E44" s="15">
        <f t="shared" si="3"/>
        <v>0.93345540005452154</v>
      </c>
      <c r="F44" s="15">
        <f t="shared" si="3"/>
        <v>1.3932111446089737</v>
      </c>
      <c r="G44" s="15">
        <f t="shared" si="3"/>
        <v>24.223537907495718</v>
      </c>
      <c r="H44" s="15">
        <f t="shared" si="3"/>
        <v>7.5247214512732752</v>
      </c>
      <c r="I44" s="15" t="e">
        <f t="shared" si="3"/>
        <v>#DIV/0!</v>
      </c>
      <c r="J44" s="15">
        <f t="shared" si="3"/>
        <v>0.31580341972293208</v>
      </c>
      <c r="K44" s="15">
        <f t="shared" si="3"/>
        <v>27.613310199535061</v>
      </c>
      <c r="L44" s="15">
        <f t="shared" si="3"/>
        <v>1.7183004758704303</v>
      </c>
      <c r="M44" s="15">
        <f t="shared" si="3"/>
        <v>7.7433863471473856</v>
      </c>
      <c r="N44" s="15">
        <f t="shared" si="3"/>
        <v>20.995385209986221</v>
      </c>
      <c r="O44" s="15">
        <f t="shared" si="3"/>
        <v>0</v>
      </c>
      <c r="P44" s="15">
        <f t="shared" si="3"/>
        <v>0.2278356137730867</v>
      </c>
      <c r="Q44" s="15">
        <f t="shared" si="3"/>
        <v>0.44198622243479924</v>
      </c>
      <c r="R44" s="28"/>
      <c r="S44" s="28"/>
      <c r="T44" s="28"/>
      <c r="U44" s="28"/>
    </row>
    <row r="45" spans="1:21" s="21" customFormat="1" x14ac:dyDescent="0.25">
      <c r="A45" s="14" t="s">
        <v>33</v>
      </c>
      <c r="B45" s="12">
        <f>COUNT(B9:B39)</f>
        <v>31</v>
      </c>
      <c r="C45" s="12">
        <f t="shared" ref="C45:Q45" si="4">COUNT(C9:C39)</f>
        <v>31</v>
      </c>
      <c r="D45" s="12">
        <f t="shared" si="4"/>
        <v>31</v>
      </c>
      <c r="E45" s="12">
        <f t="shared" si="4"/>
        <v>31</v>
      </c>
      <c r="F45" s="12">
        <f t="shared" si="4"/>
        <v>31</v>
      </c>
      <c r="G45" s="12">
        <f t="shared" si="4"/>
        <v>31</v>
      </c>
      <c r="H45" s="12">
        <f t="shared" si="4"/>
        <v>31</v>
      </c>
      <c r="I45" s="12">
        <f t="shared" si="4"/>
        <v>0</v>
      </c>
      <c r="J45" s="12">
        <f t="shared" si="4"/>
        <v>31</v>
      </c>
      <c r="K45" s="12">
        <f t="shared" si="4"/>
        <v>31</v>
      </c>
      <c r="L45" s="12">
        <f t="shared" si="4"/>
        <v>31</v>
      </c>
      <c r="M45" s="12">
        <f t="shared" si="4"/>
        <v>31</v>
      </c>
      <c r="N45" s="12">
        <f t="shared" si="4"/>
        <v>31</v>
      </c>
      <c r="O45" s="12">
        <f t="shared" si="4"/>
        <v>31</v>
      </c>
      <c r="P45" s="12">
        <f t="shared" si="4"/>
        <v>31</v>
      </c>
      <c r="Q45" s="12">
        <f t="shared" si="4"/>
        <v>31</v>
      </c>
      <c r="R45" s="29"/>
      <c r="S45" s="29"/>
      <c r="T45" s="29"/>
      <c r="U45" s="29"/>
    </row>
    <row r="46" spans="1:21" s="21" customFormat="1" x14ac:dyDescent="0.25">
      <c r="A46" s="14" t="s">
        <v>34</v>
      </c>
      <c r="B46" s="12" t="str">
        <f>IF(B45&gt;=28,"&gt;90%",IF(B45&lt;=28,"&lt;90%"))</f>
        <v>&gt;90%</v>
      </c>
      <c r="C46" s="12" t="str">
        <f t="shared" ref="C46:Q46" si="5">IF(C45&gt;=28,"&gt;90%",IF(C45&lt;=28,"&lt;90%"))</f>
        <v>&gt;90%</v>
      </c>
      <c r="D46" s="12" t="str">
        <f t="shared" si="5"/>
        <v>&gt;90%</v>
      </c>
      <c r="E46" s="12" t="str">
        <f t="shared" si="5"/>
        <v>&gt;90%</v>
      </c>
      <c r="F46" s="12" t="str">
        <f t="shared" si="5"/>
        <v>&gt;90%</v>
      </c>
      <c r="G46" s="12" t="str">
        <f t="shared" si="5"/>
        <v>&gt;90%</v>
      </c>
      <c r="H46" s="12" t="str">
        <f t="shared" si="5"/>
        <v>&gt;90%</v>
      </c>
      <c r="I46" s="12" t="str">
        <f t="shared" si="5"/>
        <v>&lt;90%</v>
      </c>
      <c r="J46" s="12" t="str">
        <f t="shared" si="5"/>
        <v>&gt;90%</v>
      </c>
      <c r="K46" s="12" t="str">
        <f t="shared" si="5"/>
        <v>&gt;90%</v>
      </c>
      <c r="L46" s="12" t="str">
        <f t="shared" si="5"/>
        <v>&gt;90%</v>
      </c>
      <c r="M46" s="12" t="str">
        <f t="shared" si="5"/>
        <v>&gt;90%</v>
      </c>
      <c r="N46" s="12" t="str">
        <f t="shared" si="5"/>
        <v>&gt;90%</v>
      </c>
      <c r="O46" s="12" t="str">
        <f t="shared" si="5"/>
        <v>&gt;90%</v>
      </c>
      <c r="P46" s="12" t="str">
        <f t="shared" si="5"/>
        <v>&gt;90%</v>
      </c>
      <c r="Q46" s="12" t="str">
        <f t="shared" si="5"/>
        <v>&gt;90%</v>
      </c>
      <c r="R46" s="29"/>
      <c r="S46" s="29"/>
      <c r="T46" s="29"/>
      <c r="U46" s="29"/>
    </row>
    <row r="47" spans="1:21" s="21" customFormat="1" x14ac:dyDescent="0.25">
      <c r="A47" s="14" t="s">
        <v>1</v>
      </c>
      <c r="B47" s="12" t="str">
        <f>IF(B45&gt;=28,"OK",IF(B45&lt;=28,"LESS"))</f>
        <v>OK</v>
      </c>
      <c r="C47" s="12" t="str">
        <f t="shared" ref="C47:Q47" si="6">IF(C45&gt;=28,"OK",IF(C45&lt;=28,"LESS"))</f>
        <v>OK</v>
      </c>
      <c r="D47" s="12" t="str">
        <f t="shared" si="6"/>
        <v>OK</v>
      </c>
      <c r="E47" s="12" t="str">
        <f t="shared" si="6"/>
        <v>OK</v>
      </c>
      <c r="F47" s="12" t="str">
        <f t="shared" si="6"/>
        <v>OK</v>
      </c>
      <c r="G47" s="12" t="str">
        <f t="shared" si="6"/>
        <v>OK</v>
      </c>
      <c r="H47" s="12" t="str">
        <f t="shared" si="6"/>
        <v>OK</v>
      </c>
      <c r="I47" s="12" t="str">
        <f t="shared" si="6"/>
        <v>LESS</v>
      </c>
      <c r="J47" s="12" t="str">
        <f t="shared" si="6"/>
        <v>OK</v>
      </c>
      <c r="K47" s="12" t="str">
        <f t="shared" si="6"/>
        <v>OK</v>
      </c>
      <c r="L47" s="12" t="str">
        <f t="shared" si="6"/>
        <v>OK</v>
      </c>
      <c r="M47" s="12" t="str">
        <f t="shared" si="6"/>
        <v>OK</v>
      </c>
      <c r="N47" s="12" t="str">
        <f t="shared" si="6"/>
        <v>OK</v>
      </c>
      <c r="O47" s="12" t="str">
        <f t="shared" si="6"/>
        <v>OK</v>
      </c>
      <c r="P47" s="12" t="str">
        <f t="shared" si="6"/>
        <v>OK</v>
      </c>
      <c r="Q47" s="12" t="str">
        <f t="shared" si="6"/>
        <v>OK</v>
      </c>
      <c r="R47" s="29"/>
      <c r="S47" s="29"/>
      <c r="T47" s="29"/>
      <c r="U47" s="29"/>
    </row>
    <row r="48" spans="1:21" x14ac:dyDescent="0.25"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</row>
    <row r="50" spans="1:16" ht="18.75" x14ac:dyDescent="0.3">
      <c r="A50" s="14" t="s">
        <v>35</v>
      </c>
      <c r="B50" s="40" t="s">
        <v>41</v>
      </c>
      <c r="C50" s="67" t="s">
        <v>40</v>
      </c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</row>
    <row r="51" spans="1:16" x14ac:dyDescent="0.25">
      <c r="A51" s="13"/>
      <c r="B51" s="21"/>
      <c r="C51" s="21"/>
      <c r="D51" s="1"/>
      <c r="E51" s="1"/>
      <c r="F51" s="1"/>
      <c r="G51" s="1"/>
      <c r="H51" s="1"/>
      <c r="I51" s="1"/>
      <c r="J51" s="21"/>
      <c r="K51" s="21"/>
      <c r="L51" s="21"/>
      <c r="M51" s="21"/>
      <c r="N51" s="21"/>
      <c r="O51" s="21"/>
      <c r="P51" s="21"/>
    </row>
    <row r="52" spans="1:16" ht="15.75" x14ac:dyDescent="0.25">
      <c r="A52" s="17" t="s">
        <v>36</v>
      </c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</row>
    <row r="53" spans="1:16" x14ac:dyDescent="0.25">
      <c r="A53" s="13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</row>
    <row r="54" spans="1:16" x14ac:dyDescent="0.25">
      <c r="A54" s="13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</row>
    <row r="55" spans="1:16" x14ac:dyDescent="0.25">
      <c r="A55" s="13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</row>
  </sheetData>
  <mergeCells count="1">
    <mergeCell ref="B52:P5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MONTHLY 31</vt:lpstr>
    </vt:vector>
  </TitlesOfParts>
  <Manager/>
  <Company>wbpcb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BHATAGAON</cp:lastModifiedBy>
  <cp:lastPrinted>2018-07-30T12:51:54Z</cp:lastPrinted>
  <dcterms:created xsi:type="dcterms:W3CDTF">2013-08-23T16:44:31Z</dcterms:created>
  <dcterms:modified xsi:type="dcterms:W3CDTF">2025-03-04T10:50:12Z</dcterms:modified>
  <cp:category/>
</cp:coreProperties>
</file>