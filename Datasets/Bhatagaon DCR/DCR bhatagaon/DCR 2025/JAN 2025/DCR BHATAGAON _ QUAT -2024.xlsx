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8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110" i="25" l="1"/>
  <c r="D110" i="25"/>
  <c r="B110" i="25"/>
  <c r="I110" i="44"/>
  <c r="I110" i="41"/>
  <c r="P39" i="39"/>
  <c r="Q39" i="39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1" i="44" s="1"/>
  <c r="C110" i="44"/>
  <c r="C111" i="44" s="1"/>
  <c r="B110" i="44"/>
  <c r="B111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P108" i="44"/>
  <c r="O108" i="44"/>
  <c r="O39" i="39" s="1"/>
  <c r="N108" i="44"/>
  <c r="N39" i="39" s="1"/>
  <c r="M108" i="44"/>
  <c r="M39" i="39" s="1"/>
  <c r="L108" i="44"/>
  <c r="L39" i="39" s="1"/>
  <c r="K108" i="44"/>
  <c r="K39" i="39" s="1"/>
  <c r="J108" i="44"/>
  <c r="J39" i="39" s="1"/>
  <c r="I108" i="44"/>
  <c r="H108" i="44"/>
  <c r="H39" i="39" s="1"/>
  <c r="G108" i="44"/>
  <c r="G39" i="39" s="1"/>
  <c r="F108" i="44"/>
  <c r="F39" i="39" s="1"/>
  <c r="E108" i="44"/>
  <c r="E39" i="39" s="1"/>
  <c r="D108" i="44"/>
  <c r="D39" i="39" s="1"/>
  <c r="C108" i="44"/>
  <c r="C39" i="39" s="1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0" i="40"/>
  <c r="J110" i="33"/>
  <c r="G110" i="33"/>
  <c r="H110" i="33"/>
  <c r="H110" i="32"/>
  <c r="I110" i="32"/>
  <c r="I110" i="31"/>
  <c r="Q110" i="31"/>
  <c r="G110" i="31"/>
  <c r="H110" i="31"/>
  <c r="I110" i="30"/>
  <c r="H110" i="29"/>
  <c r="J110" i="29"/>
  <c r="J110" i="28"/>
  <c r="I110" i="27"/>
  <c r="B112" i="44" l="1"/>
  <c r="C112" i="44"/>
  <c r="D112" i="44"/>
  <c r="E111" i="44"/>
  <c r="F111" i="44"/>
  <c r="G111" i="44"/>
  <c r="H111" i="44"/>
  <c r="I111" i="44"/>
  <c r="J111" i="44"/>
  <c r="K111" i="44"/>
  <c r="L111" i="44"/>
  <c r="M111" i="44"/>
  <c r="N111" i="44"/>
  <c r="O111" i="44"/>
  <c r="P111" i="44"/>
  <c r="Q111" i="44"/>
  <c r="H110" i="18"/>
  <c r="G110" i="18"/>
  <c r="C110" i="18"/>
  <c r="D110" i="18"/>
  <c r="B110" i="18"/>
  <c r="P110" i="25"/>
  <c r="H110" i="25"/>
  <c r="G110" i="25"/>
  <c r="E110" i="25"/>
  <c r="G110" i="22"/>
  <c r="H110" i="22"/>
  <c r="Q110" i="19"/>
  <c r="I110" i="18"/>
  <c r="J110" i="18"/>
  <c r="Q110" i="17"/>
  <c r="Q110" i="16"/>
  <c r="H110" i="12"/>
  <c r="I110" i="12"/>
  <c r="F110" i="12"/>
  <c r="C110" i="11"/>
  <c r="D110" i="11"/>
  <c r="B110" i="11"/>
  <c r="H110" i="11"/>
  <c r="I110" i="11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C110" i="2"/>
  <c r="D110" i="2"/>
  <c r="E110" i="2"/>
  <c r="F110" i="2"/>
  <c r="G110" i="2"/>
  <c r="H110" i="2"/>
  <c r="J110" i="2"/>
  <c r="K110" i="2"/>
  <c r="L110" i="2"/>
  <c r="M110" i="2"/>
  <c r="N110" i="2"/>
  <c r="O110" i="2"/>
  <c r="P110" i="2"/>
  <c r="Q110" i="2"/>
  <c r="B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N110" i="26"/>
  <c r="N111" i="26" s="1"/>
  <c r="O110" i="26"/>
  <c r="P110" i="26"/>
  <c r="P112" i="26" s="1"/>
  <c r="Q110" i="26"/>
  <c r="C111" i="25"/>
  <c r="D112" i="25"/>
  <c r="E112" i="25"/>
  <c r="F110" i="25"/>
  <c r="G112" i="25"/>
  <c r="H111" i="25"/>
  <c r="I110" i="25"/>
  <c r="J110" i="25"/>
  <c r="K110" i="25"/>
  <c r="K111" i="25" s="1"/>
  <c r="L110" i="25"/>
  <c r="L112" i="25" s="1"/>
  <c r="M110" i="25"/>
  <c r="M111" i="25" s="1"/>
  <c r="N110" i="25"/>
  <c r="O110" i="25"/>
  <c r="P111" i="25"/>
  <c r="Q110" i="25"/>
  <c r="B112" i="25"/>
  <c r="Q110" i="14"/>
  <c r="Q112" i="14" s="1"/>
  <c r="I110" i="14"/>
  <c r="I111" i="14" s="1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0" i="33"/>
  <c r="I111" i="33" s="1"/>
  <c r="J112" i="33"/>
  <c r="J110" i="32"/>
  <c r="J111" i="32" s="1"/>
  <c r="I112" i="32"/>
  <c r="H111" i="32"/>
  <c r="H112" i="31"/>
  <c r="I111" i="31"/>
  <c r="J110" i="31"/>
  <c r="J111" i="31" s="1"/>
  <c r="G112" i="31"/>
  <c r="J110" i="30"/>
  <c r="J111" i="30"/>
  <c r="I111" i="30"/>
  <c r="H110" i="30"/>
  <c r="H112" i="30" s="1"/>
  <c r="J112" i="29"/>
  <c r="I110" i="29"/>
  <c r="I112" i="29" s="1"/>
  <c r="H112" i="29"/>
  <c r="J111" i="28"/>
  <c r="I110" i="28"/>
  <c r="I112" i="28" s="1"/>
  <c r="H110" i="28"/>
  <c r="H111" i="28" s="1"/>
  <c r="I112" i="27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N110" i="27"/>
  <c r="N112" i="27" s="1"/>
  <c r="O110" i="27"/>
  <c r="P110" i="27"/>
  <c r="Q110" i="27"/>
  <c r="Q112" i="27" s="1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2" i="22"/>
  <c r="G111" i="22"/>
  <c r="J110" i="21"/>
  <c r="J111" i="21" s="1"/>
  <c r="I110" i="21"/>
  <c r="I111" i="21" s="1"/>
  <c r="H110" i="21"/>
  <c r="H111" i="21" s="1"/>
  <c r="H110" i="20"/>
  <c r="H112" i="20" s="1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0" i="15"/>
  <c r="H111" i="15" s="1"/>
  <c r="I110" i="15"/>
  <c r="I111" i="15" s="1"/>
  <c r="J110" i="15"/>
  <c r="J112" i="15" s="1"/>
  <c r="Q110" i="15"/>
  <c r="Q111" i="15" s="1"/>
  <c r="J110" i="14"/>
  <c r="J111" i="14" s="1"/>
  <c r="H110" i="14"/>
  <c r="H112" i="14" s="1"/>
  <c r="D112" i="11"/>
  <c r="C112" i="11"/>
  <c r="B111" i="11"/>
  <c r="J110" i="13"/>
  <c r="J112" i="13" s="1"/>
  <c r="H110" i="13"/>
  <c r="H112" i="13" s="1"/>
  <c r="F111" i="12"/>
  <c r="J110" i="12"/>
  <c r="J112" i="12" s="1"/>
  <c r="H111" i="12"/>
  <c r="I112" i="12"/>
  <c r="J110" i="11"/>
  <c r="J111" i="11"/>
  <c r="I111" i="11"/>
  <c r="H111" i="11"/>
  <c r="G110" i="11"/>
  <c r="G112" i="11" s="1"/>
  <c r="J110" i="10"/>
  <c r="J112" i="10" s="1"/>
  <c r="I110" i="10"/>
  <c r="I111" i="10" s="1"/>
  <c r="H110" i="10"/>
  <c r="H112" i="10" s="1"/>
  <c r="J110" i="9"/>
  <c r="J111" i="9" s="1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1" i="2"/>
  <c r="E111" i="2"/>
  <c r="F111" i="2"/>
  <c r="G112" i="2"/>
  <c r="J111" i="2"/>
  <c r="K111" i="2"/>
  <c r="L112" i="2"/>
  <c r="M112" i="2"/>
  <c r="N112" i="2"/>
  <c r="O111" i="2"/>
  <c r="P112" i="2"/>
  <c r="Q111" i="2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Q45" i="39" s="1"/>
  <c r="P108" i="41"/>
  <c r="O108" i="41"/>
  <c r="N108" i="41"/>
  <c r="N38" i="39" s="1"/>
  <c r="N45" i="39" s="1"/>
  <c r="M108" i="41"/>
  <c r="L108" i="41"/>
  <c r="K108" i="41"/>
  <c r="K38" i="39" s="1"/>
  <c r="K45" i="39" s="1"/>
  <c r="J108" i="41"/>
  <c r="I108" i="41"/>
  <c r="I45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 s="1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K36" i="39" s="1"/>
  <c r="J108" i="33"/>
  <c r="I108" i="33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H108" i="32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 s="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J34" i="39" s="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/>
  <c r="O110" i="30"/>
  <c r="O111" i="30" s="1"/>
  <c r="O112" i="30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/>
  <c r="N108" i="30"/>
  <c r="N33" i="39" s="1"/>
  <c r="M108" i="30"/>
  <c r="M33" i="39"/>
  <c r="L108" i="30"/>
  <c r="K108" i="30"/>
  <c r="K33" i="39" s="1"/>
  <c r="J108" i="30"/>
  <c r="I108" i="30"/>
  <c r="H108" i="30"/>
  <c r="H33" i="39" s="1"/>
  <c r="G108" i="30"/>
  <c r="G33" i="39" s="1"/>
  <c r="F108" i="30"/>
  <c r="E108" i="30"/>
  <c r="E33" i="39"/>
  <c r="D108" i="30"/>
  <c r="D33" i="39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0" i="29"/>
  <c r="G111" i="29" s="1"/>
  <c r="F110" i="29"/>
  <c r="F111" i="29" s="1"/>
  <c r="E110" i="29"/>
  <c r="E112" i="29" s="1"/>
  <c r="D110" i="29"/>
  <c r="D112" i="29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K111" i="28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L108" i="28"/>
  <c r="L31" i="39" s="1"/>
  <c r="K108" i="28"/>
  <c r="K31" i="39"/>
  <c r="J108" i="28"/>
  <c r="I108" i="28"/>
  <c r="H108" i="28"/>
  <c r="H31" i="39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P112" i="27"/>
  <c r="O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/>
  <c r="M108" i="27"/>
  <c r="L108" i="27"/>
  <c r="K108" i="27"/>
  <c r="K30" i="39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N29" i="39" s="1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/>
  <c r="M110" i="24"/>
  <c r="M112" i="24" s="1"/>
  <c r="L110" i="24"/>
  <c r="L112" i="24" s="1"/>
  <c r="K110" i="24"/>
  <c r="K111" i="24" s="1"/>
  <c r="G110" i="24"/>
  <c r="G112" i="24" s="1"/>
  <c r="F110" i="24"/>
  <c r="F112" i="24" s="1"/>
  <c r="E110" i="24"/>
  <c r="E112" i="24" s="1"/>
  <c r="D110" i="24"/>
  <c r="D112" i="24" s="1"/>
  <c r="C110" i="24"/>
  <c r="C111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I108" i="24"/>
  <c r="H108" i="24"/>
  <c r="H27" i="39" s="1"/>
  <c r="G108" i="24"/>
  <c r="G27" i="39" s="1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/>
  <c r="M110" i="23"/>
  <c r="M112" i="23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O26" i="39" s="1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2" i="22" s="1"/>
  <c r="B111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E25" i="39" s="1"/>
  <c r="D108" i="22"/>
  <c r="D25" i="39" s="1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/>
  <c r="K110" i="21"/>
  <c r="K111" i="21" s="1"/>
  <c r="G110" i="21"/>
  <c r="G112" i="21" s="1"/>
  <c r="F110" i="21"/>
  <c r="F112" i="21"/>
  <c r="E110" i="21"/>
  <c r="E112" i="21"/>
  <c r="D110" i="21"/>
  <c r="D111" i="2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H108" i="21"/>
  <c r="G108" i="21"/>
  <c r="F108" i="21"/>
  <c r="F24" i="39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/>
  <c r="K110" i="20"/>
  <c r="K112" i="20" s="1"/>
  <c r="G110" i="20"/>
  <c r="G112" i="20" s="1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N23" i="39" s="1"/>
  <c r="M108" i="20"/>
  <c r="L108" i="20"/>
  <c r="K108" i="20"/>
  <c r="J108" i="20"/>
  <c r="J23" i="39" s="1"/>
  <c r="I108" i="20"/>
  <c r="H108" i="20"/>
  <c r="G108" i="20"/>
  <c r="F108" i="20"/>
  <c r="F23" i="39" s="1"/>
  <c r="E108" i="20"/>
  <c r="D108" i="20"/>
  <c r="D23" i="39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H108" i="19"/>
  <c r="G108" i="19"/>
  <c r="G22" i="39" s="1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/>
  <c r="M110" i="18"/>
  <c r="M111" i="18" s="1"/>
  <c r="L110" i="18"/>
  <c r="L112" i="18" s="1"/>
  <c r="K110" i="18"/>
  <c r="K112" i="18" s="1"/>
  <c r="J111" i="18"/>
  <c r="I112" i="18"/>
  <c r="H111" i="18"/>
  <c r="G111" i="18"/>
  <c r="F110" i="18"/>
  <c r="F112" i="18" s="1"/>
  <c r="E110" i="18"/>
  <c r="E112" i="18"/>
  <c r="D112" i="18"/>
  <c r="C111" i="18"/>
  <c r="B111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 s="1"/>
  <c r="K108" i="18"/>
  <c r="J108" i="18"/>
  <c r="J21" i="39" s="1"/>
  <c r="I108" i="18"/>
  <c r="H108" i="18"/>
  <c r="H21" i="39" s="1"/>
  <c r="G108" i="18"/>
  <c r="G21" i="39" s="1"/>
  <c r="F108" i="18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K108" i="16"/>
  <c r="J108" i="16"/>
  <c r="J19" i="39" s="1"/>
  <c r="I108" i="16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1" i="13" s="1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L16" i="39" s="1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0" i="12"/>
  <c r="G111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/>
  <c r="L108" i="11"/>
  <c r="K108" i="11"/>
  <c r="K14" i="39" s="1"/>
  <c r="J108" i="11"/>
  <c r="J14" i="39" s="1"/>
  <c r="I108" i="11"/>
  <c r="H108" i="11"/>
  <c r="H14" i="39" s="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H108" i="10"/>
  <c r="H13" i="39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K108" i="9"/>
  <c r="J108" i="9"/>
  <c r="J12" i="39" s="1"/>
  <c r="I108" i="9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/>
  <c r="L108" i="8"/>
  <c r="L11" i="39" s="1"/>
  <c r="K108" i="8"/>
  <c r="K11" i="39" s="1"/>
  <c r="J108" i="8"/>
  <c r="J11" i="39" s="1"/>
  <c r="I108" i="8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H35" i="39"/>
  <c r="D35" i="39"/>
  <c r="B35" i="39"/>
  <c r="K92" i="6"/>
  <c r="J92" i="6"/>
  <c r="K51" i="6"/>
  <c r="J51" i="6"/>
  <c r="K50" i="6"/>
  <c r="J50" i="6"/>
  <c r="K91" i="6"/>
  <c r="J91" i="6"/>
  <c r="K90" i="6"/>
  <c r="J90" i="6"/>
  <c r="B112" i="2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P45" i="39" s="1"/>
  <c r="O38" i="39"/>
  <c r="O45" i="39" s="1"/>
  <c r="M38" i="39"/>
  <c r="M45" i="39" s="1"/>
  <c r="L38" i="39"/>
  <c r="L45" i="39" s="1"/>
  <c r="J38" i="39"/>
  <c r="J45" i="39" s="1"/>
  <c r="H38" i="39"/>
  <c r="H45" i="39" s="1"/>
  <c r="G38" i="39"/>
  <c r="G45" i="39" s="1"/>
  <c r="F38" i="39"/>
  <c r="F45" i="39" s="1"/>
  <c r="E38" i="39"/>
  <c r="E45" i="39" s="1"/>
  <c r="D38" i="39"/>
  <c r="D45" i="39" s="1"/>
  <c r="C38" i="39"/>
  <c r="C45" i="39" s="1"/>
  <c r="O37" i="39"/>
  <c r="N37" i="39"/>
  <c r="M37" i="39"/>
  <c r="L37" i="39"/>
  <c r="J37" i="39"/>
  <c r="C37" i="39"/>
  <c r="B37" i="39"/>
  <c r="A37" i="39"/>
  <c r="A26" i="39"/>
  <c r="C26" i="39"/>
  <c r="D26" i="39"/>
  <c r="L26" i="39"/>
  <c r="O25" i="39"/>
  <c r="N25" i="39"/>
  <c r="L25" i="39"/>
  <c r="K25" i="39"/>
  <c r="J25" i="39"/>
  <c r="H25" i="39"/>
  <c r="C25" i="39"/>
  <c r="Q24" i="39"/>
  <c r="G24" i="39"/>
  <c r="E24" i="39"/>
  <c r="A24" i="39"/>
  <c r="Q23" i="39"/>
  <c r="M23" i="39"/>
  <c r="L23" i="39"/>
  <c r="K23" i="39"/>
  <c r="H23" i="39"/>
  <c r="E23" i="39"/>
  <c r="B23" i="39"/>
  <c r="Q22" i="39"/>
  <c r="N22" i="39"/>
  <c r="M22" i="39"/>
  <c r="L22" i="39"/>
  <c r="C22" i="39"/>
  <c r="Q21" i="39"/>
  <c r="P21" i="39"/>
  <c r="K21" i="39"/>
  <c r="F21" i="39"/>
  <c r="A21" i="39"/>
  <c r="M20" i="39"/>
  <c r="E20" i="39"/>
  <c r="A20" i="39"/>
  <c r="L19" i="39"/>
  <c r="K19" i="39"/>
  <c r="G19" i="39"/>
  <c r="B19" i="39"/>
  <c r="L18" i="39"/>
  <c r="H18" i="39"/>
  <c r="G18" i="39"/>
  <c r="E18" i="39"/>
  <c r="D18" i="39"/>
  <c r="P17" i="39"/>
  <c r="M17" i="39"/>
  <c r="L17" i="39"/>
  <c r="A17" i="39"/>
  <c r="Q16" i="39"/>
  <c r="P16" i="39"/>
  <c r="F16" i="39"/>
  <c r="E16" i="39"/>
  <c r="D16" i="39"/>
  <c r="C16" i="39"/>
  <c r="B16" i="39"/>
  <c r="N15" i="39"/>
  <c r="H15" i="39"/>
  <c r="F15" i="39"/>
  <c r="C15" i="39"/>
  <c r="L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J108" i="2"/>
  <c r="J9" i="39" s="1"/>
  <c r="K108" i="2"/>
  <c r="K9" i="39" s="1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H36" i="39"/>
  <c r="E36" i="39"/>
  <c r="D36" i="39"/>
  <c r="C36" i="39"/>
  <c r="A36" i="39"/>
  <c r="P35" i="39"/>
  <c r="G35" i="39"/>
  <c r="C35" i="39"/>
  <c r="M34" i="39"/>
  <c r="K34" i="39"/>
  <c r="H34" i="39"/>
  <c r="F34" i="39"/>
  <c r="L33" i="39"/>
  <c r="J33" i="39"/>
  <c r="F33" i="39"/>
  <c r="B33" i="39"/>
  <c r="Q32" i="39"/>
  <c r="O32" i="39"/>
  <c r="N32" i="39"/>
  <c r="K32" i="39"/>
  <c r="G32" i="39"/>
  <c r="F32" i="39"/>
  <c r="E32" i="39"/>
  <c r="B32" i="39"/>
  <c r="Q31" i="39"/>
  <c r="M31" i="39"/>
  <c r="J31" i="39"/>
  <c r="F31" i="39"/>
  <c r="P30" i="39"/>
  <c r="M30" i="39"/>
  <c r="L30" i="39"/>
  <c r="F30" i="39"/>
  <c r="C30" i="39"/>
  <c r="B30" i="39"/>
  <c r="Q29" i="39"/>
  <c r="M29" i="39"/>
  <c r="K29" i="39"/>
  <c r="H29" i="39"/>
  <c r="G29" i="39"/>
  <c r="F29" i="39"/>
  <c r="E29" i="39"/>
  <c r="D29" i="39"/>
  <c r="P28" i="39"/>
  <c r="N28" i="39"/>
  <c r="M28" i="39"/>
  <c r="L28" i="39"/>
  <c r="K28" i="39"/>
  <c r="H28" i="39"/>
  <c r="G28" i="39"/>
  <c r="B28" i="39"/>
  <c r="O27" i="39"/>
  <c r="M27" i="39"/>
  <c r="L27" i="39"/>
  <c r="B27" i="39"/>
  <c r="G26" i="39"/>
  <c r="P24" i="39"/>
  <c r="H24" i="39"/>
  <c r="C23" i="39"/>
  <c r="O22" i="39"/>
  <c r="D22" i="39"/>
  <c r="P20" i="39"/>
  <c r="D20" i="39"/>
  <c r="F18" i="39"/>
  <c r="E17" i="39"/>
  <c r="M16" i="39"/>
  <c r="K16" i="39"/>
  <c r="J15" i="39"/>
  <c r="Q12" i="39"/>
  <c r="B12" i="39"/>
  <c r="N11" i="39"/>
  <c r="P10" i="39"/>
  <c r="P36" i="39"/>
  <c r="E34" i="39"/>
  <c r="E26" i="39"/>
  <c r="P23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N31" i="39"/>
  <c r="G31" i="39"/>
  <c r="J22" i="39"/>
  <c r="F19" i="39"/>
  <c r="O18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O111" i="41"/>
  <c r="M111" i="41"/>
  <c r="K111" i="41"/>
  <c r="F111" i="41"/>
  <c r="D111" i="41"/>
  <c r="C111" i="41"/>
  <c r="B111" i="41"/>
  <c r="O111" i="40"/>
  <c r="M111" i="40"/>
  <c r="K111" i="40"/>
  <c r="G111" i="40"/>
  <c r="F111" i="40"/>
  <c r="B111" i="40"/>
  <c r="P111" i="33"/>
  <c r="O111" i="33"/>
  <c r="M111" i="33"/>
  <c r="L111" i="33"/>
  <c r="F111" i="33"/>
  <c r="D111" i="33"/>
  <c r="C111" i="33"/>
  <c r="Q111" i="32"/>
  <c r="O111" i="32"/>
  <c r="M111" i="32"/>
  <c r="K111" i="32"/>
  <c r="F111" i="32"/>
  <c r="D111" i="32"/>
  <c r="O111" i="31"/>
  <c r="N111" i="31"/>
  <c r="L111" i="31"/>
  <c r="F111" i="31"/>
  <c r="E111" i="31"/>
  <c r="D111" i="31"/>
  <c r="C111" i="31"/>
  <c r="B111" i="31"/>
  <c r="N111" i="30"/>
  <c r="M111" i="30"/>
  <c r="L111" i="30"/>
  <c r="D111" i="30"/>
  <c r="P111" i="29"/>
  <c r="M111" i="29"/>
  <c r="E111" i="29"/>
  <c r="D111" i="29"/>
  <c r="C111" i="29"/>
  <c r="B111" i="29"/>
  <c r="O111" i="28"/>
  <c r="N111" i="28"/>
  <c r="M111" i="28"/>
  <c r="L111" i="28"/>
  <c r="G111" i="28"/>
  <c r="E111" i="28"/>
  <c r="D111" i="28"/>
  <c r="C111" i="28"/>
  <c r="P111" i="27"/>
  <c r="N111" i="27"/>
  <c r="M111" i="27"/>
  <c r="E111" i="27"/>
  <c r="B111" i="27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C111" i="22"/>
  <c r="Q111" i="21"/>
  <c r="N111" i="21"/>
  <c r="L111" i="21"/>
  <c r="G111" i="21"/>
  <c r="E111" i="21"/>
  <c r="C111" i="21"/>
  <c r="O111" i="20"/>
  <c r="Q112" i="20"/>
  <c r="M111" i="20"/>
  <c r="L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N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Q111" i="13"/>
  <c r="N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K111" i="10"/>
  <c r="G111" i="10"/>
  <c r="C111" i="10"/>
  <c r="B111" i="10"/>
  <c r="P111" i="9"/>
  <c r="N111" i="9"/>
  <c r="M111" i="9"/>
  <c r="K111" i="9"/>
  <c r="E111" i="9"/>
  <c r="M111" i="8"/>
  <c r="E111" i="8"/>
  <c r="D111" i="8"/>
  <c r="C111" i="8"/>
  <c r="Q111" i="3"/>
  <c r="P111" i="3"/>
  <c r="O111" i="3"/>
  <c r="H111" i="3"/>
  <c r="G111" i="3"/>
  <c r="C112" i="17"/>
  <c r="D112" i="3"/>
  <c r="M111" i="2"/>
  <c r="K112" i="2"/>
  <c r="G111" i="2"/>
  <c r="D111" i="2"/>
  <c r="L112" i="10"/>
  <c r="M112" i="10"/>
  <c r="E111" i="10"/>
  <c r="L111" i="9"/>
  <c r="G111" i="9"/>
  <c r="E112" i="2"/>
  <c r="C112" i="2"/>
  <c r="N111" i="2"/>
  <c r="B111" i="3"/>
  <c r="N112" i="3"/>
  <c r="I112" i="2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J111" i="13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J112" i="18"/>
  <c r="J111" i="17"/>
  <c r="I112" i="17"/>
  <c r="N112" i="17"/>
  <c r="L112" i="17"/>
  <c r="M111" i="17"/>
  <c r="K112" i="17"/>
  <c r="F112" i="17"/>
  <c r="D112" i="17"/>
  <c r="I112" i="20"/>
  <c r="Q111" i="19"/>
  <c r="J112" i="19"/>
  <c r="M112" i="19"/>
  <c r="C112" i="19"/>
  <c r="P112" i="25"/>
  <c r="N112" i="25"/>
  <c r="J111" i="25"/>
  <c r="H112" i="25"/>
  <c r="F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J112" i="32"/>
  <c r="H112" i="32"/>
  <c r="I112" i="31"/>
  <c r="Q112" i="31"/>
  <c r="G111" i="31"/>
  <c r="P111" i="31"/>
  <c r="H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D112" i="9"/>
  <c r="O111" i="9"/>
  <c r="D111" i="10"/>
  <c r="H111" i="10"/>
  <c r="M112" i="12"/>
  <c r="K112" i="12"/>
  <c r="D112" i="13"/>
  <c r="O112" i="13"/>
  <c r="B112" i="13"/>
  <c r="M112" i="13"/>
  <c r="F112" i="14"/>
  <c r="D111" i="14"/>
  <c r="O112" i="14"/>
  <c r="L112" i="15"/>
  <c r="H112" i="15"/>
  <c r="H112" i="16"/>
  <c r="B111" i="16"/>
  <c r="M111" i="16"/>
  <c r="K111" i="16"/>
  <c r="M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J112" i="31"/>
  <c r="E112" i="32"/>
  <c r="P111" i="32"/>
  <c r="C112" i="32"/>
  <c r="N112" i="32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H112" i="33"/>
  <c r="G112" i="13"/>
  <c r="B112" i="21"/>
  <c r="N112" i="22"/>
  <c r="N112" i="23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L112" i="41"/>
  <c r="O112" i="8"/>
  <c r="J112" i="9"/>
  <c r="I111" i="12"/>
  <c r="I111" i="23"/>
  <c r="E111" i="25"/>
  <c r="M112" i="25"/>
  <c r="F112" i="26"/>
  <c r="J112" i="30"/>
  <c r="B111" i="25" l="1"/>
  <c r="B45" i="39"/>
  <c r="G111" i="41"/>
  <c r="Q111" i="40"/>
  <c r="J111" i="33"/>
  <c r="K112" i="33"/>
  <c r="B112" i="32"/>
  <c r="K112" i="31"/>
  <c r="I112" i="30"/>
  <c r="C112" i="30"/>
  <c r="B111" i="30"/>
  <c r="N111" i="29"/>
  <c r="N112" i="26"/>
  <c r="C112" i="18"/>
  <c r="B112" i="18"/>
  <c r="H22" i="39"/>
  <c r="E112" i="19"/>
  <c r="L111" i="16"/>
  <c r="G112" i="15"/>
  <c r="I112" i="15"/>
  <c r="C111" i="14"/>
  <c r="H111" i="13"/>
  <c r="L111" i="13"/>
  <c r="B112" i="11"/>
  <c r="H112" i="11"/>
  <c r="O112" i="10"/>
  <c r="N111" i="10"/>
  <c r="C111" i="9"/>
  <c r="J42" i="39"/>
  <c r="K44" i="39"/>
  <c r="K42" i="39"/>
  <c r="K47" i="39"/>
  <c r="J43" i="39"/>
  <c r="K43" i="39"/>
  <c r="K41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H43" i="39" l="1"/>
  <c r="H44" i="39"/>
  <c r="H42" i="39"/>
  <c r="K46" i="39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<sst xmlns="http://schemas.openxmlformats.org/spreadsheetml/2006/main" count="9659" uniqueCount="3224">
  <si>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</si>
  <si>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</si>
  <si>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</si>
  <si>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</si>
  <si>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</si>
  <si>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</si>
  <si>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</si>
  <si>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</si>
  <si>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</si>
  <si>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</si>
  <si>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</si>
  <si>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</si>
  <si>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</si>
  <si>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</si>
  <si>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</si>
  <si>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</si>
  <si>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</si>
  <si>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</si>
  <si>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</si>
  <si>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</si>
  <si>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</si>
  <si>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</si>
  <si>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</si>
  <si>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</si>
  <si>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</si>
  <si>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</si>
  <si>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</si>
  <si>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</si>
  <si>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</si>
  <si>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</si>
  <si>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</si>
  <si>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</si>
  <si>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</si>
  <si>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</si>
  <si>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</si>
  <si>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</si>
  <si>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</si>
  <si>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</si>
  <si>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</si>
  <si>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</si>
  <si>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</si>
  <si>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</si>
  <si>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</si>
  <si>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</si>
  <si>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</si>
  <si>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</si>
  <si>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</si>
  <si>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</si>
  <si>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</si>
  <si>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</si>
  <si>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</si>
  <si>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</si>
  <si>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</si>
  <si>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</si>
  <si>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</si>
  <si>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</si>
  <si>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</si>
  <si>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</si>
  <si>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</si>
  <si>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</si>
  <si>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</si>
  <si>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</si>
  <si>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</si>
  <si>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</si>
  <si>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</si>
  <si>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</si>
  <si>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</si>
  <si>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</si>
  <si>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</si>
  <si>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</si>
  <si>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</si>
  <si>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</si>
  <si>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</si>
  <si>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</si>
  <si>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</si>
  <si>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</si>
  <si>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</si>
  <si>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</si>
  <si>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</si>
  <si>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</si>
  <si>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</si>
  <si>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</si>
  <si>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</si>
  <si>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</si>
  <si>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</si>
  <si>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</si>
  <si>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</si>
  <si>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</si>
  <si>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</si>
  <si>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</si>
  <si>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</si>
  <si>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</si>
  <si>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</si>
  <si>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</si>
  <si>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</si>
  <si>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</si>
  <si>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</si>
  <si>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</si>
  <si>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</si>
  <si>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</si>
  <si>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</si>
  <si>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</si>
  <si>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</si>
  <si>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</si>
  <si>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</si>
  <si>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</si>
  <si>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</si>
  <si>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</si>
  <si>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</si>
  <si>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</si>
  <si>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</si>
  <si>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</si>
  <si>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</si>
  <si>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</si>
  <si>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</si>
  <si>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</si>
  <si>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</si>
  <si>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</si>
  <si>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</si>
  <si>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</si>
  <si>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</si>
  <si>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</si>
  <si>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</si>
  <si>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</si>
  <si>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</si>
  <si>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</si>
  <si>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</si>
  <si>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</si>
  <si>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</si>
  <si>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</si>
  <si>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</si>
  <si>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</si>
  <si>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</si>
  <si>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</si>
  <si>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</si>
  <si>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</si>
  <si>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</si>
  <si>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</si>
  <si>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</si>
  <si>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</si>
  <si>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</si>
  <si>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</si>
  <si>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</si>
  <si>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</si>
  <si>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</si>
  <si>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</si>
  <si>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</si>
  <si>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</si>
  <si>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</si>
  <si>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</si>
  <si>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</si>
  <si>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</si>
  <si>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</si>
  <si>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</si>
  <si>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</si>
  <si>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</si>
  <si>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</si>
  <si>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</si>
  <si>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</si>
  <si>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</si>
  <si>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</si>
  <si>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</si>
  <si>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</si>
  <si>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</si>
  <si>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</si>
  <si>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</si>
  <si>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</si>
  <si>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</si>
  <si>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</si>
  <si>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</si>
  <si>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</si>
  <si>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</si>
  <si>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</si>
  <si>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</si>
  <si>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</si>
  <si>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</si>
  <si>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</si>
  <si>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</si>
  <si>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</si>
  <si>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</si>
  <si>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</si>
  <si>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</si>
  <si>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</si>
  <si>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</si>
  <si>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</si>
  <si>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</si>
  <si>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</si>
  <si>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</si>
  <si>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</si>
  <si>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</si>
  <si>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</si>
  <si>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</si>
  <si>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</si>
  <si>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</si>
  <si>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</si>
  <si>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</si>
  <si>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</si>
  <si>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</si>
  <si>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</si>
  <si>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</si>
  <si>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</si>
  <si>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</si>
  <si>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</si>
  <si>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</si>
  <si>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</si>
  <si>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</si>
  <si>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</si>
  <si>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</si>
  <si>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</si>
  <si>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</si>
  <si>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</si>
  <si>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</si>
  <si>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</si>
  <si>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</si>
  <si>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</si>
  <si>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</si>
  <si>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</si>
  <si>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</si>
  <si>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</si>
  <si>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</si>
  <si>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</si>
  <si>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</si>
  <si>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</si>
  <si>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</si>
  <si>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</si>
  <si>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ppb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</si>
  <si>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</si>
  <si>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</si>
  <si>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</si>
  <si>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</si>
  <si>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</si>
  <si>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</si>
  <si>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</si>
  <si>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</si>
  <si>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</si>
  <si>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</si>
  <si>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</si>
  <si>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</si>
  <si>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</si>
  <si>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</si>
  <si>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</si>
  <si>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</si>
  <si>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</si>
  <si>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</si>
  <si>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01/01/2025 00:15</t>
  </si>
  <si>
    <t>01/01/2025 00:30</t>
  </si>
  <si>
    <t>01/01/2025 00:45</t>
  </si>
  <si>
    <t>01/01/2025 01:00</t>
  </si>
  <si>
    <t>01/01/2025 01:15</t>
  </si>
  <si>
    <t>01/01/2025 01:30</t>
  </si>
  <si>
    <t>01/01/2025 01:45</t>
  </si>
  <si>
    <t>01/01/2025 02:00</t>
  </si>
  <si>
    <t>01/01/2025 02:15</t>
  </si>
  <si>
    <t>01/01/2025 02:30</t>
  </si>
  <si>
    <t>01/01/2025 02:45</t>
  </si>
  <si>
    <t>01/01/2025 03:00</t>
  </si>
  <si>
    <t>01/01/2025 03:15</t>
  </si>
  <si>
    <t>01/01/2025 03:30</t>
  </si>
  <si>
    <t>01/01/2025 03:45</t>
  </si>
  <si>
    <t>01/01/2025 04:00</t>
  </si>
  <si>
    <t>01/01/2025 04:15</t>
  </si>
  <si>
    <t>01/01/2025 04:30</t>
  </si>
  <si>
    <t>01/01/2025 04:45</t>
  </si>
  <si>
    <t>01/01/2025 05:00</t>
  </si>
  <si>
    <t>01/01/2025 05:15</t>
  </si>
  <si>
    <t>01/01/2025 05:30</t>
  </si>
  <si>
    <t>01/01/2025 05:45</t>
  </si>
  <si>
    <t>01/01/2025 06:00</t>
  </si>
  <si>
    <t>01/01/2025 06:15</t>
  </si>
  <si>
    <t>01/01/2025 06:30</t>
  </si>
  <si>
    <t>01/01/2025 06:45</t>
  </si>
  <si>
    <t>01/01/2025 07:00</t>
  </si>
  <si>
    <t>01/01/2025 07:15</t>
  </si>
  <si>
    <t>01/01/2025 07:30</t>
  </si>
  <si>
    <t>01/01/2025 07:45</t>
  </si>
  <si>
    <t>01/01/2025 08:00</t>
  </si>
  <si>
    <t>01/01/2025 08:15</t>
  </si>
  <si>
    <t>01/01/2025 08:30</t>
  </si>
  <si>
    <t>01/01/2025 08:45</t>
  </si>
  <si>
    <t>01/01/2025 09:00</t>
  </si>
  <si>
    <t>01/01/2025 09:15</t>
  </si>
  <si>
    <t>01/01/2025 09:30</t>
  </si>
  <si>
    <t>01/01/2025 09:45</t>
  </si>
  <si>
    <t>01/01/2025 10:00</t>
  </si>
  <si>
    <t>01/01/2025 10:15</t>
  </si>
  <si>
    <t>01/01/2025 10:30</t>
  </si>
  <si>
    <t>01/01/2025 10:45</t>
  </si>
  <si>
    <t>01/01/2025 11:00</t>
  </si>
  <si>
    <t>01/01/2025 11:15</t>
  </si>
  <si>
    <t>01/01/2025 11:30</t>
  </si>
  <si>
    <t>01/01/2025 11:45</t>
  </si>
  <si>
    <t>01/01/2025 12:00</t>
  </si>
  <si>
    <t>01/01/2025 12:15</t>
  </si>
  <si>
    <t>01/01/2025 12:30</t>
  </si>
  <si>
    <t>01/01/2025 12:45</t>
  </si>
  <si>
    <t>01/01/2025 13:00</t>
  </si>
  <si>
    <t>01/01/2025 13:15</t>
  </si>
  <si>
    <t>01/01/2025 13:30</t>
  </si>
  <si>
    <t>01/01/2025 13:45</t>
  </si>
  <si>
    <t>01/01/2025 14:00</t>
  </si>
  <si>
    <t>01/01/2025 14:15</t>
  </si>
  <si>
    <t>01/01/2025 14:30</t>
  </si>
  <si>
    <t>01/01/2025 14:45</t>
  </si>
  <si>
    <t>01/01/2025 15:00</t>
  </si>
  <si>
    <t>01/01/2025 15:15</t>
  </si>
  <si>
    <t>01/01/2025 15:30</t>
  </si>
  <si>
    <t>01/01/2025 15:45</t>
  </si>
  <si>
    <t>01/01/2025 16:00</t>
  </si>
  <si>
    <t>01/01/2025 16:15</t>
  </si>
  <si>
    <t>01/01/2025 16:30</t>
  </si>
  <si>
    <t>01/01/2025 16:45</t>
  </si>
  <si>
    <t>01/01/2025 17:00</t>
  </si>
  <si>
    <t>01/01/2025 17:15</t>
  </si>
  <si>
    <t>01/01/2025 17:30</t>
  </si>
  <si>
    <t>01/01/2025 17:45</t>
  </si>
  <si>
    <t>01/01/2025 18:00</t>
  </si>
  <si>
    <t>01/01/2025 18:15</t>
  </si>
  <si>
    <t>01/01/2025 18:30</t>
  </si>
  <si>
    <t>01/01/2025 18:45</t>
  </si>
  <si>
    <t>01/01/2025 19:00</t>
  </si>
  <si>
    <t>01/01/2025 19:15</t>
  </si>
  <si>
    <t>01/01/2025 19:30</t>
  </si>
  <si>
    <t>01/01/2025 19:45</t>
  </si>
  <si>
    <t>01/01/2025 20:00</t>
  </si>
  <si>
    <t>01/01/2025 20:15</t>
  </si>
  <si>
    <t>01/01/2025 20:30</t>
  </si>
  <si>
    <t>01/01/2025 20:45</t>
  </si>
  <si>
    <t>01/01/2025 21:00</t>
  </si>
  <si>
    <t>01/01/2025 21:15</t>
  </si>
  <si>
    <t>01/01/2025 21:30</t>
  </si>
  <si>
    <t>01/01/2025 21:45</t>
  </si>
  <si>
    <t>01/01/2025 22:00</t>
  </si>
  <si>
    <t>01/01/2025 22:15</t>
  </si>
  <si>
    <t>01/01/2025 22:30</t>
  </si>
  <si>
    <t>01/01/2025 22:45</t>
  </si>
  <si>
    <t>01/01/2025 23:00</t>
  </si>
  <si>
    <t>01/01/2025 23:15</t>
  </si>
  <si>
    <t>01/01/2025 23:30</t>
  </si>
  <si>
    <t>01/01/2025 23:45</t>
  </si>
  <si>
    <t>01/01/2025 24:00</t>
  </si>
  <si>
    <t>02/01/2025 00:15</t>
  </si>
  <si>
    <t>02/01/2025 00:30</t>
  </si>
  <si>
    <t>02/01/2025 00:45</t>
  </si>
  <si>
    <t>02/01/2025 01:00</t>
  </si>
  <si>
    <t>02/01/2025 01:15</t>
  </si>
  <si>
    <t>02/01/2025 01:30</t>
  </si>
  <si>
    <t>02/01/2025 01:45</t>
  </si>
  <si>
    <t>02/01/2025 02:00</t>
  </si>
  <si>
    <t>02/01/2025 02:15</t>
  </si>
  <si>
    <t>02/01/2025 02:30</t>
  </si>
  <si>
    <t>02/01/2025 02:45</t>
  </si>
  <si>
    <t>02/01/2025 03:00</t>
  </si>
  <si>
    <t>02/01/2025 03:15</t>
  </si>
  <si>
    <t>02/01/2025 03:30</t>
  </si>
  <si>
    <t>02/01/2025 03:45</t>
  </si>
  <si>
    <t>02/01/2025 04:00</t>
  </si>
  <si>
    <t>02/01/2025 04:15</t>
  </si>
  <si>
    <t>02/01/2025 04:30</t>
  </si>
  <si>
    <t>02/01/2025 04:45</t>
  </si>
  <si>
    <t>02/01/2025 05:00</t>
  </si>
  <si>
    <t>02/01/2025 05:15</t>
  </si>
  <si>
    <t>02/01/2025 05:30</t>
  </si>
  <si>
    <t>02/01/2025 05:45</t>
  </si>
  <si>
    <t>02/01/2025 06:00</t>
  </si>
  <si>
    <t>02/01/2025 06:15</t>
  </si>
  <si>
    <t>02/01/2025 06:30</t>
  </si>
  <si>
    <t>02/01/2025 06:45</t>
  </si>
  <si>
    <t>02/01/2025 07:00</t>
  </si>
  <si>
    <t>02/01/2025 07:15</t>
  </si>
  <si>
    <t>02/01/2025 07:30</t>
  </si>
  <si>
    <t>02/01/2025 07:45</t>
  </si>
  <si>
    <t>02/01/2025 08:00</t>
  </si>
  <si>
    <t>02/01/2025 08:15</t>
  </si>
  <si>
    <t>02/01/2025 08:30</t>
  </si>
  <si>
    <t>02/01/2025 08:45</t>
  </si>
  <si>
    <t>02/01/2025 09:00</t>
  </si>
  <si>
    <t>02/01/2025 09:15</t>
  </si>
  <si>
    <t>02/01/2025 09:30</t>
  </si>
  <si>
    <t>02/01/2025 09:45</t>
  </si>
  <si>
    <t>02/01/2025 10:00</t>
  </si>
  <si>
    <t>02/01/2025 10:15</t>
  </si>
  <si>
    <t>02/01/2025 10:30</t>
  </si>
  <si>
    <t>02/01/2025 10:45</t>
  </si>
  <si>
    <t>02/01/2025 11:00</t>
  </si>
  <si>
    <t>02/01/2025 11:15</t>
  </si>
  <si>
    <t>02/01/2025 11:30</t>
  </si>
  <si>
    <t>02/01/2025 11:45</t>
  </si>
  <si>
    <t>02/01/2025 12:00</t>
  </si>
  <si>
    <t>02/01/2025 12:15</t>
  </si>
  <si>
    <t>02/01/2025 12:30</t>
  </si>
  <si>
    <t>02/01/2025 12:45</t>
  </si>
  <si>
    <t>02/01/2025 13:00</t>
  </si>
  <si>
    <t>02/01/2025 13:15</t>
  </si>
  <si>
    <t>02/01/2025 13:30</t>
  </si>
  <si>
    <t>02/01/2025 13:45</t>
  </si>
  <si>
    <t>02/01/2025 14:00</t>
  </si>
  <si>
    <t>02/01/2025 14:15</t>
  </si>
  <si>
    <t>02/01/2025 14:30</t>
  </si>
  <si>
    <t>02/01/2025 14:45</t>
  </si>
  <si>
    <t>02/01/2025 15:00</t>
  </si>
  <si>
    <t>02/01/2025 15:15</t>
  </si>
  <si>
    <t>02/01/2025 15:30</t>
  </si>
  <si>
    <t>02/01/2025 15:45</t>
  </si>
  <si>
    <t>02/01/2025 16:00</t>
  </si>
  <si>
    <t>02/01/2025 16:15</t>
  </si>
  <si>
    <t>02/01/2025 16:30</t>
  </si>
  <si>
    <t>02/01/2025 16:45</t>
  </si>
  <si>
    <t>02/01/2025 17:00</t>
  </si>
  <si>
    <t>02/01/2025 17:15</t>
  </si>
  <si>
    <t>02/01/2025 17:30</t>
  </si>
  <si>
    <t>02/01/2025 17:45</t>
  </si>
  <si>
    <t>02/01/2025 18:00</t>
  </si>
  <si>
    <t>02/01/2025 18:15</t>
  </si>
  <si>
    <t>02/01/2025 18:30</t>
  </si>
  <si>
    <t>02/01/2025 18:45</t>
  </si>
  <si>
    <t>02/01/2025 19:00</t>
  </si>
  <si>
    <t>02/01/2025 19:15</t>
  </si>
  <si>
    <t>02/01/2025 19:30</t>
  </si>
  <si>
    <t>02/01/2025 19:45</t>
  </si>
  <si>
    <t>02/01/2025 20:00</t>
  </si>
  <si>
    <t>02/01/2025 20:15</t>
  </si>
  <si>
    <t>02/01/2025 20:30</t>
  </si>
  <si>
    <t>02/01/2025 20:45</t>
  </si>
  <si>
    <t>02/01/2025 21:00</t>
  </si>
  <si>
    <t>02/01/2025 21:15</t>
  </si>
  <si>
    <t>02/01/2025 21:30</t>
  </si>
  <si>
    <t>02/01/2025 21:45</t>
  </si>
  <si>
    <t>02/01/2025 22:00</t>
  </si>
  <si>
    <t>02/01/2025 22:15</t>
  </si>
  <si>
    <t>02/01/2025 22:30</t>
  </si>
  <si>
    <t>02/01/2025 22:45</t>
  </si>
  <si>
    <t>02/01/2025 23:00</t>
  </si>
  <si>
    <t>02/01/2025 23:15</t>
  </si>
  <si>
    <t>02/01/2025 23:30</t>
  </si>
  <si>
    <t>02/01/2025 23:45</t>
  </si>
  <si>
    <t>02/01/2025 24:00</t>
  </si>
  <si>
    <t>03/01/2025 00:15</t>
  </si>
  <si>
    <t>03/01/2025 00:30</t>
  </si>
  <si>
    <t>03/01/2025 00:45</t>
  </si>
  <si>
    <t>03/01/2025 01:00</t>
  </si>
  <si>
    <t>03/01/2025 01:15</t>
  </si>
  <si>
    <t>03/01/2025 01:30</t>
  </si>
  <si>
    <t>03/01/2025 01:45</t>
  </si>
  <si>
    <t>03/01/2025 02:00</t>
  </si>
  <si>
    <t>03/01/2025 02:15</t>
  </si>
  <si>
    <t>03/01/2025 02:30</t>
  </si>
  <si>
    <t>03/01/2025 02:45</t>
  </si>
  <si>
    <t>03/01/2025 03:00</t>
  </si>
  <si>
    <t>03/01/2025 03:15</t>
  </si>
  <si>
    <t>03/01/2025 03:30</t>
  </si>
  <si>
    <t>03/01/2025 03:45</t>
  </si>
  <si>
    <t>03/01/2025 04:00</t>
  </si>
  <si>
    <t>03/01/2025 04:15</t>
  </si>
  <si>
    <t>03/01/2025 04:30</t>
  </si>
  <si>
    <t>03/01/2025 04:45</t>
  </si>
  <si>
    <t>03/01/2025 05:00</t>
  </si>
  <si>
    <t>03/01/2025 05:15</t>
  </si>
  <si>
    <t>03/01/2025 05:30</t>
  </si>
  <si>
    <t>03/01/2025 05:45</t>
  </si>
  <si>
    <t>03/01/2025 06:00</t>
  </si>
  <si>
    <t>03/01/2025 06:15</t>
  </si>
  <si>
    <t>03/01/2025 06:30</t>
  </si>
  <si>
    <t>03/01/2025 06:45</t>
  </si>
  <si>
    <t>03/01/2025 07:00</t>
  </si>
  <si>
    <t>03/01/2025 07:15</t>
  </si>
  <si>
    <t>03/01/2025 07:30</t>
  </si>
  <si>
    <t>03/01/2025 07:45</t>
  </si>
  <si>
    <t>03/01/2025 08:00</t>
  </si>
  <si>
    <t>03/01/2025 08:15</t>
  </si>
  <si>
    <t>03/01/2025 08:30</t>
  </si>
  <si>
    <t>03/01/2025 08:45</t>
  </si>
  <si>
    <t>03/01/2025 09:00</t>
  </si>
  <si>
    <t>03/01/2025 09:15</t>
  </si>
  <si>
    <t>03/01/2025 09:30</t>
  </si>
  <si>
    <t>03/01/2025 09:45</t>
  </si>
  <si>
    <t>03/01/2025 10:00</t>
  </si>
  <si>
    <t>03/01/2025 10:15</t>
  </si>
  <si>
    <t>03/01/2025 10:30</t>
  </si>
  <si>
    <t>03/01/2025 10:45</t>
  </si>
  <si>
    <t>03/01/2025 11:00</t>
  </si>
  <si>
    <t>03/01/2025 11:15</t>
  </si>
  <si>
    <t>03/01/2025 11:30</t>
  </si>
  <si>
    <t>03/01/2025 11:45</t>
  </si>
  <si>
    <t>03/01/2025 12:00</t>
  </si>
  <si>
    <t>03/01/2025 12:15</t>
  </si>
  <si>
    <t>03/01/2025 12:30</t>
  </si>
  <si>
    <t>03/01/2025 12:45</t>
  </si>
  <si>
    <t>03/01/2025 13:00</t>
  </si>
  <si>
    <t>03/01/2025 13:15</t>
  </si>
  <si>
    <t>03/01/2025 13:30</t>
  </si>
  <si>
    <t>03/01/2025 13:45</t>
  </si>
  <si>
    <t>03/01/2025 14:00</t>
  </si>
  <si>
    <t>03/01/2025 14:15</t>
  </si>
  <si>
    <t>03/01/2025 14:30</t>
  </si>
  <si>
    <t>03/01/2025 14:45</t>
  </si>
  <si>
    <t>03/01/2025 15:00</t>
  </si>
  <si>
    <t>03/01/2025 15:15</t>
  </si>
  <si>
    <t>03/01/2025 15:30</t>
  </si>
  <si>
    <t>03/01/2025 15:45</t>
  </si>
  <si>
    <t>03/01/2025 16:00</t>
  </si>
  <si>
    <t>03/01/2025 16:15</t>
  </si>
  <si>
    <t>03/01/2025 16:30</t>
  </si>
  <si>
    <t>03/01/2025 16:45</t>
  </si>
  <si>
    <t>03/01/2025 17:00</t>
  </si>
  <si>
    <t>03/01/2025 17:15</t>
  </si>
  <si>
    <t>03/01/2025 17:30</t>
  </si>
  <si>
    <t>03/01/2025 17:45</t>
  </si>
  <si>
    <t>03/01/2025 18:00</t>
  </si>
  <si>
    <t>03/01/2025 18:15</t>
  </si>
  <si>
    <t>03/01/2025 18:30</t>
  </si>
  <si>
    <t>03/01/2025 18:45</t>
  </si>
  <si>
    <t>03/01/2025 19:00</t>
  </si>
  <si>
    <t>03/01/2025 19:15</t>
  </si>
  <si>
    <t>03/01/2025 19:30</t>
  </si>
  <si>
    <t>03/01/2025 19:45</t>
  </si>
  <si>
    <t>03/01/2025 20:00</t>
  </si>
  <si>
    <t>03/01/2025 20:15</t>
  </si>
  <si>
    <t>03/01/2025 20:30</t>
  </si>
  <si>
    <t>03/01/2025 20:45</t>
  </si>
  <si>
    <t>03/01/2025 21:00</t>
  </si>
  <si>
    <t>03/01/2025 21:15</t>
  </si>
  <si>
    <t>03/01/2025 21:30</t>
  </si>
  <si>
    <t>03/01/2025 21:45</t>
  </si>
  <si>
    <t>03/01/2025 22:00</t>
  </si>
  <si>
    <t>03/01/2025 22:15</t>
  </si>
  <si>
    <t>03/01/2025 22:30</t>
  </si>
  <si>
    <t>03/01/2025 22:45</t>
  </si>
  <si>
    <t>03/01/2025 23:00</t>
  </si>
  <si>
    <t>03/01/2025 23:15</t>
  </si>
  <si>
    <t>03/01/2025 23:30</t>
  </si>
  <si>
    <t>03/01/2025 23:45</t>
  </si>
  <si>
    <t>03/01/2025 24:00</t>
  </si>
  <si>
    <t>04/01/2025 00:15</t>
  </si>
  <si>
    <t>04/01/2025 00:30</t>
  </si>
  <si>
    <t>04/01/2025 00:45</t>
  </si>
  <si>
    <t>04/01/2025 01:00</t>
  </si>
  <si>
    <t>04/01/2025 01:15</t>
  </si>
  <si>
    <t>04/01/2025 01:30</t>
  </si>
  <si>
    <t>04/01/2025 01:45</t>
  </si>
  <si>
    <t>04/01/2025 02:00</t>
  </si>
  <si>
    <t>04/01/2025 02:15</t>
  </si>
  <si>
    <t>04/01/2025 02:30</t>
  </si>
  <si>
    <t>04/01/2025 02:45</t>
  </si>
  <si>
    <t>04/01/2025 03:00</t>
  </si>
  <si>
    <t>04/01/2025 03:15</t>
  </si>
  <si>
    <t>04/01/2025 03:30</t>
  </si>
  <si>
    <t>04/01/2025 03:45</t>
  </si>
  <si>
    <t>04/01/2025 04:00</t>
  </si>
  <si>
    <t>04/01/2025 04:15</t>
  </si>
  <si>
    <t>04/01/2025 04:30</t>
  </si>
  <si>
    <t>04/01/2025 04:45</t>
  </si>
  <si>
    <t>04/01/2025 05:00</t>
  </si>
  <si>
    <t>04/01/2025 05:15</t>
  </si>
  <si>
    <t>04/01/2025 05:30</t>
  </si>
  <si>
    <t>04/01/2025 05:45</t>
  </si>
  <si>
    <t>04/01/2025 06:00</t>
  </si>
  <si>
    <t>04/01/2025 06:15</t>
  </si>
  <si>
    <t>04/01/2025 06:30</t>
  </si>
  <si>
    <t>04/01/2025 06:45</t>
  </si>
  <si>
    <t>04/01/2025 07:00</t>
  </si>
  <si>
    <t>04/01/2025 07:15</t>
  </si>
  <si>
    <t>04/01/2025 07:30</t>
  </si>
  <si>
    <t>04/01/2025 07:45</t>
  </si>
  <si>
    <t>04/01/2025 08:00</t>
  </si>
  <si>
    <t>04/01/2025 08:15</t>
  </si>
  <si>
    <t>04/01/2025 08:30</t>
  </si>
  <si>
    <t>04/01/2025 08:45</t>
  </si>
  <si>
    <t>04/01/2025 09:00</t>
  </si>
  <si>
    <t>04/01/2025 09:15</t>
  </si>
  <si>
    <t>04/01/2025 09:30</t>
  </si>
  <si>
    <t>04/01/2025 09:45</t>
  </si>
  <si>
    <t>04/01/2025 10:00</t>
  </si>
  <si>
    <t>04/01/2025 10:15</t>
  </si>
  <si>
    <t>04/01/2025 10:30</t>
  </si>
  <si>
    <t>04/01/2025 10:45</t>
  </si>
  <si>
    <t>04/01/2025 11:00</t>
  </si>
  <si>
    <t>04/01/2025 11:15</t>
  </si>
  <si>
    <t>04/01/2025 11:30</t>
  </si>
  <si>
    <t>04/01/2025 11:45</t>
  </si>
  <si>
    <t>04/01/2025 12:00</t>
  </si>
  <si>
    <t>04/01/2025 12:15</t>
  </si>
  <si>
    <t>04/01/2025 12:30</t>
  </si>
  <si>
    <t>04/01/2025 12:45</t>
  </si>
  <si>
    <t>04/01/2025 13:00</t>
  </si>
  <si>
    <t>04/01/2025 13:15</t>
  </si>
  <si>
    <t>04/01/2025 13:30</t>
  </si>
  <si>
    <t>04/01/2025 13:45</t>
  </si>
  <si>
    <t>04/01/2025 14:00</t>
  </si>
  <si>
    <t>04/01/2025 14:15</t>
  </si>
  <si>
    <t>04/01/2025 14:30</t>
  </si>
  <si>
    <t>04/01/2025 14:45</t>
  </si>
  <si>
    <t>04/01/2025 15:00</t>
  </si>
  <si>
    <t>04/01/2025 15:15</t>
  </si>
  <si>
    <t>04/01/2025 15:30</t>
  </si>
  <si>
    <t>04/01/2025 15:45</t>
  </si>
  <si>
    <t>04/01/2025 16:00</t>
  </si>
  <si>
    <t>04/01/2025 16:15</t>
  </si>
  <si>
    <t>04/01/2025 16:30</t>
  </si>
  <si>
    <t>04/01/2025 16:45</t>
  </si>
  <si>
    <t>04/01/2025 17:00</t>
  </si>
  <si>
    <t>04/01/2025 17:15</t>
  </si>
  <si>
    <t>04/01/2025 17:30</t>
  </si>
  <si>
    <t>04/01/2025 17:45</t>
  </si>
  <si>
    <t>04/01/2025 18:00</t>
  </si>
  <si>
    <t>04/01/2025 18:15</t>
  </si>
  <si>
    <t>04/01/2025 18:30</t>
  </si>
  <si>
    <t>04/01/2025 18:45</t>
  </si>
  <si>
    <t>04/01/2025 19:00</t>
  </si>
  <si>
    <t>04/01/2025 19:15</t>
  </si>
  <si>
    <t>04/01/2025 19:30</t>
  </si>
  <si>
    <t>04/01/2025 19:45</t>
  </si>
  <si>
    <t>04/01/2025 20:00</t>
  </si>
  <si>
    <t>04/01/2025 20:15</t>
  </si>
  <si>
    <t>04/01/2025 20:30</t>
  </si>
  <si>
    <t>04/01/2025 20:45</t>
  </si>
  <si>
    <t>04/01/2025 21:00</t>
  </si>
  <si>
    <t>04/01/2025 21:15</t>
  </si>
  <si>
    <t>04/01/2025 21:30</t>
  </si>
  <si>
    <t>04/01/2025 21:45</t>
  </si>
  <si>
    <t>04/01/2025 22:00</t>
  </si>
  <si>
    <t>04/01/2025 22:15</t>
  </si>
  <si>
    <t>04/01/2025 22:30</t>
  </si>
  <si>
    <t>04/01/2025 22:45</t>
  </si>
  <si>
    <t>04/01/2025 23:00</t>
  </si>
  <si>
    <t>04/01/2025 23:15</t>
  </si>
  <si>
    <t>04/01/2025 23:30</t>
  </si>
  <si>
    <t>04/01/2025 23:45</t>
  </si>
  <si>
    <t>04/01/2025 24:00</t>
  </si>
  <si>
    <t>05/01/2025 00:15</t>
  </si>
  <si>
    <t>05/01/2025 00:30</t>
  </si>
  <si>
    <t>05/01/2025 00:45</t>
  </si>
  <si>
    <t>05/01/2025 01:00</t>
  </si>
  <si>
    <t>05/01/2025 01:15</t>
  </si>
  <si>
    <t>05/01/2025 01:30</t>
  </si>
  <si>
    <t>05/01/2025 01:45</t>
  </si>
  <si>
    <t>05/01/2025 02:00</t>
  </si>
  <si>
    <t>05/01/2025 02:15</t>
  </si>
  <si>
    <t>05/01/2025 02:30</t>
  </si>
  <si>
    <t>05/01/2025 02:45</t>
  </si>
  <si>
    <t>05/01/2025 03:00</t>
  </si>
  <si>
    <t>05/01/2025 03:15</t>
  </si>
  <si>
    <t>05/01/2025 03:30</t>
  </si>
  <si>
    <t>05/01/2025 03:45</t>
  </si>
  <si>
    <t>05/01/2025 04:00</t>
  </si>
  <si>
    <t>05/01/2025 04:15</t>
  </si>
  <si>
    <t>05/01/2025 04:30</t>
  </si>
  <si>
    <t>05/01/2025 04:45</t>
  </si>
  <si>
    <t>05/01/2025 05:00</t>
  </si>
  <si>
    <t>05/01/2025 05:15</t>
  </si>
  <si>
    <t>05/01/2025 05:30</t>
  </si>
  <si>
    <t>05/01/2025 05:45</t>
  </si>
  <si>
    <t>05/01/2025 06:00</t>
  </si>
  <si>
    <t>05/01/2025 06:15</t>
  </si>
  <si>
    <t>05/01/2025 06:30</t>
  </si>
  <si>
    <t>05/01/2025 06:45</t>
  </si>
  <si>
    <t>05/01/2025 07:00</t>
  </si>
  <si>
    <t>05/01/2025 07:15</t>
  </si>
  <si>
    <t>05/01/2025 07:30</t>
  </si>
  <si>
    <t>05/01/2025 07:45</t>
  </si>
  <si>
    <t>05/01/2025 08:00</t>
  </si>
  <si>
    <t>05/01/2025 08:15</t>
  </si>
  <si>
    <t>05/01/2025 08:30</t>
  </si>
  <si>
    <t>05/01/2025 08:45</t>
  </si>
  <si>
    <t>05/01/2025 09:00</t>
  </si>
  <si>
    <t>05/01/2025 09:15</t>
  </si>
  <si>
    <t>05/01/2025 09:30</t>
  </si>
  <si>
    <t>05/01/2025 09:45</t>
  </si>
  <si>
    <t>05/01/2025 10:00</t>
  </si>
  <si>
    <t>05/01/2025 10:15</t>
  </si>
  <si>
    <t>05/01/2025 10:30</t>
  </si>
  <si>
    <t>05/01/2025 10:45</t>
  </si>
  <si>
    <t>05/01/2025 11:00</t>
  </si>
  <si>
    <t>05/01/2025 11:15</t>
  </si>
  <si>
    <t>05/01/2025 11:30</t>
  </si>
  <si>
    <t>05/01/2025 11:45</t>
  </si>
  <si>
    <t>05/01/2025 12:00</t>
  </si>
  <si>
    <t>05/01/2025 12:15</t>
  </si>
  <si>
    <t>05/01/2025 12:30</t>
  </si>
  <si>
    <t>05/01/2025 12:45</t>
  </si>
  <si>
    <t>05/01/2025 13:00</t>
  </si>
  <si>
    <t>05/01/2025 13:15</t>
  </si>
  <si>
    <t>05/01/2025 13:30</t>
  </si>
  <si>
    <t>05/01/2025 13:45</t>
  </si>
  <si>
    <t>05/01/2025 14:00</t>
  </si>
  <si>
    <t>05/01/2025 14:15</t>
  </si>
  <si>
    <t>05/01/2025 14:30</t>
  </si>
  <si>
    <t>05/01/2025 14:45</t>
  </si>
  <si>
    <t>05/01/2025 15:00</t>
  </si>
  <si>
    <t>05/01/2025 15:15</t>
  </si>
  <si>
    <t>05/01/2025 15:30</t>
  </si>
  <si>
    <t>05/01/2025 15:45</t>
  </si>
  <si>
    <t>05/01/2025 16:00</t>
  </si>
  <si>
    <t>05/01/2025 16:15</t>
  </si>
  <si>
    <t>05/01/2025 16:30</t>
  </si>
  <si>
    <t>05/01/2025 16:45</t>
  </si>
  <si>
    <t>05/01/2025 17:00</t>
  </si>
  <si>
    <t>05/01/2025 17:15</t>
  </si>
  <si>
    <t>05/01/2025 17:30</t>
  </si>
  <si>
    <t>05/01/2025 17:45</t>
  </si>
  <si>
    <t>05/01/2025 18:00</t>
  </si>
  <si>
    <t>05/01/2025 18:15</t>
  </si>
  <si>
    <t>05/01/2025 18:30</t>
  </si>
  <si>
    <t>05/01/2025 18:45</t>
  </si>
  <si>
    <t>05/01/2025 19:00</t>
  </si>
  <si>
    <t>05/01/2025 19:15</t>
  </si>
  <si>
    <t>05/01/2025 19:30</t>
  </si>
  <si>
    <t>05/01/2025 19:45</t>
  </si>
  <si>
    <t>05/01/2025 20:00</t>
  </si>
  <si>
    <t>05/01/2025 20:15</t>
  </si>
  <si>
    <t>05/01/2025 20:30</t>
  </si>
  <si>
    <t>05/01/2025 20:45</t>
  </si>
  <si>
    <t>05/01/2025 21:00</t>
  </si>
  <si>
    <t>05/01/2025 21:15</t>
  </si>
  <si>
    <t>05/01/2025 21:30</t>
  </si>
  <si>
    <t>05/01/2025 21:45</t>
  </si>
  <si>
    <t>05/01/2025 22:00</t>
  </si>
  <si>
    <t>05/01/2025 22:15</t>
  </si>
  <si>
    <t>05/01/2025 22:30</t>
  </si>
  <si>
    <t>05/01/2025 22:45</t>
  </si>
  <si>
    <t>05/01/2025 23:00</t>
  </si>
  <si>
    <t>05/01/2025 23:15</t>
  </si>
  <si>
    <t>05/01/2025 23:30</t>
  </si>
  <si>
    <t>05/01/2025 23:45</t>
  </si>
  <si>
    <t>05/01/2025 24:00</t>
  </si>
  <si>
    <t>06/01/2025 00:15</t>
  </si>
  <si>
    <t>06/01/2025 00:30</t>
  </si>
  <si>
    <t>06/01/2025 00:45</t>
  </si>
  <si>
    <t>06/01/2025 01:00</t>
  </si>
  <si>
    <t>06/01/2025 01:15</t>
  </si>
  <si>
    <t>06/01/2025 01:30</t>
  </si>
  <si>
    <t>06/01/2025 01:45</t>
  </si>
  <si>
    <t>06/01/2025 02:00</t>
  </si>
  <si>
    <t>06/01/2025 02:15</t>
  </si>
  <si>
    <t>06/01/2025 02:30</t>
  </si>
  <si>
    <t>06/01/2025 02:45</t>
  </si>
  <si>
    <t>06/01/2025 03:00</t>
  </si>
  <si>
    <t>06/01/2025 03:15</t>
  </si>
  <si>
    <t>06/01/2025 03:30</t>
  </si>
  <si>
    <t>06/01/2025 03:45</t>
  </si>
  <si>
    <t>06/01/2025 04:00</t>
  </si>
  <si>
    <t>06/01/2025 04:15</t>
  </si>
  <si>
    <t>06/01/2025 04:30</t>
  </si>
  <si>
    <t>06/01/2025 04:45</t>
  </si>
  <si>
    <t>06/01/2025 05:00</t>
  </si>
  <si>
    <t>06/01/2025 05:15</t>
  </si>
  <si>
    <t>06/01/2025 05:30</t>
  </si>
  <si>
    <t>06/01/2025 05:45</t>
  </si>
  <si>
    <t>06/01/2025 06:00</t>
  </si>
  <si>
    <t>06/01/2025 06:15</t>
  </si>
  <si>
    <t>06/01/2025 06:30</t>
  </si>
  <si>
    <t>06/01/2025 06:45</t>
  </si>
  <si>
    <t>06/01/2025 07:00</t>
  </si>
  <si>
    <t>06/01/2025 07:15</t>
  </si>
  <si>
    <t>06/01/2025 07:30</t>
  </si>
  <si>
    <t>06/01/2025 07:45</t>
  </si>
  <si>
    <t>06/01/2025 08:00</t>
  </si>
  <si>
    <t>06/01/2025 08:15</t>
  </si>
  <si>
    <t>06/01/2025 08:30</t>
  </si>
  <si>
    <t>06/01/2025 08:45</t>
  </si>
  <si>
    <t>06/01/2025 09:00</t>
  </si>
  <si>
    <t>06/01/2025 09:15</t>
  </si>
  <si>
    <t>06/01/2025 09:30</t>
  </si>
  <si>
    <t>06/01/2025 09:45</t>
  </si>
  <si>
    <t>06/01/2025 10:00</t>
  </si>
  <si>
    <t>06/01/2025 10:15</t>
  </si>
  <si>
    <t>06/01/2025 10:30</t>
  </si>
  <si>
    <t>06/01/2025 10:45</t>
  </si>
  <si>
    <t>06/01/2025 11:00</t>
  </si>
  <si>
    <t>06/01/2025 11:15</t>
  </si>
  <si>
    <t>06/01/2025 11:30</t>
  </si>
  <si>
    <t>06/01/2025 11:45</t>
  </si>
  <si>
    <t>06/01/2025 12:00</t>
  </si>
  <si>
    <t>06/01/2025 12:15</t>
  </si>
  <si>
    <t>06/01/2025 12:30</t>
  </si>
  <si>
    <t>06/01/2025 12:45</t>
  </si>
  <si>
    <t>06/01/2025 13:00</t>
  </si>
  <si>
    <t>06/01/2025 13:15</t>
  </si>
  <si>
    <t>06/01/2025 13:30</t>
  </si>
  <si>
    <t>06/01/2025 13:45</t>
  </si>
  <si>
    <t>06/01/2025 14:00</t>
  </si>
  <si>
    <t>06/01/2025 14:15</t>
  </si>
  <si>
    <t>06/01/2025 14:30</t>
  </si>
  <si>
    <t>06/01/2025 14:45</t>
  </si>
  <si>
    <t>06/01/2025 15:00</t>
  </si>
  <si>
    <t>06/01/2025 15:15</t>
  </si>
  <si>
    <t>06/01/2025 15:30</t>
  </si>
  <si>
    <t>06/01/2025 15:45</t>
  </si>
  <si>
    <t>06/01/2025 16:00</t>
  </si>
  <si>
    <t>06/01/2025 16:15</t>
  </si>
  <si>
    <t>06/01/2025 16:30</t>
  </si>
  <si>
    <t>06/01/2025 16:45</t>
  </si>
  <si>
    <t>06/01/2025 17:00</t>
  </si>
  <si>
    <t>06/01/2025 17:15</t>
  </si>
  <si>
    <t>06/01/2025 17:30</t>
  </si>
  <si>
    <t>06/01/2025 17:45</t>
  </si>
  <si>
    <t>06/01/2025 18:00</t>
  </si>
  <si>
    <t>06/01/2025 18:15</t>
  </si>
  <si>
    <t>06/01/2025 18:30</t>
  </si>
  <si>
    <t>06/01/2025 18:45</t>
  </si>
  <si>
    <t>06/01/2025 19:00</t>
  </si>
  <si>
    <t>06/01/2025 19:15</t>
  </si>
  <si>
    <t>06/01/2025 19:30</t>
  </si>
  <si>
    <t>06/01/2025 19:45</t>
  </si>
  <si>
    <t>06/01/2025 20:00</t>
  </si>
  <si>
    <t>06/01/2025 20:15</t>
  </si>
  <si>
    <t>06/01/2025 20:30</t>
  </si>
  <si>
    <t>06/01/2025 20:45</t>
  </si>
  <si>
    <t>06/01/2025 21:00</t>
  </si>
  <si>
    <t>06/01/2025 21:15</t>
  </si>
  <si>
    <t>06/01/2025 21:30</t>
  </si>
  <si>
    <t>06/01/2025 21:45</t>
  </si>
  <si>
    <t>06/01/2025 22:00</t>
  </si>
  <si>
    <t>06/01/2025 22:15</t>
  </si>
  <si>
    <t>06/01/2025 22:30</t>
  </si>
  <si>
    <t>06/01/2025 22:45</t>
  </si>
  <si>
    <t>06/01/2025 23:00</t>
  </si>
  <si>
    <t>06/01/2025 23:15</t>
  </si>
  <si>
    <t>06/01/2025 23:30</t>
  </si>
  <si>
    <t>06/01/2025 23:45</t>
  </si>
  <si>
    <t>06/01/2025 24:00</t>
  </si>
  <si>
    <t>07/01/2025 00:15</t>
  </si>
  <si>
    <t>07/01/2025 00:30</t>
  </si>
  <si>
    <t>07/01/2025 00:45</t>
  </si>
  <si>
    <t>07/01/2025 01:00</t>
  </si>
  <si>
    <t>07/01/2025 01:15</t>
  </si>
  <si>
    <t>07/01/2025 01:30</t>
  </si>
  <si>
    <t>07/01/2025 01:45</t>
  </si>
  <si>
    <t>07/01/2025 02:00</t>
  </si>
  <si>
    <t>07/01/2025 02:15</t>
  </si>
  <si>
    <t>07/01/2025 02:30</t>
  </si>
  <si>
    <t>07/01/2025 02:45</t>
  </si>
  <si>
    <t>07/01/2025 03:00</t>
  </si>
  <si>
    <t>07/01/2025 03:15</t>
  </si>
  <si>
    <t>07/01/2025 03:30</t>
  </si>
  <si>
    <t>07/01/2025 03:45</t>
  </si>
  <si>
    <t>07/01/2025 04:00</t>
  </si>
  <si>
    <t>07/01/2025 04:15</t>
  </si>
  <si>
    <t>07/01/2025 04:30</t>
  </si>
  <si>
    <t>07/01/2025 04:45</t>
  </si>
  <si>
    <t>07/01/2025 05:00</t>
  </si>
  <si>
    <t>07/01/2025 05:15</t>
  </si>
  <si>
    <t>07/01/2025 05:30</t>
  </si>
  <si>
    <t>07/01/2025 05:45</t>
  </si>
  <si>
    <t>07/01/2025 06:00</t>
  </si>
  <si>
    <t>07/01/2025 06:15</t>
  </si>
  <si>
    <t>07/01/2025 06:30</t>
  </si>
  <si>
    <t>07/01/2025 06:45</t>
  </si>
  <si>
    <t>07/01/2025 07:00</t>
  </si>
  <si>
    <t>07/01/2025 07:15</t>
  </si>
  <si>
    <t>07/01/2025 07:30</t>
  </si>
  <si>
    <t>07/01/2025 07:45</t>
  </si>
  <si>
    <t>07/01/2025 08:00</t>
  </si>
  <si>
    <t>07/01/2025 08:15</t>
  </si>
  <si>
    <t>07/01/2025 08:30</t>
  </si>
  <si>
    <t>07/01/2025 08:45</t>
  </si>
  <si>
    <t>07/01/2025 09:00</t>
  </si>
  <si>
    <t>07/01/2025 09:15</t>
  </si>
  <si>
    <t>07/01/2025 09:30</t>
  </si>
  <si>
    <t>07/01/2025 09:45</t>
  </si>
  <si>
    <t>07/01/2025 10:00</t>
  </si>
  <si>
    <t>07/01/2025 10:15</t>
  </si>
  <si>
    <t>07/01/2025 10:30</t>
  </si>
  <si>
    <t>07/01/2025 10:45</t>
  </si>
  <si>
    <t>07/01/2025 11:00</t>
  </si>
  <si>
    <t>07/01/2025 11:15</t>
  </si>
  <si>
    <t>07/01/2025 11:30</t>
  </si>
  <si>
    <t>07/01/2025 11:45</t>
  </si>
  <si>
    <t>07/01/2025 12:00</t>
  </si>
  <si>
    <t>07/01/2025 12:15</t>
  </si>
  <si>
    <t>07/01/2025 12:30</t>
  </si>
  <si>
    <t>07/01/2025 12:45</t>
  </si>
  <si>
    <t>07/01/2025 13:00</t>
  </si>
  <si>
    <t>07/01/2025 13:15</t>
  </si>
  <si>
    <t>07/01/2025 13:30</t>
  </si>
  <si>
    <t>07/01/2025 13:45</t>
  </si>
  <si>
    <t>07/01/2025 14:00</t>
  </si>
  <si>
    <t>07/01/2025 14:15</t>
  </si>
  <si>
    <t>07/01/2025 14:30</t>
  </si>
  <si>
    <t>07/01/2025 14:45</t>
  </si>
  <si>
    <t>07/01/2025 15:00</t>
  </si>
  <si>
    <t>07/01/2025 15:15</t>
  </si>
  <si>
    <t>07/01/2025 15:30</t>
  </si>
  <si>
    <t>07/01/2025 15:45</t>
  </si>
  <si>
    <t>07/01/2025 16:00</t>
  </si>
  <si>
    <t>07/01/2025 16:15</t>
  </si>
  <si>
    <t>07/01/2025 16:30</t>
  </si>
  <si>
    <t>07/01/2025 16:45</t>
  </si>
  <si>
    <t>07/01/2025 17:00</t>
  </si>
  <si>
    <t>07/01/2025 17:15</t>
  </si>
  <si>
    <t>07/01/2025 17:30</t>
  </si>
  <si>
    <t>07/01/2025 17:45</t>
  </si>
  <si>
    <t>07/01/2025 18:00</t>
  </si>
  <si>
    <t>07/01/2025 18:15</t>
  </si>
  <si>
    <t>07/01/2025 18:30</t>
  </si>
  <si>
    <t>07/01/2025 18:45</t>
  </si>
  <si>
    <t>07/01/2025 19:00</t>
  </si>
  <si>
    <t>07/01/2025 19:15</t>
  </si>
  <si>
    <t>07/01/2025 19:30</t>
  </si>
  <si>
    <t>07/01/2025 19:45</t>
  </si>
  <si>
    <t>07/01/2025 20:00</t>
  </si>
  <si>
    <t>07/01/2025 20:15</t>
  </si>
  <si>
    <t>07/01/2025 20:30</t>
  </si>
  <si>
    <t>07/01/2025 20:45</t>
  </si>
  <si>
    <t>07/01/2025 21:00</t>
  </si>
  <si>
    <t>07/01/2025 21:15</t>
  </si>
  <si>
    <t>07/01/2025 21:30</t>
  </si>
  <si>
    <t>07/01/2025 21:45</t>
  </si>
  <si>
    <t>07/01/2025 22:00</t>
  </si>
  <si>
    <t>07/01/2025 22:15</t>
  </si>
  <si>
    <t>07/01/2025 22:30</t>
  </si>
  <si>
    <t>07/01/2025 22:45</t>
  </si>
  <si>
    <t>07/01/2025 23:00</t>
  </si>
  <si>
    <t>07/01/2025 23:15</t>
  </si>
  <si>
    <t>07/01/2025 23:30</t>
  </si>
  <si>
    <t>07/01/2025 23:45</t>
  </si>
  <si>
    <t>07/01/2025 24:00</t>
  </si>
  <si>
    <t>08/01/2025 00:15</t>
  </si>
  <si>
    <t>08/01/2025 00:30</t>
  </si>
  <si>
    <t>08/01/2025 00:45</t>
  </si>
  <si>
    <t>08/01/2025 01:00</t>
  </si>
  <si>
    <t>08/01/2025 01:15</t>
  </si>
  <si>
    <t>08/01/2025 01:30</t>
  </si>
  <si>
    <t>08/01/2025 01:45</t>
  </si>
  <si>
    <t>08/01/2025 02:00</t>
  </si>
  <si>
    <t>08/01/2025 02:15</t>
  </si>
  <si>
    <t>08/01/2025 02:30</t>
  </si>
  <si>
    <t>08/01/2025 02:45</t>
  </si>
  <si>
    <t>08/01/2025 03:00</t>
  </si>
  <si>
    <t>08/01/2025 03:15</t>
  </si>
  <si>
    <t>08/01/2025 03:30</t>
  </si>
  <si>
    <t>08/01/2025 03:45</t>
  </si>
  <si>
    <t>08/01/2025 04:00</t>
  </si>
  <si>
    <t>08/01/2025 04:15</t>
  </si>
  <si>
    <t>08/01/2025 04:30</t>
  </si>
  <si>
    <t>08/01/2025 04:45</t>
  </si>
  <si>
    <t>08/01/2025 05:00</t>
  </si>
  <si>
    <t>08/01/2025 05:15</t>
  </si>
  <si>
    <t>08/01/2025 05:30</t>
  </si>
  <si>
    <t>08/01/2025 05:45</t>
  </si>
  <si>
    <t>08/01/2025 06:00</t>
  </si>
  <si>
    <t>08/01/2025 06:15</t>
  </si>
  <si>
    <t>08/01/2025 06:30</t>
  </si>
  <si>
    <t>08/01/2025 06:45</t>
  </si>
  <si>
    <t>08/01/2025 07:00</t>
  </si>
  <si>
    <t>08/01/2025 07:15</t>
  </si>
  <si>
    <t>08/01/2025 07:30</t>
  </si>
  <si>
    <t>08/01/2025 07:45</t>
  </si>
  <si>
    <t>08/01/2025 08:00</t>
  </si>
  <si>
    <t>08/01/2025 08:15</t>
  </si>
  <si>
    <t>08/01/2025 08:30</t>
  </si>
  <si>
    <t>08/01/2025 08:45</t>
  </si>
  <si>
    <t>08/01/2025 09:00</t>
  </si>
  <si>
    <t>08/01/2025 09:15</t>
  </si>
  <si>
    <t>08/01/2025 09:30</t>
  </si>
  <si>
    <t>08/01/2025 09:45</t>
  </si>
  <si>
    <t>08/01/2025 10:00</t>
  </si>
  <si>
    <t>08/01/2025 10:15</t>
  </si>
  <si>
    <t>08/01/2025 10:30</t>
  </si>
  <si>
    <t>08/01/2025 10:45</t>
  </si>
  <si>
    <t>08/01/2025 11:00</t>
  </si>
  <si>
    <t>08/01/2025 11:15</t>
  </si>
  <si>
    <t>08/01/2025 11:30</t>
  </si>
  <si>
    <t>08/01/2025 11:45</t>
  </si>
  <si>
    <t>08/01/2025 12:00</t>
  </si>
  <si>
    <t>08/01/2025 12:15</t>
  </si>
  <si>
    <t>08/01/2025 12:30</t>
  </si>
  <si>
    <t>08/01/2025 12:45</t>
  </si>
  <si>
    <t>08/01/2025 13:00</t>
  </si>
  <si>
    <t>08/01/2025 13:15</t>
  </si>
  <si>
    <t>08/01/2025 13:30</t>
  </si>
  <si>
    <t>08/01/2025 13:45</t>
  </si>
  <si>
    <t>08/01/2025 14:00</t>
  </si>
  <si>
    <t>08/01/2025 14:15</t>
  </si>
  <si>
    <t>08/01/2025 14:30</t>
  </si>
  <si>
    <t>08/01/2025 14:45</t>
  </si>
  <si>
    <t>08/01/2025 15:00</t>
  </si>
  <si>
    <t>08/01/2025 15:15</t>
  </si>
  <si>
    <t>08/01/2025 15:30</t>
  </si>
  <si>
    <t>08/01/2025 15:45</t>
  </si>
  <si>
    <t>08/01/2025 16:00</t>
  </si>
  <si>
    <t>08/01/2025 16:15</t>
  </si>
  <si>
    <t>08/01/2025 16:30</t>
  </si>
  <si>
    <t>08/01/2025 16:45</t>
  </si>
  <si>
    <t>08/01/2025 17:00</t>
  </si>
  <si>
    <t>08/01/2025 17:15</t>
  </si>
  <si>
    <t>08/01/2025 17:30</t>
  </si>
  <si>
    <t>08/01/2025 17:45</t>
  </si>
  <si>
    <t>08/01/2025 18:00</t>
  </si>
  <si>
    <t>08/01/2025 18:15</t>
  </si>
  <si>
    <t>08/01/2025 18:30</t>
  </si>
  <si>
    <t>08/01/2025 18:45</t>
  </si>
  <si>
    <t>08/01/2025 19:00</t>
  </si>
  <si>
    <t>08/01/2025 19:15</t>
  </si>
  <si>
    <t>08/01/2025 19:30</t>
  </si>
  <si>
    <t>08/01/2025 19:45</t>
  </si>
  <si>
    <t>08/01/2025 20:00</t>
  </si>
  <si>
    <t>08/01/2025 20:15</t>
  </si>
  <si>
    <t>08/01/2025 20:30</t>
  </si>
  <si>
    <t>08/01/2025 20:45</t>
  </si>
  <si>
    <t>08/01/2025 21:00</t>
  </si>
  <si>
    <t>08/01/2025 21:15</t>
  </si>
  <si>
    <t>08/01/2025 21:30</t>
  </si>
  <si>
    <t>08/01/2025 21:45</t>
  </si>
  <si>
    <t>08/01/2025 22:00</t>
  </si>
  <si>
    <t>08/01/2025 22:15</t>
  </si>
  <si>
    <t>08/01/2025 22:30</t>
  </si>
  <si>
    <t>08/01/2025 22:45</t>
  </si>
  <si>
    <t>08/01/2025 23:00</t>
  </si>
  <si>
    <t>08/01/2025 23:15</t>
  </si>
  <si>
    <t>08/01/2025 23:30</t>
  </si>
  <si>
    <t>08/01/2025 23:45</t>
  </si>
  <si>
    <t>08/01/2025 24:00</t>
  </si>
  <si>
    <t>09/01/2025 00:15</t>
  </si>
  <si>
    <t>09/01/2025 00:30</t>
  </si>
  <si>
    <t>09/01/2025 00:45</t>
  </si>
  <si>
    <t>09/01/2025 01:00</t>
  </si>
  <si>
    <t>09/01/2025 01:15</t>
  </si>
  <si>
    <t>09/01/2025 01:30</t>
  </si>
  <si>
    <t>09/01/2025 01:45</t>
  </si>
  <si>
    <t>09/01/2025 02:00</t>
  </si>
  <si>
    <t>09/01/2025 02:15</t>
  </si>
  <si>
    <t>09/01/2025 02:30</t>
  </si>
  <si>
    <t>09/01/2025 02:45</t>
  </si>
  <si>
    <t>09/01/2025 03:00</t>
  </si>
  <si>
    <t>09/01/2025 03:15</t>
  </si>
  <si>
    <t>09/01/2025 03:30</t>
  </si>
  <si>
    <t>09/01/2025 03:45</t>
  </si>
  <si>
    <t>09/01/2025 04:00</t>
  </si>
  <si>
    <t>09/01/2025 04:15</t>
  </si>
  <si>
    <t>09/01/2025 04:30</t>
  </si>
  <si>
    <t>09/01/2025 04:45</t>
  </si>
  <si>
    <t>09/01/2025 05:00</t>
  </si>
  <si>
    <t>09/01/2025 05:15</t>
  </si>
  <si>
    <t>09/01/2025 05:30</t>
  </si>
  <si>
    <t>09/01/2025 05:45</t>
  </si>
  <si>
    <t>09/01/2025 06:00</t>
  </si>
  <si>
    <t>09/01/2025 06:15</t>
  </si>
  <si>
    <t>09/01/2025 06:30</t>
  </si>
  <si>
    <t>09/01/2025 06:45</t>
  </si>
  <si>
    <t>09/01/2025 07:00</t>
  </si>
  <si>
    <t>09/01/2025 07:15</t>
  </si>
  <si>
    <t>09/01/2025 07:30</t>
  </si>
  <si>
    <t>09/01/2025 07:45</t>
  </si>
  <si>
    <t>09/01/2025 08:00</t>
  </si>
  <si>
    <t>09/01/2025 08:15</t>
  </si>
  <si>
    <t>09/01/2025 08:30</t>
  </si>
  <si>
    <t>09/01/2025 08:45</t>
  </si>
  <si>
    <t>09/01/2025 09:00</t>
  </si>
  <si>
    <t>09/01/2025 09:15</t>
  </si>
  <si>
    <t>09/01/2025 09:30</t>
  </si>
  <si>
    <t>09/01/2025 09:45</t>
  </si>
  <si>
    <t>09/01/2025 10:00</t>
  </si>
  <si>
    <t>09/01/2025 10:15</t>
  </si>
  <si>
    <t>09/01/2025 10:30</t>
  </si>
  <si>
    <t>09/01/2025 10:45</t>
  </si>
  <si>
    <t>09/01/2025 11:00</t>
  </si>
  <si>
    <t>09/01/2025 11:15</t>
  </si>
  <si>
    <t>09/01/2025 11:30</t>
  </si>
  <si>
    <t>09/01/2025 11:45</t>
  </si>
  <si>
    <t>09/01/2025 12:00</t>
  </si>
  <si>
    <t>09/01/2025 12:15</t>
  </si>
  <si>
    <t>09/01/2025 12:30</t>
  </si>
  <si>
    <t>09/01/2025 12:45</t>
  </si>
  <si>
    <t>09/01/2025 13:00</t>
  </si>
  <si>
    <t>09/01/2025 13:15</t>
  </si>
  <si>
    <t>09/01/2025 13:30</t>
  </si>
  <si>
    <t>09/01/2025 13:45</t>
  </si>
  <si>
    <t>09/01/2025 14:00</t>
  </si>
  <si>
    <t>09/01/2025 14:15</t>
  </si>
  <si>
    <t>09/01/2025 14:30</t>
  </si>
  <si>
    <t>09/01/2025 14:45</t>
  </si>
  <si>
    <t>09/01/2025 15:00</t>
  </si>
  <si>
    <t>09/01/2025 15:15</t>
  </si>
  <si>
    <t>09/01/2025 15:30</t>
  </si>
  <si>
    <t>09/01/2025 15:45</t>
  </si>
  <si>
    <t>09/01/2025 16:00</t>
  </si>
  <si>
    <t>09/01/2025 16:15</t>
  </si>
  <si>
    <t>09/01/2025 16:30</t>
  </si>
  <si>
    <t>09/01/2025 16:45</t>
  </si>
  <si>
    <t>09/01/2025 17:00</t>
  </si>
  <si>
    <t>09/01/2025 17:15</t>
  </si>
  <si>
    <t>09/01/2025 17:30</t>
  </si>
  <si>
    <t>09/01/2025 17:45</t>
  </si>
  <si>
    <t>09/01/2025 18:00</t>
  </si>
  <si>
    <t>09/01/2025 18:15</t>
  </si>
  <si>
    <t>09/01/2025 18:30</t>
  </si>
  <si>
    <t>09/01/2025 18:45</t>
  </si>
  <si>
    <t>09/01/2025 19:00</t>
  </si>
  <si>
    <t>09/01/2025 19:15</t>
  </si>
  <si>
    <t>09/01/2025 19:30</t>
  </si>
  <si>
    <t>09/01/2025 19:45</t>
  </si>
  <si>
    <t>09/01/2025 20:00</t>
  </si>
  <si>
    <t>09/01/2025 20:15</t>
  </si>
  <si>
    <t>09/01/2025 20:30</t>
  </si>
  <si>
    <t>09/01/2025 20:45</t>
  </si>
  <si>
    <t>09/01/2025 21:00</t>
  </si>
  <si>
    <t>09/01/2025 21:15</t>
  </si>
  <si>
    <t>09/01/2025 21:30</t>
  </si>
  <si>
    <t>09/01/2025 21:45</t>
  </si>
  <si>
    <t>09/01/2025 22:00</t>
  </si>
  <si>
    <t>09/01/2025 22:15</t>
  </si>
  <si>
    <t>09/01/2025 22:30</t>
  </si>
  <si>
    <t>09/01/2025 22:45</t>
  </si>
  <si>
    <t>09/01/2025 23:00</t>
  </si>
  <si>
    <t>09/01/2025 23:15</t>
  </si>
  <si>
    <t>09/01/2025 23:30</t>
  </si>
  <si>
    <t>09/01/2025 23:45</t>
  </si>
  <si>
    <t>09/01/2025 24:00</t>
  </si>
  <si>
    <t>10/01/2025 00:15</t>
  </si>
  <si>
    <t>10/01/2025 00:30</t>
  </si>
  <si>
    <t>10/01/2025 00:45</t>
  </si>
  <si>
    <t>10/01/2025 01:00</t>
  </si>
  <si>
    <t>10/01/2025 01:15</t>
  </si>
  <si>
    <t>10/01/2025 01:30</t>
  </si>
  <si>
    <t>10/01/2025 01:45</t>
  </si>
  <si>
    <t>10/01/2025 02:00</t>
  </si>
  <si>
    <t>10/01/2025 02:15</t>
  </si>
  <si>
    <t>10/01/2025 02:30</t>
  </si>
  <si>
    <t>10/01/2025 02:45</t>
  </si>
  <si>
    <t>10/01/2025 03:00</t>
  </si>
  <si>
    <t>10/01/2025 03:15</t>
  </si>
  <si>
    <t>10/01/2025 03:30</t>
  </si>
  <si>
    <t>10/01/2025 03:45</t>
  </si>
  <si>
    <t>10/01/2025 04:00</t>
  </si>
  <si>
    <t>10/01/2025 04:15</t>
  </si>
  <si>
    <t>10/01/2025 04:30</t>
  </si>
  <si>
    <t>10/01/2025 04:45</t>
  </si>
  <si>
    <t>10/01/2025 05:00</t>
  </si>
  <si>
    <t>10/01/2025 05:15</t>
  </si>
  <si>
    <t>10/01/2025 05:30</t>
  </si>
  <si>
    <t>10/01/2025 05:45</t>
  </si>
  <si>
    <t>10/01/2025 06:00</t>
  </si>
  <si>
    <t>10/01/2025 06:15</t>
  </si>
  <si>
    <t>10/01/2025 06:30</t>
  </si>
  <si>
    <t>10/01/2025 06:45</t>
  </si>
  <si>
    <t>10/01/2025 07:00</t>
  </si>
  <si>
    <t>10/01/2025 07:15</t>
  </si>
  <si>
    <t>10/01/2025 07:30</t>
  </si>
  <si>
    <t>10/01/2025 07:45</t>
  </si>
  <si>
    <t>10/01/2025 08:00</t>
  </si>
  <si>
    <t>10/01/2025 08:15</t>
  </si>
  <si>
    <t>10/01/2025 08:30</t>
  </si>
  <si>
    <t>10/01/2025 08:45</t>
  </si>
  <si>
    <t>10/01/2025 09:00</t>
  </si>
  <si>
    <t>10/01/2025 09:15</t>
  </si>
  <si>
    <t>10/01/2025 09:30</t>
  </si>
  <si>
    <t>10/01/2025 09:45</t>
  </si>
  <si>
    <t>10/01/2025 10:00</t>
  </si>
  <si>
    <t>10/01/2025 10:15</t>
  </si>
  <si>
    <t>10/01/2025 10:30</t>
  </si>
  <si>
    <t>10/01/2025 10:45</t>
  </si>
  <si>
    <t>10/01/2025 11:00</t>
  </si>
  <si>
    <t>10/01/2025 11:15</t>
  </si>
  <si>
    <t>10/01/2025 11:30</t>
  </si>
  <si>
    <t>10/01/2025 11:45</t>
  </si>
  <si>
    <t>10/01/2025 12:00</t>
  </si>
  <si>
    <t>10/01/2025 12:15</t>
  </si>
  <si>
    <t>10/01/2025 12:30</t>
  </si>
  <si>
    <t>10/01/2025 12:45</t>
  </si>
  <si>
    <t>10/01/2025 13:00</t>
  </si>
  <si>
    <t>10/01/2025 13:15</t>
  </si>
  <si>
    <t>10/01/2025 13:30</t>
  </si>
  <si>
    <t>10/01/2025 13:45</t>
  </si>
  <si>
    <t>10/01/2025 14:00</t>
  </si>
  <si>
    <t>10/01/2025 14:15</t>
  </si>
  <si>
    <t>10/01/2025 14:30</t>
  </si>
  <si>
    <t>10/01/2025 14:45</t>
  </si>
  <si>
    <t>10/01/2025 15:00</t>
  </si>
  <si>
    <t>10/01/2025 15:15</t>
  </si>
  <si>
    <t>10/01/2025 15:30</t>
  </si>
  <si>
    <t>10/01/2025 15:45</t>
  </si>
  <si>
    <t>10/01/2025 16:00</t>
  </si>
  <si>
    <t>10/01/2025 16:15</t>
  </si>
  <si>
    <t>10/01/2025 16:30</t>
  </si>
  <si>
    <t>10/01/2025 16:45</t>
  </si>
  <si>
    <t>10/01/2025 17:00</t>
  </si>
  <si>
    <t>10/01/2025 17:15</t>
  </si>
  <si>
    <t>10/01/2025 17:30</t>
  </si>
  <si>
    <t>10/01/2025 17:45</t>
  </si>
  <si>
    <t>10/01/2025 18:00</t>
  </si>
  <si>
    <t>10/01/2025 18:15</t>
  </si>
  <si>
    <t>10/01/2025 18:30</t>
  </si>
  <si>
    <t>10/01/2025 18:45</t>
  </si>
  <si>
    <t>10/01/2025 19:00</t>
  </si>
  <si>
    <t>10/01/2025 19:15</t>
  </si>
  <si>
    <t>10/01/2025 19:30</t>
  </si>
  <si>
    <t>10/01/2025 19:45</t>
  </si>
  <si>
    <t>10/01/2025 20:00</t>
  </si>
  <si>
    <t>10/01/2025 20:15</t>
  </si>
  <si>
    <t>10/01/2025 20:30</t>
  </si>
  <si>
    <t>10/01/2025 20:45</t>
  </si>
  <si>
    <t>10/01/2025 21:00</t>
  </si>
  <si>
    <t>10/01/2025 21:15</t>
  </si>
  <si>
    <t>10/01/2025 21:30</t>
  </si>
  <si>
    <t>10/01/2025 21:45</t>
  </si>
  <si>
    <t>10/01/2025 22:00</t>
  </si>
  <si>
    <t>10/01/2025 22:15</t>
  </si>
  <si>
    <t>10/01/2025 22:30</t>
  </si>
  <si>
    <t>10/01/2025 22:45</t>
  </si>
  <si>
    <t>10/01/2025 23:00</t>
  </si>
  <si>
    <t>10/01/2025 23:15</t>
  </si>
  <si>
    <t>10/01/2025 23:30</t>
  </si>
  <si>
    <t>10/01/2025 23:45</t>
  </si>
  <si>
    <t>10/01/2025 24:00</t>
  </si>
  <si>
    <t>11/01/2025 00:15</t>
  </si>
  <si>
    <t>11/01/2025 00:30</t>
  </si>
  <si>
    <t>11/01/2025 00:45</t>
  </si>
  <si>
    <t>11/01/2025 01:00</t>
  </si>
  <si>
    <t>11/01/2025 01:15</t>
  </si>
  <si>
    <t>11/01/2025 01:30</t>
  </si>
  <si>
    <t>11/01/2025 01:45</t>
  </si>
  <si>
    <t>11/01/2025 02:00</t>
  </si>
  <si>
    <t>11/01/2025 02:15</t>
  </si>
  <si>
    <t>11/01/2025 02:30</t>
  </si>
  <si>
    <t>11/01/2025 02:45</t>
  </si>
  <si>
    <t>11/01/2025 03:00</t>
  </si>
  <si>
    <t>11/01/2025 03:15</t>
  </si>
  <si>
    <t>11/01/2025 03:30</t>
  </si>
  <si>
    <t>11/01/2025 03:45</t>
  </si>
  <si>
    <t>11/01/2025 04:00</t>
  </si>
  <si>
    <t>11/01/2025 04:15</t>
  </si>
  <si>
    <t>11/01/2025 04:30</t>
  </si>
  <si>
    <t>11/01/2025 04:45</t>
  </si>
  <si>
    <t>11/01/2025 05:00</t>
  </si>
  <si>
    <t>11/01/2025 05:15</t>
  </si>
  <si>
    <t>11/01/2025 05:30</t>
  </si>
  <si>
    <t>11/01/2025 05:45</t>
  </si>
  <si>
    <t>11/01/2025 06:00</t>
  </si>
  <si>
    <t>11/01/2025 06:15</t>
  </si>
  <si>
    <t>11/01/2025 06:30</t>
  </si>
  <si>
    <t>11/01/2025 06:45</t>
  </si>
  <si>
    <t>11/01/2025 07:00</t>
  </si>
  <si>
    <t>11/01/2025 07:15</t>
  </si>
  <si>
    <t>11/01/2025 07:30</t>
  </si>
  <si>
    <t>11/01/2025 07:45</t>
  </si>
  <si>
    <t>11/01/2025 08:00</t>
  </si>
  <si>
    <t>11/01/2025 08:15</t>
  </si>
  <si>
    <t>11/01/2025 08:30</t>
  </si>
  <si>
    <t>11/01/2025 08:45</t>
  </si>
  <si>
    <t>11/01/2025 09:00</t>
  </si>
  <si>
    <t>11/01/2025 09:15</t>
  </si>
  <si>
    <t>11/01/2025 09:30</t>
  </si>
  <si>
    <t>11/01/2025 09:45</t>
  </si>
  <si>
    <t>11/01/2025 10:00</t>
  </si>
  <si>
    <t>11/01/2025 10:15</t>
  </si>
  <si>
    <t>11/01/2025 10:30</t>
  </si>
  <si>
    <t>11/01/2025 10:45</t>
  </si>
  <si>
    <t>11/01/2025 11:00</t>
  </si>
  <si>
    <t>11/01/2025 11:15</t>
  </si>
  <si>
    <t>11/01/2025 11:30</t>
  </si>
  <si>
    <t>11/01/2025 11:45</t>
  </si>
  <si>
    <t>11/01/2025 12:00</t>
  </si>
  <si>
    <t>11/01/2025 12:15</t>
  </si>
  <si>
    <t>11/01/2025 12:30</t>
  </si>
  <si>
    <t>11/01/2025 12:45</t>
  </si>
  <si>
    <t>11/01/2025 13:00</t>
  </si>
  <si>
    <t>11/01/2025 13:15</t>
  </si>
  <si>
    <t>11/01/2025 13:30</t>
  </si>
  <si>
    <t>11/01/2025 13:45</t>
  </si>
  <si>
    <t>11/01/2025 14:00</t>
  </si>
  <si>
    <t>11/01/2025 14:15</t>
  </si>
  <si>
    <t>11/01/2025 14:30</t>
  </si>
  <si>
    <t>11/01/2025 14:45</t>
  </si>
  <si>
    <t>11/01/2025 15:00</t>
  </si>
  <si>
    <t>11/01/2025 15:15</t>
  </si>
  <si>
    <t>11/01/2025 15:30</t>
  </si>
  <si>
    <t>11/01/2025 15:45</t>
  </si>
  <si>
    <t>11/01/2025 16:00</t>
  </si>
  <si>
    <t>11/01/2025 16:15</t>
  </si>
  <si>
    <t>11/01/2025 16:30</t>
  </si>
  <si>
    <t>11/01/2025 16:45</t>
  </si>
  <si>
    <t>11/01/2025 17:00</t>
  </si>
  <si>
    <t>11/01/2025 17:15</t>
  </si>
  <si>
    <t>11/01/2025 17:30</t>
  </si>
  <si>
    <t>11/01/2025 17:45</t>
  </si>
  <si>
    <t>11/01/2025 18:00</t>
  </si>
  <si>
    <t>11/01/2025 18:15</t>
  </si>
  <si>
    <t>11/01/2025 18:30</t>
  </si>
  <si>
    <t>11/01/2025 18:45</t>
  </si>
  <si>
    <t>11/01/2025 19:00</t>
  </si>
  <si>
    <t>11/01/2025 19:15</t>
  </si>
  <si>
    <t>11/01/2025 19:30</t>
  </si>
  <si>
    <t>11/01/2025 19:45</t>
  </si>
  <si>
    <t>11/01/2025 20:00</t>
  </si>
  <si>
    <t>11/01/2025 20:15</t>
  </si>
  <si>
    <t>11/01/2025 20:30</t>
  </si>
  <si>
    <t>11/01/2025 20:45</t>
  </si>
  <si>
    <t>11/01/2025 21:00</t>
  </si>
  <si>
    <t>11/01/2025 21:15</t>
  </si>
  <si>
    <t>11/01/2025 21:30</t>
  </si>
  <si>
    <t>11/01/2025 21:45</t>
  </si>
  <si>
    <t>11/01/2025 22:00</t>
  </si>
  <si>
    <t>11/01/2025 22:15</t>
  </si>
  <si>
    <t>11/01/2025 22:30</t>
  </si>
  <si>
    <t>11/01/2025 22:45</t>
  </si>
  <si>
    <t>11/01/2025 23:00</t>
  </si>
  <si>
    <t>11/01/2025 23:15</t>
  </si>
  <si>
    <t>11/01/2025 23:30</t>
  </si>
  <si>
    <t>11/01/2025 23:45</t>
  </si>
  <si>
    <t>11/01/2025 24:00</t>
  </si>
  <si>
    <t>12/01/2025 00:15</t>
  </si>
  <si>
    <t>12/01/2025 00:30</t>
  </si>
  <si>
    <t>12/01/2025 00:45</t>
  </si>
  <si>
    <t>12/01/2025 01:00</t>
  </si>
  <si>
    <t>12/01/2025 01:15</t>
  </si>
  <si>
    <t>12/01/2025 01:30</t>
  </si>
  <si>
    <t>12/01/2025 01:45</t>
  </si>
  <si>
    <t>12/01/2025 02:00</t>
  </si>
  <si>
    <t>12/01/2025 02:15</t>
  </si>
  <si>
    <t>12/01/2025 02:30</t>
  </si>
  <si>
    <t>12/01/2025 02:45</t>
  </si>
  <si>
    <t>12/01/2025 03:00</t>
  </si>
  <si>
    <t>12/01/2025 03:15</t>
  </si>
  <si>
    <t>12/01/2025 03:30</t>
  </si>
  <si>
    <t>12/01/2025 03:45</t>
  </si>
  <si>
    <t>12/01/2025 04:00</t>
  </si>
  <si>
    <t>12/01/2025 04:15</t>
  </si>
  <si>
    <t>12/01/2025 04:30</t>
  </si>
  <si>
    <t>12/01/2025 04:45</t>
  </si>
  <si>
    <t>12/01/2025 05:00</t>
  </si>
  <si>
    <t>12/01/2025 05:15</t>
  </si>
  <si>
    <t>12/01/2025 05:30</t>
  </si>
  <si>
    <t>12/01/2025 05:45</t>
  </si>
  <si>
    <t>12/01/2025 06:00</t>
  </si>
  <si>
    <t>12/01/2025 06:15</t>
  </si>
  <si>
    <t>12/01/2025 06:30</t>
  </si>
  <si>
    <t>12/01/2025 06:45</t>
  </si>
  <si>
    <t>12/01/2025 07:00</t>
  </si>
  <si>
    <t>12/01/2025 07:15</t>
  </si>
  <si>
    <t>12/01/2025 07:30</t>
  </si>
  <si>
    <t>12/01/2025 07:45</t>
  </si>
  <si>
    <t>12/01/2025 08:00</t>
  </si>
  <si>
    <t>12/01/2025 08:15</t>
  </si>
  <si>
    <t>12/01/2025 08:30</t>
  </si>
  <si>
    <t>12/01/2025 08:45</t>
  </si>
  <si>
    <t>12/01/2025 09:00</t>
  </si>
  <si>
    <t>12/01/2025 09:15</t>
  </si>
  <si>
    <t>12/01/2025 09:30</t>
  </si>
  <si>
    <t>12/01/2025 09:45</t>
  </si>
  <si>
    <t>12/01/2025 10:00</t>
  </si>
  <si>
    <t>12/01/2025 10:15</t>
  </si>
  <si>
    <t>12/01/2025 10:30</t>
  </si>
  <si>
    <t>12/01/2025 10:45</t>
  </si>
  <si>
    <t>12/01/2025 11:00</t>
  </si>
  <si>
    <t>12/01/2025 11:15</t>
  </si>
  <si>
    <t>12/01/2025 11:30</t>
  </si>
  <si>
    <t>12/01/2025 11:45</t>
  </si>
  <si>
    <t>12/01/2025 12:00</t>
  </si>
  <si>
    <t>12/01/2025 12:15</t>
  </si>
  <si>
    <t>12/01/2025 12:30</t>
  </si>
  <si>
    <t>12/01/2025 12:45</t>
  </si>
  <si>
    <t>12/01/2025 13:00</t>
  </si>
  <si>
    <t>12/01/2025 13:15</t>
  </si>
  <si>
    <t>12/01/2025 13:30</t>
  </si>
  <si>
    <t>12/01/2025 13:45</t>
  </si>
  <si>
    <t>12/01/2025 14:00</t>
  </si>
  <si>
    <t>12/01/2025 14:15</t>
  </si>
  <si>
    <t>12/01/2025 14:30</t>
  </si>
  <si>
    <t>12/01/2025 14:45</t>
  </si>
  <si>
    <t>12/01/2025 15:00</t>
  </si>
  <si>
    <t>12/01/2025 15:15</t>
  </si>
  <si>
    <t>12/01/2025 15:30</t>
  </si>
  <si>
    <t>12/01/2025 15:45</t>
  </si>
  <si>
    <t>12/01/2025 16:00</t>
  </si>
  <si>
    <t>12/01/2025 16:15</t>
  </si>
  <si>
    <t>12/01/2025 16:30</t>
  </si>
  <si>
    <t>12/01/2025 16:45</t>
  </si>
  <si>
    <t>12/01/2025 17:00</t>
  </si>
  <si>
    <t>12/01/2025 17:15</t>
  </si>
  <si>
    <t>12/01/2025 17:30</t>
  </si>
  <si>
    <t>12/01/2025 17:45</t>
  </si>
  <si>
    <t>12/01/2025 18:00</t>
  </si>
  <si>
    <t>12/01/2025 18:15</t>
  </si>
  <si>
    <t>12/01/2025 18:30</t>
  </si>
  <si>
    <t>12/01/2025 18:45</t>
  </si>
  <si>
    <t>12/01/2025 19:00</t>
  </si>
  <si>
    <t>12/01/2025 19:15</t>
  </si>
  <si>
    <t>12/01/2025 19:30</t>
  </si>
  <si>
    <t>12/01/2025 19:45</t>
  </si>
  <si>
    <t>12/01/2025 20:00</t>
  </si>
  <si>
    <t>12/01/2025 20:15</t>
  </si>
  <si>
    <t>12/01/2025 20:30</t>
  </si>
  <si>
    <t>12/01/2025 20:45</t>
  </si>
  <si>
    <t>12/01/2025 21:00</t>
  </si>
  <si>
    <t>12/01/2025 21:15</t>
  </si>
  <si>
    <t>12/01/2025 21:30</t>
  </si>
  <si>
    <t>12/01/2025 21:45</t>
  </si>
  <si>
    <t>12/01/2025 22:00</t>
  </si>
  <si>
    <t>12/01/2025 22:15</t>
  </si>
  <si>
    <t>12/01/2025 22:30</t>
  </si>
  <si>
    <t>12/01/2025 22:45</t>
  </si>
  <si>
    <t>12/01/2025 23:00</t>
  </si>
  <si>
    <t>12/01/2025 23:15</t>
  </si>
  <si>
    <t>12/01/2025 23:30</t>
  </si>
  <si>
    <t>12/01/2025 23:45</t>
  </si>
  <si>
    <t>12/01/2025 24:00</t>
  </si>
  <si>
    <t>13/01/2025 00:15</t>
  </si>
  <si>
    <t>13/01/2025 00:30</t>
  </si>
  <si>
    <t>13/01/2025 00:45</t>
  </si>
  <si>
    <t>13/01/2025 01:00</t>
  </si>
  <si>
    <t>13/01/2025 01:15</t>
  </si>
  <si>
    <t>13/01/2025 01:30</t>
  </si>
  <si>
    <t>13/01/2025 01:45</t>
  </si>
  <si>
    <t>13/01/2025 02:00</t>
  </si>
  <si>
    <t>13/01/2025 02:15</t>
  </si>
  <si>
    <t>13/01/2025 02:30</t>
  </si>
  <si>
    <t>13/01/2025 02:45</t>
  </si>
  <si>
    <t>13/01/2025 03:00</t>
  </si>
  <si>
    <t>13/01/2025 03:15</t>
  </si>
  <si>
    <t>13/01/2025 03:30</t>
  </si>
  <si>
    <t>13/01/2025 03:45</t>
  </si>
  <si>
    <t>13/01/2025 04:00</t>
  </si>
  <si>
    <t>13/01/2025 04:15</t>
  </si>
  <si>
    <t>13/01/2025 04:30</t>
  </si>
  <si>
    <t>13/01/2025 04:45</t>
  </si>
  <si>
    <t>13/01/2025 05:00</t>
  </si>
  <si>
    <t>13/01/2025 05:15</t>
  </si>
  <si>
    <t>13/01/2025 05:30</t>
  </si>
  <si>
    <t>13/01/2025 05:45</t>
  </si>
  <si>
    <t>13/01/2025 06:00</t>
  </si>
  <si>
    <t>13/01/2025 06:15</t>
  </si>
  <si>
    <t>13/01/2025 06:30</t>
  </si>
  <si>
    <t>13/01/2025 06:45</t>
  </si>
  <si>
    <t>13/01/2025 07:00</t>
  </si>
  <si>
    <t>13/01/2025 07:15</t>
  </si>
  <si>
    <t>13/01/2025 07:30</t>
  </si>
  <si>
    <t>13/01/2025 07:45</t>
  </si>
  <si>
    <t>13/01/2025 08:00</t>
  </si>
  <si>
    <t>13/01/2025 08:15</t>
  </si>
  <si>
    <t>13/01/2025 08:30</t>
  </si>
  <si>
    <t>13/01/2025 08:45</t>
  </si>
  <si>
    <t>13/01/2025 09:00</t>
  </si>
  <si>
    <t>13/01/2025 09:15</t>
  </si>
  <si>
    <t>13/01/2025 09:30</t>
  </si>
  <si>
    <t>13/01/2025 09:45</t>
  </si>
  <si>
    <t>13/01/2025 10:00</t>
  </si>
  <si>
    <t>13/01/2025 10:15</t>
  </si>
  <si>
    <t>13/01/2025 10:30</t>
  </si>
  <si>
    <t>13/01/2025 10:45</t>
  </si>
  <si>
    <t>13/01/2025 11:00</t>
  </si>
  <si>
    <t>13/01/2025 11:15</t>
  </si>
  <si>
    <t>13/01/2025 11:30</t>
  </si>
  <si>
    <t>13/01/2025 11:45</t>
  </si>
  <si>
    <t>13/01/2025 12:00</t>
  </si>
  <si>
    <t>13/01/2025 12:15</t>
  </si>
  <si>
    <t>13/01/2025 12:30</t>
  </si>
  <si>
    <t>13/01/2025 12:45</t>
  </si>
  <si>
    <t>13/01/2025 13:00</t>
  </si>
  <si>
    <t>13/01/2025 13:15</t>
  </si>
  <si>
    <t>13/01/2025 13:30</t>
  </si>
  <si>
    <t>13/01/2025 13:45</t>
  </si>
  <si>
    <t>13/01/2025 14:00</t>
  </si>
  <si>
    <t>13/01/2025 14:15</t>
  </si>
  <si>
    <t>13/01/2025 14:30</t>
  </si>
  <si>
    <t>13/01/2025 14:45</t>
  </si>
  <si>
    <t>13/01/2025 15:00</t>
  </si>
  <si>
    <t>13/01/2025 15:15</t>
  </si>
  <si>
    <t>13/01/2025 15:30</t>
  </si>
  <si>
    <t>13/01/2025 15:45</t>
  </si>
  <si>
    <t>13/01/2025 16:00</t>
  </si>
  <si>
    <t>13/01/2025 16:15</t>
  </si>
  <si>
    <t>13/01/2025 16:30</t>
  </si>
  <si>
    <t>13/01/2025 16:45</t>
  </si>
  <si>
    <t>13/01/2025 17:00</t>
  </si>
  <si>
    <t>13/01/2025 17:15</t>
  </si>
  <si>
    <t>13/01/2025 17:30</t>
  </si>
  <si>
    <t>13/01/2025 17:45</t>
  </si>
  <si>
    <t>13/01/2025 18:00</t>
  </si>
  <si>
    <t>13/01/2025 18:15</t>
  </si>
  <si>
    <t>13/01/2025 18:30</t>
  </si>
  <si>
    <t>13/01/2025 18:45</t>
  </si>
  <si>
    <t>13/01/2025 19:00</t>
  </si>
  <si>
    <t>13/01/2025 19:15</t>
  </si>
  <si>
    <t>13/01/2025 19:30</t>
  </si>
  <si>
    <t>13/01/2025 19:45</t>
  </si>
  <si>
    <t>13/01/2025 20:00</t>
  </si>
  <si>
    <t>13/01/2025 20:15</t>
  </si>
  <si>
    <t>13/01/2025 20:30</t>
  </si>
  <si>
    <t>13/01/2025 20:45</t>
  </si>
  <si>
    <t>13/01/2025 21:00</t>
  </si>
  <si>
    <t>13/01/2025 21:15</t>
  </si>
  <si>
    <t>13/01/2025 21:30</t>
  </si>
  <si>
    <t>13/01/2025 21:45</t>
  </si>
  <si>
    <t>13/01/2025 22:00</t>
  </si>
  <si>
    <t>13/01/2025 22:15</t>
  </si>
  <si>
    <t>13/01/2025 22:30</t>
  </si>
  <si>
    <t>13/01/2025 22:45</t>
  </si>
  <si>
    <t>13/01/2025 23:00</t>
  </si>
  <si>
    <t>13/01/2025 23:15</t>
  </si>
  <si>
    <t>13/01/2025 23:30</t>
  </si>
  <si>
    <t>13/01/2025 23:45</t>
  </si>
  <si>
    <t>13/01/2025 24:00</t>
  </si>
  <si>
    <t>14/01/2025 00:15</t>
  </si>
  <si>
    <t>14/01/2025 00:30</t>
  </si>
  <si>
    <t>14/01/2025 00:45</t>
  </si>
  <si>
    <t>14/01/2025 01:00</t>
  </si>
  <si>
    <t>14/01/2025 01:15</t>
  </si>
  <si>
    <t>14/01/2025 01:30</t>
  </si>
  <si>
    <t>14/01/2025 01:45</t>
  </si>
  <si>
    <t>14/01/2025 02:00</t>
  </si>
  <si>
    <t>14/01/2025 02:15</t>
  </si>
  <si>
    <t>14/01/2025 02:30</t>
  </si>
  <si>
    <t>14/01/2025 02:45</t>
  </si>
  <si>
    <t>14/01/2025 03:00</t>
  </si>
  <si>
    <t>14/01/2025 03:15</t>
  </si>
  <si>
    <t>14/01/2025 03:30</t>
  </si>
  <si>
    <t>14/01/2025 03:45</t>
  </si>
  <si>
    <t>14/01/2025 04:00</t>
  </si>
  <si>
    <t>14/01/2025 04:15</t>
  </si>
  <si>
    <t>14/01/2025 04:30</t>
  </si>
  <si>
    <t>14/01/2025 04:45</t>
  </si>
  <si>
    <t>14/01/2025 05:00</t>
  </si>
  <si>
    <t>14/01/2025 05:15</t>
  </si>
  <si>
    <t>14/01/2025 05:30</t>
  </si>
  <si>
    <t>14/01/2025 05:45</t>
  </si>
  <si>
    <t>14/01/2025 06:00</t>
  </si>
  <si>
    <t>14/01/2025 06:15</t>
  </si>
  <si>
    <t>14/01/2025 06:30</t>
  </si>
  <si>
    <t>14/01/2025 06:45</t>
  </si>
  <si>
    <t>14/01/2025 07:00</t>
  </si>
  <si>
    <t>14/01/2025 07:15</t>
  </si>
  <si>
    <t>14/01/2025 07:30</t>
  </si>
  <si>
    <t>14/01/2025 07:45</t>
  </si>
  <si>
    <t>14/01/2025 08:00</t>
  </si>
  <si>
    <t>14/01/2025 08:15</t>
  </si>
  <si>
    <t>14/01/2025 08:30</t>
  </si>
  <si>
    <t>14/01/2025 08:45</t>
  </si>
  <si>
    <t>14/01/2025 09:00</t>
  </si>
  <si>
    <t>14/01/2025 09:15</t>
  </si>
  <si>
    <t>14/01/2025 09:30</t>
  </si>
  <si>
    <t>14/01/2025 09:45</t>
  </si>
  <si>
    <t>14/01/2025 10:00</t>
  </si>
  <si>
    <t>14/01/2025 10:15</t>
  </si>
  <si>
    <t>14/01/2025 10:30</t>
  </si>
  <si>
    <t>14/01/2025 10:45</t>
  </si>
  <si>
    <t>14/01/2025 11:00</t>
  </si>
  <si>
    <t>14/01/2025 11:15</t>
  </si>
  <si>
    <t>14/01/2025 11:30</t>
  </si>
  <si>
    <t>14/01/2025 11:45</t>
  </si>
  <si>
    <t>14/01/2025 12:00</t>
  </si>
  <si>
    <t>14/01/2025 12:15</t>
  </si>
  <si>
    <t>14/01/2025 12:30</t>
  </si>
  <si>
    <t>14/01/2025 12:45</t>
  </si>
  <si>
    <t>14/01/2025 13:00</t>
  </si>
  <si>
    <t>14/01/2025 13:15</t>
  </si>
  <si>
    <t>14/01/2025 13:30</t>
  </si>
  <si>
    <t>14/01/2025 13:45</t>
  </si>
  <si>
    <t>14/01/2025 14:00</t>
  </si>
  <si>
    <t>14/01/2025 14:15</t>
  </si>
  <si>
    <t>14/01/2025 14:30</t>
  </si>
  <si>
    <t>14/01/2025 14:45</t>
  </si>
  <si>
    <t>14/01/2025 15:00</t>
  </si>
  <si>
    <t>14/01/2025 15:15</t>
  </si>
  <si>
    <t>14/01/2025 15:30</t>
  </si>
  <si>
    <t>14/01/2025 15:45</t>
  </si>
  <si>
    <t>14/01/2025 16:00</t>
  </si>
  <si>
    <t>14/01/2025 16:15</t>
  </si>
  <si>
    <t>14/01/2025 16:30</t>
  </si>
  <si>
    <t>14/01/2025 16:45</t>
  </si>
  <si>
    <t>14/01/2025 17:00</t>
  </si>
  <si>
    <t>14/01/2025 17:15</t>
  </si>
  <si>
    <t>14/01/2025 17:30</t>
  </si>
  <si>
    <t>14/01/2025 17:45</t>
  </si>
  <si>
    <t>14/01/2025 18:00</t>
  </si>
  <si>
    <t>14/01/2025 18:15</t>
  </si>
  <si>
    <t>14/01/2025 18:30</t>
  </si>
  <si>
    <t>14/01/2025 18:45</t>
  </si>
  <si>
    <t>14/01/2025 19:00</t>
  </si>
  <si>
    <t>14/01/2025 19:15</t>
  </si>
  <si>
    <t>14/01/2025 19:30</t>
  </si>
  <si>
    <t>14/01/2025 19:45</t>
  </si>
  <si>
    <t>14/01/2025 20:00</t>
  </si>
  <si>
    <t>14/01/2025 20:15</t>
  </si>
  <si>
    <t>14/01/2025 20:30</t>
  </si>
  <si>
    <t>14/01/2025 20:45</t>
  </si>
  <si>
    <t>14/01/2025 21:00</t>
  </si>
  <si>
    <t>14/01/2025 21:15</t>
  </si>
  <si>
    <t>14/01/2025 21:30</t>
  </si>
  <si>
    <t>14/01/2025 21:45</t>
  </si>
  <si>
    <t>14/01/2025 22:00</t>
  </si>
  <si>
    <t>14/01/2025 22:15</t>
  </si>
  <si>
    <t>14/01/2025 22:30</t>
  </si>
  <si>
    <t>14/01/2025 22:45</t>
  </si>
  <si>
    <t>14/01/2025 23:00</t>
  </si>
  <si>
    <t>14/01/2025 23:15</t>
  </si>
  <si>
    <t>14/01/2025 23:30</t>
  </si>
  <si>
    <t>14/01/2025 23:45</t>
  </si>
  <si>
    <t>14/01/2025 24:00</t>
  </si>
  <si>
    <t>15/01/2025 00:15</t>
  </si>
  <si>
    <t>15/01/2025 00:30</t>
  </si>
  <si>
    <t>15/01/2025 00:45</t>
  </si>
  <si>
    <t>15/01/2025 01:00</t>
  </si>
  <si>
    <t>15/01/2025 01:15</t>
  </si>
  <si>
    <t>15/01/2025 01:30</t>
  </si>
  <si>
    <t>15/01/2025 01:45</t>
  </si>
  <si>
    <t>15/01/2025 02:00</t>
  </si>
  <si>
    <t>15/01/2025 02:15</t>
  </si>
  <si>
    <t>15/01/2025 02:30</t>
  </si>
  <si>
    <t>15/01/2025 02:45</t>
  </si>
  <si>
    <t>15/01/2025 03:00</t>
  </si>
  <si>
    <t>15/01/2025 03:15</t>
  </si>
  <si>
    <t>15/01/2025 03:30</t>
  </si>
  <si>
    <t>15/01/2025 03:45</t>
  </si>
  <si>
    <t>15/01/2025 04:00</t>
  </si>
  <si>
    <t>15/01/2025 04:15</t>
  </si>
  <si>
    <t>15/01/2025 04:30</t>
  </si>
  <si>
    <t>15/01/2025 04:45</t>
  </si>
  <si>
    <t>15/01/2025 05:00</t>
  </si>
  <si>
    <t>15/01/2025 05:15</t>
  </si>
  <si>
    <t>15/01/2025 05:30</t>
  </si>
  <si>
    <t>15/01/2025 05:45</t>
  </si>
  <si>
    <t>15/01/2025 06:00</t>
  </si>
  <si>
    <t>15/01/2025 06:15</t>
  </si>
  <si>
    <t>15/01/2025 06:30</t>
  </si>
  <si>
    <t>15/01/2025 06:45</t>
  </si>
  <si>
    <t>15/01/2025 07:00</t>
  </si>
  <si>
    <t>15/01/2025 07:15</t>
  </si>
  <si>
    <t>15/01/2025 07:30</t>
  </si>
  <si>
    <t>15/01/2025 07:45</t>
  </si>
  <si>
    <t>15/01/2025 08:00</t>
  </si>
  <si>
    <t>15/01/2025 08:15</t>
  </si>
  <si>
    <t>15/01/2025 08:30</t>
  </si>
  <si>
    <t>15/01/2025 08:45</t>
  </si>
  <si>
    <t>15/01/2025 09:00</t>
  </si>
  <si>
    <t>15/01/2025 09:15</t>
  </si>
  <si>
    <t>15/01/2025 09:30</t>
  </si>
  <si>
    <t>15/01/2025 09:45</t>
  </si>
  <si>
    <t>15/01/2025 10:00</t>
  </si>
  <si>
    <t>15/01/2025 10:15</t>
  </si>
  <si>
    <t>15/01/2025 10:30</t>
  </si>
  <si>
    <t>15/01/2025 10:45</t>
  </si>
  <si>
    <t>15/01/2025 11:00</t>
  </si>
  <si>
    <t>15/01/2025 11:15</t>
  </si>
  <si>
    <t>15/01/2025 11:30</t>
  </si>
  <si>
    <t>15/01/2025 11:45</t>
  </si>
  <si>
    <t>15/01/2025 12:00</t>
  </si>
  <si>
    <t>15/01/2025 12:15</t>
  </si>
  <si>
    <t>15/01/2025 12:30</t>
  </si>
  <si>
    <t>15/01/2025 12:45</t>
  </si>
  <si>
    <t>15/01/2025 13:00</t>
  </si>
  <si>
    <t>15/01/2025 13:15</t>
  </si>
  <si>
    <t>15/01/2025 13:30</t>
  </si>
  <si>
    <t>15/01/2025 13:45</t>
  </si>
  <si>
    <t>15/01/2025 14:00</t>
  </si>
  <si>
    <t>15/01/2025 14:15</t>
  </si>
  <si>
    <t>15/01/2025 14:30</t>
  </si>
  <si>
    <t>15/01/2025 14:45</t>
  </si>
  <si>
    <t>15/01/2025 15:00</t>
  </si>
  <si>
    <t>15/01/2025 15:15</t>
  </si>
  <si>
    <t>15/01/2025 15:30</t>
  </si>
  <si>
    <t>15/01/2025 15:45</t>
  </si>
  <si>
    <t>15/01/2025 16:00</t>
  </si>
  <si>
    <t>15/01/2025 16:15</t>
  </si>
  <si>
    <t>15/01/2025 16:30</t>
  </si>
  <si>
    <t>15/01/2025 16:45</t>
  </si>
  <si>
    <t>15/01/2025 17:00</t>
  </si>
  <si>
    <t>15/01/2025 17:15</t>
  </si>
  <si>
    <t>15/01/2025 17:30</t>
  </si>
  <si>
    <t>15/01/2025 17:45</t>
  </si>
  <si>
    <t>15/01/2025 18:00</t>
  </si>
  <si>
    <t>15/01/2025 18:15</t>
  </si>
  <si>
    <t>15/01/2025 18:30</t>
  </si>
  <si>
    <t>15/01/2025 18:45</t>
  </si>
  <si>
    <t>15/01/2025 19:00</t>
  </si>
  <si>
    <t>15/01/2025 19:15</t>
  </si>
  <si>
    <t>15/01/2025 19:30</t>
  </si>
  <si>
    <t>15/01/2025 19:45</t>
  </si>
  <si>
    <t>15/01/2025 20:00</t>
  </si>
  <si>
    <t>15/01/2025 20:15</t>
  </si>
  <si>
    <t>15/01/2025 20:30</t>
  </si>
  <si>
    <t>15/01/2025 20:45</t>
  </si>
  <si>
    <t>15/01/2025 21:00</t>
  </si>
  <si>
    <t>15/01/2025 21:15</t>
  </si>
  <si>
    <t>15/01/2025 21:30</t>
  </si>
  <si>
    <t>15/01/2025 21:45</t>
  </si>
  <si>
    <t>15/01/2025 22:00</t>
  </si>
  <si>
    <t>15/01/2025 22:15</t>
  </si>
  <si>
    <t>15/01/2025 22:30</t>
  </si>
  <si>
    <t>15/01/2025 22:45</t>
  </si>
  <si>
    <t>15/01/2025 23:00</t>
  </si>
  <si>
    <t>15/01/2025 23:15</t>
  </si>
  <si>
    <t>15/01/2025 23:30</t>
  </si>
  <si>
    <t>15/01/2025 23:45</t>
  </si>
  <si>
    <t>15/01/2025 24:00</t>
  </si>
  <si>
    <t>16/01/2025 00:15</t>
  </si>
  <si>
    <t>16/01/2025 00:30</t>
  </si>
  <si>
    <t>16/01/2025 00:45</t>
  </si>
  <si>
    <t>16/01/2025 01:00</t>
  </si>
  <si>
    <t>16/01/2025 01:15</t>
  </si>
  <si>
    <t>16/01/2025 01:30</t>
  </si>
  <si>
    <t>16/01/2025 01:45</t>
  </si>
  <si>
    <t>16/01/2025 02:00</t>
  </si>
  <si>
    <t>16/01/2025 02:15</t>
  </si>
  <si>
    <t>16/01/2025 02:30</t>
  </si>
  <si>
    <t>16/01/2025 02:45</t>
  </si>
  <si>
    <t>16/01/2025 03:00</t>
  </si>
  <si>
    <t>16/01/2025 03:15</t>
  </si>
  <si>
    <t>16/01/2025 03:30</t>
  </si>
  <si>
    <t>16/01/2025 03:45</t>
  </si>
  <si>
    <t>16/01/2025 04:00</t>
  </si>
  <si>
    <t>16/01/2025 04:15</t>
  </si>
  <si>
    <t>16/01/2025 04:30</t>
  </si>
  <si>
    <t>16/01/2025 04:45</t>
  </si>
  <si>
    <t>16/01/2025 05:00</t>
  </si>
  <si>
    <t>16/01/2025 05:15</t>
  </si>
  <si>
    <t>16/01/2025 05:30</t>
  </si>
  <si>
    <t>16/01/2025 05:45</t>
  </si>
  <si>
    <t>16/01/2025 06:00</t>
  </si>
  <si>
    <t>16/01/2025 06:15</t>
  </si>
  <si>
    <t>16/01/2025 06:30</t>
  </si>
  <si>
    <t>16/01/2025 06:45</t>
  </si>
  <si>
    <t>16/01/2025 07:00</t>
  </si>
  <si>
    <t>16/01/2025 07:15</t>
  </si>
  <si>
    <t>16/01/2025 07:30</t>
  </si>
  <si>
    <t>16/01/2025 07:45</t>
  </si>
  <si>
    <t>16/01/2025 08:00</t>
  </si>
  <si>
    <t>16/01/2025 08:15</t>
  </si>
  <si>
    <t>16/01/2025 08:30</t>
  </si>
  <si>
    <t>16/01/2025 08:45</t>
  </si>
  <si>
    <t>16/01/2025 09:00</t>
  </si>
  <si>
    <t>16/01/2025 09:15</t>
  </si>
  <si>
    <t>16/01/2025 09:30</t>
  </si>
  <si>
    <t>16/01/2025 09:45</t>
  </si>
  <si>
    <t>16/01/2025 10:00</t>
  </si>
  <si>
    <t>16/01/2025 10:15</t>
  </si>
  <si>
    <t>16/01/2025 10:30</t>
  </si>
  <si>
    <t>16/01/2025 10:45</t>
  </si>
  <si>
    <t>16/01/2025 11:00</t>
  </si>
  <si>
    <t>16/01/2025 11:15</t>
  </si>
  <si>
    <t>16/01/2025 11:30</t>
  </si>
  <si>
    <t>16/01/2025 11:45</t>
  </si>
  <si>
    <t>16/01/2025 12:00</t>
  </si>
  <si>
    <t>16/01/2025 12:15</t>
  </si>
  <si>
    <t>16/01/2025 12:30</t>
  </si>
  <si>
    <t>16/01/2025 12:45</t>
  </si>
  <si>
    <t>16/01/2025 13:00</t>
  </si>
  <si>
    <t>16/01/2025 13:15</t>
  </si>
  <si>
    <t>16/01/2025 13:30</t>
  </si>
  <si>
    <t>16/01/2025 13:45</t>
  </si>
  <si>
    <t>16/01/2025 14:00</t>
  </si>
  <si>
    <t>16/01/2025 14:15</t>
  </si>
  <si>
    <t>16/01/2025 14:30</t>
  </si>
  <si>
    <t>16/01/2025 14:45</t>
  </si>
  <si>
    <t>16/01/2025 15:00</t>
  </si>
  <si>
    <t>16/01/2025 15:15</t>
  </si>
  <si>
    <t>16/01/2025 15:30</t>
  </si>
  <si>
    <t>16/01/2025 15:45</t>
  </si>
  <si>
    <t>16/01/2025 16:00</t>
  </si>
  <si>
    <t>16/01/2025 16:15</t>
  </si>
  <si>
    <t>16/01/2025 16:30</t>
  </si>
  <si>
    <t>16/01/2025 16:45</t>
  </si>
  <si>
    <t>16/01/2025 17:00</t>
  </si>
  <si>
    <t>16/01/2025 17:15</t>
  </si>
  <si>
    <t>16/01/2025 17:30</t>
  </si>
  <si>
    <t>16/01/2025 17:45</t>
  </si>
  <si>
    <t>16/01/2025 18:00</t>
  </si>
  <si>
    <t>16/01/2025 18:15</t>
  </si>
  <si>
    <t>16/01/2025 18:30</t>
  </si>
  <si>
    <t>16/01/2025 18:45</t>
  </si>
  <si>
    <t>16/01/2025 19:00</t>
  </si>
  <si>
    <t>16/01/2025 19:15</t>
  </si>
  <si>
    <t>16/01/2025 19:30</t>
  </si>
  <si>
    <t>16/01/2025 19:45</t>
  </si>
  <si>
    <t>16/01/2025 20:00</t>
  </si>
  <si>
    <t>16/01/2025 20:15</t>
  </si>
  <si>
    <t>16/01/2025 20:30</t>
  </si>
  <si>
    <t>16/01/2025 20:45</t>
  </si>
  <si>
    <t>16/01/2025 21:00</t>
  </si>
  <si>
    <t>16/01/2025 21:15</t>
  </si>
  <si>
    <t>16/01/2025 21:30</t>
  </si>
  <si>
    <t>16/01/2025 21:45</t>
  </si>
  <si>
    <t>16/01/2025 22:00</t>
  </si>
  <si>
    <t>16/01/2025 22:15</t>
  </si>
  <si>
    <t>16/01/2025 22:30</t>
  </si>
  <si>
    <t>16/01/2025 22:45</t>
  </si>
  <si>
    <t>16/01/2025 23:00</t>
  </si>
  <si>
    <t>16/01/2025 23:15</t>
  </si>
  <si>
    <t>16/01/2025 23:30</t>
  </si>
  <si>
    <t>16/01/2025 23:45</t>
  </si>
  <si>
    <t>16/01/2025 24:00</t>
  </si>
  <si>
    <t>17/01/2025 00:15</t>
  </si>
  <si>
    <t>17/01/2025 00:30</t>
  </si>
  <si>
    <t>17/01/2025 00:45</t>
  </si>
  <si>
    <t>17/01/2025 01:00</t>
  </si>
  <si>
    <t>17/01/2025 01:15</t>
  </si>
  <si>
    <t>17/01/2025 01:30</t>
  </si>
  <si>
    <t>17/01/2025 01:45</t>
  </si>
  <si>
    <t>17/01/2025 02:00</t>
  </si>
  <si>
    <t>17/01/2025 02:15</t>
  </si>
  <si>
    <t>17/01/2025 02:30</t>
  </si>
  <si>
    <t>17/01/2025 02:45</t>
  </si>
  <si>
    <t>17/01/2025 03:00</t>
  </si>
  <si>
    <t>17/01/2025 03:15</t>
  </si>
  <si>
    <t>17/01/2025 03:30</t>
  </si>
  <si>
    <t>17/01/2025 03:45</t>
  </si>
  <si>
    <t>17/01/2025 04:00</t>
  </si>
  <si>
    <t>17/01/2025 04:15</t>
  </si>
  <si>
    <t>17/01/2025 04:30</t>
  </si>
  <si>
    <t>17/01/2025 04:45</t>
  </si>
  <si>
    <t>17/01/2025 05:00</t>
  </si>
  <si>
    <t>17/01/2025 05:15</t>
  </si>
  <si>
    <t>17/01/2025 05:30</t>
  </si>
  <si>
    <t>17/01/2025 05:45</t>
  </si>
  <si>
    <t>17/01/2025 06:00</t>
  </si>
  <si>
    <t>17/01/2025 06:15</t>
  </si>
  <si>
    <t>17/01/2025 06:30</t>
  </si>
  <si>
    <t>17/01/2025 06:45</t>
  </si>
  <si>
    <t>17/01/2025 07:00</t>
  </si>
  <si>
    <t>17/01/2025 07:15</t>
  </si>
  <si>
    <t>17/01/2025 07:30</t>
  </si>
  <si>
    <t>17/01/2025 07:45</t>
  </si>
  <si>
    <t>17/01/2025 08:00</t>
  </si>
  <si>
    <t>17/01/2025 08:15</t>
  </si>
  <si>
    <t>17/01/2025 08:30</t>
  </si>
  <si>
    <t>17/01/2025 08:45</t>
  </si>
  <si>
    <t>17/01/2025 09:00</t>
  </si>
  <si>
    <t>17/01/2025 09:15</t>
  </si>
  <si>
    <t>17/01/2025 09:30</t>
  </si>
  <si>
    <t>17/01/2025 09:45</t>
  </si>
  <si>
    <t>17/01/2025 10:00</t>
  </si>
  <si>
    <t>17/01/2025 10:15</t>
  </si>
  <si>
    <t>17/01/2025 10:30</t>
  </si>
  <si>
    <t>17/01/2025 10:45</t>
  </si>
  <si>
    <t>17/01/2025 11:00</t>
  </si>
  <si>
    <t>17/01/2025 11:15</t>
  </si>
  <si>
    <t>17/01/2025 11:30</t>
  </si>
  <si>
    <t>17/01/2025 11:45</t>
  </si>
  <si>
    <t>17/01/2025 12:00</t>
  </si>
  <si>
    <t>17/01/2025 12:15</t>
  </si>
  <si>
    <t>17/01/2025 12:30</t>
  </si>
  <si>
    <t>17/01/2025 12:45</t>
  </si>
  <si>
    <t>17/01/2025 13:00</t>
  </si>
  <si>
    <t>17/01/2025 13:15</t>
  </si>
  <si>
    <t>17/01/2025 13:30</t>
  </si>
  <si>
    <t>17/01/2025 13:45</t>
  </si>
  <si>
    <t>17/01/2025 14:00</t>
  </si>
  <si>
    <t>17/01/2025 14:15</t>
  </si>
  <si>
    <t>17/01/2025 14:30</t>
  </si>
  <si>
    <t>17/01/2025 14:45</t>
  </si>
  <si>
    <t>17/01/2025 15:00</t>
  </si>
  <si>
    <t>17/01/2025 15:15</t>
  </si>
  <si>
    <t>17/01/2025 15:30</t>
  </si>
  <si>
    <t>17/01/2025 15:45</t>
  </si>
  <si>
    <t>17/01/2025 16:00</t>
  </si>
  <si>
    <t>17/01/2025 16:15</t>
  </si>
  <si>
    <t>17/01/2025 16:30</t>
  </si>
  <si>
    <t>17/01/2025 16:45</t>
  </si>
  <si>
    <t>17/01/2025 17:00</t>
  </si>
  <si>
    <t>17/01/2025 17:15</t>
  </si>
  <si>
    <t>17/01/2025 17:30</t>
  </si>
  <si>
    <t>17/01/2025 17:45</t>
  </si>
  <si>
    <t>17/01/2025 18:00</t>
  </si>
  <si>
    <t>17/01/2025 18:15</t>
  </si>
  <si>
    <t>17/01/2025 18:30</t>
  </si>
  <si>
    <t>17/01/2025 18:45</t>
  </si>
  <si>
    <t>17/01/2025 19:00</t>
  </si>
  <si>
    <t>17/01/2025 19:15</t>
  </si>
  <si>
    <t>17/01/2025 19:30</t>
  </si>
  <si>
    <t>17/01/2025 19:45</t>
  </si>
  <si>
    <t>17/01/2025 20:00</t>
  </si>
  <si>
    <t>17/01/2025 20:15</t>
  </si>
  <si>
    <t>17/01/2025 20:30</t>
  </si>
  <si>
    <t>17/01/2025 20:45</t>
  </si>
  <si>
    <t>17/01/2025 21:00</t>
  </si>
  <si>
    <t>17/01/2025 21:15</t>
  </si>
  <si>
    <t>17/01/2025 21:30</t>
  </si>
  <si>
    <t>17/01/2025 21:45</t>
  </si>
  <si>
    <t>17/01/2025 22:00</t>
  </si>
  <si>
    <t>17/01/2025 22:15</t>
  </si>
  <si>
    <t>17/01/2025 22:30</t>
  </si>
  <si>
    <t>17/01/2025 22:45</t>
  </si>
  <si>
    <t>17/01/2025 23:00</t>
  </si>
  <si>
    <t>17/01/2025 23:15</t>
  </si>
  <si>
    <t>17/01/2025 23:30</t>
  </si>
  <si>
    <t>17/01/2025 23:45</t>
  </si>
  <si>
    <t>17/01/2025 24:00</t>
  </si>
  <si>
    <t>18/01/2025 00:15</t>
  </si>
  <si>
    <t>18/01/2025 00:30</t>
  </si>
  <si>
    <t>18/01/2025 00:45</t>
  </si>
  <si>
    <t>18/01/2025 01:00</t>
  </si>
  <si>
    <t>18/01/2025 01:15</t>
  </si>
  <si>
    <t>18/01/2025 01:30</t>
  </si>
  <si>
    <t>18/01/2025 01:45</t>
  </si>
  <si>
    <t>18/01/2025 02:00</t>
  </si>
  <si>
    <t>18/01/2025 02:15</t>
  </si>
  <si>
    <t>18/01/2025 02:30</t>
  </si>
  <si>
    <t>18/01/2025 02:45</t>
  </si>
  <si>
    <t>18/01/2025 03:00</t>
  </si>
  <si>
    <t>18/01/2025 03:15</t>
  </si>
  <si>
    <t>18/01/2025 03:30</t>
  </si>
  <si>
    <t>18/01/2025 03:45</t>
  </si>
  <si>
    <t>18/01/2025 04:00</t>
  </si>
  <si>
    <t>18/01/2025 04:15</t>
  </si>
  <si>
    <t>18/01/2025 04:30</t>
  </si>
  <si>
    <t>18/01/2025 04:45</t>
  </si>
  <si>
    <t>18/01/2025 05:00</t>
  </si>
  <si>
    <t>18/01/2025 05:15</t>
  </si>
  <si>
    <t>18/01/2025 05:30</t>
  </si>
  <si>
    <t>18/01/2025 05:45</t>
  </si>
  <si>
    <t>18/01/2025 06:00</t>
  </si>
  <si>
    <t>18/01/2025 06:15</t>
  </si>
  <si>
    <t>18/01/2025 06:30</t>
  </si>
  <si>
    <t>18/01/2025 06:45</t>
  </si>
  <si>
    <t>18/01/2025 07:00</t>
  </si>
  <si>
    <t>18/01/2025 07:15</t>
  </si>
  <si>
    <t>18/01/2025 07:30</t>
  </si>
  <si>
    <t>18/01/2025 07:45</t>
  </si>
  <si>
    <t>18/01/2025 08:00</t>
  </si>
  <si>
    <t>18/01/2025 08:15</t>
  </si>
  <si>
    <t>18/01/2025 08:30</t>
  </si>
  <si>
    <t>18/01/2025 08:45</t>
  </si>
  <si>
    <t>18/01/2025 09:00</t>
  </si>
  <si>
    <t>18/01/2025 09:15</t>
  </si>
  <si>
    <t>18/01/2025 09:30</t>
  </si>
  <si>
    <t>18/01/2025 09:45</t>
  </si>
  <si>
    <t>18/01/2025 10:00</t>
  </si>
  <si>
    <t>18/01/2025 10:15</t>
  </si>
  <si>
    <t>18/01/2025 10:30</t>
  </si>
  <si>
    <t>18/01/2025 10:45</t>
  </si>
  <si>
    <t>18/01/2025 11:00</t>
  </si>
  <si>
    <t>18/01/2025 11:15</t>
  </si>
  <si>
    <t>18/01/2025 11:30</t>
  </si>
  <si>
    <t>18/01/2025 11:45</t>
  </si>
  <si>
    <t>18/01/2025 12:00</t>
  </si>
  <si>
    <t>18/01/2025 12:15</t>
  </si>
  <si>
    <t>18/01/2025 12:30</t>
  </si>
  <si>
    <t>18/01/2025 12:45</t>
  </si>
  <si>
    <t>18/01/2025 13:00</t>
  </si>
  <si>
    <t>18/01/2025 13:15</t>
  </si>
  <si>
    <t>18/01/2025 13:30</t>
  </si>
  <si>
    <t>18/01/2025 13:45</t>
  </si>
  <si>
    <t>18/01/2025 14:00</t>
  </si>
  <si>
    <t>18/01/2025 14:15</t>
  </si>
  <si>
    <t>18/01/2025 14:30</t>
  </si>
  <si>
    <t>18/01/2025 14:45</t>
  </si>
  <si>
    <t>18/01/2025 15:00</t>
  </si>
  <si>
    <t>18/01/2025 15:15</t>
  </si>
  <si>
    <t>18/01/2025 15:30</t>
  </si>
  <si>
    <t>18/01/2025 15:45</t>
  </si>
  <si>
    <t>18/01/2025 16:00</t>
  </si>
  <si>
    <t>18/01/2025 16:15</t>
  </si>
  <si>
    <t>18/01/2025 16:30</t>
  </si>
  <si>
    <t>18/01/2025 16:45</t>
  </si>
  <si>
    <t>18/01/2025 17:00</t>
  </si>
  <si>
    <t>18/01/2025 17:15</t>
  </si>
  <si>
    <t>18/01/2025 17:30</t>
  </si>
  <si>
    <t>18/01/2025 17:45</t>
  </si>
  <si>
    <t>18/01/2025 18:00</t>
  </si>
  <si>
    <t>18/01/2025 18:15</t>
  </si>
  <si>
    <t>18/01/2025 18:30</t>
  </si>
  <si>
    <t>18/01/2025 18:45</t>
  </si>
  <si>
    <t>18/01/2025 19:00</t>
  </si>
  <si>
    <t>18/01/2025 19:15</t>
  </si>
  <si>
    <t>18/01/2025 19:30</t>
  </si>
  <si>
    <t>18/01/2025 19:45</t>
  </si>
  <si>
    <t>18/01/2025 20:00</t>
  </si>
  <si>
    <t>18/01/2025 20:15</t>
  </si>
  <si>
    <t>18/01/2025 20:30</t>
  </si>
  <si>
    <t>18/01/2025 20:45</t>
  </si>
  <si>
    <t>18/01/2025 21:00</t>
  </si>
  <si>
    <t>18/01/2025 21:15</t>
  </si>
  <si>
    <t>18/01/2025 21:30</t>
  </si>
  <si>
    <t>18/01/2025 21:45</t>
  </si>
  <si>
    <t>18/01/2025 22:00</t>
  </si>
  <si>
    <t>18/01/2025 22:15</t>
  </si>
  <si>
    <t>18/01/2025 22:30</t>
  </si>
  <si>
    <t>18/01/2025 22:45</t>
  </si>
  <si>
    <t>18/01/2025 23:00</t>
  </si>
  <si>
    <t>18/01/2025 23:15</t>
  </si>
  <si>
    <t>18/01/2025 23:30</t>
  </si>
  <si>
    <t>18/01/2025 23:45</t>
  </si>
  <si>
    <t>18/01/2025 24:00</t>
  </si>
  <si>
    <t>19/01/2025 00:15</t>
  </si>
  <si>
    <t>19/01/2025 00:30</t>
  </si>
  <si>
    <t>19/01/2025 00:45</t>
  </si>
  <si>
    <t>19/01/2025 01:00</t>
  </si>
  <si>
    <t>19/01/2025 01:15</t>
  </si>
  <si>
    <t>19/01/2025 01:30</t>
  </si>
  <si>
    <t>19/01/2025 01:45</t>
  </si>
  <si>
    <t>19/01/2025 02:00</t>
  </si>
  <si>
    <t>19/01/2025 02:15</t>
  </si>
  <si>
    <t>19/01/2025 02:30</t>
  </si>
  <si>
    <t>19/01/2025 02:45</t>
  </si>
  <si>
    <t>19/01/2025 03:00</t>
  </si>
  <si>
    <t>19/01/2025 03:15</t>
  </si>
  <si>
    <t>19/01/2025 03:30</t>
  </si>
  <si>
    <t>19/01/2025 03:45</t>
  </si>
  <si>
    <t>19/01/2025 04:00</t>
  </si>
  <si>
    <t>19/01/2025 04:15</t>
  </si>
  <si>
    <t>19/01/2025 04:30</t>
  </si>
  <si>
    <t>19/01/2025 04:45</t>
  </si>
  <si>
    <t>19/01/2025 05:00</t>
  </si>
  <si>
    <t>19/01/2025 05:15</t>
  </si>
  <si>
    <t>19/01/2025 05:30</t>
  </si>
  <si>
    <t>19/01/2025 05:45</t>
  </si>
  <si>
    <t>19/01/2025 06:00</t>
  </si>
  <si>
    <t>19/01/2025 06:15</t>
  </si>
  <si>
    <t>19/01/2025 06:30</t>
  </si>
  <si>
    <t>19/01/2025 06:45</t>
  </si>
  <si>
    <t>19/01/2025 07:00</t>
  </si>
  <si>
    <t>19/01/2025 07:15</t>
  </si>
  <si>
    <t>19/01/2025 07:30</t>
  </si>
  <si>
    <t>19/01/2025 07:45</t>
  </si>
  <si>
    <t>19/01/2025 08:00</t>
  </si>
  <si>
    <t>19/01/2025 08:15</t>
  </si>
  <si>
    <t>19/01/2025 08:30</t>
  </si>
  <si>
    <t>19/01/2025 08:45</t>
  </si>
  <si>
    <t>19/01/2025 09:00</t>
  </si>
  <si>
    <t>19/01/2025 09:15</t>
  </si>
  <si>
    <t>19/01/2025 09:30</t>
  </si>
  <si>
    <t>19/01/2025 09:45</t>
  </si>
  <si>
    <t>19/01/2025 10:00</t>
  </si>
  <si>
    <t>19/01/2025 10:15</t>
  </si>
  <si>
    <t>19/01/2025 10:30</t>
  </si>
  <si>
    <t>19/01/2025 10:45</t>
  </si>
  <si>
    <t>19/01/2025 11:00</t>
  </si>
  <si>
    <t>19/01/2025 11:15</t>
  </si>
  <si>
    <t>19/01/2025 11:30</t>
  </si>
  <si>
    <t>19/01/2025 11:45</t>
  </si>
  <si>
    <t>19/01/2025 12:00</t>
  </si>
  <si>
    <t>19/01/2025 12:15</t>
  </si>
  <si>
    <t>19/01/2025 12:30</t>
  </si>
  <si>
    <t>19/01/2025 12:45</t>
  </si>
  <si>
    <t>19/01/2025 13:00</t>
  </si>
  <si>
    <t>19/01/2025 13:15</t>
  </si>
  <si>
    <t>19/01/2025 13:30</t>
  </si>
  <si>
    <t>19/01/2025 13:45</t>
  </si>
  <si>
    <t>19/01/2025 14:00</t>
  </si>
  <si>
    <t>19/01/2025 14:15</t>
  </si>
  <si>
    <t>19/01/2025 14:30</t>
  </si>
  <si>
    <t>19/01/2025 14:45</t>
  </si>
  <si>
    <t>19/01/2025 15:00</t>
  </si>
  <si>
    <t>19/01/2025 15:15</t>
  </si>
  <si>
    <t>19/01/2025 15:30</t>
  </si>
  <si>
    <t>19/01/2025 15:45</t>
  </si>
  <si>
    <t>19/01/2025 16:00</t>
  </si>
  <si>
    <t>19/01/2025 16:15</t>
  </si>
  <si>
    <t>19/01/2025 16:30</t>
  </si>
  <si>
    <t>19/01/2025 16:45</t>
  </si>
  <si>
    <t>19/01/2025 17:00</t>
  </si>
  <si>
    <t>19/01/2025 17:15</t>
  </si>
  <si>
    <t>19/01/2025 17:30</t>
  </si>
  <si>
    <t>19/01/2025 17:45</t>
  </si>
  <si>
    <t>19/01/2025 18:00</t>
  </si>
  <si>
    <t>19/01/2025 18:15</t>
  </si>
  <si>
    <t>19/01/2025 18:30</t>
  </si>
  <si>
    <t>19/01/2025 18:45</t>
  </si>
  <si>
    <t>19/01/2025 19:00</t>
  </si>
  <si>
    <t>19/01/2025 19:15</t>
  </si>
  <si>
    <t>19/01/2025 19:30</t>
  </si>
  <si>
    <t>19/01/2025 19:45</t>
  </si>
  <si>
    <t>19/01/2025 20:00</t>
  </si>
  <si>
    <t>19/01/2025 20:15</t>
  </si>
  <si>
    <t>19/01/2025 20:30</t>
  </si>
  <si>
    <t>19/01/2025 20:45</t>
  </si>
  <si>
    <t>19/01/2025 21:00</t>
  </si>
  <si>
    <t>19/01/2025 21:15</t>
  </si>
  <si>
    <t>19/01/2025 21:30</t>
  </si>
  <si>
    <t>19/01/2025 21:45</t>
  </si>
  <si>
    <t>19/01/2025 22:00</t>
  </si>
  <si>
    <t>19/01/2025 22:15</t>
  </si>
  <si>
    <t>19/01/2025 22:30</t>
  </si>
  <si>
    <t>19/01/2025 22:45</t>
  </si>
  <si>
    <t>19/01/2025 23:00</t>
  </si>
  <si>
    <t>19/01/2025 23:15</t>
  </si>
  <si>
    <t>19/01/2025 23:30</t>
  </si>
  <si>
    <t>19/01/2025 23:45</t>
  </si>
  <si>
    <t>19/01/2025 24:00</t>
  </si>
  <si>
    <t>20/01/2025 00:15</t>
  </si>
  <si>
    <t>20/01/2025 00:30</t>
  </si>
  <si>
    <t>20/01/2025 00:45</t>
  </si>
  <si>
    <t>20/01/2025 01:00</t>
  </si>
  <si>
    <t>20/01/2025 01:15</t>
  </si>
  <si>
    <t>20/01/2025 01:30</t>
  </si>
  <si>
    <t>20/01/2025 01:45</t>
  </si>
  <si>
    <t>20/01/2025 02:00</t>
  </si>
  <si>
    <t>20/01/2025 02:15</t>
  </si>
  <si>
    <t>20/01/2025 02:30</t>
  </si>
  <si>
    <t>20/01/2025 02:45</t>
  </si>
  <si>
    <t>20/01/2025 03:00</t>
  </si>
  <si>
    <t>20/01/2025 03:15</t>
  </si>
  <si>
    <t>20/01/2025 03:30</t>
  </si>
  <si>
    <t>20/01/2025 03:45</t>
  </si>
  <si>
    <t>20/01/2025 04:00</t>
  </si>
  <si>
    <t>20/01/2025 04:15</t>
  </si>
  <si>
    <t>20/01/2025 04:30</t>
  </si>
  <si>
    <t>20/01/2025 04:45</t>
  </si>
  <si>
    <t>20/01/2025 05:00</t>
  </si>
  <si>
    <t>20/01/2025 05:15</t>
  </si>
  <si>
    <t>20/01/2025 05:30</t>
  </si>
  <si>
    <t>20/01/2025 05:45</t>
  </si>
  <si>
    <t>20/01/2025 06:00</t>
  </si>
  <si>
    <t>20/01/2025 06:15</t>
  </si>
  <si>
    <t>20/01/2025 06:30</t>
  </si>
  <si>
    <t>20/01/2025 06:45</t>
  </si>
  <si>
    <t>20/01/2025 07:00</t>
  </si>
  <si>
    <t>20/01/2025 07:15</t>
  </si>
  <si>
    <t>20/01/2025 07:30</t>
  </si>
  <si>
    <t>20/01/2025 07:45</t>
  </si>
  <si>
    <t>20/01/2025 08:00</t>
  </si>
  <si>
    <t>20/01/2025 08:15</t>
  </si>
  <si>
    <t>20/01/2025 08:30</t>
  </si>
  <si>
    <t>20/01/2025 08:45</t>
  </si>
  <si>
    <t>20/01/2025 09:00</t>
  </si>
  <si>
    <t>20/01/2025 09:15</t>
  </si>
  <si>
    <t>20/01/2025 09:30</t>
  </si>
  <si>
    <t>20/01/2025 09:45</t>
  </si>
  <si>
    <t>20/01/2025 10:00</t>
  </si>
  <si>
    <t>20/01/2025 10:15</t>
  </si>
  <si>
    <t>20/01/2025 10:30</t>
  </si>
  <si>
    <t>20/01/2025 10:45</t>
  </si>
  <si>
    <t>20/01/2025 11:00</t>
  </si>
  <si>
    <t>20/01/2025 11:15</t>
  </si>
  <si>
    <t>20/01/2025 11:30</t>
  </si>
  <si>
    <t>20/01/2025 11:45</t>
  </si>
  <si>
    <t>20/01/2025 12:00</t>
  </si>
  <si>
    <t>20/01/2025 12:15</t>
  </si>
  <si>
    <t>20/01/2025 12:30</t>
  </si>
  <si>
    <t>20/01/2025 12:45</t>
  </si>
  <si>
    <t>20/01/2025 13:00</t>
  </si>
  <si>
    <t>20/01/2025 13:15</t>
  </si>
  <si>
    <t>20/01/2025 13:30</t>
  </si>
  <si>
    <t>20/01/2025 13:45</t>
  </si>
  <si>
    <t>20/01/2025 14:00</t>
  </si>
  <si>
    <t>20/01/2025 14:15</t>
  </si>
  <si>
    <t>20/01/2025 14:30</t>
  </si>
  <si>
    <t>20/01/2025 14:45</t>
  </si>
  <si>
    <t>20/01/2025 15:00</t>
  </si>
  <si>
    <t>20/01/2025 15:15</t>
  </si>
  <si>
    <t>20/01/2025 15:30</t>
  </si>
  <si>
    <t>20/01/2025 15:45</t>
  </si>
  <si>
    <t>20/01/2025 16:00</t>
  </si>
  <si>
    <t>20/01/2025 16:15</t>
  </si>
  <si>
    <t>20/01/2025 16:30</t>
  </si>
  <si>
    <t>20/01/2025 16:45</t>
  </si>
  <si>
    <t>20/01/2025 17:00</t>
  </si>
  <si>
    <t>20/01/2025 17:15</t>
  </si>
  <si>
    <t>20/01/2025 17:30</t>
  </si>
  <si>
    <t>20/01/2025 17:45</t>
  </si>
  <si>
    <t>20/01/2025 18:00</t>
  </si>
  <si>
    <t>20/01/2025 18:15</t>
  </si>
  <si>
    <t>20/01/2025 18:30</t>
  </si>
  <si>
    <t>20/01/2025 18:45</t>
  </si>
  <si>
    <t>20/01/2025 19:00</t>
  </si>
  <si>
    <t>20/01/2025 19:15</t>
  </si>
  <si>
    <t>20/01/2025 19:30</t>
  </si>
  <si>
    <t>20/01/2025 19:45</t>
  </si>
  <si>
    <t>20/01/2025 20:00</t>
  </si>
  <si>
    <t>20/01/2025 20:15</t>
  </si>
  <si>
    <t>20/01/2025 20:30</t>
  </si>
  <si>
    <t>20/01/2025 20:45</t>
  </si>
  <si>
    <t>20/01/2025 21:00</t>
  </si>
  <si>
    <t>20/01/2025 21:15</t>
  </si>
  <si>
    <t>20/01/2025 21:30</t>
  </si>
  <si>
    <t>20/01/2025 21:45</t>
  </si>
  <si>
    <t>20/01/2025 22:00</t>
  </si>
  <si>
    <t>20/01/2025 22:15</t>
  </si>
  <si>
    <t>20/01/2025 22:30</t>
  </si>
  <si>
    <t>20/01/2025 22:45</t>
  </si>
  <si>
    <t>20/01/2025 23:00</t>
  </si>
  <si>
    <t>20/01/2025 23:15</t>
  </si>
  <si>
    <t>20/01/2025 23:30</t>
  </si>
  <si>
    <t>20/01/2025 23:45</t>
  </si>
  <si>
    <t>20/01/2025 24:00</t>
  </si>
  <si>
    <t>21/01/2025 00:15</t>
  </si>
  <si>
    <t>21/01/2025 00:30</t>
  </si>
  <si>
    <t>21/01/2025 00:45</t>
  </si>
  <si>
    <t>21/01/2025 01:00</t>
  </si>
  <si>
    <t>21/01/2025 01:15</t>
  </si>
  <si>
    <t>21/01/2025 01:30</t>
  </si>
  <si>
    <t>21/01/2025 01:45</t>
  </si>
  <si>
    <t>21/01/2025 02:00</t>
  </si>
  <si>
    <t>21/01/2025 02:15</t>
  </si>
  <si>
    <t>21/01/2025 02:30</t>
  </si>
  <si>
    <t>21/01/2025 02:45</t>
  </si>
  <si>
    <t>21/01/2025 03:00</t>
  </si>
  <si>
    <t>21/01/2025 03:15</t>
  </si>
  <si>
    <t>21/01/2025 03:30</t>
  </si>
  <si>
    <t>21/01/2025 03:45</t>
  </si>
  <si>
    <t>21/01/2025 04:00</t>
  </si>
  <si>
    <t>21/01/2025 04:15</t>
  </si>
  <si>
    <t>21/01/2025 04:30</t>
  </si>
  <si>
    <t>21/01/2025 04:45</t>
  </si>
  <si>
    <t>21/01/2025 05:00</t>
  </si>
  <si>
    <t>21/01/2025 05:15</t>
  </si>
  <si>
    <t>21/01/2025 05:30</t>
  </si>
  <si>
    <t>21/01/2025 05:45</t>
  </si>
  <si>
    <t>21/01/2025 06:00</t>
  </si>
  <si>
    <t>21/01/2025 06:15</t>
  </si>
  <si>
    <t>21/01/2025 06:30</t>
  </si>
  <si>
    <t>21/01/2025 06:45</t>
  </si>
  <si>
    <t>21/01/2025 07:00</t>
  </si>
  <si>
    <t>21/01/2025 07:15</t>
  </si>
  <si>
    <t>21/01/2025 07:30</t>
  </si>
  <si>
    <t>21/01/2025 07:45</t>
  </si>
  <si>
    <t>21/01/2025 08:00</t>
  </si>
  <si>
    <t>21/01/2025 08:15</t>
  </si>
  <si>
    <t>21/01/2025 08:30</t>
  </si>
  <si>
    <t>21/01/2025 08:45</t>
  </si>
  <si>
    <t>21/01/2025 09:00</t>
  </si>
  <si>
    <t>21/01/2025 09:15</t>
  </si>
  <si>
    <t>21/01/2025 09:30</t>
  </si>
  <si>
    <t>21/01/2025 09:45</t>
  </si>
  <si>
    <t>21/01/2025 10:00</t>
  </si>
  <si>
    <t>21/01/2025 10:15</t>
  </si>
  <si>
    <t>21/01/2025 10:30</t>
  </si>
  <si>
    <t>21/01/2025 10:45</t>
  </si>
  <si>
    <t>21/01/2025 11:00</t>
  </si>
  <si>
    <t>21/01/2025 11:15</t>
  </si>
  <si>
    <t>21/01/2025 11:30</t>
  </si>
  <si>
    <t>21/01/2025 11:45</t>
  </si>
  <si>
    <t>21/01/2025 12:00</t>
  </si>
  <si>
    <t>21/01/2025 12:15</t>
  </si>
  <si>
    <t>21/01/2025 12:30</t>
  </si>
  <si>
    <t>21/01/2025 12:45</t>
  </si>
  <si>
    <t>21/01/2025 13:00</t>
  </si>
  <si>
    <t>21/01/2025 13:15</t>
  </si>
  <si>
    <t>21/01/2025 13:30</t>
  </si>
  <si>
    <t>21/01/2025 13:45</t>
  </si>
  <si>
    <t>21/01/2025 14:00</t>
  </si>
  <si>
    <t>21/01/2025 14:15</t>
  </si>
  <si>
    <t>21/01/2025 14:30</t>
  </si>
  <si>
    <t>21/01/2025 14:45</t>
  </si>
  <si>
    <t>21/01/2025 15:00</t>
  </si>
  <si>
    <t>21/01/2025 15:15</t>
  </si>
  <si>
    <t>21/01/2025 15:30</t>
  </si>
  <si>
    <t>21/01/2025 15:45</t>
  </si>
  <si>
    <t>21/01/2025 16:00</t>
  </si>
  <si>
    <t>21/01/2025 16:15</t>
  </si>
  <si>
    <t>21/01/2025 16:30</t>
  </si>
  <si>
    <t>21/01/2025 16:45</t>
  </si>
  <si>
    <t>21/01/2025 17:00</t>
  </si>
  <si>
    <t>21/01/2025 17:15</t>
  </si>
  <si>
    <t>21/01/2025 17:30</t>
  </si>
  <si>
    <t>21/01/2025 17:45</t>
  </si>
  <si>
    <t>21/01/2025 18:00</t>
  </si>
  <si>
    <t>21/01/2025 18:15</t>
  </si>
  <si>
    <t>21/01/2025 18:30</t>
  </si>
  <si>
    <t>21/01/2025 18:45</t>
  </si>
  <si>
    <t>21/01/2025 19:00</t>
  </si>
  <si>
    <t>21/01/2025 19:15</t>
  </si>
  <si>
    <t>21/01/2025 19:30</t>
  </si>
  <si>
    <t>21/01/2025 19:45</t>
  </si>
  <si>
    <t>21/01/2025 20:00</t>
  </si>
  <si>
    <t>21/01/2025 20:15</t>
  </si>
  <si>
    <t>21/01/2025 20:30</t>
  </si>
  <si>
    <t>21/01/2025 20:45</t>
  </si>
  <si>
    <t>21/01/2025 21:00</t>
  </si>
  <si>
    <t>21/01/2025 21:15</t>
  </si>
  <si>
    <t>21/01/2025 21:30</t>
  </si>
  <si>
    <t>21/01/2025 21:45</t>
  </si>
  <si>
    <t>21/01/2025 22:00</t>
  </si>
  <si>
    <t>21/01/2025 22:15</t>
  </si>
  <si>
    <t>21/01/2025 22:30</t>
  </si>
  <si>
    <t>21/01/2025 22:45</t>
  </si>
  <si>
    <t>21/01/2025 23:00</t>
  </si>
  <si>
    <t>21/01/2025 23:15</t>
  </si>
  <si>
    <t>21/01/2025 23:30</t>
  </si>
  <si>
    <t>21/01/2025 23:45</t>
  </si>
  <si>
    <t>21/01/2025 24:00</t>
  </si>
  <si>
    <t>22/01/2025 00:15</t>
  </si>
  <si>
    <t>22/01/2025 00:30</t>
  </si>
  <si>
    <t>22/01/2025 00:45</t>
  </si>
  <si>
    <t>22/01/2025 01:00</t>
  </si>
  <si>
    <t>22/01/2025 01:15</t>
  </si>
  <si>
    <t>22/01/2025 01:30</t>
  </si>
  <si>
    <t>22/01/2025 01:45</t>
  </si>
  <si>
    <t>22/01/2025 02:00</t>
  </si>
  <si>
    <t>22/01/2025 02:15</t>
  </si>
  <si>
    <t>22/01/2025 02:30</t>
  </si>
  <si>
    <t>22/01/2025 02:45</t>
  </si>
  <si>
    <t>22/01/2025 03:00</t>
  </si>
  <si>
    <t>22/01/2025 03:15</t>
  </si>
  <si>
    <t>22/01/2025 03:30</t>
  </si>
  <si>
    <t>22/01/2025 03:45</t>
  </si>
  <si>
    <t>22/01/2025 04:00</t>
  </si>
  <si>
    <t>22/01/2025 04:15</t>
  </si>
  <si>
    <t>22/01/2025 04:30</t>
  </si>
  <si>
    <t>22/01/2025 04:45</t>
  </si>
  <si>
    <t>22/01/2025 05:00</t>
  </si>
  <si>
    <t>22/01/2025 05:15</t>
  </si>
  <si>
    <t>22/01/2025 05:30</t>
  </si>
  <si>
    <t>22/01/2025 05:45</t>
  </si>
  <si>
    <t>22/01/2025 06:00</t>
  </si>
  <si>
    <t>22/01/2025 06:15</t>
  </si>
  <si>
    <t>22/01/2025 06:30</t>
  </si>
  <si>
    <t>22/01/2025 06:45</t>
  </si>
  <si>
    <t>22/01/2025 07:00</t>
  </si>
  <si>
    <t>22/01/2025 07:15</t>
  </si>
  <si>
    <t>22/01/2025 07:30</t>
  </si>
  <si>
    <t>22/01/2025 07:45</t>
  </si>
  <si>
    <t>22/01/2025 08:00</t>
  </si>
  <si>
    <t>22/01/2025 08:15</t>
  </si>
  <si>
    <t>22/01/2025 08:30</t>
  </si>
  <si>
    <t>22/01/2025 08:45</t>
  </si>
  <si>
    <t>22/01/2025 09:00</t>
  </si>
  <si>
    <t>22/01/2025 09:15</t>
  </si>
  <si>
    <t>22/01/2025 09:30</t>
  </si>
  <si>
    <t>22/01/2025 09:45</t>
  </si>
  <si>
    <t>22/01/2025 10:00</t>
  </si>
  <si>
    <t>22/01/2025 10:15</t>
  </si>
  <si>
    <t>22/01/2025 10:30</t>
  </si>
  <si>
    <t>22/01/2025 10:45</t>
  </si>
  <si>
    <t>22/01/2025 11:00</t>
  </si>
  <si>
    <t>22/01/2025 11:15</t>
  </si>
  <si>
    <t>22/01/2025 11:30</t>
  </si>
  <si>
    <t>22/01/2025 11:45</t>
  </si>
  <si>
    <t>22/01/2025 12:00</t>
  </si>
  <si>
    <t>22/01/2025 12:15</t>
  </si>
  <si>
    <t>22/01/2025 12:30</t>
  </si>
  <si>
    <t>22/01/2025 12:45</t>
  </si>
  <si>
    <t>22/01/2025 13:00</t>
  </si>
  <si>
    <t>22/01/2025 13:15</t>
  </si>
  <si>
    <t>22/01/2025 13:30</t>
  </si>
  <si>
    <t>22/01/2025 13:45</t>
  </si>
  <si>
    <t>22/01/2025 14:00</t>
  </si>
  <si>
    <t>22/01/2025 14:15</t>
  </si>
  <si>
    <t>22/01/2025 14:30</t>
  </si>
  <si>
    <t>22/01/2025 14:45</t>
  </si>
  <si>
    <t>22/01/2025 15:00</t>
  </si>
  <si>
    <t>22/01/2025 15:15</t>
  </si>
  <si>
    <t>22/01/2025 15:30</t>
  </si>
  <si>
    <t>22/01/2025 15:45</t>
  </si>
  <si>
    <t>22/01/2025 16:00</t>
  </si>
  <si>
    <t>22/01/2025 16:15</t>
  </si>
  <si>
    <t>22/01/2025 16:30</t>
  </si>
  <si>
    <t>22/01/2025 16:45</t>
  </si>
  <si>
    <t>22/01/2025 17:00</t>
  </si>
  <si>
    <t>22/01/2025 17:15</t>
  </si>
  <si>
    <t>22/01/2025 17:30</t>
  </si>
  <si>
    <t>22/01/2025 17:45</t>
  </si>
  <si>
    <t>22/01/2025 18:00</t>
  </si>
  <si>
    <t>22/01/2025 18:15</t>
  </si>
  <si>
    <t>22/01/2025 18:30</t>
  </si>
  <si>
    <t>22/01/2025 18:45</t>
  </si>
  <si>
    <t>22/01/2025 19:00</t>
  </si>
  <si>
    <t>22/01/2025 19:15</t>
  </si>
  <si>
    <t>22/01/2025 19:30</t>
  </si>
  <si>
    <t>22/01/2025 19:45</t>
  </si>
  <si>
    <t>22/01/2025 20:00</t>
  </si>
  <si>
    <t>22/01/2025 20:15</t>
  </si>
  <si>
    <t>22/01/2025 20:30</t>
  </si>
  <si>
    <t>22/01/2025 20:45</t>
  </si>
  <si>
    <t>22/01/2025 21:00</t>
  </si>
  <si>
    <t>22/01/2025 21:15</t>
  </si>
  <si>
    <t>22/01/2025 21:30</t>
  </si>
  <si>
    <t>22/01/2025 21:45</t>
  </si>
  <si>
    <t>22/01/2025 22:00</t>
  </si>
  <si>
    <t>22/01/2025 22:15</t>
  </si>
  <si>
    <t>22/01/2025 22:30</t>
  </si>
  <si>
    <t>22/01/2025 22:45</t>
  </si>
  <si>
    <t>22/01/2025 23:00</t>
  </si>
  <si>
    <t>22/01/2025 23:15</t>
  </si>
  <si>
    <t>22/01/2025 23:30</t>
  </si>
  <si>
    <t>22/01/2025 23:45</t>
  </si>
  <si>
    <t>22/01/2025 24:00</t>
  </si>
  <si>
    <t>23/01/2025 00:15</t>
  </si>
  <si>
    <t>23/01/2025 00:30</t>
  </si>
  <si>
    <t>23/01/2025 00:45</t>
  </si>
  <si>
    <t>23/01/2025 01:00</t>
  </si>
  <si>
    <t>23/01/2025 01:15</t>
  </si>
  <si>
    <t>23/01/2025 01:30</t>
  </si>
  <si>
    <t>23/01/2025 01:45</t>
  </si>
  <si>
    <t>23/01/2025 02:00</t>
  </si>
  <si>
    <t>23/01/2025 02:15</t>
  </si>
  <si>
    <t>23/01/2025 02:30</t>
  </si>
  <si>
    <t>23/01/2025 02:45</t>
  </si>
  <si>
    <t>23/01/2025 03:00</t>
  </si>
  <si>
    <t>23/01/2025 03:15</t>
  </si>
  <si>
    <t>23/01/2025 03:30</t>
  </si>
  <si>
    <t>23/01/2025 03:45</t>
  </si>
  <si>
    <t>23/01/2025 04:00</t>
  </si>
  <si>
    <t>23/01/2025 04:15</t>
  </si>
  <si>
    <t>23/01/2025 04:30</t>
  </si>
  <si>
    <t>23/01/2025 04:45</t>
  </si>
  <si>
    <t>23/01/2025 05:00</t>
  </si>
  <si>
    <t>23/01/2025 05:15</t>
  </si>
  <si>
    <t>23/01/2025 05:30</t>
  </si>
  <si>
    <t>23/01/2025 05:45</t>
  </si>
  <si>
    <t>23/01/2025 06:00</t>
  </si>
  <si>
    <t>23/01/2025 06:15</t>
  </si>
  <si>
    <t>23/01/2025 06:30</t>
  </si>
  <si>
    <t>23/01/2025 06:45</t>
  </si>
  <si>
    <t>23/01/2025 07:00</t>
  </si>
  <si>
    <t>23/01/2025 07:15</t>
  </si>
  <si>
    <t>23/01/2025 07:30</t>
  </si>
  <si>
    <t>23/01/2025 07:45</t>
  </si>
  <si>
    <t>23/01/2025 08:00</t>
  </si>
  <si>
    <t>23/01/2025 08:15</t>
  </si>
  <si>
    <t>23/01/2025 08:30</t>
  </si>
  <si>
    <t>23/01/2025 08:45</t>
  </si>
  <si>
    <t>23/01/2025 09:00</t>
  </si>
  <si>
    <t>23/01/2025 09:15</t>
  </si>
  <si>
    <t>23/01/2025 09:30</t>
  </si>
  <si>
    <t>23/01/2025 09:45</t>
  </si>
  <si>
    <t>23/01/2025 10:00</t>
  </si>
  <si>
    <t>23/01/2025 10:15</t>
  </si>
  <si>
    <t>23/01/2025 10:30</t>
  </si>
  <si>
    <t>23/01/2025 10:45</t>
  </si>
  <si>
    <t>23/01/2025 11:00</t>
  </si>
  <si>
    <t>23/01/2025 11:15</t>
  </si>
  <si>
    <t>23/01/2025 11:30</t>
  </si>
  <si>
    <t>23/01/2025 11:45</t>
  </si>
  <si>
    <t>23/01/2025 12:00</t>
  </si>
  <si>
    <t>23/01/2025 12:15</t>
  </si>
  <si>
    <t>23/01/2025 12:30</t>
  </si>
  <si>
    <t>23/01/2025 12:45</t>
  </si>
  <si>
    <t>23/01/2025 13:00</t>
  </si>
  <si>
    <t>23/01/2025 13:15</t>
  </si>
  <si>
    <t>23/01/2025 13:30</t>
  </si>
  <si>
    <t>23/01/2025 13:45</t>
  </si>
  <si>
    <t>23/01/2025 14:00</t>
  </si>
  <si>
    <t>23/01/2025 14:15</t>
  </si>
  <si>
    <t>23/01/2025 14:30</t>
  </si>
  <si>
    <t>23/01/2025 14:45</t>
  </si>
  <si>
    <t>23/01/2025 15:00</t>
  </si>
  <si>
    <t>23/01/2025 15:15</t>
  </si>
  <si>
    <t>23/01/2025 15:30</t>
  </si>
  <si>
    <t>23/01/2025 15:45</t>
  </si>
  <si>
    <t>23/01/2025 16:00</t>
  </si>
  <si>
    <t>23/01/2025 16:15</t>
  </si>
  <si>
    <t>23/01/2025 16:30</t>
  </si>
  <si>
    <t>23/01/2025 16:45</t>
  </si>
  <si>
    <t>23/01/2025 17:00</t>
  </si>
  <si>
    <t>23/01/2025 17:15</t>
  </si>
  <si>
    <t>23/01/2025 17:30</t>
  </si>
  <si>
    <t>23/01/2025 17:45</t>
  </si>
  <si>
    <t>23/01/2025 18:00</t>
  </si>
  <si>
    <t>23/01/2025 18:15</t>
  </si>
  <si>
    <t>23/01/2025 18:30</t>
  </si>
  <si>
    <t>23/01/2025 18:45</t>
  </si>
  <si>
    <t>23/01/2025 19:00</t>
  </si>
  <si>
    <t>23/01/2025 19:15</t>
  </si>
  <si>
    <t>23/01/2025 19:30</t>
  </si>
  <si>
    <t>23/01/2025 19:45</t>
  </si>
  <si>
    <t>23/01/2025 20:00</t>
  </si>
  <si>
    <t>23/01/2025 20:15</t>
  </si>
  <si>
    <t>23/01/2025 20:30</t>
  </si>
  <si>
    <t>23/01/2025 20:45</t>
  </si>
  <si>
    <t>23/01/2025 21:00</t>
  </si>
  <si>
    <t>23/01/2025 21:15</t>
  </si>
  <si>
    <t>23/01/2025 21:30</t>
  </si>
  <si>
    <t>23/01/2025 21:45</t>
  </si>
  <si>
    <t>23/01/2025 22:00</t>
  </si>
  <si>
    <t>23/01/2025 22:15</t>
  </si>
  <si>
    <t>23/01/2025 22:30</t>
  </si>
  <si>
    <t>23/01/2025 22:45</t>
  </si>
  <si>
    <t>23/01/2025 23:00</t>
  </si>
  <si>
    <t>23/01/2025 23:15</t>
  </si>
  <si>
    <t>23/01/2025 23:30</t>
  </si>
  <si>
    <t>23/01/2025 23:45</t>
  </si>
  <si>
    <t>23/01/2025 24:00</t>
  </si>
  <si>
    <t>24/01/2025 00:15</t>
  </si>
  <si>
    <t>24/01/2025 00:30</t>
  </si>
  <si>
    <t>24/01/2025 00:45</t>
  </si>
  <si>
    <t>24/01/2025 01:00</t>
  </si>
  <si>
    <t>24/01/2025 01:15</t>
  </si>
  <si>
    <t>24/01/2025 01:30</t>
  </si>
  <si>
    <t>24/01/2025 01:45</t>
  </si>
  <si>
    <t>24/01/2025 02:00</t>
  </si>
  <si>
    <t>24/01/2025 02:15</t>
  </si>
  <si>
    <t>24/01/2025 02:30</t>
  </si>
  <si>
    <t>24/01/2025 02:45</t>
  </si>
  <si>
    <t>24/01/2025 03:00</t>
  </si>
  <si>
    <t>24/01/2025 03:15</t>
  </si>
  <si>
    <t>24/01/2025 03:30</t>
  </si>
  <si>
    <t>24/01/2025 03:45</t>
  </si>
  <si>
    <t>24/01/2025 04:00</t>
  </si>
  <si>
    <t>24/01/2025 04:15</t>
  </si>
  <si>
    <t>24/01/2025 04:30</t>
  </si>
  <si>
    <t>24/01/2025 04:45</t>
  </si>
  <si>
    <t>24/01/2025 05:00</t>
  </si>
  <si>
    <t>24/01/2025 05:15</t>
  </si>
  <si>
    <t>24/01/2025 05:30</t>
  </si>
  <si>
    <t>24/01/2025 05:45</t>
  </si>
  <si>
    <t>24/01/2025 06:00</t>
  </si>
  <si>
    <t>24/01/2025 06:15</t>
  </si>
  <si>
    <t>24/01/2025 06:30</t>
  </si>
  <si>
    <t>24/01/2025 06:45</t>
  </si>
  <si>
    <t>24/01/2025 07:00</t>
  </si>
  <si>
    <t>24/01/2025 07:15</t>
  </si>
  <si>
    <t>24/01/2025 07:30</t>
  </si>
  <si>
    <t>24/01/2025 07:45</t>
  </si>
  <si>
    <t>24/01/2025 08:00</t>
  </si>
  <si>
    <t>24/01/2025 08:15</t>
  </si>
  <si>
    <t>24/01/2025 08:30</t>
  </si>
  <si>
    <t>24/01/2025 08:45</t>
  </si>
  <si>
    <t>24/01/2025 09:00</t>
  </si>
  <si>
    <t>24/01/2025 09:15</t>
  </si>
  <si>
    <t>24/01/2025 09:30</t>
  </si>
  <si>
    <t>24/01/2025 09:45</t>
  </si>
  <si>
    <t>24/01/2025 10:00</t>
  </si>
  <si>
    <t>24/01/2025 10:15</t>
  </si>
  <si>
    <t>24/01/2025 10:30</t>
  </si>
  <si>
    <t>24/01/2025 10:45</t>
  </si>
  <si>
    <t>24/01/2025 11:00</t>
  </si>
  <si>
    <t>24/01/2025 11:15</t>
  </si>
  <si>
    <t>24/01/2025 11:30</t>
  </si>
  <si>
    <t>24/01/2025 11:45</t>
  </si>
  <si>
    <t>24/01/2025 12:00</t>
  </si>
  <si>
    <t>24/01/2025 12:15</t>
  </si>
  <si>
    <t>24/01/2025 12:30</t>
  </si>
  <si>
    <t>24/01/2025 12:45</t>
  </si>
  <si>
    <t>24/01/2025 13:00</t>
  </si>
  <si>
    <t>24/01/2025 13:15</t>
  </si>
  <si>
    <t>24/01/2025 13:30</t>
  </si>
  <si>
    <t>24/01/2025 13:45</t>
  </si>
  <si>
    <t>24/01/2025 14:00</t>
  </si>
  <si>
    <t>24/01/2025 14:15</t>
  </si>
  <si>
    <t>24/01/2025 14:30</t>
  </si>
  <si>
    <t>24/01/2025 14:45</t>
  </si>
  <si>
    <t>24/01/2025 15:00</t>
  </si>
  <si>
    <t>24/01/2025 15:15</t>
  </si>
  <si>
    <t>24/01/2025 15:30</t>
  </si>
  <si>
    <t>24/01/2025 15:45</t>
  </si>
  <si>
    <t>24/01/2025 16:00</t>
  </si>
  <si>
    <t>24/01/2025 16:15</t>
  </si>
  <si>
    <t>24/01/2025 16:30</t>
  </si>
  <si>
    <t>24/01/2025 16:45</t>
  </si>
  <si>
    <t>24/01/2025 17:00</t>
  </si>
  <si>
    <t>24/01/2025 17:15</t>
  </si>
  <si>
    <t>24/01/2025 17:30</t>
  </si>
  <si>
    <t>24/01/2025 17:45</t>
  </si>
  <si>
    <t>24/01/2025 18:00</t>
  </si>
  <si>
    <t>24/01/2025 18:15</t>
  </si>
  <si>
    <t>24/01/2025 18:30</t>
  </si>
  <si>
    <t>24/01/2025 18:45</t>
  </si>
  <si>
    <t>24/01/2025 19:00</t>
  </si>
  <si>
    <t>24/01/2025 19:15</t>
  </si>
  <si>
    <t>24/01/2025 19:30</t>
  </si>
  <si>
    <t>24/01/2025 19:45</t>
  </si>
  <si>
    <t>24/01/2025 20:00</t>
  </si>
  <si>
    <t>24/01/2025 20:15</t>
  </si>
  <si>
    <t>24/01/2025 20:30</t>
  </si>
  <si>
    <t>24/01/2025 20:45</t>
  </si>
  <si>
    <t>24/01/2025 21:00</t>
  </si>
  <si>
    <t>24/01/2025 21:15</t>
  </si>
  <si>
    <t>24/01/2025 21:30</t>
  </si>
  <si>
    <t>24/01/2025 21:45</t>
  </si>
  <si>
    <t>24/01/2025 22:00</t>
  </si>
  <si>
    <t>24/01/2025 22:15</t>
  </si>
  <si>
    <t>24/01/2025 22:30</t>
  </si>
  <si>
    <t>24/01/2025 22:45</t>
  </si>
  <si>
    <t>24/01/2025 23:00</t>
  </si>
  <si>
    <t>24/01/2025 23:15</t>
  </si>
  <si>
    <t>24/01/2025 23:30</t>
  </si>
  <si>
    <t>24/01/2025 23:45</t>
  </si>
  <si>
    <t>24/01/2025 24:00</t>
  </si>
  <si>
    <t>25/01/2025 00:15</t>
  </si>
  <si>
    <t>25/01/2025 00:30</t>
  </si>
  <si>
    <t>25/01/2025 00:45</t>
  </si>
  <si>
    <t>25/01/2025 01:00</t>
  </si>
  <si>
    <t>25/01/2025 01:15</t>
  </si>
  <si>
    <t>25/01/2025 01:30</t>
  </si>
  <si>
    <t>25/01/2025 01:45</t>
  </si>
  <si>
    <t>25/01/2025 02:00</t>
  </si>
  <si>
    <t>25/01/2025 02:15</t>
  </si>
  <si>
    <t>25/01/2025 02:30</t>
  </si>
  <si>
    <t>25/01/2025 02:45</t>
  </si>
  <si>
    <t>25/01/2025 03:00</t>
  </si>
  <si>
    <t>25/01/2025 03:15</t>
  </si>
  <si>
    <t>25/01/2025 03:30</t>
  </si>
  <si>
    <t>25/01/2025 03:45</t>
  </si>
  <si>
    <t>25/01/2025 04:00</t>
  </si>
  <si>
    <t>25/01/2025 04:15</t>
  </si>
  <si>
    <t>25/01/2025 04:30</t>
  </si>
  <si>
    <t>25/01/2025 04:45</t>
  </si>
  <si>
    <t>25/01/2025 05:00</t>
  </si>
  <si>
    <t>25/01/2025 05:15</t>
  </si>
  <si>
    <t>25/01/2025 05:30</t>
  </si>
  <si>
    <t>25/01/2025 05:45</t>
  </si>
  <si>
    <t>25/01/2025 06:00</t>
  </si>
  <si>
    <t>25/01/2025 06:15</t>
  </si>
  <si>
    <t>25/01/2025 06:30</t>
  </si>
  <si>
    <t>25/01/2025 06:45</t>
  </si>
  <si>
    <t>25/01/2025 07:00</t>
  </si>
  <si>
    <t>25/01/2025 07:15</t>
  </si>
  <si>
    <t>25/01/2025 07:30</t>
  </si>
  <si>
    <t>25/01/2025 07:45</t>
  </si>
  <si>
    <t>25/01/2025 08:00</t>
  </si>
  <si>
    <t>25/01/2025 08:15</t>
  </si>
  <si>
    <t>25/01/2025 08:30</t>
  </si>
  <si>
    <t>25/01/2025 08:45</t>
  </si>
  <si>
    <t>25/01/2025 09:00</t>
  </si>
  <si>
    <t>25/01/2025 09:15</t>
  </si>
  <si>
    <t>25/01/2025 09:30</t>
  </si>
  <si>
    <t>25/01/2025 09:45</t>
  </si>
  <si>
    <t>25/01/2025 10:00</t>
  </si>
  <si>
    <t>25/01/2025 10:15</t>
  </si>
  <si>
    <t>25/01/2025 10:30</t>
  </si>
  <si>
    <t>25/01/2025 10:45</t>
  </si>
  <si>
    <t>25/01/2025 11:00</t>
  </si>
  <si>
    <t>25/01/2025 11:15</t>
  </si>
  <si>
    <t>25/01/2025 11:30</t>
  </si>
  <si>
    <t>25/01/2025 11:45</t>
  </si>
  <si>
    <t>25/01/2025 12:00</t>
  </si>
  <si>
    <t>25/01/2025 12:15</t>
  </si>
  <si>
    <t>25/01/2025 12:30</t>
  </si>
  <si>
    <t>25/01/2025 12:45</t>
  </si>
  <si>
    <t>25/01/2025 13:00</t>
  </si>
  <si>
    <t>25/01/2025 13:15</t>
  </si>
  <si>
    <t>25/01/2025 13:30</t>
  </si>
  <si>
    <t>25/01/2025 13:45</t>
  </si>
  <si>
    <t>25/01/2025 14:00</t>
  </si>
  <si>
    <t>25/01/2025 14:15</t>
  </si>
  <si>
    <t>25/01/2025 14:30</t>
  </si>
  <si>
    <t>25/01/2025 14:45</t>
  </si>
  <si>
    <t>25/01/2025 15:00</t>
  </si>
  <si>
    <t>25/01/2025 15:15</t>
  </si>
  <si>
    <t>25/01/2025 15:30</t>
  </si>
  <si>
    <t>25/01/2025 15:45</t>
  </si>
  <si>
    <t>25/01/2025 16:00</t>
  </si>
  <si>
    <t>25/01/2025 16:15</t>
  </si>
  <si>
    <t>25/01/2025 16:30</t>
  </si>
  <si>
    <t>25/01/2025 16:45</t>
  </si>
  <si>
    <t>25/01/2025 17:00</t>
  </si>
  <si>
    <t>25/01/2025 17:15</t>
  </si>
  <si>
    <t>25/01/2025 17:30</t>
  </si>
  <si>
    <t>25/01/2025 17:45</t>
  </si>
  <si>
    <t>25/01/2025 18:00</t>
  </si>
  <si>
    <t>25/01/2025 18:15</t>
  </si>
  <si>
    <t>25/01/2025 18:30</t>
  </si>
  <si>
    <t>25/01/2025 18:45</t>
  </si>
  <si>
    <t>25/01/2025 19:00</t>
  </si>
  <si>
    <t>25/01/2025 19:15</t>
  </si>
  <si>
    <t>25/01/2025 19:30</t>
  </si>
  <si>
    <t>25/01/2025 19:45</t>
  </si>
  <si>
    <t>25/01/2025 20:00</t>
  </si>
  <si>
    <t>25/01/2025 20:15</t>
  </si>
  <si>
    <t>25/01/2025 20:30</t>
  </si>
  <si>
    <t>25/01/2025 20:45</t>
  </si>
  <si>
    <t>25/01/2025 21:00</t>
  </si>
  <si>
    <t>25/01/2025 21:15</t>
  </si>
  <si>
    <t>25/01/2025 21:30</t>
  </si>
  <si>
    <t>25/01/2025 21:45</t>
  </si>
  <si>
    <t>25/01/2025 22:00</t>
  </si>
  <si>
    <t>25/01/2025 22:15</t>
  </si>
  <si>
    <t>25/01/2025 22:30</t>
  </si>
  <si>
    <t>25/01/2025 22:45</t>
  </si>
  <si>
    <t>25/01/2025 23:00</t>
  </si>
  <si>
    <t>25/01/2025 23:15</t>
  </si>
  <si>
    <t>25/01/2025 23:30</t>
  </si>
  <si>
    <t>25/01/2025 23:45</t>
  </si>
  <si>
    <t>25/01/2025 24:00</t>
  </si>
  <si>
    <t>26/01/2025 00:15</t>
  </si>
  <si>
    <t>26/01/2025 00:30</t>
  </si>
  <si>
    <t>26/01/2025 00:45</t>
  </si>
  <si>
    <t>26/01/2025 01:00</t>
  </si>
  <si>
    <t>26/01/2025 01:15</t>
  </si>
  <si>
    <t>26/01/2025 01:30</t>
  </si>
  <si>
    <t>26/01/2025 01:45</t>
  </si>
  <si>
    <t>26/01/2025 02:00</t>
  </si>
  <si>
    <t>26/01/2025 02:15</t>
  </si>
  <si>
    <t>26/01/2025 02:30</t>
  </si>
  <si>
    <t>26/01/2025 02:45</t>
  </si>
  <si>
    <t>26/01/2025 03:00</t>
  </si>
  <si>
    <t>26/01/2025 03:15</t>
  </si>
  <si>
    <t>26/01/2025 03:30</t>
  </si>
  <si>
    <t>26/01/2025 03:45</t>
  </si>
  <si>
    <t>26/01/2025 04:00</t>
  </si>
  <si>
    <t>26/01/2025 04:15</t>
  </si>
  <si>
    <t>26/01/2025 04:30</t>
  </si>
  <si>
    <t>26/01/2025 04:45</t>
  </si>
  <si>
    <t>26/01/2025 05:00</t>
  </si>
  <si>
    <t>26/01/2025 05:15</t>
  </si>
  <si>
    <t>26/01/2025 05:30</t>
  </si>
  <si>
    <t>26/01/2025 05:45</t>
  </si>
  <si>
    <t>26/01/2025 06:00</t>
  </si>
  <si>
    <t>26/01/2025 06:15</t>
  </si>
  <si>
    <t>26/01/2025 06:30</t>
  </si>
  <si>
    <t>26/01/2025 06:45</t>
  </si>
  <si>
    <t>26/01/2025 07:00</t>
  </si>
  <si>
    <t>26/01/2025 07:15</t>
  </si>
  <si>
    <t>26/01/2025 07:30</t>
  </si>
  <si>
    <t>26/01/2025 07:45</t>
  </si>
  <si>
    <t>26/01/2025 08:00</t>
  </si>
  <si>
    <t>26/01/2025 08:15</t>
  </si>
  <si>
    <t>26/01/2025 08:30</t>
  </si>
  <si>
    <t>26/01/2025 08:45</t>
  </si>
  <si>
    <t>26/01/2025 09:00</t>
  </si>
  <si>
    <t>26/01/2025 09:15</t>
  </si>
  <si>
    <t>26/01/2025 09:30</t>
  </si>
  <si>
    <t>26/01/2025 09:45</t>
  </si>
  <si>
    <t>26/01/2025 10:00</t>
  </si>
  <si>
    <t>26/01/2025 10:15</t>
  </si>
  <si>
    <t>26/01/2025 10:30</t>
  </si>
  <si>
    <t>26/01/2025 10:45</t>
  </si>
  <si>
    <t>26/01/2025 11:00</t>
  </si>
  <si>
    <t>26/01/2025 11:15</t>
  </si>
  <si>
    <t>26/01/2025 11:30</t>
  </si>
  <si>
    <t>26/01/2025 11:45</t>
  </si>
  <si>
    <t>26/01/2025 12:00</t>
  </si>
  <si>
    <t>26/01/2025 12:15</t>
  </si>
  <si>
    <t>26/01/2025 12:30</t>
  </si>
  <si>
    <t>26/01/2025 12:45</t>
  </si>
  <si>
    <t>26/01/2025 13:00</t>
  </si>
  <si>
    <t>26/01/2025 13:15</t>
  </si>
  <si>
    <t>26/01/2025 13:30</t>
  </si>
  <si>
    <t>26/01/2025 13:45</t>
  </si>
  <si>
    <t>26/01/2025 14:00</t>
  </si>
  <si>
    <t>26/01/2025 14:15</t>
  </si>
  <si>
    <t>26/01/2025 14:30</t>
  </si>
  <si>
    <t>26/01/2025 14:45</t>
  </si>
  <si>
    <t>26/01/2025 15:00</t>
  </si>
  <si>
    <t>26/01/2025 15:15</t>
  </si>
  <si>
    <t>26/01/2025 15:30</t>
  </si>
  <si>
    <t>26/01/2025 15:45</t>
  </si>
  <si>
    <t>26/01/2025 16:00</t>
  </si>
  <si>
    <t>26/01/2025 16:15</t>
  </si>
  <si>
    <t>26/01/2025 16:30</t>
  </si>
  <si>
    <t>26/01/2025 16:45</t>
  </si>
  <si>
    <t>26/01/2025 17:00</t>
  </si>
  <si>
    <t>26/01/2025 17:15</t>
  </si>
  <si>
    <t>26/01/2025 17:30</t>
  </si>
  <si>
    <t>26/01/2025 17:45</t>
  </si>
  <si>
    <t>26/01/2025 18:00</t>
  </si>
  <si>
    <t>26/01/2025 18:15</t>
  </si>
  <si>
    <t>26/01/2025 18:30</t>
  </si>
  <si>
    <t>26/01/2025 18:45</t>
  </si>
  <si>
    <t>26/01/2025 19:00</t>
  </si>
  <si>
    <t>26/01/2025 19:15</t>
  </si>
  <si>
    <t>26/01/2025 19:30</t>
  </si>
  <si>
    <t>26/01/2025 19:45</t>
  </si>
  <si>
    <t>26/01/2025 20:00</t>
  </si>
  <si>
    <t>26/01/2025 20:15</t>
  </si>
  <si>
    <t>26/01/2025 20:30</t>
  </si>
  <si>
    <t>26/01/2025 20:45</t>
  </si>
  <si>
    <t>26/01/2025 21:00</t>
  </si>
  <si>
    <t>26/01/2025 21:15</t>
  </si>
  <si>
    <t>26/01/2025 21:30</t>
  </si>
  <si>
    <t>26/01/2025 21:45</t>
  </si>
  <si>
    <t>26/01/2025 22:00</t>
  </si>
  <si>
    <t>26/01/2025 22:15</t>
  </si>
  <si>
    <t>26/01/2025 22:30</t>
  </si>
  <si>
    <t>26/01/2025 22:45</t>
  </si>
  <si>
    <t>26/01/2025 23:00</t>
  </si>
  <si>
    <t>26/01/2025 23:15</t>
  </si>
  <si>
    <t>26/01/2025 23:30</t>
  </si>
  <si>
    <t>26/01/2025 23:45</t>
  </si>
  <si>
    <t>26/01/2025 24:00</t>
  </si>
  <si>
    <t>27/01/2025 00:15</t>
  </si>
  <si>
    <t>27/01/2025 00:30</t>
  </si>
  <si>
    <t>27/01/2025 00:45</t>
  </si>
  <si>
    <t>27/01/2025 01:00</t>
  </si>
  <si>
    <t>27/01/2025 01:15</t>
  </si>
  <si>
    <t>27/01/2025 01:30</t>
  </si>
  <si>
    <t>27/01/2025 01:45</t>
  </si>
  <si>
    <t>27/01/2025 02:00</t>
  </si>
  <si>
    <t>27/01/2025 02:15</t>
  </si>
  <si>
    <t>27/01/2025 02:30</t>
  </si>
  <si>
    <t>27/01/2025 02:45</t>
  </si>
  <si>
    <t>27/01/2025 03:00</t>
  </si>
  <si>
    <t>27/01/2025 03:15</t>
  </si>
  <si>
    <t>27/01/2025 03:30</t>
  </si>
  <si>
    <t>27/01/2025 03:45</t>
  </si>
  <si>
    <t>27/01/2025 04:00</t>
  </si>
  <si>
    <t>27/01/2025 04:15</t>
  </si>
  <si>
    <t>27/01/2025 04:30</t>
  </si>
  <si>
    <t>27/01/2025 04:45</t>
  </si>
  <si>
    <t>27/01/2025 05:00</t>
  </si>
  <si>
    <t>27/01/2025 05:15</t>
  </si>
  <si>
    <t>27/01/2025 05:30</t>
  </si>
  <si>
    <t>27/01/2025 05:45</t>
  </si>
  <si>
    <t>27/01/2025 06:00</t>
  </si>
  <si>
    <t>27/01/2025 06:15</t>
  </si>
  <si>
    <t>27/01/2025 06:30</t>
  </si>
  <si>
    <t>27/01/2025 06:45</t>
  </si>
  <si>
    <t>27/01/2025 07:00</t>
  </si>
  <si>
    <t>27/01/2025 07:15</t>
  </si>
  <si>
    <t>27/01/2025 07:30</t>
  </si>
  <si>
    <t>27/01/2025 07:45</t>
  </si>
  <si>
    <t>27/01/2025 08:00</t>
  </si>
  <si>
    <t>27/01/2025 08:15</t>
  </si>
  <si>
    <t>27/01/2025 08:30</t>
  </si>
  <si>
    <t>27/01/2025 08:45</t>
  </si>
  <si>
    <t>27/01/2025 09:00</t>
  </si>
  <si>
    <t>27/01/2025 09:15</t>
  </si>
  <si>
    <t>27/01/2025 09:30</t>
  </si>
  <si>
    <t>27/01/2025 09:45</t>
  </si>
  <si>
    <t>27/01/2025 10:00</t>
  </si>
  <si>
    <t>27/01/2025 10:15</t>
  </si>
  <si>
    <t>27/01/2025 10:30</t>
  </si>
  <si>
    <t>27/01/2025 10:45</t>
  </si>
  <si>
    <t>27/01/2025 11:00</t>
  </si>
  <si>
    <t>27/01/2025 11:15</t>
  </si>
  <si>
    <t>27/01/2025 11:30</t>
  </si>
  <si>
    <t>27/01/2025 11:45</t>
  </si>
  <si>
    <t>27/01/2025 12:00</t>
  </si>
  <si>
    <t>27/01/2025 12:15</t>
  </si>
  <si>
    <t>27/01/2025 12:30</t>
  </si>
  <si>
    <t>27/01/2025 12:45</t>
  </si>
  <si>
    <t>27/01/2025 13:00</t>
  </si>
  <si>
    <t>27/01/2025 13:15</t>
  </si>
  <si>
    <t>27/01/2025 13:30</t>
  </si>
  <si>
    <t>27/01/2025 13:45</t>
  </si>
  <si>
    <t>27/01/2025 14:00</t>
  </si>
  <si>
    <t>27/01/2025 14:15</t>
  </si>
  <si>
    <t>27/01/2025 14:30</t>
  </si>
  <si>
    <t>27/01/2025 14:45</t>
  </si>
  <si>
    <t>27/01/2025 15:00</t>
  </si>
  <si>
    <t>27/01/2025 15:15</t>
  </si>
  <si>
    <t>27/01/2025 15:30</t>
  </si>
  <si>
    <t>27/01/2025 15:45</t>
  </si>
  <si>
    <t>27/01/2025 16:00</t>
  </si>
  <si>
    <t>27/01/2025 16:15</t>
  </si>
  <si>
    <t>27/01/2025 16:30</t>
  </si>
  <si>
    <t>27/01/2025 16:45</t>
  </si>
  <si>
    <t>27/01/2025 17:00</t>
  </si>
  <si>
    <t>27/01/2025 17:15</t>
  </si>
  <si>
    <t>27/01/2025 17:30</t>
  </si>
  <si>
    <t>27/01/2025 17:45</t>
  </si>
  <si>
    <t>27/01/2025 18:00</t>
  </si>
  <si>
    <t>27/01/2025 18:15</t>
  </si>
  <si>
    <t>27/01/2025 18:30</t>
  </si>
  <si>
    <t>27/01/2025 18:45</t>
  </si>
  <si>
    <t>27/01/2025 19:00</t>
  </si>
  <si>
    <t>27/01/2025 19:15</t>
  </si>
  <si>
    <t>27/01/2025 19:30</t>
  </si>
  <si>
    <t>27/01/2025 19:45</t>
  </si>
  <si>
    <t>27/01/2025 20:00</t>
  </si>
  <si>
    <t>27/01/2025 20:15</t>
  </si>
  <si>
    <t>27/01/2025 20:30</t>
  </si>
  <si>
    <t>27/01/2025 20:45</t>
  </si>
  <si>
    <t>27/01/2025 21:00</t>
  </si>
  <si>
    <t>27/01/2025 21:15</t>
  </si>
  <si>
    <t>27/01/2025 21:30</t>
  </si>
  <si>
    <t>27/01/2025 21:45</t>
  </si>
  <si>
    <t>27/01/2025 22:00</t>
  </si>
  <si>
    <t>27/01/2025 22:15</t>
  </si>
  <si>
    <t>27/01/2025 22:30</t>
  </si>
  <si>
    <t>27/01/2025 22:45</t>
  </si>
  <si>
    <t>27/01/2025 23:00</t>
  </si>
  <si>
    <t>27/01/2025 23:15</t>
  </si>
  <si>
    <t>27/01/2025 23:30</t>
  </si>
  <si>
    <t>27/01/2025 23:45</t>
  </si>
  <si>
    <t>27/01/2025 24:00</t>
  </si>
  <si>
    <t>28/01/2025 00:15</t>
  </si>
  <si>
    <t>28/01/2025 00:30</t>
  </si>
  <si>
    <t>28/01/2025 00:45</t>
  </si>
  <si>
    <t>28/01/2025 01:00</t>
  </si>
  <si>
    <t>28/01/2025 01:15</t>
  </si>
  <si>
    <t>28/01/2025 01:30</t>
  </si>
  <si>
    <t>28/01/2025 01:45</t>
  </si>
  <si>
    <t>28/01/2025 02:00</t>
  </si>
  <si>
    <t>28/01/2025 02:15</t>
  </si>
  <si>
    <t>28/01/2025 02:30</t>
  </si>
  <si>
    <t>28/01/2025 02:45</t>
  </si>
  <si>
    <t>28/01/2025 03:00</t>
  </si>
  <si>
    <t>28/01/2025 03:15</t>
  </si>
  <si>
    <t>28/01/2025 03:30</t>
  </si>
  <si>
    <t>28/01/2025 03:45</t>
  </si>
  <si>
    <t>28/01/2025 04:00</t>
  </si>
  <si>
    <t>28/01/2025 04:15</t>
  </si>
  <si>
    <t>28/01/2025 04:30</t>
  </si>
  <si>
    <t>28/01/2025 04:45</t>
  </si>
  <si>
    <t>28/01/2025 05:00</t>
  </si>
  <si>
    <t>28/01/2025 05:15</t>
  </si>
  <si>
    <t>28/01/2025 05:30</t>
  </si>
  <si>
    <t>28/01/2025 05:45</t>
  </si>
  <si>
    <t>28/01/2025 06:00</t>
  </si>
  <si>
    <t>28/01/2025 06:15</t>
  </si>
  <si>
    <t>28/01/2025 06:30</t>
  </si>
  <si>
    <t>28/01/2025 06:45</t>
  </si>
  <si>
    <t>28/01/2025 07:00</t>
  </si>
  <si>
    <t>28/01/2025 07:15</t>
  </si>
  <si>
    <t>28/01/2025 07:30</t>
  </si>
  <si>
    <t>28/01/2025 07:45</t>
  </si>
  <si>
    <t>28/01/2025 08:00</t>
  </si>
  <si>
    <t>28/01/2025 08:15</t>
  </si>
  <si>
    <t>28/01/2025 08:30</t>
  </si>
  <si>
    <t>28/01/2025 08:45</t>
  </si>
  <si>
    <t>28/01/2025 09:00</t>
  </si>
  <si>
    <t>28/01/2025 09:15</t>
  </si>
  <si>
    <t>28/01/2025 09:30</t>
  </si>
  <si>
    <t>28/01/2025 09:45</t>
  </si>
  <si>
    <t>28/01/2025 10:00</t>
  </si>
  <si>
    <t>28/01/2025 10:15</t>
  </si>
  <si>
    <t>28/01/2025 10:30</t>
  </si>
  <si>
    <t>28/01/2025 10:45</t>
  </si>
  <si>
    <t>28/01/2025 11:00</t>
  </si>
  <si>
    <t>28/01/2025 11:15</t>
  </si>
  <si>
    <t>28/01/2025 11:30</t>
  </si>
  <si>
    <t>28/01/2025 11:45</t>
  </si>
  <si>
    <t>28/01/2025 12:00</t>
  </si>
  <si>
    <t>28/01/2025 12:15</t>
  </si>
  <si>
    <t>28/01/2025 12:30</t>
  </si>
  <si>
    <t>28/01/2025 12:45</t>
  </si>
  <si>
    <t>28/01/2025 13:00</t>
  </si>
  <si>
    <t>28/01/2025 13:15</t>
  </si>
  <si>
    <t>28/01/2025 13:30</t>
  </si>
  <si>
    <t>28/01/2025 13:45</t>
  </si>
  <si>
    <t>28/01/2025 14:00</t>
  </si>
  <si>
    <t>28/01/2025 14:15</t>
  </si>
  <si>
    <t>28/01/2025 14:30</t>
  </si>
  <si>
    <t>28/01/2025 14:45</t>
  </si>
  <si>
    <t>28/01/2025 15:00</t>
  </si>
  <si>
    <t>28/01/2025 15:15</t>
  </si>
  <si>
    <t>28/01/2025 15:30</t>
  </si>
  <si>
    <t>28/01/2025 15:45</t>
  </si>
  <si>
    <t>28/01/2025 16:00</t>
  </si>
  <si>
    <t>28/01/2025 16:15</t>
  </si>
  <si>
    <t>28/01/2025 16:30</t>
  </si>
  <si>
    <t>28/01/2025 16:45</t>
  </si>
  <si>
    <t>28/01/2025 17:00</t>
  </si>
  <si>
    <t>28/01/2025 17:15</t>
  </si>
  <si>
    <t>28/01/2025 17:30</t>
  </si>
  <si>
    <t>28/01/2025 17:45</t>
  </si>
  <si>
    <t>28/01/2025 18:00</t>
  </si>
  <si>
    <t>28/01/2025 18:15</t>
  </si>
  <si>
    <t>28/01/2025 18:30</t>
  </si>
  <si>
    <t>28/01/2025 18:45</t>
  </si>
  <si>
    <t>28/01/2025 19:00</t>
  </si>
  <si>
    <t>28/01/2025 19:15</t>
  </si>
  <si>
    <t>28/01/2025 19:30</t>
  </si>
  <si>
    <t>28/01/2025 19:45</t>
  </si>
  <si>
    <t>28/01/2025 20:00</t>
  </si>
  <si>
    <t>28/01/2025 20:15</t>
  </si>
  <si>
    <t>28/01/2025 20:30</t>
  </si>
  <si>
    <t>28/01/2025 20:45</t>
  </si>
  <si>
    <t>28/01/2025 21:00</t>
  </si>
  <si>
    <t>28/01/2025 21:15</t>
  </si>
  <si>
    <t>28/01/2025 21:30</t>
  </si>
  <si>
    <t>28/01/2025 21:45</t>
  </si>
  <si>
    <t>28/01/2025 22:00</t>
  </si>
  <si>
    <t>28/01/2025 22:15</t>
  </si>
  <si>
    <t>28/01/2025 22:30</t>
  </si>
  <si>
    <t>28/01/2025 22:45</t>
  </si>
  <si>
    <t>28/01/2025 23:00</t>
  </si>
  <si>
    <t>28/01/2025 23:15</t>
  </si>
  <si>
    <t>28/01/2025 23:30</t>
  </si>
  <si>
    <t>28/01/2025 23:45</t>
  </si>
  <si>
    <t>28/01/2025 24:00</t>
  </si>
  <si>
    <t>29/01/2025 00:15</t>
  </si>
  <si>
    <t>29/01/2025 00:30</t>
  </si>
  <si>
    <t>29/01/2025 00:45</t>
  </si>
  <si>
    <t>29/01/2025 01:00</t>
  </si>
  <si>
    <t>29/01/2025 01:15</t>
  </si>
  <si>
    <t>29/01/2025 01:30</t>
  </si>
  <si>
    <t>29/01/2025 01:45</t>
  </si>
  <si>
    <t>29/01/2025 02:00</t>
  </si>
  <si>
    <t>29/01/2025 02:15</t>
  </si>
  <si>
    <t>29/01/2025 02:30</t>
  </si>
  <si>
    <t>29/01/2025 02:45</t>
  </si>
  <si>
    <t>29/01/2025 03:00</t>
  </si>
  <si>
    <t>29/01/2025 03:15</t>
  </si>
  <si>
    <t>29/01/2025 03:30</t>
  </si>
  <si>
    <t>29/01/2025 03:45</t>
  </si>
  <si>
    <t>29/01/2025 04:00</t>
  </si>
  <si>
    <t>29/01/2025 04:15</t>
  </si>
  <si>
    <t>29/01/2025 04:30</t>
  </si>
  <si>
    <t>29/01/2025 04:45</t>
  </si>
  <si>
    <t>29/01/2025 05:00</t>
  </si>
  <si>
    <t>29/01/2025 05:15</t>
  </si>
  <si>
    <t>29/01/2025 05:30</t>
  </si>
  <si>
    <t>29/01/2025 05:45</t>
  </si>
  <si>
    <t>29/01/2025 06:00</t>
  </si>
  <si>
    <t>29/01/2025 06:15</t>
  </si>
  <si>
    <t>29/01/2025 06:30</t>
  </si>
  <si>
    <t>29/01/2025 06:45</t>
  </si>
  <si>
    <t>29/01/2025 07:00</t>
  </si>
  <si>
    <t>29/01/2025 07:15</t>
  </si>
  <si>
    <t>29/01/2025 07:30</t>
  </si>
  <si>
    <t>29/01/2025 07:45</t>
  </si>
  <si>
    <t>29/01/2025 08:00</t>
  </si>
  <si>
    <t>29/01/2025 08:15</t>
  </si>
  <si>
    <t>29/01/2025 08:30</t>
  </si>
  <si>
    <t>29/01/2025 08:45</t>
  </si>
  <si>
    <t>29/01/2025 09:00</t>
  </si>
  <si>
    <t>29/01/2025 09:15</t>
  </si>
  <si>
    <t>29/01/2025 09:30</t>
  </si>
  <si>
    <t>29/01/2025 09:45</t>
  </si>
  <si>
    <t>29/01/2025 10:00</t>
  </si>
  <si>
    <t>29/01/2025 10:15</t>
  </si>
  <si>
    <t>29/01/2025 10:30</t>
  </si>
  <si>
    <t>29/01/2025 10:45</t>
  </si>
  <si>
    <t>29/01/2025 11:00</t>
  </si>
  <si>
    <t>29/01/2025 11:15</t>
  </si>
  <si>
    <t>29/01/2025 11:30</t>
  </si>
  <si>
    <t>29/01/2025 11:45</t>
  </si>
  <si>
    <t>29/01/2025 12:00</t>
  </si>
  <si>
    <t>29/01/2025 12:15</t>
  </si>
  <si>
    <t>29/01/2025 12:30</t>
  </si>
  <si>
    <t>29/01/2025 12:45</t>
  </si>
  <si>
    <t>29/01/2025 13:00</t>
  </si>
  <si>
    <t>29/01/2025 13:15</t>
  </si>
  <si>
    <t>29/01/2025 13:30</t>
  </si>
  <si>
    <t>29/01/2025 13:45</t>
  </si>
  <si>
    <t>29/01/2025 14:00</t>
  </si>
  <si>
    <t>29/01/2025 14:15</t>
  </si>
  <si>
    <t>29/01/2025 14:30</t>
  </si>
  <si>
    <t>29/01/2025 14:45</t>
  </si>
  <si>
    <t>29/01/2025 15:00</t>
  </si>
  <si>
    <t>29/01/2025 15:15</t>
  </si>
  <si>
    <t>29/01/2025 15:30</t>
  </si>
  <si>
    <t>29/01/2025 15:45</t>
  </si>
  <si>
    <t>29/01/2025 16:00</t>
  </si>
  <si>
    <t>29/01/2025 16:15</t>
  </si>
  <si>
    <t>29/01/2025 16:30</t>
  </si>
  <si>
    <t>29/01/2025 16:45</t>
  </si>
  <si>
    <t>29/01/2025 17:00</t>
  </si>
  <si>
    <t>29/01/2025 17:15</t>
  </si>
  <si>
    <t>29/01/2025 17:30</t>
  </si>
  <si>
    <t>29/01/2025 17:45</t>
  </si>
  <si>
    <t>29/01/2025 18:00</t>
  </si>
  <si>
    <t>29/01/2025 18:15</t>
  </si>
  <si>
    <t>29/01/2025 18:30</t>
  </si>
  <si>
    <t>29/01/2025 18:45</t>
  </si>
  <si>
    <t>29/01/2025 19:00</t>
  </si>
  <si>
    <t>29/01/2025 19:15</t>
  </si>
  <si>
    <t>29/01/2025 19:30</t>
  </si>
  <si>
    <t>29/01/2025 19:45</t>
  </si>
  <si>
    <t>29/01/2025 20:00</t>
  </si>
  <si>
    <t>29/01/2025 20:15</t>
  </si>
  <si>
    <t>29/01/2025 20:30</t>
  </si>
  <si>
    <t>29/01/2025 20:45</t>
  </si>
  <si>
    <t>29/01/2025 21:00</t>
  </si>
  <si>
    <t>29/01/2025 21:15</t>
  </si>
  <si>
    <t>29/01/2025 21:30</t>
  </si>
  <si>
    <t>29/01/2025 21:45</t>
  </si>
  <si>
    <t>29/01/2025 22:00</t>
  </si>
  <si>
    <t>29/01/2025 22:15</t>
  </si>
  <si>
    <t>29/01/2025 22:30</t>
  </si>
  <si>
    <t>29/01/2025 22:45</t>
  </si>
  <si>
    <t>29/01/2025 23:00</t>
  </si>
  <si>
    <t>29/01/2025 23:15</t>
  </si>
  <si>
    <t>29/01/2025 23:30</t>
  </si>
  <si>
    <t>29/01/2025 23:45</t>
  </si>
  <si>
    <t>29/01/2025 24:00</t>
  </si>
  <si>
    <t>30/01/2025 00:15</t>
  </si>
  <si>
    <t>30/01/2025 00:30</t>
  </si>
  <si>
    <t>30/01/2025 00:45</t>
  </si>
  <si>
    <t>30/01/2025 01:00</t>
  </si>
  <si>
    <t>30/01/2025 01:15</t>
  </si>
  <si>
    <t>30/01/2025 01:30</t>
  </si>
  <si>
    <t>30/01/2025 01:45</t>
  </si>
  <si>
    <t>30/01/2025 02:00</t>
  </si>
  <si>
    <t>30/01/2025 02:15</t>
  </si>
  <si>
    <t>30/01/2025 02:30</t>
  </si>
  <si>
    <t>30/01/2025 02:45</t>
  </si>
  <si>
    <t>30/01/2025 03:00</t>
  </si>
  <si>
    <t>30/01/2025 03:15</t>
  </si>
  <si>
    <t>30/01/2025 03:30</t>
  </si>
  <si>
    <t>30/01/2025 03:45</t>
  </si>
  <si>
    <t>30/01/2025 04:00</t>
  </si>
  <si>
    <t>30/01/2025 04:15</t>
  </si>
  <si>
    <t>30/01/2025 04:30</t>
  </si>
  <si>
    <t>30/01/2025 04:45</t>
  </si>
  <si>
    <t>30/01/2025 05:00</t>
  </si>
  <si>
    <t>30/01/2025 05:15</t>
  </si>
  <si>
    <t>30/01/2025 05:30</t>
  </si>
  <si>
    <t>30/01/2025 05:45</t>
  </si>
  <si>
    <t>30/01/2025 06:00</t>
  </si>
  <si>
    <t>30/01/2025 06:15</t>
  </si>
  <si>
    <t>30/01/2025 06:30</t>
  </si>
  <si>
    <t>30/01/2025 06:45</t>
  </si>
  <si>
    <t>30/01/2025 07:00</t>
  </si>
  <si>
    <t>30/01/2025 07:15</t>
  </si>
  <si>
    <t>30/01/2025 07:30</t>
  </si>
  <si>
    <t>30/01/2025 07:45</t>
  </si>
  <si>
    <t>30/01/2025 08:00</t>
  </si>
  <si>
    <t>30/01/2025 08:15</t>
  </si>
  <si>
    <t>30/01/2025 08:30</t>
  </si>
  <si>
    <t>30/01/2025 08:45</t>
  </si>
  <si>
    <t>30/01/2025 09:00</t>
  </si>
  <si>
    <t>30/01/2025 09:15</t>
  </si>
  <si>
    <t>30/01/2025 09:30</t>
  </si>
  <si>
    <t>30/01/2025 09:45</t>
  </si>
  <si>
    <t>30/01/2025 10:00</t>
  </si>
  <si>
    <t>30/01/2025 10:15</t>
  </si>
  <si>
    <t>30/01/2025 10:30</t>
  </si>
  <si>
    <t>30/01/2025 10:45</t>
  </si>
  <si>
    <t>30/01/2025 11:00</t>
  </si>
  <si>
    <t>30/01/2025 11:15</t>
  </si>
  <si>
    <t>30/01/2025 11:30</t>
  </si>
  <si>
    <t>30/01/2025 11:45</t>
  </si>
  <si>
    <t>30/01/2025 12:00</t>
  </si>
  <si>
    <t>30/01/2025 12:15</t>
  </si>
  <si>
    <t>30/01/2025 12:30</t>
  </si>
  <si>
    <t>30/01/2025 12:45</t>
  </si>
  <si>
    <t>30/01/2025 13:00</t>
  </si>
  <si>
    <t>30/01/2025 13:15</t>
  </si>
  <si>
    <t>30/01/2025 13:30</t>
  </si>
  <si>
    <t>30/01/2025 13:45</t>
  </si>
  <si>
    <t>30/01/2025 14:00</t>
  </si>
  <si>
    <t>30/01/2025 14:15</t>
  </si>
  <si>
    <t>30/01/2025 14:30</t>
  </si>
  <si>
    <t>30/01/2025 14:45</t>
  </si>
  <si>
    <t>30/01/2025 15:00</t>
  </si>
  <si>
    <t>30/01/2025 15:15</t>
  </si>
  <si>
    <t>30/01/2025 15:30</t>
  </si>
  <si>
    <t>30/01/2025 15:45</t>
  </si>
  <si>
    <t>30/01/2025 16:00</t>
  </si>
  <si>
    <t>30/01/2025 16:15</t>
  </si>
  <si>
    <t>30/01/2025 16:30</t>
  </si>
  <si>
    <t>30/01/2025 16:45</t>
  </si>
  <si>
    <t>30/01/2025 17:00</t>
  </si>
  <si>
    <t>30/01/2025 17:15</t>
  </si>
  <si>
    <t>30/01/2025 17:30</t>
  </si>
  <si>
    <t>30/01/2025 17:45</t>
  </si>
  <si>
    <t>30/01/2025 18:00</t>
  </si>
  <si>
    <t>30/01/2025 18:15</t>
  </si>
  <si>
    <t>30/01/2025 18:30</t>
  </si>
  <si>
    <t>30/01/2025 18:45</t>
  </si>
  <si>
    <t>30/01/2025 19:00</t>
  </si>
  <si>
    <t>30/01/2025 19:15</t>
  </si>
  <si>
    <t>30/01/2025 19:30</t>
  </si>
  <si>
    <t>30/01/2025 19:45</t>
  </si>
  <si>
    <t>30/01/2025 20:00</t>
  </si>
  <si>
    <t>30/01/2025 20:15</t>
  </si>
  <si>
    <t>30/01/2025 20:30</t>
  </si>
  <si>
    <t>30/01/2025 20:45</t>
  </si>
  <si>
    <t>30/01/2025 21:00</t>
  </si>
  <si>
    <t>30/01/2025 21:15</t>
  </si>
  <si>
    <t>30/01/2025 21:30</t>
  </si>
  <si>
    <t>30/01/2025 21:45</t>
  </si>
  <si>
    <t>30/01/2025 22:00</t>
  </si>
  <si>
    <t>30/01/2025 22:15</t>
  </si>
  <si>
    <t>30/01/2025 22:30</t>
  </si>
  <si>
    <t>30/01/2025 22:45</t>
  </si>
  <si>
    <t>30/01/2025 23:00</t>
  </si>
  <si>
    <t>30/01/2025 23:15</t>
  </si>
  <si>
    <t>30/01/2025 23:30</t>
  </si>
  <si>
    <t>30/01/2025 23:45</t>
  </si>
  <si>
    <t>30/01/2025 24:00</t>
  </si>
  <si>
    <t>31/01/2025 00:15</t>
  </si>
  <si>
    <t>31/01/2025 00:30</t>
  </si>
  <si>
    <t>31/01/2025 00:45</t>
  </si>
  <si>
    <t>31/01/2025 01:00</t>
  </si>
  <si>
    <t>31/01/2025 01:15</t>
  </si>
  <si>
    <t>31/01/2025 01:30</t>
  </si>
  <si>
    <t>31/01/2025 01:45</t>
  </si>
  <si>
    <t>31/01/2025 02:00</t>
  </si>
  <si>
    <t>31/01/2025 02:15</t>
  </si>
  <si>
    <t>31/01/2025 02:30</t>
  </si>
  <si>
    <t>31/01/2025 02:45</t>
  </si>
  <si>
    <t>31/01/2025 03:00</t>
  </si>
  <si>
    <t>31/01/2025 03:15</t>
  </si>
  <si>
    <t>31/01/2025 03:30</t>
  </si>
  <si>
    <t>31/01/2025 03:45</t>
  </si>
  <si>
    <t>31/01/2025 04:00</t>
  </si>
  <si>
    <t>31/01/2025 04:15</t>
  </si>
  <si>
    <t>31/01/2025 04:30</t>
  </si>
  <si>
    <t>31/01/2025 04:45</t>
  </si>
  <si>
    <t>31/01/2025 05:00</t>
  </si>
  <si>
    <t>31/01/2025 05:15</t>
  </si>
  <si>
    <t>31/01/2025 05:30</t>
  </si>
  <si>
    <t>31/01/2025 05:45</t>
  </si>
  <si>
    <t>31/01/2025 06:00</t>
  </si>
  <si>
    <t>31/01/2025 06:15</t>
  </si>
  <si>
    <t>31/01/2025 06:30</t>
  </si>
  <si>
    <t>31/01/2025 06:45</t>
  </si>
  <si>
    <t>31/01/2025 07:00</t>
  </si>
  <si>
    <t>31/01/2025 07:15</t>
  </si>
  <si>
    <t>31/01/2025 07:30</t>
  </si>
  <si>
    <t>31/01/2025 07:45</t>
  </si>
  <si>
    <t>31/01/2025 08:00</t>
  </si>
  <si>
    <t>31/01/2025 08:15</t>
  </si>
  <si>
    <t>31/01/2025 08:30</t>
  </si>
  <si>
    <t>31/01/2025 08:45</t>
  </si>
  <si>
    <t>31/01/2025 09:00</t>
  </si>
  <si>
    <t>31/01/2025 09:15</t>
  </si>
  <si>
    <t>31/01/2025 09:30</t>
  </si>
  <si>
    <t>31/01/2025 09:45</t>
  </si>
  <si>
    <t>31/01/2025 10:00</t>
  </si>
  <si>
    <t>31/01/2025 10:15</t>
  </si>
  <si>
    <t>31/01/2025 10:30</t>
  </si>
  <si>
    <t>31/01/2025 10:45</t>
  </si>
  <si>
    <t>31/01/2025 11:00</t>
  </si>
  <si>
    <t>31/01/2025 11:15</t>
  </si>
  <si>
    <t>31/01/2025 11:30</t>
  </si>
  <si>
    <t>31/01/2025 11:45</t>
  </si>
  <si>
    <t>31/01/2025 12:00</t>
  </si>
  <si>
    <t>31/01/2025 12:15</t>
  </si>
  <si>
    <t>31/01/2025 12:30</t>
  </si>
  <si>
    <t>31/01/2025 12:45</t>
  </si>
  <si>
    <t>31/01/2025 13:00</t>
  </si>
  <si>
    <t>31/01/2025 13:15</t>
  </si>
  <si>
    <t>31/01/2025 13:30</t>
  </si>
  <si>
    <t>31/01/2025 13:45</t>
  </si>
  <si>
    <t>31/01/2025 14:00</t>
  </si>
  <si>
    <t>31/01/2025 14:15</t>
  </si>
  <si>
    <t>31/01/2025 14:30</t>
  </si>
  <si>
    <t>31/01/2025 14:45</t>
  </si>
  <si>
    <t>31/01/2025 15:00</t>
  </si>
  <si>
    <t>31/01/2025 15:15</t>
  </si>
  <si>
    <t>31/01/2025 15:30</t>
  </si>
  <si>
    <t>31/01/2025 15:45</t>
  </si>
  <si>
    <t>31/01/2025 16:00</t>
  </si>
  <si>
    <t>31/01/2025 16:15</t>
  </si>
  <si>
    <t>31/01/2025 16:30</t>
  </si>
  <si>
    <t>31/01/2025 16:45</t>
  </si>
  <si>
    <t>31/01/2025 17:00</t>
  </si>
  <si>
    <t>31/01/2025 17:15</t>
  </si>
  <si>
    <t>31/01/2025 17:30</t>
  </si>
  <si>
    <t>31/01/2025 17:45</t>
  </si>
  <si>
    <t>31/01/2025 18:00</t>
  </si>
  <si>
    <t>31/01/2025 18:15</t>
  </si>
  <si>
    <t>31/01/2025 18:30</t>
  </si>
  <si>
    <t>31/01/2025 18:45</t>
  </si>
  <si>
    <t>31/01/2025 19:00</t>
  </si>
  <si>
    <t>31/01/2025 19:15</t>
  </si>
  <si>
    <t>31/01/2025 19:30</t>
  </si>
  <si>
    <t>31/01/2025 19:45</t>
  </si>
  <si>
    <t>31/01/2025 20:00</t>
  </si>
  <si>
    <t>31/01/2025 20:15</t>
  </si>
  <si>
    <t>31/01/2025 20:30</t>
  </si>
  <si>
    <t>31/01/2025 20:45</t>
  </si>
  <si>
    <t>31/01/2025 21:00</t>
  </si>
  <si>
    <t>31/01/2025 21:15</t>
  </si>
  <si>
    <t>31/01/2025 21:30</t>
  </si>
  <si>
    <t>31/01/2025 21:45</t>
  </si>
  <si>
    <t>31/01/2025 22:00</t>
  </si>
  <si>
    <t>31/01/2025 22:15</t>
  </si>
  <si>
    <t>31/01/2025 22:30</t>
  </si>
  <si>
    <t>31/01/2025 22:45</t>
  </si>
  <si>
    <t>31/01/2025 23:00</t>
  </si>
  <si>
    <t>31/01/2025 23:15</t>
  </si>
  <si>
    <t>31/01/2025 23:30</t>
  </si>
  <si>
    <t>31/01/2025 23:45</t>
  </si>
  <si>
    <t>31/01/2025 24:00</t>
  </si>
  <si>
    <t>835 ug/cm2</t>
  </si>
  <si>
    <t>847 ug/cm2</t>
  </si>
  <si>
    <t>Calibration report Of Bhatagaon, RAIPUR</t>
  </si>
  <si>
    <t>01/01/2025 - 31/01/2025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</si>
</sst>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0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244</v>
      </c>
      <c r="B9" s="64">
        <v>72.09</v>
      </c>
      <c r="C9" s="64">
        <v>54.16</v>
      </c>
      <c r="D9" s="64">
        <v>84.73</v>
      </c>
      <c r="E9" s="64">
        <v>8.0299999999999994</v>
      </c>
      <c r="F9" s="64">
        <v>2.13</v>
      </c>
      <c r="G9" s="64">
        <v>108.12</v>
      </c>
      <c r="H9" s="64">
        <v>33.380000000000003</v>
      </c>
      <c r="I9" s="210" t="s">
        <v>43</v>
      </c>
      <c r="J9" s="64">
        <v>1.42</v>
      </c>
      <c r="K9" s="64">
        <v>56.29</v>
      </c>
      <c r="L9" s="64">
        <v>13.72</v>
      </c>
      <c r="M9" s="64">
        <v>69.27</v>
      </c>
      <c r="N9" s="64">
        <v>80.7</v>
      </c>
      <c r="O9" s="64">
        <v>0</v>
      </c>
      <c r="P9" s="64">
        <v>1.54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245</v>
      </c>
      <c r="B10" s="64">
        <v>69.209999999999994</v>
      </c>
      <c r="C10" s="64">
        <v>53.03</v>
      </c>
      <c r="D10" s="64">
        <v>81.83</v>
      </c>
      <c r="E10" s="64">
        <v>8.2100000000000009</v>
      </c>
      <c r="F10" s="64">
        <v>2.13</v>
      </c>
      <c r="G10" s="64">
        <v>108.12</v>
      </c>
      <c r="H10" s="64">
        <v>33.380000000000003</v>
      </c>
      <c r="I10" s="210" t="s">
        <v>43</v>
      </c>
      <c r="J10" s="64">
        <v>0.33</v>
      </c>
      <c r="K10" s="64">
        <v>24.58</v>
      </c>
      <c r="L10" s="64">
        <v>13.56</v>
      </c>
      <c r="M10" s="64">
        <v>70.819999999999993</v>
      </c>
      <c r="N10" s="64">
        <v>84.5</v>
      </c>
      <c r="O10" s="64">
        <v>0</v>
      </c>
      <c r="P10" s="64">
        <v>1.51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4" t="s">
        <v>246</v>
      </c>
      <c r="B11" s="64">
        <v>66.95</v>
      </c>
      <c r="C11" s="64">
        <v>53.09</v>
      </c>
      <c r="D11" s="64">
        <v>80.05</v>
      </c>
      <c r="E11" s="64">
        <v>8.23</v>
      </c>
      <c r="F11" s="64">
        <v>2.13</v>
      </c>
      <c r="G11" s="64">
        <v>93.45</v>
      </c>
      <c r="H11" s="64">
        <v>35.799999999999997</v>
      </c>
      <c r="I11" s="210" t="s">
        <v>43</v>
      </c>
      <c r="J11" s="64">
        <v>0.77</v>
      </c>
      <c r="K11" s="64">
        <v>286.95</v>
      </c>
      <c r="L11" s="64">
        <v>13.15</v>
      </c>
      <c r="M11" s="64">
        <v>75.91</v>
      </c>
      <c r="N11" s="64">
        <v>82.8</v>
      </c>
      <c r="O11" s="64">
        <v>0</v>
      </c>
      <c r="P11" s="64">
        <v>1.58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247</v>
      </c>
      <c r="B12" s="64">
        <v>64.97</v>
      </c>
      <c r="C12" s="64">
        <v>52.6</v>
      </c>
      <c r="D12" s="64">
        <v>78.209999999999994</v>
      </c>
      <c r="E12" s="64">
        <v>8.3699999999999992</v>
      </c>
      <c r="F12" s="64">
        <v>2.13</v>
      </c>
      <c r="G12" s="64">
        <v>91.82</v>
      </c>
      <c r="H12" s="64">
        <v>36.06</v>
      </c>
      <c r="I12" s="210" t="s">
        <v>43</v>
      </c>
      <c r="J12" s="64">
        <v>1.37</v>
      </c>
      <c r="K12" s="64">
        <v>301.73</v>
      </c>
      <c r="L12" s="64">
        <v>12.84</v>
      </c>
      <c r="M12" s="64">
        <v>83.36</v>
      </c>
      <c r="N12" s="64">
        <v>83.2</v>
      </c>
      <c r="O12" s="64">
        <v>0</v>
      </c>
      <c r="P12" s="64">
        <v>1.5</v>
      </c>
      <c r="Q12" s="64">
        <v>9.57</v>
      </c>
      <c r="R12" s="198"/>
      <c r="S12" s="198"/>
      <c r="T12" s="198"/>
      <c r="U12" s="198"/>
    </row>
    <row r="13" spans="1:21" s="12" customFormat="1" x14ac:dyDescent="0.25">
      <c r="A13" s="214" t="s">
        <v>248</v>
      </c>
      <c r="B13" s="64">
        <v>62.45</v>
      </c>
      <c r="C13" s="64">
        <v>52.15</v>
      </c>
      <c r="D13" s="64">
        <v>75.95</v>
      </c>
      <c r="E13" s="64">
        <v>8.16</v>
      </c>
      <c r="F13" s="64">
        <v>2.13</v>
      </c>
      <c r="G13" s="64">
        <v>91.82</v>
      </c>
      <c r="H13" s="64">
        <v>36.06</v>
      </c>
      <c r="I13" s="210" t="s">
        <v>43</v>
      </c>
      <c r="J13" s="64">
        <v>1.07</v>
      </c>
      <c r="K13" s="64">
        <v>267.24</v>
      </c>
      <c r="L13" s="64">
        <v>12.94</v>
      </c>
      <c r="M13" s="64">
        <v>75.3</v>
      </c>
      <c r="N13" s="64">
        <v>84.8</v>
      </c>
      <c r="O13" s="64">
        <v>0</v>
      </c>
      <c r="P13" s="64">
        <v>1.39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4" t="s">
        <v>249</v>
      </c>
      <c r="B14" s="64">
        <v>58.96</v>
      </c>
      <c r="C14" s="64">
        <v>51.74</v>
      </c>
      <c r="D14" s="64">
        <v>72.94</v>
      </c>
      <c r="E14" s="64">
        <v>7.93</v>
      </c>
      <c r="F14" s="64">
        <v>2.13</v>
      </c>
      <c r="G14" s="64">
        <v>91.82</v>
      </c>
      <c r="H14" s="64">
        <v>36.06</v>
      </c>
      <c r="I14" s="210" t="s">
        <v>43</v>
      </c>
      <c r="J14" s="64">
        <v>0.69</v>
      </c>
      <c r="K14" s="64">
        <v>120.69</v>
      </c>
      <c r="L14" s="64">
        <v>13.43</v>
      </c>
      <c r="M14" s="64">
        <v>68.930000000000007</v>
      </c>
      <c r="N14" s="64">
        <v>84</v>
      </c>
      <c r="O14" s="64">
        <v>0</v>
      </c>
      <c r="P14" s="64">
        <v>1.37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250</v>
      </c>
      <c r="B15" s="64">
        <v>55.45</v>
      </c>
      <c r="C15" s="64">
        <v>51.3</v>
      </c>
      <c r="D15" s="64">
        <v>69.89</v>
      </c>
      <c r="E15" s="64">
        <v>7.49</v>
      </c>
      <c r="F15" s="64">
        <v>2.13</v>
      </c>
      <c r="G15" s="64">
        <v>84.46</v>
      </c>
      <c r="H15" s="64">
        <v>34.69</v>
      </c>
      <c r="I15" s="210" t="s">
        <v>43</v>
      </c>
      <c r="J15" s="64">
        <v>1.85</v>
      </c>
      <c r="K15" s="64">
        <v>99.55</v>
      </c>
      <c r="L15" s="64">
        <v>14.12</v>
      </c>
      <c r="M15" s="64">
        <v>63.16</v>
      </c>
      <c r="N15" s="64">
        <v>87</v>
      </c>
      <c r="O15" s="64">
        <v>0</v>
      </c>
      <c r="P15" s="64">
        <v>1.32</v>
      </c>
      <c r="Q15" s="64">
        <v>9.18</v>
      </c>
      <c r="R15" s="198"/>
      <c r="S15" s="198"/>
      <c r="T15" s="198"/>
      <c r="U15" s="198"/>
    </row>
    <row r="16" spans="1:21" s="12" customFormat="1" x14ac:dyDescent="0.25">
      <c r="A16" s="214" t="s">
        <v>251</v>
      </c>
      <c r="B16" s="64">
        <v>51.84</v>
      </c>
      <c r="C16" s="64">
        <v>51.16</v>
      </c>
      <c r="D16" s="64">
        <v>66.92</v>
      </c>
      <c r="E16" s="64">
        <v>7.68</v>
      </c>
      <c r="F16" s="64">
        <v>2.13</v>
      </c>
      <c r="G16" s="64">
        <v>81.3</v>
      </c>
      <c r="H16" s="64">
        <v>34.07</v>
      </c>
      <c r="I16" s="210" t="s">
        <v>43</v>
      </c>
      <c r="J16" s="64">
        <v>2.6</v>
      </c>
      <c r="K16" s="64">
        <v>99.34</v>
      </c>
      <c r="L16" s="64">
        <v>14.19</v>
      </c>
      <c r="M16" s="64">
        <v>62.25</v>
      </c>
      <c r="N16" s="64">
        <v>87.5</v>
      </c>
      <c r="O16" s="64">
        <v>0</v>
      </c>
      <c r="P16" s="64">
        <v>1.28</v>
      </c>
      <c r="Q16" s="64">
        <v>8.94</v>
      </c>
      <c r="R16" s="198"/>
      <c r="S16" s="198"/>
      <c r="T16" s="198"/>
      <c r="U16" s="198"/>
    </row>
    <row r="17" spans="1:21" s="12" customFormat="1" x14ac:dyDescent="0.25">
      <c r="A17" s="214" t="s">
        <v>252</v>
      </c>
      <c r="B17" s="64">
        <v>47.97</v>
      </c>
      <c r="C17" s="64">
        <v>50.99</v>
      </c>
      <c r="D17" s="64">
        <v>63.73</v>
      </c>
      <c r="E17" s="64">
        <v>7.42</v>
      </c>
      <c r="F17" s="64">
        <v>2.13</v>
      </c>
      <c r="G17" s="64">
        <v>81.3</v>
      </c>
      <c r="H17" s="64">
        <v>34.07</v>
      </c>
      <c r="I17" s="210" t="s">
        <v>43</v>
      </c>
      <c r="J17" s="64">
        <v>2.68</v>
      </c>
      <c r="K17" s="64">
        <v>104.02</v>
      </c>
      <c r="L17" s="64">
        <v>14.17</v>
      </c>
      <c r="M17" s="64">
        <v>62.21</v>
      </c>
      <c r="N17" s="64">
        <v>82.7</v>
      </c>
      <c r="O17" s="64">
        <v>0</v>
      </c>
      <c r="P17" s="64">
        <v>1.23</v>
      </c>
      <c r="Q17" s="64">
        <v>8.68</v>
      </c>
      <c r="R17" s="198"/>
      <c r="S17" s="198"/>
      <c r="T17" s="198"/>
      <c r="U17" s="198"/>
    </row>
    <row r="18" spans="1:21" s="12" customFormat="1" x14ac:dyDescent="0.25">
      <c r="A18" s="214" t="s">
        <v>253</v>
      </c>
      <c r="B18" s="64">
        <v>44.46</v>
      </c>
      <c r="C18" s="64">
        <v>51.09</v>
      </c>
      <c r="D18" s="64">
        <v>60.97</v>
      </c>
      <c r="E18" s="64">
        <v>7.21</v>
      </c>
      <c r="F18" s="64">
        <v>2.13</v>
      </c>
      <c r="G18" s="64">
        <v>81.3</v>
      </c>
      <c r="H18" s="64">
        <v>34.07</v>
      </c>
      <c r="I18" s="210" t="s">
        <v>43</v>
      </c>
      <c r="J18" s="64">
        <v>2.2400000000000002</v>
      </c>
      <c r="K18" s="64">
        <v>100.77</v>
      </c>
      <c r="L18" s="64">
        <v>14.09</v>
      </c>
      <c r="M18" s="64">
        <v>62.76</v>
      </c>
      <c r="N18" s="64">
        <v>83.3</v>
      </c>
      <c r="O18" s="64">
        <v>0</v>
      </c>
      <c r="P18" s="64">
        <v>1.19</v>
      </c>
      <c r="Q18" s="64">
        <v>8.43</v>
      </c>
      <c r="R18" s="198"/>
      <c r="S18" s="198"/>
      <c r="T18" s="198"/>
      <c r="U18" s="198"/>
    </row>
    <row r="19" spans="1:21" s="12" customFormat="1" x14ac:dyDescent="0.25">
      <c r="A19" s="214" t="s">
        <v>254</v>
      </c>
      <c r="B19" s="64">
        <v>41.36</v>
      </c>
      <c r="C19" s="64">
        <v>50.85</v>
      </c>
      <c r="D19" s="64">
        <v>58.36</v>
      </c>
      <c r="E19" s="64">
        <v>7.19</v>
      </c>
      <c r="F19" s="64">
        <v>2.13</v>
      </c>
      <c r="G19" s="64">
        <v>65.75</v>
      </c>
      <c r="H19" s="64">
        <v>32.82</v>
      </c>
      <c r="I19" s="210" t="s">
        <v>43</v>
      </c>
      <c r="J19" s="64">
        <v>2.77</v>
      </c>
      <c r="K19" s="64">
        <v>108.16</v>
      </c>
      <c r="L19" s="64">
        <v>14.05</v>
      </c>
      <c r="M19" s="64">
        <v>62.16</v>
      </c>
      <c r="N19" s="64">
        <v>86</v>
      </c>
      <c r="O19" s="64">
        <v>0</v>
      </c>
      <c r="P19" s="64">
        <v>1.1499999999999999</v>
      </c>
      <c r="Q19" s="64">
        <v>8.23</v>
      </c>
      <c r="R19" s="198"/>
      <c r="S19" s="198"/>
      <c r="T19" s="198"/>
      <c r="U19" s="198"/>
    </row>
    <row r="20" spans="1:21" s="12" customFormat="1" x14ac:dyDescent="0.25">
      <c r="A20" s="214" t="s">
        <v>255</v>
      </c>
      <c r="B20" s="64">
        <v>38.22</v>
      </c>
      <c r="C20" s="64">
        <v>50.12</v>
      </c>
      <c r="D20" s="64">
        <v>55.46</v>
      </c>
      <c r="E20" s="64">
        <v>7.08</v>
      </c>
      <c r="F20" s="64">
        <v>2.13</v>
      </c>
      <c r="G20" s="64">
        <v>58.72</v>
      </c>
      <c r="H20" s="64">
        <v>32.25</v>
      </c>
      <c r="I20" s="210" t="s">
        <v>43</v>
      </c>
      <c r="J20" s="64">
        <v>2.3199999999999998</v>
      </c>
      <c r="K20" s="64">
        <v>99.4</v>
      </c>
      <c r="L20" s="64">
        <v>14.04</v>
      </c>
      <c r="M20" s="64">
        <v>61.7</v>
      </c>
      <c r="N20" s="64">
        <v>87.7</v>
      </c>
      <c r="O20" s="64">
        <v>0</v>
      </c>
      <c r="P20" s="64">
        <v>1.1000000000000001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256</v>
      </c>
      <c r="B21" s="64">
        <v>34.93</v>
      </c>
      <c r="C21" s="64">
        <v>48.98</v>
      </c>
      <c r="D21" s="64">
        <v>52.23</v>
      </c>
      <c r="E21" s="64">
        <v>6.76</v>
      </c>
      <c r="F21" s="64">
        <v>2.13</v>
      </c>
      <c r="G21" s="64">
        <v>58.72</v>
      </c>
      <c r="H21" s="64">
        <v>32.25</v>
      </c>
      <c r="I21" s="210" t="s">
        <v>43</v>
      </c>
      <c r="J21" s="64">
        <v>2.29</v>
      </c>
      <c r="K21" s="64">
        <v>105.79</v>
      </c>
      <c r="L21" s="64">
        <v>13.93</v>
      </c>
      <c r="M21" s="64">
        <v>62.14</v>
      </c>
      <c r="N21" s="64">
        <v>88.9</v>
      </c>
      <c r="O21" s="64">
        <v>0</v>
      </c>
      <c r="P21" s="64">
        <v>1.05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257</v>
      </c>
      <c r="B22" s="64">
        <v>32.32</v>
      </c>
      <c r="C22" s="64">
        <v>49.24</v>
      </c>
      <c r="D22" s="64">
        <v>50.27</v>
      </c>
      <c r="E22" s="64">
        <v>6.78</v>
      </c>
      <c r="F22" s="64">
        <v>2.13</v>
      </c>
      <c r="G22" s="64">
        <v>58.72</v>
      </c>
      <c r="H22" s="64">
        <v>32.25</v>
      </c>
      <c r="I22" s="210" t="s">
        <v>43</v>
      </c>
      <c r="J22" s="64">
        <v>2.4500000000000002</v>
      </c>
      <c r="K22" s="64">
        <v>105.85</v>
      </c>
      <c r="L22" s="64">
        <v>13.79</v>
      </c>
      <c r="M22" s="64">
        <v>62.82</v>
      </c>
      <c r="N22" s="64">
        <v>88.2</v>
      </c>
      <c r="O22" s="64">
        <v>0</v>
      </c>
      <c r="P22" s="64">
        <v>1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258</v>
      </c>
      <c r="B23" s="64">
        <v>30.22</v>
      </c>
      <c r="C23" s="64">
        <v>48.8</v>
      </c>
      <c r="D23" s="64">
        <v>48.35</v>
      </c>
      <c r="E23" s="64">
        <v>7.28</v>
      </c>
      <c r="F23" s="64">
        <v>2.13</v>
      </c>
      <c r="G23" s="64">
        <v>57.61</v>
      </c>
      <c r="H23" s="64">
        <v>30.62</v>
      </c>
      <c r="I23" s="210" t="s">
        <v>43</v>
      </c>
      <c r="J23" s="64">
        <v>0.85</v>
      </c>
      <c r="K23" s="64">
        <v>90.82</v>
      </c>
      <c r="L23" s="64">
        <v>13.64</v>
      </c>
      <c r="M23" s="64">
        <v>63.58</v>
      </c>
      <c r="N23" s="64">
        <v>96.1</v>
      </c>
      <c r="O23" s="64">
        <v>0</v>
      </c>
      <c r="P23" s="64">
        <v>0.97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259</v>
      </c>
      <c r="B24" s="64">
        <v>28.56</v>
      </c>
      <c r="C24" s="64">
        <v>48.76</v>
      </c>
      <c r="D24" s="64">
        <v>47</v>
      </c>
      <c r="E24" s="64">
        <v>7.26</v>
      </c>
      <c r="F24" s="64">
        <v>2.13</v>
      </c>
      <c r="G24" s="64">
        <v>57.13</v>
      </c>
      <c r="H24" s="64">
        <v>29.92</v>
      </c>
      <c r="I24" s="210" t="s">
        <v>43</v>
      </c>
      <c r="J24" s="64">
        <v>0.4</v>
      </c>
      <c r="K24" s="64">
        <v>56.7</v>
      </c>
      <c r="L24" s="64">
        <v>13.05</v>
      </c>
      <c r="M24" s="64">
        <v>68.900000000000006</v>
      </c>
      <c r="N24" s="64">
        <v>96.3</v>
      </c>
      <c r="O24" s="64">
        <v>0</v>
      </c>
      <c r="P24" s="64">
        <v>0.94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260</v>
      </c>
      <c r="B25" s="64">
        <v>27.16</v>
      </c>
      <c r="C25" s="64">
        <v>48.4</v>
      </c>
      <c r="D25" s="64">
        <v>45.69</v>
      </c>
      <c r="E25" s="64">
        <v>6.92</v>
      </c>
      <c r="F25" s="64">
        <v>2.13</v>
      </c>
      <c r="G25" s="64">
        <v>57.13</v>
      </c>
      <c r="H25" s="64">
        <v>29.92</v>
      </c>
      <c r="I25" s="210" t="s">
        <v>43</v>
      </c>
      <c r="J25" s="64">
        <v>1.03</v>
      </c>
      <c r="K25" s="64">
        <v>332.5</v>
      </c>
      <c r="L25" s="64">
        <v>12.98</v>
      </c>
      <c r="M25" s="64">
        <v>68.010000000000005</v>
      </c>
      <c r="N25" s="64">
        <v>99.5</v>
      </c>
      <c r="O25" s="64">
        <v>0</v>
      </c>
      <c r="P25" s="64">
        <v>0.89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261</v>
      </c>
      <c r="B26" s="64">
        <v>25.62</v>
      </c>
      <c r="C26" s="64">
        <v>47.9</v>
      </c>
      <c r="D26" s="64">
        <v>44.2</v>
      </c>
      <c r="E26" s="64">
        <v>7.17</v>
      </c>
      <c r="F26" s="64">
        <v>2.13</v>
      </c>
      <c r="G26" s="64">
        <v>57.13</v>
      </c>
      <c r="H26" s="64">
        <v>29.92</v>
      </c>
      <c r="I26" s="210" t="s">
        <v>43</v>
      </c>
      <c r="J26" s="64">
        <v>0.56999999999999995</v>
      </c>
      <c r="K26" s="64">
        <v>80.849999999999994</v>
      </c>
      <c r="L26" s="64">
        <v>12.75</v>
      </c>
      <c r="M26" s="64">
        <v>69.55</v>
      </c>
      <c r="N26" s="64">
        <v>94.9</v>
      </c>
      <c r="O26" s="64">
        <v>0</v>
      </c>
      <c r="P26" s="64">
        <v>0.88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262</v>
      </c>
      <c r="B27" s="64">
        <v>24.21</v>
      </c>
      <c r="C27" s="64">
        <v>47.58</v>
      </c>
      <c r="D27" s="64">
        <v>42.9</v>
      </c>
      <c r="E27" s="64">
        <v>7.06</v>
      </c>
      <c r="F27" s="64">
        <v>2.13</v>
      </c>
      <c r="G27" s="64">
        <v>48.05</v>
      </c>
      <c r="H27" s="64">
        <v>28.98</v>
      </c>
      <c r="I27" s="210" t="s">
        <v>43</v>
      </c>
      <c r="J27" s="64">
        <v>0.45</v>
      </c>
      <c r="K27" s="64">
        <v>99.19</v>
      </c>
      <c r="L27" s="64">
        <v>12.66</v>
      </c>
      <c r="M27" s="64">
        <v>70.36</v>
      </c>
      <c r="N27" s="64">
        <v>96.3</v>
      </c>
      <c r="O27" s="64">
        <v>0</v>
      </c>
      <c r="P27" s="64">
        <v>0.84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263</v>
      </c>
      <c r="B28" s="64">
        <v>23.04</v>
      </c>
      <c r="C28" s="64">
        <v>47.74</v>
      </c>
      <c r="D28" s="64">
        <v>42.04</v>
      </c>
      <c r="E28" s="64">
        <v>7.08</v>
      </c>
      <c r="F28" s="64">
        <v>2.13</v>
      </c>
      <c r="G28" s="64">
        <v>44.16</v>
      </c>
      <c r="H28" s="64">
        <v>28.58</v>
      </c>
      <c r="I28" s="210" t="s">
        <v>43</v>
      </c>
      <c r="J28" s="64">
        <v>0.93</v>
      </c>
      <c r="K28" s="64">
        <v>296.52999999999997</v>
      </c>
      <c r="L28" s="64">
        <v>12.71</v>
      </c>
      <c r="M28" s="64">
        <v>70.88</v>
      </c>
      <c r="N28" s="64">
        <v>93.9</v>
      </c>
      <c r="O28" s="64">
        <v>0</v>
      </c>
      <c r="P28" s="64">
        <v>0.85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264</v>
      </c>
      <c r="B29" s="64">
        <v>21.94</v>
      </c>
      <c r="C29" s="64">
        <v>48.1</v>
      </c>
      <c r="D29" s="64">
        <v>41.34</v>
      </c>
      <c r="E29" s="64">
        <v>7.13</v>
      </c>
      <c r="F29" s="64">
        <v>2.13</v>
      </c>
      <c r="G29" s="64">
        <v>44.16</v>
      </c>
      <c r="H29" s="64">
        <v>28.58</v>
      </c>
      <c r="I29" s="210" t="s">
        <v>43</v>
      </c>
      <c r="J29" s="64">
        <v>1.25</v>
      </c>
      <c r="K29" s="64">
        <v>279.02</v>
      </c>
      <c r="L29" s="64">
        <v>12.14</v>
      </c>
      <c r="M29" s="64">
        <v>74.89</v>
      </c>
      <c r="N29" s="64">
        <v>95.1</v>
      </c>
      <c r="O29" s="64">
        <v>0</v>
      </c>
      <c r="P29" s="64">
        <v>0.83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265</v>
      </c>
      <c r="B30" s="64">
        <v>21.18</v>
      </c>
      <c r="C30" s="64">
        <v>48.52</v>
      </c>
      <c r="D30" s="64">
        <v>40.950000000000003</v>
      </c>
      <c r="E30" s="64">
        <v>7.16</v>
      </c>
      <c r="F30" s="64">
        <v>2.13</v>
      </c>
      <c r="G30" s="64">
        <v>44.16</v>
      </c>
      <c r="H30" s="64">
        <v>28.58</v>
      </c>
      <c r="I30" s="210" t="s">
        <v>43</v>
      </c>
      <c r="J30" s="64">
        <v>0.92</v>
      </c>
      <c r="K30" s="64">
        <v>280.11</v>
      </c>
      <c r="L30" s="64">
        <v>11.63</v>
      </c>
      <c r="M30" s="64">
        <v>78.38</v>
      </c>
      <c r="N30" s="64">
        <v>87.7</v>
      </c>
      <c r="O30" s="64">
        <v>0</v>
      </c>
      <c r="P30" s="64">
        <v>0.81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266</v>
      </c>
      <c r="B31" s="64">
        <v>22.54</v>
      </c>
      <c r="C31" s="64">
        <v>49.34</v>
      </c>
      <c r="D31" s="64">
        <v>42.48</v>
      </c>
      <c r="E31" s="64">
        <v>6.9</v>
      </c>
      <c r="F31" s="64">
        <v>2.13</v>
      </c>
      <c r="G31" s="64">
        <v>57.5</v>
      </c>
      <c r="H31" s="64">
        <v>26.85</v>
      </c>
      <c r="I31" s="210" t="s">
        <v>43</v>
      </c>
      <c r="J31" s="64">
        <v>1.1200000000000001</v>
      </c>
      <c r="K31" s="64">
        <v>321.58</v>
      </c>
      <c r="L31" s="64">
        <v>11.55</v>
      </c>
      <c r="M31" s="64">
        <v>80.349999999999994</v>
      </c>
      <c r="N31" s="64">
        <v>90.8</v>
      </c>
      <c r="O31" s="64">
        <v>0</v>
      </c>
      <c r="P31" s="64">
        <v>0.8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267</v>
      </c>
      <c r="B32" s="64">
        <v>25.89</v>
      </c>
      <c r="C32" s="64">
        <v>50.29</v>
      </c>
      <c r="D32" s="64">
        <v>45.66</v>
      </c>
      <c r="E32" s="64">
        <v>7.16</v>
      </c>
      <c r="F32" s="64">
        <v>2.13</v>
      </c>
      <c r="G32" s="64">
        <v>63.22</v>
      </c>
      <c r="H32" s="64">
        <v>26.06</v>
      </c>
      <c r="I32" s="210" t="s">
        <v>43</v>
      </c>
      <c r="J32" s="64">
        <v>0.85</v>
      </c>
      <c r="K32" s="64">
        <v>27.15</v>
      </c>
      <c r="L32" s="64">
        <v>11.56</v>
      </c>
      <c r="M32" s="64">
        <v>81.27</v>
      </c>
      <c r="N32" s="64">
        <v>89.8</v>
      </c>
      <c r="O32" s="64">
        <v>0</v>
      </c>
      <c r="P32" s="64">
        <v>0.79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268</v>
      </c>
      <c r="B33" s="64">
        <v>26.78</v>
      </c>
      <c r="C33" s="64">
        <v>50.6</v>
      </c>
      <c r="D33" s="64">
        <v>46.54</v>
      </c>
      <c r="E33" s="64">
        <v>6.62</v>
      </c>
      <c r="F33" s="64">
        <v>2.13</v>
      </c>
      <c r="G33" s="64">
        <v>63.22</v>
      </c>
      <c r="H33" s="64">
        <v>26.06</v>
      </c>
      <c r="I33" s="210" t="s">
        <v>43</v>
      </c>
      <c r="J33" s="64">
        <v>0.44</v>
      </c>
      <c r="K33" s="64">
        <v>73.680000000000007</v>
      </c>
      <c r="L33" s="64">
        <v>11.55</v>
      </c>
      <c r="M33" s="64">
        <v>81.45</v>
      </c>
      <c r="N33" s="64">
        <v>88.8</v>
      </c>
      <c r="O33" s="64">
        <v>0</v>
      </c>
      <c r="P33" s="64">
        <v>0.78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269</v>
      </c>
      <c r="B34" s="64">
        <v>25.65</v>
      </c>
      <c r="C34" s="64">
        <v>50.17</v>
      </c>
      <c r="D34" s="64">
        <v>45.41</v>
      </c>
      <c r="E34" s="64">
        <v>7.39</v>
      </c>
      <c r="F34" s="64">
        <v>2.13</v>
      </c>
      <c r="G34" s="64">
        <v>63.22</v>
      </c>
      <c r="H34" s="64">
        <v>26.06</v>
      </c>
      <c r="I34" s="210" t="s">
        <v>43</v>
      </c>
      <c r="J34" s="64">
        <v>1.17</v>
      </c>
      <c r="K34" s="64">
        <v>116.95</v>
      </c>
      <c r="L34" s="64">
        <v>11.51</v>
      </c>
      <c r="M34" s="64">
        <v>83.1</v>
      </c>
      <c r="N34" s="64">
        <v>90.6</v>
      </c>
      <c r="O34" s="64">
        <v>0</v>
      </c>
      <c r="P34" s="64">
        <v>0.77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270</v>
      </c>
      <c r="B35" s="64">
        <v>24.41</v>
      </c>
      <c r="C35" s="64">
        <v>49.62</v>
      </c>
      <c r="D35" s="64">
        <v>44.12</v>
      </c>
      <c r="E35" s="64">
        <v>7.09</v>
      </c>
      <c r="F35" s="64">
        <v>2.13</v>
      </c>
      <c r="G35" s="64">
        <v>75.53</v>
      </c>
      <c r="H35" s="64">
        <v>27.39</v>
      </c>
      <c r="I35" s="210" t="s">
        <v>43</v>
      </c>
      <c r="J35" s="64">
        <v>2.81</v>
      </c>
      <c r="K35" s="64">
        <v>110.89</v>
      </c>
      <c r="L35" s="64">
        <v>11.74</v>
      </c>
      <c r="M35" s="64">
        <v>81.349999999999994</v>
      </c>
      <c r="N35" s="64">
        <v>92.4</v>
      </c>
      <c r="O35" s="64">
        <v>0</v>
      </c>
      <c r="P35" s="64">
        <v>0.76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271</v>
      </c>
      <c r="B36" s="64">
        <v>23.19</v>
      </c>
      <c r="C36" s="64">
        <v>49.36</v>
      </c>
      <c r="D36" s="64">
        <v>43.01</v>
      </c>
      <c r="E36" s="64">
        <v>6.91</v>
      </c>
      <c r="F36" s="64">
        <v>2.13</v>
      </c>
      <c r="G36" s="64">
        <v>80.81</v>
      </c>
      <c r="H36" s="64">
        <v>27.96</v>
      </c>
      <c r="I36" s="210" t="s">
        <v>43</v>
      </c>
      <c r="J36" s="64">
        <v>3.16</v>
      </c>
      <c r="K36" s="64">
        <v>115.97</v>
      </c>
      <c r="L36" s="64">
        <v>12.04</v>
      </c>
      <c r="M36" s="64">
        <v>78.77</v>
      </c>
      <c r="N36" s="64">
        <v>105</v>
      </c>
      <c r="O36" s="64">
        <v>0</v>
      </c>
      <c r="P36" s="64">
        <v>0.73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272</v>
      </c>
      <c r="B37" s="64">
        <v>21.79</v>
      </c>
      <c r="C37" s="64">
        <v>48.08</v>
      </c>
      <c r="D37" s="64">
        <v>41.22</v>
      </c>
      <c r="E37" s="64">
        <v>7.31</v>
      </c>
      <c r="F37" s="64">
        <v>2.13</v>
      </c>
      <c r="G37" s="64">
        <v>80.81</v>
      </c>
      <c r="H37" s="64">
        <v>27.96</v>
      </c>
      <c r="I37" s="210" t="s">
        <v>43</v>
      </c>
      <c r="J37" s="64">
        <v>3.2</v>
      </c>
      <c r="K37" s="64">
        <v>106.15</v>
      </c>
      <c r="L37" s="64">
        <v>12.29</v>
      </c>
      <c r="M37" s="64">
        <v>75.84</v>
      </c>
      <c r="N37" s="64">
        <v>124.5</v>
      </c>
      <c r="O37" s="64">
        <v>0</v>
      </c>
      <c r="P37" s="64">
        <v>0.83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273</v>
      </c>
      <c r="B38" s="64">
        <v>20.239999999999998</v>
      </c>
      <c r="C38" s="64">
        <v>48.48</v>
      </c>
      <c r="D38" s="64">
        <v>40.18</v>
      </c>
      <c r="E38" s="64">
        <v>7.07</v>
      </c>
      <c r="F38" s="64">
        <v>2.13</v>
      </c>
      <c r="G38" s="64">
        <v>80.81</v>
      </c>
      <c r="H38" s="64">
        <v>27.96</v>
      </c>
      <c r="I38" s="210" t="s">
        <v>43</v>
      </c>
      <c r="J38" s="64">
        <v>2.08</v>
      </c>
      <c r="K38" s="64">
        <v>122.38</v>
      </c>
      <c r="L38" s="64">
        <v>12.6</v>
      </c>
      <c r="M38" s="64">
        <v>75.05</v>
      </c>
      <c r="N38" s="64">
        <v>127.9</v>
      </c>
      <c r="O38" s="64">
        <v>0</v>
      </c>
      <c r="P38" s="64">
        <v>0.85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274</v>
      </c>
      <c r="B39" s="64">
        <v>19.22</v>
      </c>
      <c r="C39" s="64">
        <v>48.75</v>
      </c>
      <c r="D39" s="64">
        <v>39.51</v>
      </c>
      <c r="E39" s="64">
        <v>7.34</v>
      </c>
      <c r="F39" s="64">
        <v>2.13</v>
      </c>
      <c r="G39" s="64">
        <v>84.31</v>
      </c>
      <c r="H39" s="64">
        <v>31.87</v>
      </c>
      <c r="I39" s="210" t="s">
        <v>43</v>
      </c>
      <c r="J39" s="64">
        <v>2.71</v>
      </c>
      <c r="K39" s="64">
        <v>117.73</v>
      </c>
      <c r="L39" s="64">
        <v>12.79</v>
      </c>
      <c r="M39" s="64">
        <v>73.02</v>
      </c>
      <c r="N39" s="64">
        <v>146.80000000000001</v>
      </c>
      <c r="O39" s="64">
        <v>0</v>
      </c>
      <c r="P39" s="64">
        <v>0.84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275</v>
      </c>
      <c r="B40" s="64">
        <v>18.170000000000002</v>
      </c>
      <c r="C40" s="64">
        <v>48.67</v>
      </c>
      <c r="D40" s="64">
        <v>38.630000000000003</v>
      </c>
      <c r="E40" s="64">
        <v>5.74</v>
      </c>
      <c r="F40" s="64">
        <v>2.13</v>
      </c>
      <c r="G40" s="64">
        <v>85.81</v>
      </c>
      <c r="H40" s="64">
        <v>33.64</v>
      </c>
      <c r="I40" s="210" t="s">
        <v>43</v>
      </c>
      <c r="J40" s="64">
        <v>2.63</v>
      </c>
      <c r="K40" s="64">
        <v>120.85</v>
      </c>
      <c r="L40" s="64">
        <v>13.16</v>
      </c>
      <c r="M40" s="64">
        <v>71.290000000000006</v>
      </c>
      <c r="N40" s="64">
        <v>206.8</v>
      </c>
      <c r="O40" s="64">
        <v>0</v>
      </c>
      <c r="P40" s="64">
        <v>0.83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276</v>
      </c>
      <c r="B41" s="64">
        <v>17.04</v>
      </c>
      <c r="C41" s="64">
        <v>48.61</v>
      </c>
      <c r="D41" s="64">
        <v>37.68</v>
      </c>
      <c r="E41" s="64">
        <v>5.61</v>
      </c>
      <c r="F41" s="64">
        <v>2.13</v>
      </c>
      <c r="G41" s="64">
        <v>85.81</v>
      </c>
      <c r="H41" s="64">
        <v>33.64</v>
      </c>
      <c r="I41" s="210" t="s">
        <v>43</v>
      </c>
      <c r="J41" s="64">
        <v>2.78</v>
      </c>
      <c r="K41" s="64">
        <v>108.26</v>
      </c>
      <c r="L41" s="64">
        <v>13.79</v>
      </c>
      <c r="M41" s="64">
        <v>68.31</v>
      </c>
      <c r="N41" s="64">
        <v>255.2</v>
      </c>
      <c r="O41" s="64">
        <v>0</v>
      </c>
      <c r="P41" s="64">
        <v>0.82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277</v>
      </c>
      <c r="B42" s="64">
        <v>15.78</v>
      </c>
      <c r="C42" s="64">
        <v>48.21</v>
      </c>
      <c r="D42" s="64">
        <v>36.47</v>
      </c>
      <c r="E42" s="64">
        <v>5.47</v>
      </c>
      <c r="F42" s="64">
        <v>2.13</v>
      </c>
      <c r="G42" s="64">
        <v>85.81</v>
      </c>
      <c r="H42" s="64">
        <v>33.64</v>
      </c>
      <c r="I42" s="210" t="s">
        <v>43</v>
      </c>
      <c r="J42" s="64">
        <v>1.61</v>
      </c>
      <c r="K42" s="64">
        <v>111.49</v>
      </c>
      <c r="L42" s="64">
        <v>14.57</v>
      </c>
      <c r="M42" s="64">
        <v>65.89</v>
      </c>
      <c r="N42" s="64">
        <v>320.5</v>
      </c>
      <c r="O42" s="64">
        <v>0</v>
      </c>
      <c r="P42" s="64">
        <v>0.8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278</v>
      </c>
      <c r="B43" s="64">
        <v>14.62</v>
      </c>
      <c r="C43" s="64">
        <v>48.55</v>
      </c>
      <c r="D43" s="64">
        <v>35.71</v>
      </c>
      <c r="E43" s="64">
        <v>5.87</v>
      </c>
      <c r="F43" s="64">
        <v>2.13</v>
      </c>
      <c r="G43" s="64">
        <v>76.37</v>
      </c>
      <c r="H43" s="64">
        <v>31.42</v>
      </c>
      <c r="I43" s="210" t="s">
        <v>43</v>
      </c>
      <c r="J43" s="64">
        <v>1.41</v>
      </c>
      <c r="K43" s="64">
        <v>154.91999999999999</v>
      </c>
      <c r="L43" s="64">
        <v>15.45</v>
      </c>
      <c r="M43" s="64">
        <v>63</v>
      </c>
      <c r="N43" s="64">
        <v>258.7</v>
      </c>
      <c r="O43" s="64">
        <v>0</v>
      </c>
      <c r="P43" s="64">
        <v>0.8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279</v>
      </c>
      <c r="B44" s="64">
        <v>13.8</v>
      </c>
      <c r="C44" s="64">
        <v>48.44</v>
      </c>
      <c r="D44" s="64">
        <v>35</v>
      </c>
      <c r="E44" s="64">
        <v>6.12</v>
      </c>
      <c r="F44" s="64">
        <v>2.13</v>
      </c>
      <c r="G44" s="64">
        <v>72.319999999999993</v>
      </c>
      <c r="H44" s="64">
        <v>30.48</v>
      </c>
      <c r="I44" s="210" t="s">
        <v>43</v>
      </c>
      <c r="J44" s="64">
        <v>1.5</v>
      </c>
      <c r="K44" s="64">
        <v>123.79</v>
      </c>
      <c r="L44" s="64">
        <v>16.47</v>
      </c>
      <c r="M44" s="64">
        <v>59.01</v>
      </c>
      <c r="N44" s="64">
        <v>381.6</v>
      </c>
      <c r="O44" s="64">
        <v>0</v>
      </c>
      <c r="P44" s="64">
        <v>0.79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280</v>
      </c>
      <c r="B45" s="64">
        <v>12.97</v>
      </c>
      <c r="C45" s="64">
        <v>48.61</v>
      </c>
      <c r="D45" s="64">
        <v>34.42</v>
      </c>
      <c r="E45" s="64">
        <v>5.91</v>
      </c>
      <c r="F45" s="64">
        <v>2.13</v>
      </c>
      <c r="G45" s="64">
        <v>72.319999999999993</v>
      </c>
      <c r="H45" s="64">
        <v>30.48</v>
      </c>
      <c r="I45" s="210" t="s">
        <v>43</v>
      </c>
      <c r="J45" s="64">
        <v>0.94</v>
      </c>
      <c r="K45" s="64">
        <v>114.86</v>
      </c>
      <c r="L45" s="64">
        <v>16.989999999999998</v>
      </c>
      <c r="M45" s="64">
        <v>57.41</v>
      </c>
      <c r="N45" s="64">
        <v>417.7</v>
      </c>
      <c r="O45" s="64">
        <v>0</v>
      </c>
      <c r="P45" s="64">
        <v>0.78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281</v>
      </c>
      <c r="B46" s="64">
        <v>11.91</v>
      </c>
      <c r="C46" s="64">
        <v>48.94</v>
      </c>
      <c r="D46" s="64">
        <v>33.74</v>
      </c>
      <c r="E46" s="64">
        <v>5.57</v>
      </c>
      <c r="F46" s="64">
        <v>2.13</v>
      </c>
      <c r="G46" s="64">
        <v>72.319999999999993</v>
      </c>
      <c r="H46" s="64">
        <v>30.48</v>
      </c>
      <c r="I46" s="210" t="s">
        <v>43</v>
      </c>
      <c r="J46" s="64">
        <v>0.73</v>
      </c>
      <c r="K46" s="64">
        <v>215.45</v>
      </c>
      <c r="L46" s="64">
        <v>18.829999999999998</v>
      </c>
      <c r="M46" s="64">
        <v>51.37</v>
      </c>
      <c r="N46" s="64">
        <v>445.6</v>
      </c>
      <c r="O46" s="64">
        <v>0</v>
      </c>
      <c r="P46" s="64">
        <v>0.78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282</v>
      </c>
      <c r="B47" s="64">
        <v>10.81</v>
      </c>
      <c r="C47" s="64">
        <v>49.5</v>
      </c>
      <c r="D47" s="64">
        <v>33.15</v>
      </c>
      <c r="E47" s="64">
        <v>5.76</v>
      </c>
      <c r="F47" s="64">
        <v>2.13</v>
      </c>
      <c r="G47" s="64">
        <v>68.22</v>
      </c>
      <c r="H47" s="64">
        <v>28.72</v>
      </c>
      <c r="I47" s="210" t="s">
        <v>43</v>
      </c>
      <c r="J47" s="64">
        <v>1.74</v>
      </c>
      <c r="K47" s="64">
        <v>146.52000000000001</v>
      </c>
      <c r="L47" s="64">
        <v>18.809999999999999</v>
      </c>
      <c r="M47" s="64">
        <v>50.82</v>
      </c>
      <c r="N47" s="64">
        <v>436.9</v>
      </c>
      <c r="O47" s="64">
        <v>0</v>
      </c>
      <c r="P47" s="64">
        <v>0.77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283</v>
      </c>
      <c r="B48" s="64">
        <v>9.8800000000000008</v>
      </c>
      <c r="C48" s="64">
        <v>49.88</v>
      </c>
      <c r="D48" s="64">
        <v>32.61</v>
      </c>
      <c r="E48" s="64">
        <v>5.75</v>
      </c>
      <c r="F48" s="64">
        <v>2.13</v>
      </c>
      <c r="G48" s="64">
        <v>66.459999999999994</v>
      </c>
      <c r="H48" s="64">
        <v>27.97</v>
      </c>
      <c r="I48" s="210" t="s">
        <v>43</v>
      </c>
      <c r="J48" s="64">
        <v>1.58</v>
      </c>
      <c r="K48" s="64">
        <v>280.04000000000002</v>
      </c>
      <c r="L48" s="64">
        <v>20.46</v>
      </c>
      <c r="M48" s="64">
        <v>47.59</v>
      </c>
      <c r="N48" s="64">
        <v>389.3</v>
      </c>
      <c r="O48" s="64">
        <v>0</v>
      </c>
      <c r="P48" s="64">
        <v>0.77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284</v>
      </c>
      <c r="B49" s="64">
        <v>9.2100000000000009</v>
      </c>
      <c r="C49" s="64">
        <v>50.91</v>
      </c>
      <c r="D49" s="64">
        <v>32.61</v>
      </c>
      <c r="E49" s="64">
        <v>6.01</v>
      </c>
      <c r="F49" s="64">
        <v>2.13</v>
      </c>
      <c r="G49" s="64">
        <v>66.459999999999994</v>
      </c>
      <c r="H49" s="64">
        <v>27.97</v>
      </c>
      <c r="I49" s="210" t="s">
        <v>43</v>
      </c>
      <c r="J49" s="64">
        <v>0.22</v>
      </c>
      <c r="K49" s="64">
        <v>236.56</v>
      </c>
      <c r="L49" s="64">
        <v>19.670000000000002</v>
      </c>
      <c r="M49" s="64">
        <v>48.04</v>
      </c>
      <c r="N49" s="64">
        <v>366.5</v>
      </c>
      <c r="O49" s="64">
        <v>0</v>
      </c>
      <c r="P49" s="64">
        <v>0.76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285</v>
      </c>
      <c r="B50" s="64">
        <v>8.42</v>
      </c>
      <c r="C50" s="64">
        <v>51.35</v>
      </c>
      <c r="D50" s="64">
        <v>32.200000000000003</v>
      </c>
      <c r="E50" s="64">
        <v>5.57</v>
      </c>
      <c r="F50" s="64">
        <v>2.13</v>
      </c>
      <c r="G50" s="64">
        <v>66.459999999999994</v>
      </c>
      <c r="H50" s="64">
        <v>27.97</v>
      </c>
      <c r="I50" s="210" t="s">
        <v>43</v>
      </c>
      <c r="J50" s="64">
        <v>0.97</v>
      </c>
      <c r="K50" s="64">
        <v>197.91</v>
      </c>
      <c r="L50" s="64">
        <v>18.77</v>
      </c>
      <c r="M50" s="64">
        <v>49.53</v>
      </c>
      <c r="N50" s="64">
        <v>467</v>
      </c>
      <c r="O50" s="64">
        <v>0</v>
      </c>
      <c r="P50" s="64">
        <v>0.76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286</v>
      </c>
      <c r="B51" s="64">
        <v>7.26</v>
      </c>
      <c r="C51" s="64">
        <v>51.29</v>
      </c>
      <c r="D51" s="64">
        <v>31.24</v>
      </c>
      <c r="E51" s="64">
        <v>5.3</v>
      </c>
      <c r="F51" s="64">
        <v>2.13</v>
      </c>
      <c r="G51" s="64">
        <v>63.22</v>
      </c>
      <c r="H51" s="64">
        <v>27.86</v>
      </c>
      <c r="I51" s="210" t="s">
        <v>43</v>
      </c>
      <c r="J51" s="64">
        <v>1.07</v>
      </c>
      <c r="K51" s="64">
        <v>135.79</v>
      </c>
      <c r="L51" s="64">
        <v>19.88</v>
      </c>
      <c r="M51" s="64">
        <v>46.5</v>
      </c>
      <c r="N51" s="64">
        <v>440.7</v>
      </c>
      <c r="O51" s="64">
        <v>0</v>
      </c>
      <c r="P51" s="64">
        <v>0.74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287</v>
      </c>
      <c r="B52" s="64">
        <v>6.27</v>
      </c>
      <c r="C52" s="64">
        <v>50.84</v>
      </c>
      <c r="D52" s="64">
        <v>30.22</v>
      </c>
      <c r="E52" s="64">
        <v>5.13</v>
      </c>
      <c r="F52" s="64">
        <v>2.13</v>
      </c>
      <c r="G52" s="64">
        <v>61.84</v>
      </c>
      <c r="H52" s="64">
        <v>27.81</v>
      </c>
      <c r="I52" s="210" t="s">
        <v>43</v>
      </c>
      <c r="J52" s="64">
        <v>1.4</v>
      </c>
      <c r="K52" s="64">
        <v>156.16999999999999</v>
      </c>
      <c r="L52" s="64">
        <v>20.48</v>
      </c>
      <c r="M52" s="64">
        <v>44.87</v>
      </c>
      <c r="N52" s="64">
        <v>544.29999999999995</v>
      </c>
      <c r="O52" s="64">
        <v>0</v>
      </c>
      <c r="P52" s="64">
        <v>0.73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288</v>
      </c>
      <c r="B53" s="215" t="s">
        <v>32</v>
      </c>
      <c r="C53" s="215" t="s">
        <v>32</v>
      </c>
      <c r="D53" s="215" t="s">
        <v>32</v>
      </c>
      <c r="E53" s="215" t="s">
        <v>32</v>
      </c>
      <c r="F53" s="215" t="s">
        <v>32</v>
      </c>
      <c r="G53" s="215" t="s">
        <v>32</v>
      </c>
      <c r="H53" s="215" t="s">
        <v>32</v>
      </c>
      <c r="I53" s="215" t="s">
        <v>32</v>
      </c>
      <c r="J53" s="215" t="s">
        <v>32</v>
      </c>
      <c r="K53" s="215" t="s">
        <v>32</v>
      </c>
      <c r="L53" s="215" t="s">
        <v>32</v>
      </c>
      <c r="M53" s="215" t="s">
        <v>32</v>
      </c>
      <c r="N53" s="215" t="s">
        <v>32</v>
      </c>
      <c r="O53" s="215" t="s">
        <v>32</v>
      </c>
      <c r="P53" s="215" t="s">
        <v>32</v>
      </c>
      <c r="Q53" s="215" t="s">
        <v>32</v>
      </c>
      <c r="R53" s="198"/>
      <c r="S53" s="198"/>
      <c r="T53" s="198"/>
      <c r="U53" s="198"/>
    </row>
    <row r="54" spans="1:21" s="12" customFormat="1" x14ac:dyDescent="0.25">
      <c r="A54" s="214" t="s">
        <v>289</v>
      </c>
      <c r="B54" s="215" t="s">
        <v>32</v>
      </c>
      <c r="C54" s="215" t="s">
        <v>32</v>
      </c>
      <c r="D54" s="215" t="s">
        <v>32</v>
      </c>
      <c r="E54" s="215" t="s">
        <v>32</v>
      </c>
      <c r="F54" s="215" t="s">
        <v>32</v>
      </c>
      <c r="G54" s="215" t="s">
        <v>32</v>
      </c>
      <c r="H54" s="215" t="s">
        <v>32</v>
      </c>
      <c r="I54" s="215" t="s">
        <v>32</v>
      </c>
      <c r="J54" s="215" t="s">
        <v>32</v>
      </c>
      <c r="K54" s="215" t="s">
        <v>32</v>
      </c>
      <c r="L54" s="215" t="s">
        <v>32</v>
      </c>
      <c r="M54" s="215" t="s">
        <v>32</v>
      </c>
      <c r="N54" s="215" t="s">
        <v>32</v>
      </c>
      <c r="O54" s="215" t="s">
        <v>32</v>
      </c>
      <c r="P54" s="215" t="s">
        <v>32</v>
      </c>
      <c r="Q54" s="215" t="s">
        <v>32</v>
      </c>
      <c r="R54" s="198"/>
      <c r="S54" s="198"/>
      <c r="T54" s="198"/>
      <c r="U54" s="198"/>
    </row>
    <row r="55" spans="1:21" s="12" customFormat="1" x14ac:dyDescent="0.25">
      <c r="A55" s="214" t="s">
        <v>290</v>
      </c>
      <c r="B55" s="215" t="s">
        <v>32</v>
      </c>
      <c r="C55" s="215" t="s">
        <v>32</v>
      </c>
      <c r="D55" s="215" t="s">
        <v>32</v>
      </c>
      <c r="E55" s="215" t="s">
        <v>32</v>
      </c>
      <c r="F55" s="215" t="s">
        <v>32</v>
      </c>
      <c r="G55" s="215" t="s">
        <v>32</v>
      </c>
      <c r="H55" s="215" t="s">
        <v>32</v>
      </c>
      <c r="I55" s="215" t="s">
        <v>32</v>
      </c>
      <c r="J55" s="215" t="s">
        <v>32</v>
      </c>
      <c r="K55" s="215" t="s">
        <v>32</v>
      </c>
      <c r="L55" s="215" t="s">
        <v>32</v>
      </c>
      <c r="M55" s="215" t="s">
        <v>32</v>
      </c>
      <c r="N55" s="215" t="s">
        <v>32</v>
      </c>
      <c r="O55" s="215" t="s">
        <v>32</v>
      </c>
      <c r="P55" s="215" t="s">
        <v>32</v>
      </c>
      <c r="Q55" s="215" t="s">
        <v>32</v>
      </c>
      <c r="R55" s="198"/>
      <c r="S55" s="198"/>
      <c r="T55" s="198"/>
      <c r="U55" s="198"/>
    </row>
    <row r="56" spans="1:21" s="12" customFormat="1" x14ac:dyDescent="0.25">
      <c r="A56" s="214" t="s">
        <v>291</v>
      </c>
      <c r="B56" s="215" t="s">
        <v>32</v>
      </c>
      <c r="C56" s="215" t="s">
        <v>32</v>
      </c>
      <c r="D56" s="215" t="s">
        <v>32</v>
      </c>
      <c r="E56" s="215" t="s">
        <v>32</v>
      </c>
      <c r="F56" s="215" t="s">
        <v>32</v>
      </c>
      <c r="G56" s="215" t="s">
        <v>32</v>
      </c>
      <c r="H56" s="215" t="s">
        <v>32</v>
      </c>
      <c r="I56" s="215" t="s">
        <v>32</v>
      </c>
      <c r="J56" s="215" t="s">
        <v>32</v>
      </c>
      <c r="K56" s="215" t="s">
        <v>32</v>
      </c>
      <c r="L56" s="215" t="s">
        <v>32</v>
      </c>
      <c r="M56" s="215" t="s">
        <v>32</v>
      </c>
      <c r="N56" s="215" t="s">
        <v>32</v>
      </c>
      <c r="O56" s="215" t="s">
        <v>32</v>
      </c>
      <c r="P56" s="215" t="s">
        <v>32</v>
      </c>
      <c r="Q56" s="215" t="s">
        <v>32</v>
      </c>
      <c r="R56" s="198"/>
      <c r="S56" s="198"/>
      <c r="T56" s="198"/>
      <c r="U56" s="198"/>
    </row>
    <row r="57" spans="1:21" s="12" customFormat="1" x14ac:dyDescent="0.25">
      <c r="A57" s="214" t="s">
        <v>292</v>
      </c>
      <c r="B57" s="215" t="s">
        <v>32</v>
      </c>
      <c r="C57" s="215" t="s">
        <v>32</v>
      </c>
      <c r="D57" s="215" t="s">
        <v>32</v>
      </c>
      <c r="E57" s="215" t="s">
        <v>32</v>
      </c>
      <c r="F57" s="215" t="s">
        <v>32</v>
      </c>
      <c r="G57" s="215" t="s">
        <v>32</v>
      </c>
      <c r="H57" s="215" t="s">
        <v>32</v>
      </c>
      <c r="I57" s="215" t="s">
        <v>32</v>
      </c>
      <c r="J57" s="215" t="s">
        <v>32</v>
      </c>
      <c r="K57" s="215" t="s">
        <v>32</v>
      </c>
      <c r="L57" s="215" t="s">
        <v>32</v>
      </c>
      <c r="M57" s="215" t="s">
        <v>32</v>
      </c>
      <c r="N57" s="215" t="s">
        <v>32</v>
      </c>
      <c r="O57" s="215" t="s">
        <v>32</v>
      </c>
      <c r="P57" s="215" t="s">
        <v>32</v>
      </c>
      <c r="Q57" s="215" t="s">
        <v>32</v>
      </c>
      <c r="R57" s="198"/>
      <c r="S57" s="198"/>
      <c r="T57" s="198"/>
      <c r="U57" s="198"/>
    </row>
    <row r="58" spans="1:21" s="12" customFormat="1" x14ac:dyDescent="0.25">
      <c r="A58" s="214" t="s">
        <v>293</v>
      </c>
      <c r="B58" s="215" t="s">
        <v>32</v>
      </c>
      <c r="C58" s="215" t="s">
        <v>32</v>
      </c>
      <c r="D58" s="215" t="s">
        <v>32</v>
      </c>
      <c r="E58" s="215" t="s">
        <v>32</v>
      </c>
      <c r="F58" s="215" t="s">
        <v>32</v>
      </c>
      <c r="G58" s="215" t="s">
        <v>32</v>
      </c>
      <c r="H58" s="215" t="s">
        <v>32</v>
      </c>
      <c r="I58" s="215" t="s">
        <v>32</v>
      </c>
      <c r="J58" s="215" t="s">
        <v>32</v>
      </c>
      <c r="K58" s="215" t="s">
        <v>32</v>
      </c>
      <c r="L58" s="215" t="s">
        <v>32</v>
      </c>
      <c r="M58" s="215" t="s">
        <v>32</v>
      </c>
      <c r="N58" s="215" t="s">
        <v>32</v>
      </c>
      <c r="O58" s="215" t="s">
        <v>32</v>
      </c>
      <c r="P58" s="215" t="s">
        <v>32</v>
      </c>
      <c r="Q58" s="215" t="s">
        <v>32</v>
      </c>
      <c r="R58" s="198"/>
      <c r="S58" s="198"/>
      <c r="T58" s="198"/>
      <c r="U58" s="198"/>
    </row>
    <row r="59" spans="1:21" s="12" customFormat="1" x14ac:dyDescent="0.25">
      <c r="A59" s="214" t="s">
        <v>294</v>
      </c>
      <c r="B59" s="215" t="s">
        <v>32</v>
      </c>
      <c r="C59" s="215" t="s">
        <v>32</v>
      </c>
      <c r="D59" s="215" t="s">
        <v>32</v>
      </c>
      <c r="E59" s="215" t="s">
        <v>32</v>
      </c>
      <c r="F59" s="215" t="s">
        <v>32</v>
      </c>
      <c r="G59" s="215" t="s">
        <v>32</v>
      </c>
      <c r="H59" s="215" t="s">
        <v>32</v>
      </c>
      <c r="I59" s="215" t="s">
        <v>32</v>
      </c>
      <c r="J59" s="215" t="s">
        <v>32</v>
      </c>
      <c r="K59" s="215" t="s">
        <v>32</v>
      </c>
      <c r="L59" s="215" t="s">
        <v>32</v>
      </c>
      <c r="M59" s="215" t="s">
        <v>32</v>
      </c>
      <c r="N59" s="215" t="s">
        <v>32</v>
      </c>
      <c r="O59" s="215" t="s">
        <v>32</v>
      </c>
      <c r="P59" s="215" t="s">
        <v>32</v>
      </c>
      <c r="Q59" s="215" t="s">
        <v>32</v>
      </c>
      <c r="R59" s="198"/>
      <c r="S59" s="198"/>
      <c r="T59" s="198"/>
      <c r="U59" s="198"/>
    </row>
    <row r="60" spans="1:21" s="12" customFormat="1" x14ac:dyDescent="0.25">
      <c r="A60" s="214" t="s">
        <v>295</v>
      </c>
      <c r="B60" s="215" t="s">
        <v>32</v>
      </c>
      <c r="C60" s="215" t="s">
        <v>32</v>
      </c>
      <c r="D60" s="215" t="s">
        <v>32</v>
      </c>
      <c r="E60" s="215" t="s">
        <v>32</v>
      </c>
      <c r="F60" s="215" t="s">
        <v>32</v>
      </c>
      <c r="G60" s="215" t="s">
        <v>32</v>
      </c>
      <c r="H60" s="215" t="s">
        <v>32</v>
      </c>
      <c r="I60" s="215" t="s">
        <v>32</v>
      </c>
      <c r="J60" s="215" t="s">
        <v>32</v>
      </c>
      <c r="K60" s="215" t="s">
        <v>32</v>
      </c>
      <c r="L60" s="215" t="s">
        <v>32</v>
      </c>
      <c r="M60" s="215" t="s">
        <v>32</v>
      </c>
      <c r="N60" s="215" t="s">
        <v>32</v>
      </c>
      <c r="O60" s="215" t="s">
        <v>32</v>
      </c>
      <c r="P60" s="215" t="s">
        <v>32</v>
      </c>
      <c r="Q60" s="215" t="s">
        <v>32</v>
      </c>
      <c r="R60" s="198"/>
      <c r="S60" s="198"/>
      <c r="T60" s="198"/>
      <c r="U60" s="198"/>
    </row>
    <row r="61" spans="1:21" s="12" customFormat="1" x14ac:dyDescent="0.25">
      <c r="A61" s="214" t="s">
        <v>296</v>
      </c>
      <c r="B61" s="215" t="s">
        <v>32</v>
      </c>
      <c r="C61" s="215" t="s">
        <v>32</v>
      </c>
      <c r="D61" s="215" t="s">
        <v>32</v>
      </c>
      <c r="E61" s="215" t="s">
        <v>32</v>
      </c>
      <c r="F61" s="215" t="s">
        <v>32</v>
      </c>
      <c r="G61" s="215" t="s">
        <v>32</v>
      </c>
      <c r="H61" s="215" t="s">
        <v>32</v>
      </c>
      <c r="I61" s="215" t="s">
        <v>32</v>
      </c>
      <c r="J61" s="215" t="s">
        <v>32</v>
      </c>
      <c r="K61" s="215" t="s">
        <v>32</v>
      </c>
      <c r="L61" s="215" t="s">
        <v>32</v>
      </c>
      <c r="M61" s="215" t="s">
        <v>32</v>
      </c>
      <c r="N61" s="215" t="s">
        <v>32</v>
      </c>
      <c r="O61" s="215" t="s">
        <v>32</v>
      </c>
      <c r="P61" s="215" t="s">
        <v>32</v>
      </c>
      <c r="Q61" s="215" t="s">
        <v>32</v>
      </c>
      <c r="R61" s="198"/>
      <c r="S61" s="198"/>
      <c r="T61" s="198"/>
      <c r="U61" s="198"/>
    </row>
    <row r="62" spans="1:21" s="12" customFormat="1" x14ac:dyDescent="0.25">
      <c r="A62" s="214" t="s">
        <v>297</v>
      </c>
      <c r="B62" s="215" t="s">
        <v>32</v>
      </c>
      <c r="C62" s="215" t="s">
        <v>32</v>
      </c>
      <c r="D62" s="215" t="s">
        <v>32</v>
      </c>
      <c r="E62" s="215" t="s">
        <v>32</v>
      </c>
      <c r="F62" s="215" t="s">
        <v>32</v>
      </c>
      <c r="G62" s="215" t="s">
        <v>32</v>
      </c>
      <c r="H62" s="215" t="s">
        <v>32</v>
      </c>
      <c r="I62" s="215" t="s">
        <v>32</v>
      </c>
      <c r="J62" s="215" t="s">
        <v>32</v>
      </c>
      <c r="K62" s="215" t="s">
        <v>32</v>
      </c>
      <c r="L62" s="215" t="s">
        <v>32</v>
      </c>
      <c r="M62" s="215" t="s">
        <v>32</v>
      </c>
      <c r="N62" s="215" t="s">
        <v>32</v>
      </c>
      <c r="O62" s="215" t="s">
        <v>32</v>
      </c>
      <c r="P62" s="215" t="s">
        <v>32</v>
      </c>
      <c r="Q62" s="215" t="s">
        <v>32</v>
      </c>
      <c r="R62" s="198"/>
      <c r="S62" s="198"/>
      <c r="T62" s="198"/>
      <c r="U62" s="198"/>
    </row>
    <row r="63" spans="1:21" s="12" customFormat="1" x14ac:dyDescent="0.25">
      <c r="A63" s="214" t="s">
        <v>298</v>
      </c>
      <c r="B63" s="215" t="s">
        <v>32</v>
      </c>
      <c r="C63" s="215" t="s">
        <v>32</v>
      </c>
      <c r="D63" s="215" t="s">
        <v>32</v>
      </c>
      <c r="E63" s="215" t="s">
        <v>32</v>
      </c>
      <c r="F63" s="215" t="s">
        <v>32</v>
      </c>
      <c r="G63" s="215" t="s">
        <v>32</v>
      </c>
      <c r="H63" s="215" t="s">
        <v>32</v>
      </c>
      <c r="I63" s="215" t="s">
        <v>32</v>
      </c>
      <c r="J63" s="215" t="s">
        <v>32</v>
      </c>
      <c r="K63" s="215" t="s">
        <v>32</v>
      </c>
      <c r="L63" s="215" t="s">
        <v>32</v>
      </c>
      <c r="M63" s="215" t="s">
        <v>32</v>
      </c>
      <c r="N63" s="215" t="s">
        <v>32</v>
      </c>
      <c r="O63" s="215" t="s">
        <v>32</v>
      </c>
      <c r="P63" s="215" t="s">
        <v>32</v>
      </c>
      <c r="Q63" s="215" t="s">
        <v>32</v>
      </c>
      <c r="R63" s="198"/>
      <c r="S63" s="198"/>
      <c r="T63" s="198"/>
      <c r="U63" s="198"/>
    </row>
    <row r="64" spans="1:21" s="12" customFormat="1" x14ac:dyDescent="0.25">
      <c r="A64" s="214" t="s">
        <v>299</v>
      </c>
      <c r="B64" s="215" t="s">
        <v>32</v>
      </c>
      <c r="C64" s="215" t="s">
        <v>32</v>
      </c>
      <c r="D64" s="215" t="s">
        <v>32</v>
      </c>
      <c r="E64" s="215" t="s">
        <v>32</v>
      </c>
      <c r="F64" s="215" t="s">
        <v>32</v>
      </c>
      <c r="G64" s="215" t="s">
        <v>32</v>
      </c>
      <c r="H64" s="215" t="s">
        <v>32</v>
      </c>
      <c r="I64" s="215" t="s">
        <v>32</v>
      </c>
      <c r="J64" s="215" t="s">
        <v>32</v>
      </c>
      <c r="K64" s="215" t="s">
        <v>32</v>
      </c>
      <c r="L64" s="215" t="s">
        <v>32</v>
      </c>
      <c r="M64" s="215" t="s">
        <v>32</v>
      </c>
      <c r="N64" s="215" t="s">
        <v>32</v>
      </c>
      <c r="O64" s="215" t="s">
        <v>32</v>
      </c>
      <c r="P64" s="215" t="s">
        <v>32</v>
      </c>
      <c r="Q64" s="215" t="s">
        <v>32</v>
      </c>
      <c r="R64" s="198"/>
      <c r="S64" s="198"/>
      <c r="T64" s="198"/>
      <c r="U64" s="198"/>
    </row>
    <row r="65" spans="1:21" s="12" customFormat="1" x14ac:dyDescent="0.25">
      <c r="A65" s="214" t="s">
        <v>300</v>
      </c>
      <c r="B65" s="215" t="s">
        <v>32</v>
      </c>
      <c r="C65" s="215" t="s">
        <v>32</v>
      </c>
      <c r="D65" s="215" t="s">
        <v>32</v>
      </c>
      <c r="E65" s="215" t="s">
        <v>32</v>
      </c>
      <c r="F65" s="215" t="s">
        <v>32</v>
      </c>
      <c r="G65" s="215" t="s">
        <v>32</v>
      </c>
      <c r="H65" s="215" t="s">
        <v>32</v>
      </c>
      <c r="I65" s="215" t="s">
        <v>32</v>
      </c>
      <c r="J65" s="215" t="s">
        <v>32</v>
      </c>
      <c r="K65" s="215" t="s">
        <v>32</v>
      </c>
      <c r="L65" s="215" t="s">
        <v>32</v>
      </c>
      <c r="M65" s="215" t="s">
        <v>32</v>
      </c>
      <c r="N65" s="215" t="s">
        <v>32</v>
      </c>
      <c r="O65" s="215" t="s">
        <v>32</v>
      </c>
      <c r="P65" s="215" t="s">
        <v>32</v>
      </c>
      <c r="Q65" s="215" t="s">
        <v>32</v>
      </c>
      <c r="R65" s="198"/>
      <c r="S65" s="198"/>
      <c r="T65" s="198"/>
      <c r="U65" s="198"/>
    </row>
    <row r="66" spans="1:21" s="12" customFormat="1" x14ac:dyDescent="0.25">
      <c r="A66" s="214" t="s">
        <v>301</v>
      </c>
      <c r="B66" s="215" t="s">
        <v>32</v>
      </c>
      <c r="C66" s="215" t="s">
        <v>32</v>
      </c>
      <c r="D66" s="215" t="s">
        <v>32</v>
      </c>
      <c r="E66" s="215" t="s">
        <v>32</v>
      </c>
      <c r="F66" s="215" t="s">
        <v>32</v>
      </c>
      <c r="G66" s="215" t="s">
        <v>32</v>
      </c>
      <c r="H66" s="215" t="s">
        <v>32</v>
      </c>
      <c r="I66" s="215" t="s">
        <v>32</v>
      </c>
      <c r="J66" s="215" t="s">
        <v>32</v>
      </c>
      <c r="K66" s="215" t="s">
        <v>32</v>
      </c>
      <c r="L66" s="215" t="s">
        <v>32</v>
      </c>
      <c r="M66" s="215" t="s">
        <v>32</v>
      </c>
      <c r="N66" s="215" t="s">
        <v>32</v>
      </c>
      <c r="O66" s="215" t="s">
        <v>32</v>
      </c>
      <c r="P66" s="215" t="s">
        <v>32</v>
      </c>
      <c r="Q66" s="215" t="s">
        <v>32</v>
      </c>
      <c r="R66" s="198"/>
      <c r="S66" s="198"/>
      <c r="T66" s="198"/>
      <c r="U66" s="198"/>
    </row>
    <row r="67" spans="1:21" s="12" customFormat="1" x14ac:dyDescent="0.25">
      <c r="A67" s="214" t="s">
        <v>302</v>
      </c>
      <c r="B67" s="215" t="s">
        <v>32</v>
      </c>
      <c r="C67" s="215" t="s">
        <v>32</v>
      </c>
      <c r="D67" s="215" t="s">
        <v>32</v>
      </c>
      <c r="E67" s="215" t="s">
        <v>32</v>
      </c>
      <c r="F67" s="215" t="s">
        <v>32</v>
      </c>
      <c r="G67" s="215" t="s">
        <v>32</v>
      </c>
      <c r="H67" s="215" t="s">
        <v>32</v>
      </c>
      <c r="I67" s="215" t="s">
        <v>32</v>
      </c>
      <c r="J67" s="215" t="s">
        <v>32</v>
      </c>
      <c r="K67" s="215" t="s">
        <v>32</v>
      </c>
      <c r="L67" s="215" t="s">
        <v>32</v>
      </c>
      <c r="M67" s="215" t="s">
        <v>32</v>
      </c>
      <c r="N67" s="215" t="s">
        <v>32</v>
      </c>
      <c r="O67" s="215" t="s">
        <v>32</v>
      </c>
      <c r="P67" s="215" t="s">
        <v>32</v>
      </c>
      <c r="Q67" s="215" t="s">
        <v>32</v>
      </c>
      <c r="R67" s="198"/>
      <c r="S67" s="198"/>
      <c r="T67" s="198"/>
      <c r="U67" s="198"/>
    </row>
    <row r="68" spans="1:21" s="12" customFormat="1" x14ac:dyDescent="0.25">
      <c r="A68" s="214" t="s">
        <v>303</v>
      </c>
      <c r="B68" s="215" t="s">
        <v>32</v>
      </c>
      <c r="C68" s="215" t="s">
        <v>32</v>
      </c>
      <c r="D68" s="215" t="s">
        <v>32</v>
      </c>
      <c r="E68" s="215" t="s">
        <v>32</v>
      </c>
      <c r="F68" s="215" t="s">
        <v>32</v>
      </c>
      <c r="G68" s="215" t="s">
        <v>32</v>
      </c>
      <c r="H68" s="215" t="s">
        <v>32</v>
      </c>
      <c r="I68" s="215" t="s">
        <v>32</v>
      </c>
      <c r="J68" s="215" t="s">
        <v>32</v>
      </c>
      <c r="K68" s="215" t="s">
        <v>32</v>
      </c>
      <c r="L68" s="215" t="s">
        <v>32</v>
      </c>
      <c r="M68" s="215" t="s">
        <v>32</v>
      </c>
      <c r="N68" s="215" t="s">
        <v>32</v>
      </c>
      <c r="O68" s="215" t="s">
        <v>32</v>
      </c>
      <c r="P68" s="215" t="s">
        <v>32</v>
      </c>
      <c r="Q68" s="215" t="s">
        <v>32</v>
      </c>
      <c r="R68" s="198"/>
      <c r="S68" s="198"/>
      <c r="T68" s="198"/>
      <c r="U68" s="198"/>
    </row>
    <row r="69" spans="1:21" s="12" customFormat="1" x14ac:dyDescent="0.25">
      <c r="A69" s="214" t="s">
        <v>304</v>
      </c>
      <c r="B69" s="215" t="s">
        <v>32</v>
      </c>
      <c r="C69" s="215" t="s">
        <v>32</v>
      </c>
      <c r="D69" s="215" t="s">
        <v>32</v>
      </c>
      <c r="E69" s="215" t="s">
        <v>32</v>
      </c>
      <c r="F69" s="215" t="s">
        <v>32</v>
      </c>
      <c r="G69" s="215" t="s">
        <v>32</v>
      </c>
      <c r="H69" s="215" t="s">
        <v>32</v>
      </c>
      <c r="I69" s="215" t="s">
        <v>32</v>
      </c>
      <c r="J69" s="215" t="s">
        <v>32</v>
      </c>
      <c r="K69" s="215" t="s">
        <v>32</v>
      </c>
      <c r="L69" s="215" t="s">
        <v>32</v>
      </c>
      <c r="M69" s="215" t="s">
        <v>32</v>
      </c>
      <c r="N69" s="215" t="s">
        <v>32</v>
      </c>
      <c r="O69" s="215" t="s">
        <v>32</v>
      </c>
      <c r="P69" s="215" t="s">
        <v>32</v>
      </c>
      <c r="Q69" s="215" t="s">
        <v>32</v>
      </c>
      <c r="R69" s="198"/>
      <c r="S69" s="198"/>
      <c r="T69" s="198"/>
      <c r="U69" s="198"/>
    </row>
    <row r="70" spans="1:21" s="12" customFormat="1" x14ac:dyDescent="0.25">
      <c r="A70" s="214" t="s">
        <v>305</v>
      </c>
      <c r="B70" s="215" t="s">
        <v>32</v>
      </c>
      <c r="C70" s="215" t="s">
        <v>32</v>
      </c>
      <c r="D70" s="215" t="s">
        <v>32</v>
      </c>
      <c r="E70" s="215" t="s">
        <v>32</v>
      </c>
      <c r="F70" s="215" t="s">
        <v>32</v>
      </c>
      <c r="G70" s="215" t="s">
        <v>32</v>
      </c>
      <c r="H70" s="215" t="s">
        <v>32</v>
      </c>
      <c r="I70" s="215" t="s">
        <v>32</v>
      </c>
      <c r="J70" s="215" t="s">
        <v>32</v>
      </c>
      <c r="K70" s="215" t="s">
        <v>32</v>
      </c>
      <c r="L70" s="215" t="s">
        <v>32</v>
      </c>
      <c r="M70" s="215" t="s">
        <v>32</v>
      </c>
      <c r="N70" s="215" t="s">
        <v>32</v>
      </c>
      <c r="O70" s="215" t="s">
        <v>32</v>
      </c>
      <c r="P70" s="215" t="s">
        <v>32</v>
      </c>
      <c r="Q70" s="215" t="s">
        <v>32</v>
      </c>
      <c r="R70" s="198"/>
      <c r="S70" s="198"/>
      <c r="T70" s="198"/>
      <c r="U70" s="198"/>
    </row>
    <row r="71" spans="1:21" s="12" customFormat="1" x14ac:dyDescent="0.25">
      <c r="A71" s="214" t="s">
        <v>306</v>
      </c>
      <c r="B71" s="215" t="s">
        <v>32</v>
      </c>
      <c r="C71" s="215" t="s">
        <v>32</v>
      </c>
      <c r="D71" s="215" t="s">
        <v>32</v>
      </c>
      <c r="E71" s="215" t="s">
        <v>32</v>
      </c>
      <c r="F71" s="215" t="s">
        <v>32</v>
      </c>
      <c r="G71" s="215" t="s">
        <v>32</v>
      </c>
      <c r="H71" s="215" t="s">
        <v>32</v>
      </c>
      <c r="I71" s="215" t="s">
        <v>32</v>
      </c>
      <c r="J71" s="215" t="s">
        <v>32</v>
      </c>
      <c r="K71" s="215" t="s">
        <v>32</v>
      </c>
      <c r="L71" s="215" t="s">
        <v>32</v>
      </c>
      <c r="M71" s="215" t="s">
        <v>32</v>
      </c>
      <c r="N71" s="215" t="s">
        <v>32</v>
      </c>
      <c r="O71" s="215" t="s">
        <v>32</v>
      </c>
      <c r="P71" s="215" t="s">
        <v>32</v>
      </c>
      <c r="Q71" s="215" t="s">
        <v>32</v>
      </c>
      <c r="R71" s="198"/>
      <c r="S71" s="198"/>
      <c r="T71" s="198"/>
      <c r="U71" s="198"/>
    </row>
    <row r="72" spans="1:21" s="12" customFormat="1" x14ac:dyDescent="0.25">
      <c r="A72" s="214" t="s">
        <v>307</v>
      </c>
      <c r="B72" s="215" t="s">
        <v>32</v>
      </c>
      <c r="C72" s="215" t="s">
        <v>32</v>
      </c>
      <c r="D72" s="215" t="s">
        <v>32</v>
      </c>
      <c r="E72" s="215" t="s">
        <v>32</v>
      </c>
      <c r="F72" s="215" t="s">
        <v>32</v>
      </c>
      <c r="G72" s="215" t="s">
        <v>32</v>
      </c>
      <c r="H72" s="215" t="s">
        <v>32</v>
      </c>
      <c r="I72" s="215" t="s">
        <v>32</v>
      </c>
      <c r="J72" s="215" t="s">
        <v>32</v>
      </c>
      <c r="K72" s="215" t="s">
        <v>32</v>
      </c>
      <c r="L72" s="215" t="s">
        <v>32</v>
      </c>
      <c r="M72" s="215" t="s">
        <v>32</v>
      </c>
      <c r="N72" s="215" t="s">
        <v>32</v>
      </c>
      <c r="O72" s="215" t="s">
        <v>32</v>
      </c>
      <c r="P72" s="215" t="s">
        <v>32</v>
      </c>
      <c r="Q72" s="215" t="s">
        <v>32</v>
      </c>
      <c r="R72" s="198"/>
      <c r="S72" s="198"/>
      <c r="T72" s="198"/>
      <c r="U72" s="198"/>
    </row>
    <row r="73" spans="1:21" s="12" customFormat="1" x14ac:dyDescent="0.25">
      <c r="A73" s="214" t="s">
        <v>308</v>
      </c>
      <c r="B73" s="215" t="s">
        <v>32</v>
      </c>
      <c r="C73" s="215" t="s">
        <v>32</v>
      </c>
      <c r="D73" s="215" t="s">
        <v>32</v>
      </c>
      <c r="E73" s="215" t="s">
        <v>32</v>
      </c>
      <c r="F73" s="215" t="s">
        <v>32</v>
      </c>
      <c r="G73" s="215" t="s">
        <v>32</v>
      </c>
      <c r="H73" s="215" t="s">
        <v>32</v>
      </c>
      <c r="I73" s="215" t="s">
        <v>32</v>
      </c>
      <c r="J73" s="215" t="s">
        <v>32</v>
      </c>
      <c r="K73" s="215" t="s">
        <v>32</v>
      </c>
      <c r="L73" s="215" t="s">
        <v>32</v>
      </c>
      <c r="M73" s="215" t="s">
        <v>32</v>
      </c>
      <c r="N73" s="215" t="s">
        <v>32</v>
      </c>
      <c r="O73" s="215" t="s">
        <v>32</v>
      </c>
      <c r="P73" s="215" t="s">
        <v>32</v>
      </c>
      <c r="Q73" s="215" t="s">
        <v>32</v>
      </c>
      <c r="R73" s="198"/>
      <c r="S73" s="198"/>
      <c r="T73" s="198"/>
      <c r="U73" s="198"/>
    </row>
    <row r="74" spans="1:21" s="12" customFormat="1" x14ac:dyDescent="0.25">
      <c r="A74" s="214" t="s">
        <v>309</v>
      </c>
      <c r="B74" s="215" t="s">
        <v>32</v>
      </c>
      <c r="C74" s="215" t="s">
        <v>32</v>
      </c>
      <c r="D74" s="215" t="s">
        <v>32</v>
      </c>
      <c r="E74" s="215" t="s">
        <v>32</v>
      </c>
      <c r="F74" s="215" t="s">
        <v>32</v>
      </c>
      <c r="G74" s="215" t="s">
        <v>32</v>
      </c>
      <c r="H74" s="215" t="s">
        <v>32</v>
      </c>
      <c r="I74" s="215" t="s">
        <v>32</v>
      </c>
      <c r="J74" s="215" t="s">
        <v>32</v>
      </c>
      <c r="K74" s="215" t="s">
        <v>32</v>
      </c>
      <c r="L74" s="215" t="s">
        <v>32</v>
      </c>
      <c r="M74" s="215" t="s">
        <v>32</v>
      </c>
      <c r="N74" s="215" t="s">
        <v>32</v>
      </c>
      <c r="O74" s="215" t="s">
        <v>32</v>
      </c>
      <c r="P74" s="215" t="s">
        <v>32</v>
      </c>
      <c r="Q74" s="215" t="s">
        <v>32</v>
      </c>
      <c r="R74" s="198"/>
      <c r="S74" s="198"/>
      <c r="T74" s="198"/>
      <c r="U74" s="198"/>
    </row>
    <row r="75" spans="1:21" s="12" customFormat="1" x14ac:dyDescent="0.25">
      <c r="A75" s="214" t="s">
        <v>310</v>
      </c>
      <c r="B75" s="215" t="s">
        <v>32</v>
      </c>
      <c r="C75" s="215" t="s">
        <v>32</v>
      </c>
      <c r="D75" s="215" t="s">
        <v>32</v>
      </c>
      <c r="E75" s="215" t="s">
        <v>32</v>
      </c>
      <c r="F75" s="215" t="s">
        <v>32</v>
      </c>
      <c r="G75" s="215" t="s">
        <v>32</v>
      </c>
      <c r="H75" s="215" t="s">
        <v>32</v>
      </c>
      <c r="I75" s="215" t="s">
        <v>32</v>
      </c>
      <c r="J75" s="215" t="s">
        <v>32</v>
      </c>
      <c r="K75" s="215" t="s">
        <v>32</v>
      </c>
      <c r="L75" s="215" t="s">
        <v>32</v>
      </c>
      <c r="M75" s="215" t="s">
        <v>32</v>
      </c>
      <c r="N75" s="215" t="s">
        <v>32</v>
      </c>
      <c r="O75" s="215" t="s">
        <v>32</v>
      </c>
      <c r="P75" s="215" t="s">
        <v>32</v>
      </c>
      <c r="Q75" s="215" t="s">
        <v>32</v>
      </c>
      <c r="R75" s="198"/>
      <c r="S75" s="198"/>
      <c r="T75" s="198"/>
      <c r="U75" s="198"/>
    </row>
    <row r="76" spans="1:21" s="12" customFormat="1" x14ac:dyDescent="0.25">
      <c r="A76" s="214" t="s">
        <v>311</v>
      </c>
      <c r="B76" s="215" t="s">
        <v>32</v>
      </c>
      <c r="C76" s="215" t="s">
        <v>32</v>
      </c>
      <c r="D76" s="215" t="s">
        <v>32</v>
      </c>
      <c r="E76" s="215" t="s">
        <v>32</v>
      </c>
      <c r="F76" s="215" t="s">
        <v>32</v>
      </c>
      <c r="G76" s="215" t="s">
        <v>32</v>
      </c>
      <c r="H76" s="215" t="s">
        <v>32</v>
      </c>
      <c r="I76" s="215" t="s">
        <v>32</v>
      </c>
      <c r="J76" s="215" t="s">
        <v>32</v>
      </c>
      <c r="K76" s="215" t="s">
        <v>32</v>
      </c>
      <c r="L76" s="215" t="s">
        <v>32</v>
      </c>
      <c r="M76" s="215" t="s">
        <v>32</v>
      </c>
      <c r="N76" s="215" t="s">
        <v>32</v>
      </c>
      <c r="O76" s="215" t="s">
        <v>32</v>
      </c>
      <c r="P76" s="215" t="s">
        <v>32</v>
      </c>
      <c r="Q76" s="215" t="s">
        <v>32</v>
      </c>
      <c r="R76" s="198"/>
      <c r="S76" s="198"/>
      <c r="T76" s="198"/>
      <c r="U76" s="198"/>
    </row>
    <row r="77" spans="1:21" s="12" customFormat="1" x14ac:dyDescent="0.25">
      <c r="A77" s="214" t="s">
        <v>312</v>
      </c>
      <c r="B77" s="215" t="s">
        <v>32</v>
      </c>
      <c r="C77" s="215" t="s">
        <v>32</v>
      </c>
      <c r="D77" s="215" t="s">
        <v>32</v>
      </c>
      <c r="E77" s="215" t="s">
        <v>32</v>
      </c>
      <c r="F77" s="215" t="s">
        <v>32</v>
      </c>
      <c r="G77" s="215" t="s">
        <v>32</v>
      </c>
      <c r="H77" s="215" t="s">
        <v>32</v>
      </c>
      <c r="I77" s="215" t="s">
        <v>32</v>
      </c>
      <c r="J77" s="215" t="s">
        <v>32</v>
      </c>
      <c r="K77" s="215" t="s">
        <v>32</v>
      </c>
      <c r="L77" s="215" t="s">
        <v>32</v>
      </c>
      <c r="M77" s="215" t="s">
        <v>32</v>
      </c>
      <c r="N77" s="215" t="s">
        <v>32</v>
      </c>
      <c r="O77" s="215" t="s">
        <v>32</v>
      </c>
      <c r="P77" s="215" t="s">
        <v>32</v>
      </c>
      <c r="Q77" s="215" t="s">
        <v>32</v>
      </c>
      <c r="R77" s="198"/>
      <c r="S77" s="198"/>
      <c r="T77" s="198"/>
      <c r="U77" s="198"/>
    </row>
    <row r="78" spans="1:21" s="12" customFormat="1" x14ac:dyDescent="0.25">
      <c r="A78" s="214" t="s">
        <v>313</v>
      </c>
      <c r="B78" s="215" t="s">
        <v>32</v>
      </c>
      <c r="C78" s="215" t="s">
        <v>32</v>
      </c>
      <c r="D78" s="215" t="s">
        <v>32</v>
      </c>
      <c r="E78" s="215" t="s">
        <v>32</v>
      </c>
      <c r="F78" s="215" t="s">
        <v>32</v>
      </c>
      <c r="G78" s="215" t="s">
        <v>32</v>
      </c>
      <c r="H78" s="215" t="s">
        <v>32</v>
      </c>
      <c r="I78" s="215" t="s">
        <v>32</v>
      </c>
      <c r="J78" s="215" t="s">
        <v>32</v>
      </c>
      <c r="K78" s="215" t="s">
        <v>32</v>
      </c>
      <c r="L78" s="215" t="s">
        <v>32</v>
      </c>
      <c r="M78" s="215" t="s">
        <v>32</v>
      </c>
      <c r="N78" s="215" t="s">
        <v>32</v>
      </c>
      <c r="O78" s="215" t="s">
        <v>32</v>
      </c>
      <c r="P78" s="215" t="s">
        <v>32</v>
      </c>
      <c r="Q78" s="215" t="s">
        <v>32</v>
      </c>
      <c r="R78" s="198"/>
      <c r="S78" s="198"/>
      <c r="T78" s="198"/>
      <c r="U78" s="198"/>
    </row>
    <row r="79" spans="1:21" s="12" customFormat="1" x14ac:dyDescent="0.25">
      <c r="A79" s="214" t="s">
        <v>314</v>
      </c>
      <c r="B79" s="215" t="s">
        <v>32</v>
      </c>
      <c r="C79" s="215" t="s">
        <v>32</v>
      </c>
      <c r="D79" s="215" t="s">
        <v>32</v>
      </c>
      <c r="E79" s="215" t="s">
        <v>32</v>
      </c>
      <c r="F79" s="215" t="s">
        <v>32</v>
      </c>
      <c r="G79" s="215" t="s">
        <v>32</v>
      </c>
      <c r="H79" s="215" t="s">
        <v>32</v>
      </c>
      <c r="I79" s="215" t="s">
        <v>32</v>
      </c>
      <c r="J79" s="215" t="s">
        <v>32</v>
      </c>
      <c r="K79" s="215" t="s">
        <v>32</v>
      </c>
      <c r="L79" s="215" t="s">
        <v>32</v>
      </c>
      <c r="M79" s="215" t="s">
        <v>32</v>
      </c>
      <c r="N79" s="215" t="s">
        <v>32</v>
      </c>
      <c r="O79" s="215" t="s">
        <v>32</v>
      </c>
      <c r="P79" s="215" t="s">
        <v>32</v>
      </c>
      <c r="Q79" s="215" t="s">
        <v>32</v>
      </c>
      <c r="R79" s="198"/>
      <c r="S79" s="198"/>
      <c r="T79" s="198"/>
      <c r="U79" s="198"/>
    </row>
    <row r="80" spans="1:21" s="12" customFormat="1" x14ac:dyDescent="0.25">
      <c r="A80" s="214" t="s">
        <v>315</v>
      </c>
      <c r="B80" s="215" t="s">
        <v>32</v>
      </c>
      <c r="C80" s="215" t="s">
        <v>32</v>
      </c>
      <c r="D80" s="215" t="s">
        <v>32</v>
      </c>
      <c r="E80" s="215" t="s">
        <v>32</v>
      </c>
      <c r="F80" s="215" t="s">
        <v>32</v>
      </c>
      <c r="G80" s="215" t="s">
        <v>32</v>
      </c>
      <c r="H80" s="215" t="s">
        <v>32</v>
      </c>
      <c r="I80" s="215" t="s">
        <v>32</v>
      </c>
      <c r="J80" s="215" t="s">
        <v>32</v>
      </c>
      <c r="K80" s="215" t="s">
        <v>32</v>
      </c>
      <c r="L80" s="215" t="s">
        <v>32</v>
      </c>
      <c r="M80" s="215" t="s">
        <v>32</v>
      </c>
      <c r="N80" s="215" t="s">
        <v>32</v>
      </c>
      <c r="O80" s="215" t="s">
        <v>32</v>
      </c>
      <c r="P80" s="215" t="s">
        <v>32</v>
      </c>
      <c r="Q80" s="215" t="s">
        <v>32</v>
      </c>
      <c r="R80" s="198"/>
      <c r="S80" s="198"/>
      <c r="T80" s="198"/>
      <c r="U80" s="198"/>
    </row>
    <row r="81" spans="1:26" s="12" customFormat="1" x14ac:dyDescent="0.25">
      <c r="A81" s="214" t="s">
        <v>316</v>
      </c>
      <c r="B81" s="215" t="s">
        <v>32</v>
      </c>
      <c r="C81" s="215" t="s">
        <v>32</v>
      </c>
      <c r="D81" s="215" t="s">
        <v>32</v>
      </c>
      <c r="E81" s="215" t="s">
        <v>32</v>
      </c>
      <c r="F81" s="215" t="s">
        <v>32</v>
      </c>
      <c r="G81" s="215" t="s">
        <v>32</v>
      </c>
      <c r="H81" s="215" t="s">
        <v>32</v>
      </c>
      <c r="I81" s="215" t="s">
        <v>32</v>
      </c>
      <c r="J81" s="215" t="s">
        <v>32</v>
      </c>
      <c r="K81" s="215" t="s">
        <v>32</v>
      </c>
      <c r="L81" s="215" t="s">
        <v>32</v>
      </c>
      <c r="M81" s="215" t="s">
        <v>32</v>
      </c>
      <c r="N81" s="215" t="s">
        <v>32</v>
      </c>
      <c r="O81" s="215" t="s">
        <v>32</v>
      </c>
      <c r="P81" s="215" t="s">
        <v>32</v>
      </c>
      <c r="Q81" s="215" t="s">
        <v>32</v>
      </c>
      <c r="R81" s="198"/>
      <c r="S81" s="198"/>
      <c r="T81" s="198"/>
      <c r="U81" s="198"/>
    </row>
    <row r="82" spans="1:26" s="12" customFormat="1" x14ac:dyDescent="0.25">
      <c r="A82" s="214" t="s">
        <v>317</v>
      </c>
      <c r="B82" s="215" t="s">
        <v>32</v>
      </c>
      <c r="C82" s="215" t="s">
        <v>32</v>
      </c>
      <c r="D82" s="215" t="s">
        <v>32</v>
      </c>
      <c r="E82" s="215" t="s">
        <v>32</v>
      </c>
      <c r="F82" s="215" t="s">
        <v>32</v>
      </c>
      <c r="G82" s="215" t="s">
        <v>32</v>
      </c>
      <c r="H82" s="215" t="s">
        <v>32</v>
      </c>
      <c r="I82" s="215" t="s">
        <v>32</v>
      </c>
      <c r="J82" s="215" t="s">
        <v>32</v>
      </c>
      <c r="K82" s="215" t="s">
        <v>32</v>
      </c>
      <c r="L82" s="215" t="s">
        <v>32</v>
      </c>
      <c r="M82" s="215" t="s">
        <v>32</v>
      </c>
      <c r="N82" s="215" t="s">
        <v>32</v>
      </c>
      <c r="O82" s="215" t="s">
        <v>32</v>
      </c>
      <c r="P82" s="215" t="s">
        <v>32</v>
      </c>
      <c r="Q82" s="215" t="s">
        <v>32</v>
      </c>
      <c r="R82" s="198"/>
      <c r="S82" s="198"/>
      <c r="T82" s="198"/>
      <c r="U82" s="198"/>
    </row>
    <row r="83" spans="1:26" s="12" customFormat="1" x14ac:dyDescent="0.25">
      <c r="A83" s="214" t="s">
        <v>318</v>
      </c>
      <c r="B83" s="215" t="s">
        <v>32</v>
      </c>
      <c r="C83" s="215" t="s">
        <v>32</v>
      </c>
      <c r="D83" s="215" t="s">
        <v>32</v>
      </c>
      <c r="E83" s="215" t="s">
        <v>32</v>
      </c>
      <c r="F83" s="215" t="s">
        <v>32</v>
      </c>
      <c r="G83" s="215" t="s">
        <v>32</v>
      </c>
      <c r="H83" s="215" t="s">
        <v>32</v>
      </c>
      <c r="I83" s="215" t="s">
        <v>32</v>
      </c>
      <c r="J83" s="215" t="s">
        <v>32</v>
      </c>
      <c r="K83" s="215" t="s">
        <v>32</v>
      </c>
      <c r="L83" s="215" t="s">
        <v>32</v>
      </c>
      <c r="M83" s="215" t="s">
        <v>32</v>
      </c>
      <c r="N83" s="215" t="s">
        <v>32</v>
      </c>
      <c r="O83" s="215" t="s">
        <v>32</v>
      </c>
      <c r="P83" s="215" t="s">
        <v>32</v>
      </c>
      <c r="Q83" s="215" t="s">
        <v>32</v>
      </c>
      <c r="R83" s="198"/>
      <c r="S83" s="198"/>
      <c r="T83" s="198"/>
      <c r="U83" s="198"/>
    </row>
    <row r="84" spans="1:26" s="12" customFormat="1" x14ac:dyDescent="0.25">
      <c r="A84" s="214" t="s">
        <v>319</v>
      </c>
      <c r="B84" s="215" t="s">
        <v>32</v>
      </c>
      <c r="C84" s="215" t="s">
        <v>32</v>
      </c>
      <c r="D84" s="215" t="s">
        <v>32</v>
      </c>
      <c r="E84" s="215" t="s">
        <v>32</v>
      </c>
      <c r="F84" s="215" t="s">
        <v>32</v>
      </c>
      <c r="G84" s="215" t="s">
        <v>32</v>
      </c>
      <c r="H84" s="215" t="s">
        <v>32</v>
      </c>
      <c r="I84" s="215" t="s">
        <v>32</v>
      </c>
      <c r="J84" s="215" t="s">
        <v>32</v>
      </c>
      <c r="K84" s="215" t="s">
        <v>32</v>
      </c>
      <c r="L84" s="215" t="s">
        <v>32</v>
      </c>
      <c r="M84" s="215" t="s">
        <v>32</v>
      </c>
      <c r="N84" s="215" t="s">
        <v>32</v>
      </c>
      <c r="O84" s="215" t="s">
        <v>32</v>
      </c>
      <c r="P84" s="215" t="s">
        <v>32</v>
      </c>
      <c r="Q84" s="215" t="s">
        <v>32</v>
      </c>
      <c r="R84" s="198"/>
      <c r="S84" s="198"/>
      <c r="T84" s="198"/>
      <c r="U84" s="198"/>
    </row>
    <row r="85" spans="1:26" s="12" customFormat="1" x14ac:dyDescent="0.25">
      <c r="A85" s="214" t="s">
        <v>320</v>
      </c>
      <c r="B85" s="215" t="s">
        <v>32</v>
      </c>
      <c r="C85" s="215" t="s">
        <v>32</v>
      </c>
      <c r="D85" s="215" t="s">
        <v>32</v>
      </c>
      <c r="E85" s="215" t="s">
        <v>32</v>
      </c>
      <c r="F85" s="215" t="s">
        <v>32</v>
      </c>
      <c r="G85" s="215" t="s">
        <v>32</v>
      </c>
      <c r="H85" s="215" t="s">
        <v>32</v>
      </c>
      <c r="I85" s="215" t="s">
        <v>32</v>
      </c>
      <c r="J85" s="215" t="s">
        <v>32</v>
      </c>
      <c r="K85" s="215" t="s">
        <v>32</v>
      </c>
      <c r="L85" s="215" t="s">
        <v>32</v>
      </c>
      <c r="M85" s="215" t="s">
        <v>32</v>
      </c>
      <c r="N85" s="215" t="s">
        <v>32</v>
      </c>
      <c r="O85" s="215" t="s">
        <v>32</v>
      </c>
      <c r="P85" s="215" t="s">
        <v>32</v>
      </c>
      <c r="Q85" s="215" t="s">
        <v>32</v>
      </c>
      <c r="R85" s="198"/>
      <c r="S85" s="198"/>
      <c r="T85" s="198"/>
      <c r="U85" s="198"/>
    </row>
    <row r="86" spans="1:26" s="12" customFormat="1" x14ac:dyDescent="0.25">
      <c r="A86" s="214" t="s">
        <v>321</v>
      </c>
      <c r="B86" s="215" t="s">
        <v>32</v>
      </c>
      <c r="C86" s="215" t="s">
        <v>32</v>
      </c>
      <c r="D86" s="215" t="s">
        <v>32</v>
      </c>
      <c r="E86" s="215" t="s">
        <v>32</v>
      </c>
      <c r="F86" s="215" t="s">
        <v>32</v>
      </c>
      <c r="G86" s="215" t="s">
        <v>32</v>
      </c>
      <c r="H86" s="215" t="s">
        <v>32</v>
      </c>
      <c r="I86" s="215" t="s">
        <v>32</v>
      </c>
      <c r="J86" s="215" t="s">
        <v>32</v>
      </c>
      <c r="K86" s="215" t="s">
        <v>32</v>
      </c>
      <c r="L86" s="215" t="s">
        <v>32</v>
      </c>
      <c r="M86" s="215" t="s">
        <v>32</v>
      </c>
      <c r="N86" s="215" t="s">
        <v>32</v>
      </c>
      <c r="O86" s="215" t="s">
        <v>32</v>
      </c>
      <c r="P86" s="215" t="s">
        <v>32</v>
      </c>
      <c r="Q86" s="215" t="s">
        <v>32</v>
      </c>
      <c r="R86" s="198"/>
      <c r="S86" s="198"/>
      <c r="T86" s="198"/>
      <c r="U86" s="198"/>
    </row>
    <row r="87" spans="1:26" s="12" customFormat="1" x14ac:dyDescent="0.25">
      <c r="A87" s="214" t="s">
        <v>322</v>
      </c>
      <c r="B87" s="215" t="s">
        <v>32</v>
      </c>
      <c r="C87" s="215" t="s">
        <v>32</v>
      </c>
      <c r="D87" s="215" t="s">
        <v>32</v>
      </c>
      <c r="E87" s="215" t="s">
        <v>32</v>
      </c>
      <c r="F87" s="215" t="s">
        <v>32</v>
      </c>
      <c r="G87" s="215" t="s">
        <v>32</v>
      </c>
      <c r="H87" s="215" t="s">
        <v>32</v>
      </c>
      <c r="I87" s="215" t="s">
        <v>32</v>
      </c>
      <c r="J87" s="215" t="s">
        <v>32</v>
      </c>
      <c r="K87" s="215" t="s">
        <v>32</v>
      </c>
      <c r="L87" s="215" t="s">
        <v>32</v>
      </c>
      <c r="M87" s="215" t="s">
        <v>32</v>
      </c>
      <c r="N87" s="215" t="s">
        <v>32</v>
      </c>
      <c r="O87" s="215" t="s">
        <v>32</v>
      </c>
      <c r="P87" s="215" t="s">
        <v>32</v>
      </c>
      <c r="Q87" s="215" t="s">
        <v>32</v>
      </c>
      <c r="R87" s="198"/>
      <c r="S87" s="198"/>
      <c r="T87" s="198"/>
      <c r="U87" s="198"/>
    </row>
    <row r="88" spans="1:26" s="12" customFormat="1" x14ac:dyDescent="0.25">
      <c r="A88" s="214" t="s">
        <v>323</v>
      </c>
      <c r="B88" s="215" t="s">
        <v>32</v>
      </c>
      <c r="C88" s="215" t="s">
        <v>32</v>
      </c>
      <c r="D88" s="215" t="s">
        <v>32</v>
      </c>
      <c r="E88" s="215" t="s">
        <v>32</v>
      </c>
      <c r="F88" s="215" t="s">
        <v>32</v>
      </c>
      <c r="G88" s="215" t="s">
        <v>32</v>
      </c>
      <c r="H88" s="215" t="s">
        <v>32</v>
      </c>
      <c r="I88" s="215" t="s">
        <v>32</v>
      </c>
      <c r="J88" s="215" t="s">
        <v>32</v>
      </c>
      <c r="K88" s="215" t="s">
        <v>32</v>
      </c>
      <c r="L88" s="215" t="s">
        <v>32</v>
      </c>
      <c r="M88" s="215" t="s">
        <v>32</v>
      </c>
      <c r="N88" s="215" t="s">
        <v>32</v>
      </c>
      <c r="O88" s="215" t="s">
        <v>32</v>
      </c>
      <c r="P88" s="215" t="s">
        <v>32</v>
      </c>
      <c r="Q88" s="215" t="s">
        <v>32</v>
      </c>
      <c r="R88" s="198"/>
      <c r="S88" s="198"/>
      <c r="T88" s="198"/>
      <c r="U88" s="198"/>
    </row>
    <row r="89" spans="1:26" s="12" customFormat="1" x14ac:dyDescent="0.25">
      <c r="A89" s="214" t="s">
        <v>324</v>
      </c>
      <c r="B89" s="215" t="s">
        <v>32</v>
      </c>
      <c r="C89" s="215" t="s">
        <v>32</v>
      </c>
      <c r="D89" s="215" t="s">
        <v>32</v>
      </c>
      <c r="E89" s="215" t="s">
        <v>32</v>
      </c>
      <c r="F89" s="215" t="s">
        <v>32</v>
      </c>
      <c r="G89" s="215" t="s">
        <v>32</v>
      </c>
      <c r="H89" s="215" t="s">
        <v>32</v>
      </c>
      <c r="I89" s="215" t="s">
        <v>32</v>
      </c>
      <c r="J89" s="215" t="s">
        <v>32</v>
      </c>
      <c r="K89" s="215" t="s">
        <v>32</v>
      </c>
      <c r="L89" s="215" t="s">
        <v>32</v>
      </c>
      <c r="M89" s="215" t="s">
        <v>32</v>
      </c>
      <c r="N89" s="215" t="s">
        <v>32</v>
      </c>
      <c r="O89" s="215" t="s">
        <v>32</v>
      </c>
      <c r="P89" s="215" t="s">
        <v>32</v>
      </c>
      <c r="Q89" s="215" t="s">
        <v>32</v>
      </c>
      <c r="R89" s="198"/>
      <c r="S89" s="198"/>
      <c r="T89" s="198"/>
      <c r="U89" s="198"/>
    </row>
    <row r="90" spans="1:26" s="12" customFormat="1" x14ac:dyDescent="0.25">
      <c r="A90" s="214" t="s">
        <v>325</v>
      </c>
      <c r="B90" s="215" t="s">
        <v>32</v>
      </c>
      <c r="C90" s="215" t="s">
        <v>32</v>
      </c>
      <c r="D90" s="215" t="s">
        <v>32</v>
      </c>
      <c r="E90" s="215" t="s">
        <v>32</v>
      </c>
      <c r="F90" s="215" t="s">
        <v>32</v>
      </c>
      <c r="G90" s="215" t="s">
        <v>32</v>
      </c>
      <c r="H90" s="215" t="s">
        <v>32</v>
      </c>
      <c r="I90" s="215" t="s">
        <v>32</v>
      </c>
      <c r="J90" s="215" t="s">
        <v>32</v>
      </c>
      <c r="K90" s="215" t="s">
        <v>32</v>
      </c>
      <c r="L90" s="215" t="s">
        <v>32</v>
      </c>
      <c r="M90" s="215" t="s">
        <v>32</v>
      </c>
      <c r="N90" s="215" t="s">
        <v>32</v>
      </c>
      <c r="O90" s="215" t="s">
        <v>32</v>
      </c>
      <c r="P90" s="215" t="s">
        <v>32</v>
      </c>
      <c r="Q90" s="215" t="s">
        <v>32</v>
      </c>
      <c r="R90" s="198"/>
      <c r="S90" s="198"/>
      <c r="T90" s="198"/>
      <c r="U90" s="198"/>
    </row>
    <row r="91" spans="1:26" s="12" customFormat="1" x14ac:dyDescent="0.25">
      <c r="A91" s="214" t="s">
        <v>326</v>
      </c>
      <c r="B91" s="215" t="s">
        <v>32</v>
      </c>
      <c r="C91" s="215" t="s">
        <v>32</v>
      </c>
      <c r="D91" s="215" t="s">
        <v>32</v>
      </c>
      <c r="E91" s="215" t="s">
        <v>32</v>
      </c>
      <c r="F91" s="215" t="s">
        <v>32</v>
      </c>
      <c r="G91" s="215" t="s">
        <v>32</v>
      </c>
      <c r="H91" s="215" t="s">
        <v>32</v>
      </c>
      <c r="I91" s="215" t="s">
        <v>32</v>
      </c>
      <c r="J91" s="215" t="s">
        <v>32</v>
      </c>
      <c r="K91" s="215" t="s">
        <v>32</v>
      </c>
      <c r="L91" s="215" t="s">
        <v>32</v>
      </c>
      <c r="M91" s="215" t="s">
        <v>32</v>
      </c>
      <c r="N91" s="215" t="s">
        <v>32</v>
      </c>
      <c r="O91" s="215" t="s">
        <v>32</v>
      </c>
      <c r="P91" s="215" t="s">
        <v>32</v>
      </c>
      <c r="Q91" s="215" t="s">
        <v>32</v>
      </c>
      <c r="R91" s="198"/>
      <c r="S91" s="198"/>
      <c r="T91" s="198"/>
      <c r="U91" s="198"/>
    </row>
    <row r="92" spans="1:26" s="12" customFormat="1" x14ac:dyDescent="0.25">
      <c r="A92" s="214" t="s">
        <v>327</v>
      </c>
      <c r="B92" s="215" t="s">
        <v>32</v>
      </c>
      <c r="C92" s="215" t="s">
        <v>32</v>
      </c>
      <c r="D92" s="215" t="s">
        <v>32</v>
      </c>
      <c r="E92" s="215" t="s">
        <v>32</v>
      </c>
      <c r="F92" s="215" t="s">
        <v>32</v>
      </c>
      <c r="G92" s="215" t="s">
        <v>32</v>
      </c>
      <c r="H92" s="215" t="s">
        <v>32</v>
      </c>
      <c r="I92" s="215" t="s">
        <v>32</v>
      </c>
      <c r="J92" s="215" t="s">
        <v>32</v>
      </c>
      <c r="K92" s="215" t="s">
        <v>32</v>
      </c>
      <c r="L92" s="215" t="s">
        <v>32</v>
      </c>
      <c r="M92" s="215" t="s">
        <v>32</v>
      </c>
      <c r="N92" s="215" t="s">
        <v>32</v>
      </c>
      <c r="O92" s="215" t="s">
        <v>32</v>
      </c>
      <c r="P92" s="215" t="s">
        <v>32</v>
      </c>
      <c r="Q92" s="215" t="s">
        <v>32</v>
      </c>
      <c r="R92" s="198"/>
      <c r="S92" s="198"/>
      <c r="T92" s="198"/>
      <c r="U92" s="198"/>
    </row>
    <row r="93" spans="1:26" s="12" customFormat="1" x14ac:dyDescent="0.25">
      <c r="A93" s="214" t="s">
        <v>328</v>
      </c>
      <c r="B93" s="215" t="s">
        <v>32</v>
      </c>
      <c r="C93" s="215" t="s">
        <v>32</v>
      </c>
      <c r="D93" s="215" t="s">
        <v>32</v>
      </c>
      <c r="E93" s="215" t="s">
        <v>32</v>
      </c>
      <c r="F93" s="215" t="s">
        <v>32</v>
      </c>
      <c r="G93" s="215" t="s">
        <v>32</v>
      </c>
      <c r="H93" s="215" t="s">
        <v>32</v>
      </c>
      <c r="I93" s="215" t="s">
        <v>32</v>
      </c>
      <c r="J93" s="215" t="s">
        <v>32</v>
      </c>
      <c r="K93" s="215" t="s">
        <v>32</v>
      </c>
      <c r="L93" s="215" t="s">
        <v>32</v>
      </c>
      <c r="M93" s="215" t="s">
        <v>32</v>
      </c>
      <c r="N93" s="215" t="s">
        <v>32</v>
      </c>
      <c r="O93" s="215" t="s">
        <v>32</v>
      </c>
      <c r="P93" s="215" t="s">
        <v>32</v>
      </c>
      <c r="Q93" s="215" t="s">
        <v>32</v>
      </c>
      <c r="R93" s="198"/>
      <c r="S93" s="198"/>
      <c r="T93" s="198"/>
      <c r="U93" s="198"/>
    </row>
    <row r="94" spans="1:26" s="12" customFormat="1" x14ac:dyDescent="0.25">
      <c r="A94" s="214" t="s">
        <v>329</v>
      </c>
      <c r="B94" s="215" t="s">
        <v>32</v>
      </c>
      <c r="C94" s="215" t="s">
        <v>32</v>
      </c>
      <c r="D94" s="215" t="s">
        <v>32</v>
      </c>
      <c r="E94" s="215" t="s">
        <v>32</v>
      </c>
      <c r="F94" s="215" t="s">
        <v>32</v>
      </c>
      <c r="G94" s="215" t="s">
        <v>32</v>
      </c>
      <c r="H94" s="215" t="s">
        <v>32</v>
      </c>
      <c r="I94" s="215" t="s">
        <v>32</v>
      </c>
      <c r="J94" s="215" t="s">
        <v>32</v>
      </c>
      <c r="K94" s="215" t="s">
        <v>32</v>
      </c>
      <c r="L94" s="215" t="s">
        <v>32</v>
      </c>
      <c r="M94" s="215" t="s">
        <v>32</v>
      </c>
      <c r="N94" s="215" t="s">
        <v>32</v>
      </c>
      <c r="O94" s="215" t="s">
        <v>32</v>
      </c>
      <c r="P94" s="215" t="s">
        <v>32</v>
      </c>
      <c r="Q94" s="215" t="s">
        <v>32</v>
      </c>
      <c r="R94" s="198"/>
      <c r="S94" s="198"/>
      <c r="T94" s="198"/>
      <c r="U94" s="198"/>
    </row>
    <row r="95" spans="1:26" s="12" customFormat="1" x14ac:dyDescent="0.25">
      <c r="A95" s="214" t="s">
        <v>330</v>
      </c>
      <c r="B95" s="215" t="s">
        <v>32</v>
      </c>
      <c r="C95" s="215" t="s">
        <v>32</v>
      </c>
      <c r="D95" s="215" t="s">
        <v>32</v>
      </c>
      <c r="E95" s="215" t="s">
        <v>32</v>
      </c>
      <c r="F95" s="215" t="s">
        <v>32</v>
      </c>
      <c r="G95" s="215" t="s">
        <v>32</v>
      </c>
      <c r="H95" s="215" t="s">
        <v>32</v>
      </c>
      <c r="I95" s="215" t="s">
        <v>32</v>
      </c>
      <c r="J95" s="215" t="s">
        <v>32</v>
      </c>
      <c r="K95" s="215" t="s">
        <v>32</v>
      </c>
      <c r="L95" s="215" t="s">
        <v>32</v>
      </c>
      <c r="M95" s="215" t="s">
        <v>32</v>
      </c>
      <c r="N95" s="215" t="s">
        <v>32</v>
      </c>
      <c r="O95" s="215" t="s">
        <v>32</v>
      </c>
      <c r="P95" s="215" t="s">
        <v>32</v>
      </c>
      <c r="Q95" s="215" t="s">
        <v>32</v>
      </c>
      <c r="R95" s="198"/>
      <c r="S95" s="198"/>
      <c r="T95" s="198"/>
      <c r="U95" s="198"/>
    </row>
    <row r="96" spans="1:26" s="12" customFormat="1" x14ac:dyDescent="0.25">
      <c r="A96" s="214" t="s">
        <v>331</v>
      </c>
      <c r="B96" s="215" t="s">
        <v>32</v>
      </c>
      <c r="C96" s="215" t="s">
        <v>32</v>
      </c>
      <c r="D96" s="215" t="s">
        <v>32</v>
      </c>
      <c r="E96" s="215" t="s">
        <v>32</v>
      </c>
      <c r="F96" s="215" t="s">
        <v>32</v>
      </c>
      <c r="G96" s="215" t="s">
        <v>32</v>
      </c>
      <c r="H96" s="215" t="s">
        <v>32</v>
      </c>
      <c r="I96" s="215" t="s">
        <v>32</v>
      </c>
      <c r="J96" s="215" t="s">
        <v>32</v>
      </c>
      <c r="K96" s="215" t="s">
        <v>32</v>
      </c>
      <c r="L96" s="215" t="s">
        <v>32</v>
      </c>
      <c r="M96" s="215" t="s">
        <v>32</v>
      </c>
      <c r="N96" s="215" t="s">
        <v>32</v>
      </c>
      <c r="O96" s="215" t="s">
        <v>32</v>
      </c>
      <c r="P96" s="215" t="s">
        <v>32</v>
      </c>
      <c r="Q96" s="215" t="s">
        <v>32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332</v>
      </c>
      <c r="B97" s="215" t="s">
        <v>32</v>
      </c>
      <c r="C97" s="215" t="s">
        <v>32</v>
      </c>
      <c r="D97" s="215" t="s">
        <v>32</v>
      </c>
      <c r="E97" s="215" t="s">
        <v>32</v>
      </c>
      <c r="F97" s="215" t="s">
        <v>32</v>
      </c>
      <c r="G97" s="215" t="s">
        <v>32</v>
      </c>
      <c r="H97" s="215" t="s">
        <v>32</v>
      </c>
      <c r="I97" s="215" t="s">
        <v>32</v>
      </c>
      <c r="J97" s="215" t="s">
        <v>32</v>
      </c>
      <c r="K97" s="215" t="s">
        <v>32</v>
      </c>
      <c r="L97" s="215" t="s">
        <v>32</v>
      </c>
      <c r="M97" s="215" t="s">
        <v>32</v>
      </c>
      <c r="N97" s="215" t="s">
        <v>32</v>
      </c>
      <c r="O97" s="215" t="s">
        <v>32</v>
      </c>
      <c r="P97" s="215" t="s">
        <v>32</v>
      </c>
      <c r="Q97" s="215" t="s">
        <v>32</v>
      </c>
      <c r="R97" s="198"/>
      <c r="S97" s="198"/>
      <c r="T97" s="198"/>
      <c r="U97" s="198"/>
    </row>
    <row r="98" spans="1:33" s="12" customFormat="1" x14ac:dyDescent="0.25">
      <c r="A98" s="214" t="s">
        <v>333</v>
      </c>
      <c r="B98" s="215" t="s">
        <v>32</v>
      </c>
      <c r="C98" s="215" t="s">
        <v>32</v>
      </c>
      <c r="D98" s="215" t="s">
        <v>32</v>
      </c>
      <c r="E98" s="215" t="s">
        <v>32</v>
      </c>
      <c r="F98" s="215" t="s">
        <v>32</v>
      </c>
      <c r="G98" s="215" t="s">
        <v>32</v>
      </c>
      <c r="H98" s="215" t="s">
        <v>32</v>
      </c>
      <c r="I98" s="215" t="s">
        <v>32</v>
      </c>
      <c r="J98" s="215" t="s">
        <v>32</v>
      </c>
      <c r="K98" s="215" t="s">
        <v>32</v>
      </c>
      <c r="L98" s="215" t="s">
        <v>32</v>
      </c>
      <c r="M98" s="215" t="s">
        <v>32</v>
      </c>
      <c r="N98" s="215" t="s">
        <v>32</v>
      </c>
      <c r="O98" s="215" t="s">
        <v>32</v>
      </c>
      <c r="P98" s="215" t="s">
        <v>32</v>
      </c>
      <c r="Q98" s="215" t="s">
        <v>32</v>
      </c>
      <c r="R98" s="198"/>
      <c r="S98" s="198"/>
      <c r="T98" s="198"/>
      <c r="U98" s="198"/>
    </row>
    <row r="99" spans="1:33" s="12" customFormat="1" x14ac:dyDescent="0.25">
      <c r="A99" s="214" t="s">
        <v>334</v>
      </c>
      <c r="B99" s="215" t="s">
        <v>32</v>
      </c>
      <c r="C99" s="215" t="s">
        <v>32</v>
      </c>
      <c r="D99" s="215" t="s">
        <v>32</v>
      </c>
      <c r="E99" s="215" t="s">
        <v>32</v>
      </c>
      <c r="F99" s="215" t="s">
        <v>32</v>
      </c>
      <c r="G99" s="215" t="s">
        <v>32</v>
      </c>
      <c r="H99" s="215" t="s">
        <v>32</v>
      </c>
      <c r="I99" s="215" t="s">
        <v>32</v>
      </c>
      <c r="J99" s="215" t="s">
        <v>32</v>
      </c>
      <c r="K99" s="215" t="s">
        <v>32</v>
      </c>
      <c r="L99" s="215" t="s">
        <v>32</v>
      </c>
      <c r="M99" s="215" t="s">
        <v>32</v>
      </c>
      <c r="N99" s="215" t="s">
        <v>32</v>
      </c>
      <c r="O99" s="215" t="s">
        <v>32</v>
      </c>
      <c r="P99" s="215" t="s">
        <v>32</v>
      </c>
      <c r="Q99" s="215" t="s">
        <v>32</v>
      </c>
      <c r="R99" s="198"/>
      <c r="S99" s="198"/>
      <c r="T99" s="198"/>
      <c r="U99" s="198"/>
    </row>
    <row r="100" spans="1:33" s="12" customFormat="1" x14ac:dyDescent="0.25">
      <c r="A100" s="214" t="s">
        <v>335</v>
      </c>
      <c r="B100" s="215" t="s">
        <v>32</v>
      </c>
      <c r="C100" s="215" t="s">
        <v>32</v>
      </c>
      <c r="D100" s="215" t="s">
        <v>32</v>
      </c>
      <c r="E100" s="215" t="s">
        <v>32</v>
      </c>
      <c r="F100" s="215" t="s">
        <v>32</v>
      </c>
      <c r="G100" s="215" t="s">
        <v>32</v>
      </c>
      <c r="H100" s="215" t="s">
        <v>32</v>
      </c>
      <c r="I100" s="215" t="s">
        <v>32</v>
      </c>
      <c r="J100" s="215" t="s">
        <v>32</v>
      </c>
      <c r="K100" s="215" t="s">
        <v>32</v>
      </c>
      <c r="L100" s="215" t="s">
        <v>32</v>
      </c>
      <c r="M100" s="215" t="s">
        <v>32</v>
      </c>
      <c r="N100" s="215" t="s">
        <v>32</v>
      </c>
      <c r="O100" s="215" t="s">
        <v>32</v>
      </c>
      <c r="P100" s="215" t="s">
        <v>32</v>
      </c>
      <c r="Q100" s="215" t="s">
        <v>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336</v>
      </c>
      <c r="B101" s="215" t="s">
        <v>32</v>
      </c>
      <c r="C101" s="215" t="s">
        <v>32</v>
      </c>
      <c r="D101" s="215" t="s">
        <v>32</v>
      </c>
      <c r="E101" s="215" t="s">
        <v>32</v>
      </c>
      <c r="F101" s="215" t="s">
        <v>32</v>
      </c>
      <c r="G101" s="215" t="s">
        <v>32</v>
      </c>
      <c r="H101" s="215" t="s">
        <v>32</v>
      </c>
      <c r="I101" s="215" t="s">
        <v>32</v>
      </c>
      <c r="J101" s="215" t="s">
        <v>32</v>
      </c>
      <c r="K101" s="215" t="s">
        <v>32</v>
      </c>
      <c r="L101" s="215" t="s">
        <v>32</v>
      </c>
      <c r="M101" s="215" t="s">
        <v>32</v>
      </c>
      <c r="N101" s="215" t="s">
        <v>32</v>
      </c>
      <c r="O101" s="215" t="s">
        <v>32</v>
      </c>
      <c r="P101" s="215" t="s">
        <v>32</v>
      </c>
      <c r="Q101" s="215" t="s">
        <v>32</v>
      </c>
      <c r="R101" s="198"/>
      <c r="S101" s="198"/>
      <c r="T101" s="198"/>
      <c r="U101" s="198"/>
    </row>
    <row r="102" spans="1:33" s="12" customFormat="1" x14ac:dyDescent="0.25">
      <c r="A102" s="214" t="s">
        <v>337</v>
      </c>
      <c r="B102" s="215" t="s">
        <v>32</v>
      </c>
      <c r="C102" s="215" t="s">
        <v>32</v>
      </c>
      <c r="D102" s="215" t="s">
        <v>32</v>
      </c>
      <c r="E102" s="215" t="s">
        <v>32</v>
      </c>
      <c r="F102" s="215" t="s">
        <v>32</v>
      </c>
      <c r="G102" s="215" t="s">
        <v>32</v>
      </c>
      <c r="H102" s="215" t="s">
        <v>32</v>
      </c>
      <c r="I102" s="215" t="s">
        <v>32</v>
      </c>
      <c r="J102" s="215" t="s">
        <v>32</v>
      </c>
      <c r="K102" s="215" t="s">
        <v>32</v>
      </c>
      <c r="L102" s="215" t="s">
        <v>32</v>
      </c>
      <c r="M102" s="215" t="s">
        <v>32</v>
      </c>
      <c r="N102" s="215" t="s">
        <v>32</v>
      </c>
      <c r="O102" s="215" t="s">
        <v>32</v>
      </c>
      <c r="P102" s="215" t="s">
        <v>32</v>
      </c>
      <c r="Q102" s="215" t="s">
        <v>32</v>
      </c>
      <c r="R102" s="198"/>
      <c r="S102" s="198"/>
      <c r="T102" s="198"/>
      <c r="U102" s="198"/>
    </row>
    <row r="103" spans="1:33" s="12" customFormat="1" x14ac:dyDescent="0.25">
      <c r="A103" s="214" t="s">
        <v>338</v>
      </c>
      <c r="B103" s="215" t="s">
        <v>32</v>
      </c>
      <c r="C103" s="215" t="s">
        <v>32</v>
      </c>
      <c r="D103" s="215" t="s">
        <v>32</v>
      </c>
      <c r="E103" s="215" t="s">
        <v>32</v>
      </c>
      <c r="F103" s="215" t="s">
        <v>32</v>
      </c>
      <c r="G103" s="215" t="s">
        <v>32</v>
      </c>
      <c r="H103" s="215" t="s">
        <v>32</v>
      </c>
      <c r="I103" s="215" t="s">
        <v>32</v>
      </c>
      <c r="J103" s="215" t="s">
        <v>32</v>
      </c>
      <c r="K103" s="215" t="s">
        <v>32</v>
      </c>
      <c r="L103" s="215" t="s">
        <v>32</v>
      </c>
      <c r="M103" s="215" t="s">
        <v>32</v>
      </c>
      <c r="N103" s="215" t="s">
        <v>32</v>
      </c>
      <c r="O103" s="215" t="s">
        <v>32</v>
      </c>
      <c r="P103" s="215" t="s">
        <v>32</v>
      </c>
      <c r="Q103" s="215" t="s">
        <v>32</v>
      </c>
      <c r="R103" s="198"/>
      <c r="S103" s="198"/>
      <c r="T103" s="198"/>
      <c r="U103" s="198"/>
    </row>
    <row r="104" spans="1:33" s="12" customFormat="1" x14ac:dyDescent="0.25">
      <c r="A104" s="214" t="s">
        <v>339</v>
      </c>
      <c r="B104" s="215" t="s">
        <v>32</v>
      </c>
      <c r="C104" s="215" t="s">
        <v>32</v>
      </c>
      <c r="D104" s="215" t="s">
        <v>32</v>
      </c>
      <c r="E104" s="215" t="s">
        <v>32</v>
      </c>
      <c r="F104" s="215" t="s">
        <v>32</v>
      </c>
      <c r="G104" s="215" t="s">
        <v>32</v>
      </c>
      <c r="H104" s="215" t="s">
        <v>32</v>
      </c>
      <c r="I104" s="215" t="s">
        <v>32</v>
      </c>
      <c r="J104" s="215" t="s">
        <v>32</v>
      </c>
      <c r="K104" s="215" t="s">
        <v>32</v>
      </c>
      <c r="L104" s="215" t="s">
        <v>32</v>
      </c>
      <c r="M104" s="215" t="s">
        <v>32</v>
      </c>
      <c r="N104" s="215" t="s">
        <v>32</v>
      </c>
      <c r="O104" s="215" t="s">
        <v>32</v>
      </c>
      <c r="P104" s="215" t="s">
        <v>32</v>
      </c>
      <c r="Q104" s="215" t="s">
        <v>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6.27</v>
      </c>
      <c r="C106" s="67">
        <f>MIN(C9:C104)</f>
        <v>47.58</v>
      </c>
      <c r="D106" s="67">
        <f t="shared" ref="D106:Q106" si="0">MIN(D9:D104)</f>
        <v>30.22</v>
      </c>
      <c r="E106" s="67">
        <f t="shared" si="0"/>
        <v>5.13</v>
      </c>
      <c r="F106" s="67">
        <f t="shared" si="0"/>
        <v>2.13</v>
      </c>
      <c r="G106" s="67">
        <f t="shared" si="0"/>
        <v>44.16</v>
      </c>
      <c r="H106" s="67">
        <f t="shared" si="0"/>
        <v>26.06</v>
      </c>
      <c r="I106" s="67">
        <f t="shared" si="0"/>
        <v>0</v>
      </c>
      <c r="J106" s="67">
        <f t="shared" si="0"/>
        <v>0.22</v>
      </c>
      <c r="K106" s="67">
        <f t="shared" si="0"/>
        <v>24.58</v>
      </c>
      <c r="L106" s="67">
        <f t="shared" si="0"/>
        <v>11.51</v>
      </c>
      <c r="M106" s="67">
        <f t="shared" si="0"/>
        <v>44.87</v>
      </c>
      <c r="N106" s="67">
        <f t="shared" si="0"/>
        <v>80.7</v>
      </c>
      <c r="O106" s="67">
        <f t="shared" si="0"/>
        <v>0</v>
      </c>
      <c r="P106" s="67">
        <f t="shared" si="0"/>
        <v>0.73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72.09</v>
      </c>
      <c r="C107" s="66">
        <f t="shared" ref="C107:Q107" si="1">MAX(C9:C104)</f>
        <v>54.16</v>
      </c>
      <c r="D107" s="66">
        <f t="shared" si="1"/>
        <v>84.73</v>
      </c>
      <c r="E107" s="66">
        <f t="shared" si="1"/>
        <v>8.3699999999999992</v>
      </c>
      <c r="F107" s="66">
        <f t="shared" si="1"/>
        <v>2.13</v>
      </c>
      <c r="G107" s="66">
        <f t="shared" si="1"/>
        <v>108.12</v>
      </c>
      <c r="H107" s="66">
        <f t="shared" si="1"/>
        <v>36.06</v>
      </c>
      <c r="I107" s="66">
        <f t="shared" si="1"/>
        <v>0</v>
      </c>
      <c r="J107" s="66">
        <f t="shared" si="1"/>
        <v>3.2</v>
      </c>
      <c r="K107" s="66">
        <f t="shared" si="1"/>
        <v>332.5</v>
      </c>
      <c r="L107" s="66">
        <f t="shared" si="1"/>
        <v>20.48</v>
      </c>
      <c r="M107" s="66">
        <f t="shared" si="1"/>
        <v>83.36</v>
      </c>
      <c r="N107" s="66">
        <f t="shared" si="1"/>
        <v>544.29999999999995</v>
      </c>
      <c r="O107" s="66">
        <f t="shared" si="1"/>
        <v>0</v>
      </c>
      <c r="P107" s="66">
        <f t="shared" si="1"/>
        <v>1.58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29.749090909090913</v>
      </c>
      <c r="C108" s="67">
        <f t="shared" ref="C108:Q108" si="2">AVERAGE(C9:C104)</f>
        <v>49.88159090909091</v>
      </c>
      <c r="D108" s="67">
        <f t="shared" si="2"/>
        <v>48.541363636363641</v>
      </c>
      <c r="E108" s="67">
        <f t="shared" si="2"/>
        <v>6.8454545454545448</v>
      </c>
      <c r="F108" s="67">
        <f t="shared" si="2"/>
        <v>2.1299999999999994</v>
      </c>
      <c r="G108" s="67">
        <f t="shared" si="2"/>
        <v>71.768181818181816</v>
      </c>
      <c r="H108" s="67">
        <f t="shared" si="2"/>
        <v>30.740000000000006</v>
      </c>
      <c r="I108" s="67" t="e">
        <f t="shared" si="2"/>
        <v>#DIV/0!</v>
      </c>
      <c r="J108" s="67">
        <f t="shared" si="2"/>
        <v>1.5311363636363635</v>
      </c>
      <c r="K108" s="67">
        <f t="shared" si="2"/>
        <v>150.2538636363636</v>
      </c>
      <c r="L108" s="67">
        <f t="shared" si="2"/>
        <v>14.285000000000002</v>
      </c>
      <c r="M108" s="67">
        <f t="shared" si="2"/>
        <v>66.844772727272726</v>
      </c>
      <c r="N108" s="67">
        <f t="shared" si="2"/>
        <v>178.14772727272728</v>
      </c>
      <c r="O108" s="67">
        <f t="shared" si="2"/>
        <v>0</v>
      </c>
      <c r="P108" s="67">
        <f t="shared" si="2"/>
        <v>0.96590909090909094</v>
      </c>
      <c r="Q108" s="67">
        <f t="shared" si="2"/>
        <v>8.4474999999999962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18.5266131417259</v>
      </c>
      <c r="C109" s="67">
        <f t="shared" ref="C109:Q109" si="3">STDEV(C9:C104)</f>
        <v>1.6203788577694209</v>
      </c>
      <c r="D109" s="67">
        <f t="shared" si="3"/>
        <v>15.461060553729446</v>
      </c>
      <c r="E109" s="67">
        <f t="shared" si="3"/>
        <v>0.87073199504104615</v>
      </c>
      <c r="F109" s="67">
        <f t="shared" si="3"/>
        <v>4.4922335971875178E-16</v>
      </c>
      <c r="G109" s="67">
        <f t="shared" si="3"/>
        <v>15.785049929236829</v>
      </c>
      <c r="H109" s="67">
        <f t="shared" si="3"/>
        <v>3.0116417526843451</v>
      </c>
      <c r="I109" s="67" t="e">
        <f t="shared" si="3"/>
        <v>#DIV/0!</v>
      </c>
      <c r="J109" s="67">
        <f t="shared" si="3"/>
        <v>0.85364121843414154</v>
      </c>
      <c r="K109" s="67">
        <f t="shared" si="3"/>
        <v>83.776542207589628</v>
      </c>
      <c r="L109" s="67">
        <f t="shared" si="3"/>
        <v>2.6142004869647</v>
      </c>
      <c r="M109" s="67">
        <f t="shared" si="3"/>
        <v>10.646850934941609</v>
      </c>
      <c r="N109" s="67">
        <f t="shared" si="3"/>
        <v>141.76399728050538</v>
      </c>
      <c r="O109" s="67">
        <f t="shared" si="3"/>
        <v>0</v>
      </c>
      <c r="P109" s="67">
        <f t="shared" si="3"/>
        <v>0.2579644664715367</v>
      </c>
      <c r="Q109" s="67">
        <f t="shared" si="3"/>
        <v>0.48364471391955238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COUNT(B9:B104)+52</f>
        <v>96</v>
      </c>
      <c r="C110" s="66">
        <f t="shared" ref="C110:Q110" si="4">COUNT(C9:C104)+52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0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9" sqref="I9:I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340</v>
      </c>
      <c r="B9" s="64">
        <v>132.97999999999999</v>
      </c>
      <c r="C9" s="64">
        <v>47.92</v>
      </c>
      <c r="D9" s="64">
        <v>130.30000000000001</v>
      </c>
      <c r="E9" s="64">
        <v>8.41</v>
      </c>
      <c r="F9" s="64">
        <v>2.13</v>
      </c>
      <c r="G9" s="64">
        <v>186.39</v>
      </c>
      <c r="H9" s="64">
        <v>45.08</v>
      </c>
      <c r="I9" s="210" t="s">
        <v>43</v>
      </c>
      <c r="J9" s="64">
        <v>0.98</v>
      </c>
      <c r="K9" s="64">
        <v>316.04000000000002</v>
      </c>
      <c r="L9" s="64">
        <v>11.01</v>
      </c>
      <c r="M9" s="64">
        <v>86.97</v>
      </c>
      <c r="N9" s="64">
        <v>97.9</v>
      </c>
      <c r="O9" s="64">
        <v>0</v>
      </c>
      <c r="P9" s="64">
        <v>2.1</v>
      </c>
      <c r="Q9" s="64">
        <v>10.29</v>
      </c>
      <c r="R9" s="198"/>
      <c r="S9" s="198"/>
      <c r="T9" s="198"/>
      <c r="U9" s="198"/>
    </row>
    <row r="10" spans="1:21" s="12" customFormat="1" x14ac:dyDescent="0.25">
      <c r="A10" s="214" t="s">
        <v>341</v>
      </c>
      <c r="B10" s="64">
        <v>133.76</v>
      </c>
      <c r="C10" s="64">
        <v>47.79</v>
      </c>
      <c r="D10" s="64">
        <v>130.86000000000001</v>
      </c>
      <c r="E10" s="64">
        <v>8.32</v>
      </c>
      <c r="F10" s="64">
        <v>2.13</v>
      </c>
      <c r="G10" s="64">
        <v>186.39</v>
      </c>
      <c r="H10" s="64">
        <v>45.08</v>
      </c>
      <c r="I10" s="210" t="s">
        <v>43</v>
      </c>
      <c r="J10" s="64">
        <v>2.5499999999999998</v>
      </c>
      <c r="K10" s="64">
        <v>346.84</v>
      </c>
      <c r="L10" s="64">
        <v>10.62</v>
      </c>
      <c r="M10" s="64">
        <v>91.03</v>
      </c>
      <c r="N10" s="64">
        <v>98.1</v>
      </c>
      <c r="O10" s="64">
        <v>0</v>
      </c>
      <c r="P10" s="64">
        <v>2.1</v>
      </c>
      <c r="Q10" s="64">
        <v>10.31</v>
      </c>
      <c r="R10" s="198"/>
      <c r="S10" s="198"/>
      <c r="T10" s="198"/>
      <c r="U10" s="198"/>
    </row>
    <row r="11" spans="1:21" s="12" customFormat="1" x14ac:dyDescent="0.25">
      <c r="A11" s="214" t="s">
        <v>342</v>
      </c>
      <c r="B11" s="64">
        <v>132.57</v>
      </c>
      <c r="C11" s="64">
        <v>47.21</v>
      </c>
      <c r="D11" s="64">
        <v>129.59</v>
      </c>
      <c r="E11" s="64">
        <v>7.88</v>
      </c>
      <c r="F11" s="64">
        <v>2.13</v>
      </c>
      <c r="G11" s="64">
        <v>157.30000000000001</v>
      </c>
      <c r="H11" s="64">
        <v>54.93</v>
      </c>
      <c r="I11" s="210" t="s">
        <v>43</v>
      </c>
      <c r="J11" s="64">
        <v>1.63</v>
      </c>
      <c r="K11" s="64">
        <v>250.29</v>
      </c>
      <c r="L11" s="64">
        <v>10.54</v>
      </c>
      <c r="M11" s="64">
        <v>92.36</v>
      </c>
      <c r="N11" s="64">
        <v>97.7</v>
      </c>
      <c r="O11" s="64">
        <v>0</v>
      </c>
      <c r="P11" s="64">
        <v>2.08</v>
      </c>
      <c r="Q11" s="64">
        <v>10.28</v>
      </c>
      <c r="R11" s="198"/>
      <c r="S11" s="198"/>
      <c r="T11" s="198"/>
      <c r="U11" s="198"/>
    </row>
    <row r="12" spans="1:21" s="12" customFormat="1" x14ac:dyDescent="0.25">
      <c r="A12" s="214" t="s">
        <v>343</v>
      </c>
      <c r="B12" s="64">
        <v>130.25</v>
      </c>
      <c r="C12" s="64">
        <v>45.73</v>
      </c>
      <c r="D12" s="64">
        <v>126.96</v>
      </c>
      <c r="E12" s="64">
        <v>7.98</v>
      </c>
      <c r="F12" s="64">
        <v>2.15</v>
      </c>
      <c r="G12" s="64">
        <v>144.84</v>
      </c>
      <c r="H12" s="64">
        <v>59.15</v>
      </c>
      <c r="I12" s="210" t="s">
        <v>43</v>
      </c>
      <c r="J12" s="64">
        <v>2.4300000000000002</v>
      </c>
      <c r="K12" s="64">
        <v>334.39</v>
      </c>
      <c r="L12" s="64">
        <v>10.54</v>
      </c>
      <c r="M12" s="64">
        <v>92.85</v>
      </c>
      <c r="N12" s="64">
        <v>98.2</v>
      </c>
      <c r="O12" s="64">
        <v>0</v>
      </c>
      <c r="P12" s="64">
        <v>2.04</v>
      </c>
      <c r="Q12" s="64">
        <v>10.29</v>
      </c>
      <c r="R12" s="198"/>
      <c r="S12" s="198"/>
      <c r="T12" s="198"/>
      <c r="U12" s="198"/>
    </row>
    <row r="13" spans="1:21" s="12" customFormat="1" x14ac:dyDescent="0.25">
      <c r="A13" s="214" t="s">
        <v>344</v>
      </c>
      <c r="B13" s="64">
        <v>128.5</v>
      </c>
      <c r="C13" s="64">
        <v>43.39</v>
      </c>
      <c r="D13" s="64">
        <v>124.34</v>
      </c>
      <c r="E13" s="64">
        <v>8.4499999999999993</v>
      </c>
      <c r="F13" s="64">
        <v>2.13</v>
      </c>
      <c r="G13" s="64">
        <v>144.84</v>
      </c>
      <c r="H13" s="64">
        <v>59.15</v>
      </c>
      <c r="I13" s="210" t="s">
        <v>43</v>
      </c>
      <c r="J13" s="64">
        <v>2.17</v>
      </c>
      <c r="K13" s="64">
        <v>300.51</v>
      </c>
      <c r="L13" s="64">
        <v>10.18</v>
      </c>
      <c r="M13" s="64">
        <v>95.33</v>
      </c>
      <c r="N13" s="64">
        <v>98.4</v>
      </c>
      <c r="O13" s="64">
        <v>0</v>
      </c>
      <c r="P13" s="64">
        <v>1.77</v>
      </c>
      <c r="Q13" s="64">
        <v>10.25</v>
      </c>
      <c r="R13" s="198"/>
      <c r="S13" s="198"/>
      <c r="T13" s="198"/>
      <c r="U13" s="198"/>
    </row>
    <row r="14" spans="1:21" s="12" customFormat="1" x14ac:dyDescent="0.25">
      <c r="A14" s="214" t="s">
        <v>345</v>
      </c>
      <c r="B14" s="64">
        <v>128.66999999999999</v>
      </c>
      <c r="C14" s="64">
        <v>43.52</v>
      </c>
      <c r="D14" s="64">
        <v>124.55</v>
      </c>
      <c r="E14" s="64">
        <v>8.09</v>
      </c>
      <c r="F14" s="64">
        <v>2.13</v>
      </c>
      <c r="G14" s="64">
        <v>144.84</v>
      </c>
      <c r="H14" s="64">
        <v>59.15</v>
      </c>
      <c r="I14" s="210" t="s">
        <v>43</v>
      </c>
      <c r="J14" s="64">
        <v>2.5099999999999998</v>
      </c>
      <c r="K14" s="64">
        <v>322.3</v>
      </c>
      <c r="L14" s="64">
        <v>9.92</v>
      </c>
      <c r="M14" s="64">
        <v>97.35</v>
      </c>
      <c r="N14" s="64">
        <v>98.6</v>
      </c>
      <c r="O14" s="64">
        <v>0</v>
      </c>
      <c r="P14" s="64">
        <v>1.85</v>
      </c>
      <c r="Q14" s="64">
        <v>10.25</v>
      </c>
      <c r="R14" s="198"/>
      <c r="S14" s="198"/>
      <c r="T14" s="198"/>
      <c r="U14" s="198"/>
    </row>
    <row r="15" spans="1:21" s="12" customFormat="1" x14ac:dyDescent="0.25">
      <c r="A15" s="214" t="s">
        <v>346</v>
      </c>
      <c r="B15" s="64">
        <v>129.21</v>
      </c>
      <c r="C15" s="64">
        <v>43.22</v>
      </c>
      <c r="D15" s="64">
        <v>124.82</v>
      </c>
      <c r="E15" s="64">
        <v>7.88</v>
      </c>
      <c r="F15" s="64">
        <v>2.13</v>
      </c>
      <c r="G15" s="64">
        <v>136.41</v>
      </c>
      <c r="H15" s="64">
        <v>49.53</v>
      </c>
      <c r="I15" s="210" t="s">
        <v>43</v>
      </c>
      <c r="J15" s="64">
        <v>1.17</v>
      </c>
      <c r="K15" s="64">
        <v>348.63</v>
      </c>
      <c r="L15" s="64">
        <v>9.8699999999999992</v>
      </c>
      <c r="M15" s="64">
        <v>91.05</v>
      </c>
      <c r="N15" s="64">
        <v>98.3</v>
      </c>
      <c r="O15" s="64">
        <v>0</v>
      </c>
      <c r="P15" s="64">
        <v>1.81</v>
      </c>
      <c r="Q15" s="64">
        <v>10.27</v>
      </c>
      <c r="R15" s="198"/>
      <c r="S15" s="198"/>
      <c r="T15" s="198"/>
      <c r="U15" s="198"/>
    </row>
    <row r="16" spans="1:21" s="12" customFormat="1" x14ac:dyDescent="0.25">
      <c r="A16" s="214" t="s">
        <v>347</v>
      </c>
      <c r="B16" s="64">
        <v>126.47</v>
      </c>
      <c r="C16" s="64">
        <v>42.7</v>
      </c>
      <c r="D16" s="64">
        <v>122.35</v>
      </c>
      <c r="E16" s="64">
        <v>8.19</v>
      </c>
      <c r="F16" s="64">
        <v>2.13</v>
      </c>
      <c r="G16" s="64">
        <v>132.80000000000001</v>
      </c>
      <c r="H16" s="64">
        <v>45.18</v>
      </c>
      <c r="I16" s="210" t="s">
        <v>43</v>
      </c>
      <c r="J16" s="64">
        <v>1.63</v>
      </c>
      <c r="K16" s="64">
        <v>58.14</v>
      </c>
      <c r="L16" s="64">
        <v>10.75</v>
      </c>
      <c r="M16" s="64">
        <v>66.94</v>
      </c>
      <c r="N16" s="64">
        <v>97.7</v>
      </c>
      <c r="O16" s="64">
        <v>0</v>
      </c>
      <c r="P16" s="64">
        <v>1.75</v>
      </c>
      <c r="Q16" s="64">
        <v>10.26</v>
      </c>
      <c r="R16" s="198"/>
      <c r="S16" s="198"/>
      <c r="T16" s="198"/>
      <c r="U16" s="198"/>
    </row>
    <row r="17" spans="1:21" s="12" customFormat="1" x14ac:dyDescent="0.25">
      <c r="A17" s="214" t="s">
        <v>348</v>
      </c>
      <c r="B17" s="64">
        <v>121.1</v>
      </c>
      <c r="C17" s="64">
        <v>42.57</v>
      </c>
      <c r="D17" s="64">
        <v>117.98</v>
      </c>
      <c r="E17" s="64">
        <v>7.57</v>
      </c>
      <c r="F17" s="64">
        <v>2.2599999999999998</v>
      </c>
      <c r="G17" s="64">
        <v>132.80000000000001</v>
      </c>
      <c r="H17" s="64">
        <v>45.18</v>
      </c>
      <c r="I17" s="210" t="s">
        <v>43</v>
      </c>
      <c r="J17" s="64">
        <v>0.85</v>
      </c>
      <c r="K17" s="64">
        <v>15.03</v>
      </c>
      <c r="L17" s="64">
        <v>11.31</v>
      </c>
      <c r="M17" s="64">
        <v>56.96</v>
      </c>
      <c r="N17" s="64">
        <v>98</v>
      </c>
      <c r="O17" s="64">
        <v>0</v>
      </c>
      <c r="P17" s="64">
        <v>1.69</v>
      </c>
      <c r="Q17" s="64">
        <v>10.24</v>
      </c>
      <c r="R17" s="198"/>
      <c r="S17" s="198"/>
      <c r="T17" s="198"/>
      <c r="U17" s="198"/>
    </row>
    <row r="18" spans="1:21" s="12" customFormat="1" x14ac:dyDescent="0.25">
      <c r="A18" s="214" t="s">
        <v>349</v>
      </c>
      <c r="B18" s="64">
        <v>114.96</v>
      </c>
      <c r="C18" s="64">
        <v>42.09</v>
      </c>
      <c r="D18" s="64">
        <v>112.8</v>
      </c>
      <c r="E18" s="64">
        <v>7.48</v>
      </c>
      <c r="F18" s="64">
        <v>2.13</v>
      </c>
      <c r="G18" s="64">
        <v>132.80000000000001</v>
      </c>
      <c r="H18" s="64">
        <v>45.18</v>
      </c>
      <c r="I18" s="210" t="s">
        <v>43</v>
      </c>
      <c r="J18" s="64">
        <v>2.13</v>
      </c>
      <c r="K18" s="64">
        <v>237.58</v>
      </c>
      <c r="L18" s="64">
        <v>11.1</v>
      </c>
      <c r="M18" s="64">
        <v>61.34</v>
      </c>
      <c r="N18" s="64">
        <v>98.3</v>
      </c>
      <c r="O18" s="64">
        <v>0</v>
      </c>
      <c r="P18" s="64">
        <v>1.66</v>
      </c>
      <c r="Q18" s="64">
        <v>10.18</v>
      </c>
      <c r="R18" s="198"/>
      <c r="S18" s="198"/>
      <c r="T18" s="198"/>
      <c r="U18" s="198"/>
    </row>
    <row r="19" spans="1:21" s="12" customFormat="1" x14ac:dyDescent="0.25">
      <c r="A19" s="214" t="s">
        <v>350</v>
      </c>
      <c r="B19" s="64">
        <v>108.96</v>
      </c>
      <c r="C19" s="64">
        <v>41.92</v>
      </c>
      <c r="D19" s="64">
        <v>107.9</v>
      </c>
      <c r="E19" s="64">
        <v>6.99</v>
      </c>
      <c r="F19" s="64">
        <v>2.13</v>
      </c>
      <c r="G19" s="64">
        <v>92.59</v>
      </c>
      <c r="H19" s="64">
        <v>31.68</v>
      </c>
      <c r="I19" s="210" t="s">
        <v>43</v>
      </c>
      <c r="J19" s="64">
        <v>2.61</v>
      </c>
      <c r="K19" s="64">
        <v>197.7</v>
      </c>
      <c r="L19" s="64">
        <v>10.8</v>
      </c>
      <c r="M19" s="64">
        <v>72.47</v>
      </c>
      <c r="N19" s="64">
        <v>98.3</v>
      </c>
      <c r="O19" s="64">
        <v>0</v>
      </c>
      <c r="P19" s="64">
        <v>1.6</v>
      </c>
      <c r="Q19" s="64">
        <v>10.14</v>
      </c>
      <c r="R19" s="198"/>
      <c r="S19" s="198"/>
      <c r="T19" s="198"/>
      <c r="U19" s="198"/>
    </row>
    <row r="20" spans="1:21" s="12" customFormat="1" x14ac:dyDescent="0.25">
      <c r="A20" s="214" t="s">
        <v>351</v>
      </c>
      <c r="B20" s="64">
        <v>103.97</v>
      </c>
      <c r="C20" s="64">
        <v>41.97</v>
      </c>
      <c r="D20" s="64">
        <v>103.92</v>
      </c>
      <c r="E20" s="64">
        <v>6.79</v>
      </c>
      <c r="F20" s="64">
        <v>2.13</v>
      </c>
      <c r="G20" s="64">
        <v>75.36</v>
      </c>
      <c r="H20" s="64">
        <v>25.58</v>
      </c>
      <c r="I20" s="210" t="s">
        <v>43</v>
      </c>
      <c r="J20" s="64">
        <v>2.35</v>
      </c>
      <c r="K20" s="64">
        <v>212.8</v>
      </c>
      <c r="L20" s="64">
        <v>9.9499999999999993</v>
      </c>
      <c r="M20" s="64">
        <v>89.97</v>
      </c>
      <c r="N20" s="64">
        <v>99.1</v>
      </c>
      <c r="O20" s="64">
        <v>0</v>
      </c>
      <c r="P20" s="64">
        <v>1.56</v>
      </c>
      <c r="Q20" s="64">
        <v>10.09</v>
      </c>
      <c r="R20" s="198"/>
      <c r="S20" s="198"/>
      <c r="T20" s="198"/>
      <c r="U20" s="198"/>
    </row>
    <row r="21" spans="1:21" s="12" customFormat="1" x14ac:dyDescent="0.25">
      <c r="A21" s="214" t="s">
        <v>352</v>
      </c>
      <c r="B21" s="64">
        <v>100.24</v>
      </c>
      <c r="C21" s="64">
        <v>42.14</v>
      </c>
      <c r="D21" s="64">
        <v>101.03</v>
      </c>
      <c r="E21" s="64">
        <v>6.64</v>
      </c>
      <c r="F21" s="64">
        <v>2.13</v>
      </c>
      <c r="G21" s="64">
        <v>75.36</v>
      </c>
      <c r="H21" s="64">
        <v>25.58</v>
      </c>
      <c r="I21" s="210" t="s">
        <v>43</v>
      </c>
      <c r="J21" s="64">
        <v>2.35</v>
      </c>
      <c r="K21" s="64">
        <v>209.8</v>
      </c>
      <c r="L21" s="64">
        <v>9.4700000000000006</v>
      </c>
      <c r="M21" s="64">
        <v>94.14</v>
      </c>
      <c r="N21" s="64">
        <v>98.8</v>
      </c>
      <c r="O21" s="64">
        <v>0</v>
      </c>
      <c r="P21" s="64">
        <v>1.52</v>
      </c>
      <c r="Q21" s="64">
        <v>10</v>
      </c>
      <c r="R21" s="198"/>
      <c r="S21" s="198"/>
      <c r="T21" s="198"/>
      <c r="U21" s="198"/>
    </row>
    <row r="22" spans="1:21" s="12" customFormat="1" x14ac:dyDescent="0.25">
      <c r="A22" s="214" t="s">
        <v>353</v>
      </c>
      <c r="B22" s="64">
        <v>96.85</v>
      </c>
      <c r="C22" s="64">
        <v>42.18</v>
      </c>
      <c r="D22" s="64">
        <v>98.33</v>
      </c>
      <c r="E22" s="64">
        <v>6.49</v>
      </c>
      <c r="F22" s="64">
        <v>2.13</v>
      </c>
      <c r="G22" s="64">
        <v>75.36</v>
      </c>
      <c r="H22" s="64">
        <v>25.58</v>
      </c>
      <c r="I22" s="210" t="s">
        <v>43</v>
      </c>
      <c r="J22" s="64">
        <v>2.5299999999999998</v>
      </c>
      <c r="K22" s="64">
        <v>212.49</v>
      </c>
      <c r="L22" s="64">
        <v>9.23</v>
      </c>
      <c r="M22" s="64">
        <v>94.05</v>
      </c>
      <c r="N22" s="64">
        <v>98.7</v>
      </c>
      <c r="O22" s="64">
        <v>0</v>
      </c>
      <c r="P22" s="64">
        <v>1.47</v>
      </c>
      <c r="Q22" s="64">
        <v>9.99</v>
      </c>
      <c r="R22" s="198"/>
      <c r="S22" s="198"/>
      <c r="T22" s="198"/>
      <c r="U22" s="198"/>
    </row>
    <row r="23" spans="1:21" s="12" customFormat="1" x14ac:dyDescent="0.25">
      <c r="A23" s="214" t="s">
        <v>354</v>
      </c>
      <c r="B23" s="64">
        <v>93.31</v>
      </c>
      <c r="C23" s="64">
        <v>41.94</v>
      </c>
      <c r="D23" s="64">
        <v>95.37</v>
      </c>
      <c r="E23" s="64">
        <v>6.47</v>
      </c>
      <c r="F23" s="64">
        <v>2.13</v>
      </c>
      <c r="G23" s="64">
        <v>77.39</v>
      </c>
      <c r="H23" s="64">
        <v>35.58</v>
      </c>
      <c r="I23" s="210" t="s">
        <v>43</v>
      </c>
      <c r="J23" s="64">
        <v>1.97</v>
      </c>
      <c r="K23" s="64">
        <v>227.19</v>
      </c>
      <c r="L23" s="64">
        <v>8.9700000000000006</v>
      </c>
      <c r="M23" s="64">
        <v>94.23</v>
      </c>
      <c r="N23" s="64">
        <v>98.9</v>
      </c>
      <c r="O23" s="64">
        <v>0</v>
      </c>
      <c r="P23" s="64">
        <v>1.43</v>
      </c>
      <c r="Q23" s="64">
        <v>9.9600000000000009</v>
      </c>
      <c r="R23" s="198"/>
      <c r="S23" s="198"/>
      <c r="T23" s="198"/>
      <c r="U23" s="198"/>
    </row>
    <row r="24" spans="1:21" s="12" customFormat="1" x14ac:dyDescent="0.25">
      <c r="A24" s="214" t="s">
        <v>355</v>
      </c>
      <c r="B24" s="64">
        <v>89.69</v>
      </c>
      <c r="C24" s="64">
        <v>41.15</v>
      </c>
      <c r="D24" s="64">
        <v>92.05</v>
      </c>
      <c r="E24" s="64">
        <v>6.32</v>
      </c>
      <c r="F24" s="64">
        <v>2.13</v>
      </c>
      <c r="G24" s="64">
        <v>78.260000000000005</v>
      </c>
      <c r="H24" s="64">
        <v>39.869999999999997</v>
      </c>
      <c r="I24" s="210" t="s">
        <v>43</v>
      </c>
      <c r="J24" s="64">
        <v>1.17</v>
      </c>
      <c r="K24" s="64">
        <v>226.53</v>
      </c>
      <c r="L24" s="64">
        <v>8.69</v>
      </c>
      <c r="M24" s="64">
        <v>93.64</v>
      </c>
      <c r="N24" s="64">
        <v>98.6</v>
      </c>
      <c r="O24" s="64">
        <v>0</v>
      </c>
      <c r="P24" s="64">
        <v>1.39</v>
      </c>
      <c r="Q24" s="64">
        <v>9.93</v>
      </c>
      <c r="R24" s="198"/>
      <c r="S24" s="198"/>
      <c r="T24" s="198"/>
      <c r="U24" s="198"/>
    </row>
    <row r="25" spans="1:21" s="12" customFormat="1" x14ac:dyDescent="0.25">
      <c r="A25" s="214" t="s">
        <v>356</v>
      </c>
      <c r="B25" s="64">
        <v>85.68</v>
      </c>
      <c r="C25" s="64">
        <v>40.44</v>
      </c>
      <c r="D25" s="64">
        <v>88.46</v>
      </c>
      <c r="E25" s="64">
        <v>5.62</v>
      </c>
      <c r="F25" s="64">
        <v>2.13</v>
      </c>
      <c r="G25" s="64">
        <v>78.260000000000005</v>
      </c>
      <c r="H25" s="64">
        <v>39.869999999999997</v>
      </c>
      <c r="I25" s="210" t="s">
        <v>43</v>
      </c>
      <c r="J25" s="64">
        <v>1.55</v>
      </c>
      <c r="K25" s="64">
        <v>239.18</v>
      </c>
      <c r="L25" s="64">
        <v>8.3699999999999992</v>
      </c>
      <c r="M25" s="64">
        <v>94.61</v>
      </c>
      <c r="N25" s="64">
        <v>99</v>
      </c>
      <c r="O25" s="64">
        <v>0</v>
      </c>
      <c r="P25" s="64">
        <v>1.34</v>
      </c>
      <c r="Q25" s="64">
        <v>9.93</v>
      </c>
      <c r="R25" s="198"/>
      <c r="S25" s="198"/>
      <c r="T25" s="198"/>
      <c r="U25" s="198"/>
    </row>
    <row r="26" spans="1:21" s="12" customFormat="1" x14ac:dyDescent="0.25">
      <c r="A26" s="214" t="s">
        <v>357</v>
      </c>
      <c r="B26" s="64">
        <v>81.52</v>
      </c>
      <c r="C26" s="64">
        <v>40.229999999999997</v>
      </c>
      <c r="D26" s="64">
        <v>85.02</v>
      </c>
      <c r="E26" s="64">
        <v>5.83</v>
      </c>
      <c r="F26" s="64">
        <v>2.13</v>
      </c>
      <c r="G26" s="64">
        <v>78.260000000000005</v>
      </c>
      <c r="H26" s="64">
        <v>39.869999999999997</v>
      </c>
      <c r="I26" s="210" t="s">
        <v>43</v>
      </c>
      <c r="J26" s="64">
        <v>2.1800000000000002</v>
      </c>
      <c r="K26" s="64">
        <v>348.03</v>
      </c>
      <c r="L26" s="64">
        <v>8.09</v>
      </c>
      <c r="M26" s="64">
        <v>97.47</v>
      </c>
      <c r="N26" s="64">
        <v>98.7</v>
      </c>
      <c r="O26" s="64">
        <v>0</v>
      </c>
      <c r="P26" s="64">
        <v>1.29</v>
      </c>
      <c r="Q26" s="64">
        <v>9.8699999999999992</v>
      </c>
      <c r="R26" s="198"/>
      <c r="S26" s="198"/>
      <c r="T26" s="198"/>
      <c r="U26" s="198"/>
    </row>
    <row r="27" spans="1:21" s="12" customFormat="1" x14ac:dyDescent="0.25">
      <c r="A27" s="214" t="s">
        <v>358</v>
      </c>
      <c r="B27" s="64">
        <v>77.930000000000007</v>
      </c>
      <c r="C27" s="64">
        <v>40.01</v>
      </c>
      <c r="D27" s="64">
        <v>82.02</v>
      </c>
      <c r="E27" s="64">
        <v>5.8</v>
      </c>
      <c r="F27" s="64">
        <v>2.13</v>
      </c>
      <c r="G27" s="64">
        <v>77.84</v>
      </c>
      <c r="H27" s="64">
        <v>23.65</v>
      </c>
      <c r="I27" s="210" t="s">
        <v>43</v>
      </c>
      <c r="J27" s="64">
        <v>1.73</v>
      </c>
      <c r="K27" s="64">
        <v>48.74</v>
      </c>
      <c r="L27" s="64">
        <v>8.74</v>
      </c>
      <c r="M27" s="64">
        <v>83.06</v>
      </c>
      <c r="N27" s="64">
        <v>97.9</v>
      </c>
      <c r="O27" s="64">
        <v>0</v>
      </c>
      <c r="P27" s="64">
        <v>1.24</v>
      </c>
      <c r="Q27" s="64">
        <v>9.84</v>
      </c>
      <c r="R27" s="198"/>
      <c r="S27" s="198"/>
      <c r="T27" s="198"/>
      <c r="U27" s="198"/>
    </row>
    <row r="28" spans="1:21" s="12" customFormat="1" x14ac:dyDescent="0.25">
      <c r="A28" s="214" t="s">
        <v>359</v>
      </c>
      <c r="B28" s="64">
        <v>74.09</v>
      </c>
      <c r="C28" s="64">
        <v>39.96</v>
      </c>
      <c r="D28" s="64">
        <v>78.92</v>
      </c>
      <c r="E28" s="64">
        <v>5.9</v>
      </c>
      <c r="F28" s="64">
        <v>2.13</v>
      </c>
      <c r="G28" s="64">
        <v>77.66</v>
      </c>
      <c r="H28" s="64">
        <v>16.690000000000001</v>
      </c>
      <c r="I28" s="210" t="s">
        <v>43</v>
      </c>
      <c r="J28" s="64">
        <v>1.74</v>
      </c>
      <c r="K28" s="64">
        <v>49.14</v>
      </c>
      <c r="L28" s="64">
        <v>9.6</v>
      </c>
      <c r="M28" s="64">
        <v>75.349999999999994</v>
      </c>
      <c r="N28" s="64">
        <v>98.1</v>
      </c>
      <c r="O28" s="64">
        <v>0</v>
      </c>
      <c r="P28" s="64">
        <v>1.19</v>
      </c>
      <c r="Q28" s="64">
        <v>9.8000000000000007</v>
      </c>
      <c r="R28" s="198"/>
      <c r="S28" s="198"/>
      <c r="T28" s="198"/>
      <c r="U28" s="198"/>
    </row>
    <row r="29" spans="1:21" s="12" customFormat="1" x14ac:dyDescent="0.25">
      <c r="A29" s="214" t="s">
        <v>360</v>
      </c>
      <c r="B29" s="64">
        <v>69.849999999999994</v>
      </c>
      <c r="C29" s="64">
        <v>38.520000000000003</v>
      </c>
      <c r="D29" s="64">
        <v>74.760000000000005</v>
      </c>
      <c r="E29" s="64">
        <v>5.54</v>
      </c>
      <c r="F29" s="64">
        <v>2.13</v>
      </c>
      <c r="G29" s="64">
        <v>77.66</v>
      </c>
      <c r="H29" s="64">
        <v>16.690000000000001</v>
      </c>
      <c r="I29" s="210" t="s">
        <v>43</v>
      </c>
      <c r="J29" s="64">
        <v>1.63</v>
      </c>
      <c r="K29" s="64">
        <v>64.06</v>
      </c>
      <c r="L29" s="64">
        <v>9.5500000000000007</v>
      </c>
      <c r="M29" s="64">
        <v>76.17</v>
      </c>
      <c r="N29" s="64">
        <v>98.8</v>
      </c>
      <c r="O29" s="64">
        <v>0</v>
      </c>
      <c r="P29" s="64">
        <v>1.1100000000000001</v>
      </c>
      <c r="Q29" s="64">
        <v>9.8000000000000007</v>
      </c>
      <c r="R29" s="198"/>
      <c r="S29" s="198"/>
      <c r="T29" s="198"/>
      <c r="U29" s="198"/>
    </row>
    <row r="30" spans="1:21" s="12" customFormat="1" x14ac:dyDescent="0.25">
      <c r="A30" s="214" t="s">
        <v>361</v>
      </c>
      <c r="B30" s="64">
        <v>65.819999999999993</v>
      </c>
      <c r="C30" s="64">
        <v>38.11</v>
      </c>
      <c r="D30" s="64">
        <v>71.319999999999993</v>
      </c>
      <c r="E30" s="64">
        <v>5.21</v>
      </c>
      <c r="F30" s="64">
        <v>2.13</v>
      </c>
      <c r="G30" s="64">
        <v>77.66</v>
      </c>
      <c r="H30" s="64">
        <v>16.690000000000001</v>
      </c>
      <c r="I30" s="210" t="s">
        <v>43</v>
      </c>
      <c r="J30" s="64">
        <v>1.51</v>
      </c>
      <c r="K30" s="64">
        <v>69.14</v>
      </c>
      <c r="L30" s="64">
        <v>9.58</v>
      </c>
      <c r="M30" s="64">
        <v>76.7</v>
      </c>
      <c r="N30" s="64">
        <v>98.9</v>
      </c>
      <c r="O30" s="64">
        <v>0</v>
      </c>
      <c r="P30" s="64">
        <v>1.0900000000000001</v>
      </c>
      <c r="Q30" s="64">
        <v>9.76</v>
      </c>
      <c r="R30" s="198"/>
      <c r="S30" s="198"/>
      <c r="T30" s="198"/>
      <c r="U30" s="198"/>
    </row>
    <row r="31" spans="1:21" s="12" customFormat="1" x14ac:dyDescent="0.25">
      <c r="A31" s="214" t="s">
        <v>362</v>
      </c>
      <c r="B31" s="64">
        <v>62.53</v>
      </c>
      <c r="C31" s="64">
        <v>38.93</v>
      </c>
      <c r="D31" s="64">
        <v>69.11</v>
      </c>
      <c r="E31" s="64">
        <v>5.08</v>
      </c>
      <c r="F31" s="64">
        <v>2.13</v>
      </c>
      <c r="G31" s="64">
        <v>56.89</v>
      </c>
      <c r="H31" s="64">
        <v>7.11</v>
      </c>
      <c r="I31" s="210" t="s">
        <v>43</v>
      </c>
      <c r="J31" s="64">
        <v>1.34</v>
      </c>
      <c r="K31" s="64">
        <v>79.94</v>
      </c>
      <c r="L31" s="64">
        <v>9.4499999999999993</v>
      </c>
      <c r="M31" s="64">
        <v>78.069999999999993</v>
      </c>
      <c r="N31" s="64">
        <v>99.1</v>
      </c>
      <c r="O31" s="64">
        <v>0</v>
      </c>
      <c r="P31" s="64">
        <v>1.02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14" t="s">
        <v>363</v>
      </c>
      <c r="B32" s="64">
        <v>59.39</v>
      </c>
      <c r="C32" s="64">
        <v>38.799999999999997</v>
      </c>
      <c r="D32" s="64">
        <v>66.52</v>
      </c>
      <c r="E32" s="64">
        <v>5.18</v>
      </c>
      <c r="F32" s="64">
        <v>2.13</v>
      </c>
      <c r="G32" s="64">
        <v>47.99</v>
      </c>
      <c r="H32" s="64">
        <v>3</v>
      </c>
      <c r="I32" s="210" t="s">
        <v>43</v>
      </c>
      <c r="J32" s="64">
        <v>1.33</v>
      </c>
      <c r="K32" s="64">
        <v>39.14</v>
      </c>
      <c r="L32" s="64">
        <v>9.51</v>
      </c>
      <c r="M32" s="64">
        <v>79.06</v>
      </c>
      <c r="N32" s="64">
        <v>99</v>
      </c>
      <c r="O32" s="64">
        <v>0</v>
      </c>
      <c r="P32" s="64">
        <v>0.98</v>
      </c>
      <c r="Q32" s="64">
        <v>9.74</v>
      </c>
      <c r="R32" s="198"/>
      <c r="S32" s="198"/>
      <c r="T32" s="198"/>
      <c r="U32" s="198"/>
    </row>
    <row r="33" spans="1:21" s="12" customFormat="1" x14ac:dyDescent="0.25">
      <c r="A33" s="214" t="s">
        <v>364</v>
      </c>
      <c r="B33" s="64">
        <v>56.27</v>
      </c>
      <c r="C33" s="64">
        <v>38.67</v>
      </c>
      <c r="D33" s="64">
        <v>63.95</v>
      </c>
      <c r="E33" s="64">
        <v>4.76</v>
      </c>
      <c r="F33" s="64">
        <v>2.13</v>
      </c>
      <c r="G33" s="64">
        <v>47.99</v>
      </c>
      <c r="H33" s="64">
        <v>3</v>
      </c>
      <c r="I33" s="210" t="s">
        <v>43</v>
      </c>
      <c r="J33" s="64">
        <v>1.81</v>
      </c>
      <c r="K33" s="64">
        <v>69.58</v>
      </c>
      <c r="L33" s="64">
        <v>9.4</v>
      </c>
      <c r="M33" s="64">
        <v>79.55</v>
      </c>
      <c r="N33" s="64">
        <v>99.3</v>
      </c>
      <c r="O33" s="64">
        <v>0</v>
      </c>
      <c r="P33" s="64">
        <v>0.92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4" t="s">
        <v>365</v>
      </c>
      <c r="B34" s="64">
        <v>53.24</v>
      </c>
      <c r="C34" s="64">
        <v>38.46</v>
      </c>
      <c r="D34" s="64">
        <v>61.41</v>
      </c>
      <c r="E34" s="64">
        <v>4.6900000000000004</v>
      </c>
      <c r="F34" s="64">
        <v>2.13</v>
      </c>
      <c r="G34" s="64">
        <v>47.99</v>
      </c>
      <c r="H34" s="64">
        <v>3</v>
      </c>
      <c r="I34" s="210" t="s">
        <v>43</v>
      </c>
      <c r="J34" s="64">
        <v>1.23</v>
      </c>
      <c r="K34" s="64">
        <v>74.86</v>
      </c>
      <c r="L34" s="64">
        <v>9.3699999999999992</v>
      </c>
      <c r="M34" s="64">
        <v>79.760000000000005</v>
      </c>
      <c r="N34" s="64">
        <v>99.5</v>
      </c>
      <c r="O34" s="64">
        <v>0</v>
      </c>
      <c r="P34" s="64">
        <v>0.89</v>
      </c>
      <c r="Q34" s="64">
        <v>9.3800000000000008</v>
      </c>
      <c r="R34" s="198"/>
      <c r="S34" s="198"/>
      <c r="T34" s="198"/>
      <c r="U34" s="198"/>
    </row>
    <row r="35" spans="1:21" s="12" customFormat="1" x14ac:dyDescent="0.25">
      <c r="A35" s="214" t="s">
        <v>366</v>
      </c>
      <c r="B35" s="64">
        <v>50.59</v>
      </c>
      <c r="C35" s="64">
        <v>38.799999999999997</v>
      </c>
      <c r="D35" s="64">
        <v>59.47</v>
      </c>
      <c r="E35" s="64">
        <v>4.7699999999999996</v>
      </c>
      <c r="F35" s="64">
        <v>2.13</v>
      </c>
      <c r="G35" s="64">
        <v>38.83</v>
      </c>
      <c r="H35" s="64">
        <v>1.32</v>
      </c>
      <c r="I35" s="210" t="s">
        <v>43</v>
      </c>
      <c r="J35" s="64">
        <v>0.59</v>
      </c>
      <c r="K35" s="64">
        <v>34.61</v>
      </c>
      <c r="L35" s="64">
        <v>9.25</v>
      </c>
      <c r="M35" s="64">
        <v>81.13</v>
      </c>
      <c r="N35" s="64">
        <v>102.3</v>
      </c>
      <c r="O35" s="64">
        <v>0</v>
      </c>
      <c r="P35" s="64">
        <v>0.85</v>
      </c>
      <c r="Q35" s="64">
        <v>9.09</v>
      </c>
      <c r="R35" s="198"/>
      <c r="S35" s="198"/>
      <c r="T35" s="198"/>
      <c r="U35" s="198"/>
    </row>
    <row r="36" spans="1:21" s="12" customFormat="1" x14ac:dyDescent="0.25">
      <c r="A36" s="214" t="s">
        <v>367</v>
      </c>
      <c r="B36" s="64">
        <v>49.77</v>
      </c>
      <c r="C36" s="64">
        <v>39.07</v>
      </c>
      <c r="D36" s="64">
        <v>58.94</v>
      </c>
      <c r="E36" s="64">
        <v>4.6500000000000004</v>
      </c>
      <c r="F36" s="64">
        <v>2.13</v>
      </c>
      <c r="G36" s="64">
        <v>34.909999999999997</v>
      </c>
      <c r="H36" s="64">
        <v>0.6</v>
      </c>
      <c r="I36" s="210" t="s">
        <v>43</v>
      </c>
      <c r="J36" s="64">
        <v>1.3</v>
      </c>
      <c r="K36" s="64">
        <v>352</v>
      </c>
      <c r="L36" s="64">
        <v>9.24</v>
      </c>
      <c r="M36" s="64">
        <v>82.43</v>
      </c>
      <c r="N36" s="64">
        <v>110.5</v>
      </c>
      <c r="O36" s="64">
        <v>0</v>
      </c>
      <c r="P36" s="64">
        <v>0.83</v>
      </c>
      <c r="Q36" s="64">
        <v>8.92</v>
      </c>
      <c r="R36" s="198"/>
      <c r="S36" s="198"/>
      <c r="T36" s="198"/>
      <c r="U36" s="198"/>
    </row>
    <row r="37" spans="1:21" s="12" customFormat="1" x14ac:dyDescent="0.25">
      <c r="A37" s="214" t="s">
        <v>368</v>
      </c>
      <c r="B37" s="64">
        <v>50.51</v>
      </c>
      <c r="C37" s="64">
        <v>40.229999999999997</v>
      </c>
      <c r="D37" s="64">
        <v>60.15</v>
      </c>
      <c r="E37" s="64">
        <v>4.82</v>
      </c>
      <c r="F37" s="64">
        <v>2.13</v>
      </c>
      <c r="G37" s="64">
        <v>34.909999999999997</v>
      </c>
      <c r="H37" s="64">
        <v>0.6</v>
      </c>
      <c r="I37" s="210" t="s">
        <v>43</v>
      </c>
      <c r="J37" s="64">
        <v>1.52</v>
      </c>
      <c r="K37" s="64">
        <v>328.11</v>
      </c>
      <c r="L37" s="64">
        <v>9.32</v>
      </c>
      <c r="M37" s="64">
        <v>83.65</v>
      </c>
      <c r="N37" s="64">
        <v>122.4</v>
      </c>
      <c r="O37" s="64">
        <v>0</v>
      </c>
      <c r="P37" s="64">
        <v>0.96</v>
      </c>
      <c r="Q37" s="64">
        <v>8.8699999999999992</v>
      </c>
      <c r="R37" s="198"/>
      <c r="S37" s="198"/>
      <c r="T37" s="198"/>
      <c r="U37" s="198"/>
    </row>
    <row r="38" spans="1:21" s="12" customFormat="1" x14ac:dyDescent="0.25">
      <c r="A38" s="214" t="s">
        <v>369</v>
      </c>
      <c r="B38" s="64">
        <v>50.28</v>
      </c>
      <c r="C38" s="64">
        <v>40.86</v>
      </c>
      <c r="D38" s="64">
        <v>60.29</v>
      </c>
      <c r="E38" s="64">
        <v>4.92</v>
      </c>
      <c r="F38" s="64">
        <v>2.13</v>
      </c>
      <c r="G38" s="64">
        <v>34.909999999999997</v>
      </c>
      <c r="H38" s="64">
        <v>0.6</v>
      </c>
      <c r="I38" s="210" t="s">
        <v>43</v>
      </c>
      <c r="J38" s="64">
        <v>0.85</v>
      </c>
      <c r="K38" s="64">
        <v>104.63</v>
      </c>
      <c r="L38" s="64">
        <v>9.7100000000000009</v>
      </c>
      <c r="M38" s="64">
        <v>81.069999999999993</v>
      </c>
      <c r="N38" s="64">
        <v>133.6</v>
      </c>
      <c r="O38" s="64">
        <v>0</v>
      </c>
      <c r="P38" s="64">
        <v>1</v>
      </c>
      <c r="Q38" s="64">
        <v>8.8800000000000008</v>
      </c>
      <c r="R38" s="198"/>
      <c r="S38" s="198"/>
      <c r="T38" s="198"/>
      <c r="U38" s="198"/>
    </row>
    <row r="39" spans="1:21" s="12" customFormat="1" x14ac:dyDescent="0.25">
      <c r="A39" s="214" t="s">
        <v>370</v>
      </c>
      <c r="B39" s="64">
        <v>48.65</v>
      </c>
      <c r="C39" s="64">
        <v>41.11</v>
      </c>
      <c r="D39" s="64">
        <v>59.11</v>
      </c>
      <c r="E39" s="64">
        <v>5.22</v>
      </c>
      <c r="F39" s="64">
        <v>2.13</v>
      </c>
      <c r="G39" s="64">
        <v>50.76</v>
      </c>
      <c r="H39" s="64">
        <v>11.59</v>
      </c>
      <c r="I39" s="210" t="s">
        <v>43</v>
      </c>
      <c r="J39" s="64">
        <v>1.37</v>
      </c>
      <c r="K39" s="64">
        <v>74.12</v>
      </c>
      <c r="L39" s="64">
        <v>10.38</v>
      </c>
      <c r="M39" s="64">
        <v>77.31</v>
      </c>
      <c r="N39" s="64">
        <v>150</v>
      </c>
      <c r="O39" s="64">
        <v>0</v>
      </c>
      <c r="P39" s="64">
        <v>0.97</v>
      </c>
      <c r="Q39" s="64">
        <v>8.81</v>
      </c>
      <c r="R39" s="198"/>
      <c r="S39" s="198"/>
      <c r="T39" s="198"/>
      <c r="U39" s="198"/>
    </row>
    <row r="40" spans="1:21" s="12" customFormat="1" x14ac:dyDescent="0.25">
      <c r="A40" s="214" t="s">
        <v>371</v>
      </c>
      <c r="B40" s="64">
        <v>47</v>
      </c>
      <c r="C40" s="64">
        <v>41.5</v>
      </c>
      <c r="D40" s="64">
        <v>57.99</v>
      </c>
      <c r="E40" s="64">
        <v>4.99</v>
      </c>
      <c r="F40" s="64">
        <v>2.13</v>
      </c>
      <c r="G40" s="64">
        <v>57.55</v>
      </c>
      <c r="H40" s="64">
        <v>16.29</v>
      </c>
      <c r="I40" s="210" t="s">
        <v>43</v>
      </c>
      <c r="J40" s="64">
        <v>1.1299999999999999</v>
      </c>
      <c r="K40" s="64">
        <v>79.72</v>
      </c>
      <c r="L40" s="64">
        <v>11.55</v>
      </c>
      <c r="M40" s="64">
        <v>71.28</v>
      </c>
      <c r="N40" s="64">
        <v>291.5</v>
      </c>
      <c r="O40" s="64">
        <v>0</v>
      </c>
      <c r="P40" s="64">
        <v>0.95</v>
      </c>
      <c r="Q40" s="64">
        <v>8.74</v>
      </c>
      <c r="R40" s="198"/>
      <c r="S40" s="198"/>
      <c r="T40" s="198"/>
      <c r="U40" s="198"/>
    </row>
    <row r="41" spans="1:21" s="12" customFormat="1" x14ac:dyDescent="0.25">
      <c r="A41" s="214" t="s">
        <v>372</v>
      </c>
      <c r="B41" s="64">
        <v>45.47</v>
      </c>
      <c r="C41" s="64">
        <v>41.89</v>
      </c>
      <c r="D41" s="64">
        <v>56.97</v>
      </c>
      <c r="E41" s="64">
        <v>5.53</v>
      </c>
      <c r="F41" s="64">
        <v>2.13</v>
      </c>
      <c r="G41" s="64">
        <v>57.55</v>
      </c>
      <c r="H41" s="64">
        <v>16.29</v>
      </c>
      <c r="I41" s="210" t="s">
        <v>43</v>
      </c>
      <c r="J41" s="64">
        <v>1.07</v>
      </c>
      <c r="K41" s="64">
        <v>71.12</v>
      </c>
      <c r="L41" s="64">
        <v>13.64</v>
      </c>
      <c r="M41" s="64">
        <v>62.4</v>
      </c>
      <c r="N41" s="64">
        <v>379.8</v>
      </c>
      <c r="O41" s="64">
        <v>0</v>
      </c>
      <c r="P41" s="64">
        <v>0.93</v>
      </c>
      <c r="Q41" s="64">
        <v>8.67</v>
      </c>
      <c r="R41" s="198"/>
      <c r="S41" s="198"/>
      <c r="T41" s="198"/>
      <c r="U41" s="198"/>
    </row>
    <row r="42" spans="1:21" s="12" customFormat="1" x14ac:dyDescent="0.25">
      <c r="A42" s="214" t="s">
        <v>373</v>
      </c>
      <c r="B42" s="64">
        <v>44.17</v>
      </c>
      <c r="C42" s="64">
        <v>42.69</v>
      </c>
      <c r="D42" s="64">
        <v>56.35</v>
      </c>
      <c r="E42" s="64">
        <v>5.23</v>
      </c>
      <c r="F42" s="64">
        <v>2.13</v>
      </c>
      <c r="G42" s="64">
        <v>57.55</v>
      </c>
      <c r="H42" s="64">
        <v>16.29</v>
      </c>
      <c r="I42" s="210" t="s">
        <v>43</v>
      </c>
      <c r="J42" s="64">
        <v>1.72</v>
      </c>
      <c r="K42" s="64">
        <v>352.45</v>
      </c>
      <c r="L42" s="64">
        <v>16.329999999999998</v>
      </c>
      <c r="M42" s="64">
        <v>53.57</v>
      </c>
      <c r="N42" s="64">
        <v>433.9</v>
      </c>
      <c r="O42" s="64">
        <v>0</v>
      </c>
      <c r="P42" s="64">
        <v>0.9</v>
      </c>
      <c r="Q42" s="64">
        <v>8.6199999999999992</v>
      </c>
      <c r="R42" s="198"/>
      <c r="S42" s="198"/>
      <c r="T42" s="198"/>
      <c r="U42" s="198"/>
    </row>
    <row r="43" spans="1:21" s="12" customFormat="1" x14ac:dyDescent="0.25">
      <c r="A43" s="214" t="s">
        <v>374</v>
      </c>
      <c r="B43" s="64">
        <v>43.36</v>
      </c>
      <c r="C43" s="64">
        <v>43.39</v>
      </c>
      <c r="D43" s="64">
        <v>56.06</v>
      </c>
      <c r="E43" s="64">
        <v>5.36</v>
      </c>
      <c r="F43" s="64">
        <v>2.13</v>
      </c>
      <c r="G43" s="64">
        <v>59.01</v>
      </c>
      <c r="H43" s="64">
        <v>34.33</v>
      </c>
      <c r="I43" s="210" t="s">
        <v>43</v>
      </c>
      <c r="J43" s="64">
        <v>2.94</v>
      </c>
      <c r="K43" s="64">
        <v>112.25</v>
      </c>
      <c r="L43" s="64">
        <v>16.27</v>
      </c>
      <c r="M43" s="64">
        <v>53.53</v>
      </c>
      <c r="N43" s="64">
        <v>494.6</v>
      </c>
      <c r="O43" s="64">
        <v>0</v>
      </c>
      <c r="P43" s="64">
        <v>0.88</v>
      </c>
      <c r="Q43" s="64">
        <v>8.61</v>
      </c>
      <c r="R43" s="198"/>
      <c r="S43" s="198"/>
      <c r="T43" s="198"/>
      <c r="U43" s="198"/>
    </row>
    <row r="44" spans="1:21" s="12" customFormat="1" x14ac:dyDescent="0.25">
      <c r="A44" s="214" t="s">
        <v>375</v>
      </c>
      <c r="B44" s="64">
        <v>42.25</v>
      </c>
      <c r="C44" s="64">
        <v>43.63</v>
      </c>
      <c r="D44" s="64">
        <v>55.3</v>
      </c>
      <c r="E44" s="64">
        <v>5.33</v>
      </c>
      <c r="F44" s="64">
        <v>2.13</v>
      </c>
      <c r="G44" s="64">
        <v>59.63</v>
      </c>
      <c r="H44" s="64">
        <v>42.48</v>
      </c>
      <c r="I44" s="210" t="s">
        <v>43</v>
      </c>
      <c r="J44" s="64">
        <v>1.68</v>
      </c>
      <c r="K44" s="64">
        <v>28.05</v>
      </c>
      <c r="L44" s="64">
        <v>16.63</v>
      </c>
      <c r="M44" s="64">
        <v>52.05</v>
      </c>
      <c r="N44" s="64">
        <v>543.6</v>
      </c>
      <c r="O44" s="64">
        <v>0</v>
      </c>
      <c r="P44" s="64">
        <v>0.86</v>
      </c>
      <c r="Q44" s="64">
        <v>8.57</v>
      </c>
      <c r="R44" s="198"/>
      <c r="S44" s="198"/>
      <c r="T44" s="198"/>
      <c r="U44" s="198"/>
    </row>
    <row r="45" spans="1:21" s="12" customFormat="1" x14ac:dyDescent="0.25">
      <c r="A45" s="214" t="s">
        <v>376</v>
      </c>
      <c r="B45" s="64">
        <v>41.02</v>
      </c>
      <c r="C45" s="64">
        <v>44.35</v>
      </c>
      <c r="D45" s="64">
        <v>54.69</v>
      </c>
      <c r="E45" s="64">
        <v>5.61</v>
      </c>
      <c r="F45" s="64">
        <v>2.13</v>
      </c>
      <c r="G45" s="64">
        <v>59.63</v>
      </c>
      <c r="H45" s="64">
        <v>42.48</v>
      </c>
      <c r="I45" s="210" t="s">
        <v>43</v>
      </c>
      <c r="J45" s="64">
        <v>1.27</v>
      </c>
      <c r="K45" s="64">
        <v>52.9</v>
      </c>
      <c r="L45" s="64">
        <v>18.79</v>
      </c>
      <c r="M45" s="64">
        <v>45.28</v>
      </c>
      <c r="N45" s="64">
        <v>585.29999999999995</v>
      </c>
      <c r="O45" s="64">
        <v>0</v>
      </c>
      <c r="P45" s="64">
        <v>0.83</v>
      </c>
      <c r="Q45" s="64">
        <v>8.49</v>
      </c>
      <c r="R45" s="198"/>
      <c r="S45" s="198"/>
      <c r="T45" s="198"/>
      <c r="U45" s="198"/>
    </row>
    <row r="46" spans="1:21" s="12" customFormat="1" x14ac:dyDescent="0.25">
      <c r="A46" s="214" t="s">
        <v>377</v>
      </c>
      <c r="B46" s="64">
        <v>39.380000000000003</v>
      </c>
      <c r="C46" s="64">
        <v>43.63</v>
      </c>
      <c r="D46" s="64">
        <v>53</v>
      </c>
      <c r="E46" s="64">
        <v>5.43</v>
      </c>
      <c r="F46" s="64">
        <v>2.13</v>
      </c>
      <c r="G46" s="64">
        <v>59.63</v>
      </c>
      <c r="H46" s="64">
        <v>42.48</v>
      </c>
      <c r="I46" s="210" t="s">
        <v>43</v>
      </c>
      <c r="J46" s="64">
        <v>3.31</v>
      </c>
      <c r="K46" s="64">
        <v>338.07</v>
      </c>
      <c r="L46" s="64">
        <v>20.92</v>
      </c>
      <c r="M46" s="64">
        <v>38.630000000000003</v>
      </c>
      <c r="N46" s="64">
        <v>621.79999999999995</v>
      </c>
      <c r="O46" s="64">
        <v>0</v>
      </c>
      <c r="P46" s="64">
        <v>0.81</v>
      </c>
      <c r="Q46" s="64">
        <v>8.42</v>
      </c>
      <c r="R46" s="198"/>
      <c r="S46" s="198"/>
      <c r="T46" s="198"/>
      <c r="U46" s="198"/>
    </row>
    <row r="47" spans="1:21" s="12" customFormat="1" x14ac:dyDescent="0.25">
      <c r="A47" s="214" t="s">
        <v>378</v>
      </c>
      <c r="B47" s="64">
        <v>37.89</v>
      </c>
      <c r="C47" s="64">
        <v>44.8</v>
      </c>
      <c r="D47" s="64">
        <v>52.41</v>
      </c>
      <c r="E47" s="64">
        <v>5.48</v>
      </c>
      <c r="F47" s="64">
        <v>2.13</v>
      </c>
      <c r="G47" s="64">
        <v>52.05</v>
      </c>
      <c r="H47" s="64">
        <v>26.26</v>
      </c>
      <c r="I47" s="210" t="s">
        <v>43</v>
      </c>
      <c r="J47" s="64">
        <v>1.28</v>
      </c>
      <c r="K47" s="64">
        <v>36.770000000000003</v>
      </c>
      <c r="L47" s="64">
        <v>20.21</v>
      </c>
      <c r="M47" s="64">
        <v>41.25</v>
      </c>
      <c r="N47" s="64">
        <v>646.29999999999995</v>
      </c>
      <c r="O47" s="64">
        <v>0</v>
      </c>
      <c r="P47" s="64">
        <v>0.8</v>
      </c>
      <c r="Q47" s="64">
        <v>8.32</v>
      </c>
      <c r="R47" s="198"/>
      <c r="S47" s="198"/>
      <c r="T47" s="198"/>
      <c r="U47" s="198"/>
    </row>
    <row r="48" spans="1:21" s="12" customFormat="1" x14ac:dyDescent="0.25">
      <c r="A48" s="214" t="s">
        <v>379</v>
      </c>
      <c r="B48" s="64">
        <v>36.42</v>
      </c>
      <c r="C48" s="64">
        <v>45.93</v>
      </c>
      <c r="D48" s="64">
        <v>51.83</v>
      </c>
      <c r="E48" s="64">
        <v>4.96</v>
      </c>
      <c r="F48" s="64">
        <v>2.13</v>
      </c>
      <c r="G48" s="64">
        <v>48.81</v>
      </c>
      <c r="H48" s="64">
        <v>19.309999999999999</v>
      </c>
      <c r="I48" s="210" t="s">
        <v>43</v>
      </c>
      <c r="J48" s="64">
        <v>3.75</v>
      </c>
      <c r="K48" s="64">
        <v>332.64</v>
      </c>
      <c r="L48" s="64">
        <v>23.43</v>
      </c>
      <c r="M48" s="64">
        <v>33.89</v>
      </c>
      <c r="N48" s="64">
        <v>659.5</v>
      </c>
      <c r="O48" s="64">
        <v>0</v>
      </c>
      <c r="P48" s="64">
        <v>0.79</v>
      </c>
      <c r="Q48" s="64">
        <v>8.23</v>
      </c>
      <c r="R48" s="198"/>
      <c r="S48" s="198"/>
      <c r="T48" s="198"/>
      <c r="U48" s="198"/>
    </row>
    <row r="49" spans="1:21" s="12" customFormat="1" x14ac:dyDescent="0.25">
      <c r="A49" s="214" t="s">
        <v>380</v>
      </c>
      <c r="B49" s="64">
        <v>35.35</v>
      </c>
      <c r="C49" s="64">
        <v>47.14</v>
      </c>
      <c r="D49" s="64">
        <v>51.6</v>
      </c>
      <c r="E49" s="64">
        <v>5.46</v>
      </c>
      <c r="F49" s="64">
        <v>2.13</v>
      </c>
      <c r="G49" s="64">
        <v>48.81</v>
      </c>
      <c r="H49" s="64">
        <v>19.309999999999999</v>
      </c>
      <c r="I49" s="210" t="s">
        <v>43</v>
      </c>
      <c r="J49" s="64">
        <v>3.2</v>
      </c>
      <c r="K49" s="64">
        <v>329.88</v>
      </c>
      <c r="L49" s="64">
        <v>24.52</v>
      </c>
      <c r="M49" s="64">
        <v>31.84</v>
      </c>
      <c r="N49" s="64">
        <v>672</v>
      </c>
      <c r="O49" s="64">
        <v>0</v>
      </c>
      <c r="P49" s="64">
        <v>0.78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381</v>
      </c>
      <c r="B50" s="64">
        <v>32.619999999999997</v>
      </c>
      <c r="C50" s="64">
        <v>53.08</v>
      </c>
      <c r="D50" s="64">
        <v>52.51</v>
      </c>
      <c r="E50" s="64">
        <v>8.11</v>
      </c>
      <c r="F50" s="64">
        <v>2.15</v>
      </c>
      <c r="G50" s="64">
        <v>48.81</v>
      </c>
      <c r="H50" s="64">
        <v>19.309999999999999</v>
      </c>
      <c r="I50" s="210" t="s">
        <v>43</v>
      </c>
      <c r="J50" s="64">
        <v>0.71</v>
      </c>
      <c r="K50" s="64">
        <v>338.12</v>
      </c>
      <c r="L50" s="64">
        <v>23.41</v>
      </c>
      <c r="M50" s="64">
        <v>33.07</v>
      </c>
      <c r="N50" s="64">
        <v>685.4</v>
      </c>
      <c r="O50" s="64">
        <v>0</v>
      </c>
      <c r="P50" s="64">
        <v>0.76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382</v>
      </c>
      <c r="B51" s="64">
        <v>24.91</v>
      </c>
      <c r="C51" s="64">
        <v>66.010000000000005</v>
      </c>
      <c r="D51" s="64">
        <v>53.09</v>
      </c>
      <c r="E51" s="64">
        <v>7.96</v>
      </c>
      <c r="F51" s="64">
        <v>2.13</v>
      </c>
      <c r="G51" s="64">
        <v>39.46</v>
      </c>
      <c r="H51" s="64">
        <v>20.100000000000001</v>
      </c>
      <c r="I51" s="210" t="s">
        <v>43</v>
      </c>
      <c r="J51" s="64">
        <v>2.93</v>
      </c>
      <c r="K51" s="64">
        <v>305.56</v>
      </c>
      <c r="L51" s="64">
        <v>25.17</v>
      </c>
      <c r="M51" s="64">
        <v>29.92</v>
      </c>
      <c r="N51" s="64">
        <v>708.6</v>
      </c>
      <c r="O51" s="64">
        <v>0</v>
      </c>
      <c r="P51" s="64">
        <v>0.73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383</v>
      </c>
      <c r="B52" s="64">
        <v>19.5</v>
      </c>
      <c r="C52" s="64">
        <v>69.39</v>
      </c>
      <c r="D52" s="64">
        <v>50.52</v>
      </c>
      <c r="E52" s="64">
        <v>7.89</v>
      </c>
      <c r="F52" s="64">
        <v>2.13</v>
      </c>
      <c r="G52" s="64">
        <v>35.450000000000003</v>
      </c>
      <c r="H52" s="64">
        <v>20.440000000000001</v>
      </c>
      <c r="I52" s="210" t="s">
        <v>43</v>
      </c>
      <c r="J52" s="64">
        <v>2.8</v>
      </c>
      <c r="K52" s="64">
        <v>332.59</v>
      </c>
      <c r="L52" s="64">
        <v>25.49</v>
      </c>
      <c r="M52" s="64">
        <v>28.72</v>
      </c>
      <c r="N52" s="64">
        <v>732.2</v>
      </c>
      <c r="O52" s="64">
        <v>0</v>
      </c>
      <c r="P52" s="64">
        <v>0.71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384</v>
      </c>
      <c r="B53" s="64">
        <v>16.28</v>
      </c>
      <c r="C53" s="64">
        <v>68.58</v>
      </c>
      <c r="D53" s="64">
        <v>47.51</v>
      </c>
      <c r="E53" s="64">
        <v>7.59</v>
      </c>
      <c r="F53" s="64">
        <v>2.13</v>
      </c>
      <c r="G53" s="64">
        <v>35.450000000000003</v>
      </c>
      <c r="H53" s="64">
        <v>20.440000000000001</v>
      </c>
      <c r="I53" s="210" t="s">
        <v>43</v>
      </c>
      <c r="J53" s="64">
        <v>1.33</v>
      </c>
      <c r="K53" s="64">
        <v>88.31</v>
      </c>
      <c r="L53" s="64">
        <v>22.91</v>
      </c>
      <c r="M53" s="64">
        <v>32.35</v>
      </c>
      <c r="N53" s="64">
        <v>749.2</v>
      </c>
      <c r="O53" s="64">
        <v>0</v>
      </c>
      <c r="P53" s="64">
        <v>0.7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385</v>
      </c>
      <c r="B54" s="64">
        <v>13.8</v>
      </c>
      <c r="C54" s="64">
        <v>66.62</v>
      </c>
      <c r="D54" s="64">
        <v>44.5</v>
      </c>
      <c r="E54" s="64">
        <v>6.88</v>
      </c>
      <c r="F54" s="64">
        <v>2.13</v>
      </c>
      <c r="G54" s="64">
        <v>35.450000000000003</v>
      </c>
      <c r="H54" s="64">
        <v>20.440000000000001</v>
      </c>
      <c r="I54" s="210" t="s">
        <v>43</v>
      </c>
      <c r="J54" s="64">
        <v>2.94</v>
      </c>
      <c r="K54" s="64">
        <v>341.83</v>
      </c>
      <c r="L54" s="64">
        <v>24.21</v>
      </c>
      <c r="M54" s="64">
        <v>29.43</v>
      </c>
      <c r="N54" s="64">
        <v>783.5</v>
      </c>
      <c r="O54" s="64">
        <v>0</v>
      </c>
      <c r="P54" s="64">
        <v>0.69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386</v>
      </c>
      <c r="B55" s="64">
        <v>11.3</v>
      </c>
      <c r="C55" s="64">
        <v>67.510000000000005</v>
      </c>
      <c r="D55" s="64">
        <v>42.96</v>
      </c>
      <c r="E55" s="64">
        <v>7.04</v>
      </c>
      <c r="F55" s="64">
        <v>2.13</v>
      </c>
      <c r="G55" s="64">
        <v>62.95</v>
      </c>
      <c r="H55" s="64">
        <v>25.36</v>
      </c>
      <c r="I55" s="210" t="s">
        <v>43</v>
      </c>
      <c r="J55" s="64">
        <v>1.22</v>
      </c>
      <c r="K55" s="64">
        <v>315.68</v>
      </c>
      <c r="L55" s="64">
        <v>25.87</v>
      </c>
      <c r="M55" s="64">
        <v>26.61</v>
      </c>
      <c r="N55" s="64">
        <v>779.3</v>
      </c>
      <c r="O55" s="64">
        <v>0</v>
      </c>
      <c r="P55" s="64">
        <v>0.7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387</v>
      </c>
      <c r="B56" s="64">
        <v>8.1199999999999992</v>
      </c>
      <c r="C56" s="64">
        <v>67.540000000000006</v>
      </c>
      <c r="D56" s="64">
        <v>40.42</v>
      </c>
      <c r="E56" s="64">
        <v>6.41</v>
      </c>
      <c r="F56" s="64">
        <v>2.13</v>
      </c>
      <c r="G56" s="64">
        <v>74.73</v>
      </c>
      <c r="H56" s="64">
        <v>27.47</v>
      </c>
      <c r="I56" s="210" t="s">
        <v>43</v>
      </c>
      <c r="J56" s="64">
        <v>1.05</v>
      </c>
      <c r="K56" s="64">
        <v>123.03</v>
      </c>
      <c r="L56" s="64">
        <v>22.78</v>
      </c>
      <c r="M56" s="64">
        <v>30.69</v>
      </c>
      <c r="N56" s="64">
        <v>783.5</v>
      </c>
      <c r="O56" s="64">
        <v>0</v>
      </c>
      <c r="P56" s="64">
        <v>0.69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388</v>
      </c>
      <c r="B57" s="64">
        <v>6.83</v>
      </c>
      <c r="C57" s="64">
        <v>66.78</v>
      </c>
      <c r="D57" s="64">
        <v>38.99</v>
      </c>
      <c r="E57" s="64">
        <v>7.15</v>
      </c>
      <c r="F57" s="64">
        <v>2.13</v>
      </c>
      <c r="G57" s="64">
        <v>74.73</v>
      </c>
      <c r="H57" s="64">
        <v>27.47</v>
      </c>
      <c r="I57" s="210" t="s">
        <v>43</v>
      </c>
      <c r="J57" s="64">
        <v>2.44</v>
      </c>
      <c r="K57" s="64">
        <v>340.19</v>
      </c>
      <c r="L57" s="64">
        <v>24.34</v>
      </c>
      <c r="M57" s="64">
        <v>28.42</v>
      </c>
      <c r="N57" s="64">
        <v>755.6</v>
      </c>
      <c r="O57" s="64">
        <v>0</v>
      </c>
      <c r="P57" s="64">
        <v>0.68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389</v>
      </c>
      <c r="B58" s="64">
        <v>5.74</v>
      </c>
      <c r="C58" s="64">
        <v>68.900000000000006</v>
      </c>
      <c r="D58" s="64">
        <v>39.22</v>
      </c>
      <c r="E58" s="64">
        <v>8.1999999999999993</v>
      </c>
      <c r="F58" s="64">
        <v>2.17</v>
      </c>
      <c r="G58" s="64">
        <v>74.73</v>
      </c>
      <c r="H58" s="64">
        <v>27.47</v>
      </c>
      <c r="I58" s="210" t="s">
        <v>43</v>
      </c>
      <c r="J58" s="64">
        <v>0.19</v>
      </c>
      <c r="K58" s="64">
        <v>18.62</v>
      </c>
      <c r="L58" s="64">
        <v>23.81</v>
      </c>
      <c r="M58" s="64">
        <v>29.03</v>
      </c>
      <c r="N58" s="64">
        <v>699.2</v>
      </c>
      <c r="O58" s="64">
        <v>0</v>
      </c>
      <c r="P58" s="64">
        <v>0.7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390</v>
      </c>
      <c r="B59" s="64">
        <v>4.68</v>
      </c>
      <c r="C59" s="64">
        <v>71.25</v>
      </c>
      <c r="D59" s="64">
        <v>39.6</v>
      </c>
      <c r="E59" s="64">
        <v>10.76</v>
      </c>
      <c r="F59" s="64">
        <v>5</v>
      </c>
      <c r="G59" s="64">
        <v>79.05</v>
      </c>
      <c r="H59" s="64">
        <v>25.4</v>
      </c>
      <c r="I59" s="210" t="s">
        <v>43</v>
      </c>
      <c r="J59" s="64">
        <v>1.2</v>
      </c>
      <c r="K59" s="64">
        <v>2.04</v>
      </c>
      <c r="L59" s="64">
        <v>24.11</v>
      </c>
      <c r="M59" s="64">
        <v>27.81</v>
      </c>
      <c r="N59" s="64">
        <v>717</v>
      </c>
      <c r="O59" s="64">
        <v>0</v>
      </c>
      <c r="P59" s="64">
        <v>0.72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391</v>
      </c>
      <c r="B60" s="64">
        <v>3.49</v>
      </c>
      <c r="C60" s="64">
        <v>74.67</v>
      </c>
      <c r="D60" s="64">
        <v>40.43</v>
      </c>
      <c r="E60" s="64">
        <v>9.5299999999999994</v>
      </c>
      <c r="F60" s="64">
        <v>4.46</v>
      </c>
      <c r="G60" s="64">
        <v>80.900000000000006</v>
      </c>
      <c r="H60" s="64">
        <v>24.51</v>
      </c>
      <c r="I60" s="210" t="s">
        <v>43</v>
      </c>
      <c r="J60" s="64">
        <v>2.14</v>
      </c>
      <c r="K60" s="64">
        <v>119.69</v>
      </c>
      <c r="L60" s="64">
        <v>22.68</v>
      </c>
      <c r="M60" s="64">
        <v>29.46</v>
      </c>
      <c r="N60" s="64">
        <v>705.2</v>
      </c>
      <c r="O60" s="64">
        <v>0</v>
      </c>
      <c r="P60" s="64">
        <v>0.73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392</v>
      </c>
      <c r="B61" s="64">
        <v>3.34</v>
      </c>
      <c r="C61" s="64">
        <v>71.56</v>
      </c>
      <c r="D61" s="64">
        <v>38.69</v>
      </c>
      <c r="E61" s="64">
        <v>8.15</v>
      </c>
      <c r="F61" s="64">
        <v>2.29</v>
      </c>
      <c r="G61" s="64">
        <v>80.900000000000006</v>
      </c>
      <c r="H61" s="64">
        <v>24.51</v>
      </c>
      <c r="I61" s="210" t="s">
        <v>43</v>
      </c>
      <c r="J61" s="64">
        <v>2.92</v>
      </c>
      <c r="K61" s="64">
        <v>331.45</v>
      </c>
      <c r="L61" s="64">
        <v>24.35</v>
      </c>
      <c r="M61" s="64">
        <v>27.18</v>
      </c>
      <c r="N61" s="64">
        <v>685.8</v>
      </c>
      <c r="O61" s="64">
        <v>0</v>
      </c>
      <c r="P61" s="64">
        <v>0.7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393</v>
      </c>
      <c r="B62" s="64">
        <v>4.4400000000000004</v>
      </c>
      <c r="C62" s="64">
        <v>69.349999999999994</v>
      </c>
      <c r="D62" s="64">
        <v>38.42</v>
      </c>
      <c r="E62" s="64">
        <v>7.35</v>
      </c>
      <c r="F62" s="64">
        <v>2.13</v>
      </c>
      <c r="G62" s="64">
        <v>80.900000000000006</v>
      </c>
      <c r="H62" s="64">
        <v>24.51</v>
      </c>
      <c r="I62" s="210" t="s">
        <v>43</v>
      </c>
      <c r="J62" s="64">
        <v>3.19</v>
      </c>
      <c r="K62" s="64">
        <v>328.63</v>
      </c>
      <c r="L62" s="64">
        <v>25.69</v>
      </c>
      <c r="M62" s="64">
        <v>23.73</v>
      </c>
      <c r="N62" s="64">
        <v>673</v>
      </c>
      <c r="O62" s="64">
        <v>0</v>
      </c>
      <c r="P62" s="64">
        <v>0.74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394</v>
      </c>
      <c r="B63" s="64">
        <v>5.34</v>
      </c>
      <c r="C63" s="64">
        <v>67.23</v>
      </c>
      <c r="D63" s="64">
        <v>38.03</v>
      </c>
      <c r="E63" s="64">
        <v>7.29</v>
      </c>
      <c r="F63" s="64">
        <v>2.13</v>
      </c>
      <c r="G63" s="64">
        <v>91.15</v>
      </c>
      <c r="H63" s="64">
        <v>19.25</v>
      </c>
      <c r="I63" s="210" t="s">
        <v>43</v>
      </c>
      <c r="J63" s="64">
        <v>1.88</v>
      </c>
      <c r="K63" s="64">
        <v>342.65</v>
      </c>
      <c r="L63" s="64">
        <v>25.32</v>
      </c>
      <c r="M63" s="64">
        <v>24.21</v>
      </c>
      <c r="N63" s="64">
        <v>659.7</v>
      </c>
      <c r="O63" s="64">
        <v>0</v>
      </c>
      <c r="P63" s="64">
        <v>0.75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395</v>
      </c>
      <c r="B64" s="64">
        <v>5.95</v>
      </c>
      <c r="C64" s="64">
        <v>65.599999999999994</v>
      </c>
      <c r="D64" s="64">
        <v>37.67</v>
      </c>
      <c r="E64" s="64">
        <v>6.18</v>
      </c>
      <c r="F64" s="64">
        <v>2.13</v>
      </c>
      <c r="G64" s="64">
        <v>95.55</v>
      </c>
      <c r="H64" s="64">
        <v>17</v>
      </c>
      <c r="I64" s="210" t="s">
        <v>43</v>
      </c>
      <c r="J64" s="64">
        <v>0.89</v>
      </c>
      <c r="K64" s="64">
        <v>70.75</v>
      </c>
      <c r="L64" s="64">
        <v>23.92</v>
      </c>
      <c r="M64" s="64">
        <v>26.02</v>
      </c>
      <c r="N64" s="64">
        <v>619.1</v>
      </c>
      <c r="O64" s="64">
        <v>0</v>
      </c>
      <c r="P64" s="64">
        <v>0.76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396</v>
      </c>
      <c r="B65" s="64">
        <v>6.08</v>
      </c>
      <c r="C65" s="64">
        <v>63.69</v>
      </c>
      <c r="D65" s="64">
        <v>36.78</v>
      </c>
      <c r="E65" s="64">
        <v>5.99</v>
      </c>
      <c r="F65" s="64">
        <v>2.13</v>
      </c>
      <c r="G65" s="64">
        <v>95.55</v>
      </c>
      <c r="H65" s="64">
        <v>17</v>
      </c>
      <c r="I65" s="210" t="s">
        <v>43</v>
      </c>
      <c r="J65" s="64">
        <v>0.43</v>
      </c>
      <c r="K65" s="64">
        <v>115.38</v>
      </c>
      <c r="L65" s="64">
        <v>23.75</v>
      </c>
      <c r="M65" s="64">
        <v>26.36</v>
      </c>
      <c r="N65" s="64">
        <v>491.1</v>
      </c>
      <c r="O65" s="64">
        <v>0</v>
      </c>
      <c r="P65" s="64">
        <v>0.76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397</v>
      </c>
      <c r="B66" s="64">
        <v>5.75</v>
      </c>
      <c r="C66" s="64">
        <v>62.18</v>
      </c>
      <c r="D66" s="64">
        <v>35.729999999999997</v>
      </c>
      <c r="E66" s="64">
        <v>7.12</v>
      </c>
      <c r="F66" s="64">
        <v>2.75</v>
      </c>
      <c r="G66" s="64">
        <v>95.55</v>
      </c>
      <c r="H66" s="64">
        <v>17</v>
      </c>
      <c r="I66" s="210" t="s">
        <v>43</v>
      </c>
      <c r="J66" s="64">
        <v>0.71</v>
      </c>
      <c r="K66" s="64">
        <v>16.57</v>
      </c>
      <c r="L66" s="64">
        <v>23.61</v>
      </c>
      <c r="M66" s="64">
        <v>26.35</v>
      </c>
      <c r="N66" s="64">
        <v>296.3</v>
      </c>
      <c r="O66" s="64">
        <v>0</v>
      </c>
      <c r="P66" s="64">
        <v>0.74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398</v>
      </c>
      <c r="B67" s="64">
        <v>4.43</v>
      </c>
      <c r="C67" s="64">
        <v>62.58</v>
      </c>
      <c r="D67" s="64">
        <v>34.869999999999997</v>
      </c>
      <c r="E67" s="64">
        <v>6.55</v>
      </c>
      <c r="F67" s="64">
        <v>2.68</v>
      </c>
      <c r="G67" s="64">
        <v>80.900000000000006</v>
      </c>
      <c r="H67" s="64">
        <v>12.48</v>
      </c>
      <c r="I67" s="210" t="s">
        <v>43</v>
      </c>
      <c r="J67" s="64">
        <v>2.16</v>
      </c>
      <c r="K67" s="64">
        <v>343.42</v>
      </c>
      <c r="L67" s="64">
        <v>24.09</v>
      </c>
      <c r="M67" s="64">
        <v>25.93</v>
      </c>
      <c r="N67" s="64">
        <v>298.2</v>
      </c>
      <c r="O67" s="64">
        <v>0</v>
      </c>
      <c r="P67" s="64">
        <v>0.75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399</v>
      </c>
      <c r="B68" s="64">
        <v>4.12</v>
      </c>
      <c r="C68" s="64">
        <v>61.78</v>
      </c>
      <c r="D68" s="64">
        <v>34.21</v>
      </c>
      <c r="E68" s="64">
        <v>6.2</v>
      </c>
      <c r="F68" s="64">
        <v>2.13</v>
      </c>
      <c r="G68" s="64">
        <v>74.61</v>
      </c>
      <c r="H68" s="64">
        <v>10.54</v>
      </c>
      <c r="I68" s="210" t="s">
        <v>43</v>
      </c>
      <c r="J68" s="64">
        <v>2.14</v>
      </c>
      <c r="K68" s="64">
        <v>322.2</v>
      </c>
      <c r="L68" s="64">
        <v>23.8</v>
      </c>
      <c r="M68" s="64">
        <v>26.19</v>
      </c>
      <c r="N68" s="64">
        <v>267.39999999999998</v>
      </c>
      <c r="O68" s="64">
        <v>0</v>
      </c>
      <c r="P68" s="64">
        <v>0.76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400</v>
      </c>
      <c r="B69" s="64">
        <v>4.51</v>
      </c>
      <c r="C69" s="64">
        <v>61.29</v>
      </c>
      <c r="D69" s="64">
        <v>34.270000000000003</v>
      </c>
      <c r="E69" s="64">
        <v>6.46</v>
      </c>
      <c r="F69" s="64">
        <v>2.13</v>
      </c>
      <c r="G69" s="64">
        <v>74.61</v>
      </c>
      <c r="H69" s="64">
        <v>10.54</v>
      </c>
      <c r="I69" s="210" t="s">
        <v>43</v>
      </c>
      <c r="J69" s="64">
        <v>2.78</v>
      </c>
      <c r="K69" s="64">
        <v>334.87</v>
      </c>
      <c r="L69" s="64">
        <v>24.11</v>
      </c>
      <c r="M69" s="64">
        <v>25.23</v>
      </c>
      <c r="N69" s="64">
        <v>243.5</v>
      </c>
      <c r="O69" s="64">
        <v>0</v>
      </c>
      <c r="P69" s="64">
        <v>0.79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401</v>
      </c>
      <c r="B70" s="64">
        <v>4.84</v>
      </c>
      <c r="C70" s="64">
        <v>61.4</v>
      </c>
      <c r="D70" s="64">
        <v>34.590000000000003</v>
      </c>
      <c r="E70" s="64">
        <v>6.82</v>
      </c>
      <c r="F70" s="64">
        <v>2.13</v>
      </c>
      <c r="G70" s="64">
        <v>74.61</v>
      </c>
      <c r="H70" s="64">
        <v>10.54</v>
      </c>
      <c r="I70" s="210" t="s">
        <v>43</v>
      </c>
      <c r="J70" s="64">
        <v>2.21</v>
      </c>
      <c r="K70" s="64">
        <v>337.01</v>
      </c>
      <c r="L70" s="64">
        <v>23.17</v>
      </c>
      <c r="M70" s="64">
        <v>25.81</v>
      </c>
      <c r="N70" s="64">
        <v>214.5</v>
      </c>
      <c r="O70" s="64">
        <v>0</v>
      </c>
      <c r="P70" s="64">
        <v>0.78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402</v>
      </c>
      <c r="B71" s="64">
        <v>5.21</v>
      </c>
      <c r="C71" s="64">
        <v>61.77</v>
      </c>
      <c r="D71" s="64">
        <v>35.07</v>
      </c>
      <c r="E71" s="64">
        <v>6.57</v>
      </c>
      <c r="F71" s="64">
        <v>2.13</v>
      </c>
      <c r="G71" s="64">
        <v>106.5</v>
      </c>
      <c r="H71" s="64">
        <v>30.77</v>
      </c>
      <c r="I71" s="210" t="s">
        <v>43</v>
      </c>
      <c r="J71" s="64">
        <v>3.56</v>
      </c>
      <c r="K71" s="64">
        <v>338.64</v>
      </c>
      <c r="L71" s="64">
        <v>22.81</v>
      </c>
      <c r="M71" s="64">
        <v>25.81</v>
      </c>
      <c r="N71" s="64">
        <v>205.4</v>
      </c>
      <c r="O71" s="64">
        <v>0</v>
      </c>
      <c r="P71" s="64">
        <v>0.79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403</v>
      </c>
      <c r="B72" s="64">
        <v>5.56</v>
      </c>
      <c r="C72" s="64">
        <v>62.03</v>
      </c>
      <c r="D72" s="64">
        <v>35.49</v>
      </c>
      <c r="E72" s="64">
        <v>6.33</v>
      </c>
      <c r="F72" s="64">
        <v>2.13</v>
      </c>
      <c r="G72" s="64">
        <v>120.17</v>
      </c>
      <c r="H72" s="64">
        <v>39.44</v>
      </c>
      <c r="I72" s="210" t="s">
        <v>43</v>
      </c>
      <c r="J72" s="64">
        <v>3.03</v>
      </c>
      <c r="K72" s="64">
        <v>345.25</v>
      </c>
      <c r="L72" s="64">
        <v>22.66</v>
      </c>
      <c r="M72" s="64">
        <v>25.58</v>
      </c>
      <c r="N72" s="64">
        <v>197.7</v>
      </c>
      <c r="O72" s="64">
        <v>0</v>
      </c>
      <c r="P72" s="64">
        <v>0.79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404</v>
      </c>
      <c r="B73" s="64">
        <v>5.94</v>
      </c>
      <c r="C73" s="64">
        <v>62.22</v>
      </c>
      <c r="D73" s="64">
        <v>35.89</v>
      </c>
      <c r="E73" s="64">
        <v>6.06</v>
      </c>
      <c r="F73" s="64">
        <v>2.13</v>
      </c>
      <c r="G73" s="64">
        <v>120.17</v>
      </c>
      <c r="H73" s="64">
        <v>39.44</v>
      </c>
      <c r="I73" s="210" t="s">
        <v>43</v>
      </c>
      <c r="J73" s="64">
        <v>1.44</v>
      </c>
      <c r="K73" s="64">
        <v>333.01</v>
      </c>
      <c r="L73" s="64">
        <v>22.24</v>
      </c>
      <c r="M73" s="64">
        <v>26.48</v>
      </c>
      <c r="N73" s="64">
        <v>190.3</v>
      </c>
      <c r="O73" s="64">
        <v>0</v>
      </c>
      <c r="P73" s="64">
        <v>0.81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405</v>
      </c>
      <c r="B74" s="64">
        <v>6.68</v>
      </c>
      <c r="C74" s="64">
        <v>62.75</v>
      </c>
      <c r="D74" s="64">
        <v>36.770000000000003</v>
      </c>
      <c r="E74" s="64">
        <v>5.6</v>
      </c>
      <c r="F74" s="64">
        <v>2.13</v>
      </c>
      <c r="G74" s="64">
        <v>120.17</v>
      </c>
      <c r="H74" s="64">
        <v>39.44</v>
      </c>
      <c r="I74" s="210" t="s">
        <v>43</v>
      </c>
      <c r="J74" s="64">
        <v>2.27</v>
      </c>
      <c r="K74" s="64">
        <v>346.54</v>
      </c>
      <c r="L74" s="64">
        <v>21.88</v>
      </c>
      <c r="M74" s="64">
        <v>27.74</v>
      </c>
      <c r="N74" s="64">
        <v>185.2</v>
      </c>
      <c r="O74" s="64">
        <v>0</v>
      </c>
      <c r="P74" s="64">
        <v>0.81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406</v>
      </c>
      <c r="B75" s="64">
        <v>8.02</v>
      </c>
      <c r="C75" s="64">
        <v>63.41</v>
      </c>
      <c r="D75" s="64">
        <v>38.18</v>
      </c>
      <c r="E75" s="64">
        <v>5.94</v>
      </c>
      <c r="F75" s="64">
        <v>2.13</v>
      </c>
      <c r="G75" s="64">
        <v>112.07</v>
      </c>
      <c r="H75" s="64">
        <v>44.54</v>
      </c>
      <c r="I75" s="210" t="s">
        <v>43</v>
      </c>
      <c r="J75" s="64">
        <v>3.33</v>
      </c>
      <c r="K75" s="64">
        <v>344.83</v>
      </c>
      <c r="L75" s="64">
        <v>21.65</v>
      </c>
      <c r="M75" s="64">
        <v>27.27</v>
      </c>
      <c r="N75" s="64">
        <v>178.8</v>
      </c>
      <c r="O75" s="64">
        <v>0</v>
      </c>
      <c r="P75" s="64">
        <v>0.83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407</v>
      </c>
      <c r="B76" s="64">
        <v>9.2200000000000006</v>
      </c>
      <c r="C76" s="64">
        <v>63.82</v>
      </c>
      <c r="D76" s="64">
        <v>39.36</v>
      </c>
      <c r="E76" s="64">
        <v>5.46</v>
      </c>
      <c r="F76" s="64">
        <v>2.13</v>
      </c>
      <c r="G76" s="64">
        <v>108.6</v>
      </c>
      <c r="H76" s="64">
        <v>46.72</v>
      </c>
      <c r="I76" s="210" t="s">
        <v>43</v>
      </c>
      <c r="J76" s="64">
        <v>3.33</v>
      </c>
      <c r="K76" s="64">
        <v>344.92</v>
      </c>
      <c r="L76" s="64">
        <v>21.41</v>
      </c>
      <c r="M76" s="64">
        <v>26.62</v>
      </c>
      <c r="N76" s="64">
        <v>172.5</v>
      </c>
      <c r="O76" s="64">
        <v>0</v>
      </c>
      <c r="P76" s="64">
        <v>0.83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408</v>
      </c>
      <c r="B77" s="64">
        <v>10.66</v>
      </c>
      <c r="C77" s="64">
        <v>64.209999999999994</v>
      </c>
      <c r="D77" s="64">
        <v>40.72</v>
      </c>
      <c r="E77" s="64">
        <v>5.29</v>
      </c>
      <c r="F77" s="64">
        <v>2.13</v>
      </c>
      <c r="G77" s="64">
        <v>108.6</v>
      </c>
      <c r="H77" s="64">
        <v>46.72</v>
      </c>
      <c r="I77" s="210" t="s">
        <v>43</v>
      </c>
      <c r="J77" s="64">
        <v>2.96</v>
      </c>
      <c r="K77" s="64">
        <v>348.17</v>
      </c>
      <c r="L77" s="64">
        <v>20.7</v>
      </c>
      <c r="M77" s="64">
        <v>29.3</v>
      </c>
      <c r="N77" s="64">
        <v>165</v>
      </c>
      <c r="O77" s="64">
        <v>0</v>
      </c>
      <c r="P77" s="64">
        <v>0.86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409</v>
      </c>
      <c r="B78" s="64">
        <v>14.2</v>
      </c>
      <c r="C78" s="64">
        <v>64.8</v>
      </c>
      <c r="D78" s="64">
        <v>43.87</v>
      </c>
      <c r="E78" s="64">
        <v>5.44</v>
      </c>
      <c r="F78" s="64">
        <v>2.13</v>
      </c>
      <c r="G78" s="64">
        <v>108.6</v>
      </c>
      <c r="H78" s="64">
        <v>46.72</v>
      </c>
      <c r="I78" s="210" t="s">
        <v>43</v>
      </c>
      <c r="J78" s="64">
        <v>2.44</v>
      </c>
      <c r="K78" s="64">
        <v>311.06</v>
      </c>
      <c r="L78" s="64">
        <v>19.579999999999998</v>
      </c>
      <c r="M78" s="64">
        <v>32.01</v>
      </c>
      <c r="N78" s="64">
        <v>157.19999999999999</v>
      </c>
      <c r="O78" s="64">
        <v>0</v>
      </c>
      <c r="P78" s="64">
        <v>0.89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410</v>
      </c>
      <c r="B79" s="64">
        <v>17.850000000000001</v>
      </c>
      <c r="C79" s="64">
        <v>64.33</v>
      </c>
      <c r="D79" s="64">
        <v>46.55</v>
      </c>
      <c r="E79" s="64">
        <v>5.59</v>
      </c>
      <c r="F79" s="64">
        <v>2.13</v>
      </c>
      <c r="G79" s="64">
        <v>102.64</v>
      </c>
      <c r="H79" s="64">
        <v>41.02</v>
      </c>
      <c r="I79" s="210" t="s">
        <v>43</v>
      </c>
      <c r="J79" s="64">
        <v>2.54</v>
      </c>
      <c r="K79" s="64">
        <v>275.24</v>
      </c>
      <c r="L79" s="64">
        <v>18.37</v>
      </c>
      <c r="M79" s="64">
        <v>35.43</v>
      </c>
      <c r="N79" s="64">
        <v>152.9</v>
      </c>
      <c r="O79" s="64">
        <v>0</v>
      </c>
      <c r="P79" s="64">
        <v>1.07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411</v>
      </c>
      <c r="B80" s="64">
        <v>21.39</v>
      </c>
      <c r="C80" s="64">
        <v>63.04</v>
      </c>
      <c r="D80" s="64">
        <v>48.72</v>
      </c>
      <c r="E80" s="64">
        <v>5.61</v>
      </c>
      <c r="F80" s="64">
        <v>2.16</v>
      </c>
      <c r="G80" s="64">
        <v>100.08</v>
      </c>
      <c r="H80" s="64">
        <v>38.57</v>
      </c>
      <c r="I80" s="210" t="s">
        <v>43</v>
      </c>
      <c r="J80" s="64">
        <v>2.06</v>
      </c>
      <c r="K80" s="64">
        <v>272.74</v>
      </c>
      <c r="L80" s="64">
        <v>17.260000000000002</v>
      </c>
      <c r="M80" s="64">
        <v>41.42</v>
      </c>
      <c r="N80" s="64">
        <v>149.80000000000001</v>
      </c>
      <c r="O80" s="64">
        <v>0</v>
      </c>
      <c r="P80" s="64">
        <v>1.1499999999999999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412</v>
      </c>
      <c r="B81" s="64">
        <v>26.88</v>
      </c>
      <c r="C81" s="64">
        <v>63.13</v>
      </c>
      <c r="D81" s="64">
        <v>53.17</v>
      </c>
      <c r="E81" s="64">
        <v>5.67</v>
      </c>
      <c r="F81" s="64">
        <v>2.13</v>
      </c>
      <c r="G81" s="64">
        <v>100.08</v>
      </c>
      <c r="H81" s="64">
        <v>38.57</v>
      </c>
      <c r="I81" s="210" t="s">
        <v>43</v>
      </c>
      <c r="J81" s="64">
        <v>1.04</v>
      </c>
      <c r="K81" s="64">
        <v>272.22000000000003</v>
      </c>
      <c r="L81" s="64">
        <v>16.420000000000002</v>
      </c>
      <c r="M81" s="64">
        <v>47.07</v>
      </c>
      <c r="N81" s="64">
        <v>147.6</v>
      </c>
      <c r="O81" s="64">
        <v>0</v>
      </c>
      <c r="P81" s="64">
        <v>1.29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413</v>
      </c>
      <c r="B82" s="64">
        <v>35.159999999999997</v>
      </c>
      <c r="C82" s="64">
        <v>62.81</v>
      </c>
      <c r="D82" s="64">
        <v>59.64</v>
      </c>
      <c r="E82" s="64">
        <v>6.21</v>
      </c>
      <c r="F82" s="64">
        <v>2.13</v>
      </c>
      <c r="G82" s="64">
        <v>100.08</v>
      </c>
      <c r="H82" s="64">
        <v>38.57</v>
      </c>
      <c r="I82" s="210" t="s">
        <v>43</v>
      </c>
      <c r="J82" s="64">
        <v>2.61</v>
      </c>
      <c r="K82" s="64">
        <v>340.87</v>
      </c>
      <c r="L82" s="64">
        <v>15.77</v>
      </c>
      <c r="M82" s="64">
        <v>61.95</v>
      </c>
      <c r="N82" s="64">
        <v>146.6</v>
      </c>
      <c r="O82" s="64">
        <v>0</v>
      </c>
      <c r="P82" s="64">
        <v>1.44</v>
      </c>
      <c r="Q82" s="64">
        <v>8.36</v>
      </c>
      <c r="R82" s="198"/>
      <c r="S82" s="198"/>
      <c r="T82" s="198"/>
      <c r="U82" s="198"/>
    </row>
    <row r="83" spans="1:26" s="12" customFormat="1" x14ac:dyDescent="0.25">
      <c r="A83" s="214" t="s">
        <v>414</v>
      </c>
      <c r="B83" s="64">
        <v>44.33</v>
      </c>
      <c r="C83" s="64">
        <v>62.05</v>
      </c>
      <c r="D83" s="64">
        <v>66.59</v>
      </c>
      <c r="E83" s="64">
        <v>6.64</v>
      </c>
      <c r="F83" s="64">
        <v>2.13</v>
      </c>
      <c r="G83" s="64">
        <v>173.06</v>
      </c>
      <c r="H83" s="64">
        <v>47.85</v>
      </c>
      <c r="I83" s="210" t="s">
        <v>43</v>
      </c>
      <c r="J83" s="64">
        <v>2.2000000000000002</v>
      </c>
      <c r="K83" s="64">
        <v>91.11</v>
      </c>
      <c r="L83" s="64">
        <v>15.2</v>
      </c>
      <c r="M83" s="64">
        <v>57.64</v>
      </c>
      <c r="N83" s="64">
        <v>145.5</v>
      </c>
      <c r="O83" s="64">
        <v>0</v>
      </c>
      <c r="P83" s="64">
        <v>1.55</v>
      </c>
      <c r="Q83" s="64">
        <v>8.9700000000000006</v>
      </c>
      <c r="R83" s="198"/>
      <c r="S83" s="198"/>
      <c r="T83" s="198"/>
      <c r="U83" s="198"/>
    </row>
    <row r="84" spans="1:26" s="12" customFormat="1" x14ac:dyDescent="0.25">
      <c r="A84" s="214" t="s">
        <v>415</v>
      </c>
      <c r="B84" s="64">
        <v>53.3</v>
      </c>
      <c r="C84" s="64">
        <v>61.25</v>
      </c>
      <c r="D84" s="64">
        <v>73.37</v>
      </c>
      <c r="E84" s="64">
        <v>7.08</v>
      </c>
      <c r="F84" s="64">
        <v>2.13</v>
      </c>
      <c r="G84" s="64">
        <v>204.34</v>
      </c>
      <c r="H84" s="64">
        <v>51.82</v>
      </c>
      <c r="I84" s="210" t="s">
        <v>43</v>
      </c>
      <c r="J84" s="64">
        <v>1.83</v>
      </c>
      <c r="K84" s="64">
        <v>297.17</v>
      </c>
      <c r="L84" s="64">
        <v>14.85</v>
      </c>
      <c r="M84" s="64">
        <v>60.64</v>
      </c>
      <c r="N84" s="64">
        <v>145.30000000000001</v>
      </c>
      <c r="O84" s="64">
        <v>0</v>
      </c>
      <c r="P84" s="64">
        <v>1.61</v>
      </c>
      <c r="Q84" s="64">
        <v>9.5500000000000007</v>
      </c>
      <c r="R84" s="198"/>
      <c r="S84" s="198"/>
      <c r="T84" s="198"/>
      <c r="U84" s="198"/>
    </row>
    <row r="85" spans="1:26" s="12" customFormat="1" x14ac:dyDescent="0.25">
      <c r="A85" s="214" t="s">
        <v>416</v>
      </c>
      <c r="B85" s="64">
        <v>61.42</v>
      </c>
      <c r="C85" s="64">
        <v>60.45</v>
      </c>
      <c r="D85" s="64">
        <v>79.459999999999994</v>
      </c>
      <c r="E85" s="64">
        <v>7.74</v>
      </c>
      <c r="F85" s="64">
        <v>2.13</v>
      </c>
      <c r="G85" s="64">
        <v>204.34</v>
      </c>
      <c r="H85" s="64">
        <v>51.82</v>
      </c>
      <c r="I85" s="210" t="s">
        <v>43</v>
      </c>
      <c r="J85" s="64">
        <v>2.76</v>
      </c>
      <c r="K85" s="64">
        <v>294.16000000000003</v>
      </c>
      <c r="L85" s="64">
        <v>14.5</v>
      </c>
      <c r="M85" s="64">
        <v>62.93</v>
      </c>
      <c r="N85" s="64">
        <v>145.69999999999999</v>
      </c>
      <c r="O85" s="64">
        <v>0</v>
      </c>
      <c r="P85" s="64">
        <v>1.53</v>
      </c>
      <c r="Q85" s="64">
        <v>9.69</v>
      </c>
      <c r="R85" s="198"/>
      <c r="S85" s="198"/>
      <c r="T85" s="198"/>
      <c r="U85" s="198"/>
    </row>
    <row r="86" spans="1:26" s="12" customFormat="1" x14ac:dyDescent="0.25">
      <c r="A86" s="214" t="s">
        <v>417</v>
      </c>
      <c r="B86" s="64">
        <v>73</v>
      </c>
      <c r="C86" s="64">
        <v>59.92</v>
      </c>
      <c r="D86" s="64">
        <v>88.47</v>
      </c>
      <c r="E86" s="64">
        <v>8.0500000000000007</v>
      </c>
      <c r="F86" s="64">
        <v>2.13</v>
      </c>
      <c r="G86" s="64">
        <v>204.34</v>
      </c>
      <c r="H86" s="64">
        <v>51.82</v>
      </c>
      <c r="I86" s="210" t="s">
        <v>43</v>
      </c>
      <c r="J86" s="64">
        <v>2.57</v>
      </c>
      <c r="K86" s="64">
        <v>328.45</v>
      </c>
      <c r="L86" s="64">
        <v>14.26</v>
      </c>
      <c r="M86" s="64">
        <v>68.319999999999993</v>
      </c>
      <c r="N86" s="64">
        <v>146.19999999999999</v>
      </c>
      <c r="O86" s="64">
        <v>0</v>
      </c>
      <c r="P86" s="64">
        <v>1.67</v>
      </c>
      <c r="Q86" s="64">
        <v>9.74</v>
      </c>
      <c r="R86" s="198"/>
      <c r="S86" s="198"/>
      <c r="T86" s="198"/>
      <c r="U86" s="198"/>
    </row>
    <row r="87" spans="1:26" s="12" customFormat="1" x14ac:dyDescent="0.25">
      <c r="A87" s="214" t="s">
        <v>418</v>
      </c>
      <c r="B87" s="64">
        <v>84.72</v>
      </c>
      <c r="C87" s="64">
        <v>59.92</v>
      </c>
      <c r="D87" s="64">
        <v>97.87</v>
      </c>
      <c r="E87" s="64">
        <v>9.1199999999999992</v>
      </c>
      <c r="F87" s="64">
        <v>2.13</v>
      </c>
      <c r="G87" s="64">
        <v>213.63</v>
      </c>
      <c r="H87" s="64">
        <v>53.78</v>
      </c>
      <c r="I87" s="210" t="s">
        <v>43</v>
      </c>
      <c r="J87" s="64">
        <v>2.54</v>
      </c>
      <c r="K87" s="64">
        <v>347.19</v>
      </c>
      <c r="L87" s="64">
        <v>13.97</v>
      </c>
      <c r="M87" s="64">
        <v>71.209999999999994</v>
      </c>
      <c r="N87" s="64">
        <v>146</v>
      </c>
      <c r="O87" s="64">
        <v>0</v>
      </c>
      <c r="P87" s="64">
        <v>1.52</v>
      </c>
      <c r="Q87" s="64">
        <v>9.83</v>
      </c>
      <c r="R87" s="198"/>
      <c r="S87" s="198"/>
      <c r="T87" s="198"/>
      <c r="U87" s="198"/>
    </row>
    <row r="88" spans="1:26" s="12" customFormat="1" x14ac:dyDescent="0.25">
      <c r="A88" s="214" t="s">
        <v>419</v>
      </c>
      <c r="B88" s="64">
        <v>95.2</v>
      </c>
      <c r="C88" s="64">
        <v>59.41</v>
      </c>
      <c r="D88" s="64">
        <v>106.01</v>
      </c>
      <c r="E88" s="64">
        <v>10.02</v>
      </c>
      <c r="F88" s="64">
        <v>2.13</v>
      </c>
      <c r="G88" s="64">
        <v>217.61</v>
      </c>
      <c r="H88" s="64">
        <v>54.62</v>
      </c>
      <c r="I88" s="210" t="s">
        <v>43</v>
      </c>
      <c r="J88" s="64">
        <v>1.06</v>
      </c>
      <c r="K88" s="64">
        <v>314.52</v>
      </c>
      <c r="L88" s="64">
        <v>13.96</v>
      </c>
      <c r="M88" s="64">
        <v>70.17</v>
      </c>
      <c r="N88" s="64">
        <v>145.9</v>
      </c>
      <c r="O88" s="64">
        <v>0</v>
      </c>
      <c r="P88" s="64">
        <v>1.73</v>
      </c>
      <c r="Q88" s="64">
        <v>9.91</v>
      </c>
      <c r="R88" s="198"/>
      <c r="S88" s="198"/>
      <c r="T88" s="198"/>
      <c r="U88" s="198"/>
    </row>
    <row r="89" spans="1:26" s="12" customFormat="1" x14ac:dyDescent="0.25">
      <c r="A89" s="214" t="s">
        <v>420</v>
      </c>
      <c r="B89" s="64">
        <v>105.23</v>
      </c>
      <c r="C89" s="64">
        <v>59.04</v>
      </c>
      <c r="D89" s="64">
        <v>113.85</v>
      </c>
      <c r="E89" s="64">
        <v>10.78</v>
      </c>
      <c r="F89" s="64">
        <v>2.13</v>
      </c>
      <c r="G89" s="64">
        <v>217.61</v>
      </c>
      <c r="H89" s="64">
        <v>54.62</v>
      </c>
      <c r="I89" s="210" t="s">
        <v>43</v>
      </c>
      <c r="J89" s="64">
        <v>0.45</v>
      </c>
      <c r="K89" s="64">
        <v>47.45</v>
      </c>
      <c r="L89" s="64">
        <v>14.04</v>
      </c>
      <c r="M89" s="64">
        <v>68.17</v>
      </c>
      <c r="N89" s="64">
        <v>146.1</v>
      </c>
      <c r="O89" s="64">
        <v>0</v>
      </c>
      <c r="P89" s="64">
        <v>2.06</v>
      </c>
      <c r="Q89" s="64">
        <v>10.01</v>
      </c>
      <c r="R89" s="198"/>
      <c r="S89" s="198"/>
      <c r="T89" s="198"/>
      <c r="U89" s="198"/>
    </row>
    <row r="90" spans="1:26" s="12" customFormat="1" x14ac:dyDescent="0.25">
      <c r="A90" s="214" t="s">
        <v>421</v>
      </c>
      <c r="B90" s="64">
        <v>115.27</v>
      </c>
      <c r="C90" s="64">
        <v>58.45</v>
      </c>
      <c r="D90" s="64">
        <v>121.6</v>
      </c>
      <c r="E90" s="64">
        <v>11.34</v>
      </c>
      <c r="F90" s="64">
        <v>2.13</v>
      </c>
      <c r="G90" s="64">
        <v>217.61</v>
      </c>
      <c r="H90" s="64">
        <v>54.62</v>
      </c>
      <c r="I90" s="210" t="s">
        <v>43</v>
      </c>
      <c r="J90" s="64">
        <v>1.73</v>
      </c>
      <c r="K90" s="64">
        <v>316.69</v>
      </c>
      <c r="L90" s="64">
        <v>14.04</v>
      </c>
      <c r="M90" s="64">
        <v>62.3</v>
      </c>
      <c r="N90" s="64">
        <v>146.1</v>
      </c>
      <c r="O90" s="64">
        <v>0</v>
      </c>
      <c r="P90" s="64">
        <v>2.14</v>
      </c>
      <c r="Q90" s="64">
        <v>10.1</v>
      </c>
      <c r="R90" s="198"/>
      <c r="S90" s="198"/>
      <c r="T90" s="198"/>
      <c r="U90" s="198"/>
    </row>
    <row r="91" spans="1:26" s="12" customFormat="1" x14ac:dyDescent="0.25">
      <c r="A91" s="214" t="s">
        <v>422</v>
      </c>
      <c r="B91" s="64">
        <v>124.59</v>
      </c>
      <c r="C91" s="64">
        <v>57.89</v>
      </c>
      <c r="D91" s="64">
        <v>128.78</v>
      </c>
      <c r="E91" s="64">
        <v>12.13</v>
      </c>
      <c r="F91" s="64">
        <v>2.13</v>
      </c>
      <c r="G91" s="64">
        <v>234.71</v>
      </c>
      <c r="H91" s="64">
        <v>62.06</v>
      </c>
      <c r="I91" s="210" t="s">
        <v>43</v>
      </c>
      <c r="J91" s="64">
        <v>2.2599999999999998</v>
      </c>
      <c r="K91" s="64">
        <v>272.64</v>
      </c>
      <c r="L91" s="64">
        <v>13.81</v>
      </c>
      <c r="M91" s="64">
        <v>59.79</v>
      </c>
      <c r="N91" s="64">
        <v>145.9</v>
      </c>
      <c r="O91" s="64">
        <v>0</v>
      </c>
      <c r="P91" s="64">
        <v>2.25</v>
      </c>
      <c r="Q91" s="64">
        <v>10.130000000000001</v>
      </c>
      <c r="R91" s="198"/>
      <c r="S91" s="198"/>
      <c r="T91" s="198"/>
      <c r="U91" s="198"/>
    </row>
    <row r="92" spans="1:26" s="12" customFormat="1" x14ac:dyDescent="0.25">
      <c r="A92" s="214" t="s">
        <v>423</v>
      </c>
      <c r="B92" s="64">
        <v>130.69</v>
      </c>
      <c r="C92" s="64">
        <v>57.44</v>
      </c>
      <c r="D92" s="64">
        <v>133.43</v>
      </c>
      <c r="E92" s="64">
        <v>11.78</v>
      </c>
      <c r="F92" s="64">
        <v>2.13</v>
      </c>
      <c r="G92" s="64">
        <v>242.04</v>
      </c>
      <c r="H92" s="64">
        <v>65.25</v>
      </c>
      <c r="I92" s="210" t="s">
        <v>43</v>
      </c>
      <c r="J92" s="64">
        <v>1.75</v>
      </c>
      <c r="K92" s="64">
        <v>99.08</v>
      </c>
      <c r="L92" s="64">
        <v>13.86</v>
      </c>
      <c r="M92" s="64">
        <v>54.51</v>
      </c>
      <c r="N92" s="64">
        <v>145.30000000000001</v>
      </c>
      <c r="O92" s="64">
        <v>0</v>
      </c>
      <c r="P92" s="64">
        <v>2.34</v>
      </c>
      <c r="Q92" s="64">
        <v>10.17</v>
      </c>
      <c r="R92" s="198"/>
      <c r="S92" s="198"/>
      <c r="T92" s="198"/>
      <c r="U92" s="198"/>
    </row>
    <row r="93" spans="1:26" s="12" customFormat="1" x14ac:dyDescent="0.25">
      <c r="A93" s="214" t="s">
        <v>424</v>
      </c>
      <c r="B93" s="64">
        <v>134.33000000000001</v>
      </c>
      <c r="C93" s="64">
        <v>57.27</v>
      </c>
      <c r="D93" s="64">
        <v>136.27000000000001</v>
      </c>
      <c r="E93" s="64">
        <v>11.33</v>
      </c>
      <c r="F93" s="64">
        <v>2.13</v>
      </c>
      <c r="G93" s="64">
        <v>242.04</v>
      </c>
      <c r="H93" s="64">
        <v>65.25</v>
      </c>
      <c r="I93" s="210" t="s">
        <v>43</v>
      </c>
      <c r="J93" s="64">
        <v>2.9</v>
      </c>
      <c r="K93" s="64">
        <v>84.21</v>
      </c>
      <c r="L93" s="64">
        <v>14.85</v>
      </c>
      <c r="M93" s="64">
        <v>45.19</v>
      </c>
      <c r="N93" s="64">
        <v>144.19999999999999</v>
      </c>
      <c r="O93" s="64">
        <v>0</v>
      </c>
      <c r="P93" s="64">
        <v>2.38</v>
      </c>
      <c r="Q93" s="64">
        <v>10.210000000000001</v>
      </c>
      <c r="R93" s="198"/>
      <c r="S93" s="198"/>
      <c r="T93" s="198"/>
      <c r="U93" s="198"/>
    </row>
    <row r="94" spans="1:26" s="12" customFormat="1" x14ac:dyDescent="0.25">
      <c r="A94" s="214" t="s">
        <v>425</v>
      </c>
      <c r="B94" s="64">
        <v>133.69</v>
      </c>
      <c r="C94" s="64">
        <v>56.51</v>
      </c>
      <c r="D94" s="64">
        <v>135.36000000000001</v>
      </c>
      <c r="E94" s="64">
        <v>10.65</v>
      </c>
      <c r="F94" s="64">
        <v>2.13</v>
      </c>
      <c r="G94" s="64">
        <v>242.04</v>
      </c>
      <c r="H94" s="64">
        <v>65.25</v>
      </c>
      <c r="I94" s="210" t="s">
        <v>43</v>
      </c>
      <c r="J94" s="64">
        <v>2.2799999999999998</v>
      </c>
      <c r="K94" s="64">
        <v>78.209999999999994</v>
      </c>
      <c r="L94" s="64">
        <v>15.13</v>
      </c>
      <c r="M94" s="64">
        <v>42.94</v>
      </c>
      <c r="N94" s="64">
        <v>145.69999999999999</v>
      </c>
      <c r="O94" s="64">
        <v>0</v>
      </c>
      <c r="P94" s="64">
        <v>2.39</v>
      </c>
      <c r="Q94" s="64">
        <v>10.210000000000001</v>
      </c>
      <c r="R94" s="198"/>
      <c r="S94" s="198"/>
      <c r="T94" s="198"/>
      <c r="U94" s="198"/>
    </row>
    <row r="95" spans="1:26" s="12" customFormat="1" x14ac:dyDescent="0.25">
      <c r="A95" s="214" t="s">
        <v>426</v>
      </c>
      <c r="B95" s="64">
        <v>131.72</v>
      </c>
      <c r="C95" s="64">
        <v>55.85</v>
      </c>
      <c r="D95" s="64">
        <v>133.43</v>
      </c>
      <c r="E95" s="64">
        <v>9.98</v>
      </c>
      <c r="F95" s="64">
        <v>2.13</v>
      </c>
      <c r="G95" s="64">
        <v>171.68</v>
      </c>
      <c r="H95" s="64">
        <v>56.56</v>
      </c>
      <c r="I95" s="210" t="s">
        <v>43</v>
      </c>
      <c r="J95" s="64">
        <v>2.44</v>
      </c>
      <c r="K95" s="64">
        <v>82.28</v>
      </c>
      <c r="L95" s="64">
        <v>15.12</v>
      </c>
      <c r="M95" s="64">
        <v>42.79</v>
      </c>
      <c r="N95" s="64">
        <v>146.69999999999999</v>
      </c>
      <c r="O95" s="64">
        <v>0</v>
      </c>
      <c r="P95" s="64">
        <v>2.38</v>
      </c>
      <c r="Q95" s="64">
        <v>10.220000000000001</v>
      </c>
      <c r="R95" s="198"/>
      <c r="S95" s="198"/>
      <c r="T95" s="198"/>
      <c r="U95" s="198"/>
    </row>
    <row r="96" spans="1:26" s="12" customFormat="1" x14ac:dyDescent="0.25">
      <c r="A96" s="214" t="s">
        <v>427</v>
      </c>
      <c r="B96" s="64">
        <v>128.84</v>
      </c>
      <c r="C96" s="64">
        <v>53.72</v>
      </c>
      <c r="D96" s="64">
        <v>130.01</v>
      </c>
      <c r="E96" s="64">
        <v>9.7799999999999994</v>
      </c>
      <c r="F96" s="64">
        <v>2.13</v>
      </c>
      <c r="G96" s="64">
        <v>141.53</v>
      </c>
      <c r="H96" s="64">
        <v>52.84</v>
      </c>
      <c r="I96" s="210" t="s">
        <v>43</v>
      </c>
      <c r="J96" s="64">
        <v>2.4500000000000002</v>
      </c>
      <c r="K96" s="64">
        <v>70.92</v>
      </c>
      <c r="L96" s="64">
        <v>14.96</v>
      </c>
      <c r="M96" s="64">
        <v>43.24</v>
      </c>
      <c r="N96" s="64">
        <v>146.80000000000001</v>
      </c>
      <c r="O96" s="64">
        <v>0</v>
      </c>
      <c r="P96" s="64">
        <v>2.34</v>
      </c>
      <c r="Q96" s="64">
        <v>10.27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428</v>
      </c>
      <c r="B97" s="64">
        <v>126.41</v>
      </c>
      <c r="C97" s="64">
        <v>52.79</v>
      </c>
      <c r="D97" s="64">
        <v>127.57</v>
      </c>
      <c r="E97" s="64">
        <v>8.68</v>
      </c>
      <c r="F97" s="64">
        <v>2.13</v>
      </c>
      <c r="G97" s="64">
        <v>141.53</v>
      </c>
      <c r="H97" s="64">
        <v>52.84</v>
      </c>
      <c r="I97" s="210" t="s">
        <v>43</v>
      </c>
      <c r="J97" s="64">
        <v>1.84</v>
      </c>
      <c r="K97" s="64">
        <v>74.599999999999994</v>
      </c>
      <c r="L97" s="64">
        <v>14.75</v>
      </c>
      <c r="M97" s="64">
        <v>43.12</v>
      </c>
      <c r="N97" s="64">
        <v>146.69999999999999</v>
      </c>
      <c r="O97" s="64">
        <v>0</v>
      </c>
      <c r="P97" s="64">
        <v>2.23</v>
      </c>
      <c r="Q97" s="64">
        <v>10.23</v>
      </c>
      <c r="R97" s="198"/>
      <c r="S97" s="198"/>
      <c r="T97" s="198"/>
      <c r="U97" s="198"/>
    </row>
    <row r="98" spans="1:33" s="12" customFormat="1" x14ac:dyDescent="0.25">
      <c r="A98" s="214" t="s">
        <v>429</v>
      </c>
      <c r="B98" s="64">
        <v>123.81</v>
      </c>
      <c r="C98" s="64">
        <v>52.09</v>
      </c>
      <c r="D98" s="64">
        <v>125.13</v>
      </c>
      <c r="E98" s="64">
        <v>8.67</v>
      </c>
      <c r="F98" s="64">
        <v>2.13</v>
      </c>
      <c r="G98" s="64">
        <v>141.53</v>
      </c>
      <c r="H98" s="64">
        <v>52.84</v>
      </c>
      <c r="I98" s="210" t="s">
        <v>43</v>
      </c>
      <c r="J98" s="64">
        <v>1.0900000000000001</v>
      </c>
      <c r="K98" s="64">
        <v>33.380000000000003</v>
      </c>
      <c r="L98" s="64">
        <v>14.7</v>
      </c>
      <c r="M98" s="64">
        <v>41.33</v>
      </c>
      <c r="N98" s="64">
        <v>146.1</v>
      </c>
      <c r="O98" s="64">
        <v>0</v>
      </c>
      <c r="P98" s="64">
        <v>2.19</v>
      </c>
      <c r="Q98" s="64">
        <v>10.210000000000001</v>
      </c>
      <c r="R98" s="198"/>
      <c r="S98" s="198"/>
      <c r="T98" s="198"/>
      <c r="U98" s="198"/>
    </row>
    <row r="99" spans="1:33" s="12" customFormat="1" x14ac:dyDescent="0.25">
      <c r="A99" s="214" t="s">
        <v>430</v>
      </c>
      <c r="B99" s="64">
        <v>120.5</v>
      </c>
      <c r="C99" s="64">
        <v>51.49</v>
      </c>
      <c r="D99" s="64">
        <v>122.16</v>
      </c>
      <c r="E99" s="64">
        <v>8.85</v>
      </c>
      <c r="F99" s="64">
        <v>2.13</v>
      </c>
      <c r="G99" s="64">
        <v>113.61</v>
      </c>
      <c r="H99" s="64">
        <v>35.090000000000003</v>
      </c>
      <c r="I99" s="210" t="s">
        <v>43</v>
      </c>
      <c r="J99" s="64">
        <v>1.06</v>
      </c>
      <c r="K99" s="64">
        <v>44.28</v>
      </c>
      <c r="L99" s="64">
        <v>14.66</v>
      </c>
      <c r="M99" s="64">
        <v>40.68</v>
      </c>
      <c r="N99" s="64">
        <v>145.80000000000001</v>
      </c>
      <c r="O99" s="64">
        <v>0</v>
      </c>
      <c r="P99" s="64">
        <v>2.2000000000000002</v>
      </c>
      <c r="Q99" s="64">
        <v>10.18</v>
      </c>
      <c r="R99" s="198"/>
      <c r="S99" s="198"/>
      <c r="T99" s="198"/>
      <c r="U99" s="198"/>
    </row>
    <row r="100" spans="1:33" s="12" customFormat="1" x14ac:dyDescent="0.25">
      <c r="A100" s="214" t="s">
        <v>431</v>
      </c>
      <c r="B100" s="64">
        <v>116.48</v>
      </c>
      <c r="C100" s="64">
        <v>50.36</v>
      </c>
      <c r="D100" s="64">
        <v>118.34</v>
      </c>
      <c r="E100" s="64">
        <v>8.2100000000000009</v>
      </c>
      <c r="F100" s="64">
        <v>2.13</v>
      </c>
      <c r="G100" s="64">
        <v>101.65</v>
      </c>
      <c r="H100" s="64">
        <v>27.48</v>
      </c>
      <c r="I100" s="210" t="s">
        <v>43</v>
      </c>
      <c r="J100" s="64">
        <v>2.0699999999999998</v>
      </c>
      <c r="K100" s="64">
        <v>61.7</v>
      </c>
      <c r="L100" s="64">
        <v>14.33</v>
      </c>
      <c r="M100" s="64">
        <v>42.19</v>
      </c>
      <c r="N100" s="64">
        <v>146.30000000000001</v>
      </c>
      <c r="O100" s="64">
        <v>0</v>
      </c>
      <c r="P100" s="64">
        <v>2.0499999999999998</v>
      </c>
      <c r="Q100" s="64">
        <v>10.14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432</v>
      </c>
      <c r="B101" s="64">
        <v>112.27</v>
      </c>
      <c r="C101" s="64">
        <v>49.46</v>
      </c>
      <c r="D101" s="64">
        <v>114.49</v>
      </c>
      <c r="E101" s="64">
        <v>7.9</v>
      </c>
      <c r="F101" s="64">
        <v>2.13</v>
      </c>
      <c r="G101" s="64">
        <v>101.65</v>
      </c>
      <c r="H101" s="64">
        <v>27.48</v>
      </c>
      <c r="I101" s="210" t="s">
        <v>43</v>
      </c>
      <c r="J101" s="64">
        <v>1.1000000000000001</v>
      </c>
      <c r="K101" s="64">
        <v>45.44</v>
      </c>
      <c r="L101" s="64">
        <v>14.36</v>
      </c>
      <c r="M101" s="64">
        <v>42.46</v>
      </c>
      <c r="N101" s="64">
        <v>146.5</v>
      </c>
      <c r="O101" s="64">
        <v>0</v>
      </c>
      <c r="P101" s="64">
        <v>2.1</v>
      </c>
      <c r="Q101" s="64">
        <v>10.09</v>
      </c>
      <c r="R101" s="198"/>
      <c r="S101" s="198"/>
      <c r="T101" s="198"/>
      <c r="U101" s="198"/>
    </row>
    <row r="102" spans="1:33" s="12" customFormat="1" x14ac:dyDescent="0.25">
      <c r="A102" s="214" t="s">
        <v>433</v>
      </c>
      <c r="B102" s="64">
        <v>108.2</v>
      </c>
      <c r="C102" s="64">
        <v>48.89</v>
      </c>
      <c r="D102" s="64">
        <v>110.94</v>
      </c>
      <c r="E102" s="64">
        <v>7.86</v>
      </c>
      <c r="F102" s="64">
        <v>2.13</v>
      </c>
      <c r="G102" s="64">
        <v>101.65</v>
      </c>
      <c r="H102" s="64">
        <v>27.48</v>
      </c>
      <c r="I102" s="210" t="s">
        <v>43</v>
      </c>
      <c r="J102" s="64">
        <v>2.02</v>
      </c>
      <c r="K102" s="64">
        <v>324.74</v>
      </c>
      <c r="L102" s="64">
        <v>14.38</v>
      </c>
      <c r="M102" s="64">
        <v>42.29</v>
      </c>
      <c r="N102" s="64">
        <v>146.80000000000001</v>
      </c>
      <c r="O102" s="64">
        <v>0</v>
      </c>
      <c r="P102" s="64">
        <v>2.02</v>
      </c>
      <c r="Q102" s="64">
        <v>10.07</v>
      </c>
      <c r="R102" s="198"/>
      <c r="S102" s="198"/>
      <c r="T102" s="198"/>
      <c r="U102" s="198"/>
    </row>
    <row r="103" spans="1:33" s="12" customFormat="1" x14ac:dyDescent="0.25">
      <c r="A103" s="214" t="s">
        <v>434</v>
      </c>
      <c r="B103" s="64">
        <v>104.56</v>
      </c>
      <c r="C103" s="64">
        <v>48.35</v>
      </c>
      <c r="D103" s="64">
        <v>107.74</v>
      </c>
      <c r="E103" s="64">
        <v>7.51</v>
      </c>
      <c r="F103" s="64">
        <v>2.13</v>
      </c>
      <c r="G103" s="64">
        <v>85.9</v>
      </c>
      <c r="H103" s="64">
        <v>39.79</v>
      </c>
      <c r="I103" s="210" t="s">
        <v>43</v>
      </c>
      <c r="J103" s="64">
        <v>1.22</v>
      </c>
      <c r="K103" s="64">
        <v>10.81</v>
      </c>
      <c r="L103" s="64">
        <v>14.12</v>
      </c>
      <c r="M103" s="64">
        <v>42.85</v>
      </c>
      <c r="N103" s="64">
        <v>147.30000000000001</v>
      </c>
      <c r="O103" s="64">
        <v>0</v>
      </c>
      <c r="P103" s="64">
        <v>2.0499999999999998</v>
      </c>
      <c r="Q103" s="64">
        <v>10.039999999999999</v>
      </c>
      <c r="R103" s="198"/>
      <c r="S103" s="198"/>
      <c r="T103" s="198"/>
      <c r="U103" s="198"/>
    </row>
    <row r="104" spans="1:33" s="12" customFormat="1" x14ac:dyDescent="0.25">
      <c r="A104" s="214" t="s">
        <v>435</v>
      </c>
      <c r="B104" s="64">
        <v>100.98</v>
      </c>
      <c r="C104" s="64">
        <v>48.03</v>
      </c>
      <c r="D104" s="64">
        <v>104.69</v>
      </c>
      <c r="E104" s="64">
        <v>6.33</v>
      </c>
      <c r="F104" s="64">
        <v>2.13</v>
      </c>
      <c r="G104" s="64">
        <v>79.14</v>
      </c>
      <c r="H104" s="64">
        <v>45.07</v>
      </c>
      <c r="I104" s="210" t="s">
        <v>43</v>
      </c>
      <c r="J104" s="64">
        <v>0.97</v>
      </c>
      <c r="K104" s="64">
        <v>339.17</v>
      </c>
      <c r="L104" s="64">
        <v>13.77</v>
      </c>
      <c r="M104" s="64">
        <v>45.36</v>
      </c>
      <c r="N104" s="64">
        <v>147.30000000000001</v>
      </c>
      <c r="O104" s="64">
        <v>0</v>
      </c>
      <c r="P104" s="64">
        <v>2.0299999999999998</v>
      </c>
      <c r="Q104" s="64">
        <v>9.9700000000000006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3.34</v>
      </c>
      <c r="C106" s="67">
        <f>MIN(C9:C104)</f>
        <v>38.11</v>
      </c>
      <c r="D106" s="67">
        <f t="shared" ref="D106:Q106" si="0">MIN(D9:D104)</f>
        <v>34.21</v>
      </c>
      <c r="E106" s="67">
        <f t="shared" si="0"/>
        <v>4.6500000000000004</v>
      </c>
      <c r="F106" s="67">
        <f t="shared" si="0"/>
        <v>2.13</v>
      </c>
      <c r="G106" s="67">
        <f t="shared" si="0"/>
        <v>34.909999999999997</v>
      </c>
      <c r="H106" s="67">
        <f t="shared" si="0"/>
        <v>0.6</v>
      </c>
      <c r="I106" s="67">
        <f t="shared" si="0"/>
        <v>0</v>
      </c>
      <c r="J106" s="67">
        <f t="shared" si="0"/>
        <v>0.19</v>
      </c>
      <c r="K106" s="67">
        <f t="shared" si="0"/>
        <v>2.04</v>
      </c>
      <c r="L106" s="67">
        <f t="shared" si="0"/>
        <v>8.09</v>
      </c>
      <c r="M106" s="67">
        <f t="shared" si="0"/>
        <v>23.73</v>
      </c>
      <c r="N106" s="67">
        <f t="shared" si="0"/>
        <v>97.7</v>
      </c>
      <c r="O106" s="67">
        <f t="shared" si="0"/>
        <v>0</v>
      </c>
      <c r="P106" s="67">
        <f t="shared" si="0"/>
        <v>0.68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134.33000000000001</v>
      </c>
      <c r="C107" s="66">
        <f t="shared" ref="C107:Q107" si="1">MAX(C9:C104)</f>
        <v>74.67</v>
      </c>
      <c r="D107" s="66">
        <f t="shared" si="1"/>
        <v>136.27000000000001</v>
      </c>
      <c r="E107" s="66">
        <f t="shared" si="1"/>
        <v>12.13</v>
      </c>
      <c r="F107" s="66">
        <f t="shared" si="1"/>
        <v>5</v>
      </c>
      <c r="G107" s="66">
        <f t="shared" si="1"/>
        <v>242.04</v>
      </c>
      <c r="H107" s="66">
        <f t="shared" si="1"/>
        <v>65.25</v>
      </c>
      <c r="I107" s="66">
        <f t="shared" si="1"/>
        <v>0</v>
      </c>
      <c r="J107" s="66">
        <f t="shared" si="1"/>
        <v>3.75</v>
      </c>
      <c r="K107" s="66">
        <f t="shared" si="1"/>
        <v>352.45</v>
      </c>
      <c r="L107" s="66">
        <f t="shared" si="1"/>
        <v>25.87</v>
      </c>
      <c r="M107" s="66">
        <f t="shared" si="1"/>
        <v>97.47</v>
      </c>
      <c r="N107" s="66">
        <f t="shared" si="1"/>
        <v>783.5</v>
      </c>
      <c r="O107" s="66">
        <f t="shared" si="1"/>
        <v>0</v>
      </c>
      <c r="P107" s="66">
        <f t="shared" si="1"/>
        <v>2.39</v>
      </c>
      <c r="Q107" s="66">
        <f t="shared" si="1"/>
        <v>10.31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61.586458333333326</v>
      </c>
      <c r="C108" s="67">
        <f t="shared" ref="C108:Q108" si="2">AVERAGE(C9:C104)</f>
        <v>53.06802083333335</v>
      </c>
      <c r="D108" s="67">
        <f t="shared" si="2"/>
        <v>75.737500000000026</v>
      </c>
      <c r="E108" s="67">
        <f t="shared" si="2"/>
        <v>7.0536458333333334</v>
      </c>
      <c r="F108" s="67">
        <f t="shared" si="2"/>
        <v>2.2005208333333308</v>
      </c>
      <c r="G108" s="67">
        <f t="shared" si="2"/>
        <v>103.99489583333336</v>
      </c>
      <c r="H108" s="67">
        <f t="shared" si="2"/>
        <v>32.914687500000014</v>
      </c>
      <c r="I108" s="67" t="e">
        <f t="shared" si="2"/>
        <v>#DIV/0!</v>
      </c>
      <c r="J108" s="67">
        <f t="shared" si="2"/>
        <v>1.911666666666666</v>
      </c>
      <c r="K108" s="67">
        <f t="shared" si="2"/>
        <v>207.55906249999998</v>
      </c>
      <c r="L108" s="67">
        <f t="shared" si="2"/>
        <v>16.143333333333331</v>
      </c>
      <c r="M108" s="67">
        <f t="shared" si="2"/>
        <v>54.365729166666675</v>
      </c>
      <c r="N108" s="67">
        <f t="shared" si="2"/>
        <v>274.16145833333331</v>
      </c>
      <c r="O108" s="67">
        <f t="shared" si="2"/>
        <v>0</v>
      </c>
      <c r="P108" s="67">
        <f t="shared" si="2"/>
        <v>1.2884375000000001</v>
      </c>
      <c r="Q108" s="67">
        <f t="shared" si="2"/>
        <v>9.17427083333334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46.401342357605564</v>
      </c>
      <c r="C109" s="67">
        <f t="shared" ref="C109:Q109" si="3">STDEV(C9:C104)</f>
        <v>10.736705622331847</v>
      </c>
      <c r="D109" s="67">
        <f t="shared" si="3"/>
        <v>34.504850795519317</v>
      </c>
      <c r="E109" s="67">
        <f t="shared" si="3"/>
        <v>1.775984897868264</v>
      </c>
      <c r="F109" s="67">
        <f t="shared" si="3"/>
        <v>0.38280232576885925</v>
      </c>
      <c r="G109" s="67">
        <f t="shared" si="3"/>
        <v>55.376409512673739</v>
      </c>
      <c r="H109" s="67">
        <f t="shared" si="3"/>
        <v>17.3162846357273</v>
      </c>
      <c r="I109" s="67" t="e">
        <f t="shared" si="3"/>
        <v>#DIV/0!</v>
      </c>
      <c r="J109" s="67">
        <f t="shared" si="3"/>
        <v>0.79780180452180494</v>
      </c>
      <c r="K109" s="67">
        <f t="shared" si="3"/>
        <v>128.37352219271887</v>
      </c>
      <c r="L109" s="67">
        <f t="shared" si="3"/>
        <v>5.7655029755784151</v>
      </c>
      <c r="M109" s="67">
        <f t="shared" si="3"/>
        <v>24.280702918152112</v>
      </c>
      <c r="N109" s="67">
        <f t="shared" si="3"/>
        <v>234.89913417410804</v>
      </c>
      <c r="O109" s="67">
        <f t="shared" si="3"/>
        <v>0</v>
      </c>
      <c r="P109" s="67">
        <f t="shared" si="3"/>
        <v>0.55985210100525606</v>
      </c>
      <c r="Q109" s="67">
        <f t="shared" si="3"/>
        <v>0.8725193344763702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9" sqref="I9:I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436</v>
      </c>
      <c r="B9" s="64">
        <v>96.43</v>
      </c>
      <c r="C9" s="64">
        <v>47.6</v>
      </c>
      <c r="D9" s="64">
        <v>100.82</v>
      </c>
      <c r="E9" s="64">
        <v>6.6</v>
      </c>
      <c r="F9" s="64">
        <v>2.13</v>
      </c>
      <c r="G9" s="64">
        <v>79.14</v>
      </c>
      <c r="H9" s="64">
        <v>45.07</v>
      </c>
      <c r="I9" s="210" t="s">
        <v>43</v>
      </c>
      <c r="J9" s="64">
        <v>2.42</v>
      </c>
      <c r="K9" s="64">
        <v>266.13</v>
      </c>
      <c r="L9" s="64">
        <v>13.11</v>
      </c>
      <c r="M9" s="64">
        <v>50.36</v>
      </c>
      <c r="N9" s="64">
        <v>147.30000000000001</v>
      </c>
      <c r="O9" s="64">
        <v>0</v>
      </c>
      <c r="P9" s="64">
        <v>1.96</v>
      </c>
      <c r="Q9" s="64">
        <v>9.93</v>
      </c>
      <c r="R9" s="198"/>
      <c r="S9" s="198"/>
      <c r="T9" s="198"/>
      <c r="U9" s="198"/>
    </row>
    <row r="10" spans="1:21" s="12" customFormat="1" x14ac:dyDescent="0.25">
      <c r="A10" s="214" t="s">
        <v>437</v>
      </c>
      <c r="B10" s="64">
        <v>91.28</v>
      </c>
      <c r="C10" s="64">
        <v>47.53</v>
      </c>
      <c r="D10" s="64">
        <v>96.66</v>
      </c>
      <c r="E10" s="64">
        <v>6.63</v>
      </c>
      <c r="F10" s="64">
        <v>2.13</v>
      </c>
      <c r="G10" s="64">
        <v>79.14</v>
      </c>
      <c r="H10" s="64">
        <v>45.07</v>
      </c>
      <c r="I10" s="210" t="s">
        <v>43</v>
      </c>
      <c r="J10" s="64">
        <v>2.2599999999999998</v>
      </c>
      <c r="K10" s="64">
        <v>311.14</v>
      </c>
      <c r="L10" s="64">
        <v>12.6</v>
      </c>
      <c r="M10" s="64">
        <v>53.52</v>
      </c>
      <c r="N10" s="64">
        <v>146.9</v>
      </c>
      <c r="O10" s="64">
        <v>0</v>
      </c>
      <c r="P10" s="64">
        <v>1.88</v>
      </c>
      <c r="Q10" s="64">
        <v>9.91</v>
      </c>
      <c r="R10" s="198"/>
      <c r="S10" s="198"/>
      <c r="T10" s="198"/>
      <c r="U10" s="198"/>
    </row>
    <row r="11" spans="1:21" s="12" customFormat="1" x14ac:dyDescent="0.25">
      <c r="A11" s="214" t="s">
        <v>438</v>
      </c>
      <c r="B11" s="64">
        <v>86.72</v>
      </c>
      <c r="C11" s="64">
        <v>47.38</v>
      </c>
      <c r="D11" s="64">
        <v>92.92</v>
      </c>
      <c r="E11" s="64">
        <v>5.93</v>
      </c>
      <c r="F11" s="64">
        <v>2.13</v>
      </c>
      <c r="G11" s="64">
        <v>74.3</v>
      </c>
      <c r="H11" s="64">
        <v>36.799999999999997</v>
      </c>
      <c r="I11" s="210" t="s">
        <v>43</v>
      </c>
      <c r="J11" s="64">
        <v>0.84</v>
      </c>
      <c r="K11" s="64">
        <v>38.729999999999997</v>
      </c>
      <c r="L11" s="64">
        <v>12.79</v>
      </c>
      <c r="M11" s="64">
        <v>47.74</v>
      </c>
      <c r="N11" s="64">
        <v>145.9</v>
      </c>
      <c r="O11" s="64">
        <v>0</v>
      </c>
      <c r="P11" s="64">
        <v>1.83</v>
      </c>
      <c r="Q11" s="64">
        <v>9.8699999999999992</v>
      </c>
      <c r="R11" s="198"/>
      <c r="S11" s="198"/>
      <c r="T11" s="198"/>
      <c r="U11" s="198"/>
    </row>
    <row r="12" spans="1:21" s="12" customFormat="1" x14ac:dyDescent="0.25">
      <c r="A12" s="214" t="s">
        <v>439</v>
      </c>
      <c r="B12" s="64">
        <v>82.51</v>
      </c>
      <c r="C12" s="64">
        <v>46.73</v>
      </c>
      <c r="D12" s="64">
        <v>89.21</v>
      </c>
      <c r="E12" s="64">
        <v>6.15</v>
      </c>
      <c r="F12" s="64">
        <v>2.13</v>
      </c>
      <c r="G12" s="64">
        <v>72.22</v>
      </c>
      <c r="H12" s="64">
        <v>33.25</v>
      </c>
      <c r="I12" s="210" t="s">
        <v>43</v>
      </c>
      <c r="J12" s="64">
        <v>0.98</v>
      </c>
      <c r="K12" s="64">
        <v>7.41</v>
      </c>
      <c r="L12" s="64">
        <v>13.26</v>
      </c>
      <c r="M12" s="64">
        <v>44.41</v>
      </c>
      <c r="N12" s="64">
        <v>146</v>
      </c>
      <c r="O12" s="64">
        <v>0</v>
      </c>
      <c r="P12" s="64">
        <v>1.75</v>
      </c>
      <c r="Q12" s="64">
        <v>9.83</v>
      </c>
      <c r="R12" s="198"/>
      <c r="S12" s="198"/>
      <c r="T12" s="198"/>
      <c r="U12" s="198"/>
    </row>
    <row r="13" spans="1:21" s="12" customFormat="1" x14ac:dyDescent="0.25">
      <c r="A13" s="214" t="s">
        <v>440</v>
      </c>
      <c r="B13" s="64">
        <v>77.849999999999994</v>
      </c>
      <c r="C13" s="64">
        <v>46.81</v>
      </c>
      <c r="D13" s="64">
        <v>85.51</v>
      </c>
      <c r="E13" s="64">
        <v>5.99</v>
      </c>
      <c r="F13" s="64">
        <v>2.13</v>
      </c>
      <c r="G13" s="64">
        <v>72.22</v>
      </c>
      <c r="H13" s="64">
        <v>33.25</v>
      </c>
      <c r="I13" s="210" t="s">
        <v>43</v>
      </c>
      <c r="J13" s="64">
        <v>1.06</v>
      </c>
      <c r="K13" s="64">
        <v>312.45</v>
      </c>
      <c r="L13" s="64">
        <v>13.27</v>
      </c>
      <c r="M13" s="64">
        <v>44.04</v>
      </c>
      <c r="N13" s="64">
        <v>146.4</v>
      </c>
      <c r="O13" s="64">
        <v>0</v>
      </c>
      <c r="P13" s="64">
        <v>1.49</v>
      </c>
      <c r="Q13" s="64">
        <v>9.7899999999999991</v>
      </c>
      <c r="R13" s="198"/>
      <c r="S13" s="198"/>
      <c r="T13" s="198"/>
      <c r="U13" s="198"/>
    </row>
    <row r="14" spans="1:21" s="12" customFormat="1" x14ac:dyDescent="0.25">
      <c r="A14" s="214" t="s">
        <v>441</v>
      </c>
      <c r="B14" s="64">
        <v>73.33</v>
      </c>
      <c r="C14" s="64">
        <v>46.86</v>
      </c>
      <c r="D14" s="64">
        <v>81.91</v>
      </c>
      <c r="E14" s="64">
        <v>5.64</v>
      </c>
      <c r="F14" s="64">
        <v>2.13</v>
      </c>
      <c r="G14" s="64">
        <v>72.22</v>
      </c>
      <c r="H14" s="64">
        <v>33.25</v>
      </c>
      <c r="I14" s="210" t="s">
        <v>43</v>
      </c>
      <c r="J14" s="64">
        <v>1.79</v>
      </c>
      <c r="K14" s="64">
        <v>333.37</v>
      </c>
      <c r="L14" s="64">
        <v>13.17</v>
      </c>
      <c r="M14" s="64">
        <v>43.43</v>
      </c>
      <c r="N14" s="64">
        <v>146.80000000000001</v>
      </c>
      <c r="O14" s="64">
        <v>0</v>
      </c>
      <c r="P14" s="64">
        <v>1.5</v>
      </c>
      <c r="Q14" s="64">
        <v>9.77</v>
      </c>
      <c r="R14" s="198"/>
      <c r="S14" s="198"/>
      <c r="T14" s="198"/>
      <c r="U14" s="198"/>
    </row>
    <row r="15" spans="1:21" s="12" customFormat="1" x14ac:dyDescent="0.25">
      <c r="A15" s="214" t="s">
        <v>442</v>
      </c>
      <c r="B15" s="64">
        <v>69.47</v>
      </c>
      <c r="C15" s="64">
        <v>46.32</v>
      </c>
      <c r="D15" s="64">
        <v>78.53</v>
      </c>
      <c r="E15" s="64">
        <v>5.57</v>
      </c>
      <c r="F15" s="64">
        <v>2.13</v>
      </c>
      <c r="G15" s="64">
        <v>58.87</v>
      </c>
      <c r="H15" s="64">
        <v>19.510000000000002</v>
      </c>
      <c r="I15" s="210" t="s">
        <v>43</v>
      </c>
      <c r="J15" s="64">
        <v>1.1499999999999999</v>
      </c>
      <c r="K15" s="64">
        <v>334.49</v>
      </c>
      <c r="L15" s="64">
        <v>13.05</v>
      </c>
      <c r="M15" s="64">
        <v>44.22</v>
      </c>
      <c r="N15" s="64">
        <v>147.6</v>
      </c>
      <c r="O15" s="64">
        <v>0</v>
      </c>
      <c r="P15" s="64">
        <v>1.43</v>
      </c>
      <c r="Q15" s="64">
        <v>9.73</v>
      </c>
      <c r="R15" s="198"/>
      <c r="S15" s="198"/>
      <c r="T15" s="198"/>
      <c r="U15" s="198"/>
    </row>
    <row r="16" spans="1:21" s="12" customFormat="1" x14ac:dyDescent="0.25">
      <c r="A16" s="214" t="s">
        <v>443</v>
      </c>
      <c r="B16" s="64">
        <v>65.8</v>
      </c>
      <c r="C16" s="64">
        <v>45.5</v>
      </c>
      <c r="D16" s="64">
        <v>75.16</v>
      </c>
      <c r="E16" s="64">
        <v>5.08</v>
      </c>
      <c r="F16" s="64">
        <v>2.13</v>
      </c>
      <c r="G16" s="64">
        <v>53.15</v>
      </c>
      <c r="H16" s="64">
        <v>13.62</v>
      </c>
      <c r="I16" s="210" t="s">
        <v>43</v>
      </c>
      <c r="J16" s="64">
        <v>1.34</v>
      </c>
      <c r="K16" s="64">
        <v>344.76</v>
      </c>
      <c r="L16" s="64">
        <v>12.64</v>
      </c>
      <c r="M16" s="64">
        <v>44.91</v>
      </c>
      <c r="N16" s="64">
        <v>148.19999999999999</v>
      </c>
      <c r="O16" s="64">
        <v>0</v>
      </c>
      <c r="P16" s="64">
        <v>1.32</v>
      </c>
      <c r="Q16" s="64">
        <v>9.7100000000000009</v>
      </c>
      <c r="R16" s="198"/>
      <c r="S16" s="198"/>
      <c r="T16" s="198"/>
      <c r="U16" s="198"/>
    </row>
    <row r="17" spans="1:21" s="12" customFormat="1" x14ac:dyDescent="0.25">
      <c r="A17" s="214" t="s">
        <v>444</v>
      </c>
      <c r="B17" s="64">
        <v>62.03</v>
      </c>
      <c r="C17" s="64">
        <v>44.17</v>
      </c>
      <c r="D17" s="64">
        <v>71.45</v>
      </c>
      <c r="E17" s="64">
        <v>5.15</v>
      </c>
      <c r="F17" s="64">
        <v>2.13</v>
      </c>
      <c r="G17" s="64">
        <v>53.15</v>
      </c>
      <c r="H17" s="64">
        <v>13.62</v>
      </c>
      <c r="I17" s="210" t="s">
        <v>43</v>
      </c>
      <c r="J17" s="64">
        <v>1.45</v>
      </c>
      <c r="K17" s="64">
        <v>9.9</v>
      </c>
      <c r="L17" s="64">
        <v>12.3</v>
      </c>
      <c r="M17" s="64">
        <v>45.67</v>
      </c>
      <c r="N17" s="64">
        <v>148.6</v>
      </c>
      <c r="O17" s="64">
        <v>0</v>
      </c>
      <c r="P17" s="64">
        <v>1.26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445</v>
      </c>
      <c r="B18" s="64">
        <v>58.97</v>
      </c>
      <c r="C18" s="64">
        <v>44.11</v>
      </c>
      <c r="D18" s="64">
        <v>68.959999999999994</v>
      </c>
      <c r="E18" s="64">
        <v>5.51</v>
      </c>
      <c r="F18" s="64">
        <v>2.13</v>
      </c>
      <c r="G18" s="64">
        <v>53.15</v>
      </c>
      <c r="H18" s="64">
        <v>13.62</v>
      </c>
      <c r="I18" s="210" t="s">
        <v>43</v>
      </c>
      <c r="J18" s="64">
        <v>2.02</v>
      </c>
      <c r="K18" s="64">
        <v>306.17</v>
      </c>
      <c r="L18" s="64">
        <v>11.9</v>
      </c>
      <c r="M18" s="64">
        <v>52.31</v>
      </c>
      <c r="N18" s="64">
        <v>148.6</v>
      </c>
      <c r="O18" s="64">
        <v>0</v>
      </c>
      <c r="P18" s="64">
        <v>1.23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4" t="s">
        <v>446</v>
      </c>
      <c r="B19" s="64">
        <v>56.4</v>
      </c>
      <c r="C19" s="64">
        <v>43.47</v>
      </c>
      <c r="D19" s="64">
        <v>66.56</v>
      </c>
      <c r="E19" s="64">
        <v>5.28</v>
      </c>
      <c r="F19" s="64">
        <v>2.13</v>
      </c>
      <c r="G19" s="64">
        <v>48.83</v>
      </c>
      <c r="H19" s="64">
        <v>13.66</v>
      </c>
      <c r="I19" s="210" t="s">
        <v>43</v>
      </c>
      <c r="J19" s="64">
        <v>2.76</v>
      </c>
      <c r="K19" s="64">
        <v>270.73</v>
      </c>
      <c r="L19" s="64">
        <v>11.29</v>
      </c>
      <c r="M19" s="64">
        <v>55.79</v>
      </c>
      <c r="N19" s="64">
        <v>148</v>
      </c>
      <c r="O19" s="64">
        <v>0</v>
      </c>
      <c r="P19" s="64">
        <v>1.19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447</v>
      </c>
      <c r="B20" s="64">
        <v>54.06</v>
      </c>
      <c r="C20" s="64">
        <v>42.52</v>
      </c>
      <c r="D20" s="64">
        <v>64.19</v>
      </c>
      <c r="E20" s="64">
        <v>4.91</v>
      </c>
      <c r="F20" s="64">
        <v>2.13</v>
      </c>
      <c r="G20" s="64">
        <v>46.98</v>
      </c>
      <c r="H20" s="64">
        <v>13.68</v>
      </c>
      <c r="I20" s="210" t="s">
        <v>43</v>
      </c>
      <c r="J20" s="64">
        <v>2.1800000000000002</v>
      </c>
      <c r="K20" s="64">
        <v>296.95999999999998</v>
      </c>
      <c r="L20" s="64">
        <v>11.24</v>
      </c>
      <c r="M20" s="64">
        <v>55.73</v>
      </c>
      <c r="N20" s="64">
        <v>147.6</v>
      </c>
      <c r="O20" s="64">
        <v>0</v>
      </c>
      <c r="P20" s="64">
        <v>1.1200000000000001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448</v>
      </c>
      <c r="B21" s="64">
        <v>51.67</v>
      </c>
      <c r="C21" s="64">
        <v>41.9</v>
      </c>
      <c r="D21" s="64">
        <v>61.95</v>
      </c>
      <c r="E21" s="64">
        <v>5.01</v>
      </c>
      <c r="F21" s="64">
        <v>2.13</v>
      </c>
      <c r="G21" s="64">
        <v>46.98</v>
      </c>
      <c r="H21" s="64">
        <v>13.68</v>
      </c>
      <c r="I21" s="210" t="s">
        <v>43</v>
      </c>
      <c r="J21" s="64">
        <v>2.72</v>
      </c>
      <c r="K21" s="64">
        <v>357.18</v>
      </c>
      <c r="L21" s="64">
        <v>10.78</v>
      </c>
      <c r="M21" s="64">
        <v>57.17</v>
      </c>
      <c r="N21" s="64">
        <v>147.80000000000001</v>
      </c>
      <c r="O21" s="64">
        <v>0</v>
      </c>
      <c r="P21" s="64">
        <v>1.07</v>
      </c>
      <c r="Q21" s="64">
        <v>9.52</v>
      </c>
      <c r="R21" s="198"/>
      <c r="S21" s="198"/>
      <c r="T21" s="198"/>
      <c r="U21" s="198"/>
    </row>
    <row r="22" spans="1:21" s="12" customFormat="1" x14ac:dyDescent="0.25">
      <c r="A22" s="214" t="s">
        <v>449</v>
      </c>
      <c r="B22" s="64">
        <v>49.47</v>
      </c>
      <c r="C22" s="64">
        <v>41.23</v>
      </c>
      <c r="D22" s="64">
        <v>59.84</v>
      </c>
      <c r="E22" s="64">
        <v>5.26</v>
      </c>
      <c r="F22" s="64">
        <v>2.13</v>
      </c>
      <c r="G22" s="64">
        <v>46.98</v>
      </c>
      <c r="H22" s="64">
        <v>13.68</v>
      </c>
      <c r="I22" s="210" t="s">
        <v>43</v>
      </c>
      <c r="J22" s="64">
        <v>2.19</v>
      </c>
      <c r="K22" s="64">
        <v>278.23</v>
      </c>
      <c r="L22" s="64">
        <v>10.89</v>
      </c>
      <c r="M22" s="64">
        <v>59</v>
      </c>
      <c r="N22" s="64">
        <v>147.6</v>
      </c>
      <c r="O22" s="64">
        <v>0</v>
      </c>
      <c r="P22" s="64">
        <v>1.02</v>
      </c>
      <c r="Q22" s="64">
        <v>9.31</v>
      </c>
      <c r="R22" s="198"/>
      <c r="S22" s="198"/>
      <c r="T22" s="198"/>
      <c r="U22" s="198"/>
    </row>
    <row r="23" spans="1:21" s="12" customFormat="1" x14ac:dyDescent="0.25">
      <c r="A23" s="214" t="s">
        <v>450</v>
      </c>
      <c r="B23" s="64">
        <v>48.12</v>
      </c>
      <c r="C23" s="64">
        <v>40.83</v>
      </c>
      <c r="D23" s="64">
        <v>58.55</v>
      </c>
      <c r="E23" s="64">
        <v>4.72</v>
      </c>
      <c r="F23" s="64">
        <v>2.13</v>
      </c>
      <c r="G23" s="64">
        <v>68.150000000000006</v>
      </c>
      <c r="H23" s="64">
        <v>8.32</v>
      </c>
      <c r="I23" s="210" t="s">
        <v>43</v>
      </c>
      <c r="J23" s="64">
        <v>2.2799999999999998</v>
      </c>
      <c r="K23" s="64">
        <v>320.17</v>
      </c>
      <c r="L23" s="64">
        <v>10.43</v>
      </c>
      <c r="M23" s="64">
        <v>61.58</v>
      </c>
      <c r="N23" s="64">
        <v>147.69999999999999</v>
      </c>
      <c r="O23" s="64">
        <v>0</v>
      </c>
      <c r="P23" s="64">
        <v>0.96</v>
      </c>
      <c r="Q23" s="64">
        <v>9.14</v>
      </c>
      <c r="R23" s="198"/>
      <c r="S23" s="198"/>
      <c r="T23" s="198"/>
      <c r="U23" s="198"/>
    </row>
    <row r="24" spans="1:21" s="12" customFormat="1" x14ac:dyDescent="0.25">
      <c r="A24" s="214" t="s">
        <v>451</v>
      </c>
      <c r="B24" s="64">
        <v>46.96</v>
      </c>
      <c r="C24" s="64">
        <v>40.61</v>
      </c>
      <c r="D24" s="64">
        <v>57.5</v>
      </c>
      <c r="E24" s="64">
        <v>5.05</v>
      </c>
      <c r="F24" s="64">
        <v>2.13</v>
      </c>
      <c r="G24" s="64">
        <v>77.23</v>
      </c>
      <c r="H24" s="64">
        <v>6.02</v>
      </c>
      <c r="I24" s="210" t="s">
        <v>43</v>
      </c>
      <c r="J24" s="64">
        <v>0.37</v>
      </c>
      <c r="K24" s="64">
        <v>28.92</v>
      </c>
      <c r="L24" s="64">
        <v>10.52</v>
      </c>
      <c r="M24" s="64">
        <v>54.64</v>
      </c>
      <c r="N24" s="64">
        <v>147.19999999999999</v>
      </c>
      <c r="O24" s="64">
        <v>0</v>
      </c>
      <c r="P24" s="64">
        <v>0.96</v>
      </c>
      <c r="Q24" s="64">
        <v>9.01</v>
      </c>
      <c r="R24" s="198"/>
      <c r="S24" s="198"/>
      <c r="T24" s="198"/>
      <c r="U24" s="198"/>
    </row>
    <row r="25" spans="1:21" s="12" customFormat="1" x14ac:dyDescent="0.25">
      <c r="A25" s="214" t="s">
        <v>452</v>
      </c>
      <c r="B25" s="64">
        <v>44.81</v>
      </c>
      <c r="C25" s="64">
        <v>40.770000000000003</v>
      </c>
      <c r="D25" s="64">
        <v>55.86</v>
      </c>
      <c r="E25" s="64">
        <v>4.71</v>
      </c>
      <c r="F25" s="64">
        <v>2.13</v>
      </c>
      <c r="G25" s="64">
        <v>77.23</v>
      </c>
      <c r="H25" s="64">
        <v>6.02</v>
      </c>
      <c r="I25" s="210" t="s">
        <v>43</v>
      </c>
      <c r="J25" s="64">
        <v>0.47</v>
      </c>
      <c r="K25" s="64">
        <v>320.5</v>
      </c>
      <c r="L25" s="64">
        <v>10.64</v>
      </c>
      <c r="M25" s="64">
        <v>56.02</v>
      </c>
      <c r="N25" s="64">
        <v>147.5</v>
      </c>
      <c r="O25" s="64">
        <v>0</v>
      </c>
      <c r="P25" s="64">
        <v>0.92</v>
      </c>
      <c r="Q25" s="64">
        <v>8.7799999999999994</v>
      </c>
      <c r="R25" s="198"/>
      <c r="S25" s="198"/>
      <c r="T25" s="198"/>
      <c r="U25" s="198"/>
    </row>
    <row r="26" spans="1:21" s="12" customFormat="1" x14ac:dyDescent="0.25">
      <c r="A26" s="214" t="s">
        <v>453</v>
      </c>
      <c r="B26" s="64">
        <v>42.73</v>
      </c>
      <c r="C26" s="64">
        <v>40.71</v>
      </c>
      <c r="D26" s="64">
        <v>54.16</v>
      </c>
      <c r="E26" s="64">
        <v>5</v>
      </c>
      <c r="F26" s="64">
        <v>2.13</v>
      </c>
      <c r="G26" s="64">
        <v>77.23</v>
      </c>
      <c r="H26" s="64">
        <v>6.02</v>
      </c>
      <c r="I26" s="210" t="s">
        <v>43</v>
      </c>
      <c r="J26" s="64">
        <v>2.87</v>
      </c>
      <c r="K26" s="64">
        <v>234.34</v>
      </c>
      <c r="L26" s="64">
        <v>10.63</v>
      </c>
      <c r="M26" s="64">
        <v>57.41</v>
      </c>
      <c r="N26" s="64">
        <v>147.5</v>
      </c>
      <c r="O26" s="64">
        <v>0</v>
      </c>
      <c r="P26" s="64">
        <v>0.88</v>
      </c>
      <c r="Q26" s="64">
        <v>8.58</v>
      </c>
      <c r="R26" s="198"/>
      <c r="S26" s="198"/>
      <c r="T26" s="198"/>
      <c r="U26" s="198"/>
    </row>
    <row r="27" spans="1:21" s="12" customFormat="1" x14ac:dyDescent="0.25">
      <c r="A27" s="214" t="s">
        <v>454</v>
      </c>
      <c r="B27" s="64">
        <v>41.54</v>
      </c>
      <c r="C27" s="64">
        <v>41.03</v>
      </c>
      <c r="D27" s="64">
        <v>53.37</v>
      </c>
      <c r="E27" s="64">
        <v>5.1100000000000003</v>
      </c>
      <c r="F27" s="64">
        <v>2.13</v>
      </c>
      <c r="G27" s="64">
        <v>45.43</v>
      </c>
      <c r="H27" s="64">
        <v>12.03</v>
      </c>
      <c r="I27" s="210" t="s">
        <v>43</v>
      </c>
      <c r="J27" s="64">
        <v>2.9</v>
      </c>
      <c r="K27" s="64">
        <v>247.27</v>
      </c>
      <c r="L27" s="64">
        <v>10.52</v>
      </c>
      <c r="M27" s="64">
        <v>57.69</v>
      </c>
      <c r="N27" s="64">
        <v>148.1</v>
      </c>
      <c r="O27" s="64">
        <v>0</v>
      </c>
      <c r="P27" s="64">
        <v>0.84</v>
      </c>
      <c r="Q27" s="64">
        <v>8.4700000000000006</v>
      </c>
      <c r="R27" s="198"/>
      <c r="S27" s="198"/>
      <c r="T27" s="198"/>
      <c r="U27" s="198"/>
    </row>
    <row r="28" spans="1:21" s="12" customFormat="1" x14ac:dyDescent="0.25">
      <c r="A28" s="214" t="s">
        <v>455</v>
      </c>
      <c r="B28" s="64">
        <v>40.51</v>
      </c>
      <c r="C28" s="64">
        <v>41.4</v>
      </c>
      <c r="D28" s="64">
        <v>52.74</v>
      </c>
      <c r="E28" s="64">
        <v>4.72</v>
      </c>
      <c r="F28" s="64">
        <v>2.13</v>
      </c>
      <c r="G28" s="64">
        <v>31.07</v>
      </c>
      <c r="H28" s="64">
        <v>14.61</v>
      </c>
      <c r="I28" s="210" t="s">
        <v>43</v>
      </c>
      <c r="J28" s="64">
        <v>1.77</v>
      </c>
      <c r="K28" s="64">
        <v>300.23</v>
      </c>
      <c r="L28" s="64">
        <v>9.84</v>
      </c>
      <c r="M28" s="64">
        <v>63.88</v>
      </c>
      <c r="N28" s="64">
        <v>148.19999999999999</v>
      </c>
      <c r="O28" s="64">
        <v>0</v>
      </c>
      <c r="P28" s="64">
        <v>0.81</v>
      </c>
      <c r="Q28" s="64">
        <v>8.39</v>
      </c>
      <c r="R28" s="198"/>
      <c r="S28" s="198"/>
      <c r="T28" s="198"/>
      <c r="U28" s="198"/>
    </row>
    <row r="29" spans="1:21" s="12" customFormat="1" x14ac:dyDescent="0.25">
      <c r="A29" s="214" t="s">
        <v>456</v>
      </c>
      <c r="B29" s="64">
        <v>42.77</v>
      </c>
      <c r="C29" s="64">
        <v>42.22</v>
      </c>
      <c r="D29" s="64">
        <v>54.98</v>
      </c>
      <c r="E29" s="64">
        <v>4.78</v>
      </c>
      <c r="F29" s="64">
        <v>2.13</v>
      </c>
      <c r="G29" s="64">
        <v>31.07</v>
      </c>
      <c r="H29" s="64">
        <v>14.61</v>
      </c>
      <c r="I29" s="210" t="s">
        <v>43</v>
      </c>
      <c r="J29" s="64">
        <v>2.66</v>
      </c>
      <c r="K29" s="64">
        <v>236.1</v>
      </c>
      <c r="L29" s="64">
        <v>9.42</v>
      </c>
      <c r="M29" s="64">
        <v>69.97</v>
      </c>
      <c r="N29" s="64">
        <v>148.30000000000001</v>
      </c>
      <c r="O29" s="64">
        <v>0</v>
      </c>
      <c r="P29" s="64">
        <v>0.78</v>
      </c>
      <c r="Q29" s="64">
        <v>8.4700000000000006</v>
      </c>
      <c r="R29" s="198"/>
      <c r="S29" s="198"/>
      <c r="T29" s="198"/>
      <c r="U29" s="198"/>
    </row>
    <row r="30" spans="1:21" s="12" customFormat="1" x14ac:dyDescent="0.25">
      <c r="A30" s="214" t="s">
        <v>457</v>
      </c>
      <c r="B30" s="64">
        <v>46.05</v>
      </c>
      <c r="C30" s="64">
        <v>42.94</v>
      </c>
      <c r="D30" s="64">
        <v>57.99</v>
      </c>
      <c r="E30" s="64">
        <v>4.79</v>
      </c>
      <c r="F30" s="64">
        <v>2.13</v>
      </c>
      <c r="G30" s="64">
        <v>31.07</v>
      </c>
      <c r="H30" s="64">
        <v>14.61</v>
      </c>
      <c r="I30" s="210" t="s">
        <v>43</v>
      </c>
      <c r="J30" s="64">
        <v>2.66</v>
      </c>
      <c r="K30" s="64">
        <v>315.82</v>
      </c>
      <c r="L30" s="64">
        <v>9.3800000000000008</v>
      </c>
      <c r="M30" s="64">
        <v>74.45</v>
      </c>
      <c r="N30" s="64">
        <v>148.30000000000001</v>
      </c>
      <c r="O30" s="64">
        <v>0</v>
      </c>
      <c r="P30" s="64">
        <v>0.77</v>
      </c>
      <c r="Q30" s="64">
        <v>8.74</v>
      </c>
      <c r="R30" s="198"/>
      <c r="S30" s="198"/>
      <c r="T30" s="198"/>
      <c r="U30" s="198"/>
    </row>
    <row r="31" spans="1:21" s="12" customFormat="1" x14ac:dyDescent="0.25">
      <c r="A31" s="214" t="s">
        <v>458</v>
      </c>
      <c r="B31" s="64">
        <v>48.82</v>
      </c>
      <c r="C31" s="64">
        <v>42.73</v>
      </c>
      <c r="D31" s="64">
        <v>60.1</v>
      </c>
      <c r="E31" s="64">
        <v>4.8600000000000003</v>
      </c>
      <c r="F31" s="64">
        <v>2.13</v>
      </c>
      <c r="G31" s="64">
        <v>71.11</v>
      </c>
      <c r="H31" s="64">
        <v>109.48</v>
      </c>
      <c r="I31" s="210" t="s">
        <v>43</v>
      </c>
      <c r="J31" s="64">
        <v>2.72</v>
      </c>
      <c r="K31" s="64">
        <v>328.62</v>
      </c>
      <c r="L31" s="64">
        <v>8.98</v>
      </c>
      <c r="M31" s="64">
        <v>87.74</v>
      </c>
      <c r="N31" s="64">
        <v>148.19999999999999</v>
      </c>
      <c r="O31" s="64">
        <v>0</v>
      </c>
      <c r="P31" s="64">
        <v>0.76</v>
      </c>
      <c r="Q31" s="64">
        <v>9</v>
      </c>
      <c r="R31" s="198"/>
      <c r="S31" s="198"/>
      <c r="T31" s="198"/>
      <c r="U31" s="198"/>
    </row>
    <row r="32" spans="1:21" s="12" customFormat="1" x14ac:dyDescent="0.25">
      <c r="A32" s="214" t="s">
        <v>459</v>
      </c>
      <c r="B32" s="64">
        <v>50.99</v>
      </c>
      <c r="C32" s="64">
        <v>42.36</v>
      </c>
      <c r="D32" s="64">
        <v>61.65</v>
      </c>
      <c r="E32" s="64">
        <v>5.5</v>
      </c>
      <c r="F32" s="64">
        <v>2.13</v>
      </c>
      <c r="G32" s="64">
        <v>88.26</v>
      </c>
      <c r="H32" s="64">
        <v>150.13999999999999</v>
      </c>
      <c r="I32" s="210" t="s">
        <v>43</v>
      </c>
      <c r="J32" s="64">
        <v>2.92</v>
      </c>
      <c r="K32" s="64">
        <v>4.1399999999999997</v>
      </c>
      <c r="L32" s="64">
        <v>8.4499999999999993</v>
      </c>
      <c r="M32" s="64">
        <v>94.7</v>
      </c>
      <c r="N32" s="64">
        <v>149</v>
      </c>
      <c r="O32" s="64">
        <v>0</v>
      </c>
      <c r="P32" s="64">
        <v>0.76</v>
      </c>
      <c r="Q32" s="64">
        <v>9.19</v>
      </c>
      <c r="R32" s="198"/>
      <c r="S32" s="198"/>
      <c r="T32" s="198"/>
      <c r="U32" s="198"/>
    </row>
    <row r="33" spans="1:21" s="12" customFormat="1" x14ac:dyDescent="0.25">
      <c r="A33" s="214" t="s">
        <v>460</v>
      </c>
      <c r="B33" s="64">
        <v>52.78</v>
      </c>
      <c r="C33" s="64">
        <v>41.34</v>
      </c>
      <c r="D33" s="64">
        <v>62.55</v>
      </c>
      <c r="E33" s="64">
        <v>5.27</v>
      </c>
      <c r="F33" s="64">
        <v>2.13</v>
      </c>
      <c r="G33" s="64">
        <v>88.26</v>
      </c>
      <c r="H33" s="64">
        <v>150.13999999999999</v>
      </c>
      <c r="I33" s="210" t="s">
        <v>43</v>
      </c>
      <c r="J33" s="64">
        <v>2.91</v>
      </c>
      <c r="K33" s="64">
        <v>357.36</v>
      </c>
      <c r="L33" s="64">
        <v>8.39</v>
      </c>
      <c r="M33" s="64">
        <v>93.81</v>
      </c>
      <c r="N33" s="64">
        <v>148.80000000000001</v>
      </c>
      <c r="O33" s="64">
        <v>0</v>
      </c>
      <c r="P33" s="64">
        <v>0.76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4" t="s">
        <v>461</v>
      </c>
      <c r="B34" s="64">
        <v>56.14</v>
      </c>
      <c r="C34" s="64">
        <v>40.35</v>
      </c>
      <c r="D34" s="64">
        <v>64.72</v>
      </c>
      <c r="E34" s="64">
        <v>5.79</v>
      </c>
      <c r="F34" s="64">
        <v>2.13</v>
      </c>
      <c r="G34" s="64">
        <v>88.26</v>
      </c>
      <c r="H34" s="64">
        <v>150.13999999999999</v>
      </c>
      <c r="I34" s="210" t="s">
        <v>43</v>
      </c>
      <c r="J34" s="64">
        <v>1.47</v>
      </c>
      <c r="K34" s="64">
        <v>248.5</v>
      </c>
      <c r="L34" s="64">
        <v>8.39</v>
      </c>
      <c r="M34" s="64">
        <v>91.69</v>
      </c>
      <c r="N34" s="64">
        <v>149.30000000000001</v>
      </c>
      <c r="O34" s="64">
        <v>0</v>
      </c>
      <c r="P34" s="64">
        <v>0.77</v>
      </c>
      <c r="Q34" s="64">
        <v>9.57</v>
      </c>
      <c r="R34" s="198"/>
      <c r="S34" s="198"/>
      <c r="T34" s="198"/>
      <c r="U34" s="198"/>
    </row>
    <row r="35" spans="1:21" s="12" customFormat="1" x14ac:dyDescent="0.25">
      <c r="A35" s="214" t="s">
        <v>462</v>
      </c>
      <c r="B35" s="64">
        <v>60.77</v>
      </c>
      <c r="C35" s="64">
        <v>40.479999999999997</v>
      </c>
      <c r="D35" s="64">
        <v>68.5</v>
      </c>
      <c r="E35" s="64">
        <v>6.2</v>
      </c>
      <c r="F35" s="64">
        <v>2.13</v>
      </c>
      <c r="G35" s="64">
        <v>98.68</v>
      </c>
      <c r="H35" s="64">
        <v>71.5</v>
      </c>
      <c r="I35" s="210" t="s">
        <v>43</v>
      </c>
      <c r="J35" s="64">
        <v>2.64</v>
      </c>
      <c r="K35" s="64">
        <v>277.91000000000003</v>
      </c>
      <c r="L35" s="64">
        <v>8.5299999999999994</v>
      </c>
      <c r="M35" s="64">
        <v>85.59</v>
      </c>
      <c r="N35" s="64">
        <v>152</v>
      </c>
      <c r="O35" s="64">
        <v>0</v>
      </c>
      <c r="P35" s="64">
        <v>0.76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4" t="s">
        <v>463</v>
      </c>
      <c r="B36" s="64">
        <v>64.69</v>
      </c>
      <c r="C36" s="64">
        <v>40.67</v>
      </c>
      <c r="D36" s="64">
        <v>71.739999999999995</v>
      </c>
      <c r="E36" s="64">
        <v>6.59</v>
      </c>
      <c r="F36" s="64">
        <v>2.13</v>
      </c>
      <c r="G36" s="64">
        <v>103.14</v>
      </c>
      <c r="H36" s="64">
        <v>37.79</v>
      </c>
      <c r="I36" s="210" t="s">
        <v>43</v>
      </c>
      <c r="J36" s="64">
        <v>2.92</v>
      </c>
      <c r="K36" s="64">
        <v>297.02999999999997</v>
      </c>
      <c r="L36" s="64">
        <v>8.2799999999999994</v>
      </c>
      <c r="M36" s="64">
        <v>87.59</v>
      </c>
      <c r="N36" s="64">
        <v>160.1</v>
      </c>
      <c r="O36" s="64">
        <v>0</v>
      </c>
      <c r="P36" s="64">
        <v>0.76</v>
      </c>
      <c r="Q36" s="64">
        <v>9.76</v>
      </c>
      <c r="R36" s="198"/>
      <c r="S36" s="198"/>
      <c r="T36" s="198"/>
      <c r="U36" s="198"/>
    </row>
    <row r="37" spans="1:21" s="12" customFormat="1" x14ac:dyDescent="0.25">
      <c r="A37" s="214" t="s">
        <v>464</v>
      </c>
      <c r="B37" s="64">
        <v>70.930000000000007</v>
      </c>
      <c r="C37" s="64">
        <v>40.49</v>
      </c>
      <c r="D37" s="64">
        <v>76.66</v>
      </c>
      <c r="E37" s="64">
        <v>6.47</v>
      </c>
      <c r="F37" s="64">
        <v>2.13</v>
      </c>
      <c r="G37" s="64">
        <v>103.14</v>
      </c>
      <c r="H37" s="64">
        <v>37.79</v>
      </c>
      <c r="I37" s="210" t="s">
        <v>43</v>
      </c>
      <c r="J37" s="64">
        <v>0.82</v>
      </c>
      <c r="K37" s="64">
        <v>49.2</v>
      </c>
      <c r="L37" s="64">
        <v>8.9600000000000009</v>
      </c>
      <c r="M37" s="64">
        <v>77.459999999999994</v>
      </c>
      <c r="N37" s="64">
        <v>169.9</v>
      </c>
      <c r="O37" s="64">
        <v>0</v>
      </c>
      <c r="P37" s="64">
        <v>0.88</v>
      </c>
      <c r="Q37" s="64">
        <v>9.77</v>
      </c>
      <c r="R37" s="198"/>
      <c r="S37" s="198"/>
      <c r="T37" s="198"/>
      <c r="U37" s="198"/>
    </row>
    <row r="38" spans="1:21" s="12" customFormat="1" x14ac:dyDescent="0.25">
      <c r="A38" s="214" t="s">
        <v>465</v>
      </c>
      <c r="B38" s="64">
        <v>75.319999999999993</v>
      </c>
      <c r="C38" s="64">
        <v>40.33</v>
      </c>
      <c r="D38" s="64">
        <v>80.09</v>
      </c>
      <c r="E38" s="64">
        <v>6.51</v>
      </c>
      <c r="F38" s="64">
        <v>2.13</v>
      </c>
      <c r="G38" s="64">
        <v>103.14</v>
      </c>
      <c r="H38" s="64">
        <v>37.79</v>
      </c>
      <c r="I38" s="210" t="s">
        <v>43</v>
      </c>
      <c r="J38" s="64">
        <v>0.77</v>
      </c>
      <c r="K38" s="64">
        <v>328.18</v>
      </c>
      <c r="L38" s="64">
        <v>9.93</v>
      </c>
      <c r="M38" s="64">
        <v>69.459999999999994</v>
      </c>
      <c r="N38" s="64">
        <v>182.2</v>
      </c>
      <c r="O38" s="64">
        <v>0</v>
      </c>
      <c r="P38" s="64">
        <v>0.93</v>
      </c>
      <c r="Q38" s="64">
        <v>9.83</v>
      </c>
      <c r="R38" s="198"/>
      <c r="S38" s="198"/>
      <c r="T38" s="198"/>
      <c r="U38" s="198"/>
    </row>
    <row r="39" spans="1:21" s="12" customFormat="1" x14ac:dyDescent="0.25">
      <c r="A39" s="214" t="s">
        <v>466</v>
      </c>
      <c r="B39" s="64">
        <v>76.64</v>
      </c>
      <c r="C39" s="64">
        <v>40.270000000000003</v>
      </c>
      <c r="D39" s="64">
        <v>81.12</v>
      </c>
      <c r="E39" s="64">
        <v>6.55</v>
      </c>
      <c r="F39" s="64">
        <v>2.13</v>
      </c>
      <c r="G39" s="64">
        <v>99.78</v>
      </c>
      <c r="H39" s="64">
        <v>11.87</v>
      </c>
      <c r="I39" s="210" t="s">
        <v>43</v>
      </c>
      <c r="J39" s="64">
        <v>0.55000000000000004</v>
      </c>
      <c r="K39" s="64">
        <v>17.3</v>
      </c>
      <c r="L39" s="64">
        <v>10.65</v>
      </c>
      <c r="M39" s="64">
        <v>64.06</v>
      </c>
      <c r="N39" s="64">
        <v>198.2</v>
      </c>
      <c r="O39" s="64">
        <v>0</v>
      </c>
      <c r="P39" s="64">
        <v>0.92</v>
      </c>
      <c r="Q39" s="64">
        <v>9.86</v>
      </c>
      <c r="R39" s="198"/>
      <c r="S39" s="198"/>
      <c r="T39" s="198"/>
      <c r="U39" s="198"/>
    </row>
    <row r="40" spans="1:21" s="12" customFormat="1" x14ac:dyDescent="0.25">
      <c r="A40" s="214" t="s">
        <v>467</v>
      </c>
      <c r="B40" s="64">
        <v>75.400000000000006</v>
      </c>
      <c r="C40" s="64">
        <v>40.31</v>
      </c>
      <c r="D40" s="64">
        <v>80.150000000000006</v>
      </c>
      <c r="E40" s="64">
        <v>6.24</v>
      </c>
      <c r="F40" s="64">
        <v>2.13</v>
      </c>
      <c r="G40" s="64">
        <v>98.26</v>
      </c>
      <c r="H40" s="64">
        <v>0.76</v>
      </c>
      <c r="I40" s="210" t="s">
        <v>43</v>
      </c>
      <c r="J40" s="64">
        <v>4.32</v>
      </c>
      <c r="K40" s="64">
        <v>110.77</v>
      </c>
      <c r="L40" s="64">
        <v>12.01</v>
      </c>
      <c r="M40" s="64">
        <v>56.37</v>
      </c>
      <c r="N40" s="64">
        <v>352.9</v>
      </c>
      <c r="O40" s="64">
        <v>0</v>
      </c>
      <c r="P40" s="64">
        <v>0.91</v>
      </c>
      <c r="Q40" s="64">
        <v>9.83</v>
      </c>
      <c r="R40" s="198"/>
      <c r="S40" s="198"/>
      <c r="T40" s="198"/>
      <c r="U40" s="198"/>
    </row>
    <row r="41" spans="1:21" s="12" customFormat="1" x14ac:dyDescent="0.25">
      <c r="A41" s="214" t="s">
        <v>468</v>
      </c>
      <c r="B41" s="64">
        <v>72.78</v>
      </c>
      <c r="C41" s="64">
        <v>40.07</v>
      </c>
      <c r="D41" s="64">
        <v>77.92</v>
      </c>
      <c r="E41" s="64">
        <v>6.9</v>
      </c>
      <c r="F41" s="64">
        <v>2.13</v>
      </c>
      <c r="G41" s="64">
        <v>98.26</v>
      </c>
      <c r="H41" s="64">
        <v>0.76</v>
      </c>
      <c r="I41" s="210" t="s">
        <v>43</v>
      </c>
      <c r="J41" s="64">
        <v>2.36</v>
      </c>
      <c r="K41" s="64">
        <v>115.02</v>
      </c>
      <c r="L41" s="64">
        <v>14.27</v>
      </c>
      <c r="M41" s="64">
        <v>48.7</v>
      </c>
      <c r="N41" s="64">
        <v>449.3</v>
      </c>
      <c r="O41" s="64">
        <v>0</v>
      </c>
      <c r="P41" s="64">
        <v>0.89</v>
      </c>
      <c r="Q41" s="64">
        <v>9.83</v>
      </c>
      <c r="R41" s="198"/>
      <c r="S41" s="198"/>
      <c r="T41" s="198"/>
      <c r="U41" s="198"/>
    </row>
    <row r="42" spans="1:21" s="12" customFormat="1" x14ac:dyDescent="0.25">
      <c r="A42" s="214" t="s">
        <v>469</v>
      </c>
      <c r="B42" s="64">
        <v>69.459999999999994</v>
      </c>
      <c r="C42" s="64">
        <v>40.630000000000003</v>
      </c>
      <c r="D42" s="64">
        <v>75.56</v>
      </c>
      <c r="E42" s="64">
        <v>6.6</v>
      </c>
      <c r="F42" s="64">
        <v>2.13</v>
      </c>
      <c r="G42" s="64">
        <v>98.26</v>
      </c>
      <c r="H42" s="64">
        <v>0.76</v>
      </c>
      <c r="I42" s="210" t="s">
        <v>43</v>
      </c>
      <c r="J42" s="64">
        <v>1.6</v>
      </c>
      <c r="K42" s="64">
        <v>120.04</v>
      </c>
      <c r="L42" s="64">
        <v>15.84</v>
      </c>
      <c r="M42" s="64">
        <v>44.46</v>
      </c>
      <c r="N42" s="64">
        <v>505.3</v>
      </c>
      <c r="O42" s="64">
        <v>0</v>
      </c>
      <c r="P42" s="64">
        <v>0.88</v>
      </c>
      <c r="Q42" s="64">
        <v>9.8000000000000007</v>
      </c>
      <c r="R42" s="198"/>
      <c r="S42" s="198"/>
      <c r="T42" s="198"/>
      <c r="U42" s="198"/>
    </row>
    <row r="43" spans="1:21" s="12" customFormat="1" x14ac:dyDescent="0.25">
      <c r="A43" s="214" t="s">
        <v>470</v>
      </c>
      <c r="B43" s="64">
        <v>66.14</v>
      </c>
      <c r="C43" s="64">
        <v>41.43</v>
      </c>
      <c r="D43" s="64">
        <v>73.31</v>
      </c>
      <c r="E43" s="64">
        <v>5.9</v>
      </c>
      <c r="F43" s="64">
        <v>2.13</v>
      </c>
      <c r="G43" s="64">
        <v>80.58</v>
      </c>
      <c r="H43" s="64">
        <v>0.25</v>
      </c>
      <c r="I43" s="210" t="s">
        <v>43</v>
      </c>
      <c r="J43" s="64">
        <v>1.58</v>
      </c>
      <c r="K43" s="64">
        <v>131.16999999999999</v>
      </c>
      <c r="L43" s="64">
        <v>17.97</v>
      </c>
      <c r="M43" s="64">
        <v>38.57</v>
      </c>
      <c r="N43" s="64">
        <v>560.5</v>
      </c>
      <c r="O43" s="64">
        <v>0</v>
      </c>
      <c r="P43" s="64">
        <v>0.88</v>
      </c>
      <c r="Q43" s="64">
        <v>9.75</v>
      </c>
      <c r="R43" s="198"/>
      <c r="S43" s="198"/>
      <c r="T43" s="198"/>
      <c r="U43" s="198"/>
    </row>
    <row r="44" spans="1:21" s="12" customFormat="1" x14ac:dyDescent="0.25">
      <c r="A44" s="214" t="s">
        <v>471</v>
      </c>
      <c r="B44" s="64">
        <v>62.84</v>
      </c>
      <c r="C44" s="64">
        <v>42.41</v>
      </c>
      <c r="D44" s="64">
        <v>71.17</v>
      </c>
      <c r="E44" s="64">
        <v>5.97</v>
      </c>
      <c r="F44" s="64">
        <v>2.13</v>
      </c>
      <c r="G44" s="64">
        <v>73</v>
      </c>
      <c r="H44" s="64">
        <v>0.03</v>
      </c>
      <c r="I44" s="210" t="s">
        <v>43</v>
      </c>
      <c r="J44" s="64">
        <v>1.64</v>
      </c>
      <c r="K44" s="64">
        <v>120.8</v>
      </c>
      <c r="L44" s="64">
        <v>18.03</v>
      </c>
      <c r="M44" s="64">
        <v>38.04</v>
      </c>
      <c r="N44" s="64">
        <v>602.29999999999995</v>
      </c>
      <c r="O44" s="64">
        <v>0</v>
      </c>
      <c r="P44" s="64">
        <v>0.86</v>
      </c>
      <c r="Q44" s="64">
        <v>9.7200000000000006</v>
      </c>
      <c r="R44" s="198"/>
      <c r="S44" s="198"/>
      <c r="T44" s="198"/>
      <c r="U44" s="198"/>
    </row>
    <row r="45" spans="1:21" s="12" customFormat="1" x14ac:dyDescent="0.25">
      <c r="A45" s="214" t="s">
        <v>472</v>
      </c>
      <c r="B45" s="64">
        <v>59.86</v>
      </c>
      <c r="C45" s="64">
        <v>43.52</v>
      </c>
      <c r="D45" s="64">
        <v>69.37</v>
      </c>
      <c r="E45" s="64">
        <v>5.59</v>
      </c>
      <c r="F45" s="64">
        <v>2.13</v>
      </c>
      <c r="G45" s="64">
        <v>73</v>
      </c>
      <c r="H45" s="64">
        <v>0.03</v>
      </c>
      <c r="I45" s="210" t="s">
        <v>43</v>
      </c>
      <c r="J45" s="64">
        <v>0.8</v>
      </c>
      <c r="K45" s="64">
        <v>129.27000000000001</v>
      </c>
      <c r="L45" s="64">
        <v>19.97</v>
      </c>
      <c r="M45" s="64">
        <v>36.130000000000003</v>
      </c>
      <c r="N45" s="64">
        <v>613.70000000000005</v>
      </c>
      <c r="O45" s="64">
        <v>0</v>
      </c>
      <c r="P45" s="64">
        <v>0.84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4" t="s">
        <v>473</v>
      </c>
      <c r="B46" s="64">
        <v>57.68</v>
      </c>
      <c r="C46" s="64">
        <v>45</v>
      </c>
      <c r="D46" s="64">
        <v>68.39</v>
      </c>
      <c r="E46" s="64">
        <v>6.01</v>
      </c>
      <c r="F46" s="64">
        <v>2.13</v>
      </c>
      <c r="G46" s="64">
        <v>73</v>
      </c>
      <c r="H46" s="64">
        <v>0.03</v>
      </c>
      <c r="I46" s="210" t="s">
        <v>43</v>
      </c>
      <c r="J46" s="64">
        <v>1.36</v>
      </c>
      <c r="K46" s="64">
        <v>141.33000000000001</v>
      </c>
      <c r="L46" s="64">
        <v>20.170000000000002</v>
      </c>
      <c r="M46" s="64">
        <v>35.79</v>
      </c>
      <c r="N46" s="64">
        <v>660.9</v>
      </c>
      <c r="O46" s="64">
        <v>0</v>
      </c>
      <c r="P46" s="64">
        <v>0.84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4" t="s">
        <v>474</v>
      </c>
      <c r="B47" s="64">
        <v>55.28</v>
      </c>
      <c r="C47" s="64">
        <v>46.64</v>
      </c>
      <c r="D47" s="64">
        <v>67.33</v>
      </c>
      <c r="E47" s="64">
        <v>5.43</v>
      </c>
      <c r="F47" s="64">
        <v>2.13</v>
      </c>
      <c r="G47" s="64">
        <v>75.34</v>
      </c>
      <c r="H47" s="64">
        <v>41.58</v>
      </c>
      <c r="I47" s="210" t="s">
        <v>43</v>
      </c>
      <c r="J47" s="64">
        <v>1.58</v>
      </c>
      <c r="K47" s="64">
        <v>138.37</v>
      </c>
      <c r="L47" s="64">
        <v>20.81</v>
      </c>
      <c r="M47" s="64">
        <v>31.01</v>
      </c>
      <c r="N47" s="64">
        <v>686.3</v>
      </c>
      <c r="O47" s="64">
        <v>0</v>
      </c>
      <c r="P47" s="64">
        <v>0.83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475</v>
      </c>
      <c r="B48" s="64">
        <v>52.53</v>
      </c>
      <c r="C48" s="64">
        <v>48.07</v>
      </c>
      <c r="D48" s="64">
        <v>65.86</v>
      </c>
      <c r="E48" s="64">
        <v>5.76</v>
      </c>
      <c r="F48" s="64">
        <v>2.13</v>
      </c>
      <c r="G48" s="64">
        <v>76.349999999999994</v>
      </c>
      <c r="H48" s="64">
        <v>59.39</v>
      </c>
      <c r="I48" s="210" t="s">
        <v>43</v>
      </c>
      <c r="J48" s="64">
        <v>1.47</v>
      </c>
      <c r="K48" s="64">
        <v>117.02</v>
      </c>
      <c r="L48" s="64">
        <v>20.38</v>
      </c>
      <c r="M48" s="64">
        <v>33.14</v>
      </c>
      <c r="N48" s="64">
        <v>707.3</v>
      </c>
      <c r="O48" s="64">
        <v>0</v>
      </c>
      <c r="P48" s="64">
        <v>0.81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476</v>
      </c>
      <c r="B49" s="64">
        <v>50.02</v>
      </c>
      <c r="C49" s="64">
        <v>49.65</v>
      </c>
      <c r="D49" s="64">
        <v>64.680000000000007</v>
      </c>
      <c r="E49" s="64">
        <v>5.71</v>
      </c>
      <c r="F49" s="64">
        <v>2.13</v>
      </c>
      <c r="G49" s="64">
        <v>76.349999999999994</v>
      </c>
      <c r="H49" s="64">
        <v>59.39</v>
      </c>
      <c r="I49" s="210" t="s">
        <v>43</v>
      </c>
      <c r="J49" s="64">
        <v>1.03</v>
      </c>
      <c r="K49" s="64">
        <v>353.33</v>
      </c>
      <c r="L49" s="64">
        <v>23.35</v>
      </c>
      <c r="M49" s="64">
        <v>27.08</v>
      </c>
      <c r="N49" s="64">
        <v>711.1</v>
      </c>
      <c r="O49" s="64">
        <v>0</v>
      </c>
      <c r="P49" s="64">
        <v>0.8</v>
      </c>
      <c r="Q49" s="64">
        <v>9.6300000000000008</v>
      </c>
      <c r="R49" s="198"/>
      <c r="S49" s="198"/>
      <c r="T49" s="198"/>
      <c r="U49" s="198"/>
    </row>
    <row r="50" spans="1:21" s="12" customFormat="1" x14ac:dyDescent="0.25">
      <c r="A50" s="214" t="s">
        <v>477</v>
      </c>
      <c r="B50" s="64">
        <v>48.02</v>
      </c>
      <c r="C50" s="64">
        <v>49.94</v>
      </c>
      <c r="D50" s="64">
        <v>63.22</v>
      </c>
      <c r="E50" s="64">
        <v>5.38</v>
      </c>
      <c r="F50" s="64">
        <v>2.13</v>
      </c>
      <c r="G50" s="64">
        <v>76.349999999999994</v>
      </c>
      <c r="H50" s="64">
        <v>59.39</v>
      </c>
      <c r="I50" s="210" t="s">
        <v>43</v>
      </c>
      <c r="J50" s="64">
        <v>1.45</v>
      </c>
      <c r="K50" s="64">
        <v>335.61</v>
      </c>
      <c r="L50" s="64">
        <v>24.67</v>
      </c>
      <c r="M50" s="64">
        <v>24.01</v>
      </c>
      <c r="N50" s="64">
        <v>733.1</v>
      </c>
      <c r="O50" s="64">
        <v>0</v>
      </c>
      <c r="P50" s="64">
        <v>0.79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4" t="s">
        <v>478</v>
      </c>
      <c r="B51" s="64">
        <v>46.51</v>
      </c>
      <c r="C51" s="64">
        <v>50.89</v>
      </c>
      <c r="D51" s="64">
        <v>62.5</v>
      </c>
      <c r="E51" s="64">
        <v>5.36</v>
      </c>
      <c r="F51" s="64">
        <v>2.13</v>
      </c>
      <c r="G51" s="64">
        <v>68.62</v>
      </c>
      <c r="H51" s="64">
        <v>34.299999999999997</v>
      </c>
      <c r="I51" s="210" t="s">
        <v>43</v>
      </c>
      <c r="J51" s="64">
        <v>1.1399999999999999</v>
      </c>
      <c r="K51" s="64">
        <v>347.96</v>
      </c>
      <c r="L51" s="64">
        <v>26.47</v>
      </c>
      <c r="M51" s="64">
        <v>21.88</v>
      </c>
      <c r="N51" s="64">
        <v>633.29999999999995</v>
      </c>
      <c r="O51" s="64">
        <v>0</v>
      </c>
      <c r="P51" s="64">
        <v>0.8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4" t="s">
        <v>479</v>
      </c>
      <c r="B52" s="64">
        <v>45.65</v>
      </c>
      <c r="C52" s="64">
        <v>51.71</v>
      </c>
      <c r="D52" s="64">
        <v>62.25</v>
      </c>
      <c r="E52" s="64">
        <v>5.22</v>
      </c>
      <c r="F52" s="64">
        <v>2.13</v>
      </c>
      <c r="G52" s="64">
        <v>65.3</v>
      </c>
      <c r="H52" s="64">
        <v>23.54</v>
      </c>
      <c r="I52" s="210" t="s">
        <v>43</v>
      </c>
      <c r="J52" s="64">
        <v>1.75</v>
      </c>
      <c r="K52" s="64">
        <v>328.94</v>
      </c>
      <c r="L52" s="64">
        <v>26.68</v>
      </c>
      <c r="M52" s="64">
        <v>21.52</v>
      </c>
      <c r="N52" s="64">
        <v>678</v>
      </c>
      <c r="O52" s="64">
        <v>0</v>
      </c>
      <c r="P52" s="64">
        <v>0.79</v>
      </c>
      <c r="Q52" s="64">
        <v>9.73</v>
      </c>
      <c r="R52" s="198"/>
      <c r="S52" s="198"/>
      <c r="T52" s="198"/>
      <c r="U52" s="198"/>
    </row>
    <row r="53" spans="1:21" s="12" customFormat="1" x14ac:dyDescent="0.25">
      <c r="A53" s="214" t="s">
        <v>480</v>
      </c>
      <c r="B53" s="64">
        <v>44.3</v>
      </c>
      <c r="C53" s="64">
        <v>52.51</v>
      </c>
      <c r="D53" s="64">
        <v>61.59</v>
      </c>
      <c r="E53" s="64">
        <v>5.41</v>
      </c>
      <c r="F53" s="64">
        <v>2.13</v>
      </c>
      <c r="G53" s="64">
        <v>65.3</v>
      </c>
      <c r="H53" s="64">
        <v>23.54</v>
      </c>
      <c r="I53" s="210" t="s">
        <v>43</v>
      </c>
      <c r="J53" s="64">
        <v>1.53</v>
      </c>
      <c r="K53" s="64">
        <v>329.53</v>
      </c>
      <c r="L53" s="64">
        <v>27.57</v>
      </c>
      <c r="M53" s="64">
        <v>20.87</v>
      </c>
      <c r="N53" s="64">
        <v>659.7</v>
      </c>
      <c r="O53" s="64">
        <v>0</v>
      </c>
      <c r="P53" s="64">
        <v>0.78</v>
      </c>
      <c r="Q53" s="64">
        <v>9.75</v>
      </c>
      <c r="R53" s="198"/>
      <c r="S53" s="198"/>
      <c r="T53" s="198"/>
      <c r="U53" s="198"/>
    </row>
    <row r="54" spans="1:21" s="12" customFormat="1" x14ac:dyDescent="0.25">
      <c r="A54" s="214" t="s">
        <v>481</v>
      </c>
      <c r="B54" s="64">
        <v>42.56</v>
      </c>
      <c r="C54" s="64">
        <v>53.16</v>
      </c>
      <c r="D54" s="64">
        <v>60.53</v>
      </c>
      <c r="E54" s="64">
        <v>5.38</v>
      </c>
      <c r="F54" s="64">
        <v>2.13</v>
      </c>
      <c r="G54" s="64">
        <v>65.3</v>
      </c>
      <c r="H54" s="64">
        <v>23.54</v>
      </c>
      <c r="I54" s="210" t="s">
        <v>43</v>
      </c>
      <c r="J54" s="64">
        <v>1.37</v>
      </c>
      <c r="K54" s="64">
        <v>335.28</v>
      </c>
      <c r="L54" s="64">
        <v>27.97</v>
      </c>
      <c r="M54" s="64">
        <v>19.579999999999998</v>
      </c>
      <c r="N54" s="64">
        <v>713.8</v>
      </c>
      <c r="O54" s="64">
        <v>0</v>
      </c>
      <c r="P54" s="64">
        <v>0.77</v>
      </c>
      <c r="Q54" s="64">
        <v>9.7200000000000006</v>
      </c>
      <c r="R54" s="198"/>
      <c r="S54" s="198"/>
      <c r="T54" s="198"/>
      <c r="U54" s="198"/>
    </row>
    <row r="55" spans="1:21" s="12" customFormat="1" x14ac:dyDescent="0.25">
      <c r="A55" s="214" t="s">
        <v>482</v>
      </c>
      <c r="B55" s="64">
        <v>40.869999999999997</v>
      </c>
      <c r="C55" s="64">
        <v>53.68</v>
      </c>
      <c r="D55" s="64">
        <v>59.44</v>
      </c>
      <c r="E55" s="64">
        <v>5.57</v>
      </c>
      <c r="F55" s="64">
        <v>2.13</v>
      </c>
      <c r="G55" s="64">
        <v>57.59</v>
      </c>
      <c r="H55" s="64">
        <v>22.51</v>
      </c>
      <c r="I55" s="210" t="s">
        <v>43</v>
      </c>
      <c r="J55" s="64">
        <v>1.34</v>
      </c>
      <c r="K55" s="64">
        <v>312.14</v>
      </c>
      <c r="L55" s="64">
        <v>27.98</v>
      </c>
      <c r="M55" s="64">
        <v>19.38</v>
      </c>
      <c r="N55" s="64">
        <v>750.4</v>
      </c>
      <c r="O55" s="64">
        <v>0</v>
      </c>
      <c r="P55" s="64">
        <v>0.77</v>
      </c>
      <c r="Q55" s="64">
        <v>9.61</v>
      </c>
      <c r="R55" s="198"/>
      <c r="S55" s="198"/>
      <c r="T55" s="198"/>
      <c r="U55" s="198"/>
    </row>
    <row r="56" spans="1:21" s="12" customFormat="1" x14ac:dyDescent="0.25">
      <c r="A56" s="214" t="s">
        <v>483</v>
      </c>
      <c r="B56" s="64">
        <v>39.299999999999997</v>
      </c>
      <c r="C56" s="64">
        <v>54.07</v>
      </c>
      <c r="D56" s="64">
        <v>58.38</v>
      </c>
      <c r="E56" s="64">
        <v>6.04</v>
      </c>
      <c r="F56" s="64">
        <v>2.13</v>
      </c>
      <c r="G56" s="64">
        <v>54.28</v>
      </c>
      <c r="H56" s="64">
        <v>22.07</v>
      </c>
      <c r="I56" s="210" t="s">
        <v>43</v>
      </c>
      <c r="J56" s="64">
        <v>1.1599999999999999</v>
      </c>
      <c r="K56" s="64">
        <v>317.02999999999997</v>
      </c>
      <c r="L56" s="64">
        <v>27.26</v>
      </c>
      <c r="M56" s="64">
        <v>20.61</v>
      </c>
      <c r="N56" s="64">
        <v>729</v>
      </c>
      <c r="O56" s="64">
        <v>0</v>
      </c>
      <c r="P56" s="64">
        <v>0.77</v>
      </c>
      <c r="Q56" s="64">
        <v>9.48</v>
      </c>
      <c r="R56" s="198"/>
      <c r="S56" s="198"/>
      <c r="T56" s="198"/>
      <c r="U56" s="198"/>
    </row>
    <row r="57" spans="1:21" s="12" customFormat="1" x14ac:dyDescent="0.25">
      <c r="A57" s="214" t="s">
        <v>484</v>
      </c>
      <c r="B57" s="64">
        <v>37.909999999999997</v>
      </c>
      <c r="C57" s="64">
        <v>54.27</v>
      </c>
      <c r="D57" s="64">
        <v>57.38</v>
      </c>
      <c r="E57" s="64">
        <v>6.32</v>
      </c>
      <c r="F57" s="64">
        <v>2.13</v>
      </c>
      <c r="G57" s="64">
        <v>54.28</v>
      </c>
      <c r="H57" s="64">
        <v>22.07</v>
      </c>
      <c r="I57" s="210" t="s">
        <v>43</v>
      </c>
      <c r="J57" s="64">
        <v>0.64</v>
      </c>
      <c r="K57" s="64">
        <v>335.39</v>
      </c>
      <c r="L57" s="64">
        <v>26.89</v>
      </c>
      <c r="M57" s="64">
        <v>21.89</v>
      </c>
      <c r="N57" s="64">
        <v>675.3</v>
      </c>
      <c r="O57" s="64">
        <v>0</v>
      </c>
      <c r="P57" s="64">
        <v>0.77</v>
      </c>
      <c r="Q57" s="64">
        <v>9.34</v>
      </c>
      <c r="R57" s="198"/>
      <c r="S57" s="198"/>
      <c r="T57" s="198"/>
      <c r="U57" s="198"/>
    </row>
    <row r="58" spans="1:21" s="12" customFormat="1" x14ac:dyDescent="0.25">
      <c r="A58" s="214" t="s">
        <v>485</v>
      </c>
      <c r="B58" s="64">
        <v>36.35</v>
      </c>
      <c r="C58" s="64">
        <v>54.97</v>
      </c>
      <c r="D58" s="64">
        <v>56.49</v>
      </c>
      <c r="E58" s="64">
        <v>6.47</v>
      </c>
      <c r="F58" s="64">
        <v>2.13</v>
      </c>
      <c r="G58" s="64">
        <v>54.28</v>
      </c>
      <c r="H58" s="64">
        <v>22.07</v>
      </c>
      <c r="I58" s="210" t="s">
        <v>43</v>
      </c>
      <c r="J58" s="64">
        <v>0.77</v>
      </c>
      <c r="K58" s="64">
        <v>71.64</v>
      </c>
      <c r="L58" s="64">
        <v>24.41</v>
      </c>
      <c r="M58" s="64">
        <v>25.31</v>
      </c>
      <c r="N58" s="64">
        <v>689.2</v>
      </c>
      <c r="O58" s="64">
        <v>0</v>
      </c>
      <c r="P58" s="64">
        <v>0.77</v>
      </c>
      <c r="Q58" s="64">
        <v>9.23</v>
      </c>
      <c r="R58" s="198"/>
      <c r="S58" s="198"/>
      <c r="T58" s="198"/>
      <c r="U58" s="198"/>
    </row>
    <row r="59" spans="1:21" s="12" customFormat="1" x14ac:dyDescent="0.25">
      <c r="A59" s="214" t="s">
        <v>486</v>
      </c>
      <c r="B59" s="64">
        <v>34.380000000000003</v>
      </c>
      <c r="C59" s="64">
        <v>56.04</v>
      </c>
      <c r="D59" s="64">
        <v>55.47</v>
      </c>
      <c r="E59" s="64">
        <v>6.27</v>
      </c>
      <c r="F59" s="64">
        <v>2.13</v>
      </c>
      <c r="G59" s="64">
        <v>82.21</v>
      </c>
      <c r="H59" s="64">
        <v>30.98</v>
      </c>
      <c r="I59" s="210" t="s">
        <v>43</v>
      </c>
      <c r="J59" s="64">
        <v>0.54</v>
      </c>
      <c r="K59" s="64">
        <v>351.14</v>
      </c>
      <c r="L59" s="64">
        <v>25.36</v>
      </c>
      <c r="M59" s="64">
        <v>24.67</v>
      </c>
      <c r="N59" s="64">
        <v>658.7</v>
      </c>
      <c r="O59" s="64">
        <v>0</v>
      </c>
      <c r="P59" s="64">
        <v>0.79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4" t="s">
        <v>487</v>
      </c>
      <c r="B60" s="64">
        <v>32.369999999999997</v>
      </c>
      <c r="C60" s="64">
        <v>57.07</v>
      </c>
      <c r="D60" s="64">
        <v>54.4</v>
      </c>
      <c r="E60" s="64">
        <v>6.55</v>
      </c>
      <c r="F60" s="64">
        <v>2.13</v>
      </c>
      <c r="G60" s="64">
        <v>94.18</v>
      </c>
      <c r="H60" s="64">
        <v>34.799999999999997</v>
      </c>
      <c r="I60" s="210" t="s">
        <v>43</v>
      </c>
      <c r="J60" s="64">
        <v>1.23</v>
      </c>
      <c r="K60" s="64">
        <v>309</v>
      </c>
      <c r="L60" s="64">
        <v>26.37</v>
      </c>
      <c r="M60" s="64">
        <v>23.87</v>
      </c>
      <c r="N60" s="64">
        <v>592.20000000000005</v>
      </c>
      <c r="O60" s="64">
        <v>0</v>
      </c>
      <c r="P60" s="64">
        <v>0.78</v>
      </c>
      <c r="Q60" s="64">
        <v>8.99</v>
      </c>
      <c r="R60" s="198"/>
      <c r="S60" s="198"/>
      <c r="T60" s="198"/>
      <c r="U60" s="198"/>
    </row>
    <row r="61" spans="1:21" s="12" customFormat="1" x14ac:dyDescent="0.25">
      <c r="A61" s="214" t="s">
        <v>488</v>
      </c>
      <c r="B61" s="64">
        <v>30.05</v>
      </c>
      <c r="C61" s="64">
        <v>59.02</v>
      </c>
      <c r="D61" s="64">
        <v>53.56</v>
      </c>
      <c r="E61" s="64">
        <v>6.28</v>
      </c>
      <c r="F61" s="64">
        <v>2.13</v>
      </c>
      <c r="G61" s="64">
        <v>94.18</v>
      </c>
      <c r="H61" s="64">
        <v>34.799999999999997</v>
      </c>
      <c r="I61" s="210" t="s">
        <v>43</v>
      </c>
      <c r="J61" s="64">
        <v>0.77</v>
      </c>
      <c r="K61" s="64">
        <v>280.37</v>
      </c>
      <c r="L61" s="64">
        <v>26.02</v>
      </c>
      <c r="M61" s="64">
        <v>22.23</v>
      </c>
      <c r="N61" s="64">
        <v>604.70000000000005</v>
      </c>
      <c r="O61" s="64">
        <v>0</v>
      </c>
      <c r="P61" s="64">
        <v>0.76</v>
      </c>
      <c r="Q61" s="64">
        <v>8.92</v>
      </c>
      <c r="R61" s="198"/>
      <c r="S61" s="198"/>
      <c r="T61" s="198"/>
      <c r="U61" s="198"/>
    </row>
    <row r="62" spans="1:21" s="12" customFormat="1" x14ac:dyDescent="0.25">
      <c r="A62" s="214" t="s">
        <v>489</v>
      </c>
      <c r="B62" s="64">
        <v>26.84</v>
      </c>
      <c r="C62" s="64">
        <v>60.59</v>
      </c>
      <c r="D62" s="64">
        <v>51.8</v>
      </c>
      <c r="E62" s="64">
        <v>6.18</v>
      </c>
      <c r="F62" s="64">
        <v>2.13</v>
      </c>
      <c r="G62" s="64">
        <v>94.18</v>
      </c>
      <c r="H62" s="64">
        <v>34.799999999999997</v>
      </c>
      <c r="I62" s="210" t="s">
        <v>43</v>
      </c>
      <c r="J62" s="64">
        <v>1.19</v>
      </c>
      <c r="K62" s="64">
        <v>296.81</v>
      </c>
      <c r="L62" s="64">
        <v>26.14</v>
      </c>
      <c r="M62" s="64">
        <v>21.86</v>
      </c>
      <c r="N62" s="64">
        <v>602</v>
      </c>
      <c r="O62" s="64">
        <v>0</v>
      </c>
      <c r="P62" s="64">
        <v>0.77</v>
      </c>
      <c r="Q62" s="64">
        <v>8.7899999999999991</v>
      </c>
      <c r="R62" s="198"/>
      <c r="S62" s="198"/>
      <c r="T62" s="198"/>
      <c r="U62" s="198"/>
    </row>
    <row r="63" spans="1:21" s="12" customFormat="1" x14ac:dyDescent="0.25">
      <c r="A63" s="214" t="s">
        <v>490</v>
      </c>
      <c r="B63" s="64">
        <v>23.89</v>
      </c>
      <c r="C63" s="64">
        <v>61.89</v>
      </c>
      <c r="D63" s="64">
        <v>50.12</v>
      </c>
      <c r="E63" s="64">
        <v>5.71</v>
      </c>
      <c r="F63" s="64">
        <v>2.13</v>
      </c>
      <c r="G63" s="64">
        <v>103.06</v>
      </c>
      <c r="H63" s="64">
        <v>29.32</v>
      </c>
      <c r="I63" s="210" t="s">
        <v>43</v>
      </c>
      <c r="J63" s="64">
        <v>1.89</v>
      </c>
      <c r="K63" s="64">
        <v>340.68</v>
      </c>
      <c r="L63" s="64">
        <v>26.39</v>
      </c>
      <c r="M63" s="64">
        <v>20.43</v>
      </c>
      <c r="N63" s="64">
        <v>592.79999999999995</v>
      </c>
      <c r="O63" s="64">
        <v>0</v>
      </c>
      <c r="P63" s="64">
        <v>0.76</v>
      </c>
      <c r="Q63" s="64">
        <v>8.64</v>
      </c>
      <c r="R63" s="198"/>
      <c r="S63" s="198"/>
      <c r="T63" s="198"/>
      <c r="U63" s="198"/>
    </row>
    <row r="64" spans="1:21" s="12" customFormat="1" x14ac:dyDescent="0.25">
      <c r="A64" s="214" t="s">
        <v>491</v>
      </c>
      <c r="B64" s="64">
        <v>22.01</v>
      </c>
      <c r="C64" s="64">
        <v>62.26</v>
      </c>
      <c r="D64" s="64">
        <v>48.8</v>
      </c>
      <c r="E64" s="64">
        <v>5.51</v>
      </c>
      <c r="F64" s="64">
        <v>2.13</v>
      </c>
      <c r="G64" s="64">
        <v>106.87</v>
      </c>
      <c r="H64" s="64">
        <v>26.98</v>
      </c>
      <c r="I64" s="210" t="s">
        <v>43</v>
      </c>
      <c r="J64" s="64">
        <v>0.39</v>
      </c>
      <c r="K64" s="64">
        <v>6.91</v>
      </c>
      <c r="L64" s="64">
        <v>25.95</v>
      </c>
      <c r="M64" s="64">
        <v>21.22</v>
      </c>
      <c r="N64" s="64">
        <v>576.6</v>
      </c>
      <c r="O64" s="64">
        <v>0</v>
      </c>
      <c r="P64" s="64">
        <v>0.76</v>
      </c>
      <c r="Q64" s="64">
        <v>8.52</v>
      </c>
      <c r="R64" s="198"/>
      <c r="S64" s="198"/>
      <c r="T64" s="198"/>
      <c r="U64" s="198"/>
    </row>
    <row r="65" spans="1:21" s="12" customFormat="1" x14ac:dyDescent="0.25">
      <c r="A65" s="214" t="s">
        <v>492</v>
      </c>
      <c r="B65" s="64">
        <v>19.93</v>
      </c>
      <c r="C65" s="64">
        <v>62.01</v>
      </c>
      <c r="D65" s="64">
        <v>47</v>
      </c>
      <c r="E65" s="64">
        <v>5.59</v>
      </c>
      <c r="F65" s="64">
        <v>2.13</v>
      </c>
      <c r="G65" s="64">
        <v>106.87</v>
      </c>
      <c r="H65" s="64">
        <v>26.98</v>
      </c>
      <c r="I65" s="210" t="s">
        <v>43</v>
      </c>
      <c r="J65" s="64">
        <v>0.79</v>
      </c>
      <c r="K65" s="64">
        <v>323</v>
      </c>
      <c r="L65" s="64">
        <v>25.28</v>
      </c>
      <c r="M65" s="64">
        <v>21.33</v>
      </c>
      <c r="N65" s="64">
        <v>415.6</v>
      </c>
      <c r="O65" s="64">
        <v>0</v>
      </c>
      <c r="P65" s="64">
        <v>0.74</v>
      </c>
      <c r="Q65" s="64">
        <v>8.41</v>
      </c>
      <c r="R65" s="198"/>
      <c r="S65" s="198"/>
      <c r="T65" s="198"/>
      <c r="U65" s="198"/>
    </row>
    <row r="66" spans="1:21" s="12" customFormat="1" x14ac:dyDescent="0.25">
      <c r="A66" s="214" t="s">
        <v>493</v>
      </c>
      <c r="B66" s="64">
        <v>17.989999999999998</v>
      </c>
      <c r="C66" s="64">
        <v>62.04</v>
      </c>
      <c r="D66" s="64">
        <v>45.47</v>
      </c>
      <c r="E66" s="64">
        <v>5.29</v>
      </c>
      <c r="F66" s="64">
        <v>2.13</v>
      </c>
      <c r="G66" s="64">
        <v>106.87</v>
      </c>
      <c r="H66" s="64">
        <v>26.98</v>
      </c>
      <c r="I66" s="210" t="s">
        <v>43</v>
      </c>
      <c r="J66" s="64">
        <v>1.26</v>
      </c>
      <c r="K66" s="64">
        <v>310.33999999999997</v>
      </c>
      <c r="L66" s="64">
        <v>26.27</v>
      </c>
      <c r="M66" s="64">
        <v>19.850000000000001</v>
      </c>
      <c r="N66" s="64">
        <v>213</v>
      </c>
      <c r="O66" s="64">
        <v>0</v>
      </c>
      <c r="P66" s="64">
        <v>0.73</v>
      </c>
      <c r="Q66" s="64">
        <v>8.34</v>
      </c>
      <c r="R66" s="198"/>
      <c r="S66" s="198"/>
      <c r="T66" s="198"/>
      <c r="U66" s="198"/>
    </row>
    <row r="67" spans="1:21" s="12" customFormat="1" x14ac:dyDescent="0.25">
      <c r="A67" s="214" t="s">
        <v>494</v>
      </c>
      <c r="B67" s="64">
        <v>17.02</v>
      </c>
      <c r="C67" s="64">
        <v>61.16</v>
      </c>
      <c r="D67" s="64">
        <v>44.23</v>
      </c>
      <c r="E67" s="64">
        <v>5.23</v>
      </c>
      <c r="F67" s="64">
        <v>2.13</v>
      </c>
      <c r="G67" s="64">
        <v>83.57</v>
      </c>
      <c r="H67" s="64">
        <v>25.62</v>
      </c>
      <c r="I67" s="210" t="s">
        <v>43</v>
      </c>
      <c r="J67" s="64">
        <v>1.99</v>
      </c>
      <c r="K67" s="64">
        <v>335.32</v>
      </c>
      <c r="L67" s="64">
        <v>26.19</v>
      </c>
      <c r="M67" s="64">
        <v>19.82</v>
      </c>
      <c r="N67" s="64">
        <v>220.1</v>
      </c>
      <c r="O67" s="64">
        <v>0</v>
      </c>
      <c r="P67" s="64">
        <v>0.71</v>
      </c>
      <c r="Q67" s="64">
        <v>8.34</v>
      </c>
      <c r="R67" s="198"/>
      <c r="S67" s="198"/>
      <c r="T67" s="198"/>
      <c r="U67" s="198"/>
    </row>
    <row r="68" spans="1:21" s="12" customFormat="1" x14ac:dyDescent="0.25">
      <c r="A68" s="214" t="s">
        <v>495</v>
      </c>
      <c r="B68" s="64">
        <v>16.38</v>
      </c>
      <c r="C68" s="64">
        <v>60.21</v>
      </c>
      <c r="D68" s="64">
        <v>43.22</v>
      </c>
      <c r="E68" s="64">
        <v>5.1100000000000003</v>
      </c>
      <c r="F68" s="64">
        <v>2.13</v>
      </c>
      <c r="G68" s="64">
        <v>73.58</v>
      </c>
      <c r="H68" s="64">
        <v>25.04</v>
      </c>
      <c r="I68" s="210" t="s">
        <v>43</v>
      </c>
      <c r="J68" s="64">
        <v>1.65</v>
      </c>
      <c r="K68" s="64">
        <v>341.76</v>
      </c>
      <c r="L68" s="64">
        <v>25.75</v>
      </c>
      <c r="M68" s="64">
        <v>19.5</v>
      </c>
      <c r="N68" s="64">
        <v>197</v>
      </c>
      <c r="O68" s="64">
        <v>0</v>
      </c>
      <c r="P68" s="64">
        <v>0.68</v>
      </c>
      <c r="Q68" s="64">
        <v>8.39</v>
      </c>
      <c r="R68" s="198"/>
      <c r="S68" s="198"/>
      <c r="T68" s="198"/>
      <c r="U68" s="198"/>
    </row>
    <row r="69" spans="1:21" s="12" customFormat="1" x14ac:dyDescent="0.25">
      <c r="A69" s="214" t="s">
        <v>496</v>
      </c>
      <c r="B69" s="64">
        <v>16.079999999999998</v>
      </c>
      <c r="C69" s="64">
        <v>59.32</v>
      </c>
      <c r="D69" s="64">
        <v>42.51</v>
      </c>
      <c r="E69" s="64">
        <v>4.79</v>
      </c>
      <c r="F69" s="64">
        <v>2.13</v>
      </c>
      <c r="G69" s="64">
        <v>73.58</v>
      </c>
      <c r="H69" s="64">
        <v>25.04</v>
      </c>
      <c r="I69" s="210" t="s">
        <v>43</v>
      </c>
      <c r="J69" s="64">
        <v>1.05</v>
      </c>
      <c r="K69" s="64">
        <v>344.71</v>
      </c>
      <c r="L69" s="64">
        <v>25.17</v>
      </c>
      <c r="M69" s="64">
        <v>18.899999999999999</v>
      </c>
      <c r="N69" s="64">
        <v>135.1</v>
      </c>
      <c r="O69" s="64">
        <v>0</v>
      </c>
      <c r="P69" s="64">
        <v>0.69</v>
      </c>
      <c r="Q69" s="64">
        <v>8.4600000000000009</v>
      </c>
      <c r="R69" s="198"/>
      <c r="S69" s="198"/>
      <c r="T69" s="198"/>
      <c r="U69" s="198"/>
    </row>
    <row r="70" spans="1:21" s="12" customFormat="1" x14ac:dyDescent="0.25">
      <c r="A70" s="214" t="s">
        <v>497</v>
      </c>
      <c r="B70" s="64">
        <v>15.93</v>
      </c>
      <c r="C70" s="64">
        <v>58.49</v>
      </c>
      <c r="D70" s="64">
        <v>41.96</v>
      </c>
      <c r="E70" s="64">
        <v>5.22</v>
      </c>
      <c r="F70" s="64">
        <v>2.13</v>
      </c>
      <c r="G70" s="64">
        <v>73.58</v>
      </c>
      <c r="H70" s="64">
        <v>25.04</v>
      </c>
      <c r="I70" s="210" t="s">
        <v>43</v>
      </c>
      <c r="J70" s="64">
        <v>0.74</v>
      </c>
      <c r="K70" s="64">
        <v>352.72</v>
      </c>
      <c r="L70" s="64">
        <v>23.97</v>
      </c>
      <c r="M70" s="64">
        <v>20</v>
      </c>
      <c r="N70" s="64">
        <v>106.4</v>
      </c>
      <c r="O70" s="64">
        <v>0</v>
      </c>
      <c r="P70" s="64">
        <v>0.68</v>
      </c>
      <c r="Q70" s="64">
        <v>8.5399999999999991</v>
      </c>
      <c r="R70" s="198"/>
      <c r="S70" s="198"/>
      <c r="T70" s="198"/>
      <c r="U70" s="198"/>
    </row>
    <row r="71" spans="1:21" s="12" customFormat="1" x14ac:dyDescent="0.25">
      <c r="A71" s="214" t="s">
        <v>498</v>
      </c>
      <c r="B71" s="64">
        <v>16.07</v>
      </c>
      <c r="C71" s="64">
        <v>57.59</v>
      </c>
      <c r="D71" s="64">
        <v>41.6</v>
      </c>
      <c r="E71" s="64">
        <v>5.3</v>
      </c>
      <c r="F71" s="64">
        <v>2.13</v>
      </c>
      <c r="G71" s="64">
        <v>69.27</v>
      </c>
      <c r="H71" s="64">
        <v>21.48</v>
      </c>
      <c r="I71" s="210" t="s">
        <v>43</v>
      </c>
      <c r="J71" s="64">
        <v>1.36</v>
      </c>
      <c r="K71" s="64">
        <v>343.93</v>
      </c>
      <c r="L71" s="64">
        <v>23.5</v>
      </c>
      <c r="M71" s="64">
        <v>21.32</v>
      </c>
      <c r="N71" s="64">
        <v>99.3</v>
      </c>
      <c r="O71" s="64">
        <v>0</v>
      </c>
      <c r="P71" s="64">
        <v>0.67</v>
      </c>
      <c r="Q71" s="64">
        <v>8.6</v>
      </c>
      <c r="R71" s="198"/>
      <c r="S71" s="198"/>
      <c r="T71" s="198"/>
      <c r="U71" s="198"/>
    </row>
    <row r="72" spans="1:21" s="12" customFormat="1" x14ac:dyDescent="0.25">
      <c r="A72" s="214" t="s">
        <v>499</v>
      </c>
      <c r="B72" s="64">
        <v>16.62</v>
      </c>
      <c r="C72" s="64">
        <v>57.04</v>
      </c>
      <c r="D72" s="64">
        <v>41.76</v>
      </c>
      <c r="E72" s="64">
        <v>5.9</v>
      </c>
      <c r="F72" s="64">
        <v>2.13</v>
      </c>
      <c r="G72" s="64">
        <v>67.430000000000007</v>
      </c>
      <c r="H72" s="64">
        <v>19.96</v>
      </c>
      <c r="I72" s="210" t="s">
        <v>43</v>
      </c>
      <c r="J72" s="64">
        <v>2.27</v>
      </c>
      <c r="K72" s="64">
        <v>343.16</v>
      </c>
      <c r="L72" s="64">
        <v>23.23</v>
      </c>
      <c r="M72" s="64">
        <v>21.52</v>
      </c>
      <c r="N72" s="64">
        <v>94.4</v>
      </c>
      <c r="O72" s="64">
        <v>0</v>
      </c>
      <c r="P72" s="64">
        <v>0.66</v>
      </c>
      <c r="Q72" s="64">
        <v>8.6999999999999993</v>
      </c>
      <c r="R72" s="198"/>
      <c r="S72" s="198"/>
      <c r="T72" s="198"/>
      <c r="U72" s="198"/>
    </row>
    <row r="73" spans="1:21" s="12" customFormat="1" x14ac:dyDescent="0.25">
      <c r="A73" s="214" t="s">
        <v>500</v>
      </c>
      <c r="B73" s="64">
        <v>16.52</v>
      </c>
      <c r="C73" s="64">
        <v>56.48</v>
      </c>
      <c r="D73" s="64">
        <v>41.38</v>
      </c>
      <c r="E73" s="64">
        <v>7.03</v>
      </c>
      <c r="F73" s="64">
        <v>2.13</v>
      </c>
      <c r="G73" s="64">
        <v>67.430000000000007</v>
      </c>
      <c r="H73" s="64">
        <v>19.96</v>
      </c>
      <c r="I73" s="210" t="s">
        <v>43</v>
      </c>
      <c r="J73" s="64">
        <v>1.88</v>
      </c>
      <c r="K73" s="64">
        <v>348.63</v>
      </c>
      <c r="L73" s="64">
        <v>22.95</v>
      </c>
      <c r="M73" s="64">
        <v>21.8</v>
      </c>
      <c r="N73" s="64">
        <v>92.6</v>
      </c>
      <c r="O73" s="64">
        <v>0</v>
      </c>
      <c r="P73" s="64">
        <v>0.67</v>
      </c>
      <c r="Q73" s="64">
        <v>8.77</v>
      </c>
      <c r="R73" s="198"/>
      <c r="S73" s="198"/>
      <c r="T73" s="198"/>
      <c r="U73" s="198"/>
    </row>
    <row r="74" spans="1:21" s="12" customFormat="1" x14ac:dyDescent="0.25">
      <c r="A74" s="214" t="s">
        <v>501</v>
      </c>
      <c r="B74" s="64">
        <v>16.61</v>
      </c>
      <c r="C74" s="64">
        <v>56.28</v>
      </c>
      <c r="D74" s="64">
        <v>41.34</v>
      </c>
      <c r="E74" s="64">
        <v>7.01</v>
      </c>
      <c r="F74" s="64">
        <v>2.13</v>
      </c>
      <c r="G74" s="64">
        <v>67.430000000000007</v>
      </c>
      <c r="H74" s="64">
        <v>19.96</v>
      </c>
      <c r="I74" s="210" t="s">
        <v>43</v>
      </c>
      <c r="J74" s="64">
        <v>1.42</v>
      </c>
      <c r="K74" s="64">
        <v>351.84</v>
      </c>
      <c r="L74" s="64">
        <v>22.67</v>
      </c>
      <c r="M74" s="64">
        <v>22.36</v>
      </c>
      <c r="N74" s="64">
        <v>88.8</v>
      </c>
      <c r="O74" s="64">
        <v>0</v>
      </c>
      <c r="P74" s="64">
        <v>0.69</v>
      </c>
      <c r="Q74" s="64">
        <v>8.82</v>
      </c>
      <c r="R74" s="198"/>
      <c r="S74" s="198"/>
      <c r="T74" s="198"/>
      <c r="U74" s="198"/>
    </row>
    <row r="75" spans="1:21" s="12" customFormat="1" x14ac:dyDescent="0.25">
      <c r="A75" s="214" t="s">
        <v>502</v>
      </c>
      <c r="B75" s="64">
        <v>17.47</v>
      </c>
      <c r="C75" s="64">
        <v>56.18</v>
      </c>
      <c r="D75" s="64">
        <v>41.99</v>
      </c>
      <c r="E75" s="64">
        <v>7.11</v>
      </c>
      <c r="F75" s="64">
        <v>2.13</v>
      </c>
      <c r="G75" s="64">
        <v>69.59</v>
      </c>
      <c r="H75" s="64">
        <v>19.649999999999999</v>
      </c>
      <c r="I75" s="210" t="s">
        <v>43</v>
      </c>
      <c r="J75" s="64">
        <v>1.24</v>
      </c>
      <c r="K75" s="64">
        <v>356.6</v>
      </c>
      <c r="L75" s="64">
        <v>22.27</v>
      </c>
      <c r="M75" s="64">
        <v>24.19</v>
      </c>
      <c r="N75" s="64">
        <v>78.400000000000006</v>
      </c>
      <c r="O75" s="64">
        <v>0</v>
      </c>
      <c r="P75" s="64">
        <v>0.69</v>
      </c>
      <c r="Q75" s="64">
        <v>8.9600000000000009</v>
      </c>
      <c r="R75" s="198"/>
      <c r="S75" s="198"/>
      <c r="T75" s="198"/>
      <c r="U75" s="198"/>
    </row>
    <row r="76" spans="1:21" s="12" customFormat="1" x14ac:dyDescent="0.25">
      <c r="A76" s="214" t="s">
        <v>503</v>
      </c>
      <c r="B76" s="64">
        <v>18.43</v>
      </c>
      <c r="C76" s="64">
        <v>56.61</v>
      </c>
      <c r="D76" s="64">
        <v>42.98</v>
      </c>
      <c r="E76" s="64">
        <v>7.28</v>
      </c>
      <c r="F76" s="64">
        <v>2.13</v>
      </c>
      <c r="G76" s="64">
        <v>70.510000000000005</v>
      </c>
      <c r="H76" s="64">
        <v>19.510000000000002</v>
      </c>
      <c r="I76" s="210" t="s">
        <v>43</v>
      </c>
      <c r="J76" s="64">
        <v>0.8</v>
      </c>
      <c r="K76" s="64">
        <v>359.87</v>
      </c>
      <c r="L76" s="64">
        <v>21.71</v>
      </c>
      <c r="M76" s="64">
        <v>24.67</v>
      </c>
      <c r="N76" s="64">
        <v>73.7</v>
      </c>
      <c r="O76" s="64">
        <v>0</v>
      </c>
      <c r="P76" s="64">
        <v>0.72</v>
      </c>
      <c r="Q76" s="64">
        <v>9.14</v>
      </c>
      <c r="R76" s="198"/>
      <c r="S76" s="198"/>
      <c r="T76" s="198"/>
      <c r="U76" s="198"/>
    </row>
    <row r="77" spans="1:21" s="12" customFormat="1" x14ac:dyDescent="0.25">
      <c r="A77" s="214" t="s">
        <v>504</v>
      </c>
      <c r="B77" s="64">
        <v>19.39</v>
      </c>
      <c r="C77" s="64">
        <v>57.13</v>
      </c>
      <c r="D77" s="64">
        <v>44.02</v>
      </c>
      <c r="E77" s="64">
        <v>7.2</v>
      </c>
      <c r="F77" s="64">
        <v>2.13</v>
      </c>
      <c r="G77" s="64">
        <v>70.510000000000005</v>
      </c>
      <c r="H77" s="64">
        <v>19.510000000000002</v>
      </c>
      <c r="I77" s="210" t="s">
        <v>43</v>
      </c>
      <c r="J77" s="64">
        <v>0.61</v>
      </c>
      <c r="K77" s="64">
        <v>28.45</v>
      </c>
      <c r="L77" s="64">
        <v>21.1</v>
      </c>
      <c r="M77" s="64">
        <v>26.13</v>
      </c>
      <c r="N77" s="64">
        <v>67</v>
      </c>
      <c r="O77" s="64">
        <v>0</v>
      </c>
      <c r="P77" s="64">
        <v>0.73</v>
      </c>
      <c r="Q77" s="64">
        <v>9.2799999999999994</v>
      </c>
      <c r="R77" s="198"/>
      <c r="S77" s="198"/>
      <c r="T77" s="198"/>
      <c r="U77" s="198"/>
    </row>
    <row r="78" spans="1:21" s="12" customFormat="1" x14ac:dyDescent="0.25">
      <c r="A78" s="214" t="s">
        <v>505</v>
      </c>
      <c r="B78" s="64">
        <v>21.48</v>
      </c>
      <c r="C78" s="64">
        <v>58.1</v>
      </c>
      <c r="D78" s="64">
        <v>46.21</v>
      </c>
      <c r="E78" s="64">
        <v>6.96</v>
      </c>
      <c r="F78" s="64">
        <v>2.13</v>
      </c>
      <c r="G78" s="64">
        <v>70.510000000000005</v>
      </c>
      <c r="H78" s="64">
        <v>19.510000000000002</v>
      </c>
      <c r="I78" s="210" t="s">
        <v>43</v>
      </c>
      <c r="J78" s="64">
        <v>0.88</v>
      </c>
      <c r="K78" s="64">
        <v>300.73</v>
      </c>
      <c r="L78" s="64">
        <v>20.16</v>
      </c>
      <c r="M78" s="64">
        <v>32.78</v>
      </c>
      <c r="N78" s="64">
        <v>60.2</v>
      </c>
      <c r="O78" s="64">
        <v>0</v>
      </c>
      <c r="P78" s="64">
        <v>0.78</v>
      </c>
      <c r="Q78" s="64">
        <v>9.4700000000000006</v>
      </c>
      <c r="R78" s="198"/>
      <c r="S78" s="198"/>
      <c r="T78" s="198"/>
      <c r="U78" s="198"/>
    </row>
    <row r="79" spans="1:21" s="12" customFormat="1" x14ac:dyDescent="0.25">
      <c r="A79" s="214" t="s">
        <v>506</v>
      </c>
      <c r="B79" s="64">
        <v>24.23</v>
      </c>
      <c r="C79" s="64">
        <v>58.63</v>
      </c>
      <c r="D79" s="64">
        <v>48.69</v>
      </c>
      <c r="E79" s="64">
        <v>7.34</v>
      </c>
      <c r="F79" s="64">
        <v>2.13</v>
      </c>
      <c r="G79" s="64">
        <v>76.47</v>
      </c>
      <c r="H79" s="64">
        <v>22.44</v>
      </c>
      <c r="I79" s="210" t="s">
        <v>43</v>
      </c>
      <c r="J79" s="64">
        <v>0.19</v>
      </c>
      <c r="K79" s="64">
        <v>356.5</v>
      </c>
      <c r="L79" s="64">
        <v>18.89</v>
      </c>
      <c r="M79" s="64">
        <v>36.06</v>
      </c>
      <c r="N79" s="64">
        <v>56</v>
      </c>
      <c r="O79" s="64">
        <v>0</v>
      </c>
      <c r="P79" s="64">
        <v>0.82</v>
      </c>
      <c r="Q79" s="64">
        <v>9.58</v>
      </c>
      <c r="R79" s="198"/>
      <c r="S79" s="198"/>
      <c r="T79" s="198"/>
      <c r="U79" s="198"/>
    </row>
    <row r="80" spans="1:21" s="12" customFormat="1" x14ac:dyDescent="0.25">
      <c r="A80" s="214" t="s">
        <v>507</v>
      </c>
      <c r="B80" s="64">
        <v>29.56</v>
      </c>
      <c r="C80" s="64">
        <v>59.3</v>
      </c>
      <c r="D80" s="64">
        <v>53.31</v>
      </c>
      <c r="E80" s="64">
        <v>7.37</v>
      </c>
      <c r="F80" s="64">
        <v>2.13</v>
      </c>
      <c r="G80" s="64">
        <v>79.03</v>
      </c>
      <c r="H80" s="64">
        <v>23.7</v>
      </c>
      <c r="I80" s="210" t="s">
        <v>43</v>
      </c>
      <c r="J80" s="64">
        <v>0.71</v>
      </c>
      <c r="K80" s="64">
        <v>330.81</v>
      </c>
      <c r="L80" s="64">
        <v>17.850000000000001</v>
      </c>
      <c r="M80" s="64">
        <v>41.91</v>
      </c>
      <c r="N80" s="64">
        <v>54.6</v>
      </c>
      <c r="O80" s="64">
        <v>0</v>
      </c>
      <c r="P80" s="64">
        <v>0.87</v>
      </c>
      <c r="Q80" s="64">
        <v>9.59</v>
      </c>
      <c r="R80" s="198"/>
      <c r="S80" s="198"/>
      <c r="T80" s="198"/>
      <c r="U80" s="198"/>
    </row>
    <row r="81" spans="1:26" s="12" customFormat="1" x14ac:dyDescent="0.25">
      <c r="A81" s="214" t="s">
        <v>508</v>
      </c>
      <c r="B81" s="64">
        <v>38.090000000000003</v>
      </c>
      <c r="C81" s="64">
        <v>60</v>
      </c>
      <c r="D81" s="64">
        <v>60.52</v>
      </c>
      <c r="E81" s="64">
        <v>7.42</v>
      </c>
      <c r="F81" s="64">
        <v>2.13</v>
      </c>
      <c r="G81" s="64">
        <v>79.03</v>
      </c>
      <c r="H81" s="64">
        <v>23.7</v>
      </c>
      <c r="I81" s="210" t="s">
        <v>43</v>
      </c>
      <c r="J81" s="64">
        <v>0.34</v>
      </c>
      <c r="K81" s="64">
        <v>296.94</v>
      </c>
      <c r="L81" s="64">
        <v>17.02</v>
      </c>
      <c r="M81" s="64">
        <v>44.74</v>
      </c>
      <c r="N81" s="64">
        <v>54.2</v>
      </c>
      <c r="O81" s="64">
        <v>0</v>
      </c>
      <c r="P81" s="64">
        <v>0.94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4" t="s">
        <v>509</v>
      </c>
      <c r="B82" s="64">
        <v>47.22</v>
      </c>
      <c r="C82" s="64">
        <v>60.58</v>
      </c>
      <c r="D82" s="64">
        <v>68.14</v>
      </c>
      <c r="E82" s="64">
        <v>7.71</v>
      </c>
      <c r="F82" s="64">
        <v>2.13</v>
      </c>
      <c r="G82" s="64">
        <v>79.03</v>
      </c>
      <c r="H82" s="64">
        <v>23.7</v>
      </c>
      <c r="I82" s="210" t="s">
        <v>43</v>
      </c>
      <c r="J82" s="64">
        <v>0.32</v>
      </c>
      <c r="K82" s="64">
        <v>56.6</v>
      </c>
      <c r="L82" s="64">
        <v>16.489999999999998</v>
      </c>
      <c r="M82" s="64">
        <v>51.58</v>
      </c>
      <c r="N82" s="64">
        <v>54.1</v>
      </c>
      <c r="O82" s="64">
        <v>0</v>
      </c>
      <c r="P82" s="64">
        <v>1.01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14" t="s">
        <v>510</v>
      </c>
      <c r="B83" s="64">
        <v>55.19</v>
      </c>
      <c r="C83" s="64">
        <v>60.61</v>
      </c>
      <c r="D83" s="64">
        <v>74.55</v>
      </c>
      <c r="E83" s="64">
        <v>7.91</v>
      </c>
      <c r="F83" s="64">
        <v>2.13</v>
      </c>
      <c r="G83" s="64">
        <v>143.08000000000001</v>
      </c>
      <c r="H83" s="64">
        <v>27.34</v>
      </c>
      <c r="I83" s="210" t="s">
        <v>43</v>
      </c>
      <c r="J83" s="64">
        <v>0.3</v>
      </c>
      <c r="K83" s="64">
        <v>287.39999999999998</v>
      </c>
      <c r="L83" s="64">
        <v>16.04</v>
      </c>
      <c r="M83" s="64">
        <v>50.94</v>
      </c>
      <c r="N83" s="64">
        <v>54</v>
      </c>
      <c r="O83" s="64">
        <v>0</v>
      </c>
      <c r="P83" s="64">
        <v>1.36</v>
      </c>
      <c r="Q83" s="64">
        <v>9.75</v>
      </c>
      <c r="R83" s="198"/>
      <c r="S83" s="198"/>
      <c r="T83" s="198"/>
      <c r="U83" s="198"/>
    </row>
    <row r="84" spans="1:26" s="12" customFormat="1" x14ac:dyDescent="0.25">
      <c r="A84" s="214" t="s">
        <v>511</v>
      </c>
      <c r="B84" s="64">
        <v>61.33</v>
      </c>
      <c r="C84" s="64">
        <v>59.5</v>
      </c>
      <c r="D84" s="64">
        <v>78.89</v>
      </c>
      <c r="E84" s="64">
        <v>7.97</v>
      </c>
      <c r="F84" s="64">
        <v>2.13</v>
      </c>
      <c r="G84" s="64">
        <v>170.53</v>
      </c>
      <c r="H84" s="64">
        <v>28.9</v>
      </c>
      <c r="I84" s="210" t="s">
        <v>43</v>
      </c>
      <c r="J84" s="64">
        <v>0.94</v>
      </c>
      <c r="K84" s="64">
        <v>296.64</v>
      </c>
      <c r="L84" s="64">
        <v>15.6</v>
      </c>
      <c r="M84" s="64">
        <v>52.69</v>
      </c>
      <c r="N84" s="64">
        <v>53.9</v>
      </c>
      <c r="O84" s="64">
        <v>0</v>
      </c>
      <c r="P84" s="64">
        <v>1.5</v>
      </c>
      <c r="Q84" s="64">
        <v>9.83</v>
      </c>
      <c r="R84" s="198"/>
      <c r="S84" s="198"/>
      <c r="T84" s="198"/>
      <c r="U84" s="198"/>
    </row>
    <row r="85" spans="1:26" s="12" customFormat="1" x14ac:dyDescent="0.25">
      <c r="A85" s="214" t="s">
        <v>512</v>
      </c>
      <c r="B85" s="64">
        <v>70</v>
      </c>
      <c r="C85" s="64">
        <v>59.26</v>
      </c>
      <c r="D85" s="64">
        <v>85.71</v>
      </c>
      <c r="E85" s="64">
        <v>8.09</v>
      </c>
      <c r="F85" s="64">
        <v>2.13</v>
      </c>
      <c r="G85" s="64">
        <v>170.53</v>
      </c>
      <c r="H85" s="64">
        <v>28.9</v>
      </c>
      <c r="I85" s="210" t="s">
        <v>43</v>
      </c>
      <c r="J85" s="64">
        <v>0.15</v>
      </c>
      <c r="K85" s="64">
        <v>125.16</v>
      </c>
      <c r="L85" s="64">
        <v>15.34</v>
      </c>
      <c r="M85" s="64">
        <v>55.58</v>
      </c>
      <c r="N85" s="64">
        <v>53.8</v>
      </c>
      <c r="O85" s="64">
        <v>0</v>
      </c>
      <c r="P85" s="64">
        <v>1.29</v>
      </c>
      <c r="Q85" s="64">
        <v>9.92</v>
      </c>
      <c r="R85" s="198"/>
      <c r="S85" s="198"/>
      <c r="T85" s="198"/>
      <c r="U85" s="198"/>
    </row>
    <row r="86" spans="1:26" s="12" customFormat="1" x14ac:dyDescent="0.25">
      <c r="A86" s="214" t="s">
        <v>513</v>
      </c>
      <c r="B86" s="64">
        <v>79.739999999999995</v>
      </c>
      <c r="C86" s="64">
        <v>58.88</v>
      </c>
      <c r="D86" s="64">
        <v>93.33</v>
      </c>
      <c r="E86" s="64">
        <v>8.77</v>
      </c>
      <c r="F86" s="64">
        <v>2.13</v>
      </c>
      <c r="G86" s="64">
        <v>170.53</v>
      </c>
      <c r="H86" s="64">
        <v>28.9</v>
      </c>
      <c r="I86" s="210" t="s">
        <v>43</v>
      </c>
      <c r="J86" s="64">
        <v>0.43</v>
      </c>
      <c r="K86" s="64">
        <v>320.58999999999997</v>
      </c>
      <c r="L86" s="64">
        <v>15.16</v>
      </c>
      <c r="M86" s="64">
        <v>66.41</v>
      </c>
      <c r="N86" s="64">
        <v>53.6</v>
      </c>
      <c r="O86" s="64">
        <v>0</v>
      </c>
      <c r="P86" s="64">
        <v>1.54</v>
      </c>
      <c r="Q86" s="64">
        <v>10</v>
      </c>
      <c r="R86" s="198"/>
      <c r="S86" s="198"/>
      <c r="T86" s="198"/>
      <c r="U86" s="198"/>
    </row>
    <row r="87" spans="1:26" s="12" customFormat="1" x14ac:dyDescent="0.25">
      <c r="A87" s="214" t="s">
        <v>514</v>
      </c>
      <c r="B87" s="64">
        <v>87.46</v>
      </c>
      <c r="C87" s="64">
        <v>58.08</v>
      </c>
      <c r="D87" s="64">
        <v>99.1</v>
      </c>
      <c r="E87" s="64">
        <v>9.41</v>
      </c>
      <c r="F87" s="64">
        <v>2.13</v>
      </c>
      <c r="G87" s="64">
        <v>187.92</v>
      </c>
      <c r="H87" s="64">
        <v>35.78</v>
      </c>
      <c r="I87" s="210" t="s">
        <v>43</v>
      </c>
      <c r="J87" s="64">
        <v>0.25</v>
      </c>
      <c r="K87" s="64">
        <v>53.57</v>
      </c>
      <c r="L87" s="64">
        <v>14.81</v>
      </c>
      <c r="M87" s="64">
        <v>69.92</v>
      </c>
      <c r="N87" s="64">
        <v>53.7</v>
      </c>
      <c r="O87" s="64">
        <v>0</v>
      </c>
      <c r="P87" s="64">
        <v>1.86</v>
      </c>
      <c r="Q87" s="64">
        <v>10.06</v>
      </c>
      <c r="R87" s="198"/>
      <c r="S87" s="198"/>
      <c r="T87" s="198"/>
      <c r="U87" s="198"/>
    </row>
    <row r="88" spans="1:26" s="12" customFormat="1" x14ac:dyDescent="0.25">
      <c r="A88" s="214" t="s">
        <v>515</v>
      </c>
      <c r="B88" s="64">
        <v>95.61</v>
      </c>
      <c r="C88" s="64">
        <v>56.52</v>
      </c>
      <c r="D88" s="64">
        <v>104.82</v>
      </c>
      <c r="E88" s="64">
        <v>9.84</v>
      </c>
      <c r="F88" s="64">
        <v>2.13</v>
      </c>
      <c r="G88" s="64">
        <v>195.38</v>
      </c>
      <c r="H88" s="64">
        <v>38.72</v>
      </c>
      <c r="I88" s="210" t="s">
        <v>43</v>
      </c>
      <c r="J88" s="64">
        <v>0.19</v>
      </c>
      <c r="K88" s="64">
        <v>302.35000000000002</v>
      </c>
      <c r="L88" s="64">
        <v>14.45</v>
      </c>
      <c r="M88" s="64">
        <v>67.36</v>
      </c>
      <c r="N88" s="64">
        <v>53.7</v>
      </c>
      <c r="O88" s="64">
        <v>0</v>
      </c>
      <c r="P88" s="64">
        <v>1.78</v>
      </c>
      <c r="Q88" s="64">
        <v>10.11</v>
      </c>
      <c r="R88" s="198"/>
      <c r="S88" s="198"/>
      <c r="T88" s="198"/>
      <c r="U88" s="198"/>
    </row>
    <row r="89" spans="1:26" s="12" customFormat="1" x14ac:dyDescent="0.25">
      <c r="A89" s="214" t="s">
        <v>516</v>
      </c>
      <c r="B89" s="64">
        <v>105.22</v>
      </c>
      <c r="C89" s="64">
        <v>55.69</v>
      </c>
      <c r="D89" s="64">
        <v>112.09</v>
      </c>
      <c r="E89" s="64">
        <v>10.029999999999999</v>
      </c>
      <c r="F89" s="64">
        <v>2.13</v>
      </c>
      <c r="G89" s="64">
        <v>195.38</v>
      </c>
      <c r="H89" s="64">
        <v>38.72</v>
      </c>
      <c r="I89" s="210" t="s">
        <v>43</v>
      </c>
      <c r="J89" s="64">
        <v>0.88</v>
      </c>
      <c r="K89" s="64">
        <v>295.27999999999997</v>
      </c>
      <c r="L89" s="64">
        <v>14.26</v>
      </c>
      <c r="M89" s="64">
        <v>63.13</v>
      </c>
      <c r="N89" s="64">
        <v>53.7</v>
      </c>
      <c r="O89" s="64">
        <v>0</v>
      </c>
      <c r="P89" s="64">
        <v>1.95</v>
      </c>
      <c r="Q89" s="64">
        <v>10.17</v>
      </c>
      <c r="R89" s="198"/>
      <c r="S89" s="198"/>
      <c r="T89" s="198"/>
      <c r="U89" s="198"/>
    </row>
    <row r="90" spans="1:26" s="12" customFormat="1" x14ac:dyDescent="0.25">
      <c r="A90" s="214" t="s">
        <v>517</v>
      </c>
      <c r="B90" s="64">
        <v>115.82</v>
      </c>
      <c r="C90" s="64">
        <v>54.65</v>
      </c>
      <c r="D90" s="64">
        <v>120.06</v>
      </c>
      <c r="E90" s="64">
        <v>10.39</v>
      </c>
      <c r="F90" s="64">
        <v>2.13</v>
      </c>
      <c r="G90" s="64">
        <v>195.38</v>
      </c>
      <c r="H90" s="64">
        <v>38.72</v>
      </c>
      <c r="I90" s="210" t="s">
        <v>43</v>
      </c>
      <c r="J90" s="64">
        <v>0.92</v>
      </c>
      <c r="K90" s="64">
        <v>304.69</v>
      </c>
      <c r="L90" s="64">
        <v>13.99</v>
      </c>
      <c r="M90" s="64">
        <v>63.23</v>
      </c>
      <c r="N90" s="64">
        <v>53.8</v>
      </c>
      <c r="O90" s="64">
        <v>0</v>
      </c>
      <c r="P90" s="64">
        <v>1.76</v>
      </c>
      <c r="Q90" s="64">
        <v>10.27</v>
      </c>
      <c r="R90" s="198"/>
      <c r="S90" s="198"/>
      <c r="T90" s="198"/>
      <c r="U90" s="198"/>
    </row>
    <row r="91" spans="1:26" s="12" customFormat="1" x14ac:dyDescent="0.25">
      <c r="A91" s="214" t="s">
        <v>518</v>
      </c>
      <c r="B91" s="64">
        <v>126.08</v>
      </c>
      <c r="C91" s="64">
        <v>54.64</v>
      </c>
      <c r="D91" s="64">
        <v>128.28</v>
      </c>
      <c r="E91" s="64">
        <v>10.85</v>
      </c>
      <c r="F91" s="64">
        <v>2.13</v>
      </c>
      <c r="G91" s="64">
        <v>198.58</v>
      </c>
      <c r="H91" s="64">
        <v>45.97</v>
      </c>
      <c r="I91" s="210" t="s">
        <v>43</v>
      </c>
      <c r="J91" s="64">
        <v>0.9</v>
      </c>
      <c r="K91" s="64">
        <v>317.33999999999997</v>
      </c>
      <c r="L91" s="64">
        <v>13.78</v>
      </c>
      <c r="M91" s="64">
        <v>63.9</v>
      </c>
      <c r="N91" s="64">
        <v>53.9</v>
      </c>
      <c r="O91" s="64">
        <v>0</v>
      </c>
      <c r="P91" s="64">
        <v>1.69</v>
      </c>
      <c r="Q91" s="64">
        <v>10.34</v>
      </c>
      <c r="R91" s="198"/>
      <c r="S91" s="198"/>
      <c r="T91" s="198"/>
      <c r="U91" s="198"/>
    </row>
    <row r="92" spans="1:26" s="12" customFormat="1" x14ac:dyDescent="0.25">
      <c r="A92" s="214" t="s">
        <v>519</v>
      </c>
      <c r="B92" s="64">
        <v>139.24</v>
      </c>
      <c r="C92" s="64">
        <v>54.67</v>
      </c>
      <c r="D92" s="64">
        <v>138.84</v>
      </c>
      <c r="E92" s="64">
        <v>11.14</v>
      </c>
      <c r="F92" s="64">
        <v>2.13</v>
      </c>
      <c r="G92" s="64">
        <v>199.95</v>
      </c>
      <c r="H92" s="64">
        <v>49.08</v>
      </c>
      <c r="I92" s="210" t="s">
        <v>43</v>
      </c>
      <c r="J92" s="64">
        <v>0.89</v>
      </c>
      <c r="K92" s="64">
        <v>309.58999999999997</v>
      </c>
      <c r="L92" s="64">
        <v>13.77</v>
      </c>
      <c r="M92" s="64">
        <v>63.7</v>
      </c>
      <c r="N92" s="64">
        <v>53.6</v>
      </c>
      <c r="O92" s="64">
        <v>0</v>
      </c>
      <c r="P92" s="64">
        <v>1.77</v>
      </c>
      <c r="Q92" s="64">
        <v>10.38</v>
      </c>
      <c r="R92" s="198"/>
      <c r="S92" s="198"/>
      <c r="T92" s="198"/>
      <c r="U92" s="198"/>
    </row>
    <row r="93" spans="1:26" s="12" customFormat="1" x14ac:dyDescent="0.25">
      <c r="A93" s="214" t="s">
        <v>520</v>
      </c>
      <c r="B93" s="64">
        <v>151.61000000000001</v>
      </c>
      <c r="C93" s="64">
        <v>54.83</v>
      </c>
      <c r="D93" s="64">
        <v>148.85</v>
      </c>
      <c r="E93" s="64">
        <v>11.8</v>
      </c>
      <c r="F93" s="64">
        <v>2.13</v>
      </c>
      <c r="G93" s="64">
        <v>199.95</v>
      </c>
      <c r="H93" s="64">
        <v>49.08</v>
      </c>
      <c r="I93" s="210" t="s">
        <v>43</v>
      </c>
      <c r="J93" s="64">
        <v>0.51</v>
      </c>
      <c r="K93" s="64">
        <v>297.77999999999997</v>
      </c>
      <c r="L93" s="64">
        <v>13.93</v>
      </c>
      <c r="M93" s="64">
        <v>62.25</v>
      </c>
      <c r="N93" s="64">
        <v>53.7</v>
      </c>
      <c r="O93" s="64">
        <v>0</v>
      </c>
      <c r="P93" s="64">
        <v>1.9</v>
      </c>
      <c r="Q93" s="64">
        <v>10.42</v>
      </c>
      <c r="R93" s="198"/>
      <c r="S93" s="198"/>
      <c r="T93" s="198"/>
      <c r="U93" s="198"/>
    </row>
    <row r="94" spans="1:26" s="12" customFormat="1" x14ac:dyDescent="0.25">
      <c r="A94" s="214" t="s">
        <v>521</v>
      </c>
      <c r="B94" s="64">
        <v>161.08000000000001</v>
      </c>
      <c r="C94" s="64">
        <v>54.52</v>
      </c>
      <c r="D94" s="64">
        <v>156.28</v>
      </c>
      <c r="E94" s="64">
        <v>12.1</v>
      </c>
      <c r="F94" s="64">
        <v>2.13</v>
      </c>
      <c r="G94" s="64">
        <v>199.95</v>
      </c>
      <c r="H94" s="64">
        <v>49.08</v>
      </c>
      <c r="I94" s="210" t="s">
        <v>43</v>
      </c>
      <c r="J94" s="64">
        <v>0.88</v>
      </c>
      <c r="K94" s="64">
        <v>268.86</v>
      </c>
      <c r="L94" s="64">
        <v>13.69</v>
      </c>
      <c r="M94" s="64">
        <v>61.47</v>
      </c>
      <c r="N94" s="64">
        <v>53.8</v>
      </c>
      <c r="O94" s="64">
        <v>0</v>
      </c>
      <c r="P94" s="64">
        <v>1.98</v>
      </c>
      <c r="Q94" s="64">
        <v>10.43</v>
      </c>
      <c r="R94" s="198"/>
      <c r="S94" s="198"/>
      <c r="T94" s="198"/>
      <c r="U94" s="198"/>
    </row>
    <row r="95" spans="1:26" s="12" customFormat="1" x14ac:dyDescent="0.25">
      <c r="A95" s="214" t="s">
        <v>522</v>
      </c>
      <c r="B95" s="64">
        <v>165.91</v>
      </c>
      <c r="C95" s="64">
        <v>53.69</v>
      </c>
      <c r="D95" s="64">
        <v>159.72</v>
      </c>
      <c r="E95" s="64">
        <v>12.66</v>
      </c>
      <c r="F95" s="64">
        <v>2.13</v>
      </c>
      <c r="G95" s="64">
        <v>201.86</v>
      </c>
      <c r="H95" s="64">
        <v>50.7</v>
      </c>
      <c r="I95" s="210" t="s">
        <v>43</v>
      </c>
      <c r="J95" s="64">
        <v>0.97</v>
      </c>
      <c r="K95" s="64">
        <v>324.74</v>
      </c>
      <c r="L95" s="64">
        <v>13.35</v>
      </c>
      <c r="M95" s="64">
        <v>64.81</v>
      </c>
      <c r="N95" s="64">
        <v>54</v>
      </c>
      <c r="O95" s="64">
        <v>0</v>
      </c>
      <c r="P95" s="64">
        <v>2.06</v>
      </c>
      <c r="Q95" s="64">
        <v>10.45</v>
      </c>
      <c r="R95" s="198"/>
      <c r="S95" s="198"/>
      <c r="T95" s="198"/>
      <c r="U95" s="198"/>
    </row>
    <row r="96" spans="1:26" s="12" customFormat="1" x14ac:dyDescent="0.25">
      <c r="A96" s="214" t="s">
        <v>523</v>
      </c>
      <c r="B96" s="64">
        <v>168.65</v>
      </c>
      <c r="C96" s="64">
        <v>53.8</v>
      </c>
      <c r="D96" s="64">
        <v>161.97999999999999</v>
      </c>
      <c r="E96" s="64">
        <v>12.63</v>
      </c>
      <c r="F96" s="64">
        <v>2.13</v>
      </c>
      <c r="G96" s="64">
        <v>202.68</v>
      </c>
      <c r="H96" s="64">
        <v>51.39</v>
      </c>
      <c r="I96" s="210" t="s">
        <v>43</v>
      </c>
      <c r="J96" s="64">
        <v>0.63</v>
      </c>
      <c r="K96" s="64">
        <v>283.2</v>
      </c>
      <c r="L96" s="64">
        <v>12.94</v>
      </c>
      <c r="M96" s="64">
        <v>67.83</v>
      </c>
      <c r="N96" s="64">
        <v>53.9</v>
      </c>
      <c r="O96" s="64">
        <v>0</v>
      </c>
      <c r="P96" s="64">
        <v>2.12</v>
      </c>
      <c r="Q96" s="64">
        <v>10.46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524</v>
      </c>
      <c r="B97" s="64">
        <v>173.81</v>
      </c>
      <c r="C97" s="64">
        <v>54.74</v>
      </c>
      <c r="D97" s="64">
        <v>166.61</v>
      </c>
      <c r="E97" s="64">
        <v>12.14</v>
      </c>
      <c r="F97" s="64">
        <v>2.13</v>
      </c>
      <c r="G97" s="64">
        <v>202.68</v>
      </c>
      <c r="H97" s="64">
        <v>51.39</v>
      </c>
      <c r="I97" s="210" t="s">
        <v>43</v>
      </c>
      <c r="J97" s="64">
        <v>0.92</v>
      </c>
      <c r="K97" s="64">
        <v>323.08999999999997</v>
      </c>
      <c r="L97" s="64">
        <v>12.77</v>
      </c>
      <c r="M97" s="64">
        <v>72.069999999999993</v>
      </c>
      <c r="N97" s="64">
        <v>54</v>
      </c>
      <c r="O97" s="64">
        <v>0</v>
      </c>
      <c r="P97" s="64">
        <v>2.16</v>
      </c>
      <c r="Q97" s="64">
        <v>10.45</v>
      </c>
      <c r="R97" s="198"/>
      <c r="S97" s="198"/>
      <c r="T97" s="198"/>
      <c r="U97" s="198"/>
    </row>
    <row r="98" spans="1:33" s="12" customFormat="1" x14ac:dyDescent="0.25">
      <c r="A98" s="214" t="s">
        <v>525</v>
      </c>
      <c r="B98" s="64">
        <v>178.96</v>
      </c>
      <c r="C98" s="64">
        <v>54.34</v>
      </c>
      <c r="D98" s="64">
        <v>170.53</v>
      </c>
      <c r="E98" s="64">
        <v>12.38</v>
      </c>
      <c r="F98" s="64">
        <v>2.13</v>
      </c>
      <c r="G98" s="64">
        <v>202.68</v>
      </c>
      <c r="H98" s="64">
        <v>51.39</v>
      </c>
      <c r="I98" s="210" t="s">
        <v>43</v>
      </c>
      <c r="J98" s="64">
        <v>0.88</v>
      </c>
      <c r="K98" s="64">
        <v>324.92</v>
      </c>
      <c r="L98" s="64">
        <v>12.36</v>
      </c>
      <c r="M98" s="64">
        <v>73.069999999999993</v>
      </c>
      <c r="N98" s="64">
        <v>54</v>
      </c>
      <c r="O98" s="64">
        <v>0</v>
      </c>
      <c r="P98" s="64">
        <v>2.2000000000000002</v>
      </c>
      <c r="Q98" s="64">
        <v>10.46</v>
      </c>
      <c r="R98" s="198"/>
      <c r="S98" s="198"/>
      <c r="T98" s="198"/>
      <c r="U98" s="198"/>
    </row>
    <row r="99" spans="1:33" s="12" customFormat="1" x14ac:dyDescent="0.25">
      <c r="A99" s="214" t="s">
        <v>526</v>
      </c>
      <c r="B99" s="64">
        <v>185.06</v>
      </c>
      <c r="C99" s="64">
        <v>54.11</v>
      </c>
      <c r="D99" s="64">
        <v>175.3</v>
      </c>
      <c r="E99" s="64">
        <v>12.74</v>
      </c>
      <c r="F99" s="64">
        <v>2.13</v>
      </c>
      <c r="G99" s="64">
        <v>203.25</v>
      </c>
      <c r="H99" s="64">
        <v>53.72</v>
      </c>
      <c r="I99" s="210" t="s">
        <v>43</v>
      </c>
      <c r="J99" s="64">
        <v>0.65</v>
      </c>
      <c r="K99" s="64">
        <v>334.16</v>
      </c>
      <c r="L99" s="64">
        <v>12.33</v>
      </c>
      <c r="M99" s="64">
        <v>77.39</v>
      </c>
      <c r="N99" s="64">
        <v>53.8</v>
      </c>
      <c r="O99" s="64">
        <v>0</v>
      </c>
      <c r="P99" s="64">
        <v>2.23</v>
      </c>
      <c r="Q99" s="64">
        <v>10.48</v>
      </c>
      <c r="R99" s="198"/>
      <c r="S99" s="198"/>
      <c r="T99" s="198"/>
      <c r="U99" s="198"/>
    </row>
    <row r="100" spans="1:33" s="12" customFormat="1" x14ac:dyDescent="0.25">
      <c r="A100" s="214" t="s">
        <v>527</v>
      </c>
      <c r="B100" s="64">
        <v>200.77</v>
      </c>
      <c r="C100" s="64">
        <v>52.27</v>
      </c>
      <c r="D100" s="64">
        <v>186.94</v>
      </c>
      <c r="E100" s="64">
        <v>13</v>
      </c>
      <c r="F100" s="64">
        <v>2.13</v>
      </c>
      <c r="G100" s="64">
        <v>203.5</v>
      </c>
      <c r="H100" s="64">
        <v>54.72</v>
      </c>
      <c r="I100" s="210" t="s">
        <v>43</v>
      </c>
      <c r="J100" s="64">
        <v>0.44</v>
      </c>
      <c r="K100" s="64">
        <v>50.54</v>
      </c>
      <c r="L100" s="64">
        <v>12.18</v>
      </c>
      <c r="M100" s="64">
        <v>78.06</v>
      </c>
      <c r="N100" s="64">
        <v>53.7</v>
      </c>
      <c r="O100" s="64">
        <v>0</v>
      </c>
      <c r="P100" s="64">
        <v>2.3199999999999998</v>
      </c>
      <c r="Q100" s="64">
        <v>10.55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528</v>
      </c>
      <c r="B101" s="64">
        <v>210.99</v>
      </c>
      <c r="C101" s="64">
        <v>52.96</v>
      </c>
      <c r="D101" s="64">
        <v>195.5</v>
      </c>
      <c r="E101" s="64">
        <v>13.07</v>
      </c>
      <c r="F101" s="64">
        <v>2.13</v>
      </c>
      <c r="G101" s="64">
        <v>203.5</v>
      </c>
      <c r="H101" s="64">
        <v>54.72</v>
      </c>
      <c r="I101" s="210" t="s">
        <v>43</v>
      </c>
      <c r="J101" s="64">
        <v>0.48</v>
      </c>
      <c r="K101" s="64">
        <v>60.84</v>
      </c>
      <c r="L101" s="64">
        <v>11.97</v>
      </c>
      <c r="M101" s="64">
        <v>79.849999999999994</v>
      </c>
      <c r="N101" s="64">
        <v>53.7</v>
      </c>
      <c r="O101" s="64">
        <v>0</v>
      </c>
      <c r="P101" s="64">
        <v>2.31</v>
      </c>
      <c r="Q101" s="64">
        <v>10.66</v>
      </c>
      <c r="R101" s="198"/>
      <c r="S101" s="198"/>
      <c r="T101" s="198"/>
      <c r="U101" s="198"/>
    </row>
    <row r="102" spans="1:33" s="12" customFormat="1" x14ac:dyDescent="0.25">
      <c r="A102" s="214" t="s">
        <v>529</v>
      </c>
      <c r="B102" s="64">
        <v>220.06</v>
      </c>
      <c r="C102" s="64">
        <v>52.36</v>
      </c>
      <c r="D102" s="64">
        <v>202.45</v>
      </c>
      <c r="E102" s="64">
        <v>13.06</v>
      </c>
      <c r="F102" s="64">
        <v>2.13</v>
      </c>
      <c r="G102" s="64">
        <v>203.5</v>
      </c>
      <c r="H102" s="64">
        <v>54.72</v>
      </c>
      <c r="I102" s="210" t="s">
        <v>43</v>
      </c>
      <c r="J102" s="64">
        <v>0.49</v>
      </c>
      <c r="K102" s="64">
        <v>315.01</v>
      </c>
      <c r="L102" s="64">
        <v>11.77</v>
      </c>
      <c r="M102" s="64">
        <v>84.38</v>
      </c>
      <c r="N102" s="64">
        <v>53.3</v>
      </c>
      <c r="O102" s="64">
        <v>0</v>
      </c>
      <c r="P102" s="64">
        <v>2.31</v>
      </c>
      <c r="Q102" s="64">
        <v>10.73</v>
      </c>
      <c r="R102" s="198"/>
      <c r="S102" s="198"/>
      <c r="T102" s="198"/>
      <c r="U102" s="198"/>
    </row>
    <row r="103" spans="1:33" s="12" customFormat="1" x14ac:dyDescent="0.25">
      <c r="A103" s="214" t="s">
        <v>530</v>
      </c>
      <c r="B103" s="64">
        <v>225.86</v>
      </c>
      <c r="C103" s="64">
        <v>51.6</v>
      </c>
      <c r="D103" s="64">
        <v>206.7</v>
      </c>
      <c r="E103" s="64">
        <v>13.14</v>
      </c>
      <c r="F103" s="64">
        <v>2.13</v>
      </c>
      <c r="G103" s="64">
        <v>218.52</v>
      </c>
      <c r="H103" s="64">
        <v>62.11</v>
      </c>
      <c r="I103" s="210" t="s">
        <v>43</v>
      </c>
      <c r="J103" s="64">
        <v>0.43</v>
      </c>
      <c r="K103" s="64">
        <v>279.05</v>
      </c>
      <c r="L103" s="64">
        <v>12.08</v>
      </c>
      <c r="M103" s="64">
        <v>80.349999999999994</v>
      </c>
      <c r="N103" s="64">
        <v>53.3</v>
      </c>
      <c r="O103" s="64">
        <v>0</v>
      </c>
      <c r="P103" s="64">
        <v>2.34</v>
      </c>
      <c r="Q103" s="64">
        <v>10.82</v>
      </c>
      <c r="R103" s="198"/>
      <c r="S103" s="198"/>
      <c r="T103" s="198"/>
      <c r="U103" s="198"/>
    </row>
    <row r="104" spans="1:33" s="12" customFormat="1" x14ac:dyDescent="0.25">
      <c r="A104" s="214" t="s">
        <v>531</v>
      </c>
      <c r="B104" s="64">
        <v>226.64</v>
      </c>
      <c r="C104" s="64">
        <v>50.35</v>
      </c>
      <c r="D104" s="64">
        <v>206.68</v>
      </c>
      <c r="E104" s="64">
        <v>9.39</v>
      </c>
      <c r="F104" s="64">
        <v>2.13</v>
      </c>
      <c r="G104" s="64">
        <v>224.96</v>
      </c>
      <c r="H104" s="64">
        <v>65.28</v>
      </c>
      <c r="I104" s="210" t="s">
        <v>43</v>
      </c>
      <c r="J104" s="64">
        <v>0.9</v>
      </c>
      <c r="K104" s="64">
        <v>295.70999999999998</v>
      </c>
      <c r="L104" s="64">
        <v>12.2</v>
      </c>
      <c r="M104" s="64">
        <v>72.02</v>
      </c>
      <c r="N104" s="64">
        <v>53.5</v>
      </c>
      <c r="O104" s="64">
        <v>0</v>
      </c>
      <c r="P104" s="64">
        <v>2.29</v>
      </c>
      <c r="Q104" s="64">
        <v>10.83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15.93</v>
      </c>
      <c r="C106" s="67">
        <f>MIN(C9:C104)</f>
        <v>40.07</v>
      </c>
      <c r="D106" s="67">
        <f t="shared" ref="D106:Q106" si="0">MIN(D9:D104)</f>
        <v>41.34</v>
      </c>
      <c r="E106" s="67">
        <f t="shared" si="0"/>
        <v>4.71</v>
      </c>
      <c r="F106" s="67">
        <f t="shared" si="0"/>
        <v>2.13</v>
      </c>
      <c r="G106" s="67">
        <f t="shared" si="0"/>
        <v>31.07</v>
      </c>
      <c r="H106" s="67">
        <f t="shared" si="0"/>
        <v>0.03</v>
      </c>
      <c r="I106" s="67">
        <f t="shared" si="0"/>
        <v>0</v>
      </c>
      <c r="J106" s="67">
        <f t="shared" si="0"/>
        <v>0.15</v>
      </c>
      <c r="K106" s="67">
        <f t="shared" si="0"/>
        <v>4.1399999999999997</v>
      </c>
      <c r="L106" s="67">
        <f t="shared" si="0"/>
        <v>8.2799999999999994</v>
      </c>
      <c r="M106" s="67">
        <f t="shared" si="0"/>
        <v>18.899999999999999</v>
      </c>
      <c r="N106" s="67">
        <f t="shared" si="0"/>
        <v>53.3</v>
      </c>
      <c r="O106" s="67">
        <f t="shared" si="0"/>
        <v>0</v>
      </c>
      <c r="P106" s="67">
        <f t="shared" si="0"/>
        <v>0.66</v>
      </c>
      <c r="Q106" s="67">
        <f t="shared" si="0"/>
        <v>8.34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226.64</v>
      </c>
      <c r="C107" s="66">
        <f t="shared" ref="C107:Q107" si="1">MAX(C9:C104)</f>
        <v>62.26</v>
      </c>
      <c r="D107" s="66">
        <f t="shared" si="1"/>
        <v>206.7</v>
      </c>
      <c r="E107" s="66">
        <f t="shared" si="1"/>
        <v>13.14</v>
      </c>
      <c r="F107" s="66">
        <f t="shared" si="1"/>
        <v>2.13</v>
      </c>
      <c r="G107" s="66">
        <f t="shared" si="1"/>
        <v>224.96</v>
      </c>
      <c r="H107" s="66">
        <f t="shared" si="1"/>
        <v>150.13999999999999</v>
      </c>
      <c r="I107" s="66">
        <f t="shared" si="1"/>
        <v>0</v>
      </c>
      <c r="J107" s="66">
        <f t="shared" si="1"/>
        <v>4.32</v>
      </c>
      <c r="K107" s="66">
        <f t="shared" si="1"/>
        <v>359.87</v>
      </c>
      <c r="L107" s="66">
        <f t="shared" si="1"/>
        <v>27.98</v>
      </c>
      <c r="M107" s="66">
        <f t="shared" si="1"/>
        <v>94.7</v>
      </c>
      <c r="N107" s="66">
        <f t="shared" si="1"/>
        <v>750.4</v>
      </c>
      <c r="O107" s="66">
        <f t="shared" si="1"/>
        <v>0</v>
      </c>
      <c r="P107" s="66">
        <f t="shared" si="1"/>
        <v>2.34</v>
      </c>
      <c r="Q107" s="66">
        <f t="shared" si="1"/>
        <v>10.83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69.267395833333339</v>
      </c>
      <c r="C108" s="67">
        <f t="shared" ref="C108:Q108" si="2">AVERAGE(C9:C104)</f>
        <v>50.73625000000002</v>
      </c>
      <c r="D108" s="67">
        <f t="shared" si="2"/>
        <v>80.678750000000008</v>
      </c>
      <c r="E108" s="67">
        <f t="shared" si="2"/>
        <v>7.046458333333331</v>
      </c>
      <c r="F108" s="67">
        <f t="shared" si="2"/>
        <v>2.1299999999999972</v>
      </c>
      <c r="G108" s="67">
        <f t="shared" si="2"/>
        <v>101.83895833333334</v>
      </c>
      <c r="H108" s="67">
        <f t="shared" si="2"/>
        <v>33.389999999999979</v>
      </c>
      <c r="I108" s="67" t="e">
        <f t="shared" si="2"/>
        <v>#DIV/0!</v>
      </c>
      <c r="J108" s="67">
        <f t="shared" si="2"/>
        <v>1.3259375</v>
      </c>
      <c r="K108" s="67">
        <f t="shared" si="2"/>
        <v>254.24177083333325</v>
      </c>
      <c r="L108" s="67">
        <f t="shared" si="2"/>
        <v>16.795833333333331</v>
      </c>
      <c r="M108" s="67">
        <f t="shared" si="2"/>
        <v>48.370104166666685</v>
      </c>
      <c r="N108" s="67">
        <f t="shared" si="2"/>
        <v>247.76145833333328</v>
      </c>
      <c r="O108" s="67">
        <f t="shared" si="2"/>
        <v>0</v>
      </c>
      <c r="P108" s="67">
        <f t="shared" si="2"/>
        <v>1.1525000000000005</v>
      </c>
      <c r="Q108" s="67">
        <f t="shared" si="2"/>
        <v>9.5439583333333378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52.640384521967668</v>
      </c>
      <c r="C109" s="67">
        <f t="shared" ref="C109:Q109" si="3">STDEV(C9:C104)</f>
        <v>7.2583005477937332</v>
      </c>
      <c r="D109" s="67">
        <f t="shared" si="3"/>
        <v>42.161370926726867</v>
      </c>
      <c r="E109" s="67">
        <f t="shared" si="3"/>
        <v>2.4419112355808847</v>
      </c>
      <c r="F109" s="67">
        <f t="shared" si="3"/>
        <v>2.678522416932523E-15</v>
      </c>
      <c r="G109" s="67">
        <f t="shared" si="3"/>
        <v>54.277708683732577</v>
      </c>
      <c r="H109" s="67">
        <f t="shared" si="3"/>
        <v>28.101194168294924</v>
      </c>
      <c r="I109" s="67" t="e">
        <f t="shared" si="3"/>
        <v>#DIV/0!</v>
      </c>
      <c r="J109" s="67">
        <f t="shared" si="3"/>
        <v>0.83006731258437882</v>
      </c>
      <c r="K109" s="67">
        <f t="shared" si="3"/>
        <v>111.45747743322792</v>
      </c>
      <c r="L109" s="67">
        <f t="shared" si="3"/>
        <v>6.2375736960804788</v>
      </c>
      <c r="M109" s="67">
        <f t="shared" si="3"/>
        <v>22.047631093410892</v>
      </c>
      <c r="N109" s="67">
        <f t="shared" si="3"/>
        <v>238.50456439184902</v>
      </c>
      <c r="O109" s="67">
        <f t="shared" si="3"/>
        <v>0</v>
      </c>
      <c r="P109" s="67">
        <f t="shared" si="3"/>
        <v>0.52559339898121782</v>
      </c>
      <c r="Q109" s="67">
        <f t="shared" si="3"/>
        <v>0.63873473477141418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532</v>
      </c>
      <c r="B9" s="64">
        <v>223.38</v>
      </c>
      <c r="C9" s="64">
        <v>49.09</v>
      </c>
      <c r="D9" s="64">
        <v>203.41</v>
      </c>
      <c r="E9" s="64">
        <v>9.9700000000000006</v>
      </c>
      <c r="F9" s="64">
        <v>2.13</v>
      </c>
      <c r="G9" s="64">
        <v>224.96</v>
      </c>
      <c r="H9" s="64">
        <v>65.28</v>
      </c>
      <c r="I9" s="210" t="s">
        <v>43</v>
      </c>
      <c r="J9" s="64">
        <v>0.76</v>
      </c>
      <c r="K9" s="64">
        <v>222.84</v>
      </c>
      <c r="L9" s="64">
        <v>11.83</v>
      </c>
      <c r="M9" s="64">
        <v>72.23</v>
      </c>
      <c r="N9" s="64">
        <v>53.9</v>
      </c>
      <c r="O9" s="64">
        <v>0</v>
      </c>
      <c r="P9" s="64">
        <v>2.2599999999999998</v>
      </c>
      <c r="Q9" s="64">
        <v>10.83</v>
      </c>
      <c r="R9" s="198"/>
      <c r="S9" s="198"/>
      <c r="T9" s="198"/>
      <c r="U9" s="198"/>
    </row>
    <row r="10" spans="1:21" s="12" customFormat="1" x14ac:dyDescent="0.25">
      <c r="A10" s="214" t="s">
        <v>533</v>
      </c>
      <c r="B10" s="64">
        <v>218.56</v>
      </c>
      <c r="C10" s="64">
        <v>47.67</v>
      </c>
      <c r="D10" s="64">
        <v>198.8</v>
      </c>
      <c r="E10" s="64">
        <v>9.77</v>
      </c>
      <c r="F10" s="64">
        <v>2.13</v>
      </c>
      <c r="G10" s="64">
        <v>224.96</v>
      </c>
      <c r="H10" s="64">
        <v>65.28</v>
      </c>
      <c r="I10" s="210" t="s">
        <v>43</v>
      </c>
      <c r="J10" s="64">
        <v>0.61</v>
      </c>
      <c r="K10" s="64">
        <v>242.09</v>
      </c>
      <c r="L10" s="64">
        <v>11.39</v>
      </c>
      <c r="M10" s="64">
        <v>78.17</v>
      </c>
      <c r="N10" s="64">
        <v>53.7</v>
      </c>
      <c r="O10" s="64">
        <v>0</v>
      </c>
      <c r="P10" s="64">
        <v>2.2400000000000002</v>
      </c>
      <c r="Q10" s="64">
        <v>10.82</v>
      </c>
      <c r="R10" s="198"/>
      <c r="S10" s="198"/>
      <c r="T10" s="198"/>
      <c r="U10" s="198"/>
    </row>
    <row r="11" spans="1:21" s="12" customFormat="1" x14ac:dyDescent="0.25">
      <c r="A11" s="214" t="s">
        <v>534</v>
      </c>
      <c r="B11" s="64">
        <v>215.03</v>
      </c>
      <c r="C11" s="64">
        <v>47.01</v>
      </c>
      <c r="D11" s="64">
        <v>195.62</v>
      </c>
      <c r="E11" s="64">
        <v>9.43</v>
      </c>
      <c r="F11" s="64">
        <v>2.13</v>
      </c>
      <c r="G11" s="64">
        <v>178.52</v>
      </c>
      <c r="H11" s="64">
        <v>53.85</v>
      </c>
      <c r="I11" s="210" t="s">
        <v>43</v>
      </c>
      <c r="J11" s="64">
        <v>0.27</v>
      </c>
      <c r="K11" s="64">
        <v>188.65</v>
      </c>
      <c r="L11" s="64">
        <v>11.12</v>
      </c>
      <c r="M11" s="64">
        <v>78.84</v>
      </c>
      <c r="N11" s="64">
        <v>53.7</v>
      </c>
      <c r="O11" s="64">
        <v>0</v>
      </c>
      <c r="P11" s="64">
        <v>2.2200000000000002</v>
      </c>
      <c r="Q11" s="64">
        <v>10.76</v>
      </c>
      <c r="R11" s="198"/>
      <c r="S11" s="198"/>
      <c r="T11" s="198"/>
      <c r="U11" s="198"/>
    </row>
    <row r="12" spans="1:21" s="12" customFormat="1" x14ac:dyDescent="0.25">
      <c r="A12" s="214" t="s">
        <v>535</v>
      </c>
      <c r="B12" s="64">
        <v>211.11</v>
      </c>
      <c r="C12" s="64">
        <v>45.73</v>
      </c>
      <c r="D12" s="64">
        <v>191.81</v>
      </c>
      <c r="E12" s="64">
        <v>9.34</v>
      </c>
      <c r="F12" s="64">
        <v>2.13</v>
      </c>
      <c r="G12" s="64">
        <v>158.62</v>
      </c>
      <c r="H12" s="64">
        <v>48.95</v>
      </c>
      <c r="I12" s="210" t="s">
        <v>43</v>
      </c>
      <c r="J12" s="64">
        <v>0.61</v>
      </c>
      <c r="K12" s="64">
        <v>269.66000000000003</v>
      </c>
      <c r="L12" s="64">
        <v>11</v>
      </c>
      <c r="M12" s="64">
        <v>78.87</v>
      </c>
      <c r="N12" s="64">
        <v>53.8</v>
      </c>
      <c r="O12" s="64">
        <v>0</v>
      </c>
      <c r="P12" s="64">
        <v>2.2000000000000002</v>
      </c>
      <c r="Q12" s="64">
        <v>10.7</v>
      </c>
      <c r="R12" s="198"/>
      <c r="S12" s="198"/>
      <c r="T12" s="198"/>
      <c r="U12" s="198"/>
    </row>
    <row r="13" spans="1:21" s="12" customFormat="1" x14ac:dyDescent="0.25">
      <c r="A13" s="214" t="s">
        <v>536</v>
      </c>
      <c r="B13" s="64">
        <v>205.03</v>
      </c>
      <c r="C13" s="64">
        <v>45.1</v>
      </c>
      <c r="D13" s="64">
        <v>186.6</v>
      </c>
      <c r="E13" s="64">
        <v>9.15</v>
      </c>
      <c r="F13" s="64">
        <v>2.13</v>
      </c>
      <c r="G13" s="64">
        <v>158.62</v>
      </c>
      <c r="H13" s="64">
        <v>48.95</v>
      </c>
      <c r="I13" s="210" t="s">
        <v>43</v>
      </c>
      <c r="J13" s="64">
        <v>0.13</v>
      </c>
      <c r="K13" s="64">
        <v>337.29</v>
      </c>
      <c r="L13" s="64">
        <v>10.69</v>
      </c>
      <c r="M13" s="64">
        <v>77.75</v>
      </c>
      <c r="N13" s="64">
        <v>53.9</v>
      </c>
      <c r="O13" s="64">
        <v>0</v>
      </c>
      <c r="P13" s="64">
        <v>1.91</v>
      </c>
      <c r="Q13" s="64">
        <v>10.62</v>
      </c>
      <c r="R13" s="198"/>
      <c r="S13" s="198"/>
      <c r="T13" s="198"/>
      <c r="U13" s="198"/>
    </row>
    <row r="14" spans="1:21" s="12" customFormat="1" x14ac:dyDescent="0.25">
      <c r="A14" s="214" t="s">
        <v>537</v>
      </c>
      <c r="B14" s="64">
        <v>197.62</v>
      </c>
      <c r="C14" s="64">
        <v>44.43</v>
      </c>
      <c r="D14" s="64">
        <v>180.32</v>
      </c>
      <c r="E14" s="64">
        <v>8.8000000000000007</v>
      </c>
      <c r="F14" s="64">
        <v>2.13</v>
      </c>
      <c r="G14" s="64">
        <v>158.62</v>
      </c>
      <c r="H14" s="64">
        <v>48.95</v>
      </c>
      <c r="I14" s="210" t="s">
        <v>43</v>
      </c>
      <c r="J14" s="64">
        <v>0.37</v>
      </c>
      <c r="K14" s="64">
        <v>198.45</v>
      </c>
      <c r="L14" s="64">
        <v>10.54</v>
      </c>
      <c r="M14" s="64">
        <v>79.12</v>
      </c>
      <c r="N14" s="64">
        <v>53.6</v>
      </c>
      <c r="O14" s="64">
        <v>0</v>
      </c>
      <c r="P14" s="64">
        <v>1.97</v>
      </c>
      <c r="Q14" s="64">
        <v>10.53</v>
      </c>
      <c r="R14" s="198"/>
      <c r="S14" s="198"/>
      <c r="T14" s="198"/>
      <c r="U14" s="198"/>
    </row>
    <row r="15" spans="1:21" s="12" customFormat="1" x14ac:dyDescent="0.25">
      <c r="A15" s="214" t="s">
        <v>538</v>
      </c>
      <c r="B15" s="64">
        <v>189.63</v>
      </c>
      <c r="C15" s="64">
        <v>43.77</v>
      </c>
      <c r="D15" s="64">
        <v>173.56</v>
      </c>
      <c r="E15" s="64">
        <v>8.3699999999999992</v>
      </c>
      <c r="F15" s="64">
        <v>2.13</v>
      </c>
      <c r="G15" s="64">
        <v>115.1</v>
      </c>
      <c r="H15" s="64">
        <v>38.700000000000003</v>
      </c>
      <c r="I15" s="210" t="s">
        <v>43</v>
      </c>
      <c r="J15" s="64">
        <v>0.77</v>
      </c>
      <c r="K15" s="64">
        <v>280.72000000000003</v>
      </c>
      <c r="L15" s="64">
        <v>10.49</v>
      </c>
      <c r="M15" s="64">
        <v>77.55</v>
      </c>
      <c r="N15" s="64">
        <v>53.7</v>
      </c>
      <c r="O15" s="64">
        <v>0</v>
      </c>
      <c r="P15" s="64">
        <v>1.92</v>
      </c>
      <c r="Q15" s="64">
        <v>10.46</v>
      </c>
      <c r="R15" s="198"/>
      <c r="S15" s="198"/>
      <c r="T15" s="198"/>
      <c r="U15" s="198"/>
    </row>
    <row r="16" spans="1:21" s="12" customFormat="1" x14ac:dyDescent="0.25">
      <c r="A16" s="214" t="s">
        <v>539</v>
      </c>
      <c r="B16" s="64">
        <v>181.07</v>
      </c>
      <c r="C16" s="64">
        <v>43.36</v>
      </c>
      <c r="D16" s="64">
        <v>166.48</v>
      </c>
      <c r="E16" s="64">
        <v>7.89</v>
      </c>
      <c r="F16" s="64">
        <v>2.13</v>
      </c>
      <c r="G16" s="64">
        <v>96.45</v>
      </c>
      <c r="H16" s="64">
        <v>34.31</v>
      </c>
      <c r="I16" s="210" t="s">
        <v>43</v>
      </c>
      <c r="J16" s="64">
        <v>0.63</v>
      </c>
      <c r="K16" s="64">
        <v>152.88</v>
      </c>
      <c r="L16" s="64">
        <v>10.28</v>
      </c>
      <c r="M16" s="64">
        <v>77</v>
      </c>
      <c r="N16" s="64">
        <v>53.7</v>
      </c>
      <c r="O16" s="64">
        <v>0</v>
      </c>
      <c r="P16" s="64">
        <v>1.87</v>
      </c>
      <c r="Q16" s="64">
        <v>10.36</v>
      </c>
      <c r="R16" s="198"/>
      <c r="S16" s="198"/>
      <c r="T16" s="198"/>
      <c r="U16" s="198"/>
    </row>
    <row r="17" spans="1:21" s="12" customFormat="1" x14ac:dyDescent="0.25">
      <c r="A17" s="214" t="s">
        <v>540</v>
      </c>
      <c r="B17" s="64">
        <v>172.42</v>
      </c>
      <c r="C17" s="64">
        <v>43.77</v>
      </c>
      <c r="D17" s="64">
        <v>159.76</v>
      </c>
      <c r="E17" s="64">
        <v>7.63</v>
      </c>
      <c r="F17" s="64">
        <v>2.13</v>
      </c>
      <c r="G17" s="64">
        <v>96.45</v>
      </c>
      <c r="H17" s="64">
        <v>34.31</v>
      </c>
      <c r="I17" s="210" t="s">
        <v>43</v>
      </c>
      <c r="J17" s="64">
        <v>0.34</v>
      </c>
      <c r="K17" s="64">
        <v>196.32</v>
      </c>
      <c r="L17" s="64">
        <v>10.130000000000001</v>
      </c>
      <c r="M17" s="64">
        <v>80.2</v>
      </c>
      <c r="N17" s="64">
        <v>53.6</v>
      </c>
      <c r="O17" s="64">
        <v>0</v>
      </c>
      <c r="P17" s="64">
        <v>1.82</v>
      </c>
      <c r="Q17" s="64">
        <v>10.27</v>
      </c>
      <c r="R17" s="198"/>
      <c r="S17" s="198"/>
      <c r="T17" s="198"/>
      <c r="U17" s="198"/>
    </row>
    <row r="18" spans="1:21" s="12" customFormat="1" x14ac:dyDescent="0.25">
      <c r="A18" s="214" t="s">
        <v>541</v>
      </c>
      <c r="B18" s="64">
        <v>164.27</v>
      </c>
      <c r="C18" s="64">
        <v>43.81</v>
      </c>
      <c r="D18" s="64">
        <v>153.24</v>
      </c>
      <c r="E18" s="64">
        <v>7.36</v>
      </c>
      <c r="F18" s="64">
        <v>2.13</v>
      </c>
      <c r="G18" s="64">
        <v>96.45</v>
      </c>
      <c r="H18" s="64">
        <v>34.31</v>
      </c>
      <c r="I18" s="210" t="s">
        <v>43</v>
      </c>
      <c r="J18" s="64">
        <v>0.88</v>
      </c>
      <c r="K18" s="64">
        <v>313.19</v>
      </c>
      <c r="L18" s="64">
        <v>9.93</v>
      </c>
      <c r="M18" s="64">
        <v>85.54</v>
      </c>
      <c r="N18" s="64">
        <v>53.8</v>
      </c>
      <c r="O18" s="64">
        <v>0</v>
      </c>
      <c r="P18" s="64">
        <v>1.77</v>
      </c>
      <c r="Q18" s="64">
        <v>10.17</v>
      </c>
      <c r="R18" s="198"/>
      <c r="S18" s="198"/>
      <c r="T18" s="198"/>
      <c r="U18" s="198"/>
    </row>
    <row r="19" spans="1:21" s="12" customFormat="1" x14ac:dyDescent="0.25">
      <c r="A19" s="214" t="s">
        <v>542</v>
      </c>
      <c r="B19" s="64">
        <v>157.49</v>
      </c>
      <c r="C19" s="64">
        <v>44.08</v>
      </c>
      <c r="D19" s="64">
        <v>147.94</v>
      </c>
      <c r="E19" s="64">
        <v>7.47</v>
      </c>
      <c r="F19" s="64">
        <v>2.13</v>
      </c>
      <c r="G19" s="64">
        <v>99.7</v>
      </c>
      <c r="H19" s="64">
        <v>35.57</v>
      </c>
      <c r="I19" s="210" t="s">
        <v>43</v>
      </c>
      <c r="J19" s="64">
        <v>0.96</v>
      </c>
      <c r="K19" s="64">
        <v>240.8</v>
      </c>
      <c r="L19" s="64">
        <v>9.7899999999999991</v>
      </c>
      <c r="M19" s="64">
        <v>86.69</v>
      </c>
      <c r="N19" s="64">
        <v>53.8</v>
      </c>
      <c r="O19" s="64">
        <v>0</v>
      </c>
      <c r="P19" s="64">
        <v>1.73</v>
      </c>
      <c r="Q19" s="64">
        <v>10.119999999999999</v>
      </c>
      <c r="R19" s="198"/>
      <c r="S19" s="198"/>
      <c r="T19" s="198"/>
      <c r="U19" s="198"/>
    </row>
    <row r="20" spans="1:21" s="12" customFormat="1" x14ac:dyDescent="0.25">
      <c r="A20" s="214" t="s">
        <v>543</v>
      </c>
      <c r="B20" s="64">
        <v>151.52000000000001</v>
      </c>
      <c r="C20" s="64">
        <v>44.08</v>
      </c>
      <c r="D20" s="64">
        <v>143.16</v>
      </c>
      <c r="E20" s="64">
        <v>7.76</v>
      </c>
      <c r="F20" s="64">
        <v>2.13</v>
      </c>
      <c r="G20" s="64">
        <v>101.17</v>
      </c>
      <c r="H20" s="64">
        <v>36.14</v>
      </c>
      <c r="I20" s="210" t="s">
        <v>43</v>
      </c>
      <c r="J20" s="64">
        <v>0.86</v>
      </c>
      <c r="K20" s="64">
        <v>226.11</v>
      </c>
      <c r="L20" s="64">
        <v>9.59</v>
      </c>
      <c r="M20" s="64">
        <v>88.1</v>
      </c>
      <c r="N20" s="64">
        <v>53.8</v>
      </c>
      <c r="O20" s="64">
        <v>0</v>
      </c>
      <c r="P20" s="64">
        <v>1.67</v>
      </c>
      <c r="Q20" s="64">
        <v>10.08</v>
      </c>
      <c r="R20" s="198"/>
      <c r="S20" s="198"/>
      <c r="T20" s="198"/>
      <c r="U20" s="198"/>
    </row>
    <row r="21" spans="1:21" s="12" customFormat="1" x14ac:dyDescent="0.25">
      <c r="A21" s="214" t="s">
        <v>544</v>
      </c>
      <c r="B21" s="64">
        <v>145.84</v>
      </c>
      <c r="C21" s="64">
        <v>42.16</v>
      </c>
      <c r="D21" s="64">
        <v>137.6</v>
      </c>
      <c r="E21" s="64">
        <v>7.7</v>
      </c>
      <c r="F21" s="64">
        <v>2.13</v>
      </c>
      <c r="G21" s="64">
        <v>101.17</v>
      </c>
      <c r="H21" s="64">
        <v>36.14</v>
      </c>
      <c r="I21" s="210" t="s">
        <v>43</v>
      </c>
      <c r="J21" s="64">
        <v>0.6</v>
      </c>
      <c r="K21" s="64">
        <v>291.77999999999997</v>
      </c>
      <c r="L21" s="64">
        <v>9.5500000000000007</v>
      </c>
      <c r="M21" s="64">
        <v>91.51</v>
      </c>
      <c r="N21" s="64">
        <v>53.7</v>
      </c>
      <c r="O21" s="64">
        <v>0</v>
      </c>
      <c r="P21" s="64">
        <v>1.65</v>
      </c>
      <c r="Q21" s="64">
        <v>10.09</v>
      </c>
      <c r="R21" s="198"/>
      <c r="S21" s="198"/>
      <c r="T21" s="198"/>
      <c r="U21" s="198"/>
    </row>
    <row r="22" spans="1:21" s="12" customFormat="1" x14ac:dyDescent="0.25">
      <c r="A22" s="214" t="s">
        <v>545</v>
      </c>
      <c r="B22" s="64">
        <v>141.4</v>
      </c>
      <c r="C22" s="64">
        <v>42.07</v>
      </c>
      <c r="D22" s="64">
        <v>134</v>
      </c>
      <c r="E22" s="64">
        <v>7.9</v>
      </c>
      <c r="F22" s="64">
        <v>2.13</v>
      </c>
      <c r="G22" s="64">
        <v>101.17</v>
      </c>
      <c r="H22" s="64">
        <v>36.14</v>
      </c>
      <c r="I22" s="210" t="s">
        <v>43</v>
      </c>
      <c r="J22" s="64">
        <v>0.93</v>
      </c>
      <c r="K22" s="64">
        <v>293.3</v>
      </c>
      <c r="L22" s="64">
        <v>9.39</v>
      </c>
      <c r="M22" s="64">
        <v>93.18</v>
      </c>
      <c r="N22" s="64">
        <v>53.7</v>
      </c>
      <c r="O22" s="64">
        <v>0</v>
      </c>
      <c r="P22" s="64">
        <v>1.61</v>
      </c>
      <c r="Q22" s="64">
        <v>10.1</v>
      </c>
      <c r="R22" s="198"/>
      <c r="S22" s="198"/>
      <c r="T22" s="198"/>
      <c r="U22" s="198"/>
    </row>
    <row r="23" spans="1:21" s="12" customFormat="1" x14ac:dyDescent="0.25">
      <c r="A23" s="214" t="s">
        <v>546</v>
      </c>
      <c r="B23" s="64">
        <v>138.13</v>
      </c>
      <c r="C23" s="64">
        <v>41.94</v>
      </c>
      <c r="D23" s="64">
        <v>131.30000000000001</v>
      </c>
      <c r="E23" s="64">
        <v>7.71</v>
      </c>
      <c r="F23" s="64">
        <v>2.13</v>
      </c>
      <c r="G23" s="64">
        <v>107.51</v>
      </c>
      <c r="H23" s="64">
        <v>40.36</v>
      </c>
      <c r="I23" s="210" t="s">
        <v>43</v>
      </c>
      <c r="J23" s="64">
        <v>0.92</v>
      </c>
      <c r="K23" s="64">
        <v>284.3</v>
      </c>
      <c r="L23" s="64">
        <v>9.26</v>
      </c>
      <c r="M23" s="64">
        <v>93.95</v>
      </c>
      <c r="N23" s="64">
        <v>53.8</v>
      </c>
      <c r="O23" s="64">
        <v>0</v>
      </c>
      <c r="P23" s="64">
        <v>1.58</v>
      </c>
      <c r="Q23" s="64">
        <v>10.08</v>
      </c>
      <c r="R23" s="198"/>
      <c r="S23" s="198"/>
      <c r="T23" s="198"/>
      <c r="U23" s="198"/>
    </row>
    <row r="24" spans="1:21" s="12" customFormat="1" x14ac:dyDescent="0.25">
      <c r="A24" s="214" t="s">
        <v>547</v>
      </c>
      <c r="B24" s="64">
        <v>134.54</v>
      </c>
      <c r="C24" s="64">
        <v>41.3</v>
      </c>
      <c r="D24" s="64">
        <v>128.09</v>
      </c>
      <c r="E24" s="64">
        <v>7.55</v>
      </c>
      <c r="F24" s="64">
        <v>2.13</v>
      </c>
      <c r="G24" s="64">
        <v>110.22</v>
      </c>
      <c r="H24" s="64">
        <v>42.27</v>
      </c>
      <c r="I24" s="210" t="s">
        <v>43</v>
      </c>
      <c r="J24" s="64">
        <v>0.71</v>
      </c>
      <c r="K24" s="64">
        <v>311.31</v>
      </c>
      <c r="L24" s="64">
        <v>9.19</v>
      </c>
      <c r="M24" s="64">
        <v>92.33</v>
      </c>
      <c r="N24" s="64">
        <v>53.8</v>
      </c>
      <c r="O24" s="64">
        <v>0</v>
      </c>
      <c r="P24" s="64">
        <v>1.54</v>
      </c>
      <c r="Q24" s="64">
        <v>10.029999999999999</v>
      </c>
      <c r="R24" s="198"/>
      <c r="S24" s="198"/>
      <c r="T24" s="198"/>
      <c r="U24" s="198"/>
    </row>
    <row r="25" spans="1:21" s="12" customFormat="1" x14ac:dyDescent="0.25">
      <c r="A25" s="214" t="s">
        <v>548</v>
      </c>
      <c r="B25" s="64">
        <v>131.11000000000001</v>
      </c>
      <c r="C25" s="64">
        <v>40.78</v>
      </c>
      <c r="D25" s="64">
        <v>125.07</v>
      </c>
      <c r="E25" s="64">
        <v>7.49</v>
      </c>
      <c r="F25" s="64">
        <v>2.13</v>
      </c>
      <c r="G25" s="64">
        <v>110.22</v>
      </c>
      <c r="H25" s="64">
        <v>42.27</v>
      </c>
      <c r="I25" s="210" t="s">
        <v>43</v>
      </c>
      <c r="J25" s="64">
        <v>0.96</v>
      </c>
      <c r="K25" s="64">
        <v>233.87</v>
      </c>
      <c r="L25" s="64">
        <v>9.58</v>
      </c>
      <c r="M25" s="64">
        <v>91.6</v>
      </c>
      <c r="N25" s="64">
        <v>53.6</v>
      </c>
      <c r="O25" s="64">
        <v>0</v>
      </c>
      <c r="P25" s="64">
        <v>1.51</v>
      </c>
      <c r="Q25" s="64">
        <v>9.99</v>
      </c>
      <c r="R25" s="198"/>
      <c r="S25" s="198"/>
      <c r="T25" s="198"/>
      <c r="U25" s="198"/>
    </row>
    <row r="26" spans="1:21" s="12" customFormat="1" x14ac:dyDescent="0.25">
      <c r="A26" s="214" t="s">
        <v>549</v>
      </c>
      <c r="B26" s="64">
        <v>127.62</v>
      </c>
      <c r="C26" s="64">
        <v>39.94</v>
      </c>
      <c r="D26" s="64">
        <v>121.83</v>
      </c>
      <c r="E26" s="64">
        <v>7.55</v>
      </c>
      <c r="F26" s="64">
        <v>2.13</v>
      </c>
      <c r="G26" s="64">
        <v>110.22</v>
      </c>
      <c r="H26" s="64">
        <v>42.27</v>
      </c>
      <c r="I26" s="210" t="s">
        <v>43</v>
      </c>
      <c r="J26" s="64">
        <v>0.74</v>
      </c>
      <c r="K26" s="64">
        <v>307.67</v>
      </c>
      <c r="L26" s="64">
        <v>9.5399999999999991</v>
      </c>
      <c r="M26" s="64">
        <v>92.29</v>
      </c>
      <c r="N26" s="64">
        <v>53.9</v>
      </c>
      <c r="O26" s="64">
        <v>0</v>
      </c>
      <c r="P26" s="64">
        <v>1.48</v>
      </c>
      <c r="Q26" s="64">
        <v>10</v>
      </c>
      <c r="R26" s="198"/>
      <c r="S26" s="198"/>
      <c r="T26" s="198"/>
      <c r="U26" s="198"/>
    </row>
    <row r="27" spans="1:21" s="12" customFormat="1" x14ac:dyDescent="0.25">
      <c r="A27" s="214" t="s">
        <v>550</v>
      </c>
      <c r="B27" s="64">
        <v>125.51</v>
      </c>
      <c r="C27" s="64">
        <v>39.5</v>
      </c>
      <c r="D27" s="64">
        <v>119.91</v>
      </c>
      <c r="E27" s="64">
        <v>8.06</v>
      </c>
      <c r="F27" s="64">
        <v>2.13</v>
      </c>
      <c r="G27" s="64">
        <v>130.57</v>
      </c>
      <c r="H27" s="64">
        <v>40.86</v>
      </c>
      <c r="I27" s="210" t="s">
        <v>43</v>
      </c>
      <c r="J27" s="64">
        <v>0.69</v>
      </c>
      <c r="K27" s="64">
        <v>290.61</v>
      </c>
      <c r="L27" s="64">
        <v>9.0299999999999994</v>
      </c>
      <c r="M27" s="64">
        <v>96.92</v>
      </c>
      <c r="N27" s="64">
        <v>54.1</v>
      </c>
      <c r="O27" s="64">
        <v>0</v>
      </c>
      <c r="P27" s="64">
        <v>1.47</v>
      </c>
      <c r="Q27" s="64">
        <v>9.9700000000000006</v>
      </c>
      <c r="R27" s="198"/>
      <c r="S27" s="198"/>
      <c r="T27" s="198"/>
      <c r="U27" s="198"/>
    </row>
    <row r="28" spans="1:21" s="12" customFormat="1" x14ac:dyDescent="0.25">
      <c r="A28" s="214" t="s">
        <v>551</v>
      </c>
      <c r="B28" s="64">
        <v>123.85</v>
      </c>
      <c r="C28" s="64">
        <v>38.43</v>
      </c>
      <c r="D28" s="64">
        <v>118.02</v>
      </c>
      <c r="E28" s="64">
        <v>7.31</v>
      </c>
      <c r="F28" s="64">
        <v>2.13</v>
      </c>
      <c r="G28" s="64">
        <v>139.29</v>
      </c>
      <c r="H28" s="64">
        <v>40.26</v>
      </c>
      <c r="I28" s="210" t="s">
        <v>43</v>
      </c>
      <c r="J28" s="64">
        <v>0.95</v>
      </c>
      <c r="K28" s="64">
        <v>312.69</v>
      </c>
      <c r="L28" s="64">
        <v>8.85</v>
      </c>
      <c r="M28" s="64">
        <v>96.45</v>
      </c>
      <c r="N28" s="64">
        <v>54.2</v>
      </c>
      <c r="O28" s="64">
        <v>0</v>
      </c>
      <c r="P28" s="64">
        <v>1.44</v>
      </c>
      <c r="Q28" s="64">
        <v>9.93</v>
      </c>
      <c r="R28" s="198"/>
      <c r="S28" s="198"/>
      <c r="T28" s="198"/>
      <c r="U28" s="198"/>
    </row>
    <row r="29" spans="1:21" s="12" customFormat="1" x14ac:dyDescent="0.25">
      <c r="A29" s="214" t="s">
        <v>552</v>
      </c>
      <c r="B29" s="64">
        <v>121.63</v>
      </c>
      <c r="C29" s="64">
        <v>38.799999999999997</v>
      </c>
      <c r="D29" s="64">
        <v>116.44</v>
      </c>
      <c r="E29" s="64">
        <v>7.69</v>
      </c>
      <c r="F29" s="64">
        <v>2.13</v>
      </c>
      <c r="G29" s="64">
        <v>139.29</v>
      </c>
      <c r="H29" s="64">
        <v>40.26</v>
      </c>
      <c r="I29" s="210" t="s">
        <v>43</v>
      </c>
      <c r="J29" s="64">
        <v>0.93</v>
      </c>
      <c r="K29" s="64">
        <v>311.32</v>
      </c>
      <c r="L29" s="64">
        <v>8.69</v>
      </c>
      <c r="M29" s="64">
        <v>97.25</v>
      </c>
      <c r="N29" s="64">
        <v>54.1</v>
      </c>
      <c r="O29" s="64">
        <v>0</v>
      </c>
      <c r="P29" s="64">
        <v>1.42</v>
      </c>
      <c r="Q29" s="64">
        <v>9.91</v>
      </c>
      <c r="R29" s="198"/>
      <c r="S29" s="198"/>
      <c r="T29" s="198"/>
      <c r="U29" s="198"/>
    </row>
    <row r="30" spans="1:21" s="12" customFormat="1" x14ac:dyDescent="0.25">
      <c r="A30" s="214" t="s">
        <v>553</v>
      </c>
      <c r="B30" s="64">
        <v>118.76</v>
      </c>
      <c r="C30" s="64">
        <v>38.520000000000003</v>
      </c>
      <c r="D30" s="64">
        <v>113.99</v>
      </c>
      <c r="E30" s="64">
        <v>7.82</v>
      </c>
      <c r="F30" s="64">
        <v>2.13</v>
      </c>
      <c r="G30" s="64">
        <v>139.29</v>
      </c>
      <c r="H30" s="64">
        <v>40.26</v>
      </c>
      <c r="I30" s="210" t="s">
        <v>43</v>
      </c>
      <c r="J30" s="64">
        <v>0.9</v>
      </c>
      <c r="K30" s="64">
        <v>264.22000000000003</v>
      </c>
      <c r="L30" s="64">
        <v>8.5500000000000007</v>
      </c>
      <c r="M30" s="64">
        <v>93.26</v>
      </c>
      <c r="N30" s="64">
        <v>54.1</v>
      </c>
      <c r="O30" s="64">
        <v>0</v>
      </c>
      <c r="P30" s="64">
        <v>1.39</v>
      </c>
      <c r="Q30" s="64">
        <v>9.8699999999999992</v>
      </c>
      <c r="R30" s="198"/>
      <c r="S30" s="198"/>
      <c r="T30" s="198"/>
      <c r="U30" s="198"/>
    </row>
    <row r="31" spans="1:21" s="12" customFormat="1" x14ac:dyDescent="0.25">
      <c r="A31" s="214" t="s">
        <v>554</v>
      </c>
      <c r="B31" s="64">
        <v>114.72</v>
      </c>
      <c r="C31" s="64">
        <v>38.619999999999997</v>
      </c>
      <c r="D31" s="64">
        <v>110.79</v>
      </c>
      <c r="E31" s="64">
        <v>7.7</v>
      </c>
      <c r="F31" s="64">
        <v>2.13</v>
      </c>
      <c r="G31" s="64">
        <v>113.42</v>
      </c>
      <c r="H31" s="64">
        <v>38.5</v>
      </c>
      <c r="I31" s="210" t="s">
        <v>43</v>
      </c>
      <c r="J31" s="64">
        <v>0.85</v>
      </c>
      <c r="K31" s="64">
        <v>300.7</v>
      </c>
      <c r="L31" s="64">
        <v>8.51</v>
      </c>
      <c r="M31" s="64">
        <v>91.91</v>
      </c>
      <c r="N31" s="64">
        <v>54.2</v>
      </c>
      <c r="O31" s="64">
        <v>0</v>
      </c>
      <c r="P31" s="64">
        <v>1.35</v>
      </c>
      <c r="Q31" s="64">
        <v>9.81</v>
      </c>
      <c r="R31" s="198"/>
      <c r="S31" s="198"/>
      <c r="T31" s="198"/>
      <c r="U31" s="198"/>
    </row>
    <row r="32" spans="1:21" s="12" customFormat="1" x14ac:dyDescent="0.25">
      <c r="A32" s="214" t="s">
        <v>555</v>
      </c>
      <c r="B32" s="64">
        <v>110.82</v>
      </c>
      <c r="C32" s="64">
        <v>39.25</v>
      </c>
      <c r="D32" s="64">
        <v>108</v>
      </c>
      <c r="E32" s="64">
        <v>7.13</v>
      </c>
      <c r="F32" s="64">
        <v>2.13</v>
      </c>
      <c r="G32" s="64">
        <v>101.73</v>
      </c>
      <c r="H32" s="64">
        <v>37.71</v>
      </c>
      <c r="I32" s="210" t="s">
        <v>43</v>
      </c>
      <c r="J32" s="64">
        <v>0.94</v>
      </c>
      <c r="K32" s="64">
        <v>310.16000000000003</v>
      </c>
      <c r="L32" s="64">
        <v>8.18</v>
      </c>
      <c r="M32" s="64">
        <v>94.74</v>
      </c>
      <c r="N32" s="64">
        <v>54</v>
      </c>
      <c r="O32" s="64">
        <v>0</v>
      </c>
      <c r="P32" s="64">
        <v>1.32</v>
      </c>
      <c r="Q32" s="64">
        <v>9.8000000000000007</v>
      </c>
      <c r="R32" s="198"/>
      <c r="S32" s="198"/>
      <c r="T32" s="198"/>
      <c r="U32" s="198"/>
    </row>
    <row r="33" spans="1:21" s="12" customFormat="1" x14ac:dyDescent="0.25">
      <c r="A33" s="214" t="s">
        <v>556</v>
      </c>
      <c r="B33" s="64">
        <v>109.68</v>
      </c>
      <c r="C33" s="64">
        <v>39.630000000000003</v>
      </c>
      <c r="D33" s="64">
        <v>107.28</v>
      </c>
      <c r="E33" s="64">
        <v>7.05</v>
      </c>
      <c r="F33" s="64">
        <v>2.13</v>
      </c>
      <c r="G33" s="64">
        <v>101.73</v>
      </c>
      <c r="H33" s="64">
        <v>37.71</v>
      </c>
      <c r="I33" s="210" t="s">
        <v>43</v>
      </c>
      <c r="J33" s="64">
        <v>0.63</v>
      </c>
      <c r="K33" s="64">
        <v>321.89999999999998</v>
      </c>
      <c r="L33" s="64">
        <v>8.2899999999999991</v>
      </c>
      <c r="M33" s="64">
        <v>95.39</v>
      </c>
      <c r="N33" s="64">
        <v>53.7</v>
      </c>
      <c r="O33" s="64">
        <v>0</v>
      </c>
      <c r="P33" s="64">
        <v>1.29</v>
      </c>
      <c r="Q33" s="64">
        <v>9.74</v>
      </c>
      <c r="R33" s="198"/>
      <c r="S33" s="198"/>
      <c r="T33" s="198"/>
      <c r="U33" s="198"/>
    </row>
    <row r="34" spans="1:21" s="12" customFormat="1" x14ac:dyDescent="0.25">
      <c r="A34" s="214" t="s">
        <v>557</v>
      </c>
      <c r="B34" s="64">
        <v>111.06</v>
      </c>
      <c r="C34" s="64">
        <v>39.99</v>
      </c>
      <c r="D34" s="64">
        <v>108.58</v>
      </c>
      <c r="E34" s="64">
        <v>7.77</v>
      </c>
      <c r="F34" s="64">
        <v>2.13</v>
      </c>
      <c r="G34" s="64">
        <v>101.73</v>
      </c>
      <c r="H34" s="64">
        <v>37.71</v>
      </c>
      <c r="I34" s="210" t="s">
        <v>43</v>
      </c>
      <c r="J34" s="64">
        <v>0.45</v>
      </c>
      <c r="K34" s="64">
        <v>169.99</v>
      </c>
      <c r="L34" s="64">
        <v>8.19</v>
      </c>
      <c r="M34" s="64">
        <v>97.1</v>
      </c>
      <c r="N34" s="64">
        <v>53.8</v>
      </c>
      <c r="O34" s="64">
        <v>0</v>
      </c>
      <c r="P34" s="64">
        <v>1.29</v>
      </c>
      <c r="Q34" s="64">
        <v>9.76</v>
      </c>
      <c r="R34" s="198"/>
      <c r="S34" s="198"/>
      <c r="T34" s="198"/>
      <c r="U34" s="198"/>
    </row>
    <row r="35" spans="1:21" s="12" customFormat="1" x14ac:dyDescent="0.25">
      <c r="A35" s="214" t="s">
        <v>558</v>
      </c>
      <c r="B35" s="64">
        <v>113.1</v>
      </c>
      <c r="C35" s="64">
        <v>40.5</v>
      </c>
      <c r="D35" s="64">
        <v>110.48</v>
      </c>
      <c r="E35" s="64">
        <v>7.54</v>
      </c>
      <c r="F35" s="64">
        <v>2.13</v>
      </c>
      <c r="G35" s="64">
        <v>115.97</v>
      </c>
      <c r="H35" s="64">
        <v>38.619999999999997</v>
      </c>
      <c r="I35" s="210" t="s">
        <v>43</v>
      </c>
      <c r="J35" s="64">
        <v>0.78</v>
      </c>
      <c r="K35" s="64">
        <v>217.08</v>
      </c>
      <c r="L35" s="64">
        <v>8.39</v>
      </c>
      <c r="M35" s="64">
        <v>96.41</v>
      </c>
      <c r="N35" s="64">
        <v>55.8</v>
      </c>
      <c r="O35" s="64">
        <v>0</v>
      </c>
      <c r="P35" s="64">
        <v>1.28</v>
      </c>
      <c r="Q35" s="64">
        <v>9.76</v>
      </c>
      <c r="R35" s="198"/>
      <c r="S35" s="198"/>
      <c r="T35" s="198"/>
      <c r="U35" s="198"/>
    </row>
    <row r="36" spans="1:21" s="12" customFormat="1" x14ac:dyDescent="0.25">
      <c r="A36" s="214" t="s">
        <v>559</v>
      </c>
      <c r="B36" s="64">
        <v>114.07</v>
      </c>
      <c r="C36" s="64">
        <v>41.19</v>
      </c>
      <c r="D36" s="64">
        <v>112.22</v>
      </c>
      <c r="E36" s="64">
        <v>7.84</v>
      </c>
      <c r="F36" s="64">
        <v>2.13</v>
      </c>
      <c r="G36" s="64">
        <v>122.07</v>
      </c>
      <c r="H36" s="64">
        <v>39.020000000000003</v>
      </c>
      <c r="I36" s="210" t="s">
        <v>43</v>
      </c>
      <c r="J36" s="64">
        <v>0.96</v>
      </c>
      <c r="K36" s="64">
        <v>241</v>
      </c>
      <c r="L36" s="64">
        <v>8.7899999999999991</v>
      </c>
      <c r="M36" s="64">
        <v>91.36</v>
      </c>
      <c r="N36" s="64">
        <v>67.5</v>
      </c>
      <c r="O36" s="64">
        <v>0</v>
      </c>
      <c r="P36" s="64">
        <v>1.28</v>
      </c>
      <c r="Q36" s="64">
        <v>9.77</v>
      </c>
      <c r="R36" s="198"/>
      <c r="S36" s="198"/>
      <c r="T36" s="198"/>
      <c r="U36" s="198"/>
    </row>
    <row r="37" spans="1:21" s="12" customFormat="1" x14ac:dyDescent="0.25">
      <c r="A37" s="214" t="s">
        <v>560</v>
      </c>
      <c r="B37" s="64">
        <v>116.3</v>
      </c>
      <c r="C37" s="64">
        <v>41.06</v>
      </c>
      <c r="D37" s="64">
        <v>113.34</v>
      </c>
      <c r="E37" s="64">
        <v>7.66</v>
      </c>
      <c r="F37" s="64">
        <v>2.13</v>
      </c>
      <c r="G37" s="64">
        <v>122.07</v>
      </c>
      <c r="H37" s="64">
        <v>39.020000000000003</v>
      </c>
      <c r="I37" s="210" t="s">
        <v>43</v>
      </c>
      <c r="J37" s="64">
        <v>0.15</v>
      </c>
      <c r="K37" s="64">
        <v>309.01</v>
      </c>
      <c r="L37" s="64">
        <v>9.01</v>
      </c>
      <c r="M37" s="64">
        <v>88.78</v>
      </c>
      <c r="N37" s="64">
        <v>73.099999999999994</v>
      </c>
      <c r="O37" s="64">
        <v>0</v>
      </c>
      <c r="P37" s="64">
        <v>1.33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14" t="s">
        <v>561</v>
      </c>
      <c r="B38" s="64">
        <v>118.96</v>
      </c>
      <c r="C38" s="64">
        <v>40.549999999999997</v>
      </c>
      <c r="D38" s="64">
        <v>115.21</v>
      </c>
      <c r="E38" s="64">
        <v>7.88</v>
      </c>
      <c r="F38" s="64">
        <v>2.13</v>
      </c>
      <c r="G38" s="64">
        <v>122.07</v>
      </c>
      <c r="H38" s="64">
        <v>39.020000000000003</v>
      </c>
      <c r="I38" s="210" t="s">
        <v>43</v>
      </c>
      <c r="J38" s="64">
        <v>0.83</v>
      </c>
      <c r="K38" s="64">
        <v>297.64</v>
      </c>
      <c r="L38" s="64">
        <v>9.68</v>
      </c>
      <c r="M38" s="64">
        <v>85.2</v>
      </c>
      <c r="N38" s="64">
        <v>82.4</v>
      </c>
      <c r="O38" s="64">
        <v>0</v>
      </c>
      <c r="P38" s="64">
        <v>1.4</v>
      </c>
      <c r="Q38" s="64">
        <v>9.83</v>
      </c>
      <c r="R38" s="198"/>
      <c r="S38" s="198"/>
      <c r="T38" s="198"/>
      <c r="U38" s="198"/>
    </row>
    <row r="39" spans="1:21" s="12" customFormat="1" x14ac:dyDescent="0.25">
      <c r="A39" s="214" t="s">
        <v>562</v>
      </c>
      <c r="B39" s="64">
        <v>120.64</v>
      </c>
      <c r="C39" s="64">
        <v>41.14</v>
      </c>
      <c r="D39" s="64">
        <v>116.86</v>
      </c>
      <c r="E39" s="64">
        <v>7.59</v>
      </c>
      <c r="F39" s="64">
        <v>2.13</v>
      </c>
      <c r="G39" s="64">
        <v>126.21</v>
      </c>
      <c r="H39" s="64">
        <v>42.37</v>
      </c>
      <c r="I39" s="210" t="s">
        <v>43</v>
      </c>
      <c r="J39" s="64">
        <v>0.85</v>
      </c>
      <c r="K39" s="64">
        <v>343.72</v>
      </c>
      <c r="L39" s="64">
        <v>10.43</v>
      </c>
      <c r="M39" s="64">
        <v>80.290000000000006</v>
      </c>
      <c r="N39" s="64">
        <v>96.3</v>
      </c>
      <c r="O39" s="64">
        <v>0</v>
      </c>
      <c r="P39" s="64">
        <v>1.39</v>
      </c>
      <c r="Q39" s="64">
        <v>9.8699999999999992</v>
      </c>
      <c r="R39" s="198"/>
      <c r="S39" s="198"/>
      <c r="T39" s="198"/>
      <c r="U39" s="198"/>
    </row>
    <row r="40" spans="1:21" s="12" customFormat="1" x14ac:dyDescent="0.25">
      <c r="A40" s="214" t="s">
        <v>563</v>
      </c>
      <c r="B40" s="64">
        <v>120.47</v>
      </c>
      <c r="C40" s="64">
        <v>41.45</v>
      </c>
      <c r="D40" s="64">
        <v>116.88</v>
      </c>
      <c r="E40" s="64">
        <v>7.13</v>
      </c>
      <c r="F40" s="64">
        <v>2.13</v>
      </c>
      <c r="G40" s="64">
        <v>127.98</v>
      </c>
      <c r="H40" s="64">
        <v>43.8</v>
      </c>
      <c r="I40" s="210" t="s">
        <v>43</v>
      </c>
      <c r="J40" s="64">
        <v>1</v>
      </c>
      <c r="K40" s="64">
        <v>354.75</v>
      </c>
      <c r="L40" s="64">
        <v>12.07</v>
      </c>
      <c r="M40" s="64">
        <v>73.34</v>
      </c>
      <c r="N40" s="64">
        <v>219.1</v>
      </c>
      <c r="O40" s="64">
        <v>0</v>
      </c>
      <c r="P40" s="64">
        <v>1.39</v>
      </c>
      <c r="Q40" s="64">
        <v>9.9</v>
      </c>
      <c r="R40" s="198"/>
      <c r="S40" s="198"/>
      <c r="T40" s="198"/>
      <c r="U40" s="198"/>
    </row>
    <row r="41" spans="1:21" s="12" customFormat="1" x14ac:dyDescent="0.25">
      <c r="A41" s="214" t="s">
        <v>564</v>
      </c>
      <c r="B41" s="64">
        <v>119.38</v>
      </c>
      <c r="C41" s="64">
        <v>41.97</v>
      </c>
      <c r="D41" s="64">
        <v>116.29</v>
      </c>
      <c r="E41" s="64">
        <v>8.2200000000000006</v>
      </c>
      <c r="F41" s="64">
        <v>2.13</v>
      </c>
      <c r="G41" s="64">
        <v>127.98</v>
      </c>
      <c r="H41" s="64">
        <v>43.8</v>
      </c>
      <c r="I41" s="210" t="s">
        <v>43</v>
      </c>
      <c r="J41" s="64">
        <v>0.78</v>
      </c>
      <c r="K41" s="64">
        <v>117.48</v>
      </c>
      <c r="L41" s="64">
        <v>16.29</v>
      </c>
      <c r="M41" s="64">
        <v>52.03</v>
      </c>
      <c r="N41" s="64">
        <v>308.39999999999998</v>
      </c>
      <c r="O41" s="64">
        <v>0</v>
      </c>
      <c r="P41" s="64">
        <v>1.38</v>
      </c>
      <c r="Q41" s="64">
        <v>9.9</v>
      </c>
      <c r="R41" s="198"/>
      <c r="S41" s="198"/>
      <c r="T41" s="198"/>
      <c r="U41" s="198"/>
    </row>
    <row r="42" spans="1:21" s="12" customFormat="1" x14ac:dyDescent="0.25">
      <c r="A42" s="214" t="s">
        <v>565</v>
      </c>
      <c r="B42" s="64">
        <v>116.46</v>
      </c>
      <c r="C42" s="64">
        <v>42.2</v>
      </c>
      <c r="D42" s="64">
        <v>114.06</v>
      </c>
      <c r="E42" s="64">
        <v>7.58</v>
      </c>
      <c r="F42" s="64">
        <v>2.13</v>
      </c>
      <c r="G42" s="64">
        <v>127.98</v>
      </c>
      <c r="H42" s="64">
        <v>43.8</v>
      </c>
      <c r="I42" s="210" t="s">
        <v>43</v>
      </c>
      <c r="J42" s="64">
        <v>0.97</v>
      </c>
      <c r="K42" s="64">
        <v>105.67</v>
      </c>
      <c r="L42" s="64">
        <v>17.190000000000001</v>
      </c>
      <c r="M42" s="64">
        <v>47.79</v>
      </c>
      <c r="N42" s="64">
        <v>363</v>
      </c>
      <c r="O42" s="64">
        <v>0</v>
      </c>
      <c r="P42" s="64">
        <v>1.36</v>
      </c>
      <c r="Q42" s="64">
        <v>9.89</v>
      </c>
      <c r="R42" s="198"/>
      <c r="S42" s="198"/>
      <c r="T42" s="198"/>
      <c r="U42" s="198"/>
    </row>
    <row r="43" spans="1:21" s="12" customFormat="1" x14ac:dyDescent="0.25">
      <c r="A43" s="214" t="s">
        <v>566</v>
      </c>
      <c r="B43" s="64">
        <v>112.79</v>
      </c>
      <c r="C43" s="64">
        <v>42.57</v>
      </c>
      <c r="D43" s="64">
        <v>111.31</v>
      </c>
      <c r="E43" s="64">
        <v>7.15</v>
      </c>
      <c r="F43" s="64">
        <v>2.13</v>
      </c>
      <c r="G43" s="64">
        <v>110.36</v>
      </c>
      <c r="H43" s="64">
        <v>39.53</v>
      </c>
      <c r="I43" s="210" t="s">
        <v>43</v>
      </c>
      <c r="J43" s="64">
        <v>1.63</v>
      </c>
      <c r="K43" s="64">
        <v>117.42</v>
      </c>
      <c r="L43" s="64">
        <v>17.48</v>
      </c>
      <c r="M43" s="64">
        <v>44.89</v>
      </c>
      <c r="N43" s="64">
        <v>421.9</v>
      </c>
      <c r="O43" s="64">
        <v>0</v>
      </c>
      <c r="P43" s="64">
        <v>1.31</v>
      </c>
      <c r="Q43" s="64">
        <v>9.89</v>
      </c>
      <c r="R43" s="198"/>
      <c r="S43" s="198"/>
      <c r="T43" s="198"/>
      <c r="U43" s="198"/>
    </row>
    <row r="44" spans="1:21" s="12" customFormat="1" x14ac:dyDescent="0.25">
      <c r="A44" s="214" t="s">
        <v>567</v>
      </c>
      <c r="B44" s="64">
        <v>108.73</v>
      </c>
      <c r="C44" s="64">
        <v>42.53</v>
      </c>
      <c r="D44" s="64">
        <v>108.04</v>
      </c>
      <c r="E44" s="64">
        <v>7.03</v>
      </c>
      <c r="F44" s="64">
        <v>2.13</v>
      </c>
      <c r="G44" s="64">
        <v>102.4</v>
      </c>
      <c r="H44" s="64">
        <v>37.69</v>
      </c>
      <c r="I44" s="210" t="s">
        <v>43</v>
      </c>
      <c r="J44" s="64">
        <v>1</v>
      </c>
      <c r="K44" s="64">
        <v>99.27</v>
      </c>
      <c r="L44" s="64">
        <v>17.59</v>
      </c>
      <c r="M44" s="64">
        <v>43.61</v>
      </c>
      <c r="N44" s="64">
        <v>493.3</v>
      </c>
      <c r="O44" s="64">
        <v>0</v>
      </c>
      <c r="P44" s="64">
        <v>1.27</v>
      </c>
      <c r="Q44" s="64">
        <v>9.8699999999999992</v>
      </c>
      <c r="R44" s="198"/>
      <c r="S44" s="198"/>
      <c r="T44" s="198"/>
      <c r="U44" s="198"/>
    </row>
    <row r="45" spans="1:21" s="12" customFormat="1" x14ac:dyDescent="0.25">
      <c r="A45" s="214" t="s">
        <v>568</v>
      </c>
      <c r="B45" s="64">
        <v>104.86</v>
      </c>
      <c r="C45" s="64">
        <v>42.35</v>
      </c>
      <c r="D45" s="64">
        <v>104.84</v>
      </c>
      <c r="E45" s="64">
        <v>6.61</v>
      </c>
      <c r="F45" s="64">
        <v>2.13</v>
      </c>
      <c r="G45" s="64">
        <v>102.4</v>
      </c>
      <c r="H45" s="64">
        <v>37.69</v>
      </c>
      <c r="I45" s="210" t="s">
        <v>43</v>
      </c>
      <c r="J45" s="64">
        <v>1.18</v>
      </c>
      <c r="K45" s="64">
        <v>101.4</v>
      </c>
      <c r="L45" s="64">
        <v>18.89</v>
      </c>
      <c r="M45" s="64">
        <v>40.090000000000003</v>
      </c>
      <c r="N45" s="64">
        <v>587</v>
      </c>
      <c r="O45" s="64">
        <v>0</v>
      </c>
      <c r="P45" s="64">
        <v>1.23</v>
      </c>
      <c r="Q45" s="64">
        <v>9.83</v>
      </c>
      <c r="R45" s="198"/>
      <c r="S45" s="198"/>
      <c r="T45" s="198"/>
      <c r="U45" s="198"/>
    </row>
    <row r="46" spans="1:21" s="12" customFormat="1" x14ac:dyDescent="0.25">
      <c r="A46" s="214" t="s">
        <v>569</v>
      </c>
      <c r="B46" s="64">
        <v>100.54</v>
      </c>
      <c r="C46" s="64">
        <v>43.52</v>
      </c>
      <c r="D46" s="64">
        <v>101.99</v>
      </c>
      <c r="E46" s="64">
        <v>6.49</v>
      </c>
      <c r="F46" s="64">
        <v>2.13</v>
      </c>
      <c r="G46" s="64">
        <v>102.4</v>
      </c>
      <c r="H46" s="64">
        <v>37.69</v>
      </c>
      <c r="I46" s="210" t="s">
        <v>43</v>
      </c>
      <c r="J46" s="64">
        <v>1.28</v>
      </c>
      <c r="K46" s="64">
        <v>103.47</v>
      </c>
      <c r="L46" s="64">
        <v>19.329999999999998</v>
      </c>
      <c r="M46" s="64">
        <v>39.28</v>
      </c>
      <c r="N46" s="64">
        <v>606.5</v>
      </c>
      <c r="O46" s="64">
        <v>0</v>
      </c>
      <c r="P46" s="64">
        <v>1.18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14" t="s">
        <v>570</v>
      </c>
      <c r="B47" s="64">
        <v>95.86</v>
      </c>
      <c r="C47" s="64">
        <v>44.35</v>
      </c>
      <c r="D47" s="64">
        <v>98.67</v>
      </c>
      <c r="E47" s="64">
        <v>6.44</v>
      </c>
      <c r="F47" s="64">
        <v>2.13</v>
      </c>
      <c r="G47" s="64">
        <v>79.8</v>
      </c>
      <c r="H47" s="64">
        <v>30.04</v>
      </c>
      <c r="I47" s="210" t="s">
        <v>43</v>
      </c>
      <c r="J47" s="64">
        <v>1.51</v>
      </c>
      <c r="K47" s="64">
        <v>110.26</v>
      </c>
      <c r="L47" s="64">
        <v>19.02</v>
      </c>
      <c r="M47" s="64">
        <v>39.56</v>
      </c>
      <c r="N47" s="64">
        <v>623.70000000000005</v>
      </c>
      <c r="O47" s="64">
        <v>0</v>
      </c>
      <c r="P47" s="64">
        <v>1.1499999999999999</v>
      </c>
      <c r="Q47" s="64">
        <v>9.6999999999999993</v>
      </c>
      <c r="R47" s="198"/>
      <c r="S47" s="198"/>
      <c r="T47" s="198"/>
      <c r="U47" s="198"/>
    </row>
    <row r="48" spans="1:21" s="12" customFormat="1" x14ac:dyDescent="0.25">
      <c r="A48" s="214" t="s">
        <v>571</v>
      </c>
      <c r="B48" s="64">
        <v>90.16</v>
      </c>
      <c r="C48" s="64">
        <v>45.42</v>
      </c>
      <c r="D48" s="64">
        <v>94.65</v>
      </c>
      <c r="E48" s="64">
        <v>5.95</v>
      </c>
      <c r="F48" s="64">
        <v>2.13</v>
      </c>
      <c r="G48" s="64">
        <v>70.12</v>
      </c>
      <c r="H48" s="64">
        <v>26.76</v>
      </c>
      <c r="I48" s="210" t="s">
        <v>43</v>
      </c>
      <c r="J48" s="64">
        <v>0.6</v>
      </c>
      <c r="K48" s="64">
        <v>50.37</v>
      </c>
      <c r="L48" s="64">
        <v>20.440000000000001</v>
      </c>
      <c r="M48" s="64">
        <v>36.72</v>
      </c>
      <c r="N48" s="64">
        <v>640.70000000000005</v>
      </c>
      <c r="O48" s="64">
        <v>0</v>
      </c>
      <c r="P48" s="64">
        <v>1.1000000000000001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4" t="s">
        <v>572</v>
      </c>
      <c r="B49" s="64">
        <v>84.85</v>
      </c>
      <c r="C49" s="64">
        <v>46.97</v>
      </c>
      <c r="D49" s="64">
        <v>91.2</v>
      </c>
      <c r="E49" s="64">
        <v>5.55</v>
      </c>
      <c r="F49" s="64">
        <v>2.13</v>
      </c>
      <c r="G49" s="64">
        <v>70.12</v>
      </c>
      <c r="H49" s="64">
        <v>26.76</v>
      </c>
      <c r="I49" s="210" t="s">
        <v>43</v>
      </c>
      <c r="J49" s="64">
        <v>0.5</v>
      </c>
      <c r="K49" s="64">
        <v>35.75</v>
      </c>
      <c r="L49" s="64">
        <v>22.5</v>
      </c>
      <c r="M49" s="64">
        <v>32.340000000000003</v>
      </c>
      <c r="N49" s="64">
        <v>639.1</v>
      </c>
      <c r="O49" s="64">
        <v>0</v>
      </c>
      <c r="P49" s="64">
        <v>1.07</v>
      </c>
      <c r="Q49" s="64">
        <v>9.59</v>
      </c>
      <c r="R49" s="198"/>
      <c r="S49" s="198"/>
      <c r="T49" s="198"/>
      <c r="U49" s="198"/>
    </row>
    <row r="50" spans="1:21" s="12" customFormat="1" x14ac:dyDescent="0.25">
      <c r="A50" s="214" t="s">
        <v>573</v>
      </c>
      <c r="B50" s="64">
        <v>80.430000000000007</v>
      </c>
      <c r="C50" s="64">
        <v>48.14</v>
      </c>
      <c r="D50" s="64">
        <v>88.28</v>
      </c>
      <c r="E50" s="64">
        <v>5.67</v>
      </c>
      <c r="F50" s="64">
        <v>2.13</v>
      </c>
      <c r="G50" s="64">
        <v>70.12</v>
      </c>
      <c r="H50" s="64">
        <v>26.76</v>
      </c>
      <c r="I50" s="210" t="s">
        <v>43</v>
      </c>
      <c r="J50" s="64">
        <v>1.72</v>
      </c>
      <c r="K50" s="64">
        <v>336.4</v>
      </c>
      <c r="L50" s="64">
        <v>24.24</v>
      </c>
      <c r="M50" s="64">
        <v>28.24</v>
      </c>
      <c r="N50" s="64">
        <v>614.1</v>
      </c>
      <c r="O50" s="64">
        <v>0</v>
      </c>
      <c r="P50" s="64">
        <v>1.05</v>
      </c>
      <c r="Q50" s="64">
        <v>9.56</v>
      </c>
      <c r="R50" s="198"/>
      <c r="S50" s="198"/>
      <c r="T50" s="198"/>
      <c r="U50" s="198"/>
    </row>
    <row r="51" spans="1:21" s="12" customFormat="1" x14ac:dyDescent="0.25">
      <c r="A51" s="214" t="s">
        <v>574</v>
      </c>
      <c r="B51" s="64">
        <v>76.5</v>
      </c>
      <c r="C51" s="64">
        <v>49.51</v>
      </c>
      <c r="D51" s="64">
        <v>85.84</v>
      </c>
      <c r="E51" s="64">
        <v>5.56</v>
      </c>
      <c r="F51" s="64">
        <v>2.13</v>
      </c>
      <c r="G51" s="64">
        <v>62.79</v>
      </c>
      <c r="H51" s="64">
        <v>24.27</v>
      </c>
      <c r="I51" s="210" t="s">
        <v>43</v>
      </c>
      <c r="J51" s="64">
        <v>2</v>
      </c>
      <c r="K51" s="64">
        <v>340.7</v>
      </c>
      <c r="L51" s="64">
        <v>26.61</v>
      </c>
      <c r="M51" s="64">
        <v>23.79</v>
      </c>
      <c r="N51" s="64">
        <v>623.29999999999995</v>
      </c>
      <c r="O51" s="64">
        <v>0</v>
      </c>
      <c r="P51" s="64">
        <v>1.02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4" t="s">
        <v>575</v>
      </c>
      <c r="B52" s="64">
        <v>72.78</v>
      </c>
      <c r="C52" s="64">
        <v>50.83</v>
      </c>
      <c r="D52" s="64">
        <v>83.54</v>
      </c>
      <c r="E52" s="64">
        <v>6.09</v>
      </c>
      <c r="F52" s="64">
        <v>2.13</v>
      </c>
      <c r="G52" s="64">
        <v>59.65</v>
      </c>
      <c r="H52" s="64">
        <v>23.2</v>
      </c>
      <c r="I52" s="210" t="s">
        <v>43</v>
      </c>
      <c r="J52" s="64">
        <v>1.38</v>
      </c>
      <c r="K52" s="64">
        <v>331.34</v>
      </c>
      <c r="L52" s="64">
        <v>26.72</v>
      </c>
      <c r="M52" s="64">
        <v>24.08</v>
      </c>
      <c r="N52" s="64">
        <v>653.20000000000005</v>
      </c>
      <c r="O52" s="64">
        <v>0</v>
      </c>
      <c r="P52" s="64">
        <v>0.99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4" t="s">
        <v>576</v>
      </c>
      <c r="B53" s="64">
        <v>69.55</v>
      </c>
      <c r="C53" s="64">
        <v>51.66</v>
      </c>
      <c r="D53" s="64">
        <v>81.39</v>
      </c>
      <c r="E53" s="64">
        <v>6.36</v>
      </c>
      <c r="F53" s="64">
        <v>2.13</v>
      </c>
      <c r="G53" s="64">
        <v>59.65</v>
      </c>
      <c r="H53" s="64">
        <v>23.2</v>
      </c>
      <c r="I53" s="210" t="s">
        <v>43</v>
      </c>
      <c r="J53" s="64">
        <v>1.31</v>
      </c>
      <c r="K53" s="64">
        <v>348.47</v>
      </c>
      <c r="L53" s="64">
        <v>25.86</v>
      </c>
      <c r="M53" s="64">
        <v>25.21</v>
      </c>
      <c r="N53" s="64">
        <v>661.6</v>
      </c>
      <c r="O53" s="64">
        <v>0</v>
      </c>
      <c r="P53" s="64">
        <v>0.98</v>
      </c>
      <c r="Q53" s="64">
        <v>9.4600000000000009</v>
      </c>
      <c r="R53" s="198"/>
      <c r="S53" s="198"/>
      <c r="T53" s="198"/>
      <c r="U53" s="198"/>
    </row>
    <row r="54" spans="1:21" s="12" customFormat="1" x14ac:dyDescent="0.25">
      <c r="A54" s="214" t="s">
        <v>577</v>
      </c>
      <c r="B54" s="64">
        <v>66.260000000000005</v>
      </c>
      <c r="C54" s="64">
        <v>52.24</v>
      </c>
      <c r="D54" s="64">
        <v>79.05</v>
      </c>
      <c r="E54" s="64">
        <v>6.13</v>
      </c>
      <c r="F54" s="64">
        <v>2.13</v>
      </c>
      <c r="G54" s="64">
        <v>59.65</v>
      </c>
      <c r="H54" s="64">
        <v>23.2</v>
      </c>
      <c r="I54" s="210" t="s">
        <v>43</v>
      </c>
      <c r="J54" s="64">
        <v>2.1800000000000002</v>
      </c>
      <c r="K54" s="64">
        <v>338.94</v>
      </c>
      <c r="L54" s="64">
        <v>26.76</v>
      </c>
      <c r="M54" s="64">
        <v>22.31</v>
      </c>
      <c r="N54" s="64">
        <v>710.2</v>
      </c>
      <c r="O54" s="64">
        <v>0</v>
      </c>
      <c r="P54" s="64">
        <v>0.96</v>
      </c>
      <c r="Q54" s="64">
        <v>9.44</v>
      </c>
      <c r="R54" s="198"/>
      <c r="S54" s="198"/>
      <c r="T54" s="198"/>
      <c r="U54" s="198"/>
    </row>
    <row r="55" spans="1:21" s="12" customFormat="1" x14ac:dyDescent="0.25">
      <c r="A55" s="214" t="s">
        <v>578</v>
      </c>
      <c r="B55" s="64">
        <v>63.06</v>
      </c>
      <c r="C55" s="64">
        <v>52.95</v>
      </c>
      <c r="D55" s="64">
        <v>76.86</v>
      </c>
      <c r="E55" s="64">
        <v>5.62</v>
      </c>
      <c r="F55" s="64">
        <v>2.13</v>
      </c>
      <c r="G55" s="64">
        <v>72.33</v>
      </c>
      <c r="H55" s="64">
        <v>23.34</v>
      </c>
      <c r="I55" s="210" t="s">
        <v>43</v>
      </c>
      <c r="J55" s="64">
        <v>2.6</v>
      </c>
      <c r="K55" s="64">
        <v>337.81</v>
      </c>
      <c r="L55" s="64">
        <v>27.35</v>
      </c>
      <c r="M55" s="64">
        <v>19.32</v>
      </c>
      <c r="N55" s="64">
        <v>805.3</v>
      </c>
      <c r="O55" s="64">
        <v>0</v>
      </c>
      <c r="P55" s="64">
        <v>0.92</v>
      </c>
      <c r="Q55" s="64">
        <v>9.4499999999999993</v>
      </c>
      <c r="R55" s="198"/>
      <c r="S55" s="198"/>
      <c r="T55" s="198"/>
      <c r="U55" s="198"/>
    </row>
    <row r="56" spans="1:21" s="12" customFormat="1" x14ac:dyDescent="0.25">
      <c r="A56" s="214" t="s">
        <v>579</v>
      </c>
      <c r="B56" s="64">
        <v>59.62</v>
      </c>
      <c r="C56" s="64">
        <v>53.83</v>
      </c>
      <c r="D56" s="64">
        <v>74.55</v>
      </c>
      <c r="E56" s="64">
        <v>5.62</v>
      </c>
      <c r="F56" s="64">
        <v>2.13</v>
      </c>
      <c r="G56" s="64">
        <v>77.760000000000005</v>
      </c>
      <c r="H56" s="64">
        <v>23.4</v>
      </c>
      <c r="I56" s="210" t="s">
        <v>43</v>
      </c>
      <c r="J56" s="64">
        <v>2.14</v>
      </c>
      <c r="K56" s="64">
        <v>342.02</v>
      </c>
      <c r="L56" s="64">
        <v>27.73</v>
      </c>
      <c r="M56" s="64">
        <v>18.2</v>
      </c>
      <c r="N56" s="64">
        <v>785</v>
      </c>
      <c r="O56" s="64">
        <v>0</v>
      </c>
      <c r="P56" s="64">
        <v>0.9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14" t="s">
        <v>580</v>
      </c>
      <c r="B57" s="64">
        <v>56.59</v>
      </c>
      <c r="C57" s="64">
        <v>54.11</v>
      </c>
      <c r="D57" s="64">
        <v>72.28</v>
      </c>
      <c r="E57" s="64">
        <v>5.68</v>
      </c>
      <c r="F57" s="64">
        <v>2.13</v>
      </c>
      <c r="G57" s="64">
        <v>77.760000000000005</v>
      </c>
      <c r="H57" s="64">
        <v>23.4</v>
      </c>
      <c r="I57" s="210" t="s">
        <v>43</v>
      </c>
      <c r="J57" s="64">
        <v>1.67</v>
      </c>
      <c r="K57" s="64">
        <v>341.58</v>
      </c>
      <c r="L57" s="64">
        <v>27.32</v>
      </c>
      <c r="M57" s="64">
        <v>18.39</v>
      </c>
      <c r="N57" s="64">
        <v>779.1</v>
      </c>
      <c r="O57" s="64">
        <v>0</v>
      </c>
      <c r="P57" s="64">
        <v>0.87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4" t="s">
        <v>581</v>
      </c>
      <c r="B58" s="64">
        <v>54.02</v>
      </c>
      <c r="C58" s="64">
        <v>54.25</v>
      </c>
      <c r="D58" s="64">
        <v>70.290000000000006</v>
      </c>
      <c r="E58" s="64">
        <v>5.59</v>
      </c>
      <c r="F58" s="64">
        <v>2.13</v>
      </c>
      <c r="G58" s="64">
        <v>77.760000000000005</v>
      </c>
      <c r="H58" s="64">
        <v>23.4</v>
      </c>
      <c r="I58" s="210" t="s">
        <v>43</v>
      </c>
      <c r="J58" s="64">
        <v>1.92</v>
      </c>
      <c r="K58" s="64">
        <v>333.86</v>
      </c>
      <c r="L58" s="64">
        <v>27.34</v>
      </c>
      <c r="M58" s="64">
        <v>18.7</v>
      </c>
      <c r="N58" s="64">
        <v>811.9</v>
      </c>
      <c r="O58" s="64">
        <v>0</v>
      </c>
      <c r="P58" s="64">
        <v>0.84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582</v>
      </c>
      <c r="B59" s="64">
        <v>51.55</v>
      </c>
      <c r="C59" s="64">
        <v>54.24</v>
      </c>
      <c r="D59" s="64">
        <v>68.3</v>
      </c>
      <c r="E59" s="64">
        <v>5.2</v>
      </c>
      <c r="F59" s="64">
        <v>2.13</v>
      </c>
      <c r="G59" s="64">
        <v>69.430000000000007</v>
      </c>
      <c r="H59" s="64">
        <v>21.48</v>
      </c>
      <c r="I59" s="210" t="s">
        <v>43</v>
      </c>
      <c r="J59" s="64">
        <v>2.44</v>
      </c>
      <c r="K59" s="64">
        <v>337.74</v>
      </c>
      <c r="L59" s="64">
        <v>27.71</v>
      </c>
      <c r="M59" s="64">
        <v>18.53</v>
      </c>
      <c r="N59" s="64">
        <v>835.2</v>
      </c>
      <c r="O59" s="64">
        <v>0</v>
      </c>
      <c r="P59" s="64">
        <v>0.82</v>
      </c>
      <c r="Q59" s="64">
        <v>9.43</v>
      </c>
      <c r="R59" s="198"/>
      <c r="S59" s="198"/>
      <c r="T59" s="198"/>
      <c r="U59" s="198"/>
    </row>
    <row r="60" spans="1:21" s="12" customFormat="1" x14ac:dyDescent="0.25">
      <c r="A60" s="214" t="s">
        <v>583</v>
      </c>
      <c r="B60" s="64">
        <v>48.74</v>
      </c>
      <c r="C60" s="64">
        <v>54.16</v>
      </c>
      <c r="D60" s="64">
        <v>66</v>
      </c>
      <c r="E60" s="64">
        <v>4.96</v>
      </c>
      <c r="F60" s="64">
        <v>2.13</v>
      </c>
      <c r="G60" s="64">
        <v>65.86</v>
      </c>
      <c r="H60" s="64">
        <v>20.66</v>
      </c>
      <c r="I60" s="210" t="s">
        <v>43</v>
      </c>
      <c r="J60" s="64">
        <v>2.2000000000000002</v>
      </c>
      <c r="K60" s="64">
        <v>342.11</v>
      </c>
      <c r="L60" s="64">
        <v>27.77</v>
      </c>
      <c r="M60" s="64">
        <v>18.28</v>
      </c>
      <c r="N60" s="64">
        <v>785.9</v>
      </c>
      <c r="O60" s="64">
        <v>0</v>
      </c>
      <c r="P60" s="64">
        <v>0.79</v>
      </c>
      <c r="Q60" s="64">
        <v>9.42</v>
      </c>
      <c r="R60" s="198"/>
      <c r="S60" s="198"/>
      <c r="T60" s="198"/>
      <c r="U60" s="198"/>
    </row>
    <row r="61" spans="1:21" s="12" customFormat="1" x14ac:dyDescent="0.25">
      <c r="A61" s="214" t="s">
        <v>584</v>
      </c>
      <c r="B61" s="64">
        <v>45.82</v>
      </c>
      <c r="C61" s="64">
        <v>54.71</v>
      </c>
      <c r="D61" s="64">
        <v>63.95</v>
      </c>
      <c r="E61" s="64">
        <v>5.24</v>
      </c>
      <c r="F61" s="64">
        <v>2.13</v>
      </c>
      <c r="G61" s="64">
        <v>65.86</v>
      </c>
      <c r="H61" s="64">
        <v>20.66</v>
      </c>
      <c r="I61" s="210" t="s">
        <v>43</v>
      </c>
      <c r="J61" s="64">
        <v>2.2000000000000002</v>
      </c>
      <c r="K61" s="64">
        <v>341.62</v>
      </c>
      <c r="L61" s="64">
        <v>27.11</v>
      </c>
      <c r="M61" s="64">
        <v>20.46</v>
      </c>
      <c r="N61" s="64">
        <v>735.4</v>
      </c>
      <c r="O61" s="64">
        <v>0</v>
      </c>
      <c r="P61" s="64">
        <v>0.81</v>
      </c>
      <c r="Q61" s="64">
        <v>9.41</v>
      </c>
      <c r="R61" s="198"/>
      <c r="S61" s="198"/>
      <c r="T61" s="198"/>
      <c r="U61" s="198"/>
    </row>
    <row r="62" spans="1:21" s="12" customFormat="1" x14ac:dyDescent="0.25">
      <c r="A62" s="214" t="s">
        <v>585</v>
      </c>
      <c r="B62" s="64">
        <v>42.43</v>
      </c>
      <c r="C62" s="64">
        <v>55.64</v>
      </c>
      <c r="D62" s="64">
        <v>61.72</v>
      </c>
      <c r="E62" s="64">
        <v>5.13</v>
      </c>
      <c r="F62" s="64">
        <v>2.13</v>
      </c>
      <c r="G62" s="64">
        <v>65.86</v>
      </c>
      <c r="H62" s="64">
        <v>20.66</v>
      </c>
      <c r="I62" s="210" t="s">
        <v>43</v>
      </c>
      <c r="J62" s="64">
        <v>2.13</v>
      </c>
      <c r="K62" s="64">
        <v>321.33</v>
      </c>
      <c r="L62" s="64">
        <v>26.83</v>
      </c>
      <c r="M62" s="64">
        <v>21.44</v>
      </c>
      <c r="N62" s="64">
        <v>676.4</v>
      </c>
      <c r="O62" s="64">
        <v>0</v>
      </c>
      <c r="P62" s="64">
        <v>0.82</v>
      </c>
      <c r="Q62" s="64">
        <v>9.3800000000000008</v>
      </c>
      <c r="R62" s="198"/>
      <c r="S62" s="198"/>
      <c r="T62" s="198"/>
      <c r="U62" s="198"/>
    </row>
    <row r="63" spans="1:21" s="12" customFormat="1" x14ac:dyDescent="0.25">
      <c r="A63" s="214" t="s">
        <v>586</v>
      </c>
      <c r="B63" s="64">
        <v>38.82</v>
      </c>
      <c r="C63" s="64">
        <v>56.62</v>
      </c>
      <c r="D63" s="64">
        <v>59.34</v>
      </c>
      <c r="E63" s="64">
        <v>4.9800000000000004</v>
      </c>
      <c r="F63" s="64">
        <v>2.13</v>
      </c>
      <c r="G63" s="64">
        <v>62.28</v>
      </c>
      <c r="H63" s="64">
        <v>17.97</v>
      </c>
      <c r="I63" s="210" t="s">
        <v>43</v>
      </c>
      <c r="J63" s="64">
        <v>1.82</v>
      </c>
      <c r="K63" s="64">
        <v>325.92</v>
      </c>
      <c r="L63" s="64">
        <v>26.6</v>
      </c>
      <c r="M63" s="64">
        <v>20.98</v>
      </c>
      <c r="N63" s="64">
        <v>663.2</v>
      </c>
      <c r="O63" s="64">
        <v>0</v>
      </c>
      <c r="P63" s="64">
        <v>0.81</v>
      </c>
      <c r="Q63" s="64">
        <v>9.31</v>
      </c>
      <c r="R63" s="198"/>
      <c r="S63" s="198"/>
      <c r="T63" s="198"/>
      <c r="U63" s="198"/>
    </row>
    <row r="64" spans="1:21" s="12" customFormat="1" x14ac:dyDescent="0.25">
      <c r="A64" s="214" t="s">
        <v>587</v>
      </c>
      <c r="B64" s="64">
        <v>35.75</v>
      </c>
      <c r="C64" s="64">
        <v>57.22</v>
      </c>
      <c r="D64" s="64">
        <v>57.18</v>
      </c>
      <c r="E64" s="64">
        <v>5.35</v>
      </c>
      <c r="F64" s="64">
        <v>2.13</v>
      </c>
      <c r="G64" s="64">
        <v>60.75</v>
      </c>
      <c r="H64" s="64">
        <v>16.82</v>
      </c>
      <c r="I64" s="210" t="s">
        <v>43</v>
      </c>
      <c r="J64" s="64">
        <v>2.08</v>
      </c>
      <c r="K64" s="64">
        <v>326.45</v>
      </c>
      <c r="L64" s="64">
        <v>26.91</v>
      </c>
      <c r="M64" s="64">
        <v>19.399999999999999</v>
      </c>
      <c r="N64" s="64">
        <v>656.1</v>
      </c>
      <c r="O64" s="64">
        <v>0</v>
      </c>
      <c r="P64" s="64">
        <v>0.79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14" t="s">
        <v>588</v>
      </c>
      <c r="B65" s="64">
        <v>33.1</v>
      </c>
      <c r="C65" s="64">
        <v>57.47</v>
      </c>
      <c r="D65" s="64">
        <v>55.2</v>
      </c>
      <c r="E65" s="64">
        <v>4.99</v>
      </c>
      <c r="F65" s="64">
        <v>2.13</v>
      </c>
      <c r="G65" s="64">
        <v>60.75</v>
      </c>
      <c r="H65" s="64">
        <v>16.82</v>
      </c>
      <c r="I65" s="210" t="s">
        <v>43</v>
      </c>
      <c r="J65" s="64">
        <v>2.44</v>
      </c>
      <c r="K65" s="64">
        <v>333.78</v>
      </c>
      <c r="L65" s="64">
        <v>27.28</v>
      </c>
      <c r="M65" s="64">
        <v>18.45</v>
      </c>
      <c r="N65" s="64">
        <v>557.6</v>
      </c>
      <c r="O65" s="64">
        <v>0</v>
      </c>
      <c r="P65" s="64">
        <v>0.76</v>
      </c>
      <c r="Q65" s="64">
        <v>8.8800000000000008</v>
      </c>
      <c r="R65" s="198"/>
      <c r="S65" s="198"/>
      <c r="T65" s="198"/>
      <c r="U65" s="198"/>
    </row>
    <row r="66" spans="1:21" s="12" customFormat="1" x14ac:dyDescent="0.25">
      <c r="A66" s="214" t="s">
        <v>589</v>
      </c>
      <c r="B66" s="64">
        <v>30.82</v>
      </c>
      <c r="C66" s="64">
        <v>57.42</v>
      </c>
      <c r="D66" s="64">
        <v>53.34</v>
      </c>
      <c r="E66" s="64">
        <v>4.59</v>
      </c>
      <c r="F66" s="64">
        <v>2.13</v>
      </c>
      <c r="G66" s="64">
        <v>60.75</v>
      </c>
      <c r="H66" s="64">
        <v>16.82</v>
      </c>
      <c r="I66" s="210" t="s">
        <v>43</v>
      </c>
      <c r="J66" s="64">
        <v>2.2400000000000002</v>
      </c>
      <c r="K66" s="64">
        <v>326.56</v>
      </c>
      <c r="L66" s="64">
        <v>26.45</v>
      </c>
      <c r="M66" s="64">
        <v>18.579999999999998</v>
      </c>
      <c r="N66" s="64">
        <v>243.4</v>
      </c>
      <c r="O66" s="64">
        <v>0</v>
      </c>
      <c r="P66" s="64">
        <v>0.73</v>
      </c>
      <c r="Q66" s="64">
        <v>8.65</v>
      </c>
      <c r="R66" s="198"/>
      <c r="S66" s="198"/>
      <c r="T66" s="198"/>
      <c r="U66" s="198"/>
    </row>
    <row r="67" spans="1:21" s="12" customFormat="1" x14ac:dyDescent="0.25">
      <c r="A67" s="214" t="s">
        <v>590</v>
      </c>
      <c r="B67" s="64">
        <v>28.86</v>
      </c>
      <c r="C67" s="64">
        <v>57.64</v>
      </c>
      <c r="D67" s="64">
        <v>51.88</v>
      </c>
      <c r="E67" s="64">
        <v>4.3899999999999997</v>
      </c>
      <c r="F67" s="64">
        <v>2.13</v>
      </c>
      <c r="G67" s="64">
        <v>49.81</v>
      </c>
      <c r="H67" s="64">
        <v>14.05</v>
      </c>
      <c r="I67" s="210" t="s">
        <v>43</v>
      </c>
      <c r="J67" s="64">
        <v>1.9</v>
      </c>
      <c r="K67" s="64">
        <v>320.97000000000003</v>
      </c>
      <c r="L67" s="64">
        <v>25.95</v>
      </c>
      <c r="M67" s="64">
        <v>19.98</v>
      </c>
      <c r="N67" s="64">
        <v>238.7</v>
      </c>
      <c r="O67" s="64">
        <v>0</v>
      </c>
      <c r="P67" s="64">
        <v>0.71</v>
      </c>
      <c r="Q67" s="64">
        <v>8.48</v>
      </c>
      <c r="R67" s="198"/>
      <c r="S67" s="198"/>
      <c r="T67" s="198"/>
      <c r="U67" s="198"/>
    </row>
    <row r="68" spans="1:21" s="12" customFormat="1" x14ac:dyDescent="0.25">
      <c r="A68" s="214" t="s">
        <v>591</v>
      </c>
      <c r="B68" s="64">
        <v>27.52</v>
      </c>
      <c r="C68" s="64">
        <v>57.54</v>
      </c>
      <c r="D68" s="64">
        <v>50.75</v>
      </c>
      <c r="E68" s="64">
        <v>4.45</v>
      </c>
      <c r="F68" s="64">
        <v>2.13</v>
      </c>
      <c r="G68" s="64">
        <v>45.12</v>
      </c>
      <c r="H68" s="64">
        <v>12.86</v>
      </c>
      <c r="I68" s="210" t="s">
        <v>43</v>
      </c>
      <c r="J68" s="64">
        <v>2.19</v>
      </c>
      <c r="K68" s="64">
        <v>326.79000000000002</v>
      </c>
      <c r="L68" s="64">
        <v>25.61</v>
      </c>
      <c r="M68" s="64">
        <v>19.96</v>
      </c>
      <c r="N68" s="64">
        <v>206.2</v>
      </c>
      <c r="O68" s="64">
        <v>0</v>
      </c>
      <c r="P68" s="64">
        <v>0.69</v>
      </c>
      <c r="Q68" s="64">
        <v>8.32</v>
      </c>
      <c r="R68" s="198"/>
      <c r="S68" s="198"/>
      <c r="T68" s="198"/>
      <c r="U68" s="198"/>
    </row>
    <row r="69" spans="1:21" s="12" customFormat="1" x14ac:dyDescent="0.25">
      <c r="A69" s="214" t="s">
        <v>592</v>
      </c>
      <c r="B69" s="64">
        <v>26.03</v>
      </c>
      <c r="C69" s="64">
        <v>57.35</v>
      </c>
      <c r="D69" s="64">
        <v>49.46</v>
      </c>
      <c r="E69" s="64">
        <v>4.26</v>
      </c>
      <c r="F69" s="64">
        <v>2.13</v>
      </c>
      <c r="G69" s="64">
        <v>45.12</v>
      </c>
      <c r="H69" s="64">
        <v>12.86</v>
      </c>
      <c r="I69" s="210" t="s">
        <v>43</v>
      </c>
      <c r="J69" s="64">
        <v>1.5</v>
      </c>
      <c r="K69" s="64">
        <v>323.74</v>
      </c>
      <c r="L69" s="64">
        <v>25.28</v>
      </c>
      <c r="M69" s="64">
        <v>20.14</v>
      </c>
      <c r="N69" s="64">
        <v>136.80000000000001</v>
      </c>
      <c r="O69" s="64">
        <v>0</v>
      </c>
      <c r="P69" s="64">
        <v>0.68</v>
      </c>
      <c r="Q69" s="64">
        <v>8.2200000000000006</v>
      </c>
      <c r="R69" s="198"/>
      <c r="S69" s="198"/>
      <c r="T69" s="198"/>
      <c r="U69" s="198"/>
    </row>
    <row r="70" spans="1:21" s="12" customFormat="1" x14ac:dyDescent="0.25">
      <c r="A70" s="214" t="s">
        <v>593</v>
      </c>
      <c r="B70" s="64">
        <v>24.91</v>
      </c>
      <c r="C70" s="64">
        <v>57.35</v>
      </c>
      <c r="D70" s="64">
        <v>48.56</v>
      </c>
      <c r="E70" s="64">
        <v>4.0999999999999996</v>
      </c>
      <c r="F70" s="64">
        <v>2.13</v>
      </c>
      <c r="G70" s="64">
        <v>45.12</v>
      </c>
      <c r="H70" s="64">
        <v>12.86</v>
      </c>
      <c r="I70" s="210" t="s">
        <v>43</v>
      </c>
      <c r="J70" s="64">
        <v>2.04</v>
      </c>
      <c r="K70" s="64">
        <v>329.82</v>
      </c>
      <c r="L70" s="64">
        <v>23.98</v>
      </c>
      <c r="M70" s="64">
        <v>23.13</v>
      </c>
      <c r="N70" s="64">
        <v>92.9</v>
      </c>
      <c r="O70" s="64">
        <v>0</v>
      </c>
      <c r="P70" s="64">
        <v>0.66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594</v>
      </c>
      <c r="B71" s="64">
        <v>24.07</v>
      </c>
      <c r="C71" s="64">
        <v>56.89</v>
      </c>
      <c r="D71" s="64">
        <v>47.65</v>
      </c>
      <c r="E71" s="64">
        <v>4.47</v>
      </c>
      <c r="F71" s="64">
        <v>2.13</v>
      </c>
      <c r="G71" s="64">
        <v>45.86</v>
      </c>
      <c r="H71" s="64">
        <v>13.47</v>
      </c>
      <c r="I71" s="210" t="s">
        <v>43</v>
      </c>
      <c r="J71" s="64">
        <v>2.2999999999999998</v>
      </c>
      <c r="K71" s="64">
        <v>327.08999999999997</v>
      </c>
      <c r="L71" s="64">
        <v>23.21</v>
      </c>
      <c r="M71" s="64">
        <v>23.41</v>
      </c>
      <c r="N71" s="64">
        <v>87.7</v>
      </c>
      <c r="O71" s="64">
        <v>0</v>
      </c>
      <c r="P71" s="64">
        <v>0.64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595</v>
      </c>
      <c r="B72" s="64">
        <v>23.33</v>
      </c>
      <c r="C72" s="64">
        <v>56.47</v>
      </c>
      <c r="D72" s="64">
        <v>46.83</v>
      </c>
      <c r="E72" s="64">
        <v>6.18</v>
      </c>
      <c r="F72" s="64">
        <v>2.13</v>
      </c>
      <c r="G72" s="64">
        <v>46.2</v>
      </c>
      <c r="H72" s="64">
        <v>13.73</v>
      </c>
      <c r="I72" s="210" t="s">
        <v>43</v>
      </c>
      <c r="J72" s="64">
        <v>1.6</v>
      </c>
      <c r="K72" s="64">
        <v>320.48</v>
      </c>
      <c r="L72" s="64">
        <v>22.74</v>
      </c>
      <c r="M72" s="64">
        <v>23.56</v>
      </c>
      <c r="N72" s="64">
        <v>83.8</v>
      </c>
      <c r="O72" s="64">
        <v>0</v>
      </c>
      <c r="P72" s="64">
        <v>0.62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596</v>
      </c>
      <c r="B73" s="64">
        <v>22.56</v>
      </c>
      <c r="C73" s="64">
        <v>55.94</v>
      </c>
      <c r="D73" s="64">
        <v>45.94</v>
      </c>
      <c r="E73" s="64">
        <v>5.72</v>
      </c>
      <c r="F73" s="64">
        <v>2.13</v>
      </c>
      <c r="G73" s="64">
        <v>46.2</v>
      </c>
      <c r="H73" s="64">
        <v>13.73</v>
      </c>
      <c r="I73" s="210" t="s">
        <v>43</v>
      </c>
      <c r="J73" s="64">
        <v>2.23</v>
      </c>
      <c r="K73" s="64">
        <v>340.44</v>
      </c>
      <c r="L73" s="64">
        <v>22.37</v>
      </c>
      <c r="M73" s="64">
        <v>24.4</v>
      </c>
      <c r="N73" s="64">
        <v>80.099999999999994</v>
      </c>
      <c r="O73" s="64">
        <v>0</v>
      </c>
      <c r="P73" s="64">
        <v>0.62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597</v>
      </c>
      <c r="B74" s="64">
        <v>21.94</v>
      </c>
      <c r="C74" s="64">
        <v>55.6</v>
      </c>
      <c r="D74" s="64">
        <v>45.27</v>
      </c>
      <c r="E74" s="64">
        <v>5.96</v>
      </c>
      <c r="F74" s="64">
        <v>2.13</v>
      </c>
      <c r="G74" s="64">
        <v>46.2</v>
      </c>
      <c r="H74" s="64">
        <v>13.73</v>
      </c>
      <c r="I74" s="210" t="s">
        <v>43</v>
      </c>
      <c r="J74" s="64">
        <v>1.98</v>
      </c>
      <c r="K74" s="64">
        <v>336.89</v>
      </c>
      <c r="L74" s="64">
        <v>22.09</v>
      </c>
      <c r="M74" s="64">
        <v>25.37</v>
      </c>
      <c r="N74" s="64">
        <v>77.400000000000006</v>
      </c>
      <c r="O74" s="64">
        <v>0</v>
      </c>
      <c r="P74" s="64">
        <v>0.6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598</v>
      </c>
      <c r="B75" s="64">
        <v>21.33</v>
      </c>
      <c r="C75" s="64">
        <v>55.24</v>
      </c>
      <c r="D75" s="64">
        <v>44.59</v>
      </c>
      <c r="E75" s="64">
        <v>6.03</v>
      </c>
      <c r="F75" s="64">
        <v>2.13</v>
      </c>
      <c r="G75" s="64">
        <v>47.81</v>
      </c>
      <c r="H75" s="64">
        <v>14.11</v>
      </c>
      <c r="I75" s="210" t="s">
        <v>43</v>
      </c>
      <c r="J75" s="64">
        <v>1.93</v>
      </c>
      <c r="K75" s="64">
        <v>338.02</v>
      </c>
      <c r="L75" s="64">
        <v>21.84</v>
      </c>
      <c r="M75" s="64">
        <v>27.49</v>
      </c>
      <c r="N75" s="64">
        <v>73.7</v>
      </c>
      <c r="O75" s="64">
        <v>0</v>
      </c>
      <c r="P75" s="64">
        <v>0.63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599</v>
      </c>
      <c r="B76" s="64">
        <v>21.23</v>
      </c>
      <c r="C76" s="64">
        <v>54.68</v>
      </c>
      <c r="D76" s="64">
        <v>44.21</v>
      </c>
      <c r="E76" s="64">
        <v>6.02</v>
      </c>
      <c r="F76" s="64">
        <v>2.13</v>
      </c>
      <c r="G76" s="64">
        <v>48.51</v>
      </c>
      <c r="H76" s="64">
        <v>14.27</v>
      </c>
      <c r="I76" s="210" t="s">
        <v>43</v>
      </c>
      <c r="J76" s="64">
        <v>1.84</v>
      </c>
      <c r="K76" s="64">
        <v>342.28</v>
      </c>
      <c r="L76" s="64">
        <v>21.47</v>
      </c>
      <c r="M76" s="64">
        <v>28.72</v>
      </c>
      <c r="N76" s="64">
        <v>69.599999999999994</v>
      </c>
      <c r="O76" s="64">
        <v>0</v>
      </c>
      <c r="P76" s="64">
        <v>0.62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600</v>
      </c>
      <c r="B77" s="64">
        <v>21.42</v>
      </c>
      <c r="C77" s="64">
        <v>54.04</v>
      </c>
      <c r="D77" s="64">
        <v>44.04</v>
      </c>
      <c r="E77" s="64">
        <v>5.82</v>
      </c>
      <c r="F77" s="64">
        <v>2.13</v>
      </c>
      <c r="G77" s="64">
        <v>48.51</v>
      </c>
      <c r="H77" s="64">
        <v>14.27</v>
      </c>
      <c r="I77" s="210" t="s">
        <v>43</v>
      </c>
      <c r="J77" s="64">
        <v>1.76</v>
      </c>
      <c r="K77" s="64">
        <v>339.62</v>
      </c>
      <c r="L77" s="64">
        <v>20.86</v>
      </c>
      <c r="M77" s="64">
        <v>30.18</v>
      </c>
      <c r="N77" s="64">
        <v>64.400000000000006</v>
      </c>
      <c r="O77" s="64">
        <v>0</v>
      </c>
      <c r="P77" s="64">
        <v>0.63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601</v>
      </c>
      <c r="B78" s="64">
        <v>22.25</v>
      </c>
      <c r="C78" s="64">
        <v>53.54</v>
      </c>
      <c r="D78" s="64">
        <v>44.44</v>
      </c>
      <c r="E78" s="64">
        <v>5.87</v>
      </c>
      <c r="F78" s="64">
        <v>2.13</v>
      </c>
      <c r="G78" s="64">
        <v>48.51</v>
      </c>
      <c r="H78" s="64">
        <v>14.27</v>
      </c>
      <c r="I78" s="210" t="s">
        <v>43</v>
      </c>
      <c r="J78" s="64">
        <v>1.36</v>
      </c>
      <c r="K78" s="64">
        <v>355.81</v>
      </c>
      <c r="L78" s="64">
        <v>20.03</v>
      </c>
      <c r="M78" s="64">
        <v>31.96</v>
      </c>
      <c r="N78" s="64">
        <v>58.7</v>
      </c>
      <c r="O78" s="64">
        <v>0</v>
      </c>
      <c r="P78" s="64">
        <v>0.67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602</v>
      </c>
      <c r="B79" s="64">
        <v>23.8</v>
      </c>
      <c r="C79" s="64">
        <v>53.55</v>
      </c>
      <c r="D79" s="64">
        <v>45.69</v>
      </c>
      <c r="E79" s="64">
        <v>6.49</v>
      </c>
      <c r="F79" s="64">
        <v>2.13</v>
      </c>
      <c r="G79" s="64">
        <v>54.74</v>
      </c>
      <c r="H79" s="64">
        <v>14.82</v>
      </c>
      <c r="I79" s="210" t="s">
        <v>43</v>
      </c>
      <c r="J79" s="64">
        <v>1.1200000000000001</v>
      </c>
      <c r="K79" s="64">
        <v>291.37</v>
      </c>
      <c r="L79" s="64">
        <v>18.8</v>
      </c>
      <c r="M79" s="64">
        <v>35.44</v>
      </c>
      <c r="N79" s="64">
        <v>54.4</v>
      </c>
      <c r="O79" s="64">
        <v>0</v>
      </c>
      <c r="P79" s="64">
        <v>0.68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603</v>
      </c>
      <c r="B80" s="64">
        <v>26.68</v>
      </c>
      <c r="C80" s="64">
        <v>53.87</v>
      </c>
      <c r="D80" s="64">
        <v>48.16</v>
      </c>
      <c r="E80" s="64">
        <v>6.77</v>
      </c>
      <c r="F80" s="64">
        <v>2.13</v>
      </c>
      <c r="G80" s="64">
        <v>57.42</v>
      </c>
      <c r="H80" s="64">
        <v>15.05</v>
      </c>
      <c r="I80" s="210" t="s">
        <v>43</v>
      </c>
      <c r="J80" s="64">
        <v>0.28000000000000003</v>
      </c>
      <c r="K80" s="64">
        <v>321.33</v>
      </c>
      <c r="L80" s="64">
        <v>17.670000000000002</v>
      </c>
      <c r="M80" s="64">
        <v>39</v>
      </c>
      <c r="N80" s="64">
        <v>52.9</v>
      </c>
      <c r="O80" s="64">
        <v>0</v>
      </c>
      <c r="P80" s="64">
        <v>0.73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604</v>
      </c>
      <c r="B81" s="64">
        <v>30.87</v>
      </c>
      <c r="C81" s="64">
        <v>54.64</v>
      </c>
      <c r="D81" s="64">
        <v>51.93</v>
      </c>
      <c r="E81" s="64">
        <v>6.53</v>
      </c>
      <c r="F81" s="64">
        <v>2.13</v>
      </c>
      <c r="G81" s="64">
        <v>57.42</v>
      </c>
      <c r="H81" s="64">
        <v>15.05</v>
      </c>
      <c r="I81" s="210" t="s">
        <v>43</v>
      </c>
      <c r="J81" s="64">
        <v>1.1100000000000001</v>
      </c>
      <c r="K81" s="64">
        <v>75.760000000000005</v>
      </c>
      <c r="L81" s="64">
        <v>16.72</v>
      </c>
      <c r="M81" s="64">
        <v>45.05</v>
      </c>
      <c r="N81" s="64">
        <v>52.7</v>
      </c>
      <c r="O81" s="64">
        <v>0</v>
      </c>
      <c r="P81" s="64">
        <v>0.77</v>
      </c>
      <c r="Q81" s="64">
        <v>8.35</v>
      </c>
      <c r="R81" s="198"/>
      <c r="S81" s="198"/>
      <c r="T81" s="198"/>
      <c r="U81" s="198"/>
    </row>
    <row r="82" spans="1:26" s="12" customFormat="1" x14ac:dyDescent="0.25">
      <c r="A82" s="214" t="s">
        <v>605</v>
      </c>
      <c r="B82" s="64">
        <v>34.880000000000003</v>
      </c>
      <c r="C82" s="64">
        <v>55.04</v>
      </c>
      <c r="D82" s="64">
        <v>55.35</v>
      </c>
      <c r="E82" s="64">
        <v>6.91</v>
      </c>
      <c r="F82" s="64">
        <v>2.13</v>
      </c>
      <c r="G82" s="64">
        <v>57.42</v>
      </c>
      <c r="H82" s="64">
        <v>15.05</v>
      </c>
      <c r="I82" s="210" t="s">
        <v>43</v>
      </c>
      <c r="J82" s="64">
        <v>0.85</v>
      </c>
      <c r="K82" s="64">
        <v>0.51</v>
      </c>
      <c r="L82" s="64">
        <v>16.329999999999998</v>
      </c>
      <c r="M82" s="64">
        <v>49.2</v>
      </c>
      <c r="N82" s="64">
        <v>52.1</v>
      </c>
      <c r="O82" s="64">
        <v>0</v>
      </c>
      <c r="P82" s="64">
        <v>0.81</v>
      </c>
      <c r="Q82" s="64">
        <v>8.67</v>
      </c>
      <c r="R82" s="198"/>
      <c r="S82" s="198"/>
      <c r="T82" s="198"/>
      <c r="U82" s="198"/>
    </row>
    <row r="83" spans="1:26" s="12" customFormat="1" x14ac:dyDescent="0.25">
      <c r="A83" s="214" t="s">
        <v>606</v>
      </c>
      <c r="B83" s="64">
        <v>36.39</v>
      </c>
      <c r="C83" s="64">
        <v>55.41</v>
      </c>
      <c r="D83" s="64">
        <v>56.76</v>
      </c>
      <c r="E83" s="64">
        <v>6.89</v>
      </c>
      <c r="F83" s="64">
        <v>2.13</v>
      </c>
      <c r="G83" s="64">
        <v>85.74</v>
      </c>
      <c r="H83" s="64">
        <v>19.77</v>
      </c>
      <c r="I83" s="210" t="s">
        <v>43</v>
      </c>
      <c r="J83" s="64">
        <v>1.1599999999999999</v>
      </c>
      <c r="K83" s="64">
        <v>311.86</v>
      </c>
      <c r="L83" s="64">
        <v>16.27</v>
      </c>
      <c r="M83" s="64">
        <v>49.26</v>
      </c>
      <c r="N83" s="64">
        <v>52.1</v>
      </c>
      <c r="O83" s="64">
        <v>0</v>
      </c>
      <c r="P83" s="64">
        <v>0.85</v>
      </c>
      <c r="Q83" s="64">
        <v>8.84</v>
      </c>
      <c r="R83" s="198"/>
      <c r="S83" s="198"/>
      <c r="T83" s="198"/>
      <c r="U83" s="198"/>
    </row>
    <row r="84" spans="1:26" s="12" customFormat="1" x14ac:dyDescent="0.25">
      <c r="A84" s="214" t="s">
        <v>607</v>
      </c>
      <c r="B84" s="64">
        <v>37.53</v>
      </c>
      <c r="C84" s="64">
        <v>55.94</v>
      </c>
      <c r="D84" s="64">
        <v>57.94</v>
      </c>
      <c r="E84" s="64">
        <v>6.68</v>
      </c>
      <c r="F84" s="64">
        <v>2.13</v>
      </c>
      <c r="G84" s="64">
        <v>97.87</v>
      </c>
      <c r="H84" s="64">
        <v>21.79</v>
      </c>
      <c r="I84" s="210" t="s">
        <v>43</v>
      </c>
      <c r="J84" s="64">
        <v>1.03</v>
      </c>
      <c r="K84" s="64">
        <v>292.26</v>
      </c>
      <c r="L84" s="64">
        <v>15.82</v>
      </c>
      <c r="M84" s="64">
        <v>49.47</v>
      </c>
      <c r="N84" s="64">
        <v>52.4</v>
      </c>
      <c r="O84" s="64">
        <v>0</v>
      </c>
      <c r="P84" s="64">
        <v>0.89</v>
      </c>
      <c r="Q84" s="64">
        <v>8.94</v>
      </c>
      <c r="R84" s="198"/>
      <c r="S84" s="198"/>
      <c r="T84" s="198"/>
      <c r="U84" s="198"/>
    </row>
    <row r="85" spans="1:26" s="12" customFormat="1" x14ac:dyDescent="0.25">
      <c r="A85" s="214" t="s">
        <v>608</v>
      </c>
      <c r="B85" s="64">
        <v>41.38</v>
      </c>
      <c r="C85" s="64">
        <v>56.53</v>
      </c>
      <c r="D85" s="64">
        <v>61.34</v>
      </c>
      <c r="E85" s="64">
        <v>7.05</v>
      </c>
      <c r="F85" s="64">
        <v>2.13</v>
      </c>
      <c r="G85" s="64">
        <v>97.87</v>
      </c>
      <c r="H85" s="64">
        <v>21.79</v>
      </c>
      <c r="I85" s="210" t="s">
        <v>43</v>
      </c>
      <c r="J85" s="64">
        <v>0.97</v>
      </c>
      <c r="K85" s="64">
        <v>306.66000000000003</v>
      </c>
      <c r="L85" s="64">
        <v>15.39</v>
      </c>
      <c r="M85" s="64">
        <v>50.2</v>
      </c>
      <c r="N85" s="64">
        <v>52.4</v>
      </c>
      <c r="O85" s="64">
        <v>0</v>
      </c>
      <c r="P85" s="64">
        <v>0.9</v>
      </c>
      <c r="Q85" s="64">
        <v>9.1300000000000008</v>
      </c>
      <c r="R85" s="198"/>
      <c r="S85" s="198"/>
      <c r="T85" s="198"/>
      <c r="U85" s="198"/>
    </row>
    <row r="86" spans="1:26" s="12" customFormat="1" x14ac:dyDescent="0.25">
      <c r="A86" s="214" t="s">
        <v>609</v>
      </c>
      <c r="B86" s="64">
        <v>48.34</v>
      </c>
      <c r="C86" s="64">
        <v>56.91</v>
      </c>
      <c r="D86" s="64">
        <v>67.12</v>
      </c>
      <c r="E86" s="64">
        <v>7.35</v>
      </c>
      <c r="F86" s="64">
        <v>2.13</v>
      </c>
      <c r="G86" s="64">
        <v>97.87</v>
      </c>
      <c r="H86" s="64">
        <v>21.79</v>
      </c>
      <c r="I86" s="210" t="s">
        <v>43</v>
      </c>
      <c r="J86" s="64">
        <v>0.92</v>
      </c>
      <c r="K86" s="64">
        <v>329.03</v>
      </c>
      <c r="L86" s="64">
        <v>14.97</v>
      </c>
      <c r="M86" s="64">
        <v>54.84</v>
      </c>
      <c r="N86" s="64">
        <v>52.4</v>
      </c>
      <c r="O86" s="64">
        <v>0</v>
      </c>
      <c r="P86" s="64">
        <v>1.01</v>
      </c>
      <c r="Q86" s="64">
        <v>9.2799999999999994</v>
      </c>
      <c r="R86" s="198"/>
      <c r="S86" s="198"/>
      <c r="T86" s="198"/>
      <c r="U86" s="198"/>
    </row>
    <row r="87" spans="1:26" s="12" customFormat="1" x14ac:dyDescent="0.25">
      <c r="A87" s="214" t="s">
        <v>610</v>
      </c>
      <c r="B87" s="64">
        <v>56.86</v>
      </c>
      <c r="C87" s="64">
        <v>57.13</v>
      </c>
      <c r="D87" s="64">
        <v>74.069999999999993</v>
      </c>
      <c r="E87" s="64">
        <v>7.54</v>
      </c>
      <c r="F87" s="64">
        <v>2.13</v>
      </c>
      <c r="G87" s="64">
        <v>113.6</v>
      </c>
      <c r="H87" s="64">
        <v>25.23</v>
      </c>
      <c r="I87" s="210" t="s">
        <v>43</v>
      </c>
      <c r="J87" s="64">
        <v>0.86</v>
      </c>
      <c r="K87" s="64">
        <v>320.25</v>
      </c>
      <c r="L87" s="64">
        <v>14.56</v>
      </c>
      <c r="M87" s="64">
        <v>57.54</v>
      </c>
      <c r="N87" s="64">
        <v>52.5</v>
      </c>
      <c r="O87" s="64">
        <v>0</v>
      </c>
      <c r="P87" s="64">
        <v>1.27</v>
      </c>
      <c r="Q87" s="64">
        <v>9.36</v>
      </c>
      <c r="R87" s="198"/>
      <c r="S87" s="198"/>
      <c r="T87" s="198"/>
      <c r="U87" s="198"/>
    </row>
    <row r="88" spans="1:26" s="12" customFormat="1" x14ac:dyDescent="0.25">
      <c r="A88" s="214" t="s">
        <v>611</v>
      </c>
      <c r="B88" s="64">
        <v>67.44</v>
      </c>
      <c r="C88" s="64">
        <v>56.48</v>
      </c>
      <c r="D88" s="64">
        <v>82.21</v>
      </c>
      <c r="E88" s="64">
        <v>7.71</v>
      </c>
      <c r="F88" s="64">
        <v>2.13</v>
      </c>
      <c r="G88" s="64">
        <v>120.33</v>
      </c>
      <c r="H88" s="64">
        <v>26.7</v>
      </c>
      <c r="I88" s="210" t="s">
        <v>43</v>
      </c>
      <c r="J88" s="64">
        <v>0.98</v>
      </c>
      <c r="K88" s="64">
        <v>286.91000000000003</v>
      </c>
      <c r="L88" s="64">
        <v>14.26</v>
      </c>
      <c r="M88" s="64">
        <v>57.91</v>
      </c>
      <c r="N88" s="64">
        <v>52.5</v>
      </c>
      <c r="O88" s="64">
        <v>0</v>
      </c>
      <c r="P88" s="64">
        <v>1.48</v>
      </c>
      <c r="Q88" s="64">
        <v>9.43</v>
      </c>
      <c r="R88" s="198"/>
      <c r="S88" s="198"/>
      <c r="T88" s="198"/>
      <c r="U88" s="198"/>
    </row>
    <row r="89" spans="1:26" s="12" customFormat="1" x14ac:dyDescent="0.25">
      <c r="A89" s="214" t="s">
        <v>612</v>
      </c>
      <c r="B89" s="64">
        <v>77.150000000000006</v>
      </c>
      <c r="C89" s="64">
        <v>56.44</v>
      </c>
      <c r="D89" s="64">
        <v>89.98</v>
      </c>
      <c r="E89" s="64">
        <v>8.42</v>
      </c>
      <c r="F89" s="64">
        <v>2.13</v>
      </c>
      <c r="G89" s="64">
        <v>120.33</v>
      </c>
      <c r="H89" s="64">
        <v>26.7</v>
      </c>
      <c r="I89" s="210" t="s">
        <v>43</v>
      </c>
      <c r="J89" s="64">
        <v>1.02</v>
      </c>
      <c r="K89" s="64">
        <v>295.06</v>
      </c>
      <c r="L89" s="64">
        <v>13.99</v>
      </c>
      <c r="M89" s="64">
        <v>61.19</v>
      </c>
      <c r="N89" s="64">
        <v>52.4</v>
      </c>
      <c r="O89" s="64">
        <v>0</v>
      </c>
      <c r="P89" s="64">
        <v>1.74</v>
      </c>
      <c r="Q89" s="64">
        <v>9.5299999999999994</v>
      </c>
      <c r="R89" s="198"/>
      <c r="S89" s="198"/>
      <c r="T89" s="198"/>
      <c r="U89" s="198"/>
    </row>
    <row r="90" spans="1:26" s="12" customFormat="1" x14ac:dyDescent="0.25">
      <c r="A90" s="214" t="s">
        <v>613</v>
      </c>
      <c r="B90" s="64">
        <v>88.6</v>
      </c>
      <c r="C90" s="64">
        <v>55.83</v>
      </c>
      <c r="D90" s="64">
        <v>98.84</v>
      </c>
      <c r="E90" s="64">
        <v>8.92</v>
      </c>
      <c r="F90" s="64">
        <v>2.13</v>
      </c>
      <c r="G90" s="64">
        <v>120.33</v>
      </c>
      <c r="H90" s="64">
        <v>26.7</v>
      </c>
      <c r="I90" s="210" t="s">
        <v>43</v>
      </c>
      <c r="J90" s="64">
        <v>1.07</v>
      </c>
      <c r="K90" s="64">
        <v>295.01</v>
      </c>
      <c r="L90" s="64">
        <v>13.78</v>
      </c>
      <c r="M90" s="64">
        <v>64.11</v>
      </c>
      <c r="N90" s="64">
        <v>52.4</v>
      </c>
      <c r="O90" s="64">
        <v>0</v>
      </c>
      <c r="P90" s="64">
        <v>1.86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614</v>
      </c>
      <c r="B91" s="64">
        <v>99.68</v>
      </c>
      <c r="C91" s="64">
        <v>55.36</v>
      </c>
      <c r="D91" s="64">
        <v>107.48</v>
      </c>
      <c r="E91" s="64">
        <v>9.69</v>
      </c>
      <c r="F91" s="64">
        <v>2.13</v>
      </c>
      <c r="G91" s="64">
        <v>176.32</v>
      </c>
      <c r="H91" s="64">
        <v>34.590000000000003</v>
      </c>
      <c r="I91" s="210" t="s">
        <v>43</v>
      </c>
      <c r="J91" s="64">
        <v>1.02</v>
      </c>
      <c r="K91" s="64">
        <v>300.86</v>
      </c>
      <c r="L91" s="64">
        <v>13.5</v>
      </c>
      <c r="M91" s="64">
        <v>65.45</v>
      </c>
      <c r="N91" s="64">
        <v>52.6</v>
      </c>
      <c r="O91" s="64">
        <v>0</v>
      </c>
      <c r="P91" s="64">
        <v>1.6</v>
      </c>
      <c r="Q91" s="64">
        <v>9.7100000000000009</v>
      </c>
      <c r="R91" s="198"/>
      <c r="S91" s="198"/>
      <c r="T91" s="198"/>
      <c r="U91" s="198"/>
    </row>
    <row r="92" spans="1:26" s="12" customFormat="1" x14ac:dyDescent="0.25">
      <c r="A92" s="214" t="s">
        <v>615</v>
      </c>
      <c r="B92" s="64">
        <v>108.41</v>
      </c>
      <c r="C92" s="64">
        <v>54.69</v>
      </c>
      <c r="D92" s="64">
        <v>114.13</v>
      </c>
      <c r="E92" s="64">
        <v>9.9</v>
      </c>
      <c r="F92" s="64">
        <v>2.13</v>
      </c>
      <c r="G92" s="64">
        <v>200.31</v>
      </c>
      <c r="H92" s="64">
        <v>37.97</v>
      </c>
      <c r="I92" s="210" t="s">
        <v>43</v>
      </c>
      <c r="J92" s="64">
        <v>1.05</v>
      </c>
      <c r="K92" s="64">
        <v>291.38</v>
      </c>
      <c r="L92" s="64">
        <v>13.18</v>
      </c>
      <c r="M92" s="64">
        <v>65.930000000000007</v>
      </c>
      <c r="N92" s="64">
        <v>52.5</v>
      </c>
      <c r="O92" s="64">
        <v>0</v>
      </c>
      <c r="P92" s="64">
        <v>1.78</v>
      </c>
      <c r="Q92" s="64">
        <v>9.7899999999999991</v>
      </c>
      <c r="R92" s="198"/>
      <c r="S92" s="198"/>
      <c r="T92" s="198"/>
      <c r="U92" s="198"/>
    </row>
    <row r="93" spans="1:26" s="12" customFormat="1" x14ac:dyDescent="0.25">
      <c r="A93" s="214" t="s">
        <v>616</v>
      </c>
      <c r="B93" s="64">
        <v>117.56</v>
      </c>
      <c r="C93" s="64">
        <v>53.83</v>
      </c>
      <c r="D93" s="64">
        <v>121.02</v>
      </c>
      <c r="E93" s="64">
        <v>10.26</v>
      </c>
      <c r="F93" s="64">
        <v>2.13</v>
      </c>
      <c r="G93" s="64">
        <v>200.31</v>
      </c>
      <c r="H93" s="64">
        <v>37.97</v>
      </c>
      <c r="I93" s="210" t="s">
        <v>43</v>
      </c>
      <c r="J93" s="64">
        <v>0.71</v>
      </c>
      <c r="K93" s="64">
        <v>284.93</v>
      </c>
      <c r="L93" s="64">
        <v>13.05</v>
      </c>
      <c r="M93" s="64">
        <v>66.040000000000006</v>
      </c>
      <c r="N93" s="64">
        <v>52.6</v>
      </c>
      <c r="O93" s="64">
        <v>0</v>
      </c>
      <c r="P93" s="64">
        <v>2</v>
      </c>
      <c r="Q93" s="64">
        <v>9.8699999999999992</v>
      </c>
      <c r="R93" s="198"/>
      <c r="S93" s="198"/>
      <c r="T93" s="198"/>
      <c r="U93" s="198"/>
    </row>
    <row r="94" spans="1:26" s="12" customFormat="1" x14ac:dyDescent="0.25">
      <c r="A94" s="214" t="s">
        <v>617</v>
      </c>
      <c r="B94" s="64">
        <v>129.18</v>
      </c>
      <c r="C94" s="64">
        <v>53.56</v>
      </c>
      <c r="D94" s="64">
        <v>130.19999999999999</v>
      </c>
      <c r="E94" s="64">
        <v>10.9</v>
      </c>
      <c r="F94" s="64">
        <v>2.13</v>
      </c>
      <c r="G94" s="64">
        <v>200.31</v>
      </c>
      <c r="H94" s="64">
        <v>37.97</v>
      </c>
      <c r="I94" s="210" t="s">
        <v>43</v>
      </c>
      <c r="J94" s="64">
        <v>0.22</v>
      </c>
      <c r="K94" s="64">
        <v>165.77</v>
      </c>
      <c r="L94" s="64">
        <v>12.96</v>
      </c>
      <c r="M94" s="64">
        <v>67.41</v>
      </c>
      <c r="N94" s="64">
        <v>52.4</v>
      </c>
      <c r="O94" s="64">
        <v>0</v>
      </c>
      <c r="P94" s="64">
        <v>1.98</v>
      </c>
      <c r="Q94" s="64">
        <v>9.9499999999999993</v>
      </c>
      <c r="R94" s="198"/>
      <c r="S94" s="198"/>
      <c r="T94" s="198"/>
      <c r="U94" s="198"/>
    </row>
    <row r="95" spans="1:26" s="12" customFormat="1" x14ac:dyDescent="0.25">
      <c r="A95" s="214" t="s">
        <v>618</v>
      </c>
      <c r="B95" s="64">
        <v>143.91</v>
      </c>
      <c r="C95" s="64">
        <v>53.83</v>
      </c>
      <c r="D95" s="64">
        <v>142.15</v>
      </c>
      <c r="E95" s="64">
        <v>10.89</v>
      </c>
      <c r="F95" s="64">
        <v>2.13</v>
      </c>
      <c r="G95" s="64">
        <v>217.77</v>
      </c>
      <c r="H95" s="64">
        <v>41.69</v>
      </c>
      <c r="I95" s="210" t="s">
        <v>43</v>
      </c>
      <c r="J95" s="64">
        <v>1.01</v>
      </c>
      <c r="K95" s="64">
        <v>296.08999999999997</v>
      </c>
      <c r="L95" s="64">
        <v>12.84</v>
      </c>
      <c r="M95" s="64">
        <v>71.849999999999994</v>
      </c>
      <c r="N95" s="64">
        <v>52.6</v>
      </c>
      <c r="O95" s="64">
        <v>0</v>
      </c>
      <c r="P95" s="64">
        <v>1.81</v>
      </c>
      <c r="Q95" s="64">
        <v>10.06</v>
      </c>
      <c r="R95" s="198"/>
      <c r="S95" s="198"/>
      <c r="T95" s="198"/>
      <c r="U95" s="198"/>
    </row>
    <row r="96" spans="1:26" s="12" customFormat="1" x14ac:dyDescent="0.25">
      <c r="A96" s="214" t="s">
        <v>619</v>
      </c>
      <c r="B96" s="64">
        <v>163.03</v>
      </c>
      <c r="C96" s="64">
        <v>53.41</v>
      </c>
      <c r="D96" s="64">
        <v>157.27000000000001</v>
      </c>
      <c r="E96" s="64">
        <v>11.07</v>
      </c>
      <c r="F96" s="64">
        <v>2.13</v>
      </c>
      <c r="G96" s="64">
        <v>225.25</v>
      </c>
      <c r="H96" s="64">
        <v>43.29</v>
      </c>
      <c r="I96" s="210" t="s">
        <v>43</v>
      </c>
      <c r="J96" s="64">
        <v>1.01</v>
      </c>
      <c r="K96" s="64">
        <v>305.14999999999998</v>
      </c>
      <c r="L96" s="64">
        <v>12.53</v>
      </c>
      <c r="M96" s="64">
        <v>76.209999999999994</v>
      </c>
      <c r="N96" s="64">
        <v>52.7</v>
      </c>
      <c r="O96" s="64">
        <v>0</v>
      </c>
      <c r="P96" s="64">
        <v>1.93</v>
      </c>
      <c r="Q96" s="64">
        <v>10.14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620</v>
      </c>
      <c r="B97" s="64">
        <v>187.47</v>
      </c>
      <c r="C97" s="64">
        <v>53.01</v>
      </c>
      <c r="D97" s="64">
        <v>176.65</v>
      </c>
      <c r="E97" s="64">
        <v>11.7</v>
      </c>
      <c r="F97" s="64">
        <v>2.13</v>
      </c>
      <c r="G97" s="64">
        <v>225.25</v>
      </c>
      <c r="H97" s="64">
        <v>43.29</v>
      </c>
      <c r="I97" s="210" t="s">
        <v>43</v>
      </c>
      <c r="J97" s="64">
        <v>0.98</v>
      </c>
      <c r="K97" s="64">
        <v>267.05</v>
      </c>
      <c r="L97" s="64">
        <v>12.39</v>
      </c>
      <c r="M97" s="64">
        <v>77.040000000000006</v>
      </c>
      <c r="N97" s="64">
        <v>52.8</v>
      </c>
      <c r="O97" s="64">
        <v>0</v>
      </c>
      <c r="P97" s="64">
        <v>2.11</v>
      </c>
      <c r="Q97" s="64">
        <v>10.25</v>
      </c>
      <c r="R97" s="198"/>
      <c r="S97" s="198"/>
      <c r="T97" s="198"/>
      <c r="U97" s="198"/>
    </row>
    <row r="98" spans="1:33" s="12" customFormat="1" x14ac:dyDescent="0.25">
      <c r="A98" s="214" t="s">
        <v>621</v>
      </c>
      <c r="B98" s="64">
        <v>211.6</v>
      </c>
      <c r="C98" s="64">
        <v>53.67</v>
      </c>
      <c r="D98" s="64">
        <v>196.35</v>
      </c>
      <c r="E98" s="64">
        <v>12.43</v>
      </c>
      <c r="F98" s="64">
        <v>2.13</v>
      </c>
      <c r="G98" s="64">
        <v>225.25</v>
      </c>
      <c r="H98" s="64">
        <v>43.29</v>
      </c>
      <c r="I98" s="210" t="s">
        <v>43</v>
      </c>
      <c r="J98" s="64">
        <v>1.01</v>
      </c>
      <c r="K98" s="64">
        <v>344.04</v>
      </c>
      <c r="L98" s="64">
        <v>12.23</v>
      </c>
      <c r="M98" s="64">
        <v>81.97</v>
      </c>
      <c r="N98" s="64">
        <v>52.7</v>
      </c>
      <c r="O98" s="64">
        <v>0</v>
      </c>
      <c r="P98" s="64">
        <v>2.2400000000000002</v>
      </c>
      <c r="Q98" s="64">
        <v>10.37</v>
      </c>
      <c r="R98" s="198"/>
      <c r="S98" s="198"/>
      <c r="T98" s="198"/>
      <c r="U98" s="198"/>
    </row>
    <row r="99" spans="1:33" s="12" customFormat="1" x14ac:dyDescent="0.25">
      <c r="A99" s="214" t="s">
        <v>622</v>
      </c>
      <c r="B99" s="64">
        <v>231.67</v>
      </c>
      <c r="C99" s="64">
        <v>52.68</v>
      </c>
      <c r="D99" s="64">
        <v>211.93</v>
      </c>
      <c r="E99" s="64">
        <v>12.39</v>
      </c>
      <c r="F99" s="64">
        <v>2.13</v>
      </c>
      <c r="G99" s="64">
        <v>250.77</v>
      </c>
      <c r="H99" s="64">
        <v>50.26</v>
      </c>
      <c r="I99" s="210" t="s">
        <v>43</v>
      </c>
      <c r="J99" s="64">
        <v>0.93</v>
      </c>
      <c r="K99" s="64">
        <v>325.07</v>
      </c>
      <c r="L99" s="64">
        <v>12.1</v>
      </c>
      <c r="M99" s="64">
        <v>84.05</v>
      </c>
      <c r="N99" s="64">
        <v>52.7</v>
      </c>
      <c r="O99" s="64">
        <v>0</v>
      </c>
      <c r="P99" s="64">
        <v>2.37</v>
      </c>
      <c r="Q99" s="64">
        <v>10.55</v>
      </c>
      <c r="R99" s="198"/>
      <c r="S99" s="198"/>
      <c r="T99" s="198"/>
      <c r="U99" s="198"/>
    </row>
    <row r="100" spans="1:33" s="12" customFormat="1" x14ac:dyDescent="0.25">
      <c r="A100" s="214" t="s">
        <v>623</v>
      </c>
      <c r="B100" s="64">
        <v>249.29</v>
      </c>
      <c r="C100" s="64">
        <v>51.99</v>
      </c>
      <c r="D100" s="64">
        <v>225.7</v>
      </c>
      <c r="E100" s="64">
        <v>12.54</v>
      </c>
      <c r="F100" s="64">
        <v>2.13</v>
      </c>
      <c r="G100" s="64">
        <v>261.70999999999998</v>
      </c>
      <c r="H100" s="64">
        <v>53.24</v>
      </c>
      <c r="I100" s="210" t="s">
        <v>43</v>
      </c>
      <c r="J100" s="64">
        <v>0.99</v>
      </c>
      <c r="K100" s="64">
        <v>316.98</v>
      </c>
      <c r="L100" s="64">
        <v>11.88</v>
      </c>
      <c r="M100" s="64">
        <v>80.66</v>
      </c>
      <c r="N100" s="64">
        <v>52.8</v>
      </c>
      <c r="O100" s="64">
        <v>0</v>
      </c>
      <c r="P100" s="64">
        <v>2.5099999999999998</v>
      </c>
      <c r="Q100" s="64">
        <v>10.62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624</v>
      </c>
      <c r="B101" s="64">
        <v>261.45999999999998</v>
      </c>
      <c r="C101" s="64">
        <v>51.8</v>
      </c>
      <c r="D101" s="64">
        <v>235.36</v>
      </c>
      <c r="E101" s="64">
        <v>13.04</v>
      </c>
      <c r="F101" s="64">
        <v>2.13</v>
      </c>
      <c r="G101" s="64">
        <v>261.70999999999998</v>
      </c>
      <c r="H101" s="64">
        <v>53.24</v>
      </c>
      <c r="I101" s="210" t="s">
        <v>43</v>
      </c>
      <c r="J101" s="64">
        <v>1.04</v>
      </c>
      <c r="K101" s="64">
        <v>337.27</v>
      </c>
      <c r="L101" s="64">
        <v>11.69</v>
      </c>
      <c r="M101" s="64">
        <v>85.77</v>
      </c>
      <c r="N101" s="64">
        <v>52.8</v>
      </c>
      <c r="O101" s="64">
        <v>0</v>
      </c>
      <c r="P101" s="64">
        <v>2.61</v>
      </c>
      <c r="Q101" s="64">
        <v>10.72</v>
      </c>
      <c r="R101" s="198"/>
      <c r="S101" s="198"/>
      <c r="T101" s="198"/>
      <c r="U101" s="198"/>
    </row>
    <row r="102" spans="1:33" s="12" customFormat="1" x14ac:dyDescent="0.25">
      <c r="A102" s="214" t="s">
        <v>625</v>
      </c>
      <c r="B102" s="64">
        <v>271.85000000000002</v>
      </c>
      <c r="C102" s="64">
        <v>50.83</v>
      </c>
      <c r="D102" s="64">
        <v>243.19</v>
      </c>
      <c r="E102" s="64">
        <v>13.81</v>
      </c>
      <c r="F102" s="64">
        <v>2.13</v>
      </c>
      <c r="G102" s="64">
        <v>261.70999999999998</v>
      </c>
      <c r="H102" s="64">
        <v>53.24</v>
      </c>
      <c r="I102" s="210" t="s">
        <v>43</v>
      </c>
      <c r="J102" s="64">
        <v>0.96</v>
      </c>
      <c r="K102" s="64">
        <v>312.04000000000002</v>
      </c>
      <c r="L102" s="64">
        <v>11.48</v>
      </c>
      <c r="M102" s="64">
        <v>84.42</v>
      </c>
      <c r="N102" s="64">
        <v>52.9</v>
      </c>
      <c r="O102" s="64">
        <v>0</v>
      </c>
      <c r="P102" s="64">
        <v>2.71</v>
      </c>
      <c r="Q102" s="64">
        <v>10.85</v>
      </c>
      <c r="R102" s="198"/>
      <c r="S102" s="198"/>
      <c r="T102" s="198"/>
      <c r="U102" s="198"/>
    </row>
    <row r="103" spans="1:33" s="12" customFormat="1" x14ac:dyDescent="0.25">
      <c r="A103" s="214" t="s">
        <v>626</v>
      </c>
      <c r="B103" s="64">
        <v>278.61</v>
      </c>
      <c r="C103" s="64">
        <v>49.5</v>
      </c>
      <c r="D103" s="64">
        <v>247.91</v>
      </c>
      <c r="E103" s="64">
        <v>13.76</v>
      </c>
      <c r="F103" s="64">
        <v>2.13</v>
      </c>
      <c r="G103" s="64">
        <v>229.06</v>
      </c>
      <c r="H103" s="64">
        <v>57.03</v>
      </c>
      <c r="I103" s="210" t="s">
        <v>43</v>
      </c>
      <c r="J103" s="64">
        <v>1.02</v>
      </c>
      <c r="K103" s="64">
        <v>317.85000000000002</v>
      </c>
      <c r="L103" s="64">
        <v>11.38</v>
      </c>
      <c r="M103" s="64">
        <v>84.48</v>
      </c>
      <c r="N103" s="64">
        <v>52.8</v>
      </c>
      <c r="O103" s="64">
        <v>0</v>
      </c>
      <c r="P103" s="64">
        <v>2.79</v>
      </c>
      <c r="Q103" s="64">
        <v>10.92</v>
      </c>
      <c r="R103" s="198"/>
      <c r="S103" s="198"/>
      <c r="T103" s="198"/>
      <c r="U103" s="198"/>
    </row>
    <row r="104" spans="1:33" s="12" customFormat="1" x14ac:dyDescent="0.25">
      <c r="A104" s="214" t="s">
        <v>627</v>
      </c>
      <c r="B104" s="64">
        <v>287.88</v>
      </c>
      <c r="C104" s="64">
        <v>47.59</v>
      </c>
      <c r="D104" s="64">
        <v>254.35</v>
      </c>
      <c r="E104" s="64">
        <v>10.74</v>
      </c>
      <c r="F104" s="64">
        <v>2.13</v>
      </c>
      <c r="G104" s="64">
        <v>215.06</v>
      </c>
      <c r="H104" s="64">
        <v>58.65</v>
      </c>
      <c r="I104" s="210" t="s">
        <v>43</v>
      </c>
      <c r="J104" s="64">
        <v>1.03</v>
      </c>
      <c r="K104" s="64">
        <v>308.39999999999998</v>
      </c>
      <c r="L104" s="64">
        <v>11.32</v>
      </c>
      <c r="M104" s="64">
        <v>90.73</v>
      </c>
      <c r="N104" s="64">
        <v>52.9</v>
      </c>
      <c r="O104" s="64">
        <v>0</v>
      </c>
      <c r="P104" s="64">
        <v>2.93</v>
      </c>
      <c r="Q104" s="64">
        <v>10.97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21.23</v>
      </c>
      <c r="C106" s="67">
        <f>MIN(C9:C104)</f>
        <v>38.43</v>
      </c>
      <c r="D106" s="67">
        <f t="shared" ref="D106:Q106" si="0">MIN(D9:D104)</f>
        <v>44.04</v>
      </c>
      <c r="E106" s="67">
        <f t="shared" si="0"/>
        <v>4.0999999999999996</v>
      </c>
      <c r="F106" s="67">
        <f t="shared" si="0"/>
        <v>2.13</v>
      </c>
      <c r="G106" s="67">
        <f t="shared" si="0"/>
        <v>45.12</v>
      </c>
      <c r="H106" s="67">
        <f t="shared" si="0"/>
        <v>12.86</v>
      </c>
      <c r="I106" s="67">
        <f t="shared" si="0"/>
        <v>0</v>
      </c>
      <c r="J106" s="67">
        <f t="shared" si="0"/>
        <v>0.13</v>
      </c>
      <c r="K106" s="67">
        <f t="shared" si="0"/>
        <v>0.51</v>
      </c>
      <c r="L106" s="67">
        <f t="shared" si="0"/>
        <v>8.18</v>
      </c>
      <c r="M106" s="67">
        <f t="shared" si="0"/>
        <v>18.2</v>
      </c>
      <c r="N106" s="67">
        <f t="shared" si="0"/>
        <v>52.1</v>
      </c>
      <c r="O106" s="67">
        <f t="shared" si="0"/>
        <v>0</v>
      </c>
      <c r="P106" s="67">
        <f t="shared" si="0"/>
        <v>0.6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287.88</v>
      </c>
      <c r="C107" s="66">
        <f t="shared" ref="C107:Q107" si="1">MAX(C9:C104)</f>
        <v>57.64</v>
      </c>
      <c r="D107" s="66">
        <f t="shared" si="1"/>
        <v>254.35</v>
      </c>
      <c r="E107" s="66">
        <f t="shared" si="1"/>
        <v>13.81</v>
      </c>
      <c r="F107" s="66">
        <f t="shared" si="1"/>
        <v>2.13</v>
      </c>
      <c r="G107" s="66">
        <f t="shared" si="1"/>
        <v>261.70999999999998</v>
      </c>
      <c r="H107" s="66">
        <f t="shared" si="1"/>
        <v>65.28</v>
      </c>
      <c r="I107" s="66">
        <f t="shared" si="1"/>
        <v>0</v>
      </c>
      <c r="J107" s="66">
        <f t="shared" si="1"/>
        <v>2.6</v>
      </c>
      <c r="K107" s="66">
        <f t="shared" si="1"/>
        <v>355.81</v>
      </c>
      <c r="L107" s="66">
        <f t="shared" si="1"/>
        <v>27.77</v>
      </c>
      <c r="M107" s="66">
        <f t="shared" si="1"/>
        <v>97.25</v>
      </c>
      <c r="N107" s="66">
        <f t="shared" si="1"/>
        <v>835.2</v>
      </c>
      <c r="O107" s="66">
        <f t="shared" si="1"/>
        <v>0</v>
      </c>
      <c r="P107" s="66">
        <f t="shared" si="1"/>
        <v>2.93</v>
      </c>
      <c r="Q107" s="66">
        <f t="shared" si="1"/>
        <v>10.97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106.26854166666668</v>
      </c>
      <c r="C108" s="67">
        <f t="shared" ref="C108:Q108" si="2">AVERAGE(C9:C104)</f>
        <v>49.285416666666656</v>
      </c>
      <c r="D108" s="67">
        <f t="shared" si="2"/>
        <v>109.59843750000003</v>
      </c>
      <c r="E108" s="67">
        <f t="shared" si="2"/>
        <v>7.525416666666664</v>
      </c>
      <c r="F108" s="67">
        <f t="shared" si="2"/>
        <v>2.1299999999999972</v>
      </c>
      <c r="G108" s="67">
        <f t="shared" si="2"/>
        <v>113.23770833333327</v>
      </c>
      <c r="H108" s="67">
        <f t="shared" si="2"/>
        <v>32.180833333333332</v>
      </c>
      <c r="I108" s="67" t="e">
        <f t="shared" si="2"/>
        <v>#DIV/0!</v>
      </c>
      <c r="J108" s="67">
        <f t="shared" si="2"/>
        <v>1.1860416666666669</v>
      </c>
      <c r="K108" s="67">
        <f t="shared" si="2"/>
        <v>275.8810416666667</v>
      </c>
      <c r="L108" s="67">
        <f t="shared" si="2"/>
        <v>16.372812499999998</v>
      </c>
      <c r="M108" s="67">
        <f t="shared" si="2"/>
        <v>57.474062499999995</v>
      </c>
      <c r="N108" s="67">
        <f t="shared" si="2"/>
        <v>217.84791666666675</v>
      </c>
      <c r="O108" s="67">
        <f t="shared" si="2"/>
        <v>0</v>
      </c>
      <c r="P108" s="67">
        <f t="shared" si="2"/>
        <v>1.3544791666666669</v>
      </c>
      <c r="Q108" s="67">
        <f t="shared" si="2"/>
        <v>9.6031250000000021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68.963643815978813</v>
      </c>
      <c r="C109" s="67">
        <f t="shared" ref="C109:Q109" si="3">STDEV(C9:C104)</f>
        <v>6.4337460507556994</v>
      </c>
      <c r="D109" s="67">
        <f t="shared" si="3"/>
        <v>53.810312890024782</v>
      </c>
      <c r="E109" s="67">
        <f t="shared" si="3"/>
        <v>2.1755618350774704</v>
      </c>
      <c r="F109" s="67">
        <f t="shared" si="3"/>
        <v>2.678522416932523E-15</v>
      </c>
      <c r="G109" s="67">
        <f t="shared" si="3"/>
        <v>59.403146407526634</v>
      </c>
      <c r="H109" s="67">
        <f t="shared" si="3"/>
        <v>13.301545273638945</v>
      </c>
      <c r="I109" s="67" t="e">
        <f t="shared" si="3"/>
        <v>#DIV/0!</v>
      </c>
      <c r="J109" s="67">
        <f t="shared" si="3"/>
        <v>0.59840925824294922</v>
      </c>
      <c r="K109" s="67">
        <f t="shared" si="3"/>
        <v>82.993443437661369</v>
      </c>
      <c r="L109" s="67">
        <f t="shared" si="3"/>
        <v>6.690943242941402</v>
      </c>
      <c r="M109" s="67">
        <f t="shared" si="3"/>
        <v>28.38035308478571</v>
      </c>
      <c r="N109" s="67">
        <f t="shared" si="3"/>
        <v>264.14284531755925</v>
      </c>
      <c r="O109" s="67">
        <f t="shared" si="3"/>
        <v>0</v>
      </c>
      <c r="P109" s="67">
        <f t="shared" si="3"/>
        <v>0.57673649878873279</v>
      </c>
      <c r="Q109" s="67">
        <f t="shared" si="3"/>
        <v>0.75826021432723112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24" sqref="I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628</v>
      </c>
      <c r="B9" s="64">
        <v>293.81</v>
      </c>
      <c r="C9" s="64">
        <v>46.65</v>
      </c>
      <c r="D9" s="64">
        <v>258.61</v>
      </c>
      <c r="E9" s="64">
        <v>12.29</v>
      </c>
      <c r="F9" s="64">
        <v>2.13</v>
      </c>
      <c r="G9" s="64">
        <v>215.06</v>
      </c>
      <c r="H9" s="64">
        <v>58.65</v>
      </c>
      <c r="I9" s="210" t="s">
        <v>43</v>
      </c>
      <c r="J9" s="64">
        <v>1.03</v>
      </c>
      <c r="K9" s="64">
        <v>308.70999999999998</v>
      </c>
      <c r="L9" s="64">
        <v>11.16</v>
      </c>
      <c r="M9" s="64">
        <v>86.61</v>
      </c>
      <c r="N9" s="64">
        <v>52.8</v>
      </c>
      <c r="O9" s="64">
        <v>0</v>
      </c>
      <c r="P9" s="64">
        <v>2.92</v>
      </c>
      <c r="Q9" s="64">
        <v>11.09</v>
      </c>
      <c r="R9" s="198"/>
      <c r="S9" s="198"/>
      <c r="T9" s="198"/>
      <c r="U9" s="198"/>
    </row>
    <row r="10" spans="1:21" s="12" customFormat="1" x14ac:dyDescent="0.25">
      <c r="A10" s="214" t="s">
        <v>629</v>
      </c>
      <c r="B10" s="64">
        <v>294.08999999999997</v>
      </c>
      <c r="C10" s="64">
        <v>46.5</v>
      </c>
      <c r="D10" s="64">
        <v>258.76</v>
      </c>
      <c r="E10" s="64">
        <v>11.43</v>
      </c>
      <c r="F10" s="64">
        <v>2.13</v>
      </c>
      <c r="G10" s="64">
        <v>215.06</v>
      </c>
      <c r="H10" s="64">
        <v>58.65</v>
      </c>
      <c r="I10" s="210" t="s">
        <v>43</v>
      </c>
      <c r="J10" s="64">
        <v>0.91</v>
      </c>
      <c r="K10" s="64">
        <v>267.35000000000002</v>
      </c>
      <c r="L10" s="64">
        <v>11.38</v>
      </c>
      <c r="M10" s="64">
        <v>79.55</v>
      </c>
      <c r="N10" s="64">
        <v>52.6</v>
      </c>
      <c r="O10" s="64">
        <v>0</v>
      </c>
      <c r="P10" s="64">
        <v>2.91</v>
      </c>
      <c r="Q10" s="64">
        <v>11.15</v>
      </c>
      <c r="R10" s="198"/>
      <c r="S10" s="198"/>
      <c r="T10" s="198"/>
      <c r="U10" s="198"/>
    </row>
    <row r="11" spans="1:21" s="12" customFormat="1" x14ac:dyDescent="0.25">
      <c r="A11" s="214" t="s">
        <v>630</v>
      </c>
      <c r="B11" s="64">
        <v>289.44</v>
      </c>
      <c r="C11" s="64">
        <v>46.19</v>
      </c>
      <c r="D11" s="64">
        <v>254.86</v>
      </c>
      <c r="E11" s="64">
        <v>11.17</v>
      </c>
      <c r="F11" s="64">
        <v>2.13</v>
      </c>
      <c r="G11" s="64">
        <v>186.92</v>
      </c>
      <c r="H11" s="64">
        <v>58.91</v>
      </c>
      <c r="I11" s="210" t="s">
        <v>43</v>
      </c>
      <c r="J11" s="64">
        <v>0.87</v>
      </c>
      <c r="K11" s="64">
        <v>260.76</v>
      </c>
      <c r="L11" s="64">
        <v>11.67</v>
      </c>
      <c r="M11" s="64">
        <v>72.3</v>
      </c>
      <c r="N11" s="64">
        <v>52.6</v>
      </c>
      <c r="O11" s="64">
        <v>0</v>
      </c>
      <c r="P11" s="64">
        <v>2.81</v>
      </c>
      <c r="Q11" s="64">
        <v>11.13</v>
      </c>
      <c r="R11" s="198"/>
      <c r="S11" s="198"/>
      <c r="T11" s="198"/>
      <c r="U11" s="198"/>
    </row>
    <row r="12" spans="1:21" s="12" customFormat="1" x14ac:dyDescent="0.25">
      <c r="A12" s="214" t="s">
        <v>631</v>
      </c>
      <c r="B12" s="64">
        <v>281.95</v>
      </c>
      <c r="C12" s="64">
        <v>45.31</v>
      </c>
      <c r="D12" s="64">
        <v>248.4</v>
      </c>
      <c r="E12" s="64">
        <v>11.33</v>
      </c>
      <c r="F12" s="64">
        <v>2.13</v>
      </c>
      <c r="G12" s="64">
        <v>174.46</v>
      </c>
      <c r="H12" s="64">
        <v>59.02</v>
      </c>
      <c r="I12" s="210" t="s">
        <v>43</v>
      </c>
      <c r="J12" s="64">
        <v>1.03</v>
      </c>
      <c r="K12" s="64">
        <v>217.96</v>
      </c>
      <c r="L12" s="64">
        <v>11.76</v>
      </c>
      <c r="M12" s="64">
        <v>72.64</v>
      </c>
      <c r="N12" s="64">
        <v>52.7</v>
      </c>
      <c r="O12" s="64">
        <v>0</v>
      </c>
      <c r="P12" s="64">
        <v>2.81</v>
      </c>
      <c r="Q12" s="64">
        <v>11.1</v>
      </c>
      <c r="R12" s="198"/>
      <c r="S12" s="198"/>
      <c r="T12" s="198"/>
      <c r="U12" s="198"/>
    </row>
    <row r="13" spans="1:21" s="12" customFormat="1" x14ac:dyDescent="0.25">
      <c r="A13" s="214" t="s">
        <v>632</v>
      </c>
      <c r="B13" s="64">
        <v>272.69</v>
      </c>
      <c r="C13" s="64">
        <v>44.53</v>
      </c>
      <c r="D13" s="64">
        <v>240.56</v>
      </c>
      <c r="E13" s="64">
        <v>10.91</v>
      </c>
      <c r="F13" s="64">
        <v>2.13</v>
      </c>
      <c r="G13" s="64">
        <v>174.46</v>
      </c>
      <c r="H13" s="64">
        <v>59.02</v>
      </c>
      <c r="I13" s="210" t="s">
        <v>43</v>
      </c>
      <c r="J13" s="64">
        <v>0.62</v>
      </c>
      <c r="K13" s="64">
        <v>333.18</v>
      </c>
      <c r="L13" s="64">
        <v>11.32</v>
      </c>
      <c r="M13" s="64">
        <v>77.099999999999994</v>
      </c>
      <c r="N13" s="64">
        <v>53.1</v>
      </c>
      <c r="O13" s="64">
        <v>0</v>
      </c>
      <c r="P13" s="64">
        <v>2.34</v>
      </c>
      <c r="Q13" s="64">
        <v>11.04</v>
      </c>
      <c r="R13" s="198"/>
      <c r="S13" s="198"/>
      <c r="T13" s="198"/>
      <c r="U13" s="198"/>
    </row>
    <row r="14" spans="1:21" s="12" customFormat="1" x14ac:dyDescent="0.25">
      <c r="A14" s="214" t="s">
        <v>633</v>
      </c>
      <c r="B14" s="64">
        <v>262.74</v>
      </c>
      <c r="C14" s="64">
        <v>44.36</v>
      </c>
      <c r="D14" s="64">
        <v>232.5</v>
      </c>
      <c r="E14" s="64">
        <v>10.71</v>
      </c>
      <c r="F14" s="64">
        <v>2.13</v>
      </c>
      <c r="G14" s="64">
        <v>174.46</v>
      </c>
      <c r="H14" s="64">
        <v>59.02</v>
      </c>
      <c r="I14" s="210" t="s">
        <v>43</v>
      </c>
      <c r="J14" s="64">
        <v>0.59</v>
      </c>
      <c r="K14" s="64">
        <v>310.29000000000002</v>
      </c>
      <c r="L14" s="64">
        <v>10.79</v>
      </c>
      <c r="M14" s="64">
        <v>80.989999999999995</v>
      </c>
      <c r="N14" s="64">
        <v>52.9</v>
      </c>
      <c r="O14" s="64">
        <v>0</v>
      </c>
      <c r="P14" s="64">
        <v>2.38</v>
      </c>
      <c r="Q14" s="64">
        <v>11.02</v>
      </c>
      <c r="R14" s="198"/>
      <c r="S14" s="198"/>
      <c r="T14" s="198"/>
      <c r="U14" s="198"/>
    </row>
    <row r="15" spans="1:21" s="12" customFormat="1" x14ac:dyDescent="0.25">
      <c r="A15" s="214" t="s">
        <v>634</v>
      </c>
      <c r="B15" s="64">
        <v>253.94</v>
      </c>
      <c r="C15" s="64">
        <v>44.1</v>
      </c>
      <c r="D15" s="64">
        <v>225.31</v>
      </c>
      <c r="E15" s="64">
        <v>10.72</v>
      </c>
      <c r="F15" s="64">
        <v>2.13</v>
      </c>
      <c r="G15" s="64">
        <v>144.12</v>
      </c>
      <c r="H15" s="64">
        <v>53.19</v>
      </c>
      <c r="I15" s="210" t="s">
        <v>43</v>
      </c>
      <c r="J15" s="64">
        <v>0.65</v>
      </c>
      <c r="K15" s="64">
        <v>275.16000000000003</v>
      </c>
      <c r="L15" s="64">
        <v>10.59</v>
      </c>
      <c r="M15" s="64">
        <v>85.4</v>
      </c>
      <c r="N15" s="64">
        <v>52.8</v>
      </c>
      <c r="O15" s="64">
        <v>0</v>
      </c>
      <c r="P15" s="64">
        <v>2.2999999999999998</v>
      </c>
      <c r="Q15" s="64">
        <v>10.94</v>
      </c>
      <c r="R15" s="198"/>
      <c r="S15" s="198"/>
      <c r="T15" s="198"/>
      <c r="U15" s="198"/>
    </row>
    <row r="16" spans="1:21" s="12" customFormat="1" x14ac:dyDescent="0.25">
      <c r="A16" s="214" t="s">
        <v>635</v>
      </c>
      <c r="B16" s="64">
        <v>245.83</v>
      </c>
      <c r="C16" s="64">
        <v>43.17</v>
      </c>
      <c r="D16" s="64">
        <v>218.31</v>
      </c>
      <c r="E16" s="64">
        <v>10.130000000000001</v>
      </c>
      <c r="F16" s="64">
        <v>2.13</v>
      </c>
      <c r="G16" s="64">
        <v>131.12</v>
      </c>
      <c r="H16" s="64">
        <v>50.55</v>
      </c>
      <c r="I16" s="210" t="s">
        <v>43</v>
      </c>
      <c r="J16" s="64">
        <v>1.04</v>
      </c>
      <c r="K16" s="64">
        <v>238.41</v>
      </c>
      <c r="L16" s="64">
        <v>10.47</v>
      </c>
      <c r="M16" s="64">
        <v>87.17</v>
      </c>
      <c r="N16" s="64">
        <v>52.9</v>
      </c>
      <c r="O16" s="64">
        <v>0</v>
      </c>
      <c r="P16" s="64">
        <v>2.25</v>
      </c>
      <c r="Q16" s="64">
        <v>10.85</v>
      </c>
      <c r="R16" s="198"/>
      <c r="S16" s="198"/>
      <c r="T16" s="198"/>
      <c r="U16" s="198"/>
    </row>
    <row r="17" spans="1:21" s="12" customFormat="1" x14ac:dyDescent="0.25">
      <c r="A17" s="214" t="s">
        <v>636</v>
      </c>
      <c r="B17" s="64">
        <v>235.67</v>
      </c>
      <c r="C17" s="64">
        <v>42.75</v>
      </c>
      <c r="D17" s="64">
        <v>209.95</v>
      </c>
      <c r="E17" s="64">
        <v>9.58</v>
      </c>
      <c r="F17" s="64">
        <v>2.13</v>
      </c>
      <c r="G17" s="64">
        <v>131.12</v>
      </c>
      <c r="H17" s="64">
        <v>50.55</v>
      </c>
      <c r="I17" s="210" t="s">
        <v>43</v>
      </c>
      <c r="J17" s="64">
        <v>0.89</v>
      </c>
      <c r="K17" s="64">
        <v>274.36</v>
      </c>
      <c r="L17" s="64">
        <v>10.17</v>
      </c>
      <c r="M17" s="64">
        <v>89.53</v>
      </c>
      <c r="N17" s="64">
        <v>53.1</v>
      </c>
      <c r="O17" s="64">
        <v>0</v>
      </c>
      <c r="P17" s="64">
        <v>2.1800000000000002</v>
      </c>
      <c r="Q17" s="64">
        <v>10.75</v>
      </c>
      <c r="R17" s="198"/>
      <c r="S17" s="198"/>
      <c r="T17" s="198"/>
      <c r="U17" s="198"/>
    </row>
    <row r="18" spans="1:21" s="12" customFormat="1" x14ac:dyDescent="0.25">
      <c r="A18" s="214" t="s">
        <v>637</v>
      </c>
      <c r="B18" s="64">
        <v>225.57</v>
      </c>
      <c r="C18" s="64">
        <v>42.21</v>
      </c>
      <c r="D18" s="64">
        <v>201.57</v>
      </c>
      <c r="E18" s="64">
        <v>9.4700000000000006</v>
      </c>
      <c r="F18" s="64">
        <v>2.13</v>
      </c>
      <c r="G18" s="64">
        <v>131.12</v>
      </c>
      <c r="H18" s="64">
        <v>50.55</v>
      </c>
      <c r="I18" s="210" t="s">
        <v>43</v>
      </c>
      <c r="J18" s="64">
        <v>0.46</v>
      </c>
      <c r="K18" s="64">
        <v>68.94</v>
      </c>
      <c r="L18" s="64">
        <v>9.74</v>
      </c>
      <c r="M18" s="64">
        <v>93.36</v>
      </c>
      <c r="N18" s="64">
        <v>53.1</v>
      </c>
      <c r="O18" s="64">
        <v>0</v>
      </c>
      <c r="P18" s="64">
        <v>2.09</v>
      </c>
      <c r="Q18" s="64">
        <v>10.65</v>
      </c>
      <c r="R18" s="198"/>
      <c r="S18" s="198"/>
      <c r="T18" s="198"/>
      <c r="U18" s="198"/>
    </row>
    <row r="19" spans="1:21" s="12" customFormat="1" x14ac:dyDescent="0.25">
      <c r="A19" s="214" t="s">
        <v>638</v>
      </c>
      <c r="B19" s="64">
        <v>216.28</v>
      </c>
      <c r="C19" s="64">
        <v>41.89</v>
      </c>
      <c r="D19" s="64">
        <v>193.95</v>
      </c>
      <c r="E19" s="64">
        <v>9.0399999999999991</v>
      </c>
      <c r="F19" s="64">
        <v>2.13</v>
      </c>
      <c r="G19" s="64">
        <v>109.08</v>
      </c>
      <c r="H19" s="64">
        <v>48.03</v>
      </c>
      <c r="I19" s="210" t="s">
        <v>43</v>
      </c>
      <c r="J19" s="64">
        <v>1</v>
      </c>
      <c r="K19" s="64">
        <v>269.02999999999997</v>
      </c>
      <c r="L19" s="64">
        <v>9.44</v>
      </c>
      <c r="M19" s="64">
        <v>96.42</v>
      </c>
      <c r="N19" s="64">
        <v>53.1</v>
      </c>
      <c r="O19" s="64">
        <v>0</v>
      </c>
      <c r="P19" s="64">
        <v>2.0299999999999998</v>
      </c>
      <c r="Q19" s="64">
        <v>10.55</v>
      </c>
      <c r="R19" s="198"/>
      <c r="S19" s="198"/>
      <c r="T19" s="198"/>
      <c r="U19" s="198"/>
    </row>
    <row r="20" spans="1:21" s="12" customFormat="1" x14ac:dyDescent="0.25">
      <c r="A20" s="214" t="s">
        <v>639</v>
      </c>
      <c r="B20" s="64">
        <v>208.27</v>
      </c>
      <c r="C20" s="64">
        <v>42.04</v>
      </c>
      <c r="D20" s="64">
        <v>187.6</v>
      </c>
      <c r="E20" s="64">
        <v>8.94</v>
      </c>
      <c r="F20" s="64">
        <v>2.13</v>
      </c>
      <c r="G20" s="64">
        <v>99.64</v>
      </c>
      <c r="H20" s="64">
        <v>46.95</v>
      </c>
      <c r="I20" s="210" t="s">
        <v>43</v>
      </c>
      <c r="J20" s="64">
        <v>0.61</v>
      </c>
      <c r="K20" s="64">
        <v>320.41000000000003</v>
      </c>
      <c r="L20" s="64">
        <v>9.4</v>
      </c>
      <c r="M20" s="64">
        <v>97.88</v>
      </c>
      <c r="N20" s="64">
        <v>53.1</v>
      </c>
      <c r="O20" s="64">
        <v>0</v>
      </c>
      <c r="P20" s="64">
        <v>1.96</v>
      </c>
      <c r="Q20" s="64">
        <v>10.49</v>
      </c>
      <c r="R20" s="198"/>
      <c r="S20" s="198"/>
      <c r="T20" s="198"/>
      <c r="U20" s="198"/>
    </row>
    <row r="21" spans="1:21" s="12" customFormat="1" x14ac:dyDescent="0.25">
      <c r="A21" s="214" t="s">
        <v>640</v>
      </c>
      <c r="B21" s="64">
        <v>200.6</v>
      </c>
      <c r="C21" s="64">
        <v>42.34</v>
      </c>
      <c r="D21" s="64">
        <v>181.61</v>
      </c>
      <c r="E21" s="64">
        <v>8.73</v>
      </c>
      <c r="F21" s="64">
        <v>2.13</v>
      </c>
      <c r="G21" s="64">
        <v>99.64</v>
      </c>
      <c r="H21" s="64">
        <v>46.95</v>
      </c>
      <c r="I21" s="210" t="s">
        <v>43</v>
      </c>
      <c r="J21" s="64">
        <v>0.61</v>
      </c>
      <c r="K21" s="64">
        <v>346.64</v>
      </c>
      <c r="L21" s="64">
        <v>9.15</v>
      </c>
      <c r="M21" s="64">
        <v>100.57</v>
      </c>
      <c r="N21" s="64">
        <v>53.1</v>
      </c>
      <c r="O21" s="64">
        <v>0</v>
      </c>
      <c r="P21" s="64">
        <v>1.88</v>
      </c>
      <c r="Q21" s="64">
        <v>10.43</v>
      </c>
      <c r="R21" s="198"/>
      <c r="S21" s="198"/>
      <c r="T21" s="198"/>
      <c r="U21" s="198"/>
    </row>
    <row r="22" spans="1:21" s="12" customFormat="1" x14ac:dyDescent="0.25">
      <c r="A22" s="214" t="s">
        <v>641</v>
      </c>
      <c r="B22" s="64">
        <v>193.2</v>
      </c>
      <c r="C22" s="64">
        <v>42.13</v>
      </c>
      <c r="D22" s="64">
        <v>175.56</v>
      </c>
      <c r="E22" s="64">
        <v>8.4700000000000006</v>
      </c>
      <c r="F22" s="64">
        <v>2.13</v>
      </c>
      <c r="G22" s="64">
        <v>99.64</v>
      </c>
      <c r="H22" s="64">
        <v>46.95</v>
      </c>
      <c r="I22" s="210" t="s">
        <v>43</v>
      </c>
      <c r="J22" s="64">
        <v>1.02</v>
      </c>
      <c r="K22" s="64">
        <v>306.70999999999998</v>
      </c>
      <c r="L22" s="64">
        <v>9</v>
      </c>
      <c r="M22" s="64">
        <v>102.8</v>
      </c>
      <c r="N22" s="64">
        <v>53.1</v>
      </c>
      <c r="O22" s="64">
        <v>0</v>
      </c>
      <c r="P22" s="64">
        <v>1.82</v>
      </c>
      <c r="Q22" s="64">
        <v>10.39</v>
      </c>
      <c r="R22" s="198"/>
      <c r="S22" s="198"/>
      <c r="T22" s="198"/>
      <c r="U22" s="198"/>
    </row>
    <row r="23" spans="1:21" s="12" customFormat="1" x14ac:dyDescent="0.25">
      <c r="A23" s="214" t="s">
        <v>642</v>
      </c>
      <c r="B23" s="64">
        <v>186.21</v>
      </c>
      <c r="C23" s="64">
        <v>41.06</v>
      </c>
      <c r="D23" s="64">
        <v>169.41</v>
      </c>
      <c r="E23" s="64">
        <v>7.97</v>
      </c>
      <c r="F23" s="64">
        <v>2.13</v>
      </c>
      <c r="G23" s="64">
        <v>111.52</v>
      </c>
      <c r="H23" s="64">
        <v>45.06</v>
      </c>
      <c r="I23" s="210" t="s">
        <v>43</v>
      </c>
      <c r="J23" s="64">
        <v>1.04</v>
      </c>
      <c r="K23" s="64">
        <v>304.85000000000002</v>
      </c>
      <c r="L23" s="64">
        <v>8.9499999999999993</v>
      </c>
      <c r="M23" s="64">
        <v>103.6</v>
      </c>
      <c r="N23" s="64">
        <v>53.1</v>
      </c>
      <c r="O23" s="64">
        <v>0</v>
      </c>
      <c r="P23" s="64">
        <v>1.76</v>
      </c>
      <c r="Q23" s="64">
        <v>10.34</v>
      </c>
      <c r="R23" s="198"/>
      <c r="S23" s="198"/>
      <c r="T23" s="198"/>
      <c r="U23" s="198"/>
    </row>
    <row r="24" spans="1:21" s="12" customFormat="1" x14ac:dyDescent="0.25">
      <c r="A24" s="214" t="s">
        <v>643</v>
      </c>
      <c r="B24" s="64">
        <v>179.3</v>
      </c>
      <c r="C24" s="64">
        <v>40.56</v>
      </c>
      <c r="D24" s="64">
        <v>163.6</v>
      </c>
      <c r="E24" s="64">
        <v>8.1199999999999992</v>
      </c>
      <c r="F24" s="64">
        <v>2.13</v>
      </c>
      <c r="G24" s="64">
        <v>116.61</v>
      </c>
      <c r="H24" s="64">
        <v>44.26</v>
      </c>
      <c r="I24" s="210" t="s">
        <v>43</v>
      </c>
      <c r="J24" s="64">
        <v>1.03</v>
      </c>
      <c r="K24" s="64">
        <v>315.97000000000003</v>
      </c>
      <c r="L24" s="64">
        <v>8.8000000000000007</v>
      </c>
      <c r="M24" s="64">
        <v>103.2</v>
      </c>
      <c r="N24" s="64">
        <v>53.2</v>
      </c>
      <c r="O24" s="64">
        <v>0</v>
      </c>
      <c r="P24" s="64">
        <v>1.69</v>
      </c>
      <c r="Q24" s="64">
        <v>10.27</v>
      </c>
      <c r="R24" s="198"/>
      <c r="S24" s="198"/>
      <c r="T24" s="198"/>
      <c r="U24" s="198"/>
    </row>
    <row r="25" spans="1:21" s="12" customFormat="1" x14ac:dyDescent="0.25">
      <c r="A25" s="214" t="s">
        <v>644</v>
      </c>
      <c r="B25" s="64">
        <v>172.67</v>
      </c>
      <c r="C25" s="64">
        <v>39.03</v>
      </c>
      <c r="D25" s="64">
        <v>157.47999999999999</v>
      </c>
      <c r="E25" s="64">
        <v>7.92</v>
      </c>
      <c r="F25" s="64">
        <v>2.13</v>
      </c>
      <c r="G25" s="64">
        <v>116.61</v>
      </c>
      <c r="H25" s="64">
        <v>44.26</v>
      </c>
      <c r="I25" s="210" t="s">
        <v>43</v>
      </c>
      <c r="J25" s="64">
        <v>1.06</v>
      </c>
      <c r="K25" s="64">
        <v>315.14999999999998</v>
      </c>
      <c r="L25" s="64">
        <v>8.69</v>
      </c>
      <c r="M25" s="64">
        <v>101.06</v>
      </c>
      <c r="N25" s="64">
        <v>53.3</v>
      </c>
      <c r="O25" s="64">
        <v>0</v>
      </c>
      <c r="P25" s="64">
        <v>1.63</v>
      </c>
      <c r="Q25" s="64">
        <v>10.199999999999999</v>
      </c>
      <c r="R25" s="198"/>
      <c r="S25" s="198"/>
      <c r="T25" s="198"/>
      <c r="U25" s="198"/>
    </row>
    <row r="26" spans="1:21" s="12" customFormat="1" x14ac:dyDescent="0.25">
      <c r="A26" s="214" t="s">
        <v>645</v>
      </c>
      <c r="B26" s="64">
        <v>168.67</v>
      </c>
      <c r="C26" s="64">
        <v>39.520000000000003</v>
      </c>
      <c r="D26" s="64">
        <v>154.53</v>
      </c>
      <c r="E26" s="64">
        <v>7.82</v>
      </c>
      <c r="F26" s="64">
        <v>2.13</v>
      </c>
      <c r="G26" s="64">
        <v>116.61</v>
      </c>
      <c r="H26" s="64">
        <v>44.26</v>
      </c>
      <c r="I26" s="210" t="s">
        <v>43</v>
      </c>
      <c r="J26" s="64">
        <v>0.97</v>
      </c>
      <c r="K26" s="64">
        <v>282.01</v>
      </c>
      <c r="L26" s="64">
        <v>8.7200000000000006</v>
      </c>
      <c r="M26" s="64">
        <v>101.43</v>
      </c>
      <c r="N26" s="64">
        <v>53.1</v>
      </c>
      <c r="O26" s="64">
        <v>0</v>
      </c>
      <c r="P26" s="64">
        <v>1.59</v>
      </c>
      <c r="Q26" s="64">
        <v>10.210000000000001</v>
      </c>
      <c r="R26" s="198"/>
      <c r="S26" s="198"/>
      <c r="T26" s="198"/>
      <c r="U26" s="198"/>
    </row>
    <row r="27" spans="1:21" s="12" customFormat="1" x14ac:dyDescent="0.25">
      <c r="A27" s="214" t="s">
        <v>646</v>
      </c>
      <c r="B27" s="64">
        <v>166.22</v>
      </c>
      <c r="C27" s="64">
        <v>39.85</v>
      </c>
      <c r="D27" s="64">
        <v>152.72999999999999</v>
      </c>
      <c r="E27" s="64">
        <v>7.91</v>
      </c>
      <c r="F27" s="64">
        <v>2.13</v>
      </c>
      <c r="G27" s="64">
        <v>118.56</v>
      </c>
      <c r="H27" s="64">
        <v>43.4</v>
      </c>
      <c r="I27" s="210" t="s">
        <v>43</v>
      </c>
      <c r="J27" s="64">
        <v>1.02</v>
      </c>
      <c r="K27" s="64">
        <v>297.19</v>
      </c>
      <c r="L27" s="64">
        <v>8.6199999999999992</v>
      </c>
      <c r="M27" s="64">
        <v>100.99</v>
      </c>
      <c r="N27" s="64">
        <v>53.2</v>
      </c>
      <c r="O27" s="64">
        <v>0</v>
      </c>
      <c r="P27" s="64">
        <v>1.56</v>
      </c>
      <c r="Q27" s="64">
        <v>10.24</v>
      </c>
      <c r="R27" s="198"/>
      <c r="S27" s="198"/>
      <c r="T27" s="198"/>
      <c r="U27" s="198"/>
    </row>
    <row r="28" spans="1:21" s="12" customFormat="1" x14ac:dyDescent="0.25">
      <c r="A28" s="214" t="s">
        <v>647</v>
      </c>
      <c r="B28" s="64">
        <v>165.27</v>
      </c>
      <c r="C28" s="64">
        <v>39.76</v>
      </c>
      <c r="D28" s="64">
        <v>151.93</v>
      </c>
      <c r="E28" s="64">
        <v>8.4</v>
      </c>
      <c r="F28" s="64">
        <v>2.13</v>
      </c>
      <c r="G28" s="64">
        <v>119.44</v>
      </c>
      <c r="H28" s="64">
        <v>43.03</v>
      </c>
      <c r="I28" s="210" t="s">
        <v>43</v>
      </c>
      <c r="J28" s="64">
        <v>1.04</v>
      </c>
      <c r="K28" s="64">
        <v>314.10000000000002</v>
      </c>
      <c r="L28" s="64">
        <v>8.57</v>
      </c>
      <c r="M28" s="64">
        <v>97.5</v>
      </c>
      <c r="N28" s="64">
        <v>53.4</v>
      </c>
      <c r="O28" s="64">
        <v>0</v>
      </c>
      <c r="P28" s="64">
        <v>1.5</v>
      </c>
      <c r="Q28" s="64">
        <v>10.24</v>
      </c>
      <c r="R28" s="198"/>
      <c r="S28" s="198"/>
      <c r="T28" s="198"/>
      <c r="U28" s="198"/>
    </row>
    <row r="29" spans="1:21" s="12" customFormat="1" x14ac:dyDescent="0.25">
      <c r="A29" s="214" t="s">
        <v>648</v>
      </c>
      <c r="B29" s="64">
        <v>163.53</v>
      </c>
      <c r="C29" s="64">
        <v>39.64</v>
      </c>
      <c r="D29" s="64">
        <v>150.47</v>
      </c>
      <c r="E29" s="64">
        <v>8.25</v>
      </c>
      <c r="F29" s="64">
        <v>2.13</v>
      </c>
      <c r="G29" s="64">
        <v>119.44</v>
      </c>
      <c r="H29" s="64">
        <v>43.03</v>
      </c>
      <c r="I29" s="210" t="s">
        <v>43</v>
      </c>
      <c r="J29" s="64">
        <v>1.07</v>
      </c>
      <c r="K29" s="64">
        <v>296.58999999999997</v>
      </c>
      <c r="L29" s="64">
        <v>8.57</v>
      </c>
      <c r="M29" s="64">
        <v>100.86</v>
      </c>
      <c r="N29" s="64">
        <v>53.2</v>
      </c>
      <c r="O29" s="64">
        <v>0</v>
      </c>
      <c r="P29" s="64">
        <v>1.47</v>
      </c>
      <c r="Q29" s="64">
        <v>10.23</v>
      </c>
      <c r="R29" s="198"/>
      <c r="S29" s="198"/>
      <c r="T29" s="198"/>
      <c r="U29" s="198"/>
    </row>
    <row r="30" spans="1:21" s="12" customFormat="1" x14ac:dyDescent="0.25">
      <c r="A30" s="214" t="s">
        <v>649</v>
      </c>
      <c r="B30" s="64">
        <v>164.87</v>
      </c>
      <c r="C30" s="64">
        <v>39.54</v>
      </c>
      <c r="D30" s="64">
        <v>151.5</v>
      </c>
      <c r="E30" s="64">
        <v>8.35</v>
      </c>
      <c r="F30" s="64">
        <v>2.13</v>
      </c>
      <c r="G30" s="64">
        <v>119.44</v>
      </c>
      <c r="H30" s="64">
        <v>43.03</v>
      </c>
      <c r="I30" s="210" t="s">
        <v>43</v>
      </c>
      <c r="J30" s="64">
        <v>1.05</v>
      </c>
      <c r="K30" s="64">
        <v>294.99</v>
      </c>
      <c r="L30" s="64">
        <v>8.48</v>
      </c>
      <c r="M30" s="64">
        <v>102.2</v>
      </c>
      <c r="N30" s="64">
        <v>53.2</v>
      </c>
      <c r="O30" s="64">
        <v>0</v>
      </c>
      <c r="P30" s="64">
        <v>1.43</v>
      </c>
      <c r="Q30" s="64">
        <v>10.23</v>
      </c>
      <c r="R30" s="198"/>
      <c r="S30" s="198"/>
      <c r="T30" s="198"/>
      <c r="U30" s="198"/>
    </row>
    <row r="31" spans="1:21" s="12" customFormat="1" x14ac:dyDescent="0.25">
      <c r="A31" s="214" t="s">
        <v>650</v>
      </c>
      <c r="B31" s="64">
        <v>166.7</v>
      </c>
      <c r="C31" s="64">
        <v>39.229999999999997</v>
      </c>
      <c r="D31" s="64">
        <v>152.80000000000001</v>
      </c>
      <c r="E31" s="64">
        <v>8.36</v>
      </c>
      <c r="F31" s="64">
        <v>2.13</v>
      </c>
      <c r="G31" s="64">
        <v>129.80000000000001</v>
      </c>
      <c r="H31" s="64">
        <v>43.24</v>
      </c>
      <c r="I31" s="210" t="s">
        <v>43</v>
      </c>
      <c r="J31" s="64">
        <v>0.84</v>
      </c>
      <c r="K31" s="64">
        <v>266.22000000000003</v>
      </c>
      <c r="L31" s="64">
        <v>8.4600000000000009</v>
      </c>
      <c r="M31" s="64">
        <v>102.76</v>
      </c>
      <c r="N31" s="64">
        <v>53.2</v>
      </c>
      <c r="O31" s="64">
        <v>0</v>
      </c>
      <c r="P31" s="64">
        <v>1.4</v>
      </c>
      <c r="Q31" s="64">
        <v>10.24</v>
      </c>
      <c r="R31" s="198"/>
      <c r="S31" s="198"/>
      <c r="T31" s="198"/>
      <c r="U31" s="198"/>
    </row>
    <row r="32" spans="1:21" s="12" customFormat="1" x14ac:dyDescent="0.25">
      <c r="A32" s="214" t="s">
        <v>651</v>
      </c>
      <c r="B32" s="64">
        <v>167.47</v>
      </c>
      <c r="C32" s="64">
        <v>39.270000000000003</v>
      </c>
      <c r="D32" s="64">
        <v>153.44</v>
      </c>
      <c r="E32" s="64">
        <v>8.4600000000000009</v>
      </c>
      <c r="F32" s="64">
        <v>2.13</v>
      </c>
      <c r="G32" s="64">
        <v>134.22999999999999</v>
      </c>
      <c r="H32" s="64">
        <v>43.33</v>
      </c>
      <c r="I32" s="210" t="s">
        <v>43</v>
      </c>
      <c r="J32" s="64">
        <v>1.05</v>
      </c>
      <c r="K32" s="64">
        <v>307.86</v>
      </c>
      <c r="L32" s="64">
        <v>8.4700000000000006</v>
      </c>
      <c r="M32" s="64">
        <v>103.11</v>
      </c>
      <c r="N32" s="64">
        <v>53.3</v>
      </c>
      <c r="O32" s="64">
        <v>0</v>
      </c>
      <c r="P32" s="64">
        <v>1.38</v>
      </c>
      <c r="Q32" s="64">
        <v>10.25</v>
      </c>
      <c r="R32" s="198"/>
      <c r="S32" s="198"/>
      <c r="T32" s="198"/>
      <c r="U32" s="198"/>
    </row>
    <row r="33" spans="1:21" s="12" customFormat="1" x14ac:dyDescent="0.25">
      <c r="A33" s="214" t="s">
        <v>652</v>
      </c>
      <c r="B33" s="64">
        <v>170.04</v>
      </c>
      <c r="C33" s="64">
        <v>39.22</v>
      </c>
      <c r="D33" s="64">
        <v>155.47</v>
      </c>
      <c r="E33" s="64">
        <v>8.5</v>
      </c>
      <c r="F33" s="64">
        <v>2.13</v>
      </c>
      <c r="G33" s="64">
        <v>134.22999999999999</v>
      </c>
      <c r="H33" s="64">
        <v>43.33</v>
      </c>
      <c r="I33" s="210" t="s">
        <v>43</v>
      </c>
      <c r="J33" s="64">
        <v>0.53</v>
      </c>
      <c r="K33" s="64">
        <v>323.27</v>
      </c>
      <c r="L33" s="64">
        <v>8.4</v>
      </c>
      <c r="M33" s="64">
        <v>102.72</v>
      </c>
      <c r="N33" s="64">
        <v>53.4</v>
      </c>
      <c r="O33" s="64">
        <v>0</v>
      </c>
      <c r="P33" s="64">
        <v>1.36</v>
      </c>
      <c r="Q33" s="64">
        <v>10.26</v>
      </c>
      <c r="R33" s="198"/>
      <c r="S33" s="198"/>
      <c r="T33" s="198"/>
      <c r="U33" s="198"/>
    </row>
    <row r="34" spans="1:21" s="12" customFormat="1" x14ac:dyDescent="0.25">
      <c r="A34" s="214" t="s">
        <v>653</v>
      </c>
      <c r="B34" s="64">
        <v>175.65</v>
      </c>
      <c r="C34" s="64">
        <v>39.25</v>
      </c>
      <c r="D34" s="64">
        <v>159.99</v>
      </c>
      <c r="E34" s="64">
        <v>8.49</v>
      </c>
      <c r="F34" s="64">
        <v>2.13</v>
      </c>
      <c r="G34" s="64">
        <v>134.22999999999999</v>
      </c>
      <c r="H34" s="64">
        <v>43.33</v>
      </c>
      <c r="I34" s="210" t="s">
        <v>43</v>
      </c>
      <c r="J34" s="64">
        <v>1.02</v>
      </c>
      <c r="K34" s="64">
        <v>309.5</v>
      </c>
      <c r="L34" s="64">
        <v>8.34</v>
      </c>
      <c r="M34" s="64">
        <v>102.69</v>
      </c>
      <c r="N34" s="64">
        <v>53.5</v>
      </c>
      <c r="O34" s="64">
        <v>0</v>
      </c>
      <c r="P34" s="64">
        <v>1.34</v>
      </c>
      <c r="Q34" s="64">
        <v>10.24</v>
      </c>
      <c r="R34" s="198"/>
      <c r="S34" s="198"/>
      <c r="T34" s="198"/>
      <c r="U34" s="198"/>
    </row>
    <row r="35" spans="1:21" s="12" customFormat="1" x14ac:dyDescent="0.25">
      <c r="A35" s="214" t="s">
        <v>654</v>
      </c>
      <c r="B35" s="64">
        <v>183.71</v>
      </c>
      <c r="C35" s="64">
        <v>39.75</v>
      </c>
      <c r="D35" s="64">
        <v>166.71</v>
      </c>
      <c r="E35" s="64">
        <v>8.9700000000000006</v>
      </c>
      <c r="F35" s="64">
        <v>2.13</v>
      </c>
      <c r="G35" s="64">
        <v>147.19999999999999</v>
      </c>
      <c r="H35" s="64">
        <v>43.44</v>
      </c>
      <c r="I35" s="210" t="s">
        <v>43</v>
      </c>
      <c r="J35" s="64">
        <v>1.07</v>
      </c>
      <c r="K35" s="64">
        <v>335.25</v>
      </c>
      <c r="L35" s="64">
        <v>8.32</v>
      </c>
      <c r="M35" s="64">
        <v>102.71</v>
      </c>
      <c r="N35" s="64">
        <v>55.6</v>
      </c>
      <c r="O35" s="64">
        <v>0</v>
      </c>
      <c r="P35" s="64">
        <v>1.34</v>
      </c>
      <c r="Q35" s="64">
        <v>10.24</v>
      </c>
      <c r="R35" s="198"/>
      <c r="S35" s="198"/>
      <c r="T35" s="198"/>
      <c r="U35" s="198"/>
    </row>
    <row r="36" spans="1:21" s="12" customFormat="1" x14ac:dyDescent="0.25">
      <c r="A36" s="214" t="s">
        <v>655</v>
      </c>
      <c r="B36" s="64">
        <v>190.92</v>
      </c>
      <c r="C36" s="64">
        <v>40.26</v>
      </c>
      <c r="D36" s="64">
        <v>172.76</v>
      </c>
      <c r="E36" s="64">
        <v>8.9700000000000006</v>
      </c>
      <c r="F36" s="64">
        <v>2.13</v>
      </c>
      <c r="G36" s="64">
        <v>152.76</v>
      </c>
      <c r="H36" s="64">
        <v>43.49</v>
      </c>
      <c r="I36" s="210" t="s">
        <v>43</v>
      </c>
      <c r="J36" s="64">
        <v>0.98</v>
      </c>
      <c r="K36" s="64">
        <v>286.45</v>
      </c>
      <c r="L36" s="64">
        <v>8.57</v>
      </c>
      <c r="M36" s="64">
        <v>102.34</v>
      </c>
      <c r="N36" s="64">
        <v>62.3</v>
      </c>
      <c r="O36" s="64">
        <v>0</v>
      </c>
      <c r="P36" s="64">
        <v>1.34</v>
      </c>
      <c r="Q36" s="64">
        <v>10.28</v>
      </c>
      <c r="R36" s="198"/>
      <c r="S36" s="198"/>
      <c r="T36" s="198"/>
      <c r="U36" s="198"/>
    </row>
    <row r="37" spans="1:21" s="12" customFormat="1" x14ac:dyDescent="0.25">
      <c r="A37" s="214" t="s">
        <v>656</v>
      </c>
      <c r="B37" s="64">
        <v>195.3</v>
      </c>
      <c r="C37" s="64">
        <v>40.799999999999997</v>
      </c>
      <c r="D37" s="64">
        <v>176.56</v>
      </c>
      <c r="E37" s="64">
        <v>9.06</v>
      </c>
      <c r="F37" s="64">
        <v>2.13</v>
      </c>
      <c r="G37" s="64">
        <v>152.76</v>
      </c>
      <c r="H37" s="64">
        <v>43.49</v>
      </c>
      <c r="I37" s="210" t="s">
        <v>43</v>
      </c>
      <c r="J37" s="64">
        <v>0.9</v>
      </c>
      <c r="K37" s="64">
        <v>307.64</v>
      </c>
      <c r="L37" s="64">
        <v>9.08</v>
      </c>
      <c r="M37" s="64">
        <v>97.69</v>
      </c>
      <c r="N37" s="64">
        <v>72.7</v>
      </c>
      <c r="O37" s="64">
        <v>0</v>
      </c>
      <c r="P37" s="64">
        <v>1.47</v>
      </c>
      <c r="Q37" s="64">
        <v>10.31</v>
      </c>
      <c r="R37" s="198"/>
      <c r="S37" s="198"/>
      <c r="T37" s="198"/>
      <c r="U37" s="198"/>
    </row>
    <row r="38" spans="1:21" s="12" customFormat="1" x14ac:dyDescent="0.25">
      <c r="A38" s="214" t="s">
        <v>657</v>
      </c>
      <c r="B38" s="64">
        <v>196.72</v>
      </c>
      <c r="C38" s="64">
        <v>41.75</v>
      </c>
      <c r="D38" s="64">
        <v>178.19</v>
      </c>
      <c r="E38" s="64">
        <v>9.3800000000000008</v>
      </c>
      <c r="F38" s="64">
        <v>2.13</v>
      </c>
      <c r="G38" s="64">
        <v>152.76</v>
      </c>
      <c r="H38" s="64">
        <v>43.49</v>
      </c>
      <c r="I38" s="210" t="s">
        <v>43</v>
      </c>
      <c r="J38" s="64">
        <v>0.26</v>
      </c>
      <c r="K38" s="64">
        <v>36.909999999999997</v>
      </c>
      <c r="L38" s="64">
        <v>10.27</v>
      </c>
      <c r="M38" s="64">
        <v>84.94</v>
      </c>
      <c r="N38" s="64">
        <v>84.1</v>
      </c>
      <c r="O38" s="64">
        <v>0</v>
      </c>
      <c r="P38" s="64">
        <v>1.52</v>
      </c>
      <c r="Q38" s="64">
        <v>10.34</v>
      </c>
      <c r="R38" s="198"/>
      <c r="S38" s="198"/>
      <c r="T38" s="198"/>
      <c r="U38" s="198"/>
    </row>
    <row r="39" spans="1:21" s="12" customFormat="1" x14ac:dyDescent="0.25">
      <c r="A39" s="214" t="s">
        <v>658</v>
      </c>
      <c r="B39" s="64">
        <v>191.92</v>
      </c>
      <c r="C39" s="64">
        <v>42.24</v>
      </c>
      <c r="D39" s="64">
        <v>174.6</v>
      </c>
      <c r="E39" s="64">
        <v>8.8800000000000008</v>
      </c>
      <c r="F39" s="64">
        <v>2.13</v>
      </c>
      <c r="G39" s="64">
        <v>137.07</v>
      </c>
      <c r="H39" s="64">
        <v>43.39</v>
      </c>
      <c r="I39" s="210" t="s">
        <v>43</v>
      </c>
      <c r="J39" s="64">
        <v>1.94</v>
      </c>
      <c r="K39" s="64">
        <v>111.97</v>
      </c>
      <c r="L39" s="64">
        <v>11.54</v>
      </c>
      <c r="M39" s="64">
        <v>75.84</v>
      </c>
      <c r="N39" s="64">
        <v>98.8</v>
      </c>
      <c r="O39" s="64">
        <v>0</v>
      </c>
      <c r="P39" s="64">
        <v>1.48</v>
      </c>
      <c r="Q39" s="64">
        <v>10.3</v>
      </c>
      <c r="R39" s="198"/>
      <c r="S39" s="198"/>
      <c r="T39" s="198"/>
      <c r="U39" s="198"/>
    </row>
    <row r="40" spans="1:21" s="12" customFormat="1" x14ac:dyDescent="0.25">
      <c r="A40" s="214" t="s">
        <v>659</v>
      </c>
      <c r="B40" s="64">
        <v>183.16</v>
      </c>
      <c r="C40" s="64">
        <v>43.31</v>
      </c>
      <c r="D40" s="64">
        <v>168.14</v>
      </c>
      <c r="E40" s="64">
        <v>7.63</v>
      </c>
      <c r="F40" s="64">
        <v>2.13</v>
      </c>
      <c r="G40" s="64">
        <v>130.35</v>
      </c>
      <c r="H40" s="64">
        <v>43.34</v>
      </c>
      <c r="I40" s="210" t="s">
        <v>43</v>
      </c>
      <c r="J40" s="64">
        <v>1.2</v>
      </c>
      <c r="K40" s="64">
        <v>110.22</v>
      </c>
      <c r="L40" s="64">
        <v>12.5</v>
      </c>
      <c r="M40" s="64">
        <v>73.16</v>
      </c>
      <c r="N40" s="64">
        <v>207.2</v>
      </c>
      <c r="O40" s="64">
        <v>0</v>
      </c>
      <c r="P40" s="64">
        <v>1.43</v>
      </c>
      <c r="Q40" s="64">
        <v>10.27</v>
      </c>
      <c r="R40" s="198"/>
      <c r="S40" s="198"/>
      <c r="T40" s="198"/>
      <c r="U40" s="198"/>
    </row>
    <row r="41" spans="1:21" s="12" customFormat="1" x14ac:dyDescent="0.25">
      <c r="A41" s="214" t="s">
        <v>660</v>
      </c>
      <c r="B41" s="64">
        <v>172.65</v>
      </c>
      <c r="C41" s="64">
        <v>48.04</v>
      </c>
      <c r="D41" s="64">
        <v>162.18</v>
      </c>
      <c r="E41" s="64">
        <v>8.61</v>
      </c>
      <c r="F41" s="64">
        <v>2.13</v>
      </c>
      <c r="G41" s="64">
        <v>130.35</v>
      </c>
      <c r="H41" s="64">
        <v>43.34</v>
      </c>
      <c r="I41" s="210" t="s">
        <v>43</v>
      </c>
      <c r="J41" s="64">
        <v>0.23</v>
      </c>
      <c r="K41" s="64">
        <v>15.56</v>
      </c>
      <c r="L41" s="64">
        <v>14.75</v>
      </c>
      <c r="M41" s="64">
        <v>65.11</v>
      </c>
      <c r="N41" s="64">
        <v>295.89999999999998</v>
      </c>
      <c r="O41" s="64">
        <v>0</v>
      </c>
      <c r="P41" s="64">
        <v>1.39</v>
      </c>
      <c r="Q41" s="64">
        <v>10.26</v>
      </c>
      <c r="R41" s="198"/>
      <c r="S41" s="198"/>
      <c r="T41" s="198"/>
      <c r="U41" s="198"/>
    </row>
    <row r="42" spans="1:21" s="12" customFormat="1" x14ac:dyDescent="0.25">
      <c r="A42" s="214" t="s">
        <v>661</v>
      </c>
      <c r="B42" s="64">
        <v>163.28</v>
      </c>
      <c r="C42" s="64">
        <v>48.88</v>
      </c>
      <c r="D42" s="64">
        <v>155.1</v>
      </c>
      <c r="E42" s="64">
        <v>8.07</v>
      </c>
      <c r="F42" s="64">
        <v>2.13</v>
      </c>
      <c r="G42" s="64">
        <v>130.35</v>
      </c>
      <c r="H42" s="64">
        <v>43.34</v>
      </c>
      <c r="I42" s="210" t="s">
        <v>43</v>
      </c>
      <c r="J42" s="64">
        <v>1.25</v>
      </c>
      <c r="K42" s="64">
        <v>110.1</v>
      </c>
      <c r="L42" s="64">
        <v>15.67</v>
      </c>
      <c r="M42" s="64">
        <v>61.11</v>
      </c>
      <c r="N42" s="64">
        <v>350.9</v>
      </c>
      <c r="O42" s="64">
        <v>0</v>
      </c>
      <c r="P42" s="64">
        <v>1.35</v>
      </c>
      <c r="Q42" s="64">
        <v>10.210000000000001</v>
      </c>
      <c r="R42" s="198"/>
      <c r="S42" s="198"/>
      <c r="T42" s="198"/>
      <c r="U42" s="198"/>
    </row>
    <row r="43" spans="1:21" s="12" customFormat="1" x14ac:dyDescent="0.25">
      <c r="A43" s="214" t="s">
        <v>662</v>
      </c>
      <c r="B43" s="64">
        <v>156.44</v>
      </c>
      <c r="C43" s="64">
        <v>47.78</v>
      </c>
      <c r="D43" s="64">
        <v>149.04</v>
      </c>
      <c r="E43" s="64">
        <v>7.6</v>
      </c>
      <c r="F43" s="64">
        <v>2.13</v>
      </c>
      <c r="G43" s="64">
        <v>102.14</v>
      </c>
      <c r="H43" s="64">
        <v>42.2</v>
      </c>
      <c r="I43" s="210" t="s">
        <v>43</v>
      </c>
      <c r="J43" s="64">
        <v>1.93</v>
      </c>
      <c r="K43" s="64">
        <v>112.48</v>
      </c>
      <c r="L43" s="64">
        <v>15.19</v>
      </c>
      <c r="M43" s="64">
        <v>62.97</v>
      </c>
      <c r="N43" s="64">
        <v>403.7</v>
      </c>
      <c r="O43" s="64">
        <v>0</v>
      </c>
      <c r="P43" s="64">
        <v>1.31</v>
      </c>
      <c r="Q43" s="64">
        <v>10.17</v>
      </c>
      <c r="R43" s="198"/>
      <c r="S43" s="198"/>
      <c r="T43" s="198"/>
      <c r="U43" s="198"/>
    </row>
    <row r="44" spans="1:21" s="12" customFormat="1" x14ac:dyDescent="0.25">
      <c r="A44" s="214" t="s">
        <v>663</v>
      </c>
      <c r="B44" s="64">
        <v>149.25</v>
      </c>
      <c r="C44" s="64">
        <v>46.12</v>
      </c>
      <c r="D44" s="64">
        <v>142.41</v>
      </c>
      <c r="E44" s="64">
        <v>7.78</v>
      </c>
      <c r="F44" s="64">
        <v>2.13</v>
      </c>
      <c r="G44" s="64">
        <v>90.05</v>
      </c>
      <c r="H44" s="64">
        <v>41.71</v>
      </c>
      <c r="I44" s="210" t="s">
        <v>43</v>
      </c>
      <c r="J44" s="64">
        <v>0.45</v>
      </c>
      <c r="K44" s="64">
        <v>86.74</v>
      </c>
      <c r="L44" s="64">
        <v>16.559999999999999</v>
      </c>
      <c r="M44" s="64">
        <v>58.94</v>
      </c>
      <c r="N44" s="64">
        <v>451.2</v>
      </c>
      <c r="O44" s="64">
        <v>0</v>
      </c>
      <c r="P44" s="64">
        <v>1.27</v>
      </c>
      <c r="Q44" s="64">
        <v>10.130000000000001</v>
      </c>
      <c r="R44" s="198"/>
      <c r="S44" s="198"/>
      <c r="T44" s="198"/>
      <c r="U44" s="198"/>
    </row>
    <row r="45" spans="1:21" s="12" customFormat="1" x14ac:dyDescent="0.25">
      <c r="A45" s="214" t="s">
        <v>664</v>
      </c>
      <c r="B45" s="64">
        <v>141.19</v>
      </c>
      <c r="C45" s="64">
        <v>47.03</v>
      </c>
      <c r="D45" s="64">
        <v>136.41</v>
      </c>
      <c r="E45" s="64">
        <v>7.9</v>
      </c>
      <c r="F45" s="64">
        <v>2.13</v>
      </c>
      <c r="G45" s="64">
        <v>90.05</v>
      </c>
      <c r="H45" s="64">
        <v>41.71</v>
      </c>
      <c r="I45" s="210" t="s">
        <v>43</v>
      </c>
      <c r="J45" s="64">
        <v>1.53</v>
      </c>
      <c r="K45" s="64">
        <v>345.56</v>
      </c>
      <c r="L45" s="64">
        <v>20.73</v>
      </c>
      <c r="M45" s="64">
        <v>44.16</v>
      </c>
      <c r="N45" s="64">
        <v>491.6</v>
      </c>
      <c r="O45" s="64">
        <v>0</v>
      </c>
      <c r="P45" s="64">
        <v>1.22</v>
      </c>
      <c r="Q45" s="64">
        <v>10.119999999999999</v>
      </c>
      <c r="R45" s="198"/>
      <c r="S45" s="198"/>
      <c r="T45" s="198"/>
      <c r="U45" s="198"/>
    </row>
    <row r="46" spans="1:21" s="12" customFormat="1" x14ac:dyDescent="0.25">
      <c r="A46" s="214" t="s">
        <v>665</v>
      </c>
      <c r="B46" s="64">
        <v>133.19</v>
      </c>
      <c r="C46" s="64">
        <v>48.5</v>
      </c>
      <c r="D46" s="64">
        <v>130.77000000000001</v>
      </c>
      <c r="E46" s="64">
        <v>8.11</v>
      </c>
      <c r="F46" s="64">
        <v>2.13</v>
      </c>
      <c r="G46" s="64">
        <v>90.05</v>
      </c>
      <c r="H46" s="64">
        <v>41.71</v>
      </c>
      <c r="I46" s="210" t="s">
        <v>43</v>
      </c>
      <c r="J46" s="64">
        <v>1.41</v>
      </c>
      <c r="K46" s="64">
        <v>337.82</v>
      </c>
      <c r="L46" s="64">
        <v>22.38</v>
      </c>
      <c r="M46" s="64">
        <v>39.65</v>
      </c>
      <c r="N46" s="64">
        <v>532.70000000000005</v>
      </c>
      <c r="O46" s="64">
        <v>0</v>
      </c>
      <c r="P46" s="64">
        <v>1.19</v>
      </c>
      <c r="Q46" s="64">
        <v>10.039999999999999</v>
      </c>
      <c r="R46" s="198"/>
      <c r="S46" s="198"/>
      <c r="T46" s="198"/>
      <c r="U46" s="198"/>
    </row>
    <row r="47" spans="1:21" s="12" customFormat="1" x14ac:dyDescent="0.25">
      <c r="A47" s="214" t="s">
        <v>666</v>
      </c>
      <c r="B47" s="64">
        <v>125.91</v>
      </c>
      <c r="C47" s="64">
        <v>49.99</v>
      </c>
      <c r="D47" s="64">
        <v>125.71</v>
      </c>
      <c r="E47" s="64">
        <v>7.7</v>
      </c>
      <c r="F47" s="64">
        <v>2.13</v>
      </c>
      <c r="G47" s="64">
        <v>86.77</v>
      </c>
      <c r="H47" s="64">
        <v>35.53</v>
      </c>
      <c r="I47" s="210" t="s">
        <v>43</v>
      </c>
      <c r="J47" s="64">
        <v>1.68</v>
      </c>
      <c r="K47" s="64">
        <v>341.96</v>
      </c>
      <c r="L47" s="64">
        <v>23.69</v>
      </c>
      <c r="M47" s="64">
        <v>36.659999999999997</v>
      </c>
      <c r="N47" s="64">
        <v>552.5</v>
      </c>
      <c r="O47" s="64">
        <v>0</v>
      </c>
      <c r="P47" s="64">
        <v>1.1399999999999999</v>
      </c>
      <c r="Q47" s="64">
        <v>9.99</v>
      </c>
      <c r="R47" s="198"/>
      <c r="S47" s="198"/>
      <c r="T47" s="198"/>
      <c r="U47" s="198"/>
    </row>
    <row r="48" spans="1:21" s="12" customFormat="1" x14ac:dyDescent="0.25">
      <c r="A48" s="214" t="s">
        <v>667</v>
      </c>
      <c r="B48" s="64">
        <v>118.93</v>
      </c>
      <c r="C48" s="64">
        <v>51.05</v>
      </c>
      <c r="D48" s="64">
        <v>120.67</v>
      </c>
      <c r="E48" s="64">
        <v>7.66</v>
      </c>
      <c r="F48" s="64">
        <v>2.13</v>
      </c>
      <c r="G48" s="64">
        <v>85.28</v>
      </c>
      <c r="H48" s="64">
        <v>32.880000000000003</v>
      </c>
      <c r="I48" s="210" t="s">
        <v>43</v>
      </c>
      <c r="J48" s="64">
        <v>0.59</v>
      </c>
      <c r="K48" s="64">
        <v>24.86</v>
      </c>
      <c r="L48" s="64">
        <v>23.97</v>
      </c>
      <c r="M48" s="64">
        <v>35.68</v>
      </c>
      <c r="N48" s="64">
        <v>565.20000000000005</v>
      </c>
      <c r="O48" s="64">
        <v>0</v>
      </c>
      <c r="P48" s="64">
        <v>1.1200000000000001</v>
      </c>
      <c r="Q48" s="64">
        <v>9.94</v>
      </c>
      <c r="R48" s="198"/>
      <c r="S48" s="198"/>
      <c r="T48" s="198"/>
      <c r="U48" s="198"/>
    </row>
    <row r="49" spans="1:21" s="12" customFormat="1" x14ac:dyDescent="0.25">
      <c r="A49" s="214" t="s">
        <v>668</v>
      </c>
      <c r="B49" s="64">
        <v>112.91</v>
      </c>
      <c r="C49" s="64">
        <v>52.65</v>
      </c>
      <c r="D49" s="64">
        <v>116.67</v>
      </c>
      <c r="E49" s="64">
        <v>7.61</v>
      </c>
      <c r="F49" s="64">
        <v>2.13</v>
      </c>
      <c r="G49" s="64">
        <v>85.28</v>
      </c>
      <c r="H49" s="64">
        <v>32.880000000000003</v>
      </c>
      <c r="I49" s="210" t="s">
        <v>43</v>
      </c>
      <c r="J49" s="64">
        <v>1.06</v>
      </c>
      <c r="K49" s="64">
        <v>123.08</v>
      </c>
      <c r="L49" s="64">
        <v>21.9</v>
      </c>
      <c r="M49" s="64">
        <v>39.299999999999997</v>
      </c>
      <c r="N49" s="64">
        <v>583.20000000000005</v>
      </c>
      <c r="O49" s="64">
        <v>0</v>
      </c>
      <c r="P49" s="64">
        <v>1.1000000000000001</v>
      </c>
      <c r="Q49" s="64">
        <v>9.8800000000000008</v>
      </c>
      <c r="R49" s="198"/>
      <c r="S49" s="198"/>
      <c r="T49" s="198"/>
      <c r="U49" s="198"/>
    </row>
    <row r="50" spans="1:21" s="12" customFormat="1" x14ac:dyDescent="0.25">
      <c r="A50" s="214" t="s">
        <v>669</v>
      </c>
      <c r="B50" s="64">
        <v>106.38</v>
      </c>
      <c r="C50" s="64">
        <v>53.83</v>
      </c>
      <c r="D50" s="64">
        <v>112.06</v>
      </c>
      <c r="E50" s="64">
        <v>7.82</v>
      </c>
      <c r="F50" s="64">
        <v>2.13</v>
      </c>
      <c r="G50" s="64">
        <v>85.28</v>
      </c>
      <c r="H50" s="64">
        <v>32.880000000000003</v>
      </c>
      <c r="I50" s="210" t="s">
        <v>43</v>
      </c>
      <c r="J50" s="64">
        <v>1.39</v>
      </c>
      <c r="K50" s="64">
        <v>124.97</v>
      </c>
      <c r="L50" s="64">
        <v>20.86</v>
      </c>
      <c r="M50" s="64">
        <v>41.08</v>
      </c>
      <c r="N50" s="64">
        <v>600.4</v>
      </c>
      <c r="O50" s="64">
        <v>0</v>
      </c>
      <c r="P50" s="64">
        <v>1.07</v>
      </c>
      <c r="Q50" s="64">
        <v>9.81</v>
      </c>
      <c r="R50" s="198"/>
      <c r="S50" s="198"/>
      <c r="T50" s="198"/>
      <c r="U50" s="198"/>
    </row>
    <row r="51" spans="1:21" s="12" customFormat="1" x14ac:dyDescent="0.25">
      <c r="A51" s="214" t="s">
        <v>670</v>
      </c>
      <c r="B51" s="64">
        <v>99.28</v>
      </c>
      <c r="C51" s="64">
        <v>55.07</v>
      </c>
      <c r="D51" s="64">
        <v>107.01</v>
      </c>
      <c r="E51" s="64">
        <v>7.78</v>
      </c>
      <c r="F51" s="64">
        <v>2.13</v>
      </c>
      <c r="G51" s="64">
        <v>76.61</v>
      </c>
      <c r="H51" s="64">
        <v>31.59</v>
      </c>
      <c r="I51" s="210" t="s">
        <v>43</v>
      </c>
      <c r="J51" s="64">
        <v>1.1100000000000001</v>
      </c>
      <c r="K51" s="64">
        <v>103.6</v>
      </c>
      <c r="L51" s="64">
        <v>21.98</v>
      </c>
      <c r="M51" s="64">
        <v>36.979999999999997</v>
      </c>
      <c r="N51" s="64">
        <v>618.4</v>
      </c>
      <c r="O51" s="64">
        <v>0</v>
      </c>
      <c r="P51" s="64">
        <v>1.04</v>
      </c>
      <c r="Q51" s="64">
        <v>9.7100000000000009</v>
      </c>
      <c r="R51" s="198"/>
      <c r="S51" s="198"/>
      <c r="T51" s="198"/>
      <c r="U51" s="198"/>
    </row>
    <row r="52" spans="1:21" s="12" customFormat="1" x14ac:dyDescent="0.25">
      <c r="A52" s="214" t="s">
        <v>671</v>
      </c>
      <c r="B52" s="64">
        <v>92.11</v>
      </c>
      <c r="C52" s="64">
        <v>57.02</v>
      </c>
      <c r="D52" s="64">
        <v>102.28</v>
      </c>
      <c r="E52" s="64">
        <v>7.14</v>
      </c>
      <c r="F52" s="64">
        <v>2.13</v>
      </c>
      <c r="G52" s="64">
        <v>72.89</v>
      </c>
      <c r="H52" s="64">
        <v>31.05</v>
      </c>
      <c r="I52" s="210" t="s">
        <v>43</v>
      </c>
      <c r="J52" s="64">
        <v>1.89</v>
      </c>
      <c r="K52" s="64">
        <v>121.34</v>
      </c>
      <c r="L52" s="64">
        <v>21.77</v>
      </c>
      <c r="M52" s="64">
        <v>36.92</v>
      </c>
      <c r="N52" s="64">
        <v>636.70000000000005</v>
      </c>
      <c r="O52" s="64">
        <v>0</v>
      </c>
      <c r="P52" s="64">
        <v>1.01</v>
      </c>
      <c r="Q52" s="64">
        <v>9.66</v>
      </c>
      <c r="R52" s="198"/>
      <c r="S52" s="198"/>
      <c r="T52" s="198"/>
      <c r="U52" s="198"/>
    </row>
    <row r="53" spans="1:21" s="12" customFormat="1" x14ac:dyDescent="0.25">
      <c r="A53" s="214" t="s">
        <v>672</v>
      </c>
      <c r="B53" s="64">
        <v>84.36</v>
      </c>
      <c r="C53" s="64">
        <v>58.41</v>
      </c>
      <c r="D53" s="64">
        <v>96.79</v>
      </c>
      <c r="E53" s="64">
        <v>6.91</v>
      </c>
      <c r="F53" s="64">
        <v>2.13</v>
      </c>
      <c r="G53" s="64">
        <v>72.89</v>
      </c>
      <c r="H53" s="64">
        <v>31.05</v>
      </c>
      <c r="I53" s="210" t="s">
        <v>43</v>
      </c>
      <c r="J53" s="64">
        <v>0.93</v>
      </c>
      <c r="K53" s="64">
        <v>104.83</v>
      </c>
      <c r="L53" s="64">
        <v>21.8</v>
      </c>
      <c r="M53" s="64">
        <v>36.32</v>
      </c>
      <c r="N53" s="64">
        <v>659.9</v>
      </c>
      <c r="O53" s="64">
        <v>0</v>
      </c>
      <c r="P53" s="64">
        <v>0.97</v>
      </c>
      <c r="Q53" s="64">
        <v>9.6</v>
      </c>
      <c r="R53" s="198"/>
      <c r="S53" s="198"/>
      <c r="T53" s="198"/>
      <c r="U53" s="198"/>
    </row>
    <row r="54" spans="1:21" s="12" customFormat="1" x14ac:dyDescent="0.25">
      <c r="A54" s="214" t="s">
        <v>673</v>
      </c>
      <c r="B54" s="64">
        <v>77.290000000000006</v>
      </c>
      <c r="C54" s="64">
        <v>59.64</v>
      </c>
      <c r="D54" s="64">
        <v>91.76</v>
      </c>
      <c r="E54" s="64">
        <v>7.23</v>
      </c>
      <c r="F54" s="64">
        <v>2.13</v>
      </c>
      <c r="G54" s="64">
        <v>72.89</v>
      </c>
      <c r="H54" s="64">
        <v>31.05</v>
      </c>
      <c r="I54" s="210" t="s">
        <v>43</v>
      </c>
      <c r="J54" s="64">
        <v>0.55000000000000004</v>
      </c>
      <c r="K54" s="64">
        <v>98.72</v>
      </c>
      <c r="L54" s="64">
        <v>23.25</v>
      </c>
      <c r="M54" s="64">
        <v>33.409999999999997</v>
      </c>
      <c r="N54" s="64">
        <v>667.8</v>
      </c>
      <c r="O54" s="64">
        <v>0</v>
      </c>
      <c r="P54" s="64">
        <v>0.95</v>
      </c>
      <c r="Q54" s="64">
        <v>9.57</v>
      </c>
      <c r="R54" s="198"/>
      <c r="S54" s="198"/>
      <c r="T54" s="198"/>
      <c r="U54" s="198"/>
    </row>
    <row r="55" spans="1:21" s="12" customFormat="1" x14ac:dyDescent="0.25">
      <c r="A55" s="214" t="s">
        <v>674</v>
      </c>
      <c r="B55" s="64">
        <v>70.290000000000006</v>
      </c>
      <c r="C55" s="64">
        <v>61.38</v>
      </c>
      <c r="D55" s="64">
        <v>87.06</v>
      </c>
      <c r="E55" s="64">
        <v>6.8</v>
      </c>
      <c r="F55" s="64">
        <v>2.13</v>
      </c>
      <c r="G55" s="64">
        <v>71.95</v>
      </c>
      <c r="H55" s="64">
        <v>30.99</v>
      </c>
      <c r="I55" s="210" t="s">
        <v>43</v>
      </c>
      <c r="J55" s="64">
        <v>1.1200000000000001</v>
      </c>
      <c r="K55" s="64">
        <v>107.76</v>
      </c>
      <c r="L55" s="64">
        <v>22.75</v>
      </c>
      <c r="M55" s="64">
        <v>33.69</v>
      </c>
      <c r="N55" s="64">
        <v>693.2</v>
      </c>
      <c r="O55" s="64">
        <v>0</v>
      </c>
      <c r="P55" s="64">
        <v>0.91</v>
      </c>
      <c r="Q55" s="64">
        <v>9.5399999999999991</v>
      </c>
      <c r="R55" s="198"/>
      <c r="S55" s="198"/>
      <c r="T55" s="198"/>
      <c r="U55" s="198"/>
    </row>
    <row r="56" spans="1:21" s="12" customFormat="1" x14ac:dyDescent="0.25">
      <c r="A56" s="214" t="s">
        <v>675</v>
      </c>
      <c r="B56" s="64">
        <v>63.58</v>
      </c>
      <c r="C56" s="64">
        <v>62.89</v>
      </c>
      <c r="D56" s="64">
        <v>82.47</v>
      </c>
      <c r="E56" s="64">
        <v>6.8</v>
      </c>
      <c r="F56" s="64">
        <v>2.13</v>
      </c>
      <c r="G56" s="64">
        <v>71.55</v>
      </c>
      <c r="H56" s="64">
        <v>30.97</v>
      </c>
      <c r="I56" s="210" t="s">
        <v>43</v>
      </c>
      <c r="J56" s="64">
        <v>0.76</v>
      </c>
      <c r="K56" s="64">
        <v>96.06</v>
      </c>
      <c r="L56" s="64">
        <v>22.92</v>
      </c>
      <c r="M56" s="64">
        <v>32.79</v>
      </c>
      <c r="N56" s="64">
        <v>716</v>
      </c>
      <c r="O56" s="64">
        <v>0</v>
      </c>
      <c r="P56" s="64">
        <v>0.88</v>
      </c>
      <c r="Q56" s="64">
        <v>9.4700000000000006</v>
      </c>
      <c r="R56" s="198"/>
      <c r="S56" s="198"/>
      <c r="T56" s="198"/>
      <c r="U56" s="198"/>
    </row>
    <row r="57" spans="1:21" s="12" customFormat="1" x14ac:dyDescent="0.25">
      <c r="A57" s="214" t="s">
        <v>676</v>
      </c>
      <c r="B57" s="64">
        <v>57.38</v>
      </c>
      <c r="C57" s="64">
        <v>64.67</v>
      </c>
      <c r="D57" s="64">
        <v>78.42</v>
      </c>
      <c r="E57" s="64">
        <v>7.01</v>
      </c>
      <c r="F57" s="64">
        <v>2.13</v>
      </c>
      <c r="G57" s="64">
        <v>71.55</v>
      </c>
      <c r="H57" s="64">
        <v>30.97</v>
      </c>
      <c r="I57" s="210" t="s">
        <v>43</v>
      </c>
      <c r="J57" s="64">
        <v>0.75</v>
      </c>
      <c r="K57" s="64">
        <v>17.54</v>
      </c>
      <c r="L57" s="64">
        <v>25.13</v>
      </c>
      <c r="M57" s="64">
        <v>28.63</v>
      </c>
      <c r="N57" s="64">
        <v>723.7</v>
      </c>
      <c r="O57" s="64">
        <v>0</v>
      </c>
      <c r="P57" s="64">
        <v>0.84</v>
      </c>
      <c r="Q57" s="64">
        <v>9.42</v>
      </c>
      <c r="R57" s="198"/>
      <c r="S57" s="198"/>
      <c r="T57" s="198"/>
      <c r="U57" s="198"/>
    </row>
    <row r="58" spans="1:21" s="12" customFormat="1" x14ac:dyDescent="0.25">
      <c r="A58" s="214" t="s">
        <v>677</v>
      </c>
      <c r="B58" s="64">
        <v>51.88</v>
      </c>
      <c r="C58" s="64">
        <v>65.239999999999995</v>
      </c>
      <c r="D58" s="64">
        <v>74.31</v>
      </c>
      <c r="E58" s="64">
        <v>6.98</v>
      </c>
      <c r="F58" s="64">
        <v>2.13</v>
      </c>
      <c r="G58" s="64">
        <v>71.55</v>
      </c>
      <c r="H58" s="64">
        <v>30.97</v>
      </c>
      <c r="I58" s="210" t="s">
        <v>43</v>
      </c>
      <c r="J58" s="64">
        <v>0.33</v>
      </c>
      <c r="K58" s="64">
        <v>338.93</v>
      </c>
      <c r="L58" s="64">
        <v>24.73</v>
      </c>
      <c r="M58" s="64">
        <v>28.82</v>
      </c>
      <c r="N58" s="64">
        <v>710.4</v>
      </c>
      <c r="O58" s="64">
        <v>0</v>
      </c>
      <c r="P58" s="64">
        <v>0.82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14" t="s">
        <v>678</v>
      </c>
      <c r="B59" s="64">
        <v>47.71</v>
      </c>
      <c r="C59" s="64">
        <v>65.22</v>
      </c>
      <c r="D59" s="64">
        <v>70.959999999999994</v>
      </c>
      <c r="E59" s="64">
        <v>6.45</v>
      </c>
      <c r="F59" s="64">
        <v>2.13</v>
      </c>
      <c r="G59" s="64">
        <v>68.25</v>
      </c>
      <c r="H59" s="64">
        <v>31.31</v>
      </c>
      <c r="I59" s="210" t="s">
        <v>43</v>
      </c>
      <c r="J59" s="64">
        <v>1.61</v>
      </c>
      <c r="K59" s="64">
        <v>331.78</v>
      </c>
      <c r="L59" s="64">
        <v>27.11</v>
      </c>
      <c r="M59" s="64">
        <v>24.84</v>
      </c>
      <c r="N59" s="64">
        <v>701.8</v>
      </c>
      <c r="O59" s="64">
        <v>0</v>
      </c>
      <c r="P59" s="64">
        <v>0.8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4" t="s">
        <v>679</v>
      </c>
      <c r="B60" s="64">
        <v>44.73</v>
      </c>
      <c r="C60" s="64">
        <v>65.77</v>
      </c>
      <c r="D60" s="64">
        <v>68.86</v>
      </c>
      <c r="E60" s="64">
        <v>6.49</v>
      </c>
      <c r="F60" s="64">
        <v>2.13</v>
      </c>
      <c r="G60" s="64">
        <v>66.83</v>
      </c>
      <c r="H60" s="64">
        <v>31.45</v>
      </c>
      <c r="I60" s="210" t="s">
        <v>43</v>
      </c>
      <c r="J60" s="64">
        <v>1.5</v>
      </c>
      <c r="K60" s="64">
        <v>341.9</v>
      </c>
      <c r="L60" s="64">
        <v>26.92</v>
      </c>
      <c r="M60" s="64">
        <v>24.48</v>
      </c>
      <c r="N60" s="64">
        <v>686.2</v>
      </c>
      <c r="O60" s="64">
        <v>0</v>
      </c>
      <c r="P60" s="64">
        <v>0.79</v>
      </c>
      <c r="Q60" s="64">
        <v>9.3000000000000007</v>
      </c>
      <c r="R60" s="198"/>
      <c r="S60" s="198"/>
      <c r="T60" s="198"/>
      <c r="U60" s="198"/>
    </row>
    <row r="61" spans="1:21" s="12" customFormat="1" x14ac:dyDescent="0.25">
      <c r="A61" s="214" t="s">
        <v>680</v>
      </c>
      <c r="B61" s="64">
        <v>41.75</v>
      </c>
      <c r="C61" s="64">
        <v>66.39</v>
      </c>
      <c r="D61" s="64">
        <v>66.790000000000006</v>
      </c>
      <c r="E61" s="64">
        <v>6.37</v>
      </c>
      <c r="F61" s="64">
        <v>2.13</v>
      </c>
      <c r="G61" s="64">
        <v>66.83</v>
      </c>
      <c r="H61" s="64">
        <v>31.45</v>
      </c>
      <c r="I61" s="210" t="s">
        <v>43</v>
      </c>
      <c r="J61" s="64">
        <v>0.63</v>
      </c>
      <c r="K61" s="64">
        <v>95.28</v>
      </c>
      <c r="L61" s="64">
        <v>26.04</v>
      </c>
      <c r="M61" s="64">
        <v>25.23</v>
      </c>
      <c r="N61" s="64">
        <v>684.9</v>
      </c>
      <c r="O61" s="64">
        <v>0</v>
      </c>
      <c r="P61" s="64">
        <v>0.83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4" t="s">
        <v>681</v>
      </c>
      <c r="B62" s="64">
        <v>38.659999999999997</v>
      </c>
      <c r="C62" s="64">
        <v>66.02</v>
      </c>
      <c r="D62" s="64">
        <v>64.12</v>
      </c>
      <c r="E62" s="64">
        <v>6.46</v>
      </c>
      <c r="F62" s="64">
        <v>2.13</v>
      </c>
      <c r="G62" s="64">
        <v>66.83</v>
      </c>
      <c r="H62" s="64">
        <v>31.45</v>
      </c>
      <c r="I62" s="210" t="s">
        <v>43</v>
      </c>
      <c r="J62" s="64">
        <v>1.43</v>
      </c>
      <c r="K62" s="64">
        <v>320.98</v>
      </c>
      <c r="L62" s="64">
        <v>25.18</v>
      </c>
      <c r="M62" s="64">
        <v>26.29</v>
      </c>
      <c r="N62" s="64">
        <v>679.8</v>
      </c>
      <c r="O62" s="64">
        <v>0</v>
      </c>
      <c r="P62" s="64">
        <v>0.83</v>
      </c>
      <c r="Q62" s="64">
        <v>8.9</v>
      </c>
      <c r="R62" s="198"/>
      <c r="S62" s="198"/>
      <c r="T62" s="198"/>
      <c r="U62" s="198"/>
    </row>
    <row r="63" spans="1:21" s="12" customFormat="1" x14ac:dyDescent="0.25">
      <c r="A63" s="214" t="s">
        <v>682</v>
      </c>
      <c r="B63" s="64">
        <v>35.74</v>
      </c>
      <c r="C63" s="64">
        <v>66.430000000000007</v>
      </c>
      <c r="D63" s="64">
        <v>61.99</v>
      </c>
      <c r="E63" s="64">
        <v>6.8</v>
      </c>
      <c r="F63" s="64">
        <v>2.13</v>
      </c>
      <c r="G63" s="64">
        <v>62.03</v>
      </c>
      <c r="H63" s="64">
        <v>26.59</v>
      </c>
      <c r="I63" s="210" t="s">
        <v>43</v>
      </c>
      <c r="J63" s="64">
        <v>2.0299999999999998</v>
      </c>
      <c r="K63" s="64">
        <v>331.05</v>
      </c>
      <c r="L63" s="64">
        <v>26.81</v>
      </c>
      <c r="M63" s="64">
        <v>24.93</v>
      </c>
      <c r="N63" s="64">
        <v>629.79999999999995</v>
      </c>
      <c r="O63" s="64">
        <v>0</v>
      </c>
      <c r="P63" s="64">
        <v>0.82</v>
      </c>
      <c r="Q63" s="64">
        <v>8.6999999999999993</v>
      </c>
      <c r="R63" s="198"/>
      <c r="S63" s="198"/>
      <c r="T63" s="198"/>
      <c r="U63" s="198"/>
    </row>
    <row r="64" spans="1:21" s="12" customFormat="1" x14ac:dyDescent="0.25">
      <c r="A64" s="214" t="s">
        <v>683</v>
      </c>
      <c r="B64" s="64">
        <v>33.4</v>
      </c>
      <c r="C64" s="64">
        <v>67.22</v>
      </c>
      <c r="D64" s="64">
        <v>60.53</v>
      </c>
      <c r="E64" s="64">
        <v>6.3</v>
      </c>
      <c r="F64" s="64">
        <v>2.13</v>
      </c>
      <c r="G64" s="64">
        <v>59.97</v>
      </c>
      <c r="H64" s="64">
        <v>24.51</v>
      </c>
      <c r="I64" s="210" t="s">
        <v>43</v>
      </c>
      <c r="J64" s="64">
        <v>0.55000000000000004</v>
      </c>
      <c r="K64" s="64">
        <v>2.81</v>
      </c>
      <c r="L64" s="64">
        <v>26.63</v>
      </c>
      <c r="M64" s="64">
        <v>24.38</v>
      </c>
      <c r="N64" s="64">
        <v>614.1</v>
      </c>
      <c r="O64" s="64">
        <v>0</v>
      </c>
      <c r="P64" s="64">
        <v>0.8</v>
      </c>
      <c r="Q64" s="64">
        <v>8.5399999999999991</v>
      </c>
      <c r="R64" s="198"/>
      <c r="S64" s="198"/>
      <c r="T64" s="198"/>
      <c r="U64" s="198"/>
    </row>
    <row r="65" spans="1:21" s="12" customFormat="1" x14ac:dyDescent="0.25">
      <c r="A65" s="214" t="s">
        <v>684</v>
      </c>
      <c r="B65" s="64">
        <v>31.05</v>
      </c>
      <c r="C65" s="64">
        <v>67.150000000000006</v>
      </c>
      <c r="D65" s="64">
        <v>58.6</v>
      </c>
      <c r="E65" s="64">
        <v>6.35</v>
      </c>
      <c r="F65" s="64">
        <v>2.13</v>
      </c>
      <c r="G65" s="64">
        <v>59.97</v>
      </c>
      <c r="H65" s="64">
        <v>24.51</v>
      </c>
      <c r="I65" s="210" t="s">
        <v>43</v>
      </c>
      <c r="J65" s="64">
        <v>0.72</v>
      </c>
      <c r="K65" s="64">
        <v>353.11</v>
      </c>
      <c r="L65" s="64">
        <v>25.08</v>
      </c>
      <c r="M65" s="64">
        <v>26.7</v>
      </c>
      <c r="N65" s="64">
        <v>539.9</v>
      </c>
      <c r="O65" s="64">
        <v>0</v>
      </c>
      <c r="P65" s="64">
        <v>0.79</v>
      </c>
      <c r="Q65" s="64">
        <v>8.3800000000000008</v>
      </c>
      <c r="R65" s="198"/>
      <c r="S65" s="198"/>
      <c r="T65" s="198"/>
      <c r="U65" s="198"/>
    </row>
    <row r="66" spans="1:21" s="12" customFormat="1" x14ac:dyDescent="0.25">
      <c r="A66" s="214" t="s">
        <v>685</v>
      </c>
      <c r="B66" s="64">
        <v>28.3</v>
      </c>
      <c r="C66" s="64">
        <v>67.33</v>
      </c>
      <c r="D66" s="64">
        <v>56.5</v>
      </c>
      <c r="E66" s="64">
        <v>6.65</v>
      </c>
      <c r="F66" s="64">
        <v>2.13</v>
      </c>
      <c r="G66" s="64">
        <v>59.97</v>
      </c>
      <c r="H66" s="64">
        <v>24.51</v>
      </c>
      <c r="I66" s="210" t="s">
        <v>43</v>
      </c>
      <c r="J66" s="64">
        <v>1.88</v>
      </c>
      <c r="K66" s="64">
        <v>330.25</v>
      </c>
      <c r="L66" s="64">
        <v>25.88</v>
      </c>
      <c r="M66" s="64">
        <v>26.34</v>
      </c>
      <c r="N66" s="64">
        <v>341.4</v>
      </c>
      <c r="O66" s="64">
        <v>0</v>
      </c>
      <c r="P66" s="64">
        <v>0.79</v>
      </c>
      <c r="Q66" s="64">
        <v>8.23</v>
      </c>
      <c r="R66" s="198"/>
      <c r="S66" s="198"/>
      <c r="T66" s="198"/>
      <c r="U66" s="198"/>
    </row>
    <row r="67" spans="1:21" s="12" customFormat="1" x14ac:dyDescent="0.25">
      <c r="A67" s="214" t="s">
        <v>686</v>
      </c>
      <c r="B67" s="64">
        <v>25.03</v>
      </c>
      <c r="C67" s="64">
        <v>68.540000000000006</v>
      </c>
      <c r="D67" s="64">
        <v>54.51</v>
      </c>
      <c r="E67" s="64">
        <v>6.96</v>
      </c>
      <c r="F67" s="64">
        <v>2.13</v>
      </c>
      <c r="G67" s="64">
        <v>63.42</v>
      </c>
      <c r="H67" s="64">
        <v>25.2</v>
      </c>
      <c r="I67" s="210" t="s">
        <v>43</v>
      </c>
      <c r="J67" s="64">
        <v>0.16</v>
      </c>
      <c r="K67" s="64">
        <v>331.66</v>
      </c>
      <c r="L67" s="64">
        <v>24.73</v>
      </c>
      <c r="M67" s="64">
        <v>27.58</v>
      </c>
      <c r="N67" s="64">
        <v>311.60000000000002</v>
      </c>
      <c r="O67" s="64">
        <v>0</v>
      </c>
      <c r="P67" s="64">
        <v>0.78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687</v>
      </c>
      <c r="B68" s="64">
        <v>21.59</v>
      </c>
      <c r="C68" s="64">
        <v>69.19</v>
      </c>
      <c r="D68" s="64">
        <v>52.09</v>
      </c>
      <c r="E68" s="64">
        <v>6.13</v>
      </c>
      <c r="F68" s="64">
        <v>2.13</v>
      </c>
      <c r="G68" s="64">
        <v>64.89</v>
      </c>
      <c r="H68" s="64">
        <v>25.5</v>
      </c>
      <c r="I68" s="210" t="s">
        <v>43</v>
      </c>
      <c r="J68" s="64">
        <v>0.54</v>
      </c>
      <c r="K68" s="64">
        <v>34.840000000000003</v>
      </c>
      <c r="L68" s="64">
        <v>24.08</v>
      </c>
      <c r="M68" s="64">
        <v>28.57</v>
      </c>
      <c r="N68" s="64">
        <v>264</v>
      </c>
      <c r="O68" s="64">
        <v>0</v>
      </c>
      <c r="P68" s="64">
        <v>0.76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688</v>
      </c>
      <c r="B69" s="64">
        <v>18.63</v>
      </c>
      <c r="C69" s="64">
        <v>69.72</v>
      </c>
      <c r="D69" s="64">
        <v>49.99</v>
      </c>
      <c r="E69" s="64">
        <v>6.26</v>
      </c>
      <c r="F69" s="64">
        <v>2.13</v>
      </c>
      <c r="G69" s="64">
        <v>64.89</v>
      </c>
      <c r="H69" s="64">
        <v>25.5</v>
      </c>
      <c r="I69" s="210" t="s">
        <v>43</v>
      </c>
      <c r="J69" s="64">
        <v>1.18</v>
      </c>
      <c r="K69" s="64">
        <v>340.14</v>
      </c>
      <c r="L69" s="64">
        <v>24.54</v>
      </c>
      <c r="M69" s="64">
        <v>27.28</v>
      </c>
      <c r="N69" s="64">
        <v>216.4</v>
      </c>
      <c r="O69" s="64">
        <v>0</v>
      </c>
      <c r="P69" s="64">
        <v>0.76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689</v>
      </c>
      <c r="B70" s="64">
        <v>16</v>
      </c>
      <c r="C70" s="64">
        <v>70.56</v>
      </c>
      <c r="D70" s="64">
        <v>48.32</v>
      </c>
      <c r="E70" s="64">
        <v>6.23</v>
      </c>
      <c r="F70" s="64">
        <v>2.13</v>
      </c>
      <c r="G70" s="64">
        <v>64.89</v>
      </c>
      <c r="H70" s="64">
        <v>25.5</v>
      </c>
      <c r="I70" s="210" t="s">
        <v>43</v>
      </c>
      <c r="J70" s="64">
        <v>1.27</v>
      </c>
      <c r="K70" s="64">
        <v>343.66</v>
      </c>
      <c r="L70" s="64">
        <v>23.87</v>
      </c>
      <c r="M70" s="64">
        <v>28.78</v>
      </c>
      <c r="N70" s="64">
        <v>174.2</v>
      </c>
      <c r="O70" s="64">
        <v>0</v>
      </c>
      <c r="P70" s="64">
        <v>0.76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690</v>
      </c>
      <c r="B71" s="64">
        <v>13.89</v>
      </c>
      <c r="C71" s="64">
        <v>71.239999999999995</v>
      </c>
      <c r="D71" s="64">
        <v>46.98</v>
      </c>
      <c r="E71" s="64">
        <v>6.25</v>
      </c>
      <c r="F71" s="64">
        <v>2.13</v>
      </c>
      <c r="G71" s="64">
        <v>69.25</v>
      </c>
      <c r="H71" s="64">
        <v>25.55</v>
      </c>
      <c r="I71" s="210" t="s">
        <v>43</v>
      </c>
      <c r="J71" s="64">
        <v>1.49</v>
      </c>
      <c r="K71" s="64">
        <v>329.6</v>
      </c>
      <c r="L71" s="64">
        <v>23.65</v>
      </c>
      <c r="M71" s="64">
        <v>29.22</v>
      </c>
      <c r="N71" s="64">
        <v>165.8</v>
      </c>
      <c r="O71" s="64">
        <v>0</v>
      </c>
      <c r="P71" s="64">
        <v>0.75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691</v>
      </c>
      <c r="B72" s="64">
        <v>12.04</v>
      </c>
      <c r="C72" s="64">
        <v>72.31</v>
      </c>
      <c r="D72" s="64">
        <v>46.06</v>
      </c>
      <c r="E72" s="64">
        <v>6.4</v>
      </c>
      <c r="F72" s="64">
        <v>2.13</v>
      </c>
      <c r="G72" s="64">
        <v>71.209999999999994</v>
      </c>
      <c r="H72" s="64">
        <v>25.57</v>
      </c>
      <c r="I72" s="210" t="s">
        <v>43</v>
      </c>
      <c r="J72" s="64">
        <v>1.29</v>
      </c>
      <c r="K72" s="64">
        <v>333.45</v>
      </c>
      <c r="L72" s="64">
        <v>23.35</v>
      </c>
      <c r="M72" s="64">
        <v>29.36</v>
      </c>
      <c r="N72" s="64">
        <v>158</v>
      </c>
      <c r="O72" s="64">
        <v>0</v>
      </c>
      <c r="P72" s="64">
        <v>0.74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692</v>
      </c>
      <c r="B73" s="64">
        <v>10.45</v>
      </c>
      <c r="C73" s="64">
        <v>72.72</v>
      </c>
      <c r="D73" s="64">
        <v>45</v>
      </c>
      <c r="E73" s="64">
        <v>6.48</v>
      </c>
      <c r="F73" s="64">
        <v>2.13</v>
      </c>
      <c r="G73" s="64">
        <v>71.209999999999994</v>
      </c>
      <c r="H73" s="64">
        <v>25.57</v>
      </c>
      <c r="I73" s="210" t="s">
        <v>43</v>
      </c>
      <c r="J73" s="64">
        <v>0.63</v>
      </c>
      <c r="K73" s="64">
        <v>357.39</v>
      </c>
      <c r="L73" s="64">
        <v>22.85</v>
      </c>
      <c r="M73" s="64">
        <v>30.21</v>
      </c>
      <c r="N73" s="64">
        <v>151.1</v>
      </c>
      <c r="O73" s="64">
        <v>0</v>
      </c>
      <c r="P73" s="64">
        <v>0.75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693</v>
      </c>
      <c r="B74" s="64">
        <v>8.81</v>
      </c>
      <c r="C74" s="64">
        <v>72.8</v>
      </c>
      <c r="D74" s="64">
        <v>43.72</v>
      </c>
      <c r="E74" s="64">
        <v>6.12</v>
      </c>
      <c r="F74" s="64">
        <v>2.13</v>
      </c>
      <c r="G74" s="64">
        <v>71.209999999999994</v>
      </c>
      <c r="H74" s="64">
        <v>25.57</v>
      </c>
      <c r="I74" s="210" t="s">
        <v>43</v>
      </c>
      <c r="J74" s="64">
        <v>1.04</v>
      </c>
      <c r="K74" s="64">
        <v>118.85</v>
      </c>
      <c r="L74" s="64">
        <v>22.28</v>
      </c>
      <c r="M74" s="64">
        <v>30.24</v>
      </c>
      <c r="N74" s="64">
        <v>144</v>
      </c>
      <c r="O74" s="64">
        <v>0</v>
      </c>
      <c r="P74" s="64">
        <v>0.73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694</v>
      </c>
      <c r="B75" s="64">
        <v>7.33</v>
      </c>
      <c r="C75" s="64">
        <v>70.599999999999994</v>
      </c>
      <c r="D75" s="64">
        <v>41.39</v>
      </c>
      <c r="E75" s="64">
        <v>5.49</v>
      </c>
      <c r="F75" s="64">
        <v>2.13</v>
      </c>
      <c r="G75" s="64">
        <v>68.47</v>
      </c>
      <c r="H75" s="64">
        <v>25.74</v>
      </c>
      <c r="I75" s="210" t="s">
        <v>43</v>
      </c>
      <c r="J75" s="64">
        <v>1.08</v>
      </c>
      <c r="K75" s="64">
        <v>111.39</v>
      </c>
      <c r="L75" s="64">
        <v>21.97</v>
      </c>
      <c r="M75" s="64">
        <v>30.75</v>
      </c>
      <c r="N75" s="64">
        <v>135.69999999999999</v>
      </c>
      <c r="O75" s="64">
        <v>0</v>
      </c>
      <c r="P75" s="64">
        <v>0.63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695</v>
      </c>
      <c r="B76" s="64">
        <v>6.53</v>
      </c>
      <c r="C76" s="64">
        <v>68.34</v>
      </c>
      <c r="D76" s="64">
        <v>39.57</v>
      </c>
      <c r="E76" s="64">
        <v>5.78</v>
      </c>
      <c r="F76" s="64">
        <v>2.13</v>
      </c>
      <c r="G76" s="64">
        <v>67.290000000000006</v>
      </c>
      <c r="H76" s="64">
        <v>25.82</v>
      </c>
      <c r="I76" s="210" t="s">
        <v>43</v>
      </c>
      <c r="J76" s="64">
        <v>0.95</v>
      </c>
      <c r="K76" s="64">
        <v>338.72</v>
      </c>
      <c r="L76" s="64">
        <v>21.54</v>
      </c>
      <c r="M76" s="64">
        <v>34.9</v>
      </c>
      <c r="N76" s="64">
        <v>127.8</v>
      </c>
      <c r="O76" s="64">
        <v>0</v>
      </c>
      <c r="P76" s="64">
        <v>0.63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696</v>
      </c>
      <c r="B77" s="64">
        <v>6.07</v>
      </c>
      <c r="C77" s="64">
        <v>66.66</v>
      </c>
      <c r="D77" s="64">
        <v>38.32</v>
      </c>
      <c r="E77" s="64">
        <v>5.84</v>
      </c>
      <c r="F77" s="64">
        <v>2.13</v>
      </c>
      <c r="G77" s="64">
        <v>67.290000000000006</v>
      </c>
      <c r="H77" s="64">
        <v>25.82</v>
      </c>
      <c r="I77" s="210" t="s">
        <v>43</v>
      </c>
      <c r="J77" s="64">
        <v>0.83</v>
      </c>
      <c r="K77" s="64">
        <v>312.3</v>
      </c>
      <c r="L77" s="64">
        <v>20.69</v>
      </c>
      <c r="M77" s="64">
        <v>39.71</v>
      </c>
      <c r="N77" s="64">
        <v>119.5</v>
      </c>
      <c r="O77" s="64">
        <v>0</v>
      </c>
      <c r="P77" s="64">
        <v>0.67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697</v>
      </c>
      <c r="B78" s="64">
        <v>7.09</v>
      </c>
      <c r="C78" s="64">
        <v>66.97</v>
      </c>
      <c r="D78" s="64">
        <v>39.29</v>
      </c>
      <c r="E78" s="64">
        <v>5.73</v>
      </c>
      <c r="F78" s="64">
        <v>2.13</v>
      </c>
      <c r="G78" s="64">
        <v>67.290000000000006</v>
      </c>
      <c r="H78" s="64">
        <v>25.82</v>
      </c>
      <c r="I78" s="210" t="s">
        <v>43</v>
      </c>
      <c r="J78" s="64">
        <v>0.87</v>
      </c>
      <c r="K78" s="64">
        <v>305.10000000000002</v>
      </c>
      <c r="L78" s="64">
        <v>19.79</v>
      </c>
      <c r="M78" s="64">
        <v>44.49</v>
      </c>
      <c r="N78" s="64">
        <v>111.8</v>
      </c>
      <c r="O78" s="64">
        <v>0</v>
      </c>
      <c r="P78" s="64">
        <v>0.88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698</v>
      </c>
      <c r="B79" s="64">
        <v>9.58</v>
      </c>
      <c r="C79" s="64">
        <v>67.849999999999994</v>
      </c>
      <c r="D79" s="64">
        <v>41.75</v>
      </c>
      <c r="E79" s="64">
        <v>6.11</v>
      </c>
      <c r="F79" s="64">
        <v>2.13</v>
      </c>
      <c r="G79" s="64">
        <v>81.14</v>
      </c>
      <c r="H79" s="64">
        <v>28.52</v>
      </c>
      <c r="I79" s="210" t="s">
        <v>43</v>
      </c>
      <c r="J79" s="64">
        <v>1.08</v>
      </c>
      <c r="K79" s="64">
        <v>256.92</v>
      </c>
      <c r="L79" s="64">
        <v>18.77</v>
      </c>
      <c r="M79" s="64">
        <v>46.36</v>
      </c>
      <c r="N79" s="64">
        <v>107.1</v>
      </c>
      <c r="O79" s="64">
        <v>0</v>
      </c>
      <c r="P79" s="64">
        <v>0.78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699</v>
      </c>
      <c r="B80" s="64">
        <v>12.17</v>
      </c>
      <c r="C80" s="64">
        <v>68.69</v>
      </c>
      <c r="D80" s="64">
        <v>44.27</v>
      </c>
      <c r="E80" s="64">
        <v>5.85</v>
      </c>
      <c r="F80" s="64">
        <v>2.13</v>
      </c>
      <c r="G80" s="64">
        <v>87.4</v>
      </c>
      <c r="H80" s="64">
        <v>29.68</v>
      </c>
      <c r="I80" s="210" t="s">
        <v>43</v>
      </c>
      <c r="J80" s="64">
        <v>0.65</v>
      </c>
      <c r="K80" s="64">
        <v>288.7</v>
      </c>
      <c r="L80" s="64">
        <v>17.899999999999999</v>
      </c>
      <c r="M80" s="64">
        <v>48.81</v>
      </c>
      <c r="N80" s="64">
        <v>105.5</v>
      </c>
      <c r="O80" s="64">
        <v>0</v>
      </c>
      <c r="P80" s="64">
        <v>0.86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700</v>
      </c>
      <c r="B81" s="64">
        <v>15.37</v>
      </c>
      <c r="C81" s="64">
        <v>69.7</v>
      </c>
      <c r="D81" s="64">
        <v>47.36</v>
      </c>
      <c r="E81" s="64">
        <v>5.97</v>
      </c>
      <c r="F81" s="64">
        <v>2.13</v>
      </c>
      <c r="G81" s="64">
        <v>87.4</v>
      </c>
      <c r="H81" s="64">
        <v>29.68</v>
      </c>
      <c r="I81" s="210" t="s">
        <v>43</v>
      </c>
      <c r="J81" s="64">
        <v>1.05</v>
      </c>
      <c r="K81" s="64">
        <v>295.3</v>
      </c>
      <c r="L81" s="64">
        <v>17.309999999999999</v>
      </c>
      <c r="M81" s="64">
        <v>51.2</v>
      </c>
      <c r="N81" s="64">
        <v>105.5</v>
      </c>
      <c r="O81" s="64">
        <v>0</v>
      </c>
      <c r="P81" s="64">
        <v>0.89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701</v>
      </c>
      <c r="B82" s="64">
        <v>19.77</v>
      </c>
      <c r="C82" s="64">
        <v>70.78</v>
      </c>
      <c r="D82" s="64">
        <v>51.45</v>
      </c>
      <c r="E82" s="64">
        <v>6.62</v>
      </c>
      <c r="F82" s="64">
        <v>2.13</v>
      </c>
      <c r="G82" s="64">
        <v>87.4</v>
      </c>
      <c r="H82" s="64">
        <v>29.68</v>
      </c>
      <c r="I82" s="210" t="s">
        <v>43</v>
      </c>
      <c r="J82" s="64">
        <v>1.1100000000000001</v>
      </c>
      <c r="K82" s="64">
        <v>333.53</v>
      </c>
      <c r="L82" s="64">
        <v>16.79</v>
      </c>
      <c r="M82" s="64">
        <v>60.24</v>
      </c>
      <c r="N82" s="64">
        <v>105.5</v>
      </c>
      <c r="O82" s="64">
        <v>0</v>
      </c>
      <c r="P82" s="64">
        <v>0.85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702</v>
      </c>
      <c r="B83" s="64">
        <v>25.41</v>
      </c>
      <c r="C83" s="64">
        <v>71.59</v>
      </c>
      <c r="D83" s="64">
        <v>56.4</v>
      </c>
      <c r="E83" s="64">
        <v>6.74</v>
      </c>
      <c r="F83" s="64">
        <v>2.13</v>
      </c>
      <c r="G83" s="64">
        <v>320.60000000000002</v>
      </c>
      <c r="H83" s="64">
        <v>30.81</v>
      </c>
      <c r="I83" s="210" t="s">
        <v>43</v>
      </c>
      <c r="J83" s="64">
        <v>0.99</v>
      </c>
      <c r="K83" s="64">
        <v>91.86</v>
      </c>
      <c r="L83" s="64">
        <v>16.47</v>
      </c>
      <c r="M83" s="64">
        <v>65.27</v>
      </c>
      <c r="N83" s="64">
        <v>105.1</v>
      </c>
      <c r="O83" s="64">
        <v>0</v>
      </c>
      <c r="P83" s="64">
        <v>0.89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703</v>
      </c>
      <c r="B84" s="64">
        <v>27.51</v>
      </c>
      <c r="C84" s="64">
        <v>72.11</v>
      </c>
      <c r="D84" s="64">
        <v>58.36</v>
      </c>
      <c r="E84" s="64">
        <v>6.92</v>
      </c>
      <c r="F84" s="64">
        <v>2.13</v>
      </c>
      <c r="G84" s="64">
        <v>420.55</v>
      </c>
      <c r="H84" s="64">
        <v>31.3</v>
      </c>
      <c r="I84" s="210" t="s">
        <v>43</v>
      </c>
      <c r="J84" s="64">
        <v>0.72</v>
      </c>
      <c r="K84" s="64">
        <v>73.069999999999993</v>
      </c>
      <c r="L84" s="64">
        <v>17.170000000000002</v>
      </c>
      <c r="M84" s="64">
        <v>54.44</v>
      </c>
      <c r="N84" s="64">
        <v>105.2</v>
      </c>
      <c r="O84" s="64">
        <v>0</v>
      </c>
      <c r="P84" s="64">
        <v>1.06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704</v>
      </c>
      <c r="B85" s="64">
        <v>27.66</v>
      </c>
      <c r="C85" s="64">
        <v>72.86</v>
      </c>
      <c r="D85" s="64">
        <v>58.87</v>
      </c>
      <c r="E85" s="64">
        <v>7.36</v>
      </c>
      <c r="F85" s="64">
        <v>2.13</v>
      </c>
      <c r="G85" s="64">
        <v>420.55</v>
      </c>
      <c r="H85" s="64">
        <v>31.3</v>
      </c>
      <c r="I85" s="210" t="s">
        <v>43</v>
      </c>
      <c r="J85" s="64">
        <v>0.83</v>
      </c>
      <c r="K85" s="64">
        <v>218.29</v>
      </c>
      <c r="L85" s="64">
        <v>17.09</v>
      </c>
      <c r="M85" s="64">
        <v>55.51</v>
      </c>
      <c r="N85" s="64">
        <v>105.2</v>
      </c>
      <c r="O85" s="64">
        <v>0</v>
      </c>
      <c r="P85" s="64">
        <v>1.03</v>
      </c>
      <c r="Q85" s="64">
        <v>8.2200000000000006</v>
      </c>
      <c r="R85" s="198"/>
      <c r="S85" s="198"/>
      <c r="T85" s="198"/>
      <c r="U85" s="198"/>
    </row>
    <row r="86" spans="1:26" s="12" customFormat="1" x14ac:dyDescent="0.25">
      <c r="A86" s="214" t="s">
        <v>705</v>
      </c>
      <c r="B86" s="64">
        <v>28.63</v>
      </c>
      <c r="C86" s="64">
        <v>73.81</v>
      </c>
      <c r="D86" s="64">
        <v>60.14</v>
      </c>
      <c r="E86" s="64">
        <v>7.35</v>
      </c>
      <c r="F86" s="64">
        <v>2.13</v>
      </c>
      <c r="G86" s="64">
        <v>420.55</v>
      </c>
      <c r="H86" s="64">
        <v>31.3</v>
      </c>
      <c r="I86" s="210" t="s">
        <v>43</v>
      </c>
      <c r="J86" s="64">
        <v>0.82</v>
      </c>
      <c r="K86" s="64">
        <v>329.49</v>
      </c>
      <c r="L86" s="64">
        <v>16.59</v>
      </c>
      <c r="M86" s="64">
        <v>58.68</v>
      </c>
      <c r="N86" s="64">
        <v>106</v>
      </c>
      <c r="O86" s="64">
        <v>0</v>
      </c>
      <c r="P86" s="64">
        <v>1.1000000000000001</v>
      </c>
      <c r="Q86" s="64">
        <v>8.27</v>
      </c>
      <c r="R86" s="198"/>
      <c r="S86" s="198"/>
      <c r="T86" s="198"/>
      <c r="U86" s="198"/>
    </row>
    <row r="87" spans="1:26" s="12" customFormat="1" x14ac:dyDescent="0.25">
      <c r="A87" s="214" t="s">
        <v>706</v>
      </c>
      <c r="B87" s="64">
        <v>31.87</v>
      </c>
      <c r="C87" s="64">
        <v>74.48</v>
      </c>
      <c r="D87" s="64">
        <v>63.09</v>
      </c>
      <c r="E87" s="64">
        <v>7.83</v>
      </c>
      <c r="F87" s="64">
        <v>2.13</v>
      </c>
      <c r="G87" s="64">
        <v>243.46</v>
      </c>
      <c r="H87" s="64">
        <v>35.19</v>
      </c>
      <c r="I87" s="210" t="s">
        <v>43</v>
      </c>
      <c r="J87" s="64">
        <v>0.61</v>
      </c>
      <c r="K87" s="64">
        <v>311.85000000000002</v>
      </c>
      <c r="L87" s="64">
        <v>15.97</v>
      </c>
      <c r="M87" s="64">
        <v>63.32</v>
      </c>
      <c r="N87" s="64">
        <v>106</v>
      </c>
      <c r="O87" s="64">
        <v>0</v>
      </c>
      <c r="P87" s="64">
        <v>1.2</v>
      </c>
      <c r="Q87" s="64">
        <v>8.44</v>
      </c>
      <c r="R87" s="198"/>
      <c r="S87" s="198"/>
      <c r="T87" s="198"/>
      <c r="U87" s="198"/>
    </row>
    <row r="88" spans="1:26" s="12" customFormat="1" x14ac:dyDescent="0.25">
      <c r="A88" s="214" t="s">
        <v>707</v>
      </c>
      <c r="B88" s="64">
        <v>36.46</v>
      </c>
      <c r="C88" s="64">
        <v>75.260000000000005</v>
      </c>
      <c r="D88" s="64">
        <v>67.180000000000007</v>
      </c>
      <c r="E88" s="64">
        <v>7.8</v>
      </c>
      <c r="F88" s="64">
        <v>2.13</v>
      </c>
      <c r="G88" s="64">
        <v>167.56</v>
      </c>
      <c r="H88" s="64">
        <v>36.85</v>
      </c>
      <c r="I88" s="210" t="s">
        <v>43</v>
      </c>
      <c r="J88" s="64">
        <v>1.05</v>
      </c>
      <c r="K88" s="64">
        <v>11.5</v>
      </c>
      <c r="L88" s="64">
        <v>15.62</v>
      </c>
      <c r="M88" s="64">
        <v>64.12</v>
      </c>
      <c r="N88" s="64">
        <v>106.4</v>
      </c>
      <c r="O88" s="64">
        <v>0</v>
      </c>
      <c r="P88" s="64">
        <v>1.31</v>
      </c>
      <c r="Q88" s="64">
        <v>8.74</v>
      </c>
      <c r="R88" s="198"/>
      <c r="S88" s="198"/>
      <c r="T88" s="198"/>
      <c r="U88" s="198"/>
    </row>
    <row r="89" spans="1:26" s="12" customFormat="1" x14ac:dyDescent="0.25">
      <c r="A89" s="214" t="s">
        <v>708</v>
      </c>
      <c r="B89" s="64">
        <v>41.11</v>
      </c>
      <c r="C89" s="64">
        <v>75.81</v>
      </c>
      <c r="D89" s="64">
        <v>71.2</v>
      </c>
      <c r="E89" s="64">
        <v>8.33</v>
      </c>
      <c r="F89" s="64">
        <v>2.13</v>
      </c>
      <c r="G89" s="64">
        <v>167.56</v>
      </c>
      <c r="H89" s="64">
        <v>36.85</v>
      </c>
      <c r="I89" s="210" t="s">
        <v>43</v>
      </c>
      <c r="J89" s="64">
        <v>1.0900000000000001</v>
      </c>
      <c r="K89" s="64">
        <v>315.95999999999998</v>
      </c>
      <c r="L89" s="64">
        <v>15.24</v>
      </c>
      <c r="M89" s="64">
        <v>65.959999999999994</v>
      </c>
      <c r="N89" s="64">
        <v>106.9</v>
      </c>
      <c r="O89" s="64">
        <v>0</v>
      </c>
      <c r="P89" s="64">
        <v>1.43</v>
      </c>
      <c r="Q89" s="64">
        <v>9.06</v>
      </c>
      <c r="R89" s="198"/>
      <c r="S89" s="198"/>
      <c r="T89" s="198"/>
      <c r="U89" s="198"/>
    </row>
    <row r="90" spans="1:26" s="12" customFormat="1" x14ac:dyDescent="0.25">
      <c r="A90" s="214" t="s">
        <v>709</v>
      </c>
      <c r="B90" s="64">
        <v>44.18</v>
      </c>
      <c r="C90" s="64">
        <v>76.38</v>
      </c>
      <c r="D90" s="64">
        <v>73.959999999999994</v>
      </c>
      <c r="E90" s="64">
        <v>8.4700000000000006</v>
      </c>
      <c r="F90" s="64">
        <v>2.13</v>
      </c>
      <c r="G90" s="64">
        <v>167.56</v>
      </c>
      <c r="H90" s="64">
        <v>36.85</v>
      </c>
      <c r="I90" s="210" t="s">
        <v>43</v>
      </c>
      <c r="J90" s="64">
        <v>1.03</v>
      </c>
      <c r="K90" s="64">
        <v>319.82</v>
      </c>
      <c r="L90" s="64">
        <v>15.04</v>
      </c>
      <c r="M90" s="64">
        <v>66.88</v>
      </c>
      <c r="N90" s="64">
        <v>106.9</v>
      </c>
      <c r="O90" s="64">
        <v>0</v>
      </c>
      <c r="P90" s="64">
        <v>1.53</v>
      </c>
      <c r="Q90" s="64">
        <v>9.2799999999999994</v>
      </c>
      <c r="R90" s="198"/>
      <c r="S90" s="198"/>
      <c r="T90" s="198"/>
      <c r="U90" s="198"/>
    </row>
    <row r="91" spans="1:26" s="12" customFormat="1" x14ac:dyDescent="0.25">
      <c r="A91" s="214" t="s">
        <v>710</v>
      </c>
      <c r="B91" s="64">
        <v>48.12</v>
      </c>
      <c r="C91" s="64">
        <v>75.84</v>
      </c>
      <c r="D91" s="64">
        <v>76.84</v>
      </c>
      <c r="E91" s="64">
        <v>8.93</v>
      </c>
      <c r="F91" s="64">
        <v>2.13</v>
      </c>
      <c r="G91" s="64">
        <v>165.71</v>
      </c>
      <c r="H91" s="64">
        <v>45.43</v>
      </c>
      <c r="I91" s="210" t="s">
        <v>43</v>
      </c>
      <c r="J91" s="64">
        <v>1.06</v>
      </c>
      <c r="K91" s="64">
        <v>305.27</v>
      </c>
      <c r="L91" s="64">
        <v>14.75</v>
      </c>
      <c r="M91" s="64">
        <v>73.78</v>
      </c>
      <c r="N91" s="64">
        <v>106.7</v>
      </c>
      <c r="O91" s="64">
        <v>0</v>
      </c>
      <c r="P91" s="64">
        <v>1.88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4" t="s">
        <v>711</v>
      </c>
      <c r="B92" s="64">
        <v>54.75</v>
      </c>
      <c r="C92" s="64">
        <v>73.760000000000005</v>
      </c>
      <c r="D92" s="64">
        <v>81.069999999999993</v>
      </c>
      <c r="E92" s="64">
        <v>8.7799999999999994</v>
      </c>
      <c r="F92" s="64">
        <v>2.13</v>
      </c>
      <c r="G92" s="64">
        <v>164.91</v>
      </c>
      <c r="H92" s="64">
        <v>49.1</v>
      </c>
      <c r="I92" s="210" t="s">
        <v>43</v>
      </c>
      <c r="J92" s="64">
        <v>0.64</v>
      </c>
      <c r="K92" s="64">
        <v>35.65</v>
      </c>
      <c r="L92" s="64">
        <v>14.75</v>
      </c>
      <c r="M92" s="64">
        <v>73.62</v>
      </c>
      <c r="N92" s="64">
        <v>106.4</v>
      </c>
      <c r="O92" s="64">
        <v>0</v>
      </c>
      <c r="P92" s="64">
        <v>2.16</v>
      </c>
      <c r="Q92" s="64">
        <v>9.36</v>
      </c>
      <c r="R92" s="198"/>
      <c r="S92" s="198"/>
      <c r="T92" s="198"/>
      <c r="U92" s="198"/>
    </row>
    <row r="93" spans="1:26" s="12" customFormat="1" x14ac:dyDescent="0.25">
      <c r="A93" s="214" t="s">
        <v>712</v>
      </c>
      <c r="B93" s="64">
        <v>57.65</v>
      </c>
      <c r="C93" s="64">
        <v>73.290000000000006</v>
      </c>
      <c r="D93" s="64">
        <v>83.15</v>
      </c>
      <c r="E93" s="64">
        <v>9.1</v>
      </c>
      <c r="F93" s="64">
        <v>2.13</v>
      </c>
      <c r="G93" s="64">
        <v>164.91</v>
      </c>
      <c r="H93" s="64">
        <v>49.1</v>
      </c>
      <c r="I93" s="210" t="s">
        <v>43</v>
      </c>
      <c r="J93" s="64">
        <v>0.87</v>
      </c>
      <c r="K93" s="64">
        <v>114.85</v>
      </c>
      <c r="L93" s="64">
        <v>15.17</v>
      </c>
      <c r="M93" s="64">
        <v>66.2</v>
      </c>
      <c r="N93" s="64">
        <v>106.3</v>
      </c>
      <c r="O93" s="64">
        <v>0</v>
      </c>
      <c r="P93" s="64">
        <v>2.2200000000000002</v>
      </c>
      <c r="Q93" s="64">
        <v>9.44</v>
      </c>
      <c r="R93" s="198"/>
      <c r="S93" s="198"/>
      <c r="T93" s="198"/>
      <c r="U93" s="198"/>
    </row>
    <row r="94" spans="1:26" s="12" customFormat="1" x14ac:dyDescent="0.25">
      <c r="A94" s="214" t="s">
        <v>713</v>
      </c>
      <c r="B94" s="64">
        <v>58.25</v>
      </c>
      <c r="C94" s="64">
        <v>72.510000000000005</v>
      </c>
      <c r="D94" s="64">
        <v>83.22</v>
      </c>
      <c r="E94" s="64">
        <v>8.99</v>
      </c>
      <c r="F94" s="64">
        <v>2.13</v>
      </c>
      <c r="G94" s="64">
        <v>164.91</v>
      </c>
      <c r="H94" s="64">
        <v>49.1</v>
      </c>
      <c r="I94" s="210" t="s">
        <v>43</v>
      </c>
      <c r="J94" s="64">
        <v>0.51</v>
      </c>
      <c r="K94" s="64">
        <v>83.74</v>
      </c>
      <c r="L94" s="64">
        <v>14.97</v>
      </c>
      <c r="M94" s="64">
        <v>66.05</v>
      </c>
      <c r="N94" s="64">
        <v>106.6</v>
      </c>
      <c r="O94" s="64">
        <v>0</v>
      </c>
      <c r="P94" s="64">
        <v>2.16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14" t="s">
        <v>714</v>
      </c>
      <c r="B95" s="64">
        <v>60.04</v>
      </c>
      <c r="C95" s="64">
        <v>71.22</v>
      </c>
      <c r="D95" s="64">
        <v>83.98</v>
      </c>
      <c r="E95" s="64">
        <v>9.1199999999999992</v>
      </c>
      <c r="F95" s="64">
        <v>2.13</v>
      </c>
      <c r="G95" s="64">
        <v>204.01</v>
      </c>
      <c r="H95" s="64">
        <v>61.27</v>
      </c>
      <c r="I95" s="210" t="s">
        <v>43</v>
      </c>
      <c r="J95" s="64">
        <v>0.82</v>
      </c>
      <c r="K95" s="64">
        <v>66.709999999999994</v>
      </c>
      <c r="L95" s="64">
        <v>14.85</v>
      </c>
      <c r="M95" s="64">
        <v>63.48</v>
      </c>
      <c r="N95" s="64">
        <v>106.5</v>
      </c>
      <c r="O95" s="64">
        <v>0</v>
      </c>
      <c r="P95" s="64">
        <v>2.11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4" t="s">
        <v>715</v>
      </c>
      <c r="B96" s="64">
        <v>61.86</v>
      </c>
      <c r="C96" s="64">
        <v>68.94</v>
      </c>
      <c r="D96" s="64">
        <v>84.25</v>
      </c>
      <c r="E96" s="64">
        <v>9.16</v>
      </c>
      <c r="F96" s="64">
        <v>2.13</v>
      </c>
      <c r="G96" s="64">
        <v>220.77</v>
      </c>
      <c r="H96" s="64">
        <v>66.489999999999995</v>
      </c>
      <c r="I96" s="210" t="s">
        <v>43</v>
      </c>
      <c r="J96" s="64">
        <v>0.6</v>
      </c>
      <c r="K96" s="64">
        <v>78.37</v>
      </c>
      <c r="L96" s="64">
        <v>14.98</v>
      </c>
      <c r="M96" s="64">
        <v>60.35</v>
      </c>
      <c r="N96" s="64">
        <v>106.1</v>
      </c>
      <c r="O96" s="64">
        <v>0</v>
      </c>
      <c r="P96" s="64">
        <v>2.0499999999999998</v>
      </c>
      <c r="Q96" s="64">
        <v>9.52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716</v>
      </c>
      <c r="B97" s="64">
        <v>62.36</v>
      </c>
      <c r="C97" s="64">
        <v>67.239999999999995</v>
      </c>
      <c r="D97" s="64">
        <v>83.76</v>
      </c>
      <c r="E97" s="64">
        <v>8.84</v>
      </c>
      <c r="F97" s="64">
        <v>2.13</v>
      </c>
      <c r="G97" s="64">
        <v>220.77</v>
      </c>
      <c r="H97" s="64">
        <v>66.489999999999995</v>
      </c>
      <c r="I97" s="210" t="s">
        <v>43</v>
      </c>
      <c r="J97" s="64">
        <v>0.53</v>
      </c>
      <c r="K97" s="64">
        <v>139.49</v>
      </c>
      <c r="L97" s="64">
        <v>14.61</v>
      </c>
      <c r="M97" s="64">
        <v>67.94</v>
      </c>
      <c r="N97" s="64">
        <v>106.6</v>
      </c>
      <c r="O97" s="64">
        <v>0</v>
      </c>
      <c r="P97" s="64">
        <v>2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4" t="s">
        <v>717</v>
      </c>
      <c r="B98" s="64">
        <v>62.29</v>
      </c>
      <c r="C98" s="64">
        <v>66.510000000000005</v>
      </c>
      <c r="D98" s="64">
        <v>83.32</v>
      </c>
      <c r="E98" s="64">
        <v>8.91</v>
      </c>
      <c r="F98" s="64">
        <v>2.13</v>
      </c>
      <c r="G98" s="64">
        <v>220.77</v>
      </c>
      <c r="H98" s="64">
        <v>66.489999999999995</v>
      </c>
      <c r="I98" s="210" t="s">
        <v>43</v>
      </c>
      <c r="J98" s="64">
        <v>0.47</v>
      </c>
      <c r="K98" s="64">
        <v>195.51</v>
      </c>
      <c r="L98" s="64">
        <v>14.2</v>
      </c>
      <c r="M98" s="64">
        <v>65.59</v>
      </c>
      <c r="N98" s="64">
        <v>106.7</v>
      </c>
      <c r="O98" s="64">
        <v>0</v>
      </c>
      <c r="P98" s="64">
        <v>1.98</v>
      </c>
      <c r="Q98" s="64">
        <v>9.51</v>
      </c>
      <c r="R98" s="198"/>
      <c r="S98" s="198"/>
      <c r="T98" s="198"/>
      <c r="U98" s="198"/>
    </row>
    <row r="99" spans="1:33" s="12" customFormat="1" x14ac:dyDescent="0.25">
      <c r="A99" s="214" t="s">
        <v>718</v>
      </c>
      <c r="B99" s="64">
        <v>62.69</v>
      </c>
      <c r="C99" s="64">
        <v>65.38</v>
      </c>
      <c r="D99" s="64">
        <v>83.05</v>
      </c>
      <c r="E99" s="64">
        <v>8.65</v>
      </c>
      <c r="F99" s="64">
        <v>2.13</v>
      </c>
      <c r="G99" s="64">
        <v>175.77</v>
      </c>
      <c r="H99" s="64">
        <v>65.53</v>
      </c>
      <c r="I99" s="210" t="s">
        <v>43</v>
      </c>
      <c r="J99" s="64">
        <v>0.63</v>
      </c>
      <c r="K99" s="64">
        <v>181.91</v>
      </c>
      <c r="L99" s="64">
        <v>13.94</v>
      </c>
      <c r="M99" s="64">
        <v>73.77</v>
      </c>
      <c r="N99" s="64">
        <v>106.4</v>
      </c>
      <c r="O99" s="64">
        <v>0</v>
      </c>
      <c r="P99" s="64">
        <v>2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4" t="s">
        <v>719</v>
      </c>
      <c r="B100" s="64">
        <v>62.67</v>
      </c>
      <c r="C100" s="64">
        <v>65.349999999999994</v>
      </c>
      <c r="D100" s="64">
        <v>83.02</v>
      </c>
      <c r="E100" s="64">
        <v>8.9600000000000009</v>
      </c>
      <c r="F100" s="64">
        <v>2.13</v>
      </c>
      <c r="G100" s="64">
        <v>156.47999999999999</v>
      </c>
      <c r="H100" s="64">
        <v>65.12</v>
      </c>
      <c r="I100" s="210" t="s">
        <v>43</v>
      </c>
      <c r="J100" s="64">
        <v>0.25</v>
      </c>
      <c r="K100" s="64">
        <v>344.94</v>
      </c>
      <c r="L100" s="64">
        <v>14.33</v>
      </c>
      <c r="M100" s="64">
        <v>65.34</v>
      </c>
      <c r="N100" s="64">
        <v>106.4</v>
      </c>
      <c r="O100" s="64">
        <v>0</v>
      </c>
      <c r="P100" s="64">
        <v>1.98</v>
      </c>
      <c r="Q100" s="64">
        <v>9.51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720</v>
      </c>
      <c r="B101" s="64">
        <v>60.99</v>
      </c>
      <c r="C101" s="64">
        <v>65.3</v>
      </c>
      <c r="D101" s="64">
        <v>81.650000000000006</v>
      </c>
      <c r="E101" s="64">
        <v>8.56</v>
      </c>
      <c r="F101" s="64">
        <v>2.13</v>
      </c>
      <c r="G101" s="64">
        <v>156.47999999999999</v>
      </c>
      <c r="H101" s="64">
        <v>65.12</v>
      </c>
      <c r="I101" s="210" t="s">
        <v>43</v>
      </c>
      <c r="J101" s="64">
        <v>0.49</v>
      </c>
      <c r="K101" s="64">
        <v>49.21</v>
      </c>
      <c r="L101" s="64">
        <v>14.14</v>
      </c>
      <c r="M101" s="64">
        <v>66.02</v>
      </c>
      <c r="N101" s="64">
        <v>106.8</v>
      </c>
      <c r="O101" s="64">
        <v>0</v>
      </c>
      <c r="P101" s="64">
        <v>1.94</v>
      </c>
      <c r="Q101" s="64">
        <v>9.4600000000000009</v>
      </c>
      <c r="R101" s="198"/>
      <c r="S101" s="198"/>
      <c r="T101" s="198"/>
      <c r="U101" s="198"/>
    </row>
    <row r="102" spans="1:33" s="12" customFormat="1" x14ac:dyDescent="0.25">
      <c r="A102" s="214" t="s">
        <v>721</v>
      </c>
      <c r="B102" s="64">
        <v>58.22</v>
      </c>
      <c r="C102" s="64">
        <v>65.08</v>
      </c>
      <c r="D102" s="64">
        <v>79.319999999999993</v>
      </c>
      <c r="E102" s="64">
        <v>8.01</v>
      </c>
      <c r="F102" s="64">
        <v>2.13</v>
      </c>
      <c r="G102" s="64">
        <v>156.47999999999999</v>
      </c>
      <c r="H102" s="64">
        <v>65.12</v>
      </c>
      <c r="I102" s="210" t="s">
        <v>43</v>
      </c>
      <c r="J102" s="64">
        <v>0.52</v>
      </c>
      <c r="K102" s="64">
        <v>345.11</v>
      </c>
      <c r="L102" s="64">
        <v>14.06</v>
      </c>
      <c r="M102" s="64">
        <v>65.55</v>
      </c>
      <c r="N102" s="64">
        <v>106.5</v>
      </c>
      <c r="O102" s="64">
        <v>0</v>
      </c>
      <c r="P102" s="64">
        <v>1.91</v>
      </c>
      <c r="Q102" s="64">
        <v>9.44</v>
      </c>
      <c r="R102" s="198"/>
      <c r="S102" s="198"/>
      <c r="T102" s="198"/>
      <c r="U102" s="198"/>
    </row>
    <row r="103" spans="1:33" s="12" customFormat="1" x14ac:dyDescent="0.25">
      <c r="A103" s="214" t="s">
        <v>722</v>
      </c>
      <c r="B103" s="64">
        <v>55.3</v>
      </c>
      <c r="C103" s="64">
        <v>64.63</v>
      </c>
      <c r="D103" s="64">
        <v>76.739999999999995</v>
      </c>
      <c r="E103" s="64">
        <v>7.99</v>
      </c>
      <c r="F103" s="64">
        <v>2.13</v>
      </c>
      <c r="G103" s="64">
        <v>140.83000000000001</v>
      </c>
      <c r="H103" s="64">
        <v>59.99</v>
      </c>
      <c r="I103" s="210" t="s">
        <v>43</v>
      </c>
      <c r="J103" s="64">
        <v>0.47</v>
      </c>
      <c r="K103" s="64">
        <v>303.02</v>
      </c>
      <c r="L103" s="64">
        <v>13.96</v>
      </c>
      <c r="M103" s="64">
        <v>66.63</v>
      </c>
      <c r="N103" s="64">
        <v>106.5</v>
      </c>
      <c r="O103" s="64">
        <v>0</v>
      </c>
      <c r="P103" s="64">
        <v>1.87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14" t="s">
        <v>723</v>
      </c>
      <c r="B104" s="64">
        <v>52.3</v>
      </c>
      <c r="C104" s="64">
        <v>64.23</v>
      </c>
      <c r="D104" s="64">
        <v>74.12</v>
      </c>
      <c r="E104" s="64">
        <v>6.08</v>
      </c>
      <c r="F104" s="64">
        <v>2.13</v>
      </c>
      <c r="G104" s="64">
        <v>134.12</v>
      </c>
      <c r="H104" s="64">
        <v>57.79</v>
      </c>
      <c r="I104" s="210" t="s">
        <v>43</v>
      </c>
      <c r="J104" s="64">
        <v>1.08</v>
      </c>
      <c r="K104" s="64">
        <v>302.3</v>
      </c>
      <c r="L104" s="64">
        <v>13.51</v>
      </c>
      <c r="M104" s="64">
        <v>71.27</v>
      </c>
      <c r="N104" s="64">
        <v>106.8</v>
      </c>
      <c r="O104" s="64">
        <v>0</v>
      </c>
      <c r="P104" s="64">
        <v>1.83</v>
      </c>
      <c r="Q104" s="64">
        <v>9.3800000000000008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6.07</v>
      </c>
      <c r="C106" s="67">
        <f>MIN(C9:C104)</f>
        <v>39.03</v>
      </c>
      <c r="D106" s="67">
        <f t="shared" ref="D106:Q106" si="0">MIN(D9:D104)</f>
        <v>38.32</v>
      </c>
      <c r="E106" s="67">
        <f t="shared" si="0"/>
        <v>5.49</v>
      </c>
      <c r="F106" s="67">
        <f t="shared" si="0"/>
        <v>2.13</v>
      </c>
      <c r="G106" s="67">
        <f t="shared" si="0"/>
        <v>59.97</v>
      </c>
      <c r="H106" s="67">
        <f t="shared" si="0"/>
        <v>24.51</v>
      </c>
      <c r="I106" s="67">
        <f t="shared" si="0"/>
        <v>0</v>
      </c>
      <c r="J106" s="67">
        <f t="shared" si="0"/>
        <v>0.16</v>
      </c>
      <c r="K106" s="67">
        <f t="shared" si="0"/>
        <v>2.81</v>
      </c>
      <c r="L106" s="67">
        <f t="shared" si="0"/>
        <v>8.32</v>
      </c>
      <c r="M106" s="67">
        <f t="shared" si="0"/>
        <v>24.38</v>
      </c>
      <c r="N106" s="67">
        <f t="shared" si="0"/>
        <v>52.6</v>
      </c>
      <c r="O106" s="67">
        <f t="shared" si="0"/>
        <v>0</v>
      </c>
      <c r="P106" s="67">
        <f t="shared" si="0"/>
        <v>0.63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294.08999999999997</v>
      </c>
      <c r="C107" s="66">
        <f t="shared" ref="C107:Q107" si="1">MAX(C9:C104)</f>
        <v>76.38</v>
      </c>
      <c r="D107" s="66">
        <f t="shared" si="1"/>
        <v>258.76</v>
      </c>
      <c r="E107" s="66">
        <f t="shared" si="1"/>
        <v>12.29</v>
      </c>
      <c r="F107" s="66">
        <f t="shared" si="1"/>
        <v>2.13</v>
      </c>
      <c r="G107" s="66">
        <f t="shared" si="1"/>
        <v>420.55</v>
      </c>
      <c r="H107" s="66">
        <f t="shared" si="1"/>
        <v>66.489999999999995</v>
      </c>
      <c r="I107" s="66">
        <f t="shared" si="1"/>
        <v>0</v>
      </c>
      <c r="J107" s="66">
        <f t="shared" si="1"/>
        <v>2.0299999999999998</v>
      </c>
      <c r="K107" s="66">
        <f t="shared" si="1"/>
        <v>357.39</v>
      </c>
      <c r="L107" s="66">
        <f t="shared" si="1"/>
        <v>27.11</v>
      </c>
      <c r="M107" s="66">
        <f t="shared" si="1"/>
        <v>103.6</v>
      </c>
      <c r="N107" s="66">
        <f t="shared" si="1"/>
        <v>723.7</v>
      </c>
      <c r="O107" s="66">
        <f t="shared" si="1"/>
        <v>0</v>
      </c>
      <c r="P107" s="66">
        <f t="shared" si="1"/>
        <v>2.92</v>
      </c>
      <c r="Q107" s="66">
        <f t="shared" si="1"/>
        <v>11.15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106.57</v>
      </c>
      <c r="C108" s="67">
        <f t="shared" ref="C108:Q108" si="2">AVERAGE(C9:C104)</f>
        <v>57.460208333333327</v>
      </c>
      <c r="D108" s="67">
        <f t="shared" si="2"/>
        <v>114.10510416666671</v>
      </c>
      <c r="E108" s="67">
        <f t="shared" si="2"/>
        <v>7.9254166666666679</v>
      </c>
      <c r="F108" s="67">
        <f t="shared" si="2"/>
        <v>2.1299999999999972</v>
      </c>
      <c r="G108" s="67">
        <f t="shared" si="2"/>
        <v>129.45458333333332</v>
      </c>
      <c r="H108" s="67">
        <f t="shared" si="2"/>
        <v>40.844791666666652</v>
      </c>
      <c r="I108" s="67" t="e">
        <f t="shared" si="2"/>
        <v>#DIV/0!</v>
      </c>
      <c r="J108" s="67">
        <f t="shared" si="2"/>
        <v>0.93760416666666646</v>
      </c>
      <c r="K108" s="67">
        <f t="shared" si="2"/>
        <v>228.98531249999988</v>
      </c>
      <c r="L108" s="67">
        <f t="shared" si="2"/>
        <v>16.40197916666666</v>
      </c>
      <c r="M108" s="67">
        <f t="shared" si="2"/>
        <v>62.125000000000007</v>
      </c>
      <c r="N108" s="67">
        <f t="shared" si="2"/>
        <v>228.48541666666665</v>
      </c>
      <c r="O108" s="67">
        <f t="shared" si="2"/>
        <v>0</v>
      </c>
      <c r="P108" s="67">
        <f t="shared" si="2"/>
        <v>1.4089583333333335</v>
      </c>
      <c r="Q108" s="67">
        <f t="shared" si="2"/>
        <v>9.5405208333333409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83.885100715831882</v>
      </c>
      <c r="C109" s="67">
        <f t="shared" ref="C109:Q109" si="3">STDEV(C9:C104)</f>
        <v>13.039099660488114</v>
      </c>
      <c r="D109" s="67">
        <f t="shared" si="3"/>
        <v>61.269685712899268</v>
      </c>
      <c r="E109" s="67">
        <f t="shared" si="3"/>
        <v>1.4312629069363596</v>
      </c>
      <c r="F109" s="67">
        <f t="shared" si="3"/>
        <v>2.678522416932523E-15</v>
      </c>
      <c r="G109" s="67">
        <f t="shared" si="3"/>
        <v>72.974144619738169</v>
      </c>
      <c r="H109" s="67">
        <f t="shared" si="3"/>
        <v>12.338413442251406</v>
      </c>
      <c r="I109" s="67" t="e">
        <f t="shared" si="3"/>
        <v>#DIV/0!</v>
      </c>
      <c r="J109" s="67">
        <f t="shared" si="3"/>
        <v>0.3935232081477249</v>
      </c>
      <c r="K109" s="67">
        <f t="shared" si="3"/>
        <v>113.92098337239264</v>
      </c>
      <c r="L109" s="67">
        <f t="shared" si="3"/>
        <v>6.0202667574735038</v>
      </c>
      <c r="M109" s="67">
        <f t="shared" si="3"/>
        <v>26.721765029948649</v>
      </c>
      <c r="N109" s="67">
        <f t="shared" si="3"/>
        <v>229.96204170948101</v>
      </c>
      <c r="O109" s="67">
        <f t="shared" si="3"/>
        <v>0</v>
      </c>
      <c r="P109" s="67">
        <f t="shared" si="3"/>
        <v>0.58215295361572161</v>
      </c>
      <c r="Q109" s="67">
        <f t="shared" si="3"/>
        <v>0.91458632557557118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724</v>
      </c>
      <c r="B9" s="64">
        <v>49.59</v>
      </c>
      <c r="C9" s="64">
        <v>64.319999999999993</v>
      </c>
      <c r="D9" s="64">
        <v>72</v>
      </c>
      <c r="E9" s="64">
        <v>6.94</v>
      </c>
      <c r="F9" s="64">
        <v>2.13</v>
      </c>
      <c r="G9" s="64">
        <v>134.12</v>
      </c>
      <c r="H9" s="64">
        <v>57.79</v>
      </c>
      <c r="I9" s="210" t="s">
        <v>43</v>
      </c>
      <c r="J9" s="64">
        <v>1.06</v>
      </c>
      <c r="K9" s="64">
        <v>291.37</v>
      </c>
      <c r="L9" s="64">
        <v>12.95</v>
      </c>
      <c r="M9" s="64">
        <v>75.39</v>
      </c>
      <c r="N9" s="64">
        <v>106.5</v>
      </c>
      <c r="O9" s="64">
        <v>0</v>
      </c>
      <c r="P9" s="64">
        <v>1.8</v>
      </c>
      <c r="Q9" s="64">
        <v>9.35</v>
      </c>
      <c r="R9" s="198"/>
      <c r="S9" s="198"/>
      <c r="T9" s="198"/>
      <c r="U9" s="198"/>
    </row>
    <row r="10" spans="1:21" s="12" customFormat="1" x14ac:dyDescent="0.25">
      <c r="A10" s="214" t="s">
        <v>725</v>
      </c>
      <c r="B10" s="64">
        <v>47.13</v>
      </c>
      <c r="C10" s="64">
        <v>64.849999999999994</v>
      </c>
      <c r="D10" s="64">
        <v>70.3</v>
      </c>
      <c r="E10" s="64">
        <v>7.46</v>
      </c>
      <c r="F10" s="64">
        <v>2.13</v>
      </c>
      <c r="G10" s="64">
        <v>134.12</v>
      </c>
      <c r="H10" s="64">
        <v>57.79</v>
      </c>
      <c r="I10" s="210" t="s">
        <v>43</v>
      </c>
      <c r="J10" s="64">
        <v>1.17</v>
      </c>
      <c r="K10" s="64">
        <v>333.41</v>
      </c>
      <c r="L10" s="64">
        <v>12.91</v>
      </c>
      <c r="M10" s="64">
        <v>78.97</v>
      </c>
      <c r="N10" s="64">
        <v>105.6</v>
      </c>
      <c r="O10" s="64">
        <v>0</v>
      </c>
      <c r="P10" s="64">
        <v>1.77</v>
      </c>
      <c r="Q10" s="64">
        <v>9.33</v>
      </c>
      <c r="R10" s="198"/>
      <c r="S10" s="198"/>
      <c r="T10" s="198"/>
      <c r="U10" s="198"/>
    </row>
    <row r="11" spans="1:21" s="12" customFormat="1" x14ac:dyDescent="0.25">
      <c r="A11" s="214" t="s">
        <v>726</v>
      </c>
      <c r="B11" s="64">
        <v>45.52</v>
      </c>
      <c r="C11" s="64">
        <v>65.06</v>
      </c>
      <c r="D11" s="64">
        <v>69.12</v>
      </c>
      <c r="E11" s="64">
        <v>7.57</v>
      </c>
      <c r="F11" s="64">
        <v>2.13</v>
      </c>
      <c r="G11" s="64">
        <v>124.61</v>
      </c>
      <c r="H11" s="64">
        <v>56.79</v>
      </c>
      <c r="I11" s="210" t="s">
        <v>43</v>
      </c>
      <c r="J11" s="64">
        <v>0.76</v>
      </c>
      <c r="K11" s="64">
        <v>289.74</v>
      </c>
      <c r="L11" s="64">
        <v>13.35</v>
      </c>
      <c r="M11" s="64">
        <v>71.83</v>
      </c>
      <c r="N11" s="64">
        <v>105.6</v>
      </c>
      <c r="O11" s="64">
        <v>0</v>
      </c>
      <c r="P11" s="64">
        <v>1.75</v>
      </c>
      <c r="Q11" s="64">
        <v>9.33</v>
      </c>
      <c r="R11" s="198"/>
      <c r="S11" s="198"/>
      <c r="T11" s="198"/>
      <c r="U11" s="198"/>
    </row>
    <row r="12" spans="1:21" s="12" customFormat="1" x14ac:dyDescent="0.25">
      <c r="A12" s="214" t="s">
        <v>727</v>
      </c>
      <c r="B12" s="64">
        <v>43.13</v>
      </c>
      <c r="C12" s="64">
        <v>64.45</v>
      </c>
      <c r="D12" s="64">
        <v>66.88</v>
      </c>
      <c r="E12" s="64">
        <v>7.66</v>
      </c>
      <c r="F12" s="64">
        <v>2.13</v>
      </c>
      <c r="G12" s="64">
        <v>120.53</v>
      </c>
      <c r="H12" s="64">
        <v>56.36</v>
      </c>
      <c r="I12" s="210" t="s">
        <v>43</v>
      </c>
      <c r="J12" s="64">
        <v>0.94</v>
      </c>
      <c r="K12" s="64">
        <v>290.07</v>
      </c>
      <c r="L12" s="64">
        <v>13.29</v>
      </c>
      <c r="M12" s="64">
        <v>72.56</v>
      </c>
      <c r="N12" s="64">
        <v>106.4</v>
      </c>
      <c r="O12" s="64">
        <v>0</v>
      </c>
      <c r="P12" s="64">
        <v>1.65</v>
      </c>
      <c r="Q12" s="64">
        <v>9.18</v>
      </c>
      <c r="R12" s="198"/>
      <c r="S12" s="198"/>
      <c r="T12" s="198"/>
      <c r="U12" s="198"/>
    </row>
    <row r="13" spans="1:21" s="12" customFormat="1" x14ac:dyDescent="0.25">
      <c r="A13" s="214" t="s">
        <v>728</v>
      </c>
      <c r="B13" s="64">
        <v>40.82</v>
      </c>
      <c r="C13" s="64">
        <v>63.69</v>
      </c>
      <c r="D13" s="64">
        <v>64.63</v>
      </c>
      <c r="E13" s="64">
        <v>7.03</v>
      </c>
      <c r="F13" s="64">
        <v>2.13</v>
      </c>
      <c r="G13" s="64">
        <v>120.53</v>
      </c>
      <c r="H13" s="64">
        <v>56.36</v>
      </c>
      <c r="I13" s="210" t="s">
        <v>43</v>
      </c>
      <c r="J13" s="64">
        <v>0.33</v>
      </c>
      <c r="K13" s="64">
        <v>297.8</v>
      </c>
      <c r="L13" s="64">
        <v>12.99</v>
      </c>
      <c r="M13" s="64">
        <v>74.61</v>
      </c>
      <c r="N13" s="64">
        <v>106.5</v>
      </c>
      <c r="O13" s="64">
        <v>0</v>
      </c>
      <c r="P13" s="64">
        <v>1.51</v>
      </c>
      <c r="Q13" s="64">
        <v>8.98</v>
      </c>
      <c r="R13" s="198"/>
      <c r="S13" s="198"/>
      <c r="T13" s="198"/>
      <c r="U13" s="198"/>
    </row>
    <row r="14" spans="1:21" s="12" customFormat="1" x14ac:dyDescent="0.25">
      <c r="A14" s="214" t="s">
        <v>729</v>
      </c>
      <c r="B14" s="64">
        <v>38.75</v>
      </c>
      <c r="C14" s="64">
        <v>63.74</v>
      </c>
      <c r="D14" s="64">
        <v>63</v>
      </c>
      <c r="E14" s="64">
        <v>6.98</v>
      </c>
      <c r="F14" s="64">
        <v>2.13</v>
      </c>
      <c r="G14" s="64">
        <v>120.53</v>
      </c>
      <c r="H14" s="64">
        <v>56.36</v>
      </c>
      <c r="I14" s="210" t="s">
        <v>43</v>
      </c>
      <c r="J14" s="64">
        <v>0.97</v>
      </c>
      <c r="K14" s="64">
        <v>335.2</v>
      </c>
      <c r="L14" s="64">
        <v>12.31</v>
      </c>
      <c r="M14" s="64">
        <v>81.349999999999994</v>
      </c>
      <c r="N14" s="64">
        <v>106.6</v>
      </c>
      <c r="O14" s="64">
        <v>0</v>
      </c>
      <c r="P14" s="64">
        <v>1.52</v>
      </c>
      <c r="Q14" s="64">
        <v>8.83</v>
      </c>
      <c r="R14" s="198"/>
      <c r="S14" s="198"/>
      <c r="T14" s="198"/>
      <c r="U14" s="198"/>
    </row>
    <row r="15" spans="1:21" s="12" customFormat="1" x14ac:dyDescent="0.25">
      <c r="A15" s="214" t="s">
        <v>730</v>
      </c>
      <c r="B15" s="64">
        <v>37.01</v>
      </c>
      <c r="C15" s="64">
        <v>63.46</v>
      </c>
      <c r="D15" s="64">
        <v>61.46</v>
      </c>
      <c r="E15" s="64">
        <v>7.03</v>
      </c>
      <c r="F15" s="64">
        <v>2.13</v>
      </c>
      <c r="G15" s="64">
        <v>128.22</v>
      </c>
      <c r="H15" s="64">
        <v>53.69</v>
      </c>
      <c r="I15" s="210" t="s">
        <v>43</v>
      </c>
      <c r="J15" s="64">
        <v>1.1100000000000001</v>
      </c>
      <c r="K15" s="64">
        <v>314.05</v>
      </c>
      <c r="L15" s="64">
        <v>11.78</v>
      </c>
      <c r="M15" s="64">
        <v>84.15</v>
      </c>
      <c r="N15" s="64">
        <v>106.4</v>
      </c>
      <c r="O15" s="64">
        <v>0</v>
      </c>
      <c r="P15" s="64">
        <v>1.49</v>
      </c>
      <c r="Q15" s="64">
        <v>8.7100000000000009</v>
      </c>
      <c r="R15" s="198"/>
      <c r="S15" s="198"/>
      <c r="T15" s="198"/>
      <c r="U15" s="198"/>
    </row>
    <row r="16" spans="1:21" s="12" customFormat="1" x14ac:dyDescent="0.25">
      <c r="A16" s="214" t="s">
        <v>731</v>
      </c>
      <c r="B16" s="64">
        <v>35.659999999999997</v>
      </c>
      <c r="C16" s="64">
        <v>63.02</v>
      </c>
      <c r="D16" s="64">
        <v>60.15</v>
      </c>
      <c r="E16" s="64">
        <v>7</v>
      </c>
      <c r="F16" s="64">
        <v>2.13</v>
      </c>
      <c r="G16" s="64">
        <v>131.52000000000001</v>
      </c>
      <c r="H16" s="64">
        <v>52.55</v>
      </c>
      <c r="I16" s="210" t="s">
        <v>43</v>
      </c>
      <c r="J16" s="64">
        <v>0.78</v>
      </c>
      <c r="K16" s="64">
        <v>268.52999999999997</v>
      </c>
      <c r="L16" s="64">
        <v>11.46</v>
      </c>
      <c r="M16" s="64">
        <v>86.53</v>
      </c>
      <c r="N16" s="64">
        <v>106.8</v>
      </c>
      <c r="O16" s="64">
        <v>0</v>
      </c>
      <c r="P16" s="64">
        <v>1.46</v>
      </c>
      <c r="Q16" s="64">
        <v>8.59</v>
      </c>
      <c r="R16" s="198"/>
      <c r="S16" s="198"/>
      <c r="T16" s="198"/>
      <c r="U16" s="198"/>
    </row>
    <row r="17" spans="1:21" s="12" customFormat="1" x14ac:dyDescent="0.25">
      <c r="A17" s="214" t="s">
        <v>732</v>
      </c>
      <c r="B17" s="64">
        <v>34.11</v>
      </c>
      <c r="C17" s="64">
        <v>61.96</v>
      </c>
      <c r="D17" s="64">
        <v>58.35</v>
      </c>
      <c r="E17" s="64">
        <v>7.23</v>
      </c>
      <c r="F17" s="64">
        <v>2.13</v>
      </c>
      <c r="G17" s="64">
        <v>131.52000000000001</v>
      </c>
      <c r="H17" s="64">
        <v>52.55</v>
      </c>
      <c r="I17" s="210" t="s">
        <v>43</v>
      </c>
      <c r="J17" s="64">
        <v>0.3</v>
      </c>
      <c r="K17" s="64">
        <v>212.78</v>
      </c>
      <c r="L17" s="64">
        <v>11.28</v>
      </c>
      <c r="M17" s="64">
        <v>89.09</v>
      </c>
      <c r="N17" s="64">
        <v>106.7</v>
      </c>
      <c r="O17" s="64">
        <v>0</v>
      </c>
      <c r="P17" s="64">
        <v>1.43</v>
      </c>
      <c r="Q17" s="64">
        <v>8.48</v>
      </c>
      <c r="R17" s="198"/>
      <c r="S17" s="198"/>
      <c r="T17" s="198"/>
      <c r="U17" s="198"/>
    </row>
    <row r="18" spans="1:21" s="12" customFormat="1" x14ac:dyDescent="0.25">
      <c r="A18" s="214" t="s">
        <v>733</v>
      </c>
      <c r="B18" s="64">
        <v>32.659999999999997</v>
      </c>
      <c r="C18" s="64">
        <v>61.13</v>
      </c>
      <c r="D18" s="64">
        <v>56.75</v>
      </c>
      <c r="E18" s="64">
        <v>6.89</v>
      </c>
      <c r="F18" s="64">
        <v>2.13</v>
      </c>
      <c r="G18" s="64">
        <v>131.52000000000001</v>
      </c>
      <c r="H18" s="64">
        <v>52.55</v>
      </c>
      <c r="I18" s="210" t="s">
        <v>43</v>
      </c>
      <c r="J18" s="64">
        <v>1.1000000000000001</v>
      </c>
      <c r="K18" s="64">
        <v>319.83</v>
      </c>
      <c r="L18" s="64">
        <v>11.13</v>
      </c>
      <c r="M18" s="64">
        <v>91.97</v>
      </c>
      <c r="N18" s="64">
        <v>106.5</v>
      </c>
      <c r="O18" s="64">
        <v>0</v>
      </c>
      <c r="P18" s="64">
        <v>1.41</v>
      </c>
      <c r="Q18" s="64">
        <v>8.3800000000000008</v>
      </c>
      <c r="R18" s="198"/>
      <c r="S18" s="198"/>
      <c r="T18" s="198"/>
      <c r="U18" s="198"/>
    </row>
    <row r="19" spans="1:21" s="12" customFormat="1" x14ac:dyDescent="0.25">
      <c r="A19" s="214" t="s">
        <v>734</v>
      </c>
      <c r="B19" s="64">
        <v>31.31</v>
      </c>
      <c r="C19" s="64">
        <v>60.3</v>
      </c>
      <c r="D19" s="64">
        <v>55.24</v>
      </c>
      <c r="E19" s="64">
        <v>6.85</v>
      </c>
      <c r="F19" s="64">
        <v>2.13</v>
      </c>
      <c r="G19" s="64">
        <v>122.31</v>
      </c>
      <c r="H19" s="64">
        <v>52.34</v>
      </c>
      <c r="I19" s="210" t="s">
        <v>43</v>
      </c>
      <c r="J19" s="64">
        <v>1.1599999999999999</v>
      </c>
      <c r="K19" s="64">
        <v>319.86</v>
      </c>
      <c r="L19" s="64">
        <v>10.91</v>
      </c>
      <c r="M19" s="64">
        <v>95.11</v>
      </c>
      <c r="N19" s="64">
        <v>106.3</v>
      </c>
      <c r="O19" s="64">
        <v>0</v>
      </c>
      <c r="P19" s="64">
        <v>1.35</v>
      </c>
      <c r="Q19" s="64">
        <v>8.26</v>
      </c>
      <c r="R19" s="198"/>
      <c r="S19" s="198"/>
      <c r="T19" s="198"/>
      <c r="U19" s="198"/>
    </row>
    <row r="20" spans="1:21" s="12" customFormat="1" x14ac:dyDescent="0.25">
      <c r="A20" s="214" t="s">
        <v>735</v>
      </c>
      <c r="B20" s="64">
        <v>29.97</v>
      </c>
      <c r="C20" s="64">
        <v>60.18</v>
      </c>
      <c r="D20" s="64">
        <v>54.1</v>
      </c>
      <c r="E20" s="64">
        <v>6.94</v>
      </c>
      <c r="F20" s="64">
        <v>2.13</v>
      </c>
      <c r="G20" s="64">
        <v>118.36</v>
      </c>
      <c r="H20" s="64">
        <v>52.24</v>
      </c>
      <c r="I20" s="210" t="s">
        <v>43</v>
      </c>
      <c r="J20" s="64">
        <v>1.1100000000000001</v>
      </c>
      <c r="K20" s="64">
        <v>300.16000000000003</v>
      </c>
      <c r="L20" s="64">
        <v>10.86</v>
      </c>
      <c r="M20" s="64">
        <v>97.03</v>
      </c>
      <c r="N20" s="64">
        <v>106.1</v>
      </c>
      <c r="O20" s="64">
        <v>0</v>
      </c>
      <c r="P20" s="64">
        <v>1.35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736</v>
      </c>
      <c r="B21" s="64">
        <v>28.36</v>
      </c>
      <c r="C21" s="64">
        <v>59.38</v>
      </c>
      <c r="D21" s="64">
        <v>52.39</v>
      </c>
      <c r="E21" s="64">
        <v>7.23</v>
      </c>
      <c r="F21" s="64">
        <v>2.13</v>
      </c>
      <c r="G21" s="64">
        <v>118.36</v>
      </c>
      <c r="H21" s="64">
        <v>52.24</v>
      </c>
      <c r="I21" s="210" t="s">
        <v>43</v>
      </c>
      <c r="J21" s="64">
        <v>1.0900000000000001</v>
      </c>
      <c r="K21" s="64">
        <v>298.44</v>
      </c>
      <c r="L21" s="64">
        <v>10.75</v>
      </c>
      <c r="M21" s="64">
        <v>98.77</v>
      </c>
      <c r="N21" s="64">
        <v>106.3</v>
      </c>
      <c r="O21" s="64">
        <v>0</v>
      </c>
      <c r="P21" s="64">
        <v>1.32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737</v>
      </c>
      <c r="B22" s="64">
        <v>26.73</v>
      </c>
      <c r="C22" s="64">
        <v>59.06</v>
      </c>
      <c r="D22" s="64">
        <v>50.92</v>
      </c>
      <c r="E22" s="64">
        <v>7.01</v>
      </c>
      <c r="F22" s="64">
        <v>2.13</v>
      </c>
      <c r="G22" s="64">
        <v>118.36</v>
      </c>
      <c r="H22" s="64">
        <v>52.24</v>
      </c>
      <c r="I22" s="210" t="s">
        <v>43</v>
      </c>
      <c r="J22" s="64">
        <v>1.1000000000000001</v>
      </c>
      <c r="K22" s="64">
        <v>314.08</v>
      </c>
      <c r="L22" s="64">
        <v>10.67</v>
      </c>
      <c r="M22" s="64">
        <v>98.48</v>
      </c>
      <c r="N22" s="64">
        <v>106.5</v>
      </c>
      <c r="O22" s="64">
        <v>0</v>
      </c>
      <c r="P22" s="64">
        <v>1.28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738</v>
      </c>
      <c r="B23" s="64">
        <v>25.29</v>
      </c>
      <c r="C23" s="64">
        <v>58.82</v>
      </c>
      <c r="D23" s="64">
        <v>49.64</v>
      </c>
      <c r="E23" s="64">
        <v>6.88</v>
      </c>
      <c r="F23" s="64">
        <v>2.13</v>
      </c>
      <c r="G23" s="64">
        <v>110.2</v>
      </c>
      <c r="H23" s="64">
        <v>53.03</v>
      </c>
      <c r="I23" s="210" t="s">
        <v>43</v>
      </c>
      <c r="J23" s="64">
        <v>0.36</v>
      </c>
      <c r="K23" s="64">
        <v>265.49</v>
      </c>
      <c r="L23" s="64">
        <v>10.8</v>
      </c>
      <c r="M23" s="64">
        <v>94.9</v>
      </c>
      <c r="N23" s="64">
        <v>106.4</v>
      </c>
      <c r="O23" s="64">
        <v>0</v>
      </c>
      <c r="P23" s="64">
        <v>1.25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739</v>
      </c>
      <c r="B24" s="64">
        <v>23.71</v>
      </c>
      <c r="C24" s="64">
        <v>58.85</v>
      </c>
      <c r="D24" s="64">
        <v>48.38</v>
      </c>
      <c r="E24" s="64">
        <v>6.74</v>
      </c>
      <c r="F24" s="64">
        <v>2.13</v>
      </c>
      <c r="G24" s="64">
        <v>106.51</v>
      </c>
      <c r="H24" s="64">
        <v>53.38</v>
      </c>
      <c r="I24" s="210" t="s">
        <v>43</v>
      </c>
      <c r="J24" s="64">
        <v>0.88</v>
      </c>
      <c r="K24" s="64">
        <v>333.85</v>
      </c>
      <c r="L24" s="64">
        <v>10.82</v>
      </c>
      <c r="M24" s="64">
        <v>95.56</v>
      </c>
      <c r="N24" s="64">
        <v>107</v>
      </c>
      <c r="O24" s="64">
        <v>0</v>
      </c>
      <c r="P24" s="64">
        <v>1.21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740</v>
      </c>
      <c r="B25" s="64">
        <v>22.68</v>
      </c>
      <c r="C25" s="64">
        <v>58.67</v>
      </c>
      <c r="D25" s="64">
        <v>47.46</v>
      </c>
      <c r="E25" s="64">
        <v>6.52</v>
      </c>
      <c r="F25" s="64">
        <v>2.13</v>
      </c>
      <c r="G25" s="64">
        <v>106.51</v>
      </c>
      <c r="H25" s="64">
        <v>53.38</v>
      </c>
      <c r="I25" s="210" t="s">
        <v>43</v>
      </c>
      <c r="J25" s="64">
        <v>1.1200000000000001</v>
      </c>
      <c r="K25" s="64">
        <v>280.51</v>
      </c>
      <c r="L25" s="64">
        <v>10.62</v>
      </c>
      <c r="M25" s="64">
        <v>98.12</v>
      </c>
      <c r="N25" s="64">
        <v>106.7</v>
      </c>
      <c r="O25" s="64">
        <v>0</v>
      </c>
      <c r="P25" s="64">
        <v>1.18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741</v>
      </c>
      <c r="B26" s="64">
        <v>22.23</v>
      </c>
      <c r="C26" s="64">
        <v>57.77</v>
      </c>
      <c r="D26" s="64">
        <v>46.63</v>
      </c>
      <c r="E26" s="64">
        <v>6.66</v>
      </c>
      <c r="F26" s="64">
        <v>2.13</v>
      </c>
      <c r="G26" s="64">
        <v>106.51</v>
      </c>
      <c r="H26" s="64">
        <v>53.38</v>
      </c>
      <c r="I26" s="210" t="s">
        <v>43</v>
      </c>
      <c r="J26" s="64">
        <v>0.66</v>
      </c>
      <c r="K26" s="64">
        <v>270.25</v>
      </c>
      <c r="L26" s="64">
        <v>10.53</v>
      </c>
      <c r="M26" s="64">
        <v>98.5</v>
      </c>
      <c r="N26" s="64">
        <v>106.1</v>
      </c>
      <c r="O26" s="64">
        <v>0</v>
      </c>
      <c r="P26" s="64">
        <v>1.18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742</v>
      </c>
      <c r="B27" s="64">
        <v>22.17</v>
      </c>
      <c r="C27" s="64">
        <v>57.24</v>
      </c>
      <c r="D27" s="64">
        <v>46.31</v>
      </c>
      <c r="E27" s="64">
        <v>7.07</v>
      </c>
      <c r="F27" s="64">
        <v>2.13</v>
      </c>
      <c r="G27" s="64">
        <v>100.04</v>
      </c>
      <c r="H27" s="64">
        <v>51.83</v>
      </c>
      <c r="I27" s="210" t="s">
        <v>43</v>
      </c>
      <c r="J27" s="64">
        <v>1</v>
      </c>
      <c r="K27" s="64">
        <v>292.95</v>
      </c>
      <c r="L27" s="64">
        <v>10.38</v>
      </c>
      <c r="M27" s="64">
        <v>98.78</v>
      </c>
      <c r="N27" s="64">
        <v>106.7</v>
      </c>
      <c r="O27" s="64">
        <v>0</v>
      </c>
      <c r="P27" s="64">
        <v>1.18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743</v>
      </c>
      <c r="B28" s="64">
        <v>22.96</v>
      </c>
      <c r="C28" s="64">
        <v>56.88</v>
      </c>
      <c r="D28" s="64">
        <v>46.75</v>
      </c>
      <c r="E28" s="64">
        <v>7.07</v>
      </c>
      <c r="F28" s="64">
        <v>2.13</v>
      </c>
      <c r="G28" s="64">
        <v>97.27</v>
      </c>
      <c r="H28" s="64">
        <v>51.16</v>
      </c>
      <c r="I28" s="210" t="s">
        <v>43</v>
      </c>
      <c r="J28" s="64">
        <v>0.19</v>
      </c>
      <c r="K28" s="64">
        <v>122.19</v>
      </c>
      <c r="L28" s="64">
        <v>10.14</v>
      </c>
      <c r="M28" s="64">
        <v>100.46</v>
      </c>
      <c r="N28" s="64">
        <v>106.6</v>
      </c>
      <c r="O28" s="64">
        <v>0</v>
      </c>
      <c r="P28" s="64">
        <v>1.18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744</v>
      </c>
      <c r="B29" s="64">
        <v>24.44</v>
      </c>
      <c r="C29" s="64">
        <v>54.73</v>
      </c>
      <c r="D29" s="64">
        <v>46.82</v>
      </c>
      <c r="E29" s="64">
        <v>6.91</v>
      </c>
      <c r="F29" s="64">
        <v>2.13</v>
      </c>
      <c r="G29" s="64">
        <v>97.27</v>
      </c>
      <c r="H29" s="64">
        <v>51.16</v>
      </c>
      <c r="I29" s="210" t="s">
        <v>43</v>
      </c>
      <c r="J29" s="64">
        <v>0.21</v>
      </c>
      <c r="K29" s="64">
        <v>355.66</v>
      </c>
      <c r="L29" s="64">
        <v>10.06</v>
      </c>
      <c r="M29" s="64">
        <v>101.75</v>
      </c>
      <c r="N29" s="64">
        <v>106</v>
      </c>
      <c r="O29" s="64">
        <v>0</v>
      </c>
      <c r="P29" s="64">
        <v>1.2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745</v>
      </c>
      <c r="B30" s="64">
        <v>26.46</v>
      </c>
      <c r="C30" s="64">
        <v>54.58</v>
      </c>
      <c r="D30" s="64">
        <v>48.36</v>
      </c>
      <c r="E30" s="64">
        <v>7.53</v>
      </c>
      <c r="F30" s="64">
        <v>2.13</v>
      </c>
      <c r="G30" s="64">
        <v>97.27</v>
      </c>
      <c r="H30" s="64">
        <v>51.16</v>
      </c>
      <c r="I30" s="210" t="s">
        <v>43</v>
      </c>
      <c r="J30" s="64">
        <v>0.61</v>
      </c>
      <c r="K30" s="64">
        <v>258.54000000000002</v>
      </c>
      <c r="L30" s="64">
        <v>10.27</v>
      </c>
      <c r="M30" s="64">
        <v>100.68</v>
      </c>
      <c r="N30" s="64">
        <v>106</v>
      </c>
      <c r="O30" s="64">
        <v>0</v>
      </c>
      <c r="P30" s="64">
        <v>1.21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746</v>
      </c>
      <c r="B31" s="64">
        <v>28.63</v>
      </c>
      <c r="C31" s="64">
        <v>54.25</v>
      </c>
      <c r="D31" s="64">
        <v>49.93</v>
      </c>
      <c r="E31" s="64">
        <v>7.74</v>
      </c>
      <c r="F31" s="64">
        <v>2.13</v>
      </c>
      <c r="G31" s="64">
        <v>129.02000000000001</v>
      </c>
      <c r="H31" s="64">
        <v>53.05</v>
      </c>
      <c r="I31" s="210" t="s">
        <v>43</v>
      </c>
      <c r="J31" s="64">
        <v>1.04</v>
      </c>
      <c r="K31" s="64">
        <v>294.52</v>
      </c>
      <c r="L31" s="64">
        <v>10.35</v>
      </c>
      <c r="M31" s="64">
        <v>100.07</v>
      </c>
      <c r="N31" s="64">
        <v>105.9</v>
      </c>
      <c r="O31" s="64">
        <v>0</v>
      </c>
      <c r="P31" s="64">
        <v>1.21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747</v>
      </c>
      <c r="B32" s="64">
        <v>32.659999999999997</v>
      </c>
      <c r="C32" s="64">
        <v>53.47</v>
      </c>
      <c r="D32" s="64">
        <v>52.75</v>
      </c>
      <c r="E32" s="64">
        <v>7.79</v>
      </c>
      <c r="F32" s="64">
        <v>2.13</v>
      </c>
      <c r="G32" s="64">
        <v>142.63</v>
      </c>
      <c r="H32" s="64">
        <v>53.87</v>
      </c>
      <c r="I32" s="210" t="s">
        <v>43</v>
      </c>
      <c r="J32" s="64">
        <v>1.1499999999999999</v>
      </c>
      <c r="K32" s="64">
        <v>301.56</v>
      </c>
      <c r="L32" s="64">
        <v>10.039999999999999</v>
      </c>
      <c r="M32" s="64">
        <v>101.74</v>
      </c>
      <c r="N32" s="64">
        <v>105.9</v>
      </c>
      <c r="O32" s="64">
        <v>0</v>
      </c>
      <c r="P32" s="64">
        <v>1.22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748</v>
      </c>
      <c r="B33" s="64">
        <v>38.369999999999997</v>
      </c>
      <c r="C33" s="64">
        <v>53.21</v>
      </c>
      <c r="D33" s="64">
        <v>57.19</v>
      </c>
      <c r="E33" s="64">
        <v>8.0299999999999994</v>
      </c>
      <c r="F33" s="64">
        <v>2.13</v>
      </c>
      <c r="G33" s="64">
        <v>142.63</v>
      </c>
      <c r="H33" s="64">
        <v>53.87</v>
      </c>
      <c r="I33" s="210" t="s">
        <v>43</v>
      </c>
      <c r="J33" s="64">
        <v>1.08</v>
      </c>
      <c r="K33" s="64">
        <v>295.42</v>
      </c>
      <c r="L33" s="64">
        <v>9.77</v>
      </c>
      <c r="M33" s="64">
        <v>102.62</v>
      </c>
      <c r="N33" s="64">
        <v>105.3</v>
      </c>
      <c r="O33" s="64">
        <v>0</v>
      </c>
      <c r="P33" s="64">
        <v>1.24</v>
      </c>
      <c r="Q33" s="64">
        <v>8.2799999999999994</v>
      </c>
      <c r="R33" s="198"/>
      <c r="S33" s="198"/>
      <c r="T33" s="198"/>
      <c r="U33" s="198"/>
    </row>
    <row r="34" spans="1:21" s="12" customFormat="1" x14ac:dyDescent="0.25">
      <c r="A34" s="214" t="s">
        <v>749</v>
      </c>
      <c r="B34" s="64">
        <v>42.28</v>
      </c>
      <c r="C34" s="64">
        <v>52.95</v>
      </c>
      <c r="D34" s="64">
        <v>60.19</v>
      </c>
      <c r="E34" s="64">
        <v>8.6300000000000008</v>
      </c>
      <c r="F34" s="64">
        <v>2.13</v>
      </c>
      <c r="G34" s="64">
        <v>142.63</v>
      </c>
      <c r="H34" s="64">
        <v>53.87</v>
      </c>
      <c r="I34" s="210" t="s">
        <v>43</v>
      </c>
      <c r="J34" s="64">
        <v>1.01</v>
      </c>
      <c r="K34" s="64">
        <v>314.89999999999998</v>
      </c>
      <c r="L34" s="64">
        <v>9.77</v>
      </c>
      <c r="M34" s="64">
        <v>102.6</v>
      </c>
      <c r="N34" s="64">
        <v>104.7</v>
      </c>
      <c r="O34" s="64">
        <v>0</v>
      </c>
      <c r="P34" s="64">
        <v>1.24</v>
      </c>
      <c r="Q34" s="64">
        <v>8.5500000000000007</v>
      </c>
      <c r="R34" s="198"/>
      <c r="S34" s="198"/>
      <c r="T34" s="198"/>
      <c r="U34" s="198"/>
    </row>
    <row r="35" spans="1:21" s="12" customFormat="1" x14ac:dyDescent="0.25">
      <c r="A35" s="214" t="s">
        <v>750</v>
      </c>
      <c r="B35" s="64">
        <v>48.36</v>
      </c>
      <c r="C35" s="64">
        <v>52.64</v>
      </c>
      <c r="D35" s="64">
        <v>64.900000000000006</v>
      </c>
      <c r="E35" s="64">
        <v>8.64</v>
      </c>
      <c r="F35" s="64">
        <v>2.13</v>
      </c>
      <c r="G35" s="64">
        <v>162</v>
      </c>
      <c r="H35" s="64">
        <v>59.02</v>
      </c>
      <c r="I35" s="210" t="s">
        <v>43</v>
      </c>
      <c r="J35" s="64">
        <v>1.01</v>
      </c>
      <c r="K35" s="64">
        <v>297.93</v>
      </c>
      <c r="L35" s="64">
        <v>9.7100000000000009</v>
      </c>
      <c r="M35" s="64">
        <v>102.6</v>
      </c>
      <c r="N35" s="64">
        <v>107.4</v>
      </c>
      <c r="O35" s="64">
        <v>0</v>
      </c>
      <c r="P35" s="64">
        <v>1.24</v>
      </c>
      <c r="Q35" s="64">
        <v>8.9</v>
      </c>
      <c r="R35" s="198"/>
      <c r="S35" s="198"/>
      <c r="T35" s="198"/>
      <c r="U35" s="198"/>
    </row>
    <row r="36" spans="1:21" s="12" customFormat="1" x14ac:dyDescent="0.25">
      <c r="A36" s="214" t="s">
        <v>751</v>
      </c>
      <c r="B36" s="64">
        <v>54.11</v>
      </c>
      <c r="C36" s="64">
        <v>52.04</v>
      </c>
      <c r="D36" s="64">
        <v>69.209999999999994</v>
      </c>
      <c r="E36" s="64">
        <v>8.7899999999999991</v>
      </c>
      <c r="F36" s="64">
        <v>2.29</v>
      </c>
      <c r="G36" s="64">
        <v>170.3</v>
      </c>
      <c r="H36" s="64">
        <v>61.23</v>
      </c>
      <c r="I36" s="210" t="s">
        <v>43</v>
      </c>
      <c r="J36" s="64">
        <v>1.1299999999999999</v>
      </c>
      <c r="K36" s="64">
        <v>329.29</v>
      </c>
      <c r="L36" s="64">
        <v>9.69</v>
      </c>
      <c r="M36" s="64">
        <v>102.6</v>
      </c>
      <c r="N36" s="64">
        <v>115.2</v>
      </c>
      <c r="O36" s="64">
        <v>0</v>
      </c>
      <c r="P36" s="64">
        <v>1.26</v>
      </c>
      <c r="Q36" s="64">
        <v>9.32</v>
      </c>
      <c r="R36" s="198"/>
      <c r="S36" s="198"/>
      <c r="T36" s="198"/>
      <c r="U36" s="198"/>
    </row>
    <row r="37" spans="1:21" s="12" customFormat="1" x14ac:dyDescent="0.25">
      <c r="A37" s="214" t="s">
        <v>752</v>
      </c>
      <c r="B37" s="64">
        <v>59.43</v>
      </c>
      <c r="C37" s="64">
        <v>52.48</v>
      </c>
      <c r="D37" s="64">
        <v>73.709999999999994</v>
      </c>
      <c r="E37" s="64">
        <v>8.86</v>
      </c>
      <c r="F37" s="64">
        <v>2.13</v>
      </c>
      <c r="G37" s="64">
        <v>170.3</v>
      </c>
      <c r="H37" s="64">
        <v>61.23</v>
      </c>
      <c r="I37" s="210" t="s">
        <v>43</v>
      </c>
      <c r="J37" s="64">
        <v>0.54</v>
      </c>
      <c r="K37" s="64">
        <v>286.20999999999998</v>
      </c>
      <c r="L37" s="64">
        <v>9.7899999999999991</v>
      </c>
      <c r="M37" s="64">
        <v>102.62</v>
      </c>
      <c r="N37" s="64">
        <v>127.8</v>
      </c>
      <c r="O37" s="64">
        <v>0</v>
      </c>
      <c r="P37" s="64">
        <v>1.31</v>
      </c>
      <c r="Q37" s="64">
        <v>9.48</v>
      </c>
      <c r="R37" s="198"/>
      <c r="S37" s="198"/>
      <c r="T37" s="198"/>
      <c r="U37" s="198"/>
    </row>
    <row r="38" spans="1:21" s="12" customFormat="1" x14ac:dyDescent="0.25">
      <c r="A38" s="214" t="s">
        <v>753</v>
      </c>
      <c r="B38" s="64">
        <v>64.209999999999994</v>
      </c>
      <c r="C38" s="64">
        <v>52.5</v>
      </c>
      <c r="D38" s="64">
        <v>77.55</v>
      </c>
      <c r="E38" s="64">
        <v>9.2799999999999994</v>
      </c>
      <c r="F38" s="64">
        <v>2.13</v>
      </c>
      <c r="G38" s="64">
        <v>170.3</v>
      </c>
      <c r="H38" s="64">
        <v>61.23</v>
      </c>
      <c r="I38" s="210" t="s">
        <v>43</v>
      </c>
      <c r="J38" s="64">
        <v>0.9</v>
      </c>
      <c r="K38" s="64">
        <v>186.26</v>
      </c>
      <c r="L38" s="64">
        <v>10.51</v>
      </c>
      <c r="M38" s="64">
        <v>99.58</v>
      </c>
      <c r="N38" s="64">
        <v>143.9</v>
      </c>
      <c r="O38" s="64">
        <v>0</v>
      </c>
      <c r="P38" s="64">
        <v>1.38</v>
      </c>
      <c r="Q38" s="64">
        <v>9.48</v>
      </c>
      <c r="R38" s="198"/>
      <c r="S38" s="198"/>
      <c r="T38" s="198"/>
      <c r="U38" s="198"/>
    </row>
    <row r="39" spans="1:21" s="12" customFormat="1" x14ac:dyDescent="0.25">
      <c r="A39" s="214" t="s">
        <v>754</v>
      </c>
      <c r="B39" s="64">
        <v>65.040000000000006</v>
      </c>
      <c r="C39" s="64">
        <v>52.75</v>
      </c>
      <c r="D39" s="64">
        <v>78.34</v>
      </c>
      <c r="E39" s="64">
        <v>8.59</v>
      </c>
      <c r="F39" s="64">
        <v>2.13</v>
      </c>
      <c r="G39" s="64">
        <v>163.22</v>
      </c>
      <c r="H39" s="64">
        <v>60.82</v>
      </c>
      <c r="I39" s="210" t="s">
        <v>43</v>
      </c>
      <c r="J39" s="64">
        <v>1.22</v>
      </c>
      <c r="K39" s="64">
        <v>147.32</v>
      </c>
      <c r="L39" s="64">
        <v>11.14</v>
      </c>
      <c r="M39" s="64">
        <v>94.91</v>
      </c>
      <c r="N39" s="64">
        <v>160.4</v>
      </c>
      <c r="O39" s="64">
        <v>0</v>
      </c>
      <c r="P39" s="64">
        <v>1.37</v>
      </c>
      <c r="Q39" s="64">
        <v>9.49</v>
      </c>
      <c r="R39" s="198"/>
      <c r="S39" s="198"/>
      <c r="T39" s="198"/>
      <c r="U39" s="198"/>
    </row>
    <row r="40" spans="1:21" s="12" customFormat="1" x14ac:dyDescent="0.25">
      <c r="A40" s="214" t="s">
        <v>755</v>
      </c>
      <c r="B40" s="64">
        <v>63.3</v>
      </c>
      <c r="C40" s="64">
        <v>53.18</v>
      </c>
      <c r="D40" s="64">
        <v>77.17</v>
      </c>
      <c r="E40" s="64">
        <v>8.0399999999999991</v>
      </c>
      <c r="F40" s="64">
        <v>2.13</v>
      </c>
      <c r="G40" s="64">
        <v>160.19</v>
      </c>
      <c r="H40" s="64">
        <v>60.64</v>
      </c>
      <c r="I40" s="210" t="s">
        <v>43</v>
      </c>
      <c r="J40" s="64">
        <v>1.19</v>
      </c>
      <c r="K40" s="64">
        <v>136.63999999999999</v>
      </c>
      <c r="L40" s="64">
        <v>11.67</v>
      </c>
      <c r="M40" s="64">
        <v>90.51</v>
      </c>
      <c r="N40" s="64">
        <v>220.2</v>
      </c>
      <c r="O40" s="64">
        <v>0</v>
      </c>
      <c r="P40" s="64">
        <v>1.35</v>
      </c>
      <c r="Q40" s="64">
        <v>9.4600000000000009</v>
      </c>
      <c r="R40" s="198"/>
      <c r="S40" s="198"/>
      <c r="T40" s="198"/>
      <c r="U40" s="198"/>
    </row>
    <row r="41" spans="1:21" s="12" customFormat="1" x14ac:dyDescent="0.25">
      <c r="A41" s="214" t="s">
        <v>756</v>
      </c>
      <c r="B41" s="64">
        <v>60.44</v>
      </c>
      <c r="C41" s="64">
        <v>54.4</v>
      </c>
      <c r="D41" s="64">
        <v>75.510000000000005</v>
      </c>
      <c r="E41" s="64">
        <v>8.93</v>
      </c>
      <c r="F41" s="64">
        <v>2.13</v>
      </c>
      <c r="G41" s="64">
        <v>160.19</v>
      </c>
      <c r="H41" s="64">
        <v>60.64</v>
      </c>
      <c r="I41" s="210" t="s">
        <v>43</v>
      </c>
      <c r="J41" s="64">
        <v>1.32</v>
      </c>
      <c r="K41" s="64">
        <v>146.69999999999999</v>
      </c>
      <c r="L41" s="64">
        <v>13.52</v>
      </c>
      <c r="M41" s="64">
        <v>81.12</v>
      </c>
      <c r="N41" s="64">
        <v>280</v>
      </c>
      <c r="O41" s="64">
        <v>0</v>
      </c>
      <c r="P41" s="64">
        <v>1.32</v>
      </c>
      <c r="Q41" s="64">
        <v>9.42</v>
      </c>
      <c r="R41" s="198"/>
      <c r="S41" s="198"/>
      <c r="T41" s="198"/>
      <c r="U41" s="198"/>
    </row>
    <row r="42" spans="1:21" s="12" customFormat="1" x14ac:dyDescent="0.25">
      <c r="A42" s="214" t="s">
        <v>757</v>
      </c>
      <c r="B42" s="64">
        <v>57.79</v>
      </c>
      <c r="C42" s="64">
        <v>55.49</v>
      </c>
      <c r="D42" s="64">
        <v>73.959999999999994</v>
      </c>
      <c r="E42" s="64">
        <v>8.64</v>
      </c>
      <c r="F42" s="64">
        <v>2.13</v>
      </c>
      <c r="G42" s="64">
        <v>160.19</v>
      </c>
      <c r="H42" s="64">
        <v>60.64</v>
      </c>
      <c r="I42" s="210" t="s">
        <v>43</v>
      </c>
      <c r="J42" s="64">
        <v>1.36</v>
      </c>
      <c r="K42" s="64">
        <v>123.23</v>
      </c>
      <c r="L42" s="64">
        <v>14.66</v>
      </c>
      <c r="M42" s="64">
        <v>76.87</v>
      </c>
      <c r="N42" s="64">
        <v>314.60000000000002</v>
      </c>
      <c r="O42" s="64">
        <v>0</v>
      </c>
      <c r="P42" s="64">
        <v>1.31</v>
      </c>
      <c r="Q42" s="64">
        <v>9.42</v>
      </c>
      <c r="R42" s="198"/>
      <c r="S42" s="198"/>
      <c r="T42" s="198"/>
      <c r="U42" s="198"/>
    </row>
    <row r="43" spans="1:21" s="12" customFormat="1" x14ac:dyDescent="0.25">
      <c r="A43" s="214" t="s">
        <v>758</v>
      </c>
      <c r="B43" s="64">
        <v>55.36</v>
      </c>
      <c r="C43" s="64">
        <v>56.03</v>
      </c>
      <c r="D43" s="64">
        <v>72.290000000000006</v>
      </c>
      <c r="E43" s="64">
        <v>8.14</v>
      </c>
      <c r="F43" s="64">
        <v>2.13</v>
      </c>
      <c r="G43" s="64">
        <v>133.06</v>
      </c>
      <c r="H43" s="64">
        <v>56.85</v>
      </c>
      <c r="I43" s="210" t="s">
        <v>43</v>
      </c>
      <c r="J43" s="64">
        <v>1.21</v>
      </c>
      <c r="K43" s="64">
        <v>160.06</v>
      </c>
      <c r="L43" s="64">
        <v>15.41</v>
      </c>
      <c r="M43" s="64">
        <v>74.67</v>
      </c>
      <c r="N43" s="64">
        <v>353.6</v>
      </c>
      <c r="O43" s="64">
        <v>0</v>
      </c>
      <c r="P43" s="64">
        <v>1.3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4" t="s">
        <v>759</v>
      </c>
      <c r="B44" s="64">
        <v>52.95</v>
      </c>
      <c r="C44" s="64">
        <v>56.42</v>
      </c>
      <c r="D44" s="64">
        <v>70.56</v>
      </c>
      <c r="E44" s="64">
        <v>8.14</v>
      </c>
      <c r="F44" s="64">
        <v>2.13</v>
      </c>
      <c r="G44" s="64">
        <v>121.44</v>
      </c>
      <c r="H44" s="64">
        <v>55.23</v>
      </c>
      <c r="I44" s="210" t="s">
        <v>43</v>
      </c>
      <c r="J44" s="64">
        <v>1.06</v>
      </c>
      <c r="K44" s="64">
        <v>197.99</v>
      </c>
      <c r="L44" s="64">
        <v>15.08</v>
      </c>
      <c r="M44" s="64">
        <v>75.650000000000006</v>
      </c>
      <c r="N44" s="64">
        <v>397.7</v>
      </c>
      <c r="O44" s="64">
        <v>0</v>
      </c>
      <c r="P44" s="64">
        <v>1.29</v>
      </c>
      <c r="Q44" s="64">
        <v>9.42</v>
      </c>
      <c r="R44" s="198"/>
      <c r="S44" s="198"/>
      <c r="T44" s="198"/>
      <c r="U44" s="198"/>
    </row>
    <row r="45" spans="1:21" s="12" customFormat="1" x14ac:dyDescent="0.25">
      <c r="A45" s="214" t="s">
        <v>760</v>
      </c>
      <c r="B45" s="64">
        <v>49.92</v>
      </c>
      <c r="C45" s="64">
        <v>57.11</v>
      </c>
      <c r="D45" s="64">
        <v>68.5</v>
      </c>
      <c r="E45" s="64">
        <v>7.94</v>
      </c>
      <c r="F45" s="64">
        <v>2.13</v>
      </c>
      <c r="G45" s="64">
        <v>121.44</v>
      </c>
      <c r="H45" s="64">
        <v>55.23</v>
      </c>
      <c r="I45" s="210" t="s">
        <v>43</v>
      </c>
      <c r="J45" s="64">
        <v>1</v>
      </c>
      <c r="K45" s="64">
        <v>163.84</v>
      </c>
      <c r="L45" s="64">
        <v>16.03</v>
      </c>
      <c r="M45" s="64">
        <v>71.56</v>
      </c>
      <c r="N45" s="64">
        <v>434.4</v>
      </c>
      <c r="O45" s="64">
        <v>0</v>
      </c>
      <c r="P45" s="64">
        <v>1.28</v>
      </c>
      <c r="Q45" s="64">
        <v>9.34</v>
      </c>
      <c r="R45" s="198"/>
      <c r="S45" s="198"/>
      <c r="T45" s="198"/>
      <c r="U45" s="198"/>
    </row>
    <row r="46" spans="1:21" s="12" customFormat="1" x14ac:dyDescent="0.25">
      <c r="A46" s="214" t="s">
        <v>761</v>
      </c>
      <c r="B46" s="64">
        <v>46.83</v>
      </c>
      <c r="C46" s="64">
        <v>56.26</v>
      </c>
      <c r="D46" s="64">
        <v>65.569999999999993</v>
      </c>
      <c r="E46" s="64">
        <v>8.0299999999999994</v>
      </c>
      <c r="F46" s="64">
        <v>2.13</v>
      </c>
      <c r="G46" s="64">
        <v>121.44</v>
      </c>
      <c r="H46" s="64">
        <v>55.23</v>
      </c>
      <c r="I46" s="210" t="s">
        <v>43</v>
      </c>
      <c r="J46" s="64">
        <v>1</v>
      </c>
      <c r="K46" s="64">
        <v>179.06</v>
      </c>
      <c r="L46" s="64">
        <v>17.03</v>
      </c>
      <c r="M46" s="64">
        <v>65.78</v>
      </c>
      <c r="N46" s="64">
        <v>465.9</v>
      </c>
      <c r="O46" s="64">
        <v>0</v>
      </c>
      <c r="P46" s="64">
        <v>1.28</v>
      </c>
      <c r="Q46" s="64">
        <v>9.1300000000000008</v>
      </c>
      <c r="R46" s="198"/>
      <c r="S46" s="198"/>
      <c r="T46" s="198"/>
      <c r="U46" s="198"/>
    </row>
    <row r="47" spans="1:21" s="12" customFormat="1" x14ac:dyDescent="0.25">
      <c r="A47" s="214" t="s">
        <v>762</v>
      </c>
      <c r="B47" s="64">
        <v>44.09</v>
      </c>
      <c r="C47" s="64">
        <v>57.88</v>
      </c>
      <c r="D47" s="64">
        <v>64.23</v>
      </c>
      <c r="E47" s="64">
        <v>7.81</v>
      </c>
      <c r="F47" s="64">
        <v>2.13</v>
      </c>
      <c r="G47" s="64">
        <v>134.01</v>
      </c>
      <c r="H47" s="64">
        <v>56.25</v>
      </c>
      <c r="I47" s="210" t="s">
        <v>43</v>
      </c>
      <c r="J47" s="64">
        <v>1.28</v>
      </c>
      <c r="K47" s="64">
        <v>169.48</v>
      </c>
      <c r="L47" s="64">
        <v>17.559999999999999</v>
      </c>
      <c r="M47" s="64">
        <v>61.23</v>
      </c>
      <c r="N47" s="64">
        <v>491</v>
      </c>
      <c r="O47" s="64">
        <v>0</v>
      </c>
      <c r="P47" s="64">
        <v>1.27</v>
      </c>
      <c r="Q47" s="64">
        <v>8.9499999999999993</v>
      </c>
      <c r="R47" s="198"/>
      <c r="S47" s="198"/>
      <c r="T47" s="198"/>
      <c r="U47" s="198"/>
    </row>
    <row r="48" spans="1:21" s="12" customFormat="1" x14ac:dyDescent="0.25">
      <c r="A48" s="214" t="s">
        <v>763</v>
      </c>
      <c r="B48" s="64">
        <v>40.950000000000003</v>
      </c>
      <c r="C48" s="64">
        <v>59.25</v>
      </c>
      <c r="D48" s="64">
        <v>62.42</v>
      </c>
      <c r="E48" s="64">
        <v>8.43</v>
      </c>
      <c r="F48" s="64">
        <v>2.13</v>
      </c>
      <c r="G48" s="64">
        <v>139.4</v>
      </c>
      <c r="H48" s="64">
        <v>56.68</v>
      </c>
      <c r="I48" s="210" t="s">
        <v>43</v>
      </c>
      <c r="J48" s="64">
        <v>1</v>
      </c>
      <c r="K48" s="64">
        <v>178.2</v>
      </c>
      <c r="L48" s="64">
        <v>17.91</v>
      </c>
      <c r="M48" s="64">
        <v>58.37</v>
      </c>
      <c r="N48" s="64">
        <v>518.79999999999995</v>
      </c>
      <c r="O48" s="64">
        <v>0</v>
      </c>
      <c r="P48" s="64">
        <v>1.25</v>
      </c>
      <c r="Q48" s="64">
        <v>8.77</v>
      </c>
      <c r="R48" s="198"/>
      <c r="S48" s="198"/>
      <c r="T48" s="198"/>
      <c r="U48" s="198"/>
    </row>
    <row r="49" spans="1:21" s="12" customFormat="1" x14ac:dyDescent="0.25">
      <c r="A49" s="214" t="s">
        <v>764</v>
      </c>
      <c r="B49" s="64">
        <v>37.409999999999997</v>
      </c>
      <c r="C49" s="64">
        <v>60.48</v>
      </c>
      <c r="D49" s="64">
        <v>60.22</v>
      </c>
      <c r="E49" s="64">
        <v>8.07</v>
      </c>
      <c r="F49" s="64">
        <v>2.13</v>
      </c>
      <c r="G49" s="64">
        <v>139.4</v>
      </c>
      <c r="H49" s="64">
        <v>56.68</v>
      </c>
      <c r="I49" s="210" t="s">
        <v>43</v>
      </c>
      <c r="J49" s="64">
        <v>1.17</v>
      </c>
      <c r="K49" s="64">
        <v>159.9</v>
      </c>
      <c r="L49" s="64">
        <v>18.809999999999999</v>
      </c>
      <c r="M49" s="64">
        <v>53.95</v>
      </c>
      <c r="N49" s="64">
        <v>539.79999999999995</v>
      </c>
      <c r="O49" s="64">
        <v>0</v>
      </c>
      <c r="P49" s="64">
        <v>1.24</v>
      </c>
      <c r="Q49" s="64">
        <v>8.57</v>
      </c>
      <c r="R49" s="198"/>
      <c r="S49" s="198"/>
      <c r="T49" s="198"/>
      <c r="U49" s="198"/>
    </row>
    <row r="50" spans="1:21" s="12" customFormat="1" x14ac:dyDescent="0.25">
      <c r="A50" s="214" t="s">
        <v>765</v>
      </c>
      <c r="B50" s="64">
        <v>33.82</v>
      </c>
      <c r="C50" s="64">
        <v>61.37</v>
      </c>
      <c r="D50" s="64">
        <v>57.81</v>
      </c>
      <c r="E50" s="64">
        <v>7.78</v>
      </c>
      <c r="F50" s="64">
        <v>2.13</v>
      </c>
      <c r="G50" s="64">
        <v>139.4</v>
      </c>
      <c r="H50" s="64">
        <v>56.68</v>
      </c>
      <c r="I50" s="210" t="s">
        <v>43</v>
      </c>
      <c r="J50" s="64">
        <v>1.28</v>
      </c>
      <c r="K50" s="64">
        <v>187.62</v>
      </c>
      <c r="L50" s="64">
        <v>18.91</v>
      </c>
      <c r="M50" s="64">
        <v>51.74</v>
      </c>
      <c r="N50" s="64">
        <v>541</v>
      </c>
      <c r="O50" s="64">
        <v>0</v>
      </c>
      <c r="P50" s="64">
        <v>1.22</v>
      </c>
      <c r="Q50" s="64">
        <v>8.3699999999999992</v>
      </c>
      <c r="R50" s="198"/>
      <c r="S50" s="198"/>
      <c r="T50" s="198"/>
      <c r="U50" s="198"/>
    </row>
    <row r="51" spans="1:21" s="12" customFormat="1" x14ac:dyDescent="0.25">
      <c r="A51" s="214" t="s">
        <v>766</v>
      </c>
      <c r="B51" s="64">
        <v>30.22</v>
      </c>
      <c r="C51" s="64">
        <v>62.45</v>
      </c>
      <c r="D51" s="64">
        <v>55.48</v>
      </c>
      <c r="E51" s="64">
        <v>7.66</v>
      </c>
      <c r="F51" s="64">
        <v>2.13</v>
      </c>
      <c r="G51" s="64">
        <v>117.52</v>
      </c>
      <c r="H51" s="64">
        <v>56.44</v>
      </c>
      <c r="I51" s="210" t="s">
        <v>43</v>
      </c>
      <c r="J51" s="64">
        <v>0.54</v>
      </c>
      <c r="K51" s="64">
        <v>194.66</v>
      </c>
      <c r="L51" s="64">
        <v>20.29</v>
      </c>
      <c r="M51" s="64">
        <v>47.33</v>
      </c>
      <c r="N51" s="64">
        <v>568.20000000000005</v>
      </c>
      <c r="O51" s="64">
        <v>0</v>
      </c>
      <c r="P51" s="64">
        <v>1.19</v>
      </c>
      <c r="Q51" s="64">
        <v>8.2200000000000006</v>
      </c>
      <c r="R51" s="198"/>
      <c r="S51" s="198"/>
      <c r="T51" s="198"/>
      <c r="U51" s="198"/>
    </row>
    <row r="52" spans="1:21" s="12" customFormat="1" x14ac:dyDescent="0.25">
      <c r="A52" s="214" t="s">
        <v>767</v>
      </c>
      <c r="B52" s="64">
        <v>27.22</v>
      </c>
      <c r="C52" s="64">
        <v>63.15</v>
      </c>
      <c r="D52" s="64">
        <v>53.44</v>
      </c>
      <c r="E52" s="64">
        <v>7.68</v>
      </c>
      <c r="F52" s="64">
        <v>2.13</v>
      </c>
      <c r="G52" s="64">
        <v>107.63</v>
      </c>
      <c r="H52" s="64">
        <v>56.33</v>
      </c>
      <c r="I52" s="210" t="s">
        <v>43</v>
      </c>
      <c r="J52" s="64">
        <v>1.23</v>
      </c>
      <c r="K52" s="64">
        <v>123.64</v>
      </c>
      <c r="L52" s="64">
        <v>21.34</v>
      </c>
      <c r="M52" s="64">
        <v>44.01</v>
      </c>
      <c r="N52" s="64">
        <v>594.20000000000005</v>
      </c>
      <c r="O52" s="64">
        <v>0</v>
      </c>
      <c r="P52" s="64">
        <v>1.18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768</v>
      </c>
      <c r="B53" s="64">
        <v>24.41</v>
      </c>
      <c r="C53" s="64">
        <v>64.2</v>
      </c>
      <c r="D53" s="64">
        <v>51.75</v>
      </c>
      <c r="E53" s="64">
        <v>8.24</v>
      </c>
      <c r="F53" s="64">
        <v>2.13</v>
      </c>
      <c r="G53" s="64">
        <v>107.63</v>
      </c>
      <c r="H53" s="64">
        <v>56.33</v>
      </c>
      <c r="I53" s="210" t="s">
        <v>43</v>
      </c>
      <c r="J53" s="64">
        <v>1.5</v>
      </c>
      <c r="K53" s="64">
        <v>335.46</v>
      </c>
      <c r="L53" s="64">
        <v>23.74</v>
      </c>
      <c r="M53" s="64">
        <v>39.04</v>
      </c>
      <c r="N53" s="64">
        <v>606.20000000000005</v>
      </c>
      <c r="O53" s="64">
        <v>0</v>
      </c>
      <c r="P53" s="64">
        <v>1.1599999999999999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769</v>
      </c>
      <c r="B54" s="64">
        <v>21.59</v>
      </c>
      <c r="C54" s="64">
        <v>66.349999999999994</v>
      </c>
      <c r="D54" s="64">
        <v>50.6</v>
      </c>
      <c r="E54" s="64">
        <v>8.42</v>
      </c>
      <c r="F54" s="64">
        <v>2.13</v>
      </c>
      <c r="G54" s="64">
        <v>107.63</v>
      </c>
      <c r="H54" s="64">
        <v>56.33</v>
      </c>
      <c r="I54" s="210" t="s">
        <v>43</v>
      </c>
      <c r="J54" s="64">
        <v>0.63</v>
      </c>
      <c r="K54" s="64">
        <v>352.55</v>
      </c>
      <c r="L54" s="64">
        <v>23.84</v>
      </c>
      <c r="M54" s="64">
        <v>38.729999999999997</v>
      </c>
      <c r="N54" s="64">
        <v>622.4</v>
      </c>
      <c r="O54" s="64">
        <v>0</v>
      </c>
      <c r="P54" s="64">
        <v>1.1499999999999999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770</v>
      </c>
      <c r="B55" s="64">
        <v>18.73</v>
      </c>
      <c r="C55" s="64">
        <v>68.47</v>
      </c>
      <c r="D55" s="64">
        <v>49.42</v>
      </c>
      <c r="E55" s="64">
        <v>7.91</v>
      </c>
      <c r="F55" s="64">
        <v>2.13</v>
      </c>
      <c r="G55" s="64">
        <v>104.94</v>
      </c>
      <c r="H55" s="64">
        <v>54.01</v>
      </c>
      <c r="I55" s="210" t="s">
        <v>43</v>
      </c>
      <c r="J55" s="64">
        <v>0.26</v>
      </c>
      <c r="K55" s="64">
        <v>10.62</v>
      </c>
      <c r="L55" s="64">
        <v>24.73</v>
      </c>
      <c r="M55" s="64">
        <v>36.08</v>
      </c>
      <c r="N55" s="64">
        <v>654.4</v>
      </c>
      <c r="O55" s="64">
        <v>0</v>
      </c>
      <c r="P55" s="64">
        <v>1.1499999999999999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771</v>
      </c>
      <c r="B56" s="64">
        <v>16.05</v>
      </c>
      <c r="C56" s="64">
        <v>69.77</v>
      </c>
      <c r="D56" s="64">
        <v>47.95</v>
      </c>
      <c r="E56" s="64">
        <v>7.8</v>
      </c>
      <c r="F56" s="64">
        <v>2.13</v>
      </c>
      <c r="G56" s="64">
        <v>103.72</v>
      </c>
      <c r="H56" s="64">
        <v>52.97</v>
      </c>
      <c r="I56" s="210" t="s">
        <v>43</v>
      </c>
      <c r="J56" s="64">
        <v>0.7</v>
      </c>
      <c r="K56" s="64">
        <v>108.8</v>
      </c>
      <c r="L56" s="64">
        <v>23.86</v>
      </c>
      <c r="M56" s="64">
        <v>36.82</v>
      </c>
      <c r="N56" s="64">
        <v>657.3</v>
      </c>
      <c r="O56" s="64">
        <v>0</v>
      </c>
      <c r="P56" s="64">
        <v>1.1299999999999999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772</v>
      </c>
      <c r="B57" s="64">
        <v>13.19</v>
      </c>
      <c r="C57" s="64">
        <v>70.099999999999994</v>
      </c>
      <c r="D57" s="64">
        <v>45.83</v>
      </c>
      <c r="E57" s="64">
        <v>7.63</v>
      </c>
      <c r="F57" s="64">
        <v>2.13</v>
      </c>
      <c r="G57" s="64">
        <v>103.72</v>
      </c>
      <c r="H57" s="64">
        <v>52.97</v>
      </c>
      <c r="I57" s="210" t="s">
        <v>43</v>
      </c>
      <c r="J57" s="64">
        <v>0.85</v>
      </c>
      <c r="K57" s="64">
        <v>320.94</v>
      </c>
      <c r="L57" s="64">
        <v>23.67</v>
      </c>
      <c r="M57" s="64">
        <v>37.909999999999997</v>
      </c>
      <c r="N57" s="64">
        <v>643.4</v>
      </c>
      <c r="O57" s="64">
        <v>0</v>
      </c>
      <c r="P57" s="64">
        <v>1.1000000000000001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773</v>
      </c>
      <c r="B58" s="64">
        <v>10.99</v>
      </c>
      <c r="C58" s="64">
        <v>71.459999999999994</v>
      </c>
      <c r="D58" s="64">
        <v>44.77</v>
      </c>
      <c r="E58" s="64">
        <v>7.8</v>
      </c>
      <c r="F58" s="64">
        <v>2.46</v>
      </c>
      <c r="G58" s="64">
        <v>103.72</v>
      </c>
      <c r="H58" s="64">
        <v>52.97</v>
      </c>
      <c r="I58" s="210" t="s">
        <v>43</v>
      </c>
      <c r="J58" s="64">
        <v>1.34</v>
      </c>
      <c r="K58" s="64">
        <v>322.02</v>
      </c>
      <c r="L58" s="64">
        <v>25.76</v>
      </c>
      <c r="M58" s="64">
        <v>33.159999999999997</v>
      </c>
      <c r="N58" s="64">
        <v>672.3</v>
      </c>
      <c r="O58" s="64">
        <v>0</v>
      </c>
      <c r="P58" s="64">
        <v>1.0900000000000001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774</v>
      </c>
      <c r="B59" s="64">
        <v>6.69</v>
      </c>
      <c r="C59" s="64">
        <v>75.88</v>
      </c>
      <c r="D59" s="64">
        <v>43.63</v>
      </c>
      <c r="E59" s="64">
        <v>10.76</v>
      </c>
      <c r="F59" s="64">
        <v>5.54</v>
      </c>
      <c r="G59" s="64">
        <v>80.819999999999993</v>
      </c>
      <c r="H59" s="64">
        <v>48.18</v>
      </c>
      <c r="I59" s="210" t="s">
        <v>43</v>
      </c>
      <c r="J59" s="64">
        <v>1.39</v>
      </c>
      <c r="K59" s="64">
        <v>334.16</v>
      </c>
      <c r="L59" s="64">
        <v>26.65</v>
      </c>
      <c r="M59" s="64">
        <v>31.19</v>
      </c>
      <c r="N59" s="64">
        <v>678.2</v>
      </c>
      <c r="O59" s="64">
        <v>0</v>
      </c>
      <c r="P59" s="64">
        <v>1.01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775</v>
      </c>
      <c r="B60" s="64">
        <v>3.62</v>
      </c>
      <c r="C60" s="64">
        <v>76.599999999999994</v>
      </c>
      <c r="D60" s="64">
        <v>41.54</v>
      </c>
      <c r="E60" s="64">
        <v>10.34</v>
      </c>
      <c r="F60" s="64">
        <v>5.74</v>
      </c>
      <c r="G60" s="64">
        <v>71.010000000000005</v>
      </c>
      <c r="H60" s="64">
        <v>46.02</v>
      </c>
      <c r="I60" s="210" t="s">
        <v>43</v>
      </c>
      <c r="J60" s="64">
        <v>0.18</v>
      </c>
      <c r="K60" s="64">
        <v>65.72</v>
      </c>
      <c r="L60" s="64">
        <v>25.28</v>
      </c>
      <c r="M60" s="64">
        <v>32.450000000000003</v>
      </c>
      <c r="N60" s="64">
        <v>651.1</v>
      </c>
      <c r="O60" s="64">
        <v>0</v>
      </c>
      <c r="P60" s="64">
        <v>0.95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776</v>
      </c>
      <c r="B61" s="64">
        <v>2.81</v>
      </c>
      <c r="C61" s="64">
        <v>73.03</v>
      </c>
      <c r="D61" s="64">
        <v>39.03</v>
      </c>
      <c r="E61" s="64">
        <v>9.6199999999999992</v>
      </c>
      <c r="F61" s="64">
        <v>4.1399999999999997</v>
      </c>
      <c r="G61" s="64">
        <v>71.010000000000005</v>
      </c>
      <c r="H61" s="64">
        <v>46.02</v>
      </c>
      <c r="I61" s="210" t="s">
        <v>43</v>
      </c>
      <c r="J61" s="64">
        <v>1.62</v>
      </c>
      <c r="K61" s="64">
        <v>326.8</v>
      </c>
      <c r="L61" s="64">
        <v>24.92</v>
      </c>
      <c r="M61" s="64">
        <v>32.29</v>
      </c>
      <c r="N61" s="64">
        <v>643.70000000000005</v>
      </c>
      <c r="O61" s="64">
        <v>0</v>
      </c>
      <c r="P61" s="64">
        <v>0.91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777</v>
      </c>
      <c r="B62" s="64">
        <v>2.96</v>
      </c>
      <c r="C62" s="64">
        <v>69.95</v>
      </c>
      <c r="D62" s="64">
        <v>37.54</v>
      </c>
      <c r="E62" s="64">
        <v>9.16</v>
      </c>
      <c r="F62" s="64">
        <v>2.69</v>
      </c>
      <c r="G62" s="64">
        <v>71.010000000000005</v>
      </c>
      <c r="H62" s="64">
        <v>46.02</v>
      </c>
      <c r="I62" s="210" t="s">
        <v>43</v>
      </c>
      <c r="J62" s="64">
        <v>0.93</v>
      </c>
      <c r="K62" s="64">
        <v>321.35000000000002</v>
      </c>
      <c r="L62" s="64">
        <v>25.1</v>
      </c>
      <c r="M62" s="64">
        <v>31.47</v>
      </c>
      <c r="N62" s="64">
        <v>615.1</v>
      </c>
      <c r="O62" s="64">
        <v>0</v>
      </c>
      <c r="P62" s="64">
        <v>0.91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778</v>
      </c>
      <c r="B63" s="64">
        <v>3.07</v>
      </c>
      <c r="C63" s="64">
        <v>67.959999999999994</v>
      </c>
      <c r="D63" s="64">
        <v>36.590000000000003</v>
      </c>
      <c r="E63" s="64">
        <v>11.11</v>
      </c>
      <c r="F63" s="64">
        <v>11.34</v>
      </c>
      <c r="G63" s="64">
        <v>92.73</v>
      </c>
      <c r="H63" s="64">
        <v>43.99</v>
      </c>
      <c r="I63" s="210" t="s">
        <v>43</v>
      </c>
      <c r="J63" s="64">
        <v>2.08</v>
      </c>
      <c r="K63" s="64">
        <v>332.27</v>
      </c>
      <c r="L63" s="64">
        <v>25.35</v>
      </c>
      <c r="M63" s="64">
        <v>31.61</v>
      </c>
      <c r="N63" s="64">
        <v>533</v>
      </c>
      <c r="O63" s="64">
        <v>0</v>
      </c>
      <c r="P63" s="64">
        <v>0.86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779</v>
      </c>
      <c r="B64" s="64">
        <v>2.33</v>
      </c>
      <c r="C64" s="64">
        <v>71.930000000000007</v>
      </c>
      <c r="D64" s="64">
        <v>38.08</v>
      </c>
      <c r="E64" s="64">
        <v>12.85</v>
      </c>
      <c r="F64" s="64">
        <v>20.66</v>
      </c>
      <c r="G64" s="64">
        <v>102.04</v>
      </c>
      <c r="H64" s="64">
        <v>43.12</v>
      </c>
      <c r="I64" s="210" t="s">
        <v>43</v>
      </c>
      <c r="J64" s="64">
        <v>1.06</v>
      </c>
      <c r="K64" s="64">
        <v>278.3</v>
      </c>
      <c r="L64" s="64">
        <v>25.67</v>
      </c>
      <c r="M64" s="64">
        <v>30.02</v>
      </c>
      <c r="N64" s="64">
        <v>452.6</v>
      </c>
      <c r="O64" s="64">
        <v>0</v>
      </c>
      <c r="P64" s="64">
        <v>0.75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780</v>
      </c>
      <c r="B65" s="64">
        <v>2.11</v>
      </c>
      <c r="C65" s="64">
        <v>71.819999999999993</v>
      </c>
      <c r="D65" s="64">
        <v>37.83</v>
      </c>
      <c r="E65" s="64">
        <v>12.94</v>
      </c>
      <c r="F65" s="64">
        <v>19</v>
      </c>
      <c r="G65" s="64">
        <v>102.04</v>
      </c>
      <c r="H65" s="64">
        <v>43.12</v>
      </c>
      <c r="I65" s="210" t="s">
        <v>43</v>
      </c>
      <c r="J65" s="64">
        <v>0.24</v>
      </c>
      <c r="K65" s="64">
        <v>325.26</v>
      </c>
      <c r="L65" s="64">
        <v>24.14</v>
      </c>
      <c r="M65" s="64">
        <v>32.020000000000003</v>
      </c>
      <c r="N65" s="64">
        <v>404.3</v>
      </c>
      <c r="O65" s="64">
        <v>0</v>
      </c>
      <c r="P65" s="64">
        <v>0.7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781</v>
      </c>
      <c r="B66" s="64">
        <v>2.15</v>
      </c>
      <c r="C66" s="64">
        <v>69.88</v>
      </c>
      <c r="D66" s="64">
        <v>36.86</v>
      </c>
      <c r="E66" s="64">
        <v>11.78</v>
      </c>
      <c r="F66" s="64">
        <v>10.59</v>
      </c>
      <c r="G66" s="64">
        <v>102.04</v>
      </c>
      <c r="H66" s="64">
        <v>43.12</v>
      </c>
      <c r="I66" s="210" t="s">
        <v>43</v>
      </c>
      <c r="J66" s="64">
        <v>1.54</v>
      </c>
      <c r="K66" s="64">
        <v>312.45</v>
      </c>
      <c r="L66" s="64">
        <v>25.22</v>
      </c>
      <c r="M66" s="64">
        <v>31.02</v>
      </c>
      <c r="N66" s="64">
        <v>273.5</v>
      </c>
      <c r="O66" s="64">
        <v>0</v>
      </c>
      <c r="P66" s="64">
        <v>0.69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782</v>
      </c>
      <c r="B67" s="64">
        <v>2.39</v>
      </c>
      <c r="C67" s="64">
        <v>69.930000000000007</v>
      </c>
      <c r="D67" s="64">
        <v>37.07</v>
      </c>
      <c r="E67" s="64">
        <v>11.77</v>
      </c>
      <c r="F67" s="64">
        <v>9.08</v>
      </c>
      <c r="G67" s="64">
        <v>77.53</v>
      </c>
      <c r="H67" s="64">
        <v>40.229999999999997</v>
      </c>
      <c r="I67" s="210" t="s">
        <v>43</v>
      </c>
      <c r="J67" s="64">
        <v>0.69</v>
      </c>
      <c r="K67" s="64">
        <v>348.08</v>
      </c>
      <c r="L67" s="64">
        <v>24.84</v>
      </c>
      <c r="M67" s="64">
        <v>31.45</v>
      </c>
      <c r="N67" s="64">
        <v>246.9</v>
      </c>
      <c r="O67" s="64">
        <v>0</v>
      </c>
      <c r="P67" s="64">
        <v>0.69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783</v>
      </c>
      <c r="B68" s="64">
        <v>2.7</v>
      </c>
      <c r="C68" s="64">
        <v>74.5</v>
      </c>
      <c r="D68" s="64">
        <v>39.71</v>
      </c>
      <c r="E68" s="64">
        <v>11.72</v>
      </c>
      <c r="F68" s="64">
        <v>7.71</v>
      </c>
      <c r="G68" s="64">
        <v>67.03</v>
      </c>
      <c r="H68" s="64">
        <v>38.99</v>
      </c>
      <c r="I68" s="210" t="s">
        <v>43</v>
      </c>
      <c r="J68" s="64">
        <v>0.47</v>
      </c>
      <c r="K68" s="64">
        <v>308.91000000000003</v>
      </c>
      <c r="L68" s="64">
        <v>24.47</v>
      </c>
      <c r="M68" s="64">
        <v>32.020000000000003</v>
      </c>
      <c r="N68" s="64">
        <v>198.8</v>
      </c>
      <c r="O68" s="64">
        <v>0</v>
      </c>
      <c r="P68" s="64">
        <v>0.71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784</v>
      </c>
      <c r="B69" s="64">
        <v>2.71</v>
      </c>
      <c r="C69" s="64">
        <v>74.37</v>
      </c>
      <c r="D69" s="64">
        <v>39.65</v>
      </c>
      <c r="E69" s="64">
        <v>10.16</v>
      </c>
      <c r="F69" s="64">
        <v>5.24</v>
      </c>
      <c r="G69" s="64">
        <v>67.03</v>
      </c>
      <c r="H69" s="64">
        <v>38.99</v>
      </c>
      <c r="I69" s="210" t="s">
        <v>43</v>
      </c>
      <c r="J69" s="64">
        <v>0.79</v>
      </c>
      <c r="K69" s="64">
        <v>112.52</v>
      </c>
      <c r="L69" s="64">
        <v>22.64</v>
      </c>
      <c r="M69" s="64">
        <v>34.82</v>
      </c>
      <c r="N69" s="64">
        <v>163.30000000000001</v>
      </c>
      <c r="O69" s="64">
        <v>0</v>
      </c>
      <c r="P69" s="64">
        <v>0.7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785</v>
      </c>
      <c r="B70" s="64">
        <v>2.44</v>
      </c>
      <c r="C70" s="64">
        <v>71.92</v>
      </c>
      <c r="D70" s="64">
        <v>38.159999999999997</v>
      </c>
      <c r="E70" s="64">
        <v>14.38</v>
      </c>
      <c r="F70" s="64">
        <v>25.91</v>
      </c>
      <c r="G70" s="64">
        <v>67.03</v>
      </c>
      <c r="H70" s="64">
        <v>38.99</v>
      </c>
      <c r="I70" s="210" t="s">
        <v>43</v>
      </c>
      <c r="J70" s="64">
        <v>1.4</v>
      </c>
      <c r="K70" s="64">
        <v>118.29</v>
      </c>
      <c r="L70" s="64">
        <v>22.47</v>
      </c>
      <c r="M70" s="64">
        <v>35.020000000000003</v>
      </c>
      <c r="N70" s="64">
        <v>132.4</v>
      </c>
      <c r="O70" s="64">
        <v>0</v>
      </c>
      <c r="P70" s="64">
        <v>0.69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786</v>
      </c>
      <c r="B71" s="64">
        <v>1.93</v>
      </c>
      <c r="C71" s="64">
        <v>62.64</v>
      </c>
      <c r="D71" s="64">
        <v>32.9</v>
      </c>
      <c r="E71" s="64">
        <v>15.77</v>
      </c>
      <c r="F71" s="64">
        <v>27.21</v>
      </c>
      <c r="G71" s="64">
        <v>78.83</v>
      </c>
      <c r="H71" s="64">
        <v>40.4</v>
      </c>
      <c r="I71" s="210" t="s">
        <v>43</v>
      </c>
      <c r="J71" s="64">
        <v>1.59</v>
      </c>
      <c r="K71" s="64">
        <v>124.22</v>
      </c>
      <c r="L71" s="64">
        <v>22.01</v>
      </c>
      <c r="M71" s="64">
        <v>36.24</v>
      </c>
      <c r="N71" s="64">
        <v>122.7</v>
      </c>
      <c r="O71" s="64">
        <v>0</v>
      </c>
      <c r="P71" s="64">
        <v>0.64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787</v>
      </c>
      <c r="B72" s="64">
        <v>1.94</v>
      </c>
      <c r="C72" s="64">
        <v>58</v>
      </c>
      <c r="D72" s="64">
        <v>30.48</v>
      </c>
      <c r="E72" s="64">
        <v>10.85</v>
      </c>
      <c r="F72" s="64">
        <v>12.67</v>
      </c>
      <c r="G72" s="64">
        <v>83.88</v>
      </c>
      <c r="H72" s="64">
        <v>41.01</v>
      </c>
      <c r="I72" s="210" t="s">
        <v>43</v>
      </c>
      <c r="J72" s="64">
        <v>1.1399999999999999</v>
      </c>
      <c r="K72" s="64">
        <v>132.11000000000001</v>
      </c>
      <c r="L72" s="64">
        <v>21.82</v>
      </c>
      <c r="M72" s="64">
        <v>36.08</v>
      </c>
      <c r="N72" s="64">
        <v>112.6</v>
      </c>
      <c r="O72" s="64">
        <v>0</v>
      </c>
      <c r="P72" s="64">
        <v>0.63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788</v>
      </c>
      <c r="B73" s="64">
        <v>2</v>
      </c>
      <c r="C73" s="64">
        <v>55.26</v>
      </c>
      <c r="D73" s="64">
        <v>29.1</v>
      </c>
      <c r="E73" s="64">
        <v>10.11</v>
      </c>
      <c r="F73" s="64">
        <v>9.6</v>
      </c>
      <c r="G73" s="64">
        <v>83.88</v>
      </c>
      <c r="H73" s="64">
        <v>41.01</v>
      </c>
      <c r="I73" s="210" t="s">
        <v>43</v>
      </c>
      <c r="J73" s="64">
        <v>1.54</v>
      </c>
      <c r="K73" s="64">
        <v>141.53</v>
      </c>
      <c r="L73" s="64">
        <v>21.77</v>
      </c>
      <c r="M73" s="64">
        <v>35.630000000000003</v>
      </c>
      <c r="N73" s="64">
        <v>104.7</v>
      </c>
      <c r="O73" s="64">
        <v>0</v>
      </c>
      <c r="P73" s="64">
        <v>0.62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789</v>
      </c>
      <c r="B74" s="64">
        <v>2.14</v>
      </c>
      <c r="C74" s="64">
        <v>53.98</v>
      </c>
      <c r="D74" s="64">
        <v>28.54</v>
      </c>
      <c r="E74" s="64">
        <v>8.74</v>
      </c>
      <c r="F74" s="64">
        <v>5.83</v>
      </c>
      <c r="G74" s="64">
        <v>83.88</v>
      </c>
      <c r="H74" s="64">
        <v>41.01</v>
      </c>
      <c r="I74" s="210" t="s">
        <v>43</v>
      </c>
      <c r="J74" s="64">
        <v>1.21</v>
      </c>
      <c r="K74" s="64">
        <v>152.88999999999999</v>
      </c>
      <c r="L74" s="64">
        <v>21.79</v>
      </c>
      <c r="M74" s="64">
        <v>35.409999999999997</v>
      </c>
      <c r="N74" s="64">
        <v>97.6</v>
      </c>
      <c r="O74" s="64">
        <v>0</v>
      </c>
      <c r="P74" s="64">
        <v>0.61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790</v>
      </c>
      <c r="B75" s="64">
        <v>2.34</v>
      </c>
      <c r="C75" s="64">
        <v>52.84</v>
      </c>
      <c r="D75" s="64">
        <v>28.11</v>
      </c>
      <c r="E75" s="64">
        <v>8.1</v>
      </c>
      <c r="F75" s="64">
        <v>3.96</v>
      </c>
      <c r="G75" s="64">
        <v>101.93</v>
      </c>
      <c r="H75" s="64">
        <v>39.5</v>
      </c>
      <c r="I75" s="210" t="s">
        <v>43</v>
      </c>
      <c r="J75" s="64">
        <v>1.02</v>
      </c>
      <c r="K75" s="64">
        <v>162.22</v>
      </c>
      <c r="L75" s="64">
        <v>21.63</v>
      </c>
      <c r="M75" s="64">
        <v>36.24</v>
      </c>
      <c r="N75" s="64">
        <v>89.7</v>
      </c>
      <c r="O75" s="64">
        <v>0</v>
      </c>
      <c r="P75" s="64">
        <v>0.61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791</v>
      </c>
      <c r="B76" s="64">
        <v>2.31</v>
      </c>
      <c r="C76" s="64">
        <v>54.15</v>
      </c>
      <c r="D76" s="64">
        <v>28.77</v>
      </c>
      <c r="E76" s="64">
        <v>8.9700000000000006</v>
      </c>
      <c r="F76" s="64">
        <v>7.69</v>
      </c>
      <c r="G76" s="64">
        <v>109.66</v>
      </c>
      <c r="H76" s="64">
        <v>38.85</v>
      </c>
      <c r="I76" s="210" t="s">
        <v>43</v>
      </c>
      <c r="J76" s="64">
        <v>0.36</v>
      </c>
      <c r="K76" s="64">
        <v>85.21</v>
      </c>
      <c r="L76" s="64">
        <v>21.3</v>
      </c>
      <c r="M76" s="64">
        <v>38.33</v>
      </c>
      <c r="N76" s="64">
        <v>80.8</v>
      </c>
      <c r="O76" s="64">
        <v>0</v>
      </c>
      <c r="P76" s="64">
        <v>0.61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792</v>
      </c>
      <c r="B77" s="64">
        <v>2.11</v>
      </c>
      <c r="C77" s="64">
        <v>60.3</v>
      </c>
      <c r="D77" s="64">
        <v>31.81</v>
      </c>
      <c r="E77" s="64">
        <v>9.6199999999999992</v>
      </c>
      <c r="F77" s="64">
        <v>9.98</v>
      </c>
      <c r="G77" s="64">
        <v>109.66</v>
      </c>
      <c r="H77" s="64">
        <v>38.85</v>
      </c>
      <c r="I77" s="210" t="s">
        <v>43</v>
      </c>
      <c r="J77" s="64">
        <v>1.1299999999999999</v>
      </c>
      <c r="K77" s="64">
        <v>293.45999999999998</v>
      </c>
      <c r="L77" s="64">
        <v>20.58</v>
      </c>
      <c r="M77" s="64">
        <v>42.54</v>
      </c>
      <c r="N77" s="64">
        <v>71.599999999999994</v>
      </c>
      <c r="O77" s="64">
        <v>0</v>
      </c>
      <c r="P77" s="64">
        <v>0.64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793</v>
      </c>
      <c r="B78" s="64">
        <v>2.4700000000000002</v>
      </c>
      <c r="C78" s="64">
        <v>72.39</v>
      </c>
      <c r="D78" s="64">
        <v>38.43</v>
      </c>
      <c r="E78" s="64">
        <v>9.27</v>
      </c>
      <c r="F78" s="64">
        <v>4.3899999999999997</v>
      </c>
      <c r="G78" s="64">
        <v>109.66</v>
      </c>
      <c r="H78" s="64">
        <v>38.85</v>
      </c>
      <c r="I78" s="210" t="s">
        <v>43</v>
      </c>
      <c r="J78" s="64">
        <v>1.0900000000000001</v>
      </c>
      <c r="K78" s="64">
        <v>299.95</v>
      </c>
      <c r="L78" s="64">
        <v>19.73</v>
      </c>
      <c r="M78" s="64">
        <v>46.25</v>
      </c>
      <c r="N78" s="64">
        <v>63.7</v>
      </c>
      <c r="O78" s="64">
        <v>0</v>
      </c>
      <c r="P78" s="64">
        <v>0.68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794</v>
      </c>
      <c r="B79" s="64">
        <v>3.58</v>
      </c>
      <c r="C79" s="64">
        <v>76.239999999999995</v>
      </c>
      <c r="D79" s="64">
        <v>41.33</v>
      </c>
      <c r="E79" s="64">
        <v>8.2100000000000009</v>
      </c>
      <c r="F79" s="64">
        <v>2.1800000000000002</v>
      </c>
      <c r="G79" s="64">
        <v>114.39</v>
      </c>
      <c r="H79" s="64">
        <v>38.83</v>
      </c>
      <c r="I79" s="210" t="s">
        <v>43</v>
      </c>
      <c r="J79" s="64">
        <v>1.1399999999999999</v>
      </c>
      <c r="K79" s="64">
        <v>321.64999999999998</v>
      </c>
      <c r="L79" s="64">
        <v>18.82</v>
      </c>
      <c r="M79" s="64">
        <v>54.06</v>
      </c>
      <c r="N79" s="64">
        <v>60.8</v>
      </c>
      <c r="O79" s="64">
        <v>0</v>
      </c>
      <c r="P79" s="64">
        <v>0.94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795</v>
      </c>
      <c r="B80" s="64">
        <v>6.08</v>
      </c>
      <c r="C80" s="64">
        <v>77.510000000000005</v>
      </c>
      <c r="D80" s="64">
        <v>43.99</v>
      </c>
      <c r="E80" s="64">
        <v>7.49</v>
      </c>
      <c r="F80" s="64">
        <v>2.13</v>
      </c>
      <c r="G80" s="64">
        <v>116.41</v>
      </c>
      <c r="H80" s="64">
        <v>38.82</v>
      </c>
      <c r="I80" s="210" t="s">
        <v>43</v>
      </c>
      <c r="J80" s="64">
        <v>1.2</v>
      </c>
      <c r="K80" s="64">
        <v>326.14</v>
      </c>
      <c r="L80" s="64">
        <v>18.04</v>
      </c>
      <c r="M80" s="64">
        <v>55.65</v>
      </c>
      <c r="N80" s="64">
        <v>59.6</v>
      </c>
      <c r="O80" s="64">
        <v>0</v>
      </c>
      <c r="P80" s="64">
        <v>0.86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796</v>
      </c>
      <c r="B81" s="64">
        <v>9.76</v>
      </c>
      <c r="C81" s="64">
        <v>78.48</v>
      </c>
      <c r="D81" s="64">
        <v>47.46</v>
      </c>
      <c r="E81" s="64">
        <v>7.37</v>
      </c>
      <c r="F81" s="64">
        <v>2.13</v>
      </c>
      <c r="G81" s="64">
        <v>116.41</v>
      </c>
      <c r="H81" s="64">
        <v>38.82</v>
      </c>
      <c r="I81" s="210" t="s">
        <v>43</v>
      </c>
      <c r="J81" s="64">
        <v>1.1000000000000001</v>
      </c>
      <c r="K81" s="64">
        <v>326.89</v>
      </c>
      <c r="L81" s="64">
        <v>17.43</v>
      </c>
      <c r="M81" s="64">
        <v>60.48</v>
      </c>
      <c r="N81" s="64">
        <v>59.9</v>
      </c>
      <c r="O81" s="64">
        <v>0</v>
      </c>
      <c r="P81" s="64">
        <v>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797</v>
      </c>
      <c r="B82" s="64">
        <v>15.84</v>
      </c>
      <c r="C82" s="64">
        <v>79.72</v>
      </c>
      <c r="D82" s="64">
        <v>52.97</v>
      </c>
      <c r="E82" s="64">
        <v>7.46</v>
      </c>
      <c r="F82" s="64">
        <v>2.13</v>
      </c>
      <c r="G82" s="64">
        <v>116.41</v>
      </c>
      <c r="H82" s="64">
        <v>38.82</v>
      </c>
      <c r="I82" s="210" t="s">
        <v>43</v>
      </c>
      <c r="J82" s="64">
        <v>0.67</v>
      </c>
      <c r="K82" s="64">
        <v>359.05</v>
      </c>
      <c r="L82" s="64">
        <v>16.98</v>
      </c>
      <c r="M82" s="64">
        <v>67.13</v>
      </c>
      <c r="N82" s="64">
        <v>60</v>
      </c>
      <c r="O82" s="64">
        <v>0</v>
      </c>
      <c r="P82" s="64">
        <v>1.2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798</v>
      </c>
      <c r="B83" s="64">
        <v>20.059999999999999</v>
      </c>
      <c r="C83" s="64">
        <v>79.989999999999995</v>
      </c>
      <c r="D83" s="64">
        <v>56.5</v>
      </c>
      <c r="E83" s="64">
        <v>7.26</v>
      </c>
      <c r="F83" s="64">
        <v>2.13</v>
      </c>
      <c r="G83" s="64">
        <v>180.49</v>
      </c>
      <c r="H83" s="64">
        <v>41.54</v>
      </c>
      <c r="I83" s="210" t="s">
        <v>43</v>
      </c>
      <c r="J83" s="64">
        <v>0.73</v>
      </c>
      <c r="K83" s="64">
        <v>318.88</v>
      </c>
      <c r="L83" s="64">
        <v>16.61</v>
      </c>
      <c r="M83" s="64">
        <v>66.83</v>
      </c>
      <c r="N83" s="64">
        <v>60.1</v>
      </c>
      <c r="O83" s="64">
        <v>0</v>
      </c>
      <c r="P83" s="64">
        <v>1.1000000000000001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799</v>
      </c>
      <c r="B84" s="64">
        <v>23.57</v>
      </c>
      <c r="C84" s="64">
        <v>79.8</v>
      </c>
      <c r="D84" s="64">
        <v>59.21</v>
      </c>
      <c r="E84" s="64">
        <v>7.24</v>
      </c>
      <c r="F84" s="64">
        <v>2.13</v>
      </c>
      <c r="G84" s="64">
        <v>207.95</v>
      </c>
      <c r="H84" s="64">
        <v>42.7</v>
      </c>
      <c r="I84" s="210" t="s">
        <v>43</v>
      </c>
      <c r="J84" s="64">
        <v>1.83</v>
      </c>
      <c r="K84" s="64">
        <v>113.6</v>
      </c>
      <c r="L84" s="64">
        <v>17.010000000000002</v>
      </c>
      <c r="M84" s="64">
        <v>62.08</v>
      </c>
      <c r="N84" s="64">
        <v>58.8</v>
      </c>
      <c r="O84" s="64">
        <v>0</v>
      </c>
      <c r="P84" s="64">
        <v>1.32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800</v>
      </c>
      <c r="B85" s="64">
        <v>25.2</v>
      </c>
      <c r="C85" s="64">
        <v>79.55</v>
      </c>
      <c r="D85" s="64">
        <v>60.39</v>
      </c>
      <c r="E85" s="64">
        <v>7.42</v>
      </c>
      <c r="F85" s="64">
        <v>2.13</v>
      </c>
      <c r="G85" s="64">
        <v>207.95</v>
      </c>
      <c r="H85" s="64">
        <v>42.7</v>
      </c>
      <c r="I85" s="210" t="s">
        <v>43</v>
      </c>
      <c r="J85" s="64">
        <v>1.72</v>
      </c>
      <c r="K85" s="64">
        <v>113.37</v>
      </c>
      <c r="L85" s="64">
        <v>18.38</v>
      </c>
      <c r="M85" s="64">
        <v>50.65</v>
      </c>
      <c r="N85" s="64">
        <v>59.5</v>
      </c>
      <c r="O85" s="64">
        <v>0</v>
      </c>
      <c r="P85" s="64">
        <v>1.1000000000000001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801</v>
      </c>
      <c r="B86" s="64">
        <v>24.94</v>
      </c>
      <c r="C86" s="64">
        <v>79.38</v>
      </c>
      <c r="D86" s="64">
        <v>60.1</v>
      </c>
      <c r="E86" s="64">
        <v>7.44</v>
      </c>
      <c r="F86" s="64">
        <v>2.13</v>
      </c>
      <c r="G86" s="64">
        <v>207.95</v>
      </c>
      <c r="H86" s="64">
        <v>42.7</v>
      </c>
      <c r="I86" s="210" t="s">
        <v>43</v>
      </c>
      <c r="J86" s="64">
        <v>0.82</v>
      </c>
      <c r="K86" s="64">
        <v>265.69</v>
      </c>
      <c r="L86" s="64">
        <v>17.93</v>
      </c>
      <c r="M86" s="64">
        <v>52.92</v>
      </c>
      <c r="N86" s="64">
        <v>62</v>
      </c>
      <c r="O86" s="64">
        <v>0</v>
      </c>
      <c r="P86" s="64">
        <v>1.1299999999999999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802</v>
      </c>
      <c r="B87" s="64">
        <v>24.67</v>
      </c>
      <c r="C87" s="64">
        <v>79.62</v>
      </c>
      <c r="D87" s="64">
        <v>60</v>
      </c>
      <c r="E87" s="64">
        <v>7.16</v>
      </c>
      <c r="F87" s="64">
        <v>2.13</v>
      </c>
      <c r="G87" s="64">
        <v>163.86</v>
      </c>
      <c r="H87" s="64">
        <v>47.84</v>
      </c>
      <c r="I87" s="210" t="s">
        <v>43</v>
      </c>
      <c r="J87" s="64">
        <v>1.24</v>
      </c>
      <c r="K87" s="64">
        <v>240.63</v>
      </c>
      <c r="L87" s="64">
        <v>17.2</v>
      </c>
      <c r="M87" s="64">
        <v>56.69</v>
      </c>
      <c r="N87" s="64">
        <v>62.1</v>
      </c>
      <c r="O87" s="64">
        <v>0</v>
      </c>
      <c r="P87" s="64">
        <v>1.1399999999999999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803</v>
      </c>
      <c r="B88" s="64">
        <v>24.48</v>
      </c>
      <c r="C88" s="64">
        <v>79.180000000000007</v>
      </c>
      <c r="D88" s="64">
        <v>59.63</v>
      </c>
      <c r="E88" s="64">
        <v>6.98</v>
      </c>
      <c r="F88" s="64">
        <v>2.13</v>
      </c>
      <c r="G88" s="64">
        <v>144.96</v>
      </c>
      <c r="H88" s="64">
        <v>50.05</v>
      </c>
      <c r="I88" s="210" t="s">
        <v>43</v>
      </c>
      <c r="J88" s="64">
        <v>1.07</v>
      </c>
      <c r="K88" s="64">
        <v>289.42</v>
      </c>
      <c r="L88" s="64">
        <v>16.850000000000001</v>
      </c>
      <c r="M88" s="64">
        <v>58.4</v>
      </c>
      <c r="N88" s="64">
        <v>63</v>
      </c>
      <c r="O88" s="64">
        <v>0</v>
      </c>
      <c r="P88" s="64">
        <v>1.19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804</v>
      </c>
      <c r="B89" s="64">
        <v>25.58</v>
      </c>
      <c r="C89" s="64">
        <v>79.06</v>
      </c>
      <c r="D89" s="64">
        <v>60.44</v>
      </c>
      <c r="E89" s="64">
        <v>7.18</v>
      </c>
      <c r="F89" s="64">
        <v>2.13</v>
      </c>
      <c r="G89" s="64">
        <v>144.96</v>
      </c>
      <c r="H89" s="64">
        <v>50.05</v>
      </c>
      <c r="I89" s="210" t="s">
        <v>43</v>
      </c>
      <c r="J89" s="64">
        <v>1.1299999999999999</v>
      </c>
      <c r="K89" s="64">
        <v>227.37</v>
      </c>
      <c r="L89" s="64">
        <v>16.63</v>
      </c>
      <c r="M89" s="64">
        <v>58.34</v>
      </c>
      <c r="N89" s="64">
        <v>62.7</v>
      </c>
      <c r="O89" s="64">
        <v>0</v>
      </c>
      <c r="P89" s="64">
        <v>1.24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805</v>
      </c>
      <c r="B90" s="64">
        <v>25.88</v>
      </c>
      <c r="C90" s="64">
        <v>78.489999999999995</v>
      </c>
      <c r="D90" s="64">
        <v>60.39</v>
      </c>
      <c r="E90" s="64">
        <v>7.13</v>
      </c>
      <c r="F90" s="64">
        <v>2.13</v>
      </c>
      <c r="G90" s="64">
        <v>144.96</v>
      </c>
      <c r="H90" s="64">
        <v>50.05</v>
      </c>
      <c r="I90" s="210" t="s">
        <v>43</v>
      </c>
      <c r="J90" s="64">
        <v>1.07</v>
      </c>
      <c r="K90" s="64">
        <v>211.93</v>
      </c>
      <c r="L90" s="64">
        <v>17.13</v>
      </c>
      <c r="M90" s="64">
        <v>55.42</v>
      </c>
      <c r="N90" s="64">
        <v>63</v>
      </c>
      <c r="O90" s="64">
        <v>0</v>
      </c>
      <c r="P90" s="64">
        <v>1.27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806</v>
      </c>
      <c r="B91" s="64">
        <v>25.5</v>
      </c>
      <c r="C91" s="64">
        <v>77.63</v>
      </c>
      <c r="D91" s="64">
        <v>59.63</v>
      </c>
      <c r="E91" s="64">
        <v>7.13</v>
      </c>
      <c r="F91" s="64">
        <v>2.13</v>
      </c>
      <c r="G91" s="64">
        <v>142.69</v>
      </c>
      <c r="H91" s="64">
        <v>47.64</v>
      </c>
      <c r="I91" s="210" t="s">
        <v>43</v>
      </c>
      <c r="J91" s="64">
        <v>1.0900000000000001</v>
      </c>
      <c r="K91" s="64">
        <v>252.36</v>
      </c>
      <c r="L91" s="64">
        <v>16.73</v>
      </c>
      <c r="M91" s="64">
        <v>59.29</v>
      </c>
      <c r="N91" s="64">
        <v>64.400000000000006</v>
      </c>
      <c r="O91" s="64">
        <v>0</v>
      </c>
      <c r="P91" s="64">
        <v>1.29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807</v>
      </c>
      <c r="B92" s="64">
        <v>26.37</v>
      </c>
      <c r="C92" s="64">
        <v>77.14</v>
      </c>
      <c r="D92" s="64">
        <v>60.07</v>
      </c>
      <c r="E92" s="64">
        <v>7.22</v>
      </c>
      <c r="F92" s="64">
        <v>2.13</v>
      </c>
      <c r="G92" s="64">
        <v>141.72</v>
      </c>
      <c r="H92" s="64">
        <v>46.6</v>
      </c>
      <c r="I92" s="210" t="s">
        <v>43</v>
      </c>
      <c r="J92" s="64">
        <v>0.93</v>
      </c>
      <c r="K92" s="64">
        <v>292.70999999999998</v>
      </c>
      <c r="L92" s="64">
        <v>16.170000000000002</v>
      </c>
      <c r="M92" s="64">
        <v>62.68</v>
      </c>
      <c r="N92" s="64">
        <v>65</v>
      </c>
      <c r="O92" s="64">
        <v>0</v>
      </c>
      <c r="P92" s="64">
        <v>1.32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808</v>
      </c>
      <c r="B93" s="64">
        <v>29.9</v>
      </c>
      <c r="C93" s="64">
        <v>76.930000000000007</v>
      </c>
      <c r="D93" s="64">
        <v>62.8</v>
      </c>
      <c r="E93" s="64">
        <v>7.37</v>
      </c>
      <c r="F93" s="64">
        <v>2.13</v>
      </c>
      <c r="G93" s="64">
        <v>141.72</v>
      </c>
      <c r="H93" s="64">
        <v>46.6</v>
      </c>
      <c r="I93" s="210" t="s">
        <v>43</v>
      </c>
      <c r="J93" s="64">
        <v>1.22</v>
      </c>
      <c r="K93" s="64">
        <v>329.78</v>
      </c>
      <c r="L93" s="64">
        <v>15.55</v>
      </c>
      <c r="M93" s="64">
        <v>68.930000000000007</v>
      </c>
      <c r="N93" s="64">
        <v>65.5</v>
      </c>
      <c r="O93" s="64">
        <v>0</v>
      </c>
      <c r="P93" s="64">
        <v>1.37</v>
      </c>
      <c r="Q93" s="64">
        <v>8.24</v>
      </c>
      <c r="R93" s="198"/>
      <c r="S93" s="198"/>
      <c r="T93" s="198"/>
      <c r="U93" s="198"/>
    </row>
    <row r="94" spans="1:26" s="12" customFormat="1" x14ac:dyDescent="0.25">
      <c r="A94" s="214" t="s">
        <v>809</v>
      </c>
      <c r="B94" s="64">
        <v>37.18</v>
      </c>
      <c r="C94" s="64">
        <v>77.319999999999993</v>
      </c>
      <c r="D94" s="64">
        <v>68.83</v>
      </c>
      <c r="E94" s="64">
        <v>7.66</v>
      </c>
      <c r="F94" s="64">
        <v>2.13</v>
      </c>
      <c r="G94" s="64">
        <v>141.72</v>
      </c>
      <c r="H94" s="64">
        <v>46.6</v>
      </c>
      <c r="I94" s="210" t="s">
        <v>43</v>
      </c>
      <c r="J94" s="64">
        <v>1.1599999999999999</v>
      </c>
      <c r="K94" s="64">
        <v>323.66000000000003</v>
      </c>
      <c r="L94" s="64">
        <v>14.96</v>
      </c>
      <c r="M94" s="64">
        <v>73.08</v>
      </c>
      <c r="N94" s="64">
        <v>66.099999999999994</v>
      </c>
      <c r="O94" s="64">
        <v>0</v>
      </c>
      <c r="P94" s="64">
        <v>1.47</v>
      </c>
      <c r="Q94" s="64">
        <v>8.58</v>
      </c>
      <c r="R94" s="198"/>
      <c r="S94" s="198"/>
      <c r="T94" s="198"/>
      <c r="U94" s="198"/>
    </row>
    <row r="95" spans="1:26" s="12" customFormat="1" x14ac:dyDescent="0.25">
      <c r="A95" s="214" t="s">
        <v>810</v>
      </c>
      <c r="B95" s="64">
        <v>43.55</v>
      </c>
      <c r="C95" s="64">
        <v>77.150000000000006</v>
      </c>
      <c r="D95" s="64">
        <v>73.86</v>
      </c>
      <c r="E95" s="64">
        <v>7.57</v>
      </c>
      <c r="F95" s="64">
        <v>2.13</v>
      </c>
      <c r="G95" s="64">
        <v>167.84</v>
      </c>
      <c r="H95" s="64">
        <v>51.68</v>
      </c>
      <c r="I95" s="210" t="s">
        <v>43</v>
      </c>
      <c r="J95" s="64">
        <v>1.1000000000000001</v>
      </c>
      <c r="K95" s="64">
        <v>330.21</v>
      </c>
      <c r="L95" s="64">
        <v>14.36</v>
      </c>
      <c r="M95" s="64">
        <v>79.069999999999993</v>
      </c>
      <c r="N95" s="64">
        <v>66.7</v>
      </c>
      <c r="O95" s="64">
        <v>0</v>
      </c>
      <c r="P95" s="64">
        <v>1.55</v>
      </c>
      <c r="Q95" s="64">
        <v>9.0399999999999991</v>
      </c>
      <c r="R95" s="198"/>
      <c r="S95" s="198"/>
      <c r="T95" s="198"/>
      <c r="U95" s="198"/>
    </row>
    <row r="96" spans="1:26" s="12" customFormat="1" x14ac:dyDescent="0.25">
      <c r="A96" s="214" t="s">
        <v>811</v>
      </c>
      <c r="B96" s="64">
        <v>47.94</v>
      </c>
      <c r="C96" s="64">
        <v>74.2</v>
      </c>
      <c r="D96" s="64">
        <v>75.84</v>
      </c>
      <c r="E96" s="64">
        <v>7.66</v>
      </c>
      <c r="F96" s="64">
        <v>2.13</v>
      </c>
      <c r="G96" s="64">
        <v>179.04</v>
      </c>
      <c r="H96" s="64">
        <v>53.86</v>
      </c>
      <c r="I96" s="210" t="s">
        <v>43</v>
      </c>
      <c r="J96" s="64">
        <v>1.18</v>
      </c>
      <c r="K96" s="64">
        <v>291.69</v>
      </c>
      <c r="L96" s="64">
        <v>14.11</v>
      </c>
      <c r="M96" s="64">
        <v>79.63</v>
      </c>
      <c r="N96" s="64">
        <v>67.400000000000006</v>
      </c>
      <c r="O96" s="64">
        <v>0</v>
      </c>
      <c r="P96" s="64">
        <v>1.62</v>
      </c>
      <c r="Q96" s="64">
        <v>9.32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812</v>
      </c>
      <c r="B97" s="64">
        <v>52.76</v>
      </c>
      <c r="C97" s="64">
        <v>74.16</v>
      </c>
      <c r="D97" s="64">
        <v>79.680000000000007</v>
      </c>
      <c r="E97" s="64">
        <v>7.64</v>
      </c>
      <c r="F97" s="64">
        <v>2.13</v>
      </c>
      <c r="G97" s="64">
        <v>179.04</v>
      </c>
      <c r="H97" s="64">
        <v>53.86</v>
      </c>
      <c r="I97" s="210" t="s">
        <v>43</v>
      </c>
      <c r="J97" s="64">
        <v>1.19</v>
      </c>
      <c r="K97" s="64">
        <v>302.55</v>
      </c>
      <c r="L97" s="64">
        <v>13.95</v>
      </c>
      <c r="M97" s="64">
        <v>79.34</v>
      </c>
      <c r="N97" s="64">
        <v>68.3</v>
      </c>
      <c r="O97" s="64">
        <v>0</v>
      </c>
      <c r="P97" s="64">
        <v>1.7</v>
      </c>
      <c r="Q97" s="64">
        <v>9.43</v>
      </c>
      <c r="R97" s="198"/>
      <c r="S97" s="198"/>
      <c r="T97" s="198"/>
      <c r="U97" s="198"/>
    </row>
    <row r="98" spans="1:33" s="12" customFormat="1" x14ac:dyDescent="0.25">
      <c r="A98" s="214" t="s">
        <v>813</v>
      </c>
      <c r="B98" s="64">
        <v>57.41</v>
      </c>
      <c r="C98" s="64">
        <v>73.44</v>
      </c>
      <c r="D98" s="64">
        <v>83.03</v>
      </c>
      <c r="E98" s="64">
        <v>7.39</v>
      </c>
      <c r="F98" s="64">
        <v>2.13</v>
      </c>
      <c r="G98" s="64">
        <v>179.04</v>
      </c>
      <c r="H98" s="64">
        <v>53.86</v>
      </c>
      <c r="I98" s="210" t="s">
        <v>43</v>
      </c>
      <c r="J98" s="64">
        <v>1.1599999999999999</v>
      </c>
      <c r="K98" s="64">
        <v>325.76</v>
      </c>
      <c r="L98" s="64">
        <v>13.75</v>
      </c>
      <c r="M98" s="64">
        <v>84.44</v>
      </c>
      <c r="N98" s="64">
        <v>69.3</v>
      </c>
      <c r="O98" s="64">
        <v>0</v>
      </c>
      <c r="P98" s="64">
        <v>1.68</v>
      </c>
      <c r="Q98" s="64">
        <v>9.48</v>
      </c>
      <c r="R98" s="198"/>
      <c r="S98" s="198"/>
      <c r="T98" s="198"/>
      <c r="U98" s="198"/>
    </row>
    <row r="99" spans="1:33" s="12" customFormat="1" x14ac:dyDescent="0.25">
      <c r="A99" s="214" t="s">
        <v>814</v>
      </c>
      <c r="B99" s="64">
        <v>61.04</v>
      </c>
      <c r="C99" s="64">
        <v>72.55</v>
      </c>
      <c r="D99" s="64">
        <v>85.47</v>
      </c>
      <c r="E99" s="64">
        <v>8.11</v>
      </c>
      <c r="F99" s="64">
        <v>2.13</v>
      </c>
      <c r="G99" s="64">
        <v>174.2</v>
      </c>
      <c r="H99" s="64">
        <v>53.57</v>
      </c>
      <c r="I99" s="210" t="s">
        <v>43</v>
      </c>
      <c r="J99" s="64">
        <v>0.45</v>
      </c>
      <c r="K99" s="64">
        <v>282.14999999999998</v>
      </c>
      <c r="L99" s="64">
        <v>13.52</v>
      </c>
      <c r="M99" s="64">
        <v>84.9</v>
      </c>
      <c r="N99" s="64">
        <v>70.2</v>
      </c>
      <c r="O99" s="64">
        <v>0</v>
      </c>
      <c r="P99" s="64">
        <v>1.69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4" t="s">
        <v>815</v>
      </c>
      <c r="B100" s="64">
        <v>65.010000000000005</v>
      </c>
      <c r="C100" s="64">
        <v>71.2</v>
      </c>
      <c r="D100" s="64">
        <v>87.96</v>
      </c>
      <c r="E100" s="64">
        <v>7.87</v>
      </c>
      <c r="F100" s="64">
        <v>2.13</v>
      </c>
      <c r="G100" s="64">
        <v>172.12</v>
      </c>
      <c r="H100" s="64">
        <v>53.45</v>
      </c>
      <c r="I100" s="210" t="s">
        <v>43</v>
      </c>
      <c r="J100" s="64">
        <v>0.39</v>
      </c>
      <c r="K100" s="64">
        <v>317.01</v>
      </c>
      <c r="L100" s="64">
        <v>13.54</v>
      </c>
      <c r="M100" s="64">
        <v>84.34</v>
      </c>
      <c r="N100" s="64">
        <v>71.599999999999994</v>
      </c>
      <c r="O100" s="64">
        <v>0</v>
      </c>
      <c r="P100" s="64">
        <v>1.69</v>
      </c>
      <c r="Q100" s="64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816</v>
      </c>
      <c r="B101" s="64">
        <v>69.84</v>
      </c>
      <c r="C101" s="64">
        <v>70.099999999999994</v>
      </c>
      <c r="D101" s="64">
        <v>91.26</v>
      </c>
      <c r="E101" s="64">
        <v>7.61</v>
      </c>
      <c r="F101" s="64">
        <v>2.13</v>
      </c>
      <c r="G101" s="64">
        <v>172.12</v>
      </c>
      <c r="H101" s="64">
        <v>53.45</v>
      </c>
      <c r="I101" s="210" t="s">
        <v>43</v>
      </c>
      <c r="J101" s="64">
        <v>0.19</v>
      </c>
      <c r="K101" s="64">
        <v>227.3</v>
      </c>
      <c r="L101" s="64">
        <v>13.18</v>
      </c>
      <c r="M101" s="64">
        <v>87.07</v>
      </c>
      <c r="N101" s="64">
        <v>73</v>
      </c>
      <c r="O101" s="64">
        <v>0</v>
      </c>
      <c r="P101" s="64">
        <v>1.72</v>
      </c>
      <c r="Q101" s="64">
        <v>9.5500000000000007</v>
      </c>
      <c r="R101" s="198"/>
      <c r="S101" s="198"/>
      <c r="T101" s="198"/>
      <c r="U101" s="198"/>
    </row>
    <row r="102" spans="1:33" s="12" customFormat="1" x14ac:dyDescent="0.25">
      <c r="A102" s="214" t="s">
        <v>817</v>
      </c>
      <c r="B102" s="64">
        <v>74.849999999999994</v>
      </c>
      <c r="C102" s="64">
        <v>68.650000000000006</v>
      </c>
      <c r="D102" s="64">
        <v>94.52</v>
      </c>
      <c r="E102" s="64">
        <v>7.86</v>
      </c>
      <c r="F102" s="64">
        <v>2.13</v>
      </c>
      <c r="G102" s="64">
        <v>172.12</v>
      </c>
      <c r="H102" s="64">
        <v>53.45</v>
      </c>
      <c r="I102" s="210" t="s">
        <v>43</v>
      </c>
      <c r="J102" s="64">
        <v>1.08</v>
      </c>
      <c r="K102" s="64">
        <v>281.57</v>
      </c>
      <c r="L102" s="64">
        <v>13.15</v>
      </c>
      <c r="M102" s="64">
        <v>87.31</v>
      </c>
      <c r="N102" s="64">
        <v>75.099999999999994</v>
      </c>
      <c r="O102" s="64">
        <v>0</v>
      </c>
      <c r="P102" s="64">
        <v>1.68</v>
      </c>
      <c r="Q102" s="64">
        <v>9.61</v>
      </c>
      <c r="R102" s="198"/>
      <c r="S102" s="198"/>
      <c r="T102" s="198"/>
      <c r="U102" s="198"/>
    </row>
    <row r="103" spans="1:33" s="12" customFormat="1" x14ac:dyDescent="0.25">
      <c r="A103" s="214" t="s">
        <v>818</v>
      </c>
      <c r="B103" s="64">
        <v>76.849999999999994</v>
      </c>
      <c r="C103" s="64">
        <v>68.489999999999995</v>
      </c>
      <c r="D103" s="64">
        <v>96.03</v>
      </c>
      <c r="E103" s="64">
        <v>7.38</v>
      </c>
      <c r="F103" s="64">
        <v>2.13</v>
      </c>
      <c r="G103" s="64">
        <v>165.26</v>
      </c>
      <c r="H103" s="64">
        <v>53.55</v>
      </c>
      <c r="I103" s="210" t="s">
        <v>43</v>
      </c>
      <c r="J103" s="64">
        <v>0.6</v>
      </c>
      <c r="K103" s="64">
        <v>206.5</v>
      </c>
      <c r="L103" s="64">
        <v>13.71</v>
      </c>
      <c r="M103" s="64">
        <v>79.05</v>
      </c>
      <c r="N103" s="64">
        <v>78.3</v>
      </c>
      <c r="O103" s="64">
        <v>0</v>
      </c>
      <c r="P103" s="64">
        <v>1.67</v>
      </c>
      <c r="Q103" s="64">
        <v>9.6199999999999992</v>
      </c>
      <c r="R103" s="198"/>
      <c r="S103" s="198"/>
      <c r="T103" s="198"/>
      <c r="U103" s="198"/>
    </row>
    <row r="104" spans="1:33" s="12" customFormat="1" x14ac:dyDescent="0.25">
      <c r="A104" s="214" t="s">
        <v>819</v>
      </c>
      <c r="B104" s="64">
        <v>74.41</v>
      </c>
      <c r="C104" s="64">
        <v>67.41</v>
      </c>
      <c r="D104" s="64">
        <v>93.52</v>
      </c>
      <c r="E104" s="64">
        <v>7.41</v>
      </c>
      <c r="F104" s="64">
        <v>2.13</v>
      </c>
      <c r="G104" s="64">
        <v>162.32</v>
      </c>
      <c r="H104" s="64">
        <v>53.59</v>
      </c>
      <c r="I104" s="210" t="s">
        <v>43</v>
      </c>
      <c r="J104" s="64">
        <v>0.3</v>
      </c>
      <c r="K104" s="64">
        <v>245.84</v>
      </c>
      <c r="L104" s="64">
        <v>13.76</v>
      </c>
      <c r="M104" s="64">
        <v>76.64</v>
      </c>
      <c r="N104" s="64">
        <v>91.7</v>
      </c>
      <c r="O104" s="64">
        <v>0</v>
      </c>
      <c r="P104" s="64">
        <v>1.65</v>
      </c>
      <c r="Q104" s="64">
        <v>9.61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1.93</v>
      </c>
      <c r="C106" s="67">
        <f>MIN(C9:C104)</f>
        <v>52.04</v>
      </c>
      <c r="D106" s="67">
        <f t="shared" ref="D106:Q106" si="0">MIN(D9:D104)</f>
        <v>28.11</v>
      </c>
      <c r="E106" s="67">
        <f t="shared" si="0"/>
        <v>6.52</v>
      </c>
      <c r="F106" s="67">
        <f t="shared" si="0"/>
        <v>2.13</v>
      </c>
      <c r="G106" s="67">
        <f t="shared" si="0"/>
        <v>67.03</v>
      </c>
      <c r="H106" s="67">
        <f t="shared" si="0"/>
        <v>38.82</v>
      </c>
      <c r="I106" s="67">
        <f t="shared" si="0"/>
        <v>0</v>
      </c>
      <c r="J106" s="67">
        <f t="shared" si="0"/>
        <v>0.18</v>
      </c>
      <c r="K106" s="67">
        <f t="shared" si="0"/>
        <v>10.62</v>
      </c>
      <c r="L106" s="67">
        <f t="shared" si="0"/>
        <v>9.69</v>
      </c>
      <c r="M106" s="67">
        <f t="shared" si="0"/>
        <v>30.02</v>
      </c>
      <c r="N106" s="67">
        <f t="shared" si="0"/>
        <v>58.8</v>
      </c>
      <c r="O106" s="67">
        <f t="shared" si="0"/>
        <v>0</v>
      </c>
      <c r="P106" s="67">
        <f t="shared" si="0"/>
        <v>0.61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76.849999999999994</v>
      </c>
      <c r="C107" s="66">
        <f t="shared" ref="C107:Q107" si="1">MAX(C9:C104)</f>
        <v>79.989999999999995</v>
      </c>
      <c r="D107" s="66">
        <f t="shared" si="1"/>
        <v>96.03</v>
      </c>
      <c r="E107" s="66">
        <f t="shared" si="1"/>
        <v>15.77</v>
      </c>
      <c r="F107" s="66">
        <f t="shared" si="1"/>
        <v>27.21</v>
      </c>
      <c r="G107" s="66">
        <f t="shared" si="1"/>
        <v>207.95</v>
      </c>
      <c r="H107" s="66">
        <f t="shared" si="1"/>
        <v>61.23</v>
      </c>
      <c r="I107" s="66">
        <f t="shared" si="1"/>
        <v>0</v>
      </c>
      <c r="J107" s="66">
        <f t="shared" si="1"/>
        <v>2.08</v>
      </c>
      <c r="K107" s="66">
        <f t="shared" si="1"/>
        <v>359.05</v>
      </c>
      <c r="L107" s="66">
        <f t="shared" si="1"/>
        <v>26.65</v>
      </c>
      <c r="M107" s="66">
        <f t="shared" si="1"/>
        <v>102.62</v>
      </c>
      <c r="N107" s="66">
        <f t="shared" si="1"/>
        <v>678.2</v>
      </c>
      <c r="O107" s="66">
        <f t="shared" si="1"/>
        <v>0</v>
      </c>
      <c r="P107" s="66">
        <f t="shared" si="1"/>
        <v>1.8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29.942812499999999</v>
      </c>
      <c r="C108" s="67">
        <f t="shared" ref="C108:Q108" si="2">AVERAGE(C9:C104)</f>
        <v>65.447604166666665</v>
      </c>
      <c r="D108" s="67">
        <f t="shared" si="2"/>
        <v>56.82947916666668</v>
      </c>
      <c r="E108" s="67">
        <f t="shared" si="2"/>
        <v>8.3008333333333351</v>
      </c>
      <c r="F108" s="67">
        <f t="shared" si="2"/>
        <v>3.8686458333333316</v>
      </c>
      <c r="G108" s="67">
        <f t="shared" si="2"/>
        <v>127.56500000000001</v>
      </c>
      <c r="H108" s="67">
        <f t="shared" si="2"/>
        <v>50.505937499999987</v>
      </c>
      <c r="I108" s="67" t="e">
        <f t="shared" si="2"/>
        <v>#DIV/0!</v>
      </c>
      <c r="J108" s="67">
        <f t="shared" si="2"/>
        <v>0.98166666666666635</v>
      </c>
      <c r="K108" s="67">
        <f t="shared" si="2"/>
        <v>250.92697916666654</v>
      </c>
      <c r="L108" s="67">
        <f t="shared" si="2"/>
        <v>16.475833333333338</v>
      </c>
      <c r="M108" s="67">
        <f t="shared" si="2"/>
        <v>67.135208333333324</v>
      </c>
      <c r="N108" s="67">
        <f t="shared" si="2"/>
        <v>213.04791666666662</v>
      </c>
      <c r="O108" s="67">
        <f t="shared" si="2"/>
        <v>0</v>
      </c>
      <c r="P108" s="67">
        <f t="shared" si="2"/>
        <v>1.2042708333333334</v>
      </c>
      <c r="Q108" s="67">
        <f t="shared" si="2"/>
        <v>8.5862500000000068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20.829072582286457</v>
      </c>
      <c r="C109" s="67">
        <f t="shared" ref="C109:Q109" si="3">STDEV(C9:C104)</f>
        <v>8.9628945917444245</v>
      </c>
      <c r="D109" s="67">
        <f t="shared" si="3"/>
        <v>16.085205060276312</v>
      </c>
      <c r="E109" s="67">
        <f t="shared" si="3"/>
        <v>1.6855794984556416</v>
      </c>
      <c r="F109" s="67">
        <f t="shared" si="3"/>
        <v>4.6887187386414801</v>
      </c>
      <c r="G109" s="67">
        <f t="shared" si="3"/>
        <v>33.391623027655257</v>
      </c>
      <c r="H109" s="67">
        <f t="shared" si="3"/>
        <v>6.6877653538108524</v>
      </c>
      <c r="I109" s="67" t="e">
        <f t="shared" si="3"/>
        <v>#DIV/0!</v>
      </c>
      <c r="J109" s="67">
        <f t="shared" si="3"/>
        <v>0.38506504349174442</v>
      </c>
      <c r="K109" s="67">
        <f t="shared" si="3"/>
        <v>82.883466246859953</v>
      </c>
      <c r="L109" s="67">
        <f t="shared" si="3"/>
        <v>5.1802057806446813</v>
      </c>
      <c r="M109" s="67">
        <f t="shared" si="3"/>
        <v>24.59531375899709</v>
      </c>
      <c r="N109" s="67">
        <f t="shared" si="3"/>
        <v>203.28566313864658</v>
      </c>
      <c r="O109" s="67">
        <f t="shared" si="3"/>
        <v>0</v>
      </c>
      <c r="P109" s="67">
        <f t="shared" si="3"/>
        <v>0.31120054387608637</v>
      </c>
      <c r="Q109" s="67">
        <f t="shared" si="3"/>
        <v>0.52525131829289184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D110" si="4">COUNT(C9:C104)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</f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&lt;90%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LESS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820</v>
      </c>
      <c r="B9" s="64">
        <v>69.930000000000007</v>
      </c>
      <c r="C9" s="64">
        <v>66.42</v>
      </c>
      <c r="D9" s="64">
        <v>89.4</v>
      </c>
      <c r="E9" s="64">
        <v>7.53</v>
      </c>
      <c r="F9" s="64">
        <v>2.13</v>
      </c>
      <c r="G9" s="64">
        <v>162.32</v>
      </c>
      <c r="H9" s="64">
        <v>53.59</v>
      </c>
      <c r="I9" s="210" t="s">
        <v>43</v>
      </c>
      <c r="J9" s="64">
        <v>1.05</v>
      </c>
      <c r="K9" s="64">
        <v>304.88</v>
      </c>
      <c r="L9" s="64">
        <v>13.34</v>
      </c>
      <c r="M9" s="64">
        <v>79.87</v>
      </c>
      <c r="N9" s="64">
        <v>87.8</v>
      </c>
      <c r="O9" s="64">
        <v>0</v>
      </c>
      <c r="P9" s="64">
        <v>1.6</v>
      </c>
      <c r="Q9" s="64">
        <v>9.59</v>
      </c>
      <c r="R9" s="198"/>
      <c r="S9" s="198"/>
      <c r="T9" s="198"/>
      <c r="U9" s="198"/>
    </row>
    <row r="10" spans="1:21" s="12" customFormat="1" x14ac:dyDescent="0.25">
      <c r="A10" s="214" t="s">
        <v>821</v>
      </c>
      <c r="B10" s="64">
        <v>65.22</v>
      </c>
      <c r="C10" s="64">
        <v>65.34</v>
      </c>
      <c r="D10" s="64">
        <v>85.07</v>
      </c>
      <c r="E10" s="64">
        <v>7.47</v>
      </c>
      <c r="F10" s="64">
        <v>2.13</v>
      </c>
      <c r="G10" s="64">
        <v>162.32</v>
      </c>
      <c r="H10" s="64">
        <v>53.59</v>
      </c>
      <c r="I10" s="210" t="s">
        <v>43</v>
      </c>
      <c r="J10" s="64">
        <v>0.54</v>
      </c>
      <c r="K10" s="64">
        <v>147.32</v>
      </c>
      <c r="L10" s="64">
        <v>12.88</v>
      </c>
      <c r="M10" s="64">
        <v>83.58</v>
      </c>
      <c r="N10" s="64">
        <v>96.5</v>
      </c>
      <c r="O10" s="64">
        <v>0</v>
      </c>
      <c r="P10" s="64">
        <v>1.57</v>
      </c>
      <c r="Q10" s="64">
        <v>9.51</v>
      </c>
      <c r="R10" s="198"/>
      <c r="S10" s="198"/>
      <c r="T10" s="198"/>
      <c r="U10" s="198"/>
    </row>
    <row r="11" spans="1:21" s="12" customFormat="1" x14ac:dyDescent="0.25">
      <c r="A11" s="214" t="s">
        <v>822</v>
      </c>
      <c r="B11" s="64">
        <v>61.24</v>
      </c>
      <c r="C11" s="64">
        <v>64.760000000000005</v>
      </c>
      <c r="D11" s="64">
        <v>81.569999999999993</v>
      </c>
      <c r="E11" s="64">
        <v>7.63</v>
      </c>
      <c r="F11" s="64">
        <v>2.13</v>
      </c>
      <c r="G11" s="64">
        <v>104.76</v>
      </c>
      <c r="H11" s="64">
        <v>51.31</v>
      </c>
      <c r="I11" s="210" t="s">
        <v>43</v>
      </c>
      <c r="J11" s="64">
        <v>1.24</v>
      </c>
      <c r="K11" s="64">
        <v>306.99</v>
      </c>
      <c r="L11" s="64">
        <v>12.58</v>
      </c>
      <c r="M11" s="64">
        <v>86.3</v>
      </c>
      <c r="N11" s="64">
        <v>96.8</v>
      </c>
      <c r="O11" s="64">
        <v>0</v>
      </c>
      <c r="P11" s="64">
        <v>1.54</v>
      </c>
      <c r="Q11" s="64">
        <v>9.4700000000000006</v>
      </c>
      <c r="R11" s="198"/>
      <c r="S11" s="198"/>
      <c r="T11" s="198"/>
      <c r="U11" s="198"/>
    </row>
    <row r="12" spans="1:21" s="12" customFormat="1" x14ac:dyDescent="0.25">
      <c r="A12" s="214" t="s">
        <v>823</v>
      </c>
      <c r="B12" s="64">
        <v>58.44</v>
      </c>
      <c r="C12" s="64">
        <v>64.38</v>
      </c>
      <c r="D12" s="64">
        <v>79.12</v>
      </c>
      <c r="E12" s="64">
        <v>6.83</v>
      </c>
      <c r="F12" s="64">
        <v>2.13</v>
      </c>
      <c r="G12" s="64">
        <v>80.09</v>
      </c>
      <c r="H12" s="64">
        <v>50.33</v>
      </c>
      <c r="I12" s="210" t="s">
        <v>43</v>
      </c>
      <c r="J12" s="64">
        <v>0.88</v>
      </c>
      <c r="K12" s="64">
        <v>349.08</v>
      </c>
      <c r="L12" s="64">
        <v>12.35</v>
      </c>
      <c r="M12" s="64">
        <v>93.31</v>
      </c>
      <c r="N12" s="64">
        <v>96.6</v>
      </c>
      <c r="O12" s="64">
        <v>0</v>
      </c>
      <c r="P12" s="64">
        <v>1.51</v>
      </c>
      <c r="Q12" s="64">
        <v>9.44</v>
      </c>
      <c r="R12" s="198"/>
      <c r="S12" s="198"/>
      <c r="T12" s="198"/>
      <c r="U12" s="198"/>
    </row>
    <row r="13" spans="1:21" s="12" customFormat="1" x14ac:dyDescent="0.25">
      <c r="A13" s="214" t="s">
        <v>824</v>
      </c>
      <c r="B13" s="64">
        <v>55.13</v>
      </c>
      <c r="C13" s="64">
        <v>63.62</v>
      </c>
      <c r="D13" s="64">
        <v>76.069999999999993</v>
      </c>
      <c r="E13" s="64">
        <v>7.03</v>
      </c>
      <c r="F13" s="64">
        <v>2.13</v>
      </c>
      <c r="G13" s="64">
        <v>80.09</v>
      </c>
      <c r="H13" s="64">
        <v>50.33</v>
      </c>
      <c r="I13" s="210" t="s">
        <v>43</v>
      </c>
      <c r="J13" s="64">
        <v>0.56000000000000005</v>
      </c>
      <c r="K13" s="64">
        <v>319.20999999999998</v>
      </c>
      <c r="L13" s="64">
        <v>12</v>
      </c>
      <c r="M13" s="64">
        <v>92.86</v>
      </c>
      <c r="N13" s="64">
        <v>97.8</v>
      </c>
      <c r="O13" s="64">
        <v>0</v>
      </c>
      <c r="P13" s="64">
        <v>1.45</v>
      </c>
      <c r="Q13" s="64">
        <v>9.44</v>
      </c>
      <c r="R13" s="198"/>
      <c r="S13" s="198"/>
      <c r="T13" s="198"/>
      <c r="U13" s="198"/>
    </row>
    <row r="14" spans="1:21" s="12" customFormat="1" x14ac:dyDescent="0.25">
      <c r="A14" s="214" t="s">
        <v>825</v>
      </c>
      <c r="B14" s="64">
        <v>51.72</v>
      </c>
      <c r="C14" s="64">
        <v>63.03</v>
      </c>
      <c r="D14" s="64">
        <v>73.03</v>
      </c>
      <c r="E14" s="64">
        <v>6.94</v>
      </c>
      <c r="F14" s="64">
        <v>2.13</v>
      </c>
      <c r="G14" s="64">
        <v>80.09</v>
      </c>
      <c r="H14" s="64">
        <v>50.33</v>
      </c>
      <c r="I14" s="210" t="s">
        <v>43</v>
      </c>
      <c r="J14" s="64">
        <v>0.13</v>
      </c>
      <c r="K14" s="64">
        <v>118.68</v>
      </c>
      <c r="L14" s="64">
        <v>11.92</v>
      </c>
      <c r="M14" s="64">
        <v>92</v>
      </c>
      <c r="N14" s="64">
        <v>107.7</v>
      </c>
      <c r="O14" s="64">
        <v>0</v>
      </c>
      <c r="P14" s="64">
        <v>1.46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826</v>
      </c>
      <c r="B15" s="64">
        <v>48.59</v>
      </c>
      <c r="C15" s="64">
        <v>62.75</v>
      </c>
      <c r="D15" s="64">
        <v>70.37</v>
      </c>
      <c r="E15" s="64">
        <v>6.93</v>
      </c>
      <c r="F15" s="64">
        <v>2.13</v>
      </c>
      <c r="G15" s="64">
        <v>99</v>
      </c>
      <c r="H15" s="64">
        <v>49.73</v>
      </c>
      <c r="I15" s="210" t="s">
        <v>43</v>
      </c>
      <c r="J15" s="64">
        <v>1.19</v>
      </c>
      <c r="K15" s="64">
        <v>324.87</v>
      </c>
      <c r="L15" s="64">
        <v>11.82</v>
      </c>
      <c r="M15" s="64">
        <v>94.96</v>
      </c>
      <c r="N15" s="64">
        <v>99.5</v>
      </c>
      <c r="O15" s="64">
        <v>0</v>
      </c>
      <c r="P15" s="64">
        <v>1.43</v>
      </c>
      <c r="Q15" s="64">
        <v>9.3699999999999992</v>
      </c>
      <c r="R15" s="198"/>
      <c r="S15" s="198"/>
      <c r="T15" s="198"/>
      <c r="U15" s="198"/>
    </row>
    <row r="16" spans="1:21" s="12" customFormat="1" x14ac:dyDescent="0.25">
      <c r="A16" s="214" t="s">
        <v>827</v>
      </c>
      <c r="B16" s="64">
        <v>45.91</v>
      </c>
      <c r="C16" s="64">
        <v>61.06</v>
      </c>
      <c r="D16" s="64">
        <v>67.34</v>
      </c>
      <c r="E16" s="64">
        <v>7.32</v>
      </c>
      <c r="F16" s="64">
        <v>2.13</v>
      </c>
      <c r="G16" s="64">
        <v>107.11</v>
      </c>
      <c r="H16" s="64">
        <v>49.47</v>
      </c>
      <c r="I16" s="210" t="s">
        <v>43</v>
      </c>
      <c r="J16" s="64">
        <v>1.21</v>
      </c>
      <c r="K16" s="64">
        <v>283.93</v>
      </c>
      <c r="L16" s="64">
        <v>11.6</v>
      </c>
      <c r="M16" s="64">
        <v>95.38</v>
      </c>
      <c r="N16" s="64">
        <v>102.5</v>
      </c>
      <c r="O16" s="64">
        <v>0</v>
      </c>
      <c r="P16" s="64">
        <v>1.4</v>
      </c>
      <c r="Q16" s="64">
        <v>9.19</v>
      </c>
      <c r="R16" s="198"/>
      <c r="S16" s="198"/>
      <c r="T16" s="198"/>
      <c r="U16" s="198"/>
    </row>
    <row r="17" spans="1:21" s="12" customFormat="1" x14ac:dyDescent="0.25">
      <c r="A17" s="214" t="s">
        <v>828</v>
      </c>
      <c r="B17" s="64">
        <v>43.31</v>
      </c>
      <c r="C17" s="64">
        <v>58.93</v>
      </c>
      <c r="D17" s="64">
        <v>64.14</v>
      </c>
      <c r="E17" s="64">
        <v>6.81</v>
      </c>
      <c r="F17" s="64">
        <v>2.13</v>
      </c>
      <c r="G17" s="64">
        <v>107.11</v>
      </c>
      <c r="H17" s="64">
        <v>49.47</v>
      </c>
      <c r="I17" s="210" t="s">
        <v>43</v>
      </c>
      <c r="J17" s="64">
        <v>0.73</v>
      </c>
      <c r="K17" s="64">
        <v>290.68</v>
      </c>
      <c r="L17" s="64">
        <v>11.51</v>
      </c>
      <c r="M17" s="64">
        <v>94.24</v>
      </c>
      <c r="N17" s="64">
        <v>97</v>
      </c>
      <c r="O17" s="64">
        <v>0</v>
      </c>
      <c r="P17" s="64">
        <v>1.39</v>
      </c>
      <c r="Q17" s="64">
        <v>8.94</v>
      </c>
      <c r="R17" s="198"/>
      <c r="S17" s="198"/>
      <c r="T17" s="198"/>
      <c r="U17" s="198"/>
    </row>
    <row r="18" spans="1:21" s="12" customFormat="1" x14ac:dyDescent="0.25">
      <c r="A18" s="214" t="s">
        <v>829</v>
      </c>
      <c r="B18" s="64">
        <v>41.09</v>
      </c>
      <c r="C18" s="64">
        <v>59.11</v>
      </c>
      <c r="D18" s="64">
        <v>62.46</v>
      </c>
      <c r="E18" s="64">
        <v>6.57</v>
      </c>
      <c r="F18" s="64">
        <v>2.13</v>
      </c>
      <c r="G18" s="64">
        <v>107.11</v>
      </c>
      <c r="H18" s="64">
        <v>49.47</v>
      </c>
      <c r="I18" s="210" t="s">
        <v>43</v>
      </c>
      <c r="J18" s="64">
        <v>0.72</v>
      </c>
      <c r="K18" s="64">
        <v>224.69</v>
      </c>
      <c r="L18" s="64">
        <v>11.67</v>
      </c>
      <c r="M18" s="64">
        <v>91.98</v>
      </c>
      <c r="N18" s="64">
        <v>100.7</v>
      </c>
      <c r="O18" s="64">
        <v>0</v>
      </c>
      <c r="P18" s="64">
        <v>1.34</v>
      </c>
      <c r="Q18" s="64">
        <v>8.76</v>
      </c>
      <c r="R18" s="198"/>
      <c r="S18" s="198"/>
      <c r="T18" s="198"/>
      <c r="U18" s="198"/>
    </row>
    <row r="19" spans="1:21" s="12" customFormat="1" x14ac:dyDescent="0.25">
      <c r="A19" s="214" t="s">
        <v>830</v>
      </c>
      <c r="B19" s="64">
        <v>39.06</v>
      </c>
      <c r="C19" s="64">
        <v>58.91</v>
      </c>
      <c r="D19" s="64">
        <v>60.73</v>
      </c>
      <c r="E19" s="64">
        <v>6.47</v>
      </c>
      <c r="F19" s="64">
        <v>2.13</v>
      </c>
      <c r="G19" s="64">
        <v>94.25</v>
      </c>
      <c r="H19" s="64">
        <v>49.46</v>
      </c>
      <c r="I19" s="210" t="s">
        <v>43</v>
      </c>
      <c r="J19" s="64">
        <v>0.95</v>
      </c>
      <c r="K19" s="64">
        <v>240.93</v>
      </c>
      <c r="L19" s="64">
        <v>12.17</v>
      </c>
      <c r="M19" s="64">
        <v>88.26</v>
      </c>
      <c r="N19" s="64">
        <v>102.1</v>
      </c>
      <c r="O19" s="64">
        <v>0</v>
      </c>
      <c r="P19" s="64">
        <v>1.33</v>
      </c>
      <c r="Q19" s="64">
        <v>8.6</v>
      </c>
      <c r="R19" s="198"/>
      <c r="S19" s="198"/>
      <c r="T19" s="198"/>
      <c r="U19" s="198"/>
    </row>
    <row r="20" spans="1:21" s="12" customFormat="1" x14ac:dyDescent="0.25">
      <c r="A20" s="214" t="s">
        <v>831</v>
      </c>
      <c r="B20" s="64">
        <v>37.01</v>
      </c>
      <c r="C20" s="64">
        <v>58.46</v>
      </c>
      <c r="D20" s="64">
        <v>58.85</v>
      </c>
      <c r="E20" s="64">
        <v>6.71</v>
      </c>
      <c r="F20" s="64">
        <v>2.13</v>
      </c>
      <c r="G20" s="64">
        <v>88.74</v>
      </c>
      <c r="H20" s="64">
        <v>49.46</v>
      </c>
      <c r="I20" s="210" t="s">
        <v>43</v>
      </c>
      <c r="J20" s="64">
        <v>0.65</v>
      </c>
      <c r="K20" s="64">
        <v>350.9</v>
      </c>
      <c r="L20" s="64">
        <v>12.09</v>
      </c>
      <c r="M20" s="64">
        <v>89.24</v>
      </c>
      <c r="N20" s="64">
        <v>102.5</v>
      </c>
      <c r="O20" s="64">
        <v>0</v>
      </c>
      <c r="P20" s="64">
        <v>1.29</v>
      </c>
      <c r="Q20" s="64">
        <v>8.44</v>
      </c>
      <c r="R20" s="198"/>
      <c r="S20" s="198"/>
      <c r="T20" s="198"/>
      <c r="U20" s="198"/>
    </row>
    <row r="21" spans="1:21" s="12" customFormat="1" x14ac:dyDescent="0.25">
      <c r="A21" s="214" t="s">
        <v>832</v>
      </c>
      <c r="B21" s="64">
        <v>34.97</v>
      </c>
      <c r="C21" s="64">
        <v>57.25</v>
      </c>
      <c r="D21" s="64">
        <v>56.58</v>
      </c>
      <c r="E21" s="64">
        <v>6.59</v>
      </c>
      <c r="F21" s="64">
        <v>2.13</v>
      </c>
      <c r="G21" s="64">
        <v>88.74</v>
      </c>
      <c r="H21" s="64">
        <v>49.46</v>
      </c>
      <c r="I21" s="210" t="s">
        <v>43</v>
      </c>
      <c r="J21" s="64">
        <v>0.57999999999999996</v>
      </c>
      <c r="K21" s="64">
        <v>256.45</v>
      </c>
      <c r="L21" s="64">
        <v>11.82</v>
      </c>
      <c r="M21" s="64">
        <v>91.13</v>
      </c>
      <c r="N21" s="64">
        <v>104.5</v>
      </c>
      <c r="O21" s="64">
        <v>0</v>
      </c>
      <c r="P21" s="64">
        <v>1.28</v>
      </c>
      <c r="Q21" s="64">
        <v>8.2899999999999991</v>
      </c>
      <c r="R21" s="198"/>
      <c r="S21" s="198"/>
      <c r="T21" s="198"/>
      <c r="U21" s="198"/>
    </row>
    <row r="22" spans="1:21" s="12" customFormat="1" x14ac:dyDescent="0.25">
      <c r="A22" s="214" t="s">
        <v>833</v>
      </c>
      <c r="B22" s="64">
        <v>32.979999999999997</v>
      </c>
      <c r="C22" s="64">
        <v>56.74</v>
      </c>
      <c r="D22" s="64">
        <v>54.71</v>
      </c>
      <c r="E22" s="64">
        <v>6.71</v>
      </c>
      <c r="F22" s="64">
        <v>2.13</v>
      </c>
      <c r="G22" s="64">
        <v>88.74</v>
      </c>
      <c r="H22" s="64">
        <v>49.46</v>
      </c>
      <c r="I22" s="210" t="s">
        <v>43</v>
      </c>
      <c r="J22" s="64">
        <v>0.98</v>
      </c>
      <c r="K22" s="64">
        <v>254.6</v>
      </c>
      <c r="L22" s="64">
        <v>11.47</v>
      </c>
      <c r="M22" s="64">
        <v>93.77</v>
      </c>
      <c r="N22" s="64">
        <v>111.1</v>
      </c>
      <c r="O22" s="64">
        <v>0</v>
      </c>
      <c r="P22" s="64">
        <v>1.27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834</v>
      </c>
      <c r="B23" s="64">
        <v>31.21</v>
      </c>
      <c r="C23" s="64">
        <v>55.86</v>
      </c>
      <c r="D23" s="64">
        <v>52.84</v>
      </c>
      <c r="E23" s="64">
        <v>6.75</v>
      </c>
      <c r="F23" s="64">
        <v>2.13</v>
      </c>
      <c r="G23" s="64">
        <v>81.900000000000006</v>
      </c>
      <c r="H23" s="64">
        <v>47.31</v>
      </c>
      <c r="I23" s="210" t="s">
        <v>43</v>
      </c>
      <c r="J23" s="64">
        <v>1.1599999999999999</v>
      </c>
      <c r="K23" s="64">
        <v>236.39</v>
      </c>
      <c r="L23" s="64">
        <v>11.49</v>
      </c>
      <c r="M23" s="64">
        <v>94.35</v>
      </c>
      <c r="N23" s="64">
        <v>90.5</v>
      </c>
      <c r="O23" s="64">
        <v>0</v>
      </c>
      <c r="P23" s="64">
        <v>1.23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835</v>
      </c>
      <c r="B24" s="64">
        <v>29.66</v>
      </c>
      <c r="C24" s="64">
        <v>55.71</v>
      </c>
      <c r="D24" s="64">
        <v>51.52</v>
      </c>
      <c r="E24" s="64">
        <v>6.78</v>
      </c>
      <c r="F24" s="64">
        <v>2.13</v>
      </c>
      <c r="G24" s="64">
        <v>78.97</v>
      </c>
      <c r="H24" s="64">
        <v>46.38</v>
      </c>
      <c r="I24" s="210" t="s">
        <v>43</v>
      </c>
      <c r="J24" s="64">
        <v>1.28</v>
      </c>
      <c r="K24" s="64">
        <v>203.44</v>
      </c>
      <c r="L24" s="64">
        <v>11.25</v>
      </c>
      <c r="M24" s="64">
        <v>96.76</v>
      </c>
      <c r="N24" s="64">
        <v>95.1</v>
      </c>
      <c r="O24" s="64">
        <v>0</v>
      </c>
      <c r="P24" s="64">
        <v>1.23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836</v>
      </c>
      <c r="B25" s="64">
        <v>28.12</v>
      </c>
      <c r="C25" s="64">
        <v>55.06</v>
      </c>
      <c r="D25" s="64">
        <v>49.94</v>
      </c>
      <c r="E25" s="64">
        <v>6.67</v>
      </c>
      <c r="F25" s="64">
        <v>2.13</v>
      </c>
      <c r="G25" s="64">
        <v>78.97</v>
      </c>
      <c r="H25" s="64">
        <v>46.38</v>
      </c>
      <c r="I25" s="210" t="s">
        <v>43</v>
      </c>
      <c r="J25" s="64">
        <v>1.21</v>
      </c>
      <c r="K25" s="64">
        <v>214.44</v>
      </c>
      <c r="L25" s="64">
        <v>11.27</v>
      </c>
      <c r="M25" s="64">
        <v>97.37</v>
      </c>
      <c r="N25" s="64">
        <v>102.5</v>
      </c>
      <c r="O25" s="64">
        <v>0</v>
      </c>
      <c r="P25" s="64">
        <v>1.21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837</v>
      </c>
      <c r="B26" s="64">
        <v>26.58</v>
      </c>
      <c r="C26" s="64">
        <v>54.71</v>
      </c>
      <c r="D26" s="64">
        <v>48.52</v>
      </c>
      <c r="E26" s="64">
        <v>6.67</v>
      </c>
      <c r="F26" s="64">
        <v>2.13</v>
      </c>
      <c r="G26" s="64">
        <v>78.97</v>
      </c>
      <c r="H26" s="64">
        <v>46.38</v>
      </c>
      <c r="I26" s="210" t="s">
        <v>43</v>
      </c>
      <c r="J26" s="64">
        <v>1.22</v>
      </c>
      <c r="K26" s="64">
        <v>194.62</v>
      </c>
      <c r="L26" s="64">
        <v>11.14</v>
      </c>
      <c r="M26" s="64">
        <v>98.76</v>
      </c>
      <c r="N26" s="64">
        <v>104</v>
      </c>
      <c r="O26" s="64">
        <v>0</v>
      </c>
      <c r="P26" s="64">
        <v>1.19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838</v>
      </c>
      <c r="B27" s="64">
        <v>25.3</v>
      </c>
      <c r="C27" s="64">
        <v>54.23</v>
      </c>
      <c r="D27" s="64">
        <v>47.25</v>
      </c>
      <c r="E27" s="64">
        <v>5.97</v>
      </c>
      <c r="F27" s="64">
        <v>2.13</v>
      </c>
      <c r="G27" s="64">
        <v>79.72</v>
      </c>
      <c r="H27" s="64">
        <v>44.14</v>
      </c>
      <c r="I27" s="210" t="s">
        <v>43</v>
      </c>
      <c r="J27" s="64">
        <v>1.1200000000000001</v>
      </c>
      <c r="K27" s="64">
        <v>226.48</v>
      </c>
      <c r="L27" s="64">
        <v>11.01</v>
      </c>
      <c r="M27" s="64">
        <v>100.11</v>
      </c>
      <c r="N27" s="64">
        <v>94.5</v>
      </c>
      <c r="O27" s="64">
        <v>0</v>
      </c>
      <c r="P27" s="64">
        <v>1.19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839</v>
      </c>
      <c r="B28" s="64">
        <v>24.21</v>
      </c>
      <c r="C28" s="64">
        <v>53.61</v>
      </c>
      <c r="D28" s="64">
        <v>46.04</v>
      </c>
      <c r="E28" s="64">
        <v>6.29</v>
      </c>
      <c r="F28" s="64">
        <v>2.13</v>
      </c>
      <c r="G28" s="64">
        <v>80.040000000000006</v>
      </c>
      <c r="H28" s="64">
        <v>43.12</v>
      </c>
      <c r="I28" s="210" t="s">
        <v>43</v>
      </c>
      <c r="J28" s="64">
        <v>1.25</v>
      </c>
      <c r="K28" s="64">
        <v>212.41</v>
      </c>
      <c r="L28" s="64">
        <v>10.88</v>
      </c>
      <c r="M28" s="64">
        <v>100.27</v>
      </c>
      <c r="N28" s="64">
        <v>93.3</v>
      </c>
      <c r="O28" s="64">
        <v>0</v>
      </c>
      <c r="P28" s="64">
        <v>1.17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840</v>
      </c>
      <c r="B29" s="64">
        <v>23.1</v>
      </c>
      <c r="C29" s="64">
        <v>52.97</v>
      </c>
      <c r="D29" s="64">
        <v>44.83</v>
      </c>
      <c r="E29" s="64">
        <v>5.89</v>
      </c>
      <c r="F29" s="64">
        <v>2.13</v>
      </c>
      <c r="G29" s="64">
        <v>80.040000000000006</v>
      </c>
      <c r="H29" s="64">
        <v>43.12</v>
      </c>
      <c r="I29" s="210" t="s">
        <v>43</v>
      </c>
      <c r="J29" s="64">
        <v>0.32</v>
      </c>
      <c r="K29" s="64">
        <v>208.38</v>
      </c>
      <c r="L29" s="64">
        <v>10.77</v>
      </c>
      <c r="M29" s="64">
        <v>101.5</v>
      </c>
      <c r="N29" s="64">
        <v>87.5</v>
      </c>
      <c r="O29" s="64">
        <v>0</v>
      </c>
      <c r="P29" s="64">
        <v>1.1599999999999999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841</v>
      </c>
      <c r="B30" s="64">
        <v>22.12</v>
      </c>
      <c r="C30" s="64">
        <v>52.7</v>
      </c>
      <c r="D30" s="64">
        <v>43.9</v>
      </c>
      <c r="E30" s="64">
        <v>6.18</v>
      </c>
      <c r="F30" s="64">
        <v>2.13</v>
      </c>
      <c r="G30" s="64">
        <v>80.040000000000006</v>
      </c>
      <c r="H30" s="64">
        <v>43.12</v>
      </c>
      <c r="I30" s="210" t="s">
        <v>43</v>
      </c>
      <c r="J30" s="64">
        <v>0.3</v>
      </c>
      <c r="K30" s="64">
        <v>192.08</v>
      </c>
      <c r="L30" s="64">
        <v>10.49</v>
      </c>
      <c r="M30" s="64">
        <v>102.4</v>
      </c>
      <c r="N30" s="64">
        <v>87.7</v>
      </c>
      <c r="O30" s="64">
        <v>0</v>
      </c>
      <c r="P30" s="64">
        <v>1.1499999999999999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842</v>
      </c>
      <c r="B31" s="64">
        <v>21.58</v>
      </c>
      <c r="C31" s="64">
        <v>52.46</v>
      </c>
      <c r="D31" s="64">
        <v>43.34</v>
      </c>
      <c r="E31" s="64">
        <v>6.23</v>
      </c>
      <c r="F31" s="64">
        <v>2.13</v>
      </c>
      <c r="G31" s="64">
        <v>260.77</v>
      </c>
      <c r="H31" s="64">
        <v>40.74</v>
      </c>
      <c r="I31" s="210" t="s">
        <v>43</v>
      </c>
      <c r="J31" s="64">
        <v>0.62</v>
      </c>
      <c r="K31" s="64">
        <v>305.86</v>
      </c>
      <c r="L31" s="64">
        <v>10.27</v>
      </c>
      <c r="M31" s="64">
        <v>102.6</v>
      </c>
      <c r="N31" s="64">
        <v>87.2</v>
      </c>
      <c r="O31" s="64">
        <v>0</v>
      </c>
      <c r="P31" s="64">
        <v>1.1299999999999999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843</v>
      </c>
      <c r="B32" s="64">
        <v>21.37</v>
      </c>
      <c r="C32" s="64">
        <v>52.47</v>
      </c>
      <c r="D32" s="64">
        <v>43.17</v>
      </c>
      <c r="E32" s="64">
        <v>6.32</v>
      </c>
      <c r="F32" s="64">
        <v>2.13</v>
      </c>
      <c r="G32" s="64">
        <v>338.23</v>
      </c>
      <c r="H32" s="64">
        <v>39.659999999999997</v>
      </c>
      <c r="I32" s="210" t="s">
        <v>43</v>
      </c>
      <c r="J32" s="64">
        <v>1.26</v>
      </c>
      <c r="K32" s="64">
        <v>269.91000000000003</v>
      </c>
      <c r="L32" s="64">
        <v>10.16</v>
      </c>
      <c r="M32" s="64">
        <v>102.6</v>
      </c>
      <c r="N32" s="64">
        <v>89.8</v>
      </c>
      <c r="O32" s="64">
        <v>0</v>
      </c>
      <c r="P32" s="64">
        <v>1.1200000000000001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844</v>
      </c>
      <c r="B33" s="64">
        <v>21.79</v>
      </c>
      <c r="C33" s="64">
        <v>50.94</v>
      </c>
      <c r="D33" s="64">
        <v>42.71</v>
      </c>
      <c r="E33" s="64">
        <v>6.27</v>
      </c>
      <c r="F33" s="64">
        <v>2.13</v>
      </c>
      <c r="G33" s="64">
        <v>338.23</v>
      </c>
      <c r="H33" s="64">
        <v>39.659999999999997</v>
      </c>
      <c r="I33" s="210" t="s">
        <v>43</v>
      </c>
      <c r="J33" s="64">
        <v>1.19</v>
      </c>
      <c r="K33" s="64">
        <v>314.38</v>
      </c>
      <c r="L33" s="64">
        <v>10.15</v>
      </c>
      <c r="M33" s="64">
        <v>102.58</v>
      </c>
      <c r="N33" s="64">
        <v>88.9</v>
      </c>
      <c r="O33" s="64">
        <v>0</v>
      </c>
      <c r="P33" s="64">
        <v>1.1100000000000001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845</v>
      </c>
      <c r="B34" s="64">
        <v>22.67</v>
      </c>
      <c r="C34" s="64">
        <v>50.12</v>
      </c>
      <c r="D34" s="64">
        <v>42.99</v>
      </c>
      <c r="E34" s="64">
        <v>6.03</v>
      </c>
      <c r="F34" s="64">
        <v>2.13</v>
      </c>
      <c r="G34" s="64">
        <v>338.23</v>
      </c>
      <c r="H34" s="64">
        <v>39.659999999999997</v>
      </c>
      <c r="I34" s="210" t="s">
        <v>43</v>
      </c>
      <c r="J34" s="64">
        <v>1.05</v>
      </c>
      <c r="K34" s="64">
        <v>259.05</v>
      </c>
      <c r="L34" s="64">
        <v>10.1</v>
      </c>
      <c r="M34" s="64">
        <v>102.58</v>
      </c>
      <c r="N34" s="64">
        <v>88.3</v>
      </c>
      <c r="O34" s="64">
        <v>0</v>
      </c>
      <c r="P34" s="64">
        <v>1.1000000000000001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846</v>
      </c>
      <c r="B35" s="64">
        <v>23.99</v>
      </c>
      <c r="C35" s="64">
        <v>50.63</v>
      </c>
      <c r="D35" s="64">
        <v>44.32</v>
      </c>
      <c r="E35" s="64">
        <v>6.18</v>
      </c>
      <c r="F35" s="64">
        <v>2.13</v>
      </c>
      <c r="G35" s="64">
        <v>166.85</v>
      </c>
      <c r="H35" s="64">
        <v>39.39</v>
      </c>
      <c r="I35" s="210" t="s">
        <v>43</v>
      </c>
      <c r="J35" s="64">
        <v>1.19</v>
      </c>
      <c r="K35" s="64">
        <v>253.13</v>
      </c>
      <c r="L35" s="64">
        <v>10.23</v>
      </c>
      <c r="M35" s="64">
        <v>102.58</v>
      </c>
      <c r="N35" s="64">
        <v>89.2</v>
      </c>
      <c r="O35" s="64">
        <v>0</v>
      </c>
      <c r="P35" s="64">
        <v>1.1000000000000001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847</v>
      </c>
      <c r="B36" s="64">
        <v>24.94</v>
      </c>
      <c r="C36" s="64">
        <v>50.19</v>
      </c>
      <c r="D36" s="64">
        <v>44.85</v>
      </c>
      <c r="E36" s="64">
        <v>6.22</v>
      </c>
      <c r="F36" s="64">
        <v>2.13</v>
      </c>
      <c r="G36" s="64">
        <v>93.4</v>
      </c>
      <c r="H36" s="64">
        <v>39.270000000000003</v>
      </c>
      <c r="I36" s="210" t="s">
        <v>43</v>
      </c>
      <c r="J36" s="64">
        <v>0.89</v>
      </c>
      <c r="K36" s="64">
        <v>318.95999999999998</v>
      </c>
      <c r="L36" s="64">
        <v>10.37</v>
      </c>
      <c r="M36" s="64">
        <v>102.58</v>
      </c>
      <c r="N36" s="64">
        <v>95.7</v>
      </c>
      <c r="O36" s="64">
        <v>0</v>
      </c>
      <c r="P36" s="64">
        <v>1.0900000000000001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848</v>
      </c>
      <c r="B37" s="64">
        <v>26.42</v>
      </c>
      <c r="C37" s="64">
        <v>50.12</v>
      </c>
      <c r="D37" s="64">
        <v>46</v>
      </c>
      <c r="E37" s="64">
        <v>6.62</v>
      </c>
      <c r="F37" s="64">
        <v>2.13</v>
      </c>
      <c r="G37" s="64">
        <v>93.4</v>
      </c>
      <c r="H37" s="64">
        <v>39.270000000000003</v>
      </c>
      <c r="I37" s="210" t="s">
        <v>43</v>
      </c>
      <c r="J37" s="64">
        <v>0.45</v>
      </c>
      <c r="K37" s="64">
        <v>119.6</v>
      </c>
      <c r="L37" s="64">
        <v>10.4</v>
      </c>
      <c r="M37" s="64">
        <v>102.58</v>
      </c>
      <c r="N37" s="64">
        <v>108.6</v>
      </c>
      <c r="O37" s="64">
        <v>0</v>
      </c>
      <c r="P37" s="64">
        <v>1.08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849</v>
      </c>
      <c r="B38" s="64">
        <v>28.01</v>
      </c>
      <c r="C38" s="64">
        <v>49.99</v>
      </c>
      <c r="D38" s="64">
        <v>47.2</v>
      </c>
      <c r="E38" s="64">
        <v>6.63</v>
      </c>
      <c r="F38" s="64">
        <v>2.13</v>
      </c>
      <c r="G38" s="64">
        <v>93.4</v>
      </c>
      <c r="H38" s="64">
        <v>39.270000000000003</v>
      </c>
      <c r="I38" s="210" t="s">
        <v>43</v>
      </c>
      <c r="J38" s="64">
        <v>0.63</v>
      </c>
      <c r="K38" s="64">
        <v>322.20999999999998</v>
      </c>
      <c r="L38" s="64">
        <v>10.81</v>
      </c>
      <c r="M38" s="64">
        <v>102.57</v>
      </c>
      <c r="N38" s="64">
        <v>123.6</v>
      </c>
      <c r="O38" s="64">
        <v>0</v>
      </c>
      <c r="P38" s="64">
        <v>1.0900000000000001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850</v>
      </c>
      <c r="B39" s="64">
        <v>30.26</v>
      </c>
      <c r="C39" s="64">
        <v>49.87</v>
      </c>
      <c r="D39" s="64">
        <v>48.94</v>
      </c>
      <c r="E39" s="64">
        <v>6.73</v>
      </c>
      <c r="F39" s="64">
        <v>2.13</v>
      </c>
      <c r="G39" s="64">
        <v>103.7</v>
      </c>
      <c r="H39" s="64">
        <v>39.76</v>
      </c>
      <c r="I39" s="210" t="s">
        <v>43</v>
      </c>
      <c r="J39" s="64">
        <v>1.0900000000000001</v>
      </c>
      <c r="K39" s="64">
        <v>305.2</v>
      </c>
      <c r="L39" s="64">
        <v>11.52</v>
      </c>
      <c r="M39" s="64">
        <v>100.85</v>
      </c>
      <c r="N39" s="64">
        <v>144.9</v>
      </c>
      <c r="O39" s="64">
        <v>0</v>
      </c>
      <c r="P39" s="64">
        <v>1.1100000000000001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851</v>
      </c>
      <c r="B40" s="64">
        <v>32.39</v>
      </c>
      <c r="C40" s="64">
        <v>49.8</v>
      </c>
      <c r="D40" s="64">
        <v>50.62</v>
      </c>
      <c r="E40" s="64">
        <v>6.27</v>
      </c>
      <c r="F40" s="64">
        <v>2.13</v>
      </c>
      <c r="G40" s="64">
        <v>108.12</v>
      </c>
      <c r="H40" s="64">
        <v>39.979999999999997</v>
      </c>
      <c r="I40" s="210" t="s">
        <v>43</v>
      </c>
      <c r="J40" s="64">
        <v>1.69</v>
      </c>
      <c r="K40" s="64">
        <v>336.37</v>
      </c>
      <c r="L40" s="64">
        <v>12.63</v>
      </c>
      <c r="M40" s="64">
        <v>93.32</v>
      </c>
      <c r="N40" s="64">
        <v>200.9</v>
      </c>
      <c r="O40" s="64">
        <v>0</v>
      </c>
      <c r="P40" s="64">
        <v>1.1200000000000001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852</v>
      </c>
      <c r="B41" s="64">
        <v>34.18</v>
      </c>
      <c r="C41" s="64">
        <v>51.54</v>
      </c>
      <c r="D41" s="64">
        <v>52.96</v>
      </c>
      <c r="E41" s="64">
        <v>8.34</v>
      </c>
      <c r="F41" s="64">
        <v>2.13</v>
      </c>
      <c r="G41" s="64">
        <v>108.12</v>
      </c>
      <c r="H41" s="64">
        <v>39.979999999999997</v>
      </c>
      <c r="I41" s="210" t="s">
        <v>43</v>
      </c>
      <c r="J41" s="64">
        <v>1.2</v>
      </c>
      <c r="K41" s="64">
        <v>322.52</v>
      </c>
      <c r="L41" s="64">
        <v>15.07</v>
      </c>
      <c r="M41" s="64">
        <v>79.099999999999994</v>
      </c>
      <c r="N41" s="64">
        <v>277.89999999999998</v>
      </c>
      <c r="O41" s="64">
        <v>0</v>
      </c>
      <c r="P41" s="64">
        <v>1.1299999999999999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853</v>
      </c>
      <c r="B42" s="64">
        <v>35.880000000000003</v>
      </c>
      <c r="C42" s="64">
        <v>53.2</v>
      </c>
      <c r="D42" s="64">
        <v>55.19</v>
      </c>
      <c r="E42" s="64">
        <v>8.3000000000000007</v>
      </c>
      <c r="F42" s="64">
        <v>2.13</v>
      </c>
      <c r="G42" s="64">
        <v>108.12</v>
      </c>
      <c r="H42" s="64">
        <v>39.979999999999997</v>
      </c>
      <c r="I42" s="210" t="s">
        <v>43</v>
      </c>
      <c r="J42" s="64">
        <v>1.44</v>
      </c>
      <c r="K42" s="64">
        <v>352</v>
      </c>
      <c r="L42" s="64">
        <v>17.100000000000001</v>
      </c>
      <c r="M42" s="64">
        <v>69.72</v>
      </c>
      <c r="N42" s="64">
        <v>310.8</v>
      </c>
      <c r="O42" s="64">
        <v>0</v>
      </c>
      <c r="P42" s="64">
        <v>1.1499999999999999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854</v>
      </c>
      <c r="B43" s="64">
        <v>36.25</v>
      </c>
      <c r="C43" s="64">
        <v>54.58</v>
      </c>
      <c r="D43" s="64">
        <v>56.2</v>
      </c>
      <c r="E43" s="64">
        <v>8.2799999999999994</v>
      </c>
      <c r="F43" s="64">
        <v>2.13</v>
      </c>
      <c r="G43" s="64">
        <v>133.63</v>
      </c>
      <c r="H43" s="64">
        <v>47.11</v>
      </c>
      <c r="I43" s="210" t="s">
        <v>43</v>
      </c>
      <c r="J43" s="64">
        <v>1.54</v>
      </c>
      <c r="K43" s="64">
        <v>332.18</v>
      </c>
      <c r="L43" s="64">
        <v>18.87</v>
      </c>
      <c r="M43" s="64">
        <v>62.73</v>
      </c>
      <c r="N43" s="64">
        <v>353.5</v>
      </c>
      <c r="O43" s="64">
        <v>0</v>
      </c>
      <c r="P43" s="64">
        <v>1.17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855</v>
      </c>
      <c r="B44" s="64">
        <v>36.28</v>
      </c>
      <c r="C44" s="64">
        <v>56.19</v>
      </c>
      <c r="D44" s="64">
        <v>57.08</v>
      </c>
      <c r="E44" s="64">
        <v>8.48</v>
      </c>
      <c r="F44" s="64">
        <v>2.13</v>
      </c>
      <c r="G44" s="64">
        <v>145.15</v>
      </c>
      <c r="H44" s="64">
        <v>50.17</v>
      </c>
      <c r="I44" s="210" t="s">
        <v>43</v>
      </c>
      <c r="J44" s="64">
        <v>2.0299999999999998</v>
      </c>
      <c r="K44" s="64">
        <v>339.4</v>
      </c>
      <c r="L44" s="64">
        <v>20.21</v>
      </c>
      <c r="M44" s="64">
        <v>58.21</v>
      </c>
      <c r="N44" s="64">
        <v>363.8</v>
      </c>
      <c r="O44" s="64">
        <v>0</v>
      </c>
      <c r="P44" s="64">
        <v>1.18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856</v>
      </c>
      <c r="B45" s="64">
        <v>35.6</v>
      </c>
      <c r="C45" s="64">
        <v>58.78</v>
      </c>
      <c r="D45" s="64">
        <v>57.88</v>
      </c>
      <c r="E45" s="64">
        <v>9.01</v>
      </c>
      <c r="F45" s="64">
        <v>2.13</v>
      </c>
      <c r="G45" s="64">
        <v>145.15</v>
      </c>
      <c r="H45" s="64">
        <v>50.17</v>
      </c>
      <c r="I45" s="210" t="s">
        <v>43</v>
      </c>
      <c r="J45" s="64">
        <v>2.08</v>
      </c>
      <c r="K45" s="64">
        <v>346.7</v>
      </c>
      <c r="L45" s="64">
        <v>21.93</v>
      </c>
      <c r="M45" s="64">
        <v>51.59</v>
      </c>
      <c r="N45" s="64">
        <v>415.2</v>
      </c>
      <c r="O45" s="64">
        <v>0</v>
      </c>
      <c r="P45" s="64">
        <v>1.22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857</v>
      </c>
      <c r="B46" s="64">
        <v>34.67</v>
      </c>
      <c r="C46" s="64">
        <v>61.57</v>
      </c>
      <c r="D46" s="64">
        <v>58.6</v>
      </c>
      <c r="E46" s="64">
        <v>9.4499999999999993</v>
      </c>
      <c r="F46" s="64">
        <v>2.13</v>
      </c>
      <c r="G46" s="64">
        <v>145.15</v>
      </c>
      <c r="H46" s="64">
        <v>50.17</v>
      </c>
      <c r="I46" s="210" t="s">
        <v>43</v>
      </c>
      <c r="J46" s="64">
        <v>1.99</v>
      </c>
      <c r="K46" s="64">
        <v>331.63</v>
      </c>
      <c r="L46" s="64">
        <v>23.03</v>
      </c>
      <c r="M46" s="64">
        <v>48.02</v>
      </c>
      <c r="N46" s="64">
        <v>446</v>
      </c>
      <c r="O46" s="64">
        <v>0</v>
      </c>
      <c r="P46" s="64">
        <v>1.25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858</v>
      </c>
      <c r="B47" s="64">
        <v>33.54</v>
      </c>
      <c r="C47" s="64">
        <v>64.38</v>
      </c>
      <c r="D47" s="64">
        <v>59.16</v>
      </c>
      <c r="E47" s="64">
        <v>8.93</v>
      </c>
      <c r="F47" s="64">
        <v>2.13</v>
      </c>
      <c r="G47" s="64">
        <v>184.89</v>
      </c>
      <c r="H47" s="64">
        <v>57.84</v>
      </c>
      <c r="I47" s="210" t="s">
        <v>43</v>
      </c>
      <c r="J47" s="64">
        <v>2.0299999999999998</v>
      </c>
      <c r="K47" s="64">
        <v>333.5</v>
      </c>
      <c r="L47" s="64">
        <v>23.46</v>
      </c>
      <c r="M47" s="64">
        <v>47.08</v>
      </c>
      <c r="N47" s="64">
        <v>425.3</v>
      </c>
      <c r="O47" s="64">
        <v>0</v>
      </c>
      <c r="P47" s="64">
        <v>1.27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859</v>
      </c>
      <c r="B48" s="64">
        <v>32.78</v>
      </c>
      <c r="C48" s="64">
        <v>66.87</v>
      </c>
      <c r="D48" s="64">
        <v>59.85</v>
      </c>
      <c r="E48" s="64">
        <v>9.02</v>
      </c>
      <c r="F48" s="64">
        <v>2.13</v>
      </c>
      <c r="G48" s="64">
        <v>201.92</v>
      </c>
      <c r="H48" s="64">
        <v>61.13</v>
      </c>
      <c r="I48" s="210" t="s">
        <v>43</v>
      </c>
      <c r="J48" s="64">
        <v>2.2000000000000002</v>
      </c>
      <c r="K48" s="64">
        <v>346.32</v>
      </c>
      <c r="L48" s="64">
        <v>23.8</v>
      </c>
      <c r="M48" s="64">
        <v>44.6</v>
      </c>
      <c r="N48" s="64">
        <v>460.2</v>
      </c>
      <c r="O48" s="64">
        <v>0</v>
      </c>
      <c r="P48" s="64">
        <v>1.3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860</v>
      </c>
      <c r="B49" s="64">
        <v>31.73</v>
      </c>
      <c r="C49" s="64">
        <v>69.17</v>
      </c>
      <c r="D49" s="64">
        <v>60.21</v>
      </c>
      <c r="E49" s="64">
        <v>9.74</v>
      </c>
      <c r="F49" s="64">
        <v>2.13</v>
      </c>
      <c r="G49" s="64">
        <v>201.92</v>
      </c>
      <c r="H49" s="64">
        <v>61.13</v>
      </c>
      <c r="I49" s="210" t="s">
        <v>43</v>
      </c>
      <c r="J49" s="64">
        <v>2.06</v>
      </c>
      <c r="K49" s="64">
        <v>329.06</v>
      </c>
      <c r="L49" s="64">
        <v>24.28</v>
      </c>
      <c r="M49" s="64">
        <v>44.26</v>
      </c>
      <c r="N49" s="64">
        <v>486.3</v>
      </c>
      <c r="O49" s="64">
        <v>0</v>
      </c>
      <c r="P49" s="64">
        <v>1.31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861</v>
      </c>
      <c r="B50" s="64">
        <v>31.14</v>
      </c>
      <c r="C50" s="64">
        <v>68.84</v>
      </c>
      <c r="D50" s="64">
        <v>59.56</v>
      </c>
      <c r="E50" s="64">
        <v>9.6</v>
      </c>
      <c r="F50" s="64">
        <v>2.13</v>
      </c>
      <c r="G50" s="64">
        <v>201.92</v>
      </c>
      <c r="H50" s="64">
        <v>61.13</v>
      </c>
      <c r="I50" s="210" t="s">
        <v>43</v>
      </c>
      <c r="J50" s="64">
        <v>2.02</v>
      </c>
      <c r="K50" s="64">
        <v>345</v>
      </c>
      <c r="L50" s="64">
        <v>25.39</v>
      </c>
      <c r="M50" s="64">
        <v>41.11</v>
      </c>
      <c r="N50" s="64">
        <v>503.1</v>
      </c>
      <c r="O50" s="64">
        <v>0</v>
      </c>
      <c r="P50" s="64">
        <v>1.34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862</v>
      </c>
      <c r="B51" s="64">
        <v>30.98</v>
      </c>
      <c r="C51" s="64">
        <v>70.569999999999993</v>
      </c>
      <c r="D51" s="64">
        <v>60.34</v>
      </c>
      <c r="E51" s="64">
        <v>8.94</v>
      </c>
      <c r="F51" s="64">
        <v>2.13</v>
      </c>
      <c r="G51" s="64">
        <v>210.95</v>
      </c>
      <c r="H51" s="64">
        <v>62.08</v>
      </c>
      <c r="I51" s="210" t="s">
        <v>43</v>
      </c>
      <c r="J51" s="64">
        <v>1.98</v>
      </c>
      <c r="K51" s="64">
        <v>336.66</v>
      </c>
      <c r="L51" s="64">
        <v>25.91</v>
      </c>
      <c r="M51" s="64">
        <v>39.700000000000003</v>
      </c>
      <c r="N51" s="64">
        <v>557.29999999999995</v>
      </c>
      <c r="O51" s="64">
        <v>0</v>
      </c>
      <c r="P51" s="64">
        <v>1.34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863</v>
      </c>
      <c r="B52" s="64">
        <v>30.42</v>
      </c>
      <c r="C52" s="64">
        <v>71.489999999999995</v>
      </c>
      <c r="D52" s="64">
        <v>60.37</v>
      </c>
      <c r="E52" s="64">
        <v>9.02</v>
      </c>
      <c r="F52" s="64">
        <v>2.16</v>
      </c>
      <c r="G52" s="64">
        <v>214.82</v>
      </c>
      <c r="H52" s="64">
        <v>62.49</v>
      </c>
      <c r="I52" s="210" t="s">
        <v>43</v>
      </c>
      <c r="J52" s="64">
        <v>1.78</v>
      </c>
      <c r="K52" s="64">
        <v>336.19</v>
      </c>
      <c r="L52" s="64">
        <v>26.09</v>
      </c>
      <c r="M52" s="64">
        <v>39.22</v>
      </c>
      <c r="N52" s="64">
        <v>571.79999999999995</v>
      </c>
      <c r="O52" s="64">
        <v>0</v>
      </c>
      <c r="P52" s="64">
        <v>1.34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864</v>
      </c>
      <c r="B53" s="64">
        <v>29.35</v>
      </c>
      <c r="C53" s="64">
        <v>72.31</v>
      </c>
      <c r="D53" s="64">
        <v>59.94</v>
      </c>
      <c r="E53" s="64">
        <v>9.15</v>
      </c>
      <c r="F53" s="64">
        <v>2.13</v>
      </c>
      <c r="G53" s="64">
        <v>214.82</v>
      </c>
      <c r="H53" s="64">
        <v>62.49</v>
      </c>
      <c r="I53" s="210" t="s">
        <v>43</v>
      </c>
      <c r="J53" s="64">
        <v>2.2200000000000002</v>
      </c>
      <c r="K53" s="64">
        <v>340.15</v>
      </c>
      <c r="L53" s="64">
        <v>26.71</v>
      </c>
      <c r="M53" s="64">
        <v>36.69</v>
      </c>
      <c r="N53" s="64">
        <v>578.4</v>
      </c>
      <c r="O53" s="64">
        <v>0</v>
      </c>
      <c r="P53" s="64">
        <v>1.33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865</v>
      </c>
      <c r="B54" s="64">
        <v>27.88</v>
      </c>
      <c r="C54" s="64">
        <v>73.37</v>
      </c>
      <c r="D54" s="64">
        <v>59.32</v>
      </c>
      <c r="E54" s="64">
        <v>9.0500000000000007</v>
      </c>
      <c r="F54" s="64">
        <v>2.13</v>
      </c>
      <c r="G54" s="64">
        <v>214.82</v>
      </c>
      <c r="H54" s="64">
        <v>62.49</v>
      </c>
      <c r="I54" s="210" t="s">
        <v>43</v>
      </c>
      <c r="J54" s="64">
        <v>2.08</v>
      </c>
      <c r="K54" s="64">
        <v>333.28</v>
      </c>
      <c r="L54" s="64">
        <v>26.55</v>
      </c>
      <c r="M54" s="64">
        <v>36.43</v>
      </c>
      <c r="N54" s="64">
        <v>606.29999999999995</v>
      </c>
      <c r="O54" s="64">
        <v>0</v>
      </c>
      <c r="P54" s="64">
        <v>1.33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866</v>
      </c>
      <c r="B55" s="64">
        <v>26.15</v>
      </c>
      <c r="C55" s="64">
        <v>73.98</v>
      </c>
      <c r="D55" s="64">
        <v>58.25</v>
      </c>
      <c r="E55" s="64">
        <v>9.15</v>
      </c>
      <c r="F55" s="64">
        <v>2.13</v>
      </c>
      <c r="G55" s="64">
        <v>177.63</v>
      </c>
      <c r="H55" s="64">
        <v>64.319999999999993</v>
      </c>
      <c r="I55" s="210" t="s">
        <v>43</v>
      </c>
      <c r="J55" s="64">
        <v>2.59</v>
      </c>
      <c r="K55" s="64">
        <v>335.95</v>
      </c>
      <c r="L55" s="64">
        <v>26.72</v>
      </c>
      <c r="M55" s="64">
        <v>35.229999999999997</v>
      </c>
      <c r="N55" s="64">
        <v>622.70000000000005</v>
      </c>
      <c r="O55" s="64">
        <v>0</v>
      </c>
      <c r="P55" s="64">
        <v>1.31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867</v>
      </c>
      <c r="B56" s="64">
        <v>24.11</v>
      </c>
      <c r="C56" s="64">
        <v>74.19</v>
      </c>
      <c r="D56" s="64">
        <v>56.72</v>
      </c>
      <c r="E56" s="64">
        <v>9.02</v>
      </c>
      <c r="F56" s="64">
        <v>2.13</v>
      </c>
      <c r="G56" s="64">
        <v>160.83000000000001</v>
      </c>
      <c r="H56" s="64">
        <v>65.099999999999994</v>
      </c>
      <c r="I56" s="210" t="s">
        <v>43</v>
      </c>
      <c r="J56" s="64">
        <v>2.65</v>
      </c>
      <c r="K56" s="64">
        <v>336.44</v>
      </c>
      <c r="L56" s="64">
        <v>27.14</v>
      </c>
      <c r="M56" s="64">
        <v>34.549999999999997</v>
      </c>
      <c r="N56" s="64">
        <v>630.5</v>
      </c>
      <c r="O56" s="64">
        <v>0</v>
      </c>
      <c r="P56" s="64">
        <v>1.28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868</v>
      </c>
      <c r="B57" s="64">
        <v>21.93</v>
      </c>
      <c r="C57" s="64">
        <v>74.92</v>
      </c>
      <c r="D57" s="64">
        <v>55.35</v>
      </c>
      <c r="E57" s="64">
        <v>8.81</v>
      </c>
      <c r="F57" s="64">
        <v>2.13</v>
      </c>
      <c r="G57" s="64">
        <v>160.83000000000001</v>
      </c>
      <c r="H57" s="64">
        <v>65.099999999999994</v>
      </c>
      <c r="I57" s="210" t="s">
        <v>43</v>
      </c>
      <c r="J57" s="64">
        <v>2.75</v>
      </c>
      <c r="K57" s="64">
        <v>339.35</v>
      </c>
      <c r="L57" s="64">
        <v>27.27</v>
      </c>
      <c r="M57" s="64">
        <v>34.11</v>
      </c>
      <c r="N57" s="64">
        <v>642</v>
      </c>
      <c r="O57" s="64">
        <v>0</v>
      </c>
      <c r="P57" s="64">
        <v>1.26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869</v>
      </c>
      <c r="B58" s="64">
        <v>19.38</v>
      </c>
      <c r="C58" s="64">
        <v>76.06</v>
      </c>
      <c r="D58" s="64">
        <v>53.91</v>
      </c>
      <c r="E58" s="64">
        <v>8.5399999999999991</v>
      </c>
      <c r="F58" s="64">
        <v>2.13</v>
      </c>
      <c r="G58" s="64">
        <v>160.83000000000001</v>
      </c>
      <c r="H58" s="64">
        <v>65.099999999999994</v>
      </c>
      <c r="I58" s="210" t="s">
        <v>43</v>
      </c>
      <c r="J58" s="64">
        <v>2.63</v>
      </c>
      <c r="K58" s="64">
        <v>341.22</v>
      </c>
      <c r="L58" s="64">
        <v>26.87</v>
      </c>
      <c r="M58" s="64">
        <v>34.51</v>
      </c>
      <c r="N58" s="64">
        <v>611.1</v>
      </c>
      <c r="O58" s="64">
        <v>0</v>
      </c>
      <c r="P58" s="64">
        <v>1.23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870</v>
      </c>
      <c r="B59" s="64">
        <v>16.78</v>
      </c>
      <c r="C59" s="64">
        <v>76</v>
      </c>
      <c r="D59" s="64">
        <v>51.78</v>
      </c>
      <c r="E59" s="64">
        <v>7.76</v>
      </c>
      <c r="F59" s="64">
        <v>2.13</v>
      </c>
      <c r="G59" s="64">
        <v>130.5</v>
      </c>
      <c r="H59" s="64">
        <v>58.04</v>
      </c>
      <c r="I59" s="210" t="s">
        <v>43</v>
      </c>
      <c r="J59" s="64">
        <v>2.11</v>
      </c>
      <c r="K59" s="64">
        <v>317.89</v>
      </c>
      <c r="L59" s="64">
        <v>27.32</v>
      </c>
      <c r="M59" s="64">
        <v>33.68</v>
      </c>
      <c r="N59" s="64">
        <v>622.9</v>
      </c>
      <c r="O59" s="64">
        <v>0</v>
      </c>
      <c r="P59" s="64">
        <v>1.21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871</v>
      </c>
      <c r="B60" s="64">
        <v>13.96</v>
      </c>
      <c r="C60" s="64">
        <v>75.290000000000006</v>
      </c>
      <c r="D60" s="64">
        <v>49.16</v>
      </c>
      <c r="E60" s="64">
        <v>7.74</v>
      </c>
      <c r="F60" s="64">
        <v>2.13</v>
      </c>
      <c r="G60" s="64">
        <v>117.5</v>
      </c>
      <c r="H60" s="64">
        <v>55.02</v>
      </c>
      <c r="I60" s="210" t="s">
        <v>43</v>
      </c>
      <c r="J60" s="64">
        <v>1.98</v>
      </c>
      <c r="K60" s="64">
        <v>324.39999999999998</v>
      </c>
      <c r="L60" s="64">
        <v>27.07</v>
      </c>
      <c r="M60" s="64">
        <v>33.43</v>
      </c>
      <c r="N60" s="64">
        <v>629.5</v>
      </c>
      <c r="O60" s="64">
        <v>0</v>
      </c>
      <c r="P60" s="64">
        <v>1.17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872</v>
      </c>
      <c r="B61" s="64">
        <v>11.34</v>
      </c>
      <c r="C61" s="64">
        <v>74.77</v>
      </c>
      <c r="D61" s="64">
        <v>46.78</v>
      </c>
      <c r="E61" s="64">
        <v>7.69</v>
      </c>
      <c r="F61" s="64">
        <v>2.13</v>
      </c>
      <c r="G61" s="64">
        <v>117.5</v>
      </c>
      <c r="H61" s="64">
        <v>55.02</v>
      </c>
      <c r="I61" s="210" t="s">
        <v>43</v>
      </c>
      <c r="J61" s="64">
        <v>2.44</v>
      </c>
      <c r="K61" s="64">
        <v>334.26</v>
      </c>
      <c r="L61" s="64">
        <v>26.97</v>
      </c>
      <c r="M61" s="64">
        <v>33.049999999999997</v>
      </c>
      <c r="N61" s="64">
        <v>586</v>
      </c>
      <c r="O61" s="64">
        <v>0</v>
      </c>
      <c r="P61" s="64">
        <v>1.1000000000000001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873</v>
      </c>
      <c r="B62" s="64">
        <v>9.34</v>
      </c>
      <c r="C62" s="64">
        <v>73.819999999999993</v>
      </c>
      <c r="D62" s="64">
        <v>44.68</v>
      </c>
      <c r="E62" s="64">
        <v>7.51</v>
      </c>
      <c r="F62" s="64">
        <v>2.13</v>
      </c>
      <c r="G62" s="64">
        <v>117.5</v>
      </c>
      <c r="H62" s="64">
        <v>55.02</v>
      </c>
      <c r="I62" s="210" t="s">
        <v>43</v>
      </c>
      <c r="J62" s="64">
        <v>2.66</v>
      </c>
      <c r="K62" s="64">
        <v>330.32</v>
      </c>
      <c r="L62" s="64">
        <v>26.59</v>
      </c>
      <c r="M62" s="64">
        <v>33.61</v>
      </c>
      <c r="N62" s="64">
        <v>563.5</v>
      </c>
      <c r="O62" s="64">
        <v>0</v>
      </c>
      <c r="P62" s="64">
        <v>1.08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874</v>
      </c>
      <c r="B63" s="64">
        <v>7.8</v>
      </c>
      <c r="C63" s="64">
        <v>72.680000000000007</v>
      </c>
      <c r="D63" s="64">
        <v>42.85</v>
      </c>
      <c r="E63" s="64">
        <v>6.98</v>
      </c>
      <c r="F63" s="64">
        <v>2.13</v>
      </c>
      <c r="G63" s="64">
        <v>85.31</v>
      </c>
      <c r="H63" s="64">
        <v>46.83</v>
      </c>
      <c r="I63" s="210" t="s">
        <v>43</v>
      </c>
      <c r="J63" s="64">
        <v>2.4700000000000002</v>
      </c>
      <c r="K63" s="64">
        <v>336.96</v>
      </c>
      <c r="L63" s="64">
        <v>26.35</v>
      </c>
      <c r="M63" s="64">
        <v>33.14</v>
      </c>
      <c r="N63" s="64">
        <v>550.5</v>
      </c>
      <c r="O63" s="64">
        <v>0</v>
      </c>
      <c r="P63" s="64">
        <v>1.05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875</v>
      </c>
      <c r="B64" s="64">
        <v>6.69</v>
      </c>
      <c r="C64" s="64">
        <v>71.69</v>
      </c>
      <c r="D64" s="64">
        <v>41.45</v>
      </c>
      <c r="E64" s="64">
        <v>7.26</v>
      </c>
      <c r="F64" s="64">
        <v>2.13</v>
      </c>
      <c r="G64" s="64">
        <v>71.510000000000005</v>
      </c>
      <c r="H64" s="64">
        <v>43.31</v>
      </c>
      <c r="I64" s="210" t="s">
        <v>43</v>
      </c>
      <c r="J64" s="64">
        <v>1.55</v>
      </c>
      <c r="K64" s="64">
        <v>323.36</v>
      </c>
      <c r="L64" s="64">
        <v>26.32</v>
      </c>
      <c r="M64" s="64">
        <v>33.26</v>
      </c>
      <c r="N64" s="64">
        <v>474.2</v>
      </c>
      <c r="O64" s="64">
        <v>0</v>
      </c>
      <c r="P64" s="64">
        <v>1.02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876</v>
      </c>
      <c r="B65" s="64">
        <v>5.7</v>
      </c>
      <c r="C65" s="64">
        <v>70.06</v>
      </c>
      <c r="D65" s="64">
        <v>39.799999999999997</v>
      </c>
      <c r="E65" s="64">
        <v>7.23</v>
      </c>
      <c r="F65" s="64">
        <v>2.13</v>
      </c>
      <c r="G65" s="64">
        <v>71.510000000000005</v>
      </c>
      <c r="H65" s="64">
        <v>43.31</v>
      </c>
      <c r="I65" s="210" t="s">
        <v>43</v>
      </c>
      <c r="J65" s="64">
        <v>2.56</v>
      </c>
      <c r="K65" s="64">
        <v>333.43</v>
      </c>
      <c r="L65" s="64">
        <v>26.22</v>
      </c>
      <c r="M65" s="64">
        <v>32.83</v>
      </c>
      <c r="N65" s="64">
        <v>462.4</v>
      </c>
      <c r="O65" s="64">
        <v>0</v>
      </c>
      <c r="P65" s="64">
        <v>0.97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877</v>
      </c>
      <c r="B66" s="64">
        <v>4.88</v>
      </c>
      <c r="C66" s="64">
        <v>68.260000000000005</v>
      </c>
      <c r="D66" s="64">
        <v>38.200000000000003</v>
      </c>
      <c r="E66" s="64">
        <v>6.91</v>
      </c>
      <c r="F66" s="64">
        <v>2.13</v>
      </c>
      <c r="G66" s="64">
        <v>71.510000000000005</v>
      </c>
      <c r="H66" s="64">
        <v>43.31</v>
      </c>
      <c r="I66" s="210" t="s">
        <v>43</v>
      </c>
      <c r="J66" s="64">
        <v>2.72</v>
      </c>
      <c r="K66" s="64">
        <v>326.45999999999998</v>
      </c>
      <c r="L66" s="64">
        <v>25.8</v>
      </c>
      <c r="M66" s="64">
        <v>33.770000000000003</v>
      </c>
      <c r="N66" s="64">
        <v>281.2</v>
      </c>
      <c r="O66" s="64">
        <v>0</v>
      </c>
      <c r="P66" s="64">
        <v>0.95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878</v>
      </c>
      <c r="B67" s="64">
        <v>4.34</v>
      </c>
      <c r="C67" s="64">
        <v>64.98</v>
      </c>
      <c r="D67" s="64">
        <v>36.06</v>
      </c>
      <c r="E67" s="64">
        <v>6.98</v>
      </c>
      <c r="F67" s="64">
        <v>2.14</v>
      </c>
      <c r="G67" s="64">
        <v>63.93</v>
      </c>
      <c r="H67" s="64">
        <v>35.68</v>
      </c>
      <c r="I67" s="210" t="s">
        <v>43</v>
      </c>
      <c r="J67" s="64">
        <v>1.85</v>
      </c>
      <c r="K67" s="64">
        <v>319.98</v>
      </c>
      <c r="L67" s="64">
        <v>25.19</v>
      </c>
      <c r="M67" s="64">
        <v>34.159999999999997</v>
      </c>
      <c r="N67" s="64">
        <v>266.3</v>
      </c>
      <c r="O67" s="64">
        <v>0</v>
      </c>
      <c r="P67" s="64">
        <v>0.9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879</v>
      </c>
      <c r="B68" s="64">
        <v>4.13</v>
      </c>
      <c r="C68" s="64">
        <v>63.67</v>
      </c>
      <c r="D68" s="64">
        <v>35.200000000000003</v>
      </c>
      <c r="E68" s="64">
        <v>6.39</v>
      </c>
      <c r="F68" s="64">
        <v>2.13</v>
      </c>
      <c r="G68" s="64">
        <v>60.68</v>
      </c>
      <c r="H68" s="64">
        <v>32.409999999999997</v>
      </c>
      <c r="I68" s="210" t="s">
        <v>43</v>
      </c>
      <c r="J68" s="64">
        <v>2.42</v>
      </c>
      <c r="K68" s="64">
        <v>324.8</v>
      </c>
      <c r="L68" s="64">
        <v>24.91</v>
      </c>
      <c r="M68" s="64">
        <v>34.25</v>
      </c>
      <c r="N68" s="64">
        <v>243.2</v>
      </c>
      <c r="O68" s="64">
        <v>0</v>
      </c>
      <c r="P68" s="64">
        <v>0.89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880</v>
      </c>
      <c r="B69" s="64">
        <v>4.1100000000000003</v>
      </c>
      <c r="C69" s="64">
        <v>62.65</v>
      </c>
      <c r="D69" s="64">
        <v>34.65</v>
      </c>
      <c r="E69" s="64">
        <v>6.71</v>
      </c>
      <c r="F69" s="64">
        <v>2.13</v>
      </c>
      <c r="G69" s="64">
        <v>60.68</v>
      </c>
      <c r="H69" s="64">
        <v>32.409999999999997</v>
      </c>
      <c r="I69" s="210" t="s">
        <v>43</v>
      </c>
      <c r="J69" s="64">
        <v>3.44</v>
      </c>
      <c r="K69" s="64">
        <v>326.99</v>
      </c>
      <c r="L69" s="64">
        <v>24.58</v>
      </c>
      <c r="M69" s="64">
        <v>34.14</v>
      </c>
      <c r="N69" s="64">
        <v>186.8</v>
      </c>
      <c r="O69" s="64">
        <v>0</v>
      </c>
      <c r="P69" s="64">
        <v>0.85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881</v>
      </c>
      <c r="B70" s="64">
        <v>4.07</v>
      </c>
      <c r="C70" s="64">
        <v>61.64</v>
      </c>
      <c r="D70" s="64">
        <v>34.090000000000003</v>
      </c>
      <c r="E70" s="64">
        <v>6.89</v>
      </c>
      <c r="F70" s="64">
        <v>2.13</v>
      </c>
      <c r="G70" s="64">
        <v>60.68</v>
      </c>
      <c r="H70" s="64">
        <v>32.409999999999997</v>
      </c>
      <c r="I70" s="210" t="s">
        <v>43</v>
      </c>
      <c r="J70" s="64">
        <v>2.6</v>
      </c>
      <c r="K70" s="64">
        <v>326.33</v>
      </c>
      <c r="L70" s="64">
        <v>23.64</v>
      </c>
      <c r="M70" s="64">
        <v>35.69</v>
      </c>
      <c r="N70" s="64">
        <v>134</v>
      </c>
      <c r="O70" s="64">
        <v>0</v>
      </c>
      <c r="P70" s="64">
        <v>0.83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882</v>
      </c>
      <c r="B71" s="64">
        <v>4.08</v>
      </c>
      <c r="C71" s="64">
        <v>60.81</v>
      </c>
      <c r="D71" s="64">
        <v>33.67</v>
      </c>
      <c r="E71" s="64">
        <v>6.45</v>
      </c>
      <c r="F71" s="64">
        <v>2.13</v>
      </c>
      <c r="G71" s="64">
        <v>55.21</v>
      </c>
      <c r="H71" s="64">
        <v>29.53</v>
      </c>
      <c r="I71" s="210" t="s">
        <v>43</v>
      </c>
      <c r="J71" s="64">
        <v>2.2799999999999998</v>
      </c>
      <c r="K71" s="64">
        <v>316.20999999999998</v>
      </c>
      <c r="L71" s="64">
        <v>23.4</v>
      </c>
      <c r="M71" s="64">
        <v>36.32</v>
      </c>
      <c r="N71" s="64">
        <v>125.6</v>
      </c>
      <c r="O71" s="64">
        <v>0</v>
      </c>
      <c r="P71" s="64">
        <v>0.81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883</v>
      </c>
      <c r="B72" s="64">
        <v>4.1100000000000003</v>
      </c>
      <c r="C72" s="64">
        <v>59.63</v>
      </c>
      <c r="D72" s="64">
        <v>33.08</v>
      </c>
      <c r="E72" s="64">
        <v>5.8</v>
      </c>
      <c r="F72" s="64">
        <v>2.13</v>
      </c>
      <c r="G72" s="64">
        <v>52.86</v>
      </c>
      <c r="H72" s="64">
        <v>28.3</v>
      </c>
      <c r="I72" s="210" t="s">
        <v>43</v>
      </c>
      <c r="J72" s="64">
        <v>2.5099999999999998</v>
      </c>
      <c r="K72" s="64">
        <v>317.70999999999998</v>
      </c>
      <c r="L72" s="64">
        <v>22.96</v>
      </c>
      <c r="M72" s="64">
        <v>37.880000000000003</v>
      </c>
      <c r="N72" s="64">
        <v>116.5</v>
      </c>
      <c r="O72" s="64">
        <v>0</v>
      </c>
      <c r="P72" s="64">
        <v>0.79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884</v>
      </c>
      <c r="B73" s="64">
        <v>4.16</v>
      </c>
      <c r="C73" s="64">
        <v>58.42</v>
      </c>
      <c r="D73" s="64">
        <v>32.479999999999997</v>
      </c>
      <c r="E73" s="64">
        <v>6.07</v>
      </c>
      <c r="F73" s="64">
        <v>2.13</v>
      </c>
      <c r="G73" s="64">
        <v>52.86</v>
      </c>
      <c r="H73" s="64">
        <v>28.3</v>
      </c>
      <c r="I73" s="210" t="s">
        <v>43</v>
      </c>
      <c r="J73" s="64">
        <v>1.75</v>
      </c>
      <c r="K73" s="64">
        <v>306.77999999999997</v>
      </c>
      <c r="L73" s="64">
        <v>22.74</v>
      </c>
      <c r="M73" s="64">
        <v>38.799999999999997</v>
      </c>
      <c r="N73" s="64">
        <v>118.7</v>
      </c>
      <c r="O73" s="64">
        <v>0</v>
      </c>
      <c r="P73" s="64">
        <v>0.76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885</v>
      </c>
      <c r="B74" s="64">
        <v>4.47</v>
      </c>
      <c r="C74" s="64">
        <v>56.15</v>
      </c>
      <c r="D74" s="64">
        <v>31.55</v>
      </c>
      <c r="E74" s="64">
        <v>5.52</v>
      </c>
      <c r="F74" s="64">
        <v>2.13</v>
      </c>
      <c r="G74" s="64">
        <v>52.86</v>
      </c>
      <c r="H74" s="64">
        <v>28.3</v>
      </c>
      <c r="I74" s="210" t="s">
        <v>43</v>
      </c>
      <c r="J74" s="64">
        <v>1.44</v>
      </c>
      <c r="K74" s="64">
        <v>338.45</v>
      </c>
      <c r="L74" s="64">
        <v>22.69</v>
      </c>
      <c r="M74" s="64">
        <v>39.07</v>
      </c>
      <c r="N74" s="64">
        <v>104.4</v>
      </c>
      <c r="O74" s="64">
        <v>0</v>
      </c>
      <c r="P74" s="64">
        <v>0.77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886</v>
      </c>
      <c r="B75" s="64">
        <v>5</v>
      </c>
      <c r="C75" s="64">
        <v>56.21</v>
      </c>
      <c r="D75" s="64">
        <v>32</v>
      </c>
      <c r="E75" s="64">
        <v>5.87</v>
      </c>
      <c r="F75" s="64">
        <v>2.13</v>
      </c>
      <c r="G75" s="64">
        <v>50.33</v>
      </c>
      <c r="H75" s="64">
        <v>26.5</v>
      </c>
      <c r="I75" s="210" t="s">
        <v>43</v>
      </c>
      <c r="J75" s="64">
        <v>2.2400000000000002</v>
      </c>
      <c r="K75" s="64">
        <v>345.35</v>
      </c>
      <c r="L75" s="64">
        <v>22.43</v>
      </c>
      <c r="M75" s="64">
        <v>40.020000000000003</v>
      </c>
      <c r="N75" s="64">
        <v>98.7</v>
      </c>
      <c r="O75" s="64">
        <v>0</v>
      </c>
      <c r="P75" s="64">
        <v>0.77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887</v>
      </c>
      <c r="B76" s="64">
        <v>5.32</v>
      </c>
      <c r="C76" s="64">
        <v>57.07</v>
      </c>
      <c r="D76" s="64">
        <v>32.71</v>
      </c>
      <c r="E76" s="64">
        <v>5.29</v>
      </c>
      <c r="F76" s="64">
        <v>2.13</v>
      </c>
      <c r="G76" s="64">
        <v>49.24</v>
      </c>
      <c r="H76" s="64">
        <v>25.73</v>
      </c>
      <c r="I76" s="210" t="s">
        <v>43</v>
      </c>
      <c r="J76" s="64">
        <v>2.15</v>
      </c>
      <c r="K76" s="64">
        <v>334.79</v>
      </c>
      <c r="L76" s="64">
        <v>22</v>
      </c>
      <c r="M76" s="64">
        <v>40.83</v>
      </c>
      <c r="N76" s="64">
        <v>79.400000000000006</v>
      </c>
      <c r="O76" s="64">
        <v>0</v>
      </c>
      <c r="P76" s="64">
        <v>0.77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888</v>
      </c>
      <c r="B77" s="64">
        <v>5.56</v>
      </c>
      <c r="C77" s="64">
        <v>58.27</v>
      </c>
      <c r="D77" s="64">
        <v>33.53</v>
      </c>
      <c r="E77" s="64">
        <v>5.36</v>
      </c>
      <c r="F77" s="64">
        <v>2.13</v>
      </c>
      <c r="G77" s="64">
        <v>49.24</v>
      </c>
      <c r="H77" s="64">
        <v>25.73</v>
      </c>
      <c r="I77" s="210" t="s">
        <v>43</v>
      </c>
      <c r="J77" s="64">
        <v>3.01</v>
      </c>
      <c r="K77" s="64">
        <v>338.58</v>
      </c>
      <c r="L77" s="64">
        <v>21.45</v>
      </c>
      <c r="M77" s="64">
        <v>38.36</v>
      </c>
      <c r="N77" s="64">
        <v>70</v>
      </c>
      <c r="O77" s="64">
        <v>0</v>
      </c>
      <c r="P77" s="64">
        <v>0.77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889</v>
      </c>
      <c r="B78" s="64">
        <v>5.84</v>
      </c>
      <c r="C78" s="64">
        <v>59.28</v>
      </c>
      <c r="D78" s="64">
        <v>34.28</v>
      </c>
      <c r="E78" s="64">
        <v>5.5</v>
      </c>
      <c r="F78" s="64">
        <v>2.13</v>
      </c>
      <c r="G78" s="64">
        <v>49.24</v>
      </c>
      <c r="H78" s="64">
        <v>25.73</v>
      </c>
      <c r="I78" s="210" t="s">
        <v>43</v>
      </c>
      <c r="J78" s="64">
        <v>2.88</v>
      </c>
      <c r="K78" s="64">
        <v>336.29</v>
      </c>
      <c r="L78" s="64">
        <v>20.82</v>
      </c>
      <c r="M78" s="64">
        <v>37.979999999999997</v>
      </c>
      <c r="N78" s="64">
        <v>62.5</v>
      </c>
      <c r="O78" s="64">
        <v>0</v>
      </c>
      <c r="P78" s="64">
        <v>0.76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890</v>
      </c>
      <c r="B79" s="64">
        <v>6.03</v>
      </c>
      <c r="C79" s="64">
        <v>59.97</v>
      </c>
      <c r="D79" s="64">
        <v>34.79</v>
      </c>
      <c r="E79" s="64">
        <v>5.84</v>
      </c>
      <c r="F79" s="64">
        <v>2.13</v>
      </c>
      <c r="G79" s="64">
        <v>53.18</v>
      </c>
      <c r="H79" s="64">
        <v>23.03</v>
      </c>
      <c r="I79" s="210" t="s">
        <v>43</v>
      </c>
      <c r="J79" s="64">
        <v>2.65</v>
      </c>
      <c r="K79" s="64">
        <v>335.11</v>
      </c>
      <c r="L79" s="64">
        <v>20.2</v>
      </c>
      <c r="M79" s="64">
        <v>39.65</v>
      </c>
      <c r="N79" s="64">
        <v>57.7</v>
      </c>
      <c r="O79" s="64">
        <v>0</v>
      </c>
      <c r="P79" s="64">
        <v>0.76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891</v>
      </c>
      <c r="B80" s="64">
        <v>6.35</v>
      </c>
      <c r="C80" s="64">
        <v>60.49</v>
      </c>
      <c r="D80" s="64">
        <v>35.32</v>
      </c>
      <c r="E80" s="64">
        <v>5.77</v>
      </c>
      <c r="F80" s="64">
        <v>2.13</v>
      </c>
      <c r="G80" s="64">
        <v>54.86</v>
      </c>
      <c r="H80" s="64">
        <v>21.88</v>
      </c>
      <c r="I80" s="210" t="s">
        <v>43</v>
      </c>
      <c r="J80" s="64">
        <v>2.37</v>
      </c>
      <c r="K80" s="64">
        <v>339.12</v>
      </c>
      <c r="L80" s="64">
        <v>19.600000000000001</v>
      </c>
      <c r="M80" s="64">
        <v>41.72</v>
      </c>
      <c r="N80" s="64">
        <v>56</v>
      </c>
      <c r="O80" s="64">
        <v>0</v>
      </c>
      <c r="P80" s="64">
        <v>0.77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892</v>
      </c>
      <c r="B81" s="64">
        <v>7.28</v>
      </c>
      <c r="C81" s="64">
        <v>61.06</v>
      </c>
      <c r="D81" s="64">
        <v>36.369999999999997</v>
      </c>
      <c r="E81" s="64">
        <v>5.62</v>
      </c>
      <c r="F81" s="64">
        <v>2.13</v>
      </c>
      <c r="G81" s="64">
        <v>54.86</v>
      </c>
      <c r="H81" s="64">
        <v>21.88</v>
      </c>
      <c r="I81" s="210" t="s">
        <v>43</v>
      </c>
      <c r="J81" s="64">
        <v>2.1800000000000002</v>
      </c>
      <c r="K81" s="64">
        <v>337.9</v>
      </c>
      <c r="L81" s="64">
        <v>19.059999999999999</v>
      </c>
      <c r="M81" s="64">
        <v>44.01</v>
      </c>
      <c r="N81" s="64">
        <v>55.7</v>
      </c>
      <c r="O81" s="64">
        <v>0</v>
      </c>
      <c r="P81" s="64">
        <v>0.79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893</v>
      </c>
      <c r="B82" s="64">
        <v>8.4600000000000009</v>
      </c>
      <c r="C82" s="64">
        <v>61.65</v>
      </c>
      <c r="D82" s="64">
        <v>37.619999999999997</v>
      </c>
      <c r="E82" s="64">
        <v>5.7</v>
      </c>
      <c r="F82" s="64">
        <v>2.13</v>
      </c>
      <c r="G82" s="64">
        <v>54.86</v>
      </c>
      <c r="H82" s="64">
        <v>21.88</v>
      </c>
      <c r="I82" s="210" t="s">
        <v>43</v>
      </c>
      <c r="J82" s="64">
        <v>2.5</v>
      </c>
      <c r="K82" s="64">
        <v>332.11</v>
      </c>
      <c r="L82" s="64">
        <v>18.75</v>
      </c>
      <c r="M82" s="64">
        <v>44.33</v>
      </c>
      <c r="N82" s="64">
        <v>55.2</v>
      </c>
      <c r="O82" s="64">
        <v>0</v>
      </c>
      <c r="P82" s="64">
        <v>0.79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894</v>
      </c>
      <c r="B83" s="64">
        <v>9.4</v>
      </c>
      <c r="C83" s="64">
        <v>61.67</v>
      </c>
      <c r="D83" s="64">
        <v>38.380000000000003</v>
      </c>
      <c r="E83" s="64">
        <v>5.73</v>
      </c>
      <c r="F83" s="64">
        <v>2.13</v>
      </c>
      <c r="G83" s="64">
        <v>60.85</v>
      </c>
      <c r="H83" s="64">
        <v>22.02</v>
      </c>
      <c r="I83" s="210" t="s">
        <v>43</v>
      </c>
      <c r="J83" s="64">
        <v>2.41</v>
      </c>
      <c r="K83" s="64">
        <v>341.82</v>
      </c>
      <c r="L83" s="64">
        <v>18.46</v>
      </c>
      <c r="M83" s="64">
        <v>45.05</v>
      </c>
      <c r="N83" s="64">
        <v>55.5</v>
      </c>
      <c r="O83" s="64">
        <v>0</v>
      </c>
      <c r="P83" s="64">
        <v>0.8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895</v>
      </c>
      <c r="B84" s="64">
        <v>10.51</v>
      </c>
      <c r="C84" s="64">
        <v>61.11</v>
      </c>
      <c r="D84" s="64">
        <v>38.979999999999997</v>
      </c>
      <c r="E84" s="64">
        <v>6.01</v>
      </c>
      <c r="F84" s="64">
        <v>2.13</v>
      </c>
      <c r="G84" s="64">
        <v>63.41</v>
      </c>
      <c r="H84" s="64">
        <v>22.08</v>
      </c>
      <c r="I84" s="210" t="s">
        <v>43</v>
      </c>
      <c r="J84" s="64">
        <v>2.5299999999999998</v>
      </c>
      <c r="K84" s="64">
        <v>341.39</v>
      </c>
      <c r="L84" s="64">
        <v>18.18</v>
      </c>
      <c r="M84" s="64">
        <v>45.18</v>
      </c>
      <c r="N84" s="64">
        <v>55.2</v>
      </c>
      <c r="O84" s="64">
        <v>0</v>
      </c>
      <c r="P84" s="64">
        <v>0.82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896</v>
      </c>
      <c r="B85" s="64">
        <v>11.64</v>
      </c>
      <c r="C85" s="64">
        <v>61.52</v>
      </c>
      <c r="D85" s="64">
        <v>40.1</v>
      </c>
      <c r="E85" s="64">
        <v>6.37</v>
      </c>
      <c r="F85" s="64">
        <v>2.13</v>
      </c>
      <c r="G85" s="64">
        <v>63.41</v>
      </c>
      <c r="H85" s="64">
        <v>22.08</v>
      </c>
      <c r="I85" s="210" t="s">
        <v>43</v>
      </c>
      <c r="J85" s="64">
        <v>2.52</v>
      </c>
      <c r="K85" s="64">
        <v>338.65</v>
      </c>
      <c r="L85" s="64">
        <v>17.97</v>
      </c>
      <c r="M85" s="64">
        <v>44.52</v>
      </c>
      <c r="N85" s="64">
        <v>55.2</v>
      </c>
      <c r="O85" s="64">
        <v>0</v>
      </c>
      <c r="P85" s="64">
        <v>0.8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897</v>
      </c>
      <c r="B86" s="64">
        <v>12.62</v>
      </c>
      <c r="C86" s="64">
        <v>61.28</v>
      </c>
      <c r="D86" s="64">
        <v>40.76</v>
      </c>
      <c r="E86" s="64">
        <v>6.52</v>
      </c>
      <c r="F86" s="64">
        <v>2.13</v>
      </c>
      <c r="G86" s="64">
        <v>63.41</v>
      </c>
      <c r="H86" s="64">
        <v>22.08</v>
      </c>
      <c r="I86" s="210" t="s">
        <v>43</v>
      </c>
      <c r="J86" s="64">
        <v>3</v>
      </c>
      <c r="K86" s="64">
        <v>339.11</v>
      </c>
      <c r="L86" s="64">
        <v>17.739999999999998</v>
      </c>
      <c r="M86" s="64">
        <v>42.93</v>
      </c>
      <c r="N86" s="64">
        <v>55</v>
      </c>
      <c r="O86" s="64">
        <v>0</v>
      </c>
      <c r="P86" s="64">
        <v>0.82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898</v>
      </c>
      <c r="B87" s="64">
        <v>12.88</v>
      </c>
      <c r="C87" s="64">
        <v>61.13</v>
      </c>
      <c r="D87" s="64">
        <v>40.89</v>
      </c>
      <c r="E87" s="64">
        <v>6.36</v>
      </c>
      <c r="F87" s="64">
        <v>2.13</v>
      </c>
      <c r="G87" s="64">
        <v>68.680000000000007</v>
      </c>
      <c r="H87" s="64">
        <v>23.02</v>
      </c>
      <c r="I87" s="210" t="s">
        <v>43</v>
      </c>
      <c r="J87" s="64">
        <v>3.04</v>
      </c>
      <c r="K87" s="64">
        <v>339.06</v>
      </c>
      <c r="L87" s="64">
        <v>17.62</v>
      </c>
      <c r="M87" s="64">
        <v>41.35</v>
      </c>
      <c r="N87" s="64">
        <v>55.3</v>
      </c>
      <c r="O87" s="64">
        <v>0</v>
      </c>
      <c r="P87" s="64">
        <v>0.82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899</v>
      </c>
      <c r="B88" s="64">
        <v>13.02</v>
      </c>
      <c r="C88" s="64">
        <v>61.06</v>
      </c>
      <c r="D88" s="64">
        <v>40.97</v>
      </c>
      <c r="E88" s="64">
        <v>6.49</v>
      </c>
      <c r="F88" s="64">
        <v>2.13</v>
      </c>
      <c r="G88" s="64">
        <v>70.94</v>
      </c>
      <c r="H88" s="64">
        <v>23.43</v>
      </c>
      <c r="I88" s="210" t="s">
        <v>43</v>
      </c>
      <c r="J88" s="64">
        <v>3.2</v>
      </c>
      <c r="K88" s="64">
        <v>335.43</v>
      </c>
      <c r="L88" s="64">
        <v>17.39</v>
      </c>
      <c r="M88" s="64">
        <v>40.76</v>
      </c>
      <c r="N88" s="64">
        <v>55.2</v>
      </c>
      <c r="O88" s="64">
        <v>0</v>
      </c>
      <c r="P88" s="64">
        <v>0.82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900</v>
      </c>
      <c r="B89" s="64">
        <v>12.6</v>
      </c>
      <c r="C89" s="64">
        <v>60.39</v>
      </c>
      <c r="D89" s="64">
        <v>40.28</v>
      </c>
      <c r="E89" s="64">
        <v>6.52</v>
      </c>
      <c r="F89" s="64">
        <v>2.13</v>
      </c>
      <c r="G89" s="64">
        <v>70.94</v>
      </c>
      <c r="H89" s="64">
        <v>23.43</v>
      </c>
      <c r="I89" s="210" t="s">
        <v>43</v>
      </c>
      <c r="J89" s="64">
        <v>2.93</v>
      </c>
      <c r="K89" s="64">
        <v>339.87</v>
      </c>
      <c r="L89" s="64">
        <v>17.07</v>
      </c>
      <c r="M89" s="64">
        <v>41.36</v>
      </c>
      <c r="N89" s="64">
        <v>55.6</v>
      </c>
      <c r="O89" s="64">
        <v>0</v>
      </c>
      <c r="P89" s="64">
        <v>0.8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901</v>
      </c>
      <c r="B90" s="64">
        <v>12.36</v>
      </c>
      <c r="C90" s="64">
        <v>60.29</v>
      </c>
      <c r="D90" s="64">
        <v>40.03</v>
      </c>
      <c r="E90" s="64">
        <v>6.81</v>
      </c>
      <c r="F90" s="64">
        <v>2.13</v>
      </c>
      <c r="G90" s="64">
        <v>70.94</v>
      </c>
      <c r="H90" s="64">
        <v>23.43</v>
      </c>
      <c r="I90" s="210" t="s">
        <v>43</v>
      </c>
      <c r="J90" s="64">
        <v>3.15</v>
      </c>
      <c r="K90" s="64">
        <v>344.35</v>
      </c>
      <c r="L90" s="64">
        <v>16.73</v>
      </c>
      <c r="M90" s="64">
        <v>41.65</v>
      </c>
      <c r="N90" s="64">
        <v>55.4</v>
      </c>
      <c r="O90" s="64">
        <v>0</v>
      </c>
      <c r="P90" s="64">
        <v>0.8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902</v>
      </c>
      <c r="B91" s="64">
        <v>12.37</v>
      </c>
      <c r="C91" s="64">
        <v>60.96</v>
      </c>
      <c r="D91" s="64">
        <v>40.39</v>
      </c>
      <c r="E91" s="64">
        <v>6.74</v>
      </c>
      <c r="F91" s="64">
        <v>2.13</v>
      </c>
      <c r="G91" s="64">
        <v>67.47</v>
      </c>
      <c r="H91" s="64">
        <v>22.31</v>
      </c>
      <c r="I91" s="210" t="s">
        <v>43</v>
      </c>
      <c r="J91" s="64">
        <v>2.94</v>
      </c>
      <c r="K91" s="64">
        <v>342.15</v>
      </c>
      <c r="L91" s="64">
        <v>16.27</v>
      </c>
      <c r="M91" s="64">
        <v>44.62</v>
      </c>
      <c r="N91" s="64">
        <v>55.5</v>
      </c>
      <c r="O91" s="64">
        <v>0</v>
      </c>
      <c r="P91" s="64">
        <v>0.79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903</v>
      </c>
      <c r="B92" s="64">
        <v>12.64</v>
      </c>
      <c r="C92" s="64">
        <v>60.88</v>
      </c>
      <c r="D92" s="64">
        <v>40.56</v>
      </c>
      <c r="E92" s="64">
        <v>6.57</v>
      </c>
      <c r="F92" s="64">
        <v>2.13</v>
      </c>
      <c r="G92" s="64">
        <v>65.98</v>
      </c>
      <c r="H92" s="64">
        <v>21.83</v>
      </c>
      <c r="I92" s="210" t="s">
        <v>43</v>
      </c>
      <c r="J92" s="64">
        <v>2.63</v>
      </c>
      <c r="K92" s="64">
        <v>344.66</v>
      </c>
      <c r="L92" s="64">
        <v>16.03</v>
      </c>
      <c r="M92" s="64">
        <v>43.63</v>
      </c>
      <c r="N92" s="64">
        <v>55.5</v>
      </c>
      <c r="O92" s="64">
        <v>0</v>
      </c>
      <c r="P92" s="64">
        <v>0.79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904</v>
      </c>
      <c r="B93" s="64">
        <v>12.79</v>
      </c>
      <c r="C93" s="64">
        <v>60.79</v>
      </c>
      <c r="D93" s="64">
        <v>40.64</v>
      </c>
      <c r="E93" s="64">
        <v>6.11</v>
      </c>
      <c r="F93" s="64">
        <v>2.13</v>
      </c>
      <c r="G93" s="64">
        <v>65.98</v>
      </c>
      <c r="H93" s="64">
        <v>21.83</v>
      </c>
      <c r="I93" s="210" t="s">
        <v>43</v>
      </c>
      <c r="J93" s="64">
        <v>2.14</v>
      </c>
      <c r="K93" s="64">
        <v>349.46</v>
      </c>
      <c r="L93" s="64">
        <v>15.9</v>
      </c>
      <c r="M93" s="64">
        <v>44.09</v>
      </c>
      <c r="N93" s="64">
        <v>55.3</v>
      </c>
      <c r="O93" s="64">
        <v>0</v>
      </c>
      <c r="P93" s="64">
        <v>0.79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905</v>
      </c>
      <c r="B94" s="64">
        <v>13.45</v>
      </c>
      <c r="C94" s="64">
        <v>60.77</v>
      </c>
      <c r="D94" s="64">
        <v>41.16</v>
      </c>
      <c r="E94" s="64">
        <v>6.22</v>
      </c>
      <c r="F94" s="64">
        <v>2.13</v>
      </c>
      <c r="G94" s="64">
        <v>65.98</v>
      </c>
      <c r="H94" s="64">
        <v>21.83</v>
      </c>
      <c r="I94" s="210" t="s">
        <v>43</v>
      </c>
      <c r="J94" s="64">
        <v>2.19</v>
      </c>
      <c r="K94" s="64">
        <v>350.86</v>
      </c>
      <c r="L94" s="64">
        <v>15.79</v>
      </c>
      <c r="M94" s="64">
        <v>44.88</v>
      </c>
      <c r="N94" s="64">
        <v>55.1</v>
      </c>
      <c r="O94" s="64">
        <v>0</v>
      </c>
      <c r="P94" s="64">
        <v>0.81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906</v>
      </c>
      <c r="B95" s="64">
        <v>14.18</v>
      </c>
      <c r="C95" s="64">
        <v>60.55</v>
      </c>
      <c r="D95" s="64">
        <v>41.63</v>
      </c>
      <c r="E95" s="64">
        <v>6.5</v>
      </c>
      <c r="F95" s="64">
        <v>2.13</v>
      </c>
      <c r="G95" s="64">
        <v>64.59</v>
      </c>
      <c r="H95" s="64">
        <v>20.2</v>
      </c>
      <c r="I95" s="210" t="s">
        <v>43</v>
      </c>
      <c r="J95" s="64">
        <v>2.33</v>
      </c>
      <c r="K95" s="64">
        <v>350.73</v>
      </c>
      <c r="L95" s="64">
        <v>15.61</v>
      </c>
      <c r="M95" s="64">
        <v>45.73</v>
      </c>
      <c r="N95" s="64">
        <v>55</v>
      </c>
      <c r="O95" s="64">
        <v>0</v>
      </c>
      <c r="P95" s="64">
        <v>0.81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907</v>
      </c>
      <c r="B96" s="64">
        <v>15.06</v>
      </c>
      <c r="C96" s="64">
        <v>60.49</v>
      </c>
      <c r="D96" s="64">
        <v>42.3</v>
      </c>
      <c r="E96" s="64">
        <v>6.52</v>
      </c>
      <c r="F96" s="64">
        <v>2.13</v>
      </c>
      <c r="G96" s="64">
        <v>63.99</v>
      </c>
      <c r="H96" s="64">
        <v>19.510000000000002</v>
      </c>
      <c r="I96" s="210" t="s">
        <v>43</v>
      </c>
      <c r="J96" s="64">
        <v>2.67</v>
      </c>
      <c r="K96" s="64">
        <v>348.58</v>
      </c>
      <c r="L96" s="64">
        <v>15.47</v>
      </c>
      <c r="M96" s="64">
        <v>46.57</v>
      </c>
      <c r="N96" s="64">
        <v>54.8</v>
      </c>
      <c r="O96" s="64">
        <v>0</v>
      </c>
      <c r="P96" s="64">
        <v>0.82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908</v>
      </c>
      <c r="B97" s="64">
        <v>15.44</v>
      </c>
      <c r="C97" s="64">
        <v>60.41</v>
      </c>
      <c r="D97" s="64">
        <v>42.57</v>
      </c>
      <c r="E97" s="64">
        <v>6.26</v>
      </c>
      <c r="F97" s="64">
        <v>2.13</v>
      </c>
      <c r="G97" s="64">
        <v>63.99</v>
      </c>
      <c r="H97" s="64">
        <v>19.510000000000002</v>
      </c>
      <c r="I97" s="210" t="s">
        <v>43</v>
      </c>
      <c r="J97" s="64">
        <v>2.25</v>
      </c>
      <c r="K97" s="64">
        <v>341.49</v>
      </c>
      <c r="L97" s="64">
        <v>15.31</v>
      </c>
      <c r="M97" s="64">
        <v>47.65</v>
      </c>
      <c r="N97" s="64">
        <v>55.1</v>
      </c>
      <c r="O97" s="64">
        <v>0</v>
      </c>
      <c r="P97" s="64">
        <v>0.81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4" t="s">
        <v>909</v>
      </c>
      <c r="B98" s="64">
        <v>15.8</v>
      </c>
      <c r="C98" s="64">
        <v>60.39</v>
      </c>
      <c r="D98" s="64">
        <v>42.85</v>
      </c>
      <c r="E98" s="64">
        <v>6.18</v>
      </c>
      <c r="F98" s="64">
        <v>2.13</v>
      </c>
      <c r="G98" s="64">
        <v>63.99</v>
      </c>
      <c r="H98" s="64">
        <v>19.510000000000002</v>
      </c>
      <c r="I98" s="210" t="s">
        <v>43</v>
      </c>
      <c r="J98" s="64">
        <v>2.21</v>
      </c>
      <c r="K98" s="64">
        <v>324.23</v>
      </c>
      <c r="L98" s="64">
        <v>14.89</v>
      </c>
      <c r="M98" s="64">
        <v>50.15</v>
      </c>
      <c r="N98" s="64">
        <v>55.1</v>
      </c>
      <c r="O98" s="64">
        <v>0</v>
      </c>
      <c r="P98" s="64">
        <v>0.82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4" t="s">
        <v>910</v>
      </c>
      <c r="B99" s="64">
        <v>16.71</v>
      </c>
      <c r="C99" s="64">
        <v>60.48</v>
      </c>
      <c r="D99" s="64">
        <v>43.62</v>
      </c>
      <c r="E99" s="64">
        <v>5.98</v>
      </c>
      <c r="F99" s="64">
        <v>2.13</v>
      </c>
      <c r="G99" s="64">
        <v>82.19</v>
      </c>
      <c r="H99" s="64">
        <v>24.73</v>
      </c>
      <c r="I99" s="210" t="s">
        <v>43</v>
      </c>
      <c r="J99" s="64">
        <v>2.0699999999999998</v>
      </c>
      <c r="K99" s="64">
        <v>328.41</v>
      </c>
      <c r="L99" s="64">
        <v>14.51</v>
      </c>
      <c r="M99" s="64">
        <v>51.57</v>
      </c>
      <c r="N99" s="64">
        <v>55.2</v>
      </c>
      <c r="O99" s="64">
        <v>0</v>
      </c>
      <c r="P99" s="64">
        <v>0.83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4" t="s">
        <v>911</v>
      </c>
      <c r="B100" s="64">
        <v>18.100000000000001</v>
      </c>
      <c r="C100" s="64">
        <v>59.45</v>
      </c>
      <c r="D100" s="64">
        <v>44.2</v>
      </c>
      <c r="E100" s="64">
        <v>6.15</v>
      </c>
      <c r="F100" s="64">
        <v>2.13</v>
      </c>
      <c r="G100" s="64">
        <v>89.98</v>
      </c>
      <c r="H100" s="64">
        <v>26.97</v>
      </c>
      <c r="I100" s="210" t="s">
        <v>43</v>
      </c>
      <c r="J100" s="64">
        <v>1.96</v>
      </c>
      <c r="K100" s="64">
        <v>319.06</v>
      </c>
      <c r="L100" s="64">
        <v>14.09</v>
      </c>
      <c r="M100" s="64">
        <v>53.31</v>
      </c>
      <c r="N100" s="64">
        <v>55.2</v>
      </c>
      <c r="O100" s="64">
        <v>0</v>
      </c>
      <c r="P100" s="64">
        <v>0.83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912</v>
      </c>
      <c r="B101" s="64">
        <v>18.78</v>
      </c>
      <c r="C101" s="64">
        <v>58.97</v>
      </c>
      <c r="D101" s="64">
        <v>44.49</v>
      </c>
      <c r="E101" s="64">
        <v>5.98</v>
      </c>
      <c r="F101" s="64">
        <v>2.13</v>
      </c>
      <c r="G101" s="64">
        <v>89.98</v>
      </c>
      <c r="H101" s="64">
        <v>26.97</v>
      </c>
      <c r="I101" s="210" t="s">
        <v>43</v>
      </c>
      <c r="J101" s="64">
        <v>2.16</v>
      </c>
      <c r="K101" s="64">
        <v>324.12</v>
      </c>
      <c r="L101" s="64">
        <v>13.62</v>
      </c>
      <c r="M101" s="64">
        <v>55</v>
      </c>
      <c r="N101" s="64">
        <v>54.9</v>
      </c>
      <c r="O101" s="64">
        <v>0</v>
      </c>
      <c r="P101" s="64">
        <v>0.84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4" t="s">
        <v>913</v>
      </c>
      <c r="B102" s="64">
        <v>18.82</v>
      </c>
      <c r="C102" s="64">
        <v>58.28</v>
      </c>
      <c r="D102" s="64">
        <v>44.17</v>
      </c>
      <c r="E102" s="64">
        <v>5.97</v>
      </c>
      <c r="F102" s="64">
        <v>2.13</v>
      </c>
      <c r="G102" s="64">
        <v>89.98</v>
      </c>
      <c r="H102" s="64">
        <v>26.97</v>
      </c>
      <c r="I102" s="210" t="s">
        <v>43</v>
      </c>
      <c r="J102" s="64">
        <v>2.13</v>
      </c>
      <c r="K102" s="64">
        <v>327.49</v>
      </c>
      <c r="L102" s="64">
        <v>13.41</v>
      </c>
      <c r="M102" s="64">
        <v>55.59</v>
      </c>
      <c r="N102" s="64">
        <v>55.1</v>
      </c>
      <c r="O102" s="64">
        <v>0</v>
      </c>
      <c r="P102" s="64">
        <v>0.82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4" t="s">
        <v>914</v>
      </c>
      <c r="B103" s="64">
        <v>18.7</v>
      </c>
      <c r="C103" s="64">
        <v>57.34</v>
      </c>
      <c r="D103" s="64">
        <v>43.57</v>
      </c>
      <c r="E103" s="64">
        <v>5.61</v>
      </c>
      <c r="F103" s="64">
        <v>2.13</v>
      </c>
      <c r="G103" s="64">
        <v>91.67</v>
      </c>
      <c r="H103" s="64">
        <v>27.92</v>
      </c>
      <c r="I103" s="210" t="s">
        <v>43</v>
      </c>
      <c r="J103" s="64">
        <v>2.4300000000000002</v>
      </c>
      <c r="K103" s="64">
        <v>330.04</v>
      </c>
      <c r="L103" s="64">
        <v>13.19</v>
      </c>
      <c r="M103" s="64">
        <v>56.15</v>
      </c>
      <c r="N103" s="64">
        <v>54.9</v>
      </c>
      <c r="O103" s="64">
        <v>0</v>
      </c>
      <c r="P103" s="64">
        <v>0.81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4" t="s">
        <v>915</v>
      </c>
      <c r="B104" s="64">
        <v>18.489999999999998</v>
      </c>
      <c r="C104" s="64">
        <v>56.18</v>
      </c>
      <c r="D104" s="64">
        <v>42.8</v>
      </c>
      <c r="E104" s="64">
        <v>6.45</v>
      </c>
      <c r="F104" s="64">
        <v>2.13</v>
      </c>
      <c r="G104" s="64">
        <v>92.39</v>
      </c>
      <c r="H104" s="64">
        <v>28.32</v>
      </c>
      <c r="I104" s="210" t="s">
        <v>43</v>
      </c>
      <c r="J104" s="64">
        <v>2.39</v>
      </c>
      <c r="K104" s="64">
        <v>338.15</v>
      </c>
      <c r="L104" s="64">
        <v>13.06</v>
      </c>
      <c r="M104" s="64">
        <v>56.28</v>
      </c>
      <c r="N104" s="64">
        <v>55.1</v>
      </c>
      <c r="O104" s="64">
        <v>0</v>
      </c>
      <c r="P104" s="64">
        <v>0.8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4.07</v>
      </c>
      <c r="C106" s="67">
        <f>MIN(C9:C104)</f>
        <v>49.8</v>
      </c>
      <c r="D106" s="67">
        <f t="shared" ref="D106:Q106" si="0">MIN(D9:D104)</f>
        <v>31.55</v>
      </c>
      <c r="E106" s="67">
        <f t="shared" si="0"/>
        <v>5.29</v>
      </c>
      <c r="F106" s="67">
        <f t="shared" si="0"/>
        <v>2.13</v>
      </c>
      <c r="G106" s="67">
        <f t="shared" si="0"/>
        <v>49.24</v>
      </c>
      <c r="H106" s="67">
        <f t="shared" si="0"/>
        <v>19.510000000000002</v>
      </c>
      <c r="I106" s="67">
        <f t="shared" si="0"/>
        <v>0</v>
      </c>
      <c r="J106" s="67">
        <f t="shared" si="0"/>
        <v>0.13</v>
      </c>
      <c r="K106" s="67">
        <f t="shared" si="0"/>
        <v>118.68</v>
      </c>
      <c r="L106" s="67">
        <f t="shared" si="0"/>
        <v>10.1</v>
      </c>
      <c r="M106" s="67">
        <f t="shared" si="0"/>
        <v>32.83</v>
      </c>
      <c r="N106" s="67">
        <f t="shared" si="0"/>
        <v>54.8</v>
      </c>
      <c r="O106" s="67">
        <f t="shared" si="0"/>
        <v>0</v>
      </c>
      <c r="P106" s="67">
        <f t="shared" si="0"/>
        <v>0.76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69.930000000000007</v>
      </c>
      <c r="C107" s="66">
        <f t="shared" ref="C107:Q107" si="1">MAX(C9:C104)</f>
        <v>76.06</v>
      </c>
      <c r="D107" s="66">
        <f t="shared" si="1"/>
        <v>89.4</v>
      </c>
      <c r="E107" s="66">
        <f t="shared" si="1"/>
        <v>9.74</v>
      </c>
      <c r="F107" s="66">
        <f t="shared" si="1"/>
        <v>2.16</v>
      </c>
      <c r="G107" s="66">
        <f t="shared" si="1"/>
        <v>338.23</v>
      </c>
      <c r="H107" s="66">
        <f t="shared" si="1"/>
        <v>65.099999999999994</v>
      </c>
      <c r="I107" s="66">
        <f t="shared" si="1"/>
        <v>0</v>
      </c>
      <c r="J107" s="66">
        <f t="shared" si="1"/>
        <v>3.44</v>
      </c>
      <c r="K107" s="66">
        <f t="shared" si="1"/>
        <v>352</v>
      </c>
      <c r="L107" s="66">
        <f t="shared" si="1"/>
        <v>27.32</v>
      </c>
      <c r="M107" s="66">
        <f t="shared" si="1"/>
        <v>102.6</v>
      </c>
      <c r="N107" s="66">
        <f t="shared" si="1"/>
        <v>642</v>
      </c>
      <c r="O107" s="66">
        <f t="shared" si="1"/>
        <v>0</v>
      </c>
      <c r="P107" s="66">
        <f t="shared" si="1"/>
        <v>1.6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22.674270833333338</v>
      </c>
      <c r="C108" s="67">
        <f t="shared" ref="C108:Q108" si="2">AVERAGE(C9:C104)</f>
        <v>61.074166666666684</v>
      </c>
      <c r="D108" s="67">
        <f t="shared" si="2"/>
        <v>48.716145833333343</v>
      </c>
      <c r="E108" s="67">
        <f t="shared" si="2"/>
        <v>6.9370833333333337</v>
      </c>
      <c r="F108" s="67">
        <f t="shared" si="2"/>
        <v>2.130416666666664</v>
      </c>
      <c r="G108" s="67">
        <f t="shared" si="2"/>
        <v>107.95937500000002</v>
      </c>
      <c r="H108" s="67">
        <f t="shared" si="2"/>
        <v>39.995729166666663</v>
      </c>
      <c r="I108" s="67" t="e">
        <f t="shared" si="2"/>
        <v>#DIV/0!</v>
      </c>
      <c r="J108" s="67">
        <f t="shared" si="2"/>
        <v>1.8608333333333331</v>
      </c>
      <c r="K108" s="67">
        <f t="shared" si="2"/>
        <v>309.23291666666677</v>
      </c>
      <c r="L108" s="67">
        <f t="shared" si="2"/>
        <v>17.77010416666667</v>
      </c>
      <c r="M108" s="67">
        <f t="shared" si="2"/>
        <v>60.751041666666652</v>
      </c>
      <c r="N108" s="67">
        <f t="shared" si="2"/>
        <v>201.58958333333337</v>
      </c>
      <c r="O108" s="67">
        <f t="shared" si="2"/>
        <v>0</v>
      </c>
      <c r="P108" s="67">
        <f t="shared" si="2"/>
        <v>1.0662499999999999</v>
      </c>
      <c r="Q108" s="67">
        <f t="shared" si="2"/>
        <v>8.3321875000000087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15.034199241434175</v>
      </c>
      <c r="C109" s="67">
        <f t="shared" ref="C109:Q109" si="3">STDEV(C9:C104)</f>
        <v>6.9211090785502121</v>
      </c>
      <c r="D109" s="67">
        <f t="shared" si="3"/>
        <v>12.410719082588615</v>
      </c>
      <c r="E109" s="67">
        <f t="shared" si="3"/>
        <v>1.1092974701102396</v>
      </c>
      <c r="F109" s="67">
        <f t="shared" si="3"/>
        <v>3.2172779166529408E-3</v>
      </c>
      <c r="G109" s="67">
        <f t="shared" si="3"/>
        <v>63.19098079901984</v>
      </c>
      <c r="H109" s="67">
        <f t="shared" si="3"/>
        <v>13.957462500853008</v>
      </c>
      <c r="I109" s="67" t="e">
        <f t="shared" si="3"/>
        <v>#DIV/0!</v>
      </c>
      <c r="J109" s="67">
        <f t="shared" si="3"/>
        <v>0.79157094527496952</v>
      </c>
      <c r="K109" s="67">
        <f t="shared" si="3"/>
        <v>51.797160538242906</v>
      </c>
      <c r="L109" s="67">
        <f t="shared" si="3"/>
        <v>5.9179848090005516</v>
      </c>
      <c r="M109" s="67">
        <f t="shared" si="3"/>
        <v>26.414493807643506</v>
      </c>
      <c r="N109" s="67">
        <f t="shared" si="3"/>
        <v>196.04575324152037</v>
      </c>
      <c r="O109" s="67">
        <f t="shared" si="3"/>
        <v>0</v>
      </c>
      <c r="P109" s="67">
        <f t="shared" si="3"/>
        <v>0.24039112865670012</v>
      </c>
      <c r="Q109" s="67">
        <f t="shared" si="3"/>
        <v>0.34930669113786478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916</v>
      </c>
      <c r="B9" s="64">
        <v>17.88</v>
      </c>
      <c r="C9" s="64">
        <v>55.23</v>
      </c>
      <c r="D9" s="64">
        <v>41.82</v>
      </c>
      <c r="E9" s="64">
        <v>6.32</v>
      </c>
      <c r="F9" s="64">
        <v>2.13</v>
      </c>
      <c r="G9" s="64">
        <v>92.39</v>
      </c>
      <c r="H9" s="64">
        <v>28.32</v>
      </c>
      <c r="I9" s="210" t="s">
        <v>43</v>
      </c>
      <c r="J9" s="64">
        <v>2.57</v>
      </c>
      <c r="K9" s="64">
        <v>338.76</v>
      </c>
      <c r="L9" s="64">
        <v>12.86</v>
      </c>
      <c r="M9" s="64">
        <v>57.21</v>
      </c>
      <c r="N9" s="64">
        <v>55.2</v>
      </c>
      <c r="O9" s="64">
        <v>0</v>
      </c>
      <c r="P9" s="64">
        <v>0.77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917</v>
      </c>
      <c r="B10" s="64">
        <v>17.05</v>
      </c>
      <c r="C10" s="64">
        <v>54.23</v>
      </c>
      <c r="D10" s="64">
        <v>40.630000000000003</v>
      </c>
      <c r="E10" s="64">
        <v>6.61</v>
      </c>
      <c r="F10" s="64">
        <v>2.13</v>
      </c>
      <c r="G10" s="64">
        <v>92.39</v>
      </c>
      <c r="H10" s="64">
        <v>28.32</v>
      </c>
      <c r="I10" s="210" t="s">
        <v>43</v>
      </c>
      <c r="J10" s="64">
        <v>2.68</v>
      </c>
      <c r="K10" s="64">
        <v>336.01</v>
      </c>
      <c r="L10" s="64">
        <v>12.65</v>
      </c>
      <c r="M10" s="64">
        <v>58.03</v>
      </c>
      <c r="N10" s="64">
        <v>55.2</v>
      </c>
      <c r="O10" s="64">
        <v>0</v>
      </c>
      <c r="P10" s="64">
        <v>0.76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918</v>
      </c>
      <c r="B11" s="64">
        <v>16.190000000000001</v>
      </c>
      <c r="C11" s="64">
        <v>53.77</v>
      </c>
      <c r="D11" s="64">
        <v>39.700000000000003</v>
      </c>
      <c r="E11" s="64">
        <v>6.37</v>
      </c>
      <c r="F11" s="64">
        <v>2.13</v>
      </c>
      <c r="G11" s="64">
        <v>93.9</v>
      </c>
      <c r="H11" s="64">
        <v>28.81</v>
      </c>
      <c r="I11" s="210" t="s">
        <v>43</v>
      </c>
      <c r="J11" s="64">
        <v>2.17</v>
      </c>
      <c r="K11" s="64">
        <v>343.16</v>
      </c>
      <c r="L11" s="64">
        <v>12.33</v>
      </c>
      <c r="M11" s="64">
        <v>60.23</v>
      </c>
      <c r="N11" s="64">
        <v>55.4</v>
      </c>
      <c r="O11" s="64">
        <v>0</v>
      </c>
      <c r="P11" s="64">
        <v>0.74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919</v>
      </c>
      <c r="B12" s="64">
        <v>15.8</v>
      </c>
      <c r="C12" s="64">
        <v>53.35</v>
      </c>
      <c r="D12" s="64">
        <v>39.159999999999997</v>
      </c>
      <c r="E12" s="64">
        <v>6.37</v>
      </c>
      <c r="F12" s="64">
        <v>2.13</v>
      </c>
      <c r="G12" s="64">
        <v>94.54</v>
      </c>
      <c r="H12" s="64">
        <v>29.02</v>
      </c>
      <c r="I12" s="210" t="s">
        <v>43</v>
      </c>
      <c r="J12" s="64">
        <v>1.97</v>
      </c>
      <c r="K12" s="64">
        <v>352.94</v>
      </c>
      <c r="L12" s="64">
        <v>12.14</v>
      </c>
      <c r="M12" s="64">
        <v>61.48</v>
      </c>
      <c r="N12" s="64">
        <v>55.2</v>
      </c>
      <c r="O12" s="64">
        <v>0</v>
      </c>
      <c r="P12" s="64">
        <v>0.73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920</v>
      </c>
      <c r="B13" s="64">
        <v>15.43</v>
      </c>
      <c r="C13" s="64">
        <v>52.55</v>
      </c>
      <c r="D13" s="64">
        <v>38.450000000000003</v>
      </c>
      <c r="E13" s="64">
        <v>6.42</v>
      </c>
      <c r="F13" s="64">
        <v>2.13</v>
      </c>
      <c r="G13" s="64">
        <v>94.54</v>
      </c>
      <c r="H13" s="64">
        <v>29.02</v>
      </c>
      <c r="I13" s="210" t="s">
        <v>43</v>
      </c>
      <c r="J13" s="64">
        <v>2.37</v>
      </c>
      <c r="K13" s="64">
        <v>349.82</v>
      </c>
      <c r="L13" s="64">
        <v>12.14</v>
      </c>
      <c r="M13" s="64">
        <v>60.87</v>
      </c>
      <c r="N13" s="64">
        <v>54.9</v>
      </c>
      <c r="O13" s="64">
        <v>0</v>
      </c>
      <c r="P13" s="64">
        <v>0.71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921</v>
      </c>
      <c r="B14" s="64">
        <v>14.7</v>
      </c>
      <c r="C14" s="64">
        <v>52.04</v>
      </c>
      <c r="D14" s="64">
        <v>37.6</v>
      </c>
      <c r="E14" s="64">
        <v>6.58</v>
      </c>
      <c r="F14" s="64">
        <v>2.13</v>
      </c>
      <c r="G14" s="64">
        <v>94.54</v>
      </c>
      <c r="H14" s="64">
        <v>29.02</v>
      </c>
      <c r="I14" s="210" t="s">
        <v>43</v>
      </c>
      <c r="J14" s="64">
        <v>1.81</v>
      </c>
      <c r="K14" s="64">
        <v>350.69</v>
      </c>
      <c r="L14" s="64">
        <v>12.09</v>
      </c>
      <c r="M14" s="64">
        <v>61.21</v>
      </c>
      <c r="N14" s="64">
        <v>55.5</v>
      </c>
      <c r="O14" s="64">
        <v>0</v>
      </c>
      <c r="P14" s="64">
        <v>0.73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922</v>
      </c>
      <c r="B15" s="64">
        <v>14.1</v>
      </c>
      <c r="C15" s="64">
        <v>51.59</v>
      </c>
      <c r="D15" s="64">
        <v>36.880000000000003</v>
      </c>
      <c r="E15" s="64">
        <v>6.42</v>
      </c>
      <c r="F15" s="64">
        <v>2.13</v>
      </c>
      <c r="G15" s="64">
        <v>93</v>
      </c>
      <c r="H15" s="64">
        <v>30.01</v>
      </c>
      <c r="I15" s="210" t="s">
        <v>43</v>
      </c>
      <c r="J15" s="64">
        <v>1.51</v>
      </c>
      <c r="K15" s="64">
        <v>343.24</v>
      </c>
      <c r="L15" s="64">
        <v>11.96</v>
      </c>
      <c r="M15" s="64">
        <v>62.68</v>
      </c>
      <c r="N15" s="64">
        <v>55.4</v>
      </c>
      <c r="O15" s="64">
        <v>0</v>
      </c>
      <c r="P15" s="64">
        <v>0.73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923</v>
      </c>
      <c r="B16" s="64">
        <v>13.77</v>
      </c>
      <c r="C16" s="64">
        <v>51.68</v>
      </c>
      <c r="D16" s="64">
        <v>36.67</v>
      </c>
      <c r="E16" s="64">
        <v>6.38</v>
      </c>
      <c r="F16" s="64">
        <v>2.13</v>
      </c>
      <c r="G16" s="64">
        <v>92.3</v>
      </c>
      <c r="H16" s="64">
        <v>30.43</v>
      </c>
      <c r="I16" s="210" t="s">
        <v>43</v>
      </c>
      <c r="J16" s="64">
        <v>2</v>
      </c>
      <c r="K16" s="64">
        <v>348.6</v>
      </c>
      <c r="L16" s="64">
        <v>11.77</v>
      </c>
      <c r="M16" s="64">
        <v>63.36</v>
      </c>
      <c r="N16" s="64">
        <v>55.2</v>
      </c>
      <c r="O16" s="64">
        <v>0</v>
      </c>
      <c r="P16" s="64">
        <v>0.74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924</v>
      </c>
      <c r="B17" s="64">
        <v>13.3</v>
      </c>
      <c r="C17" s="64">
        <v>51.68</v>
      </c>
      <c r="D17" s="64">
        <v>36.29</v>
      </c>
      <c r="E17" s="64">
        <v>6.21</v>
      </c>
      <c r="F17" s="64">
        <v>2.13</v>
      </c>
      <c r="G17" s="64">
        <v>92.3</v>
      </c>
      <c r="H17" s="64">
        <v>30.43</v>
      </c>
      <c r="I17" s="210" t="s">
        <v>43</v>
      </c>
      <c r="J17" s="64">
        <v>1.62</v>
      </c>
      <c r="K17" s="64">
        <v>348.16</v>
      </c>
      <c r="L17" s="64">
        <v>11.61</v>
      </c>
      <c r="M17" s="64">
        <v>64.08</v>
      </c>
      <c r="N17" s="64">
        <v>55.5</v>
      </c>
      <c r="O17" s="64">
        <v>0</v>
      </c>
      <c r="P17" s="64">
        <v>0.75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925</v>
      </c>
      <c r="B18" s="64">
        <v>12.59</v>
      </c>
      <c r="C18" s="64">
        <v>51.46</v>
      </c>
      <c r="D18" s="64">
        <v>35.6</v>
      </c>
      <c r="E18" s="64">
        <v>6.19</v>
      </c>
      <c r="F18" s="64">
        <v>2.13</v>
      </c>
      <c r="G18" s="64">
        <v>92.3</v>
      </c>
      <c r="H18" s="64">
        <v>30.43</v>
      </c>
      <c r="I18" s="210" t="s">
        <v>43</v>
      </c>
      <c r="J18" s="64">
        <v>0.85</v>
      </c>
      <c r="K18" s="64">
        <v>25.64</v>
      </c>
      <c r="L18" s="64">
        <v>11.26</v>
      </c>
      <c r="M18" s="64">
        <v>66.31</v>
      </c>
      <c r="N18" s="64">
        <v>55.7</v>
      </c>
      <c r="O18" s="64">
        <v>0</v>
      </c>
      <c r="P18" s="64">
        <v>0.74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926</v>
      </c>
      <c r="B19" s="64">
        <v>11.97</v>
      </c>
      <c r="C19" s="64">
        <v>51.29</v>
      </c>
      <c r="D19" s="64">
        <v>35.020000000000003</v>
      </c>
      <c r="E19" s="64">
        <v>5.75</v>
      </c>
      <c r="F19" s="64">
        <v>2.13</v>
      </c>
      <c r="G19" s="64">
        <v>83.18</v>
      </c>
      <c r="H19" s="64">
        <v>27.88</v>
      </c>
      <c r="I19" s="210" t="s">
        <v>43</v>
      </c>
      <c r="J19" s="64">
        <v>0.51</v>
      </c>
      <c r="K19" s="64">
        <v>38.159999999999997</v>
      </c>
      <c r="L19" s="64">
        <v>10.87</v>
      </c>
      <c r="M19" s="64">
        <v>68.86</v>
      </c>
      <c r="N19" s="64">
        <v>55.6</v>
      </c>
      <c r="O19" s="64">
        <v>0</v>
      </c>
      <c r="P19" s="64">
        <v>0.74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927</v>
      </c>
      <c r="B20" s="64">
        <v>11.61</v>
      </c>
      <c r="C20" s="64">
        <v>50.77</v>
      </c>
      <c r="D20" s="64">
        <v>34.46</v>
      </c>
      <c r="E20" s="64">
        <v>5.47</v>
      </c>
      <c r="F20" s="64">
        <v>2.13</v>
      </c>
      <c r="G20" s="64">
        <v>79.27</v>
      </c>
      <c r="H20" s="64">
        <v>26.79</v>
      </c>
      <c r="I20" s="210" t="s">
        <v>43</v>
      </c>
      <c r="J20" s="64">
        <v>0.9</v>
      </c>
      <c r="K20" s="64">
        <v>33.36</v>
      </c>
      <c r="L20" s="64">
        <v>10.73</v>
      </c>
      <c r="M20" s="64">
        <v>70.150000000000006</v>
      </c>
      <c r="N20" s="64">
        <v>55.4</v>
      </c>
      <c r="O20" s="64">
        <v>0</v>
      </c>
      <c r="P20" s="64">
        <v>0.73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928</v>
      </c>
      <c r="B21" s="64">
        <v>11.37</v>
      </c>
      <c r="C21" s="64">
        <v>49.49</v>
      </c>
      <c r="D21" s="64">
        <v>33.6</v>
      </c>
      <c r="E21" s="64">
        <v>5.66</v>
      </c>
      <c r="F21" s="64">
        <v>2.13</v>
      </c>
      <c r="G21" s="64">
        <v>79.27</v>
      </c>
      <c r="H21" s="64">
        <v>26.79</v>
      </c>
      <c r="I21" s="210" t="s">
        <v>43</v>
      </c>
      <c r="J21" s="64">
        <v>0.63</v>
      </c>
      <c r="K21" s="64">
        <v>33.72</v>
      </c>
      <c r="L21" s="64">
        <v>10.56</v>
      </c>
      <c r="M21" s="64">
        <v>70.72</v>
      </c>
      <c r="N21" s="64">
        <v>55.3</v>
      </c>
      <c r="O21" s="64">
        <v>0</v>
      </c>
      <c r="P21" s="64">
        <v>0.74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929</v>
      </c>
      <c r="B22" s="64">
        <v>11.38</v>
      </c>
      <c r="C22" s="64">
        <v>49.38</v>
      </c>
      <c r="D22" s="64">
        <v>33.549999999999997</v>
      </c>
      <c r="E22" s="64">
        <v>5.38</v>
      </c>
      <c r="F22" s="64">
        <v>2.13</v>
      </c>
      <c r="G22" s="64">
        <v>79.27</v>
      </c>
      <c r="H22" s="64">
        <v>26.79</v>
      </c>
      <c r="I22" s="210" t="s">
        <v>43</v>
      </c>
      <c r="J22" s="64">
        <v>1.1599999999999999</v>
      </c>
      <c r="K22" s="64">
        <v>55.46</v>
      </c>
      <c r="L22" s="64">
        <v>10.42</v>
      </c>
      <c r="M22" s="64">
        <v>72</v>
      </c>
      <c r="N22" s="64">
        <v>55.4</v>
      </c>
      <c r="O22" s="64">
        <v>0</v>
      </c>
      <c r="P22" s="64">
        <v>0.75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930</v>
      </c>
      <c r="B23" s="64">
        <v>11.59</v>
      </c>
      <c r="C23" s="64">
        <v>49.43</v>
      </c>
      <c r="D23" s="64">
        <v>33.75</v>
      </c>
      <c r="E23" s="64">
        <v>5.63</v>
      </c>
      <c r="F23" s="64">
        <v>2.13</v>
      </c>
      <c r="G23" s="64">
        <v>79.010000000000005</v>
      </c>
      <c r="H23" s="64">
        <v>27.82</v>
      </c>
      <c r="I23" s="210" t="s">
        <v>43</v>
      </c>
      <c r="J23" s="64">
        <v>0.96</v>
      </c>
      <c r="K23" s="64">
        <v>118.3</v>
      </c>
      <c r="L23" s="64">
        <v>10.06</v>
      </c>
      <c r="M23" s="64">
        <v>75.67</v>
      </c>
      <c r="N23" s="64">
        <v>55.5</v>
      </c>
      <c r="O23" s="64">
        <v>0</v>
      </c>
      <c r="P23" s="64">
        <v>0.76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931</v>
      </c>
      <c r="B24" s="64">
        <v>11.83</v>
      </c>
      <c r="C24" s="64">
        <v>49.13</v>
      </c>
      <c r="D24" s="64">
        <v>33.78</v>
      </c>
      <c r="E24" s="64">
        <v>5.78</v>
      </c>
      <c r="F24" s="64">
        <v>2.13</v>
      </c>
      <c r="G24" s="64">
        <v>78.900000000000006</v>
      </c>
      <c r="H24" s="64">
        <v>28.26</v>
      </c>
      <c r="I24" s="210" t="s">
        <v>43</v>
      </c>
      <c r="J24" s="64">
        <v>1.01</v>
      </c>
      <c r="K24" s="64">
        <v>102.99</v>
      </c>
      <c r="L24" s="64">
        <v>9.9499999999999993</v>
      </c>
      <c r="M24" s="64">
        <v>76.55</v>
      </c>
      <c r="N24" s="64">
        <v>55.1</v>
      </c>
      <c r="O24" s="64">
        <v>0</v>
      </c>
      <c r="P24" s="64">
        <v>0.79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932</v>
      </c>
      <c r="B25" s="64">
        <v>11.85</v>
      </c>
      <c r="C25" s="64">
        <v>48.44</v>
      </c>
      <c r="D25" s="64">
        <v>33.43</v>
      </c>
      <c r="E25" s="64">
        <v>5.81</v>
      </c>
      <c r="F25" s="64">
        <v>2.13</v>
      </c>
      <c r="G25" s="64">
        <v>78.900000000000006</v>
      </c>
      <c r="H25" s="64">
        <v>28.26</v>
      </c>
      <c r="I25" s="210" t="s">
        <v>43</v>
      </c>
      <c r="J25" s="64">
        <v>0.76</v>
      </c>
      <c r="K25" s="64">
        <v>61.61</v>
      </c>
      <c r="L25" s="64">
        <v>9.83</v>
      </c>
      <c r="M25" s="64">
        <v>77.44</v>
      </c>
      <c r="N25" s="64">
        <v>55.2</v>
      </c>
      <c r="O25" s="64">
        <v>0</v>
      </c>
      <c r="P25" s="64">
        <v>0.78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933</v>
      </c>
      <c r="B26" s="64">
        <v>11.73</v>
      </c>
      <c r="C26" s="64">
        <v>47.68</v>
      </c>
      <c r="D26" s="64">
        <v>32.950000000000003</v>
      </c>
      <c r="E26" s="64">
        <v>5.48</v>
      </c>
      <c r="F26" s="64">
        <v>2.13</v>
      </c>
      <c r="G26" s="64">
        <v>78.900000000000006</v>
      </c>
      <c r="H26" s="64">
        <v>28.26</v>
      </c>
      <c r="I26" s="210" t="s">
        <v>43</v>
      </c>
      <c r="J26" s="64">
        <v>0.94</v>
      </c>
      <c r="K26" s="64">
        <v>61.18</v>
      </c>
      <c r="L26" s="64">
        <v>9.7200000000000006</v>
      </c>
      <c r="M26" s="64">
        <v>77.849999999999994</v>
      </c>
      <c r="N26" s="64">
        <v>55.2</v>
      </c>
      <c r="O26" s="64">
        <v>0</v>
      </c>
      <c r="P26" s="64">
        <v>0.77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934</v>
      </c>
      <c r="B27" s="64">
        <v>11.62</v>
      </c>
      <c r="C27" s="64">
        <v>46.94</v>
      </c>
      <c r="D27" s="64">
        <v>32.47</v>
      </c>
      <c r="E27" s="64">
        <v>6.21</v>
      </c>
      <c r="F27" s="64">
        <v>2.13</v>
      </c>
      <c r="G27" s="64">
        <v>79.02</v>
      </c>
      <c r="H27" s="64">
        <v>29.74</v>
      </c>
      <c r="I27" s="210" t="s">
        <v>43</v>
      </c>
      <c r="J27" s="64">
        <v>0.99</v>
      </c>
      <c r="K27" s="64">
        <v>105.45</v>
      </c>
      <c r="L27" s="64">
        <v>9.7100000000000009</v>
      </c>
      <c r="M27" s="64">
        <v>78.23</v>
      </c>
      <c r="N27" s="64">
        <v>55</v>
      </c>
      <c r="O27" s="64">
        <v>0</v>
      </c>
      <c r="P27" s="64">
        <v>0.76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935</v>
      </c>
      <c r="B28" s="64">
        <v>11.53</v>
      </c>
      <c r="C28" s="64">
        <v>46</v>
      </c>
      <c r="D28" s="64">
        <v>31.9</v>
      </c>
      <c r="E28" s="64">
        <v>5.47</v>
      </c>
      <c r="F28" s="64">
        <v>2.13</v>
      </c>
      <c r="G28" s="64">
        <v>79.069999999999993</v>
      </c>
      <c r="H28" s="64">
        <v>30.38</v>
      </c>
      <c r="I28" s="210" t="s">
        <v>43</v>
      </c>
      <c r="J28" s="64">
        <v>0.86</v>
      </c>
      <c r="K28" s="64">
        <v>20.72</v>
      </c>
      <c r="L28" s="64">
        <v>9.6300000000000008</v>
      </c>
      <c r="M28" s="64">
        <v>78.03</v>
      </c>
      <c r="N28" s="64">
        <v>55.2</v>
      </c>
      <c r="O28" s="64">
        <v>0</v>
      </c>
      <c r="P28" s="64">
        <v>0.75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936</v>
      </c>
      <c r="B29" s="64">
        <v>11.26</v>
      </c>
      <c r="C29" s="64">
        <v>45.2</v>
      </c>
      <c r="D29" s="64">
        <v>31.27</v>
      </c>
      <c r="E29" s="64">
        <v>5.73</v>
      </c>
      <c r="F29" s="64">
        <v>2.13</v>
      </c>
      <c r="G29" s="64">
        <v>79.069999999999993</v>
      </c>
      <c r="H29" s="64">
        <v>30.38</v>
      </c>
      <c r="I29" s="210" t="s">
        <v>43</v>
      </c>
      <c r="J29" s="64">
        <v>0.74</v>
      </c>
      <c r="K29" s="64">
        <v>17.66</v>
      </c>
      <c r="L29" s="64">
        <v>9.52</v>
      </c>
      <c r="M29" s="64">
        <v>78.680000000000007</v>
      </c>
      <c r="N29" s="64">
        <v>55.2</v>
      </c>
      <c r="O29" s="64">
        <v>0</v>
      </c>
      <c r="P29" s="64">
        <v>0.74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937</v>
      </c>
      <c r="B30" s="64">
        <v>10.97</v>
      </c>
      <c r="C30" s="64">
        <v>45.8</v>
      </c>
      <c r="D30" s="64">
        <v>31.35</v>
      </c>
      <c r="E30" s="64">
        <v>5.32</v>
      </c>
      <c r="F30" s="64">
        <v>2.13</v>
      </c>
      <c r="G30" s="64">
        <v>79.069999999999993</v>
      </c>
      <c r="H30" s="64">
        <v>30.38</v>
      </c>
      <c r="I30" s="210" t="s">
        <v>43</v>
      </c>
      <c r="J30" s="64">
        <v>0.74</v>
      </c>
      <c r="K30" s="64">
        <v>68.739999999999995</v>
      </c>
      <c r="L30" s="64">
        <v>9.4</v>
      </c>
      <c r="M30" s="64">
        <v>79.03</v>
      </c>
      <c r="N30" s="64">
        <v>55.3</v>
      </c>
      <c r="O30" s="64">
        <v>0</v>
      </c>
      <c r="P30" s="64">
        <v>0.72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938</v>
      </c>
      <c r="B31" s="64">
        <v>10.8</v>
      </c>
      <c r="C31" s="64">
        <v>46.38</v>
      </c>
      <c r="D31" s="64">
        <v>31.52</v>
      </c>
      <c r="E31" s="64">
        <v>5.44</v>
      </c>
      <c r="F31" s="64">
        <v>2.13</v>
      </c>
      <c r="G31" s="64">
        <v>66.39</v>
      </c>
      <c r="H31" s="64">
        <v>28.45</v>
      </c>
      <c r="I31" s="210" t="s">
        <v>43</v>
      </c>
      <c r="J31" s="64">
        <v>1.1000000000000001</v>
      </c>
      <c r="K31" s="64">
        <v>51.34</v>
      </c>
      <c r="L31" s="64">
        <v>9.2200000000000006</v>
      </c>
      <c r="M31" s="64">
        <v>80.33</v>
      </c>
      <c r="N31" s="64">
        <v>55.5</v>
      </c>
      <c r="O31" s="64">
        <v>0</v>
      </c>
      <c r="P31" s="64">
        <v>0.71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939</v>
      </c>
      <c r="B32" s="64">
        <v>11.33</v>
      </c>
      <c r="C32" s="64">
        <v>47.17</v>
      </c>
      <c r="D32" s="64">
        <v>32.35</v>
      </c>
      <c r="E32" s="64">
        <v>5.17</v>
      </c>
      <c r="F32" s="64">
        <v>2.13</v>
      </c>
      <c r="G32" s="64">
        <v>60.95</v>
      </c>
      <c r="H32" s="64">
        <v>27.62</v>
      </c>
      <c r="I32" s="210" t="s">
        <v>43</v>
      </c>
      <c r="J32" s="64">
        <v>0.6</v>
      </c>
      <c r="K32" s="64">
        <v>39.659999999999997</v>
      </c>
      <c r="L32" s="64">
        <v>9.1199999999999992</v>
      </c>
      <c r="M32" s="64">
        <v>81.72</v>
      </c>
      <c r="N32" s="64">
        <v>55.5</v>
      </c>
      <c r="O32" s="64">
        <v>0</v>
      </c>
      <c r="P32" s="64">
        <v>0.7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940</v>
      </c>
      <c r="B33" s="64">
        <v>12.05</v>
      </c>
      <c r="C33" s="64">
        <v>47.93</v>
      </c>
      <c r="D33" s="64">
        <v>33.33</v>
      </c>
      <c r="E33" s="64">
        <v>5.41</v>
      </c>
      <c r="F33" s="64">
        <v>2.13</v>
      </c>
      <c r="G33" s="64">
        <v>60.95</v>
      </c>
      <c r="H33" s="64">
        <v>27.62</v>
      </c>
      <c r="I33" s="210" t="s">
        <v>43</v>
      </c>
      <c r="J33" s="64">
        <v>0.65</v>
      </c>
      <c r="K33" s="64">
        <v>99.39</v>
      </c>
      <c r="L33" s="64">
        <v>9.1300000000000008</v>
      </c>
      <c r="M33" s="64">
        <v>79.87</v>
      </c>
      <c r="N33" s="64">
        <v>55</v>
      </c>
      <c r="O33" s="64">
        <v>0</v>
      </c>
      <c r="P33" s="64">
        <v>0.7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941</v>
      </c>
      <c r="B34" s="64">
        <v>11.99</v>
      </c>
      <c r="C34" s="64">
        <v>48.45</v>
      </c>
      <c r="D34" s="64">
        <v>33.549999999999997</v>
      </c>
      <c r="E34" s="64">
        <v>5.55</v>
      </c>
      <c r="F34" s="64">
        <v>2.13</v>
      </c>
      <c r="G34" s="64">
        <v>60.95</v>
      </c>
      <c r="H34" s="64">
        <v>27.62</v>
      </c>
      <c r="I34" s="210" t="s">
        <v>43</v>
      </c>
      <c r="J34" s="64">
        <v>0.89</v>
      </c>
      <c r="K34" s="64">
        <v>41.71</v>
      </c>
      <c r="L34" s="64">
        <v>9.15</v>
      </c>
      <c r="M34" s="64">
        <v>77.88</v>
      </c>
      <c r="N34" s="64">
        <v>55.6</v>
      </c>
      <c r="O34" s="64">
        <v>0</v>
      </c>
      <c r="P34" s="64">
        <v>0.69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942</v>
      </c>
      <c r="B35" s="64">
        <v>11.81</v>
      </c>
      <c r="C35" s="64">
        <v>48.94</v>
      </c>
      <c r="D35" s="64">
        <v>33.659999999999997</v>
      </c>
      <c r="E35" s="64">
        <v>5.68</v>
      </c>
      <c r="F35" s="64">
        <v>2.13</v>
      </c>
      <c r="G35" s="64">
        <v>59.47</v>
      </c>
      <c r="H35" s="64">
        <v>27.38</v>
      </c>
      <c r="I35" s="210" t="s">
        <v>43</v>
      </c>
      <c r="J35" s="64">
        <v>0.93</v>
      </c>
      <c r="K35" s="64">
        <v>20.82</v>
      </c>
      <c r="L35" s="64">
        <v>9.0399999999999991</v>
      </c>
      <c r="M35" s="64">
        <v>78.89</v>
      </c>
      <c r="N35" s="64">
        <v>57.6</v>
      </c>
      <c r="O35" s="64">
        <v>0</v>
      </c>
      <c r="P35" s="64">
        <v>0.67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943</v>
      </c>
      <c r="B36" s="64">
        <v>12.63</v>
      </c>
      <c r="C36" s="64">
        <v>49.92</v>
      </c>
      <c r="D36" s="64">
        <v>34.83</v>
      </c>
      <c r="E36" s="64">
        <v>5.47</v>
      </c>
      <c r="F36" s="64">
        <v>2.13</v>
      </c>
      <c r="G36" s="64">
        <v>58.84</v>
      </c>
      <c r="H36" s="64">
        <v>27.28</v>
      </c>
      <c r="I36" s="210" t="s">
        <v>43</v>
      </c>
      <c r="J36" s="64">
        <v>0.73</v>
      </c>
      <c r="K36" s="64">
        <v>334.07</v>
      </c>
      <c r="L36" s="64">
        <v>9</v>
      </c>
      <c r="M36" s="64">
        <v>79.930000000000007</v>
      </c>
      <c r="N36" s="64">
        <v>65</v>
      </c>
      <c r="O36" s="64">
        <v>0</v>
      </c>
      <c r="P36" s="64">
        <v>0.67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944</v>
      </c>
      <c r="B37" s="64">
        <v>14.53</v>
      </c>
      <c r="C37" s="64">
        <v>50.84</v>
      </c>
      <c r="D37" s="64">
        <v>36.840000000000003</v>
      </c>
      <c r="E37" s="64">
        <v>5.51</v>
      </c>
      <c r="F37" s="64">
        <v>2.13</v>
      </c>
      <c r="G37" s="64">
        <v>58.84</v>
      </c>
      <c r="H37" s="64">
        <v>27.28</v>
      </c>
      <c r="I37" s="210" t="s">
        <v>43</v>
      </c>
      <c r="J37" s="64">
        <v>0.77</v>
      </c>
      <c r="K37" s="64">
        <v>296.49</v>
      </c>
      <c r="L37" s="64">
        <v>8.9600000000000009</v>
      </c>
      <c r="M37" s="64">
        <v>80.33</v>
      </c>
      <c r="N37" s="64">
        <v>77.7</v>
      </c>
      <c r="O37" s="64">
        <v>0</v>
      </c>
      <c r="P37" s="64">
        <v>0.65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945</v>
      </c>
      <c r="B38" s="64">
        <v>16.239999999999998</v>
      </c>
      <c r="C38" s="64">
        <v>51.22</v>
      </c>
      <c r="D38" s="64">
        <v>38.409999999999997</v>
      </c>
      <c r="E38" s="64">
        <v>5.72</v>
      </c>
      <c r="F38" s="64">
        <v>2.13</v>
      </c>
      <c r="G38" s="64">
        <v>58.84</v>
      </c>
      <c r="H38" s="64">
        <v>27.28</v>
      </c>
      <c r="I38" s="210" t="s">
        <v>43</v>
      </c>
      <c r="J38" s="64">
        <v>0.15</v>
      </c>
      <c r="K38" s="64">
        <v>63.6</v>
      </c>
      <c r="L38" s="64">
        <v>9.64</v>
      </c>
      <c r="M38" s="64">
        <v>73.510000000000005</v>
      </c>
      <c r="N38" s="64">
        <v>91.6</v>
      </c>
      <c r="O38" s="64">
        <v>0</v>
      </c>
      <c r="P38" s="64">
        <v>0.69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946</v>
      </c>
      <c r="B39" s="64">
        <v>17.3</v>
      </c>
      <c r="C39" s="64">
        <v>52.58</v>
      </c>
      <c r="D39" s="64">
        <v>39.97</v>
      </c>
      <c r="E39" s="64">
        <v>5.24</v>
      </c>
      <c r="F39" s="64">
        <v>2.13</v>
      </c>
      <c r="G39" s="64">
        <v>65.430000000000007</v>
      </c>
      <c r="H39" s="64">
        <v>27.62</v>
      </c>
      <c r="I39" s="210" t="s">
        <v>43</v>
      </c>
      <c r="J39" s="64">
        <v>0.54</v>
      </c>
      <c r="K39" s="64">
        <v>18.07</v>
      </c>
      <c r="L39" s="64">
        <v>10.29</v>
      </c>
      <c r="M39" s="64">
        <v>69.75</v>
      </c>
      <c r="N39" s="64">
        <v>109.1</v>
      </c>
      <c r="O39" s="64">
        <v>0</v>
      </c>
      <c r="P39" s="64">
        <v>0.69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947</v>
      </c>
      <c r="B40" s="64">
        <v>17.82</v>
      </c>
      <c r="C40" s="64">
        <v>52.64</v>
      </c>
      <c r="D40" s="64">
        <v>40.42</v>
      </c>
      <c r="E40" s="64">
        <v>5.16</v>
      </c>
      <c r="F40" s="64">
        <v>2.13</v>
      </c>
      <c r="G40" s="64">
        <v>68.25</v>
      </c>
      <c r="H40" s="64">
        <v>27.76</v>
      </c>
      <c r="I40" s="210" t="s">
        <v>43</v>
      </c>
      <c r="J40" s="64">
        <v>0.57999999999999996</v>
      </c>
      <c r="K40" s="64">
        <v>22.84</v>
      </c>
      <c r="L40" s="64">
        <v>11.15</v>
      </c>
      <c r="M40" s="64">
        <v>66.08</v>
      </c>
      <c r="N40" s="64">
        <v>186.7</v>
      </c>
      <c r="O40" s="64">
        <v>0</v>
      </c>
      <c r="P40" s="64">
        <v>0.68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948</v>
      </c>
      <c r="B41" s="64">
        <v>18.510000000000002</v>
      </c>
      <c r="C41" s="64">
        <v>53.01</v>
      </c>
      <c r="D41" s="64">
        <v>41.16</v>
      </c>
      <c r="E41" s="64">
        <v>5.86</v>
      </c>
      <c r="F41" s="64">
        <v>2.13</v>
      </c>
      <c r="G41" s="64">
        <v>68.25</v>
      </c>
      <c r="H41" s="64">
        <v>27.76</v>
      </c>
      <c r="I41" s="210" t="s">
        <v>43</v>
      </c>
      <c r="J41" s="64">
        <v>2.09</v>
      </c>
      <c r="K41" s="64">
        <v>346.9</v>
      </c>
      <c r="L41" s="64">
        <v>13.92</v>
      </c>
      <c r="M41" s="64">
        <v>54.97</v>
      </c>
      <c r="N41" s="64">
        <v>276.5</v>
      </c>
      <c r="O41" s="64">
        <v>0</v>
      </c>
      <c r="P41" s="64">
        <v>0.69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949</v>
      </c>
      <c r="B42" s="64">
        <v>18.72</v>
      </c>
      <c r="C42" s="64">
        <v>53.72</v>
      </c>
      <c r="D42" s="64">
        <v>41.7</v>
      </c>
      <c r="E42" s="64">
        <v>5.67</v>
      </c>
      <c r="F42" s="64">
        <v>2.13</v>
      </c>
      <c r="G42" s="64">
        <v>68.25</v>
      </c>
      <c r="H42" s="64">
        <v>27.76</v>
      </c>
      <c r="I42" s="210" t="s">
        <v>43</v>
      </c>
      <c r="J42" s="64">
        <v>1.68</v>
      </c>
      <c r="K42" s="64">
        <v>344.7</v>
      </c>
      <c r="L42" s="64">
        <v>16.32</v>
      </c>
      <c r="M42" s="64">
        <v>47.67</v>
      </c>
      <c r="N42" s="64">
        <v>327.2</v>
      </c>
      <c r="O42" s="64">
        <v>0</v>
      </c>
      <c r="P42" s="64">
        <v>0.69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950</v>
      </c>
      <c r="B43" s="64">
        <v>19.04</v>
      </c>
      <c r="C43" s="64">
        <v>54.43</v>
      </c>
      <c r="D43" s="64">
        <v>42.33</v>
      </c>
      <c r="E43" s="64">
        <v>5.45</v>
      </c>
      <c r="F43" s="64">
        <v>2.13</v>
      </c>
      <c r="G43" s="64">
        <v>62.76</v>
      </c>
      <c r="H43" s="64">
        <v>28.63</v>
      </c>
      <c r="I43" s="210" t="s">
        <v>43</v>
      </c>
      <c r="J43" s="64">
        <v>1.18</v>
      </c>
      <c r="K43" s="64">
        <v>0.14000000000000001</v>
      </c>
      <c r="L43" s="64">
        <v>18.25</v>
      </c>
      <c r="M43" s="64">
        <v>41.88</v>
      </c>
      <c r="N43" s="64">
        <v>381.6</v>
      </c>
      <c r="O43" s="64">
        <v>0</v>
      </c>
      <c r="P43" s="64">
        <v>0.69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951</v>
      </c>
      <c r="B44" s="64">
        <v>19.43</v>
      </c>
      <c r="C44" s="64">
        <v>54.95</v>
      </c>
      <c r="D44" s="64">
        <v>42.91</v>
      </c>
      <c r="E44" s="64">
        <v>5.9</v>
      </c>
      <c r="F44" s="64">
        <v>2.13</v>
      </c>
      <c r="G44" s="64">
        <v>60.4</v>
      </c>
      <c r="H44" s="64">
        <v>29</v>
      </c>
      <c r="I44" s="210" t="s">
        <v>43</v>
      </c>
      <c r="J44" s="64">
        <v>1.49</v>
      </c>
      <c r="K44" s="64">
        <v>351.08</v>
      </c>
      <c r="L44" s="64">
        <v>17.059999999999999</v>
      </c>
      <c r="M44" s="64">
        <v>42.72</v>
      </c>
      <c r="N44" s="64">
        <v>435.5</v>
      </c>
      <c r="O44" s="64">
        <v>0</v>
      </c>
      <c r="P44" s="64">
        <v>0.69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952</v>
      </c>
      <c r="B45" s="64">
        <v>19</v>
      </c>
      <c r="C45" s="64">
        <v>55.73</v>
      </c>
      <c r="D45" s="64">
        <v>42.94</v>
      </c>
      <c r="E45" s="64">
        <v>5.0199999999999996</v>
      </c>
      <c r="F45" s="64">
        <v>2.13</v>
      </c>
      <c r="G45" s="64">
        <v>60.4</v>
      </c>
      <c r="H45" s="64">
        <v>29</v>
      </c>
      <c r="I45" s="210" t="s">
        <v>43</v>
      </c>
      <c r="J45" s="64">
        <v>0.75</v>
      </c>
      <c r="K45" s="64">
        <v>52.38</v>
      </c>
      <c r="L45" s="64">
        <v>15.75</v>
      </c>
      <c r="M45" s="64">
        <v>44.93</v>
      </c>
      <c r="N45" s="64">
        <v>502.1</v>
      </c>
      <c r="O45" s="64">
        <v>0</v>
      </c>
      <c r="P45" s="64">
        <v>0.68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953</v>
      </c>
      <c r="B46" s="64">
        <v>18.14</v>
      </c>
      <c r="C46" s="64">
        <v>55.93</v>
      </c>
      <c r="D46" s="64">
        <v>42.39</v>
      </c>
      <c r="E46" s="64">
        <v>5.33</v>
      </c>
      <c r="F46" s="64">
        <v>2.13</v>
      </c>
      <c r="G46" s="64">
        <v>60.4</v>
      </c>
      <c r="H46" s="64">
        <v>29</v>
      </c>
      <c r="I46" s="210" t="s">
        <v>43</v>
      </c>
      <c r="J46" s="64">
        <v>2.2000000000000002</v>
      </c>
      <c r="K46" s="64">
        <v>117.87</v>
      </c>
      <c r="L46" s="64">
        <v>15.72</v>
      </c>
      <c r="M46" s="64">
        <v>44.87</v>
      </c>
      <c r="N46" s="64">
        <v>540.9</v>
      </c>
      <c r="O46" s="64">
        <v>0</v>
      </c>
      <c r="P46" s="64">
        <v>0.68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954</v>
      </c>
      <c r="B47" s="64">
        <v>16.79</v>
      </c>
      <c r="C47" s="64">
        <v>55.67</v>
      </c>
      <c r="D47" s="64">
        <v>41.17</v>
      </c>
      <c r="E47" s="64">
        <v>5.35</v>
      </c>
      <c r="F47" s="64">
        <v>2.13</v>
      </c>
      <c r="G47" s="64">
        <v>57.43</v>
      </c>
      <c r="H47" s="64">
        <v>29.46</v>
      </c>
      <c r="I47" s="210" t="s">
        <v>43</v>
      </c>
      <c r="J47" s="64">
        <v>1.33</v>
      </c>
      <c r="K47" s="64">
        <v>112.28</v>
      </c>
      <c r="L47" s="64">
        <v>16.62</v>
      </c>
      <c r="M47" s="64">
        <v>43.59</v>
      </c>
      <c r="N47" s="64">
        <v>569.79999999999995</v>
      </c>
      <c r="O47" s="64">
        <v>0</v>
      </c>
      <c r="P47" s="64">
        <v>0.67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955</v>
      </c>
      <c r="B48" s="64">
        <v>15.92</v>
      </c>
      <c r="C48" s="64">
        <v>56.03</v>
      </c>
      <c r="D48" s="64">
        <v>40.67</v>
      </c>
      <c r="E48" s="64">
        <v>5</v>
      </c>
      <c r="F48" s="64">
        <v>2.13</v>
      </c>
      <c r="G48" s="64">
        <v>56.09</v>
      </c>
      <c r="H48" s="64">
        <v>29.66</v>
      </c>
      <c r="I48" s="210" t="s">
        <v>43</v>
      </c>
      <c r="J48" s="64">
        <v>0.78</v>
      </c>
      <c r="K48" s="64">
        <v>339.23</v>
      </c>
      <c r="L48" s="64">
        <v>18.829999999999998</v>
      </c>
      <c r="M48" s="64">
        <v>37.78</v>
      </c>
      <c r="N48" s="64">
        <v>588.6</v>
      </c>
      <c r="O48" s="64">
        <v>0</v>
      </c>
      <c r="P48" s="64">
        <v>0.67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956</v>
      </c>
      <c r="B49" s="64">
        <v>15.65</v>
      </c>
      <c r="C49" s="64">
        <v>57.04</v>
      </c>
      <c r="D49" s="64">
        <v>40.97</v>
      </c>
      <c r="E49" s="64">
        <v>5.09</v>
      </c>
      <c r="F49" s="64">
        <v>2.13</v>
      </c>
      <c r="G49" s="64">
        <v>56.09</v>
      </c>
      <c r="H49" s="64">
        <v>29.66</v>
      </c>
      <c r="I49" s="210" t="s">
        <v>43</v>
      </c>
      <c r="J49" s="64">
        <v>1.63</v>
      </c>
      <c r="K49" s="64">
        <v>342.55</v>
      </c>
      <c r="L49" s="64">
        <v>20.72</v>
      </c>
      <c r="M49" s="64">
        <v>34.36</v>
      </c>
      <c r="N49" s="64">
        <v>585.70000000000005</v>
      </c>
      <c r="O49" s="64">
        <v>0</v>
      </c>
      <c r="P49" s="64">
        <v>0.67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957</v>
      </c>
      <c r="B50" s="64">
        <v>15.32</v>
      </c>
      <c r="C50" s="64">
        <v>58.36</v>
      </c>
      <c r="D50" s="64">
        <v>41.4</v>
      </c>
      <c r="E50" s="64">
        <v>5.07</v>
      </c>
      <c r="F50" s="64">
        <v>2.13</v>
      </c>
      <c r="G50" s="64">
        <v>56.09</v>
      </c>
      <c r="H50" s="64">
        <v>29.66</v>
      </c>
      <c r="I50" s="210" t="s">
        <v>43</v>
      </c>
      <c r="J50" s="64">
        <v>1.79</v>
      </c>
      <c r="K50" s="64">
        <v>311.95999999999998</v>
      </c>
      <c r="L50" s="64">
        <v>22.55</v>
      </c>
      <c r="M50" s="64">
        <v>31.48</v>
      </c>
      <c r="N50" s="64">
        <v>593</v>
      </c>
      <c r="O50" s="64">
        <v>0</v>
      </c>
      <c r="P50" s="64">
        <v>0.67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958</v>
      </c>
      <c r="B51" s="64">
        <v>14.73</v>
      </c>
      <c r="C51" s="64">
        <v>59.7</v>
      </c>
      <c r="D51" s="64">
        <v>41.63</v>
      </c>
      <c r="E51" s="64">
        <v>5.43</v>
      </c>
      <c r="F51" s="64">
        <v>2.13</v>
      </c>
      <c r="G51" s="64">
        <v>60.38</v>
      </c>
      <c r="H51" s="64">
        <v>28.6</v>
      </c>
      <c r="I51" s="210" t="s">
        <v>43</v>
      </c>
      <c r="J51" s="64">
        <v>2.4300000000000002</v>
      </c>
      <c r="K51" s="64">
        <v>324.7</v>
      </c>
      <c r="L51" s="64">
        <v>23.76</v>
      </c>
      <c r="M51" s="64">
        <v>29.29</v>
      </c>
      <c r="N51" s="64">
        <v>639.4</v>
      </c>
      <c r="O51" s="64">
        <v>0</v>
      </c>
      <c r="P51" s="64">
        <v>0.67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959</v>
      </c>
      <c r="B52" s="64">
        <v>12.23</v>
      </c>
      <c r="C52" s="64">
        <v>66.48</v>
      </c>
      <c r="D52" s="64">
        <v>43.17</v>
      </c>
      <c r="E52" s="64">
        <v>8.27</v>
      </c>
      <c r="F52" s="64">
        <v>2.14</v>
      </c>
      <c r="G52" s="64">
        <v>62.22</v>
      </c>
      <c r="H52" s="64">
        <v>28.14</v>
      </c>
      <c r="I52" s="210" t="s">
        <v>43</v>
      </c>
      <c r="J52" s="64">
        <v>1.85</v>
      </c>
      <c r="K52" s="64">
        <v>327.14</v>
      </c>
      <c r="L52" s="64">
        <v>23.99</v>
      </c>
      <c r="M52" s="64">
        <v>27.85</v>
      </c>
      <c r="N52" s="64">
        <v>676.6</v>
      </c>
      <c r="O52" s="64">
        <v>0</v>
      </c>
      <c r="P52" s="64">
        <v>0.79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960</v>
      </c>
      <c r="B53" s="64">
        <v>9.32</v>
      </c>
      <c r="C53" s="64">
        <v>70.55</v>
      </c>
      <c r="D53" s="64">
        <v>42.96</v>
      </c>
      <c r="E53" s="64">
        <v>7.47</v>
      </c>
      <c r="F53" s="64">
        <v>2.13</v>
      </c>
      <c r="G53" s="64">
        <v>62.22</v>
      </c>
      <c r="H53" s="64">
        <v>28.14</v>
      </c>
      <c r="I53" s="210" t="s">
        <v>43</v>
      </c>
      <c r="J53" s="64">
        <v>1.71</v>
      </c>
      <c r="K53" s="64">
        <v>336.87</v>
      </c>
      <c r="L53" s="64">
        <v>23.52</v>
      </c>
      <c r="M53" s="64">
        <v>27.28</v>
      </c>
      <c r="N53" s="64">
        <v>670.7</v>
      </c>
      <c r="O53" s="64">
        <v>0</v>
      </c>
      <c r="P53" s="64">
        <v>0.79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961</v>
      </c>
      <c r="B54" s="64">
        <v>7.53</v>
      </c>
      <c r="C54" s="64">
        <v>70.33</v>
      </c>
      <c r="D54" s="64">
        <v>41.41</v>
      </c>
      <c r="E54" s="64">
        <v>7.09</v>
      </c>
      <c r="F54" s="64">
        <v>2.13</v>
      </c>
      <c r="G54" s="64">
        <v>62.22</v>
      </c>
      <c r="H54" s="64">
        <v>28.14</v>
      </c>
      <c r="I54" s="210" t="s">
        <v>43</v>
      </c>
      <c r="J54" s="64">
        <v>0.96</v>
      </c>
      <c r="K54" s="64">
        <v>339.22</v>
      </c>
      <c r="L54" s="64">
        <v>23.63</v>
      </c>
      <c r="M54" s="64">
        <v>27.7</v>
      </c>
      <c r="N54" s="64">
        <v>703.2</v>
      </c>
      <c r="O54" s="64">
        <v>0</v>
      </c>
      <c r="P54" s="64">
        <v>0.77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962</v>
      </c>
      <c r="B55" s="64">
        <v>6.46</v>
      </c>
      <c r="C55" s="64">
        <v>69.569999999999993</v>
      </c>
      <c r="D55" s="64">
        <v>40.15</v>
      </c>
      <c r="E55" s="64">
        <v>6.82</v>
      </c>
      <c r="F55" s="64">
        <v>2.21</v>
      </c>
      <c r="G55" s="64">
        <v>50.44</v>
      </c>
      <c r="H55" s="64">
        <v>26.24</v>
      </c>
      <c r="I55" s="210" t="s">
        <v>43</v>
      </c>
      <c r="J55" s="64">
        <v>1.6</v>
      </c>
      <c r="K55" s="64">
        <v>327.87</v>
      </c>
      <c r="L55" s="64">
        <v>23.12</v>
      </c>
      <c r="M55" s="64">
        <v>29.06</v>
      </c>
      <c r="N55" s="64">
        <v>695</v>
      </c>
      <c r="O55" s="64">
        <v>0</v>
      </c>
      <c r="P55" s="64">
        <v>0.74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963</v>
      </c>
      <c r="B56" s="64">
        <v>5.36</v>
      </c>
      <c r="C56" s="64">
        <v>68.69</v>
      </c>
      <c r="D56" s="64">
        <v>38.81</v>
      </c>
      <c r="E56" s="64">
        <v>6.91</v>
      </c>
      <c r="F56" s="64">
        <v>2.4900000000000002</v>
      </c>
      <c r="G56" s="64">
        <v>45.39</v>
      </c>
      <c r="H56" s="64">
        <v>25.43</v>
      </c>
      <c r="I56" s="210" t="s">
        <v>43</v>
      </c>
      <c r="J56" s="64">
        <v>1.75</v>
      </c>
      <c r="K56" s="64">
        <v>301.95</v>
      </c>
      <c r="L56" s="64">
        <v>24.34</v>
      </c>
      <c r="M56" s="64">
        <v>25.9</v>
      </c>
      <c r="N56" s="64">
        <v>718.6</v>
      </c>
      <c r="O56" s="64">
        <v>0</v>
      </c>
      <c r="P56" s="64">
        <v>0.73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964</v>
      </c>
      <c r="B57" s="64">
        <v>4.47</v>
      </c>
      <c r="C57" s="64">
        <v>67.42</v>
      </c>
      <c r="D57" s="64">
        <v>37.43</v>
      </c>
      <c r="E57" s="64">
        <v>6.79</v>
      </c>
      <c r="F57" s="64">
        <v>3.14</v>
      </c>
      <c r="G57" s="64">
        <v>45.39</v>
      </c>
      <c r="H57" s="64">
        <v>25.43</v>
      </c>
      <c r="I57" s="210" t="s">
        <v>43</v>
      </c>
      <c r="J57" s="64">
        <v>0.95</v>
      </c>
      <c r="K57" s="64">
        <v>183.11</v>
      </c>
      <c r="L57" s="64">
        <v>22.54</v>
      </c>
      <c r="M57" s="64">
        <v>27.16</v>
      </c>
      <c r="N57" s="64">
        <v>685</v>
      </c>
      <c r="O57" s="64">
        <v>0</v>
      </c>
      <c r="P57" s="64">
        <v>0.7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965</v>
      </c>
      <c r="B58" s="64">
        <v>3.19</v>
      </c>
      <c r="C58" s="64">
        <v>63.86</v>
      </c>
      <c r="D58" s="64">
        <v>34.549999999999997</v>
      </c>
      <c r="E58" s="64">
        <v>7.07</v>
      </c>
      <c r="F58" s="64">
        <v>4.97</v>
      </c>
      <c r="G58" s="64">
        <v>45.39</v>
      </c>
      <c r="H58" s="64">
        <v>25.43</v>
      </c>
      <c r="I58" s="210" t="s">
        <v>43</v>
      </c>
      <c r="J58" s="64">
        <v>0.52</v>
      </c>
      <c r="K58" s="64">
        <v>102.06</v>
      </c>
      <c r="L58" s="64">
        <v>20.65</v>
      </c>
      <c r="M58" s="64">
        <v>30.66</v>
      </c>
      <c r="N58" s="64">
        <v>710.8</v>
      </c>
      <c r="O58" s="64">
        <v>0</v>
      </c>
      <c r="P58" s="64">
        <v>0.65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966</v>
      </c>
      <c r="B59" s="64">
        <v>3.05</v>
      </c>
      <c r="C59" s="64">
        <v>61.09</v>
      </c>
      <c r="D59" s="64">
        <v>32.99</v>
      </c>
      <c r="E59" s="64">
        <v>6.36</v>
      </c>
      <c r="F59" s="64">
        <v>2.91</v>
      </c>
      <c r="G59" s="64">
        <v>44.73</v>
      </c>
      <c r="H59" s="64">
        <v>24.75</v>
      </c>
      <c r="I59" s="210" t="s">
        <v>43</v>
      </c>
      <c r="J59" s="64">
        <v>0.53</v>
      </c>
      <c r="K59" s="64">
        <v>63.54</v>
      </c>
      <c r="L59" s="64">
        <v>21.62</v>
      </c>
      <c r="M59" s="64">
        <v>29.97</v>
      </c>
      <c r="N59" s="64">
        <v>716.1</v>
      </c>
      <c r="O59" s="64">
        <v>0</v>
      </c>
      <c r="P59" s="64">
        <v>0.64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967</v>
      </c>
      <c r="B60" s="64">
        <v>3.45</v>
      </c>
      <c r="C60" s="64">
        <v>59.14</v>
      </c>
      <c r="D60" s="64">
        <v>32.29</v>
      </c>
      <c r="E60" s="64">
        <v>6.16</v>
      </c>
      <c r="F60" s="64">
        <v>2.13</v>
      </c>
      <c r="G60" s="64">
        <v>44.44</v>
      </c>
      <c r="H60" s="64">
        <v>24.47</v>
      </c>
      <c r="I60" s="210" t="s">
        <v>43</v>
      </c>
      <c r="J60" s="64">
        <v>1.85</v>
      </c>
      <c r="K60" s="64">
        <v>336.14</v>
      </c>
      <c r="L60" s="64">
        <v>23.23</v>
      </c>
      <c r="M60" s="64">
        <v>26.99</v>
      </c>
      <c r="N60" s="64">
        <v>677.1</v>
      </c>
      <c r="O60" s="64">
        <v>0</v>
      </c>
      <c r="P60" s="64">
        <v>0.63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968</v>
      </c>
      <c r="B61" s="64">
        <v>4.01</v>
      </c>
      <c r="C61" s="64">
        <v>57.83</v>
      </c>
      <c r="D61" s="64">
        <v>32.06</v>
      </c>
      <c r="E61" s="64">
        <v>6.37</v>
      </c>
      <c r="F61" s="64">
        <v>2.13</v>
      </c>
      <c r="G61" s="64">
        <v>44.44</v>
      </c>
      <c r="H61" s="64">
        <v>24.47</v>
      </c>
      <c r="I61" s="210" t="s">
        <v>43</v>
      </c>
      <c r="J61" s="64">
        <v>0.97</v>
      </c>
      <c r="K61" s="64">
        <v>337.75</v>
      </c>
      <c r="L61" s="64">
        <v>23.14</v>
      </c>
      <c r="M61" s="64">
        <v>27.7</v>
      </c>
      <c r="N61" s="64">
        <v>592.79999999999995</v>
      </c>
      <c r="O61" s="64">
        <v>0</v>
      </c>
      <c r="P61" s="64">
        <v>0.61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969</v>
      </c>
      <c r="B62" s="64">
        <v>4.1500000000000004</v>
      </c>
      <c r="C62" s="64">
        <v>57.8</v>
      </c>
      <c r="D62" s="64">
        <v>32.15</v>
      </c>
      <c r="E62" s="64">
        <v>7.65</v>
      </c>
      <c r="F62" s="64">
        <v>2.14</v>
      </c>
      <c r="G62" s="64">
        <v>44.44</v>
      </c>
      <c r="H62" s="64">
        <v>24.47</v>
      </c>
      <c r="I62" s="210" t="s">
        <v>43</v>
      </c>
      <c r="J62" s="64">
        <v>0.43</v>
      </c>
      <c r="K62" s="64">
        <v>190.2</v>
      </c>
      <c r="L62" s="64">
        <v>21.95</v>
      </c>
      <c r="M62" s="64">
        <v>29.94</v>
      </c>
      <c r="N62" s="64">
        <v>598.5</v>
      </c>
      <c r="O62" s="64">
        <v>0</v>
      </c>
      <c r="P62" s="64">
        <v>0.63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970</v>
      </c>
      <c r="B63" s="64">
        <v>4.01</v>
      </c>
      <c r="C63" s="64">
        <v>58.51</v>
      </c>
      <c r="D63" s="64">
        <v>32.409999999999997</v>
      </c>
      <c r="E63" s="64">
        <v>7.15</v>
      </c>
      <c r="F63" s="64">
        <v>2.13</v>
      </c>
      <c r="G63" s="64">
        <v>52.91</v>
      </c>
      <c r="H63" s="64">
        <v>24.25</v>
      </c>
      <c r="I63" s="210" t="s">
        <v>43</v>
      </c>
      <c r="J63" s="64">
        <v>0.84</v>
      </c>
      <c r="K63" s="64">
        <v>322.04000000000002</v>
      </c>
      <c r="L63" s="64">
        <v>21.37</v>
      </c>
      <c r="M63" s="64">
        <v>31.83</v>
      </c>
      <c r="N63" s="64">
        <v>568.20000000000005</v>
      </c>
      <c r="O63" s="64">
        <v>0</v>
      </c>
      <c r="P63" s="64">
        <v>0.64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971</v>
      </c>
      <c r="B64" s="64">
        <v>4.1900000000000004</v>
      </c>
      <c r="C64" s="64">
        <v>59.18</v>
      </c>
      <c r="D64" s="64">
        <v>32.9</v>
      </c>
      <c r="E64" s="64">
        <v>6.78</v>
      </c>
      <c r="F64" s="64">
        <v>2.13</v>
      </c>
      <c r="G64" s="64">
        <v>56.53</v>
      </c>
      <c r="H64" s="64">
        <v>24.15</v>
      </c>
      <c r="I64" s="210" t="s">
        <v>43</v>
      </c>
      <c r="J64" s="64">
        <v>1.89</v>
      </c>
      <c r="K64" s="64">
        <v>330.83</v>
      </c>
      <c r="L64" s="64">
        <v>22.92</v>
      </c>
      <c r="M64" s="64">
        <v>27.74</v>
      </c>
      <c r="N64" s="64">
        <v>519.1</v>
      </c>
      <c r="O64" s="64">
        <v>0</v>
      </c>
      <c r="P64" s="64">
        <v>0.64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972</v>
      </c>
      <c r="B65" s="64">
        <v>4.26</v>
      </c>
      <c r="C65" s="64">
        <v>59.52</v>
      </c>
      <c r="D65" s="64">
        <v>33.14</v>
      </c>
      <c r="E65" s="64">
        <v>6.81</v>
      </c>
      <c r="F65" s="64">
        <v>2.44</v>
      </c>
      <c r="G65" s="64">
        <v>56.53</v>
      </c>
      <c r="H65" s="64">
        <v>24.15</v>
      </c>
      <c r="I65" s="210" t="s">
        <v>43</v>
      </c>
      <c r="J65" s="64">
        <v>0.89</v>
      </c>
      <c r="K65" s="64">
        <v>315.47000000000003</v>
      </c>
      <c r="L65" s="64">
        <v>22.74</v>
      </c>
      <c r="M65" s="64">
        <v>27.43</v>
      </c>
      <c r="N65" s="64">
        <v>474.7</v>
      </c>
      <c r="O65" s="64">
        <v>0</v>
      </c>
      <c r="P65" s="64">
        <v>0.64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973</v>
      </c>
      <c r="B66" s="64">
        <v>3.85</v>
      </c>
      <c r="C66" s="64">
        <v>60.32</v>
      </c>
      <c r="D66" s="64">
        <v>33.229999999999997</v>
      </c>
      <c r="E66" s="64">
        <v>7.76</v>
      </c>
      <c r="F66" s="64">
        <v>2.81</v>
      </c>
      <c r="G66" s="64">
        <v>56.53</v>
      </c>
      <c r="H66" s="64">
        <v>24.15</v>
      </c>
      <c r="I66" s="210" t="s">
        <v>43</v>
      </c>
      <c r="J66" s="64">
        <v>1.74</v>
      </c>
      <c r="K66" s="64">
        <v>327.83</v>
      </c>
      <c r="L66" s="64">
        <v>23.18</v>
      </c>
      <c r="M66" s="64">
        <v>25.68</v>
      </c>
      <c r="N66" s="64">
        <v>281.39999999999998</v>
      </c>
      <c r="O66" s="64">
        <v>0</v>
      </c>
      <c r="P66" s="64">
        <v>0.65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974</v>
      </c>
      <c r="B67" s="64">
        <v>3.88</v>
      </c>
      <c r="C67" s="64">
        <v>62.55</v>
      </c>
      <c r="D67" s="64">
        <v>34.409999999999997</v>
      </c>
      <c r="E67" s="64">
        <v>7.76</v>
      </c>
      <c r="F67" s="64">
        <v>2.87</v>
      </c>
      <c r="G67" s="64">
        <v>54.38</v>
      </c>
      <c r="H67" s="64">
        <v>23.77</v>
      </c>
      <c r="I67" s="210" t="s">
        <v>43</v>
      </c>
      <c r="J67" s="64">
        <v>2.0499999999999998</v>
      </c>
      <c r="K67" s="64">
        <v>338.57</v>
      </c>
      <c r="L67" s="64">
        <v>22.7</v>
      </c>
      <c r="M67" s="64">
        <v>26.08</v>
      </c>
      <c r="N67" s="64">
        <v>276.7</v>
      </c>
      <c r="O67" s="64">
        <v>0</v>
      </c>
      <c r="P67" s="64">
        <v>0.65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975</v>
      </c>
      <c r="B68" s="64">
        <v>4.04</v>
      </c>
      <c r="C68" s="64">
        <v>62.97</v>
      </c>
      <c r="D68" s="64">
        <v>34.76</v>
      </c>
      <c r="E68" s="64">
        <v>6.86</v>
      </c>
      <c r="F68" s="64">
        <v>2.13</v>
      </c>
      <c r="G68" s="64">
        <v>53.41</v>
      </c>
      <c r="H68" s="64">
        <v>23.61</v>
      </c>
      <c r="I68" s="210" t="s">
        <v>43</v>
      </c>
      <c r="J68" s="64">
        <v>2.2599999999999998</v>
      </c>
      <c r="K68" s="64">
        <v>337.18</v>
      </c>
      <c r="L68" s="64">
        <v>22.33</v>
      </c>
      <c r="M68" s="64">
        <v>26.41</v>
      </c>
      <c r="N68" s="64">
        <v>265</v>
      </c>
      <c r="O68" s="64">
        <v>0</v>
      </c>
      <c r="P68" s="64">
        <v>0.66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976</v>
      </c>
      <c r="B69" s="64">
        <v>4.32</v>
      </c>
      <c r="C69" s="64">
        <v>62.21</v>
      </c>
      <c r="D69" s="64">
        <v>34.590000000000003</v>
      </c>
      <c r="E69" s="64">
        <v>6.84</v>
      </c>
      <c r="F69" s="64">
        <v>2.13</v>
      </c>
      <c r="G69" s="64">
        <v>53.41</v>
      </c>
      <c r="H69" s="64">
        <v>23.61</v>
      </c>
      <c r="I69" s="210" t="s">
        <v>43</v>
      </c>
      <c r="J69" s="64">
        <v>1.21</v>
      </c>
      <c r="K69" s="64">
        <v>344.03</v>
      </c>
      <c r="L69" s="64">
        <v>21.96</v>
      </c>
      <c r="M69" s="64">
        <v>26.07</v>
      </c>
      <c r="N69" s="64">
        <v>166.9</v>
      </c>
      <c r="O69" s="64">
        <v>0</v>
      </c>
      <c r="P69" s="64">
        <v>0.66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977</v>
      </c>
      <c r="B70" s="64">
        <v>4.22</v>
      </c>
      <c r="C70" s="64">
        <v>63.07</v>
      </c>
      <c r="D70" s="64">
        <v>34.96</v>
      </c>
      <c r="E70" s="64">
        <v>7.9</v>
      </c>
      <c r="F70" s="64">
        <v>2.27</v>
      </c>
      <c r="G70" s="64">
        <v>53.41</v>
      </c>
      <c r="H70" s="64">
        <v>23.61</v>
      </c>
      <c r="I70" s="210" t="s">
        <v>43</v>
      </c>
      <c r="J70" s="64">
        <v>1.87</v>
      </c>
      <c r="K70" s="64">
        <v>334.15</v>
      </c>
      <c r="L70" s="64">
        <v>21.15</v>
      </c>
      <c r="M70" s="64">
        <v>27.18</v>
      </c>
      <c r="N70" s="64">
        <v>125.6</v>
      </c>
      <c r="O70" s="64">
        <v>0</v>
      </c>
      <c r="P70" s="64">
        <v>0.7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978</v>
      </c>
      <c r="B71" s="64">
        <v>4.17</v>
      </c>
      <c r="C71" s="64">
        <v>63.99</v>
      </c>
      <c r="D71" s="64">
        <v>35.4</v>
      </c>
      <c r="E71" s="64">
        <v>6.51</v>
      </c>
      <c r="F71" s="64">
        <v>2.15</v>
      </c>
      <c r="G71" s="64">
        <v>70.27</v>
      </c>
      <c r="H71" s="64">
        <v>28.55</v>
      </c>
      <c r="I71" s="210" t="s">
        <v>43</v>
      </c>
      <c r="J71" s="64">
        <v>2.4900000000000002</v>
      </c>
      <c r="K71" s="64">
        <v>336.19</v>
      </c>
      <c r="L71" s="64">
        <v>20.82</v>
      </c>
      <c r="M71" s="64">
        <v>28.97</v>
      </c>
      <c r="N71" s="64">
        <v>117.6</v>
      </c>
      <c r="O71" s="64">
        <v>0</v>
      </c>
      <c r="P71" s="64">
        <v>0.78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979</v>
      </c>
      <c r="B72" s="64">
        <v>5</v>
      </c>
      <c r="C72" s="64">
        <v>64.98</v>
      </c>
      <c r="D72" s="64">
        <v>36.58</v>
      </c>
      <c r="E72" s="64">
        <v>8.0299999999999994</v>
      </c>
      <c r="F72" s="64">
        <v>2.13</v>
      </c>
      <c r="G72" s="64">
        <v>77.5</v>
      </c>
      <c r="H72" s="64">
        <v>30.67</v>
      </c>
      <c r="I72" s="210" t="s">
        <v>43</v>
      </c>
      <c r="J72" s="64">
        <v>1.56</v>
      </c>
      <c r="K72" s="64">
        <v>329.43</v>
      </c>
      <c r="L72" s="64">
        <v>20.55</v>
      </c>
      <c r="M72" s="64">
        <v>29.24</v>
      </c>
      <c r="N72" s="64">
        <v>108.8</v>
      </c>
      <c r="O72" s="64">
        <v>0</v>
      </c>
      <c r="P72" s="64">
        <v>0.85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980</v>
      </c>
      <c r="B73" s="64">
        <v>5.96</v>
      </c>
      <c r="C73" s="64">
        <v>65.09</v>
      </c>
      <c r="D73" s="64">
        <v>37.409999999999997</v>
      </c>
      <c r="E73" s="64">
        <v>8.9600000000000009</v>
      </c>
      <c r="F73" s="64">
        <v>2.13</v>
      </c>
      <c r="G73" s="64">
        <v>77.5</v>
      </c>
      <c r="H73" s="64">
        <v>30.67</v>
      </c>
      <c r="I73" s="210" t="s">
        <v>43</v>
      </c>
      <c r="J73" s="64">
        <v>2.33</v>
      </c>
      <c r="K73" s="64">
        <v>346.63</v>
      </c>
      <c r="L73" s="64">
        <v>20.2</v>
      </c>
      <c r="M73" s="64">
        <v>29.58</v>
      </c>
      <c r="N73" s="64">
        <v>100</v>
      </c>
      <c r="O73" s="64">
        <v>0</v>
      </c>
      <c r="P73" s="64">
        <v>0.87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981</v>
      </c>
      <c r="B74" s="64">
        <v>6.94</v>
      </c>
      <c r="C74" s="64">
        <v>70.8</v>
      </c>
      <c r="D74" s="64">
        <v>41.18</v>
      </c>
      <c r="E74" s="64">
        <v>11.36</v>
      </c>
      <c r="F74" s="64">
        <v>5.0199999999999996</v>
      </c>
      <c r="G74" s="64">
        <v>77.5</v>
      </c>
      <c r="H74" s="64">
        <v>30.67</v>
      </c>
      <c r="I74" s="210" t="s">
        <v>43</v>
      </c>
      <c r="J74" s="64">
        <v>2.02</v>
      </c>
      <c r="K74" s="64">
        <v>346.64</v>
      </c>
      <c r="L74" s="64">
        <v>19.91</v>
      </c>
      <c r="M74" s="64">
        <v>30.32</v>
      </c>
      <c r="N74" s="64">
        <v>92.9</v>
      </c>
      <c r="O74" s="64">
        <v>0</v>
      </c>
      <c r="P74" s="64">
        <v>0.89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982</v>
      </c>
      <c r="B75" s="64">
        <v>6.55</v>
      </c>
      <c r="C75" s="64">
        <v>77.41</v>
      </c>
      <c r="D75" s="64">
        <v>44.32</v>
      </c>
      <c r="E75" s="64">
        <v>9.94</v>
      </c>
      <c r="F75" s="64">
        <v>2.31</v>
      </c>
      <c r="G75" s="64">
        <v>68.540000000000006</v>
      </c>
      <c r="H75" s="64">
        <v>28.67</v>
      </c>
      <c r="I75" s="210" t="s">
        <v>43</v>
      </c>
      <c r="J75" s="64">
        <v>2.42</v>
      </c>
      <c r="K75" s="64">
        <v>343.62</v>
      </c>
      <c r="L75" s="64">
        <v>19.579999999999998</v>
      </c>
      <c r="M75" s="64">
        <v>32.75</v>
      </c>
      <c r="N75" s="64">
        <v>85.6</v>
      </c>
      <c r="O75" s="64">
        <v>0</v>
      </c>
      <c r="P75" s="64">
        <v>0.88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983</v>
      </c>
      <c r="B76" s="64">
        <v>7.59</v>
      </c>
      <c r="C76" s="64">
        <v>76.69</v>
      </c>
      <c r="D76" s="64">
        <v>44.78</v>
      </c>
      <c r="E76" s="64">
        <v>9.67</v>
      </c>
      <c r="F76" s="64">
        <v>2.13</v>
      </c>
      <c r="G76" s="64">
        <v>64.7</v>
      </c>
      <c r="H76" s="64">
        <v>27.81</v>
      </c>
      <c r="I76" s="210" t="s">
        <v>43</v>
      </c>
      <c r="J76" s="64">
        <v>2.52</v>
      </c>
      <c r="K76" s="64">
        <v>336.2</v>
      </c>
      <c r="L76" s="64">
        <v>19.149999999999999</v>
      </c>
      <c r="M76" s="64">
        <v>34.39</v>
      </c>
      <c r="N76" s="64">
        <v>78.5</v>
      </c>
      <c r="O76" s="64">
        <v>0</v>
      </c>
      <c r="P76" s="64">
        <v>0.87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984</v>
      </c>
      <c r="B77" s="64">
        <v>8.4499999999999993</v>
      </c>
      <c r="C77" s="64">
        <v>74.62</v>
      </c>
      <c r="D77" s="64">
        <v>44.39</v>
      </c>
      <c r="E77" s="64">
        <v>9.24</v>
      </c>
      <c r="F77" s="64">
        <v>2.13</v>
      </c>
      <c r="G77" s="64">
        <v>64.7</v>
      </c>
      <c r="H77" s="64">
        <v>27.81</v>
      </c>
      <c r="I77" s="210" t="s">
        <v>43</v>
      </c>
      <c r="J77" s="64">
        <v>2.42</v>
      </c>
      <c r="K77" s="64">
        <v>343.19</v>
      </c>
      <c r="L77" s="64">
        <v>18.649999999999999</v>
      </c>
      <c r="M77" s="64">
        <v>34.57</v>
      </c>
      <c r="N77" s="64">
        <v>71.2</v>
      </c>
      <c r="O77" s="64">
        <v>0</v>
      </c>
      <c r="P77" s="64">
        <v>0.87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985</v>
      </c>
      <c r="B78" s="64">
        <v>9.09</v>
      </c>
      <c r="C78" s="64">
        <v>73.69</v>
      </c>
      <c r="D78" s="64">
        <v>44.41</v>
      </c>
      <c r="E78" s="64">
        <v>9.11</v>
      </c>
      <c r="F78" s="64">
        <v>2.13</v>
      </c>
      <c r="G78" s="64">
        <v>64.7</v>
      </c>
      <c r="H78" s="64">
        <v>27.81</v>
      </c>
      <c r="I78" s="210" t="s">
        <v>43</v>
      </c>
      <c r="J78" s="64">
        <v>2.2999999999999998</v>
      </c>
      <c r="K78" s="64">
        <v>341.85</v>
      </c>
      <c r="L78" s="64">
        <v>18.059999999999999</v>
      </c>
      <c r="M78" s="64">
        <v>36.340000000000003</v>
      </c>
      <c r="N78" s="64">
        <v>63.9</v>
      </c>
      <c r="O78" s="64">
        <v>0</v>
      </c>
      <c r="P78" s="64">
        <v>0.9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986</v>
      </c>
      <c r="B79" s="64">
        <v>9.8000000000000007</v>
      </c>
      <c r="C79" s="64">
        <v>72.69</v>
      </c>
      <c r="D79" s="64">
        <v>44.46</v>
      </c>
      <c r="E79" s="64">
        <v>8.84</v>
      </c>
      <c r="F79" s="64">
        <v>2.13</v>
      </c>
      <c r="G79" s="64">
        <v>57.04</v>
      </c>
      <c r="H79" s="64">
        <v>23.12</v>
      </c>
      <c r="I79" s="210" t="s">
        <v>43</v>
      </c>
      <c r="J79" s="64">
        <v>2.09</v>
      </c>
      <c r="K79" s="64">
        <v>345.16</v>
      </c>
      <c r="L79" s="64">
        <v>17.420000000000002</v>
      </c>
      <c r="M79" s="64">
        <v>38.1</v>
      </c>
      <c r="N79" s="64">
        <v>59.1</v>
      </c>
      <c r="O79" s="64">
        <v>0</v>
      </c>
      <c r="P79" s="64">
        <v>0.91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987</v>
      </c>
      <c r="B80" s="64">
        <v>11.88</v>
      </c>
      <c r="C80" s="64">
        <v>72.86</v>
      </c>
      <c r="D80" s="64">
        <v>46.21</v>
      </c>
      <c r="E80" s="64">
        <v>8.84</v>
      </c>
      <c r="F80" s="64">
        <v>2.13</v>
      </c>
      <c r="G80" s="64">
        <v>53.75</v>
      </c>
      <c r="H80" s="64">
        <v>21.1</v>
      </c>
      <c r="I80" s="210" t="s">
        <v>43</v>
      </c>
      <c r="J80" s="64">
        <v>1.36</v>
      </c>
      <c r="K80" s="64">
        <v>12.23</v>
      </c>
      <c r="L80" s="64">
        <v>16.68</v>
      </c>
      <c r="M80" s="64">
        <v>40.43</v>
      </c>
      <c r="N80" s="64">
        <v>57.9</v>
      </c>
      <c r="O80" s="64">
        <v>0</v>
      </c>
      <c r="P80" s="64">
        <v>0.95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988</v>
      </c>
      <c r="B81" s="64">
        <v>13.97</v>
      </c>
      <c r="C81" s="64">
        <v>73.03</v>
      </c>
      <c r="D81" s="64">
        <v>47.98</v>
      </c>
      <c r="E81" s="64">
        <v>8.52</v>
      </c>
      <c r="F81" s="64">
        <v>2.13</v>
      </c>
      <c r="G81" s="64">
        <v>53.75</v>
      </c>
      <c r="H81" s="64">
        <v>21.1</v>
      </c>
      <c r="I81" s="210" t="s">
        <v>43</v>
      </c>
      <c r="J81" s="64">
        <v>1.19</v>
      </c>
      <c r="K81" s="64">
        <v>306.76</v>
      </c>
      <c r="L81" s="64">
        <v>15.91</v>
      </c>
      <c r="M81" s="64">
        <v>42.54</v>
      </c>
      <c r="N81" s="64">
        <v>57.6</v>
      </c>
      <c r="O81" s="64">
        <v>0</v>
      </c>
      <c r="P81" s="64">
        <v>0.99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989</v>
      </c>
      <c r="B82" s="64">
        <v>15.95</v>
      </c>
      <c r="C82" s="64">
        <v>72.7</v>
      </c>
      <c r="D82" s="64">
        <v>49.4</v>
      </c>
      <c r="E82" s="64">
        <v>8.39</v>
      </c>
      <c r="F82" s="64">
        <v>2.13</v>
      </c>
      <c r="G82" s="64">
        <v>53.75</v>
      </c>
      <c r="H82" s="64">
        <v>21.1</v>
      </c>
      <c r="I82" s="210" t="s">
        <v>43</v>
      </c>
      <c r="J82" s="64">
        <v>1.38</v>
      </c>
      <c r="K82" s="64">
        <v>281.69</v>
      </c>
      <c r="L82" s="64">
        <v>15.32</v>
      </c>
      <c r="M82" s="64">
        <v>45.62</v>
      </c>
      <c r="N82" s="64">
        <v>57.5</v>
      </c>
      <c r="O82" s="64">
        <v>0</v>
      </c>
      <c r="P82" s="64">
        <v>1.02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990</v>
      </c>
      <c r="B83" s="64">
        <v>18.739999999999998</v>
      </c>
      <c r="C83" s="64">
        <v>72.38</v>
      </c>
      <c r="D83" s="64">
        <v>51.47</v>
      </c>
      <c r="E83" s="64">
        <v>8.6199999999999992</v>
      </c>
      <c r="F83" s="64">
        <v>2.13</v>
      </c>
      <c r="G83" s="64">
        <v>128.5</v>
      </c>
      <c r="H83" s="64">
        <v>27.21</v>
      </c>
      <c r="I83" s="210" t="s">
        <v>43</v>
      </c>
      <c r="J83" s="64">
        <v>0.37</v>
      </c>
      <c r="K83" s="64">
        <v>147.78</v>
      </c>
      <c r="L83" s="64">
        <v>14.59</v>
      </c>
      <c r="M83" s="64">
        <v>49.73</v>
      </c>
      <c r="N83" s="64">
        <v>57.4</v>
      </c>
      <c r="O83" s="64">
        <v>0</v>
      </c>
      <c r="P83" s="64">
        <v>1.06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991</v>
      </c>
      <c r="B84" s="64">
        <v>24.92</v>
      </c>
      <c r="C84" s="64">
        <v>72.44</v>
      </c>
      <c r="D84" s="64">
        <v>56.45</v>
      </c>
      <c r="E84" s="64">
        <v>9.0399999999999991</v>
      </c>
      <c r="F84" s="64">
        <v>2.13</v>
      </c>
      <c r="G84" s="64">
        <v>160.54</v>
      </c>
      <c r="H84" s="64">
        <v>29.83</v>
      </c>
      <c r="I84" s="210" t="s">
        <v>43</v>
      </c>
      <c r="J84" s="64">
        <v>1.02</v>
      </c>
      <c r="K84" s="64">
        <v>170.76</v>
      </c>
      <c r="L84" s="64">
        <v>14.13</v>
      </c>
      <c r="M84" s="64">
        <v>54.44</v>
      </c>
      <c r="N84" s="64">
        <v>57.3</v>
      </c>
      <c r="O84" s="64">
        <v>0</v>
      </c>
      <c r="P84" s="64">
        <v>1.0900000000000001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992</v>
      </c>
      <c r="B85" s="64">
        <v>32.74</v>
      </c>
      <c r="C85" s="64">
        <v>72.77</v>
      </c>
      <c r="D85" s="64">
        <v>62.9</v>
      </c>
      <c r="E85" s="64">
        <v>9.49</v>
      </c>
      <c r="F85" s="64">
        <v>2.13</v>
      </c>
      <c r="G85" s="64">
        <v>160.54</v>
      </c>
      <c r="H85" s="64">
        <v>29.83</v>
      </c>
      <c r="I85" s="210" t="s">
        <v>43</v>
      </c>
      <c r="J85" s="64">
        <v>1.02</v>
      </c>
      <c r="K85" s="64">
        <v>2.44</v>
      </c>
      <c r="L85" s="64">
        <v>13.61</v>
      </c>
      <c r="M85" s="64">
        <v>58.89</v>
      </c>
      <c r="N85" s="64">
        <v>57.3</v>
      </c>
      <c r="O85" s="64">
        <v>0</v>
      </c>
      <c r="P85" s="64">
        <v>1.1399999999999999</v>
      </c>
      <c r="Q85" s="64">
        <v>8.2799999999999994</v>
      </c>
      <c r="R85" s="198"/>
      <c r="S85" s="198"/>
      <c r="T85" s="198"/>
      <c r="U85" s="198"/>
    </row>
    <row r="86" spans="1:26" s="12" customFormat="1" x14ac:dyDescent="0.25">
      <c r="A86" s="214" t="s">
        <v>993</v>
      </c>
      <c r="B86" s="64">
        <v>38.85</v>
      </c>
      <c r="C86" s="64">
        <v>72.53</v>
      </c>
      <c r="D86" s="64">
        <v>67.67</v>
      </c>
      <c r="E86" s="64">
        <v>9.6999999999999993</v>
      </c>
      <c r="F86" s="64">
        <v>2.13</v>
      </c>
      <c r="G86" s="64">
        <v>160.54</v>
      </c>
      <c r="H86" s="64">
        <v>29.83</v>
      </c>
      <c r="I86" s="210" t="s">
        <v>43</v>
      </c>
      <c r="J86" s="64">
        <v>1.45</v>
      </c>
      <c r="K86" s="64">
        <v>22.4</v>
      </c>
      <c r="L86" s="64">
        <v>13.3</v>
      </c>
      <c r="M86" s="64">
        <v>61.19</v>
      </c>
      <c r="N86" s="64">
        <v>57.2</v>
      </c>
      <c r="O86" s="64">
        <v>0</v>
      </c>
      <c r="P86" s="64">
        <v>1.22</v>
      </c>
      <c r="Q86" s="64">
        <v>8.67</v>
      </c>
      <c r="R86" s="198"/>
      <c r="S86" s="198"/>
      <c r="T86" s="198"/>
      <c r="U86" s="198"/>
    </row>
    <row r="87" spans="1:26" s="12" customFormat="1" x14ac:dyDescent="0.25">
      <c r="A87" s="214" t="s">
        <v>994</v>
      </c>
      <c r="B87" s="64">
        <v>42.1</v>
      </c>
      <c r="C87" s="64">
        <v>70.790000000000006</v>
      </c>
      <c r="D87" s="64">
        <v>69.36</v>
      </c>
      <c r="E87" s="64">
        <v>9.89</v>
      </c>
      <c r="F87" s="64">
        <v>2.13</v>
      </c>
      <c r="G87" s="64">
        <v>185.59</v>
      </c>
      <c r="H87" s="64">
        <v>37.56</v>
      </c>
      <c r="I87" s="210" t="s">
        <v>43</v>
      </c>
      <c r="J87" s="64">
        <v>1.32</v>
      </c>
      <c r="K87" s="64">
        <v>310.70999999999998</v>
      </c>
      <c r="L87" s="64">
        <v>13</v>
      </c>
      <c r="M87" s="64">
        <v>63.59</v>
      </c>
      <c r="N87" s="64">
        <v>57.2</v>
      </c>
      <c r="O87" s="64">
        <v>0</v>
      </c>
      <c r="P87" s="64">
        <v>1.35</v>
      </c>
      <c r="Q87" s="64">
        <v>8.93</v>
      </c>
      <c r="R87" s="198"/>
      <c r="S87" s="198"/>
      <c r="T87" s="198"/>
      <c r="U87" s="198"/>
    </row>
    <row r="88" spans="1:26" s="12" customFormat="1" x14ac:dyDescent="0.25">
      <c r="A88" s="214" t="s">
        <v>995</v>
      </c>
      <c r="B88" s="64">
        <v>48.38</v>
      </c>
      <c r="C88" s="64">
        <v>68.39</v>
      </c>
      <c r="D88" s="64">
        <v>73.150000000000006</v>
      </c>
      <c r="E88" s="64">
        <v>10.29</v>
      </c>
      <c r="F88" s="64">
        <v>2.13</v>
      </c>
      <c r="G88" s="64">
        <v>196.32</v>
      </c>
      <c r="H88" s="64">
        <v>40.880000000000003</v>
      </c>
      <c r="I88" s="210" t="s">
        <v>43</v>
      </c>
      <c r="J88" s="64">
        <v>1.46</v>
      </c>
      <c r="K88" s="64">
        <v>299.52</v>
      </c>
      <c r="L88" s="64">
        <v>12.74</v>
      </c>
      <c r="M88" s="64">
        <v>65.319999999999993</v>
      </c>
      <c r="N88" s="64">
        <v>57.2</v>
      </c>
      <c r="O88" s="64">
        <v>0</v>
      </c>
      <c r="P88" s="64">
        <v>1.46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4" t="s">
        <v>996</v>
      </c>
      <c r="B89" s="64">
        <v>56.99</v>
      </c>
      <c r="C89" s="64">
        <v>67.260000000000005</v>
      </c>
      <c r="D89" s="64">
        <v>79.47</v>
      </c>
      <c r="E89" s="64">
        <v>10.039999999999999</v>
      </c>
      <c r="F89" s="64">
        <v>2.13</v>
      </c>
      <c r="G89" s="64">
        <v>196.32</v>
      </c>
      <c r="H89" s="64">
        <v>40.880000000000003</v>
      </c>
      <c r="I89" s="210" t="s">
        <v>43</v>
      </c>
      <c r="J89" s="64">
        <v>1.47</v>
      </c>
      <c r="K89" s="64">
        <v>296.43</v>
      </c>
      <c r="L89" s="64">
        <v>12.62</v>
      </c>
      <c r="M89" s="64">
        <v>71.33</v>
      </c>
      <c r="N89" s="64">
        <v>57.2</v>
      </c>
      <c r="O89" s="64">
        <v>0</v>
      </c>
      <c r="P89" s="64">
        <v>1.63</v>
      </c>
      <c r="Q89" s="64">
        <v>9.4</v>
      </c>
      <c r="R89" s="198"/>
      <c r="S89" s="198"/>
      <c r="T89" s="198"/>
      <c r="U89" s="198"/>
    </row>
    <row r="90" spans="1:26" s="12" customFormat="1" x14ac:dyDescent="0.25">
      <c r="A90" s="214" t="s">
        <v>997</v>
      </c>
      <c r="B90" s="64">
        <v>66.650000000000006</v>
      </c>
      <c r="C90" s="64">
        <v>66.319999999999993</v>
      </c>
      <c r="D90" s="64">
        <v>86.72</v>
      </c>
      <c r="E90" s="64">
        <v>10.59</v>
      </c>
      <c r="F90" s="64">
        <v>2.13</v>
      </c>
      <c r="G90" s="64">
        <v>196.32</v>
      </c>
      <c r="H90" s="64">
        <v>40.880000000000003</v>
      </c>
      <c r="I90" s="210" t="s">
        <v>43</v>
      </c>
      <c r="J90" s="64">
        <v>1.46</v>
      </c>
      <c r="K90" s="64">
        <v>282.83999999999997</v>
      </c>
      <c r="L90" s="64">
        <v>12.26</v>
      </c>
      <c r="M90" s="64">
        <v>68.510000000000005</v>
      </c>
      <c r="N90" s="64">
        <v>57.3</v>
      </c>
      <c r="O90" s="64">
        <v>0</v>
      </c>
      <c r="P90" s="64">
        <v>1.63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4" t="s">
        <v>998</v>
      </c>
      <c r="B91" s="64">
        <v>75.23</v>
      </c>
      <c r="C91" s="64">
        <v>65.150000000000006</v>
      </c>
      <c r="D91" s="64">
        <v>92.99</v>
      </c>
      <c r="E91" s="64">
        <v>10.69</v>
      </c>
      <c r="F91" s="64">
        <v>2.13</v>
      </c>
      <c r="G91" s="64">
        <v>203.89</v>
      </c>
      <c r="H91" s="64">
        <v>47.48</v>
      </c>
      <c r="I91" s="210" t="s">
        <v>43</v>
      </c>
      <c r="J91" s="64">
        <v>1.33</v>
      </c>
      <c r="K91" s="64">
        <v>329.05</v>
      </c>
      <c r="L91" s="64">
        <v>12.05</v>
      </c>
      <c r="M91" s="64">
        <v>73.91</v>
      </c>
      <c r="N91" s="64">
        <v>57.2</v>
      </c>
      <c r="O91" s="64">
        <v>0</v>
      </c>
      <c r="P91" s="64">
        <v>1.74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4" t="s">
        <v>999</v>
      </c>
      <c r="B92" s="64">
        <v>90.45</v>
      </c>
      <c r="C92" s="64">
        <v>64.06</v>
      </c>
      <c r="D92" s="64">
        <v>104.63</v>
      </c>
      <c r="E92" s="64">
        <v>11.45</v>
      </c>
      <c r="F92" s="64">
        <v>2.13</v>
      </c>
      <c r="G92" s="64">
        <v>207.14</v>
      </c>
      <c r="H92" s="64">
        <v>50.46</v>
      </c>
      <c r="I92" s="210" t="s">
        <v>43</v>
      </c>
      <c r="J92" s="64">
        <v>1.28</v>
      </c>
      <c r="K92" s="64">
        <v>297.08</v>
      </c>
      <c r="L92" s="64">
        <v>11.9</v>
      </c>
      <c r="M92" s="64">
        <v>76.61</v>
      </c>
      <c r="N92" s="64">
        <v>57.2</v>
      </c>
      <c r="O92" s="64">
        <v>0</v>
      </c>
      <c r="P92" s="64">
        <v>1.78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1000</v>
      </c>
      <c r="B93" s="64">
        <v>106.43</v>
      </c>
      <c r="C93" s="64">
        <v>63.61</v>
      </c>
      <c r="D93" s="64">
        <v>117.2</v>
      </c>
      <c r="E93" s="64">
        <v>11.38</v>
      </c>
      <c r="F93" s="64">
        <v>2.13</v>
      </c>
      <c r="G93" s="64">
        <v>207.14</v>
      </c>
      <c r="H93" s="64">
        <v>50.46</v>
      </c>
      <c r="I93" s="210" t="s">
        <v>43</v>
      </c>
      <c r="J93" s="64">
        <v>1.34</v>
      </c>
      <c r="K93" s="64">
        <v>291.77999999999997</v>
      </c>
      <c r="L93" s="64">
        <v>11.64</v>
      </c>
      <c r="M93" s="64">
        <v>75.06</v>
      </c>
      <c r="N93" s="64">
        <v>57.2</v>
      </c>
      <c r="O93" s="64">
        <v>0</v>
      </c>
      <c r="P93" s="64">
        <v>1.96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4" t="s">
        <v>1001</v>
      </c>
      <c r="B94" s="64">
        <v>124.44</v>
      </c>
      <c r="C94" s="64">
        <v>63.36</v>
      </c>
      <c r="D94" s="64">
        <v>131.51</v>
      </c>
      <c r="E94" s="64">
        <v>11.7</v>
      </c>
      <c r="F94" s="64">
        <v>2.13</v>
      </c>
      <c r="G94" s="64">
        <v>207.14</v>
      </c>
      <c r="H94" s="64">
        <v>50.46</v>
      </c>
      <c r="I94" s="210" t="s">
        <v>43</v>
      </c>
      <c r="J94" s="64">
        <v>1.44</v>
      </c>
      <c r="K94" s="64">
        <v>310.35000000000002</v>
      </c>
      <c r="L94" s="64">
        <v>11.36</v>
      </c>
      <c r="M94" s="64">
        <v>79.05</v>
      </c>
      <c r="N94" s="64">
        <v>57.3</v>
      </c>
      <c r="O94" s="64">
        <v>0</v>
      </c>
      <c r="P94" s="64">
        <v>1.99</v>
      </c>
      <c r="Q94" s="64">
        <v>9.85</v>
      </c>
      <c r="R94" s="198"/>
      <c r="S94" s="198"/>
      <c r="T94" s="198"/>
      <c r="U94" s="198"/>
    </row>
    <row r="95" spans="1:26" s="12" customFormat="1" x14ac:dyDescent="0.25">
      <c r="A95" s="214" t="s">
        <v>1002</v>
      </c>
      <c r="B95" s="64">
        <v>141.38999999999999</v>
      </c>
      <c r="C95" s="64">
        <v>63.71</v>
      </c>
      <c r="D95" s="64">
        <v>145.30000000000001</v>
      </c>
      <c r="E95" s="64">
        <v>12.26</v>
      </c>
      <c r="F95" s="64">
        <v>2.13</v>
      </c>
      <c r="G95" s="64">
        <v>228.18</v>
      </c>
      <c r="H95" s="64">
        <v>52.56</v>
      </c>
      <c r="I95" s="210" t="s">
        <v>43</v>
      </c>
      <c r="J95" s="64">
        <v>1.43</v>
      </c>
      <c r="K95" s="64">
        <v>328.41</v>
      </c>
      <c r="L95" s="64">
        <v>11.28</v>
      </c>
      <c r="M95" s="64">
        <v>81.650000000000006</v>
      </c>
      <c r="N95" s="64">
        <v>57.2</v>
      </c>
      <c r="O95" s="64">
        <v>0</v>
      </c>
      <c r="P95" s="64">
        <v>2</v>
      </c>
      <c r="Q95" s="64">
        <v>9.99</v>
      </c>
      <c r="R95" s="198"/>
      <c r="S95" s="198"/>
      <c r="T95" s="198"/>
      <c r="U95" s="198"/>
    </row>
    <row r="96" spans="1:26" s="12" customFormat="1" x14ac:dyDescent="0.25">
      <c r="A96" s="214" t="s">
        <v>1003</v>
      </c>
      <c r="B96" s="64">
        <v>156.77000000000001</v>
      </c>
      <c r="C96" s="64">
        <v>63.22</v>
      </c>
      <c r="D96" s="64">
        <v>157.37</v>
      </c>
      <c r="E96" s="64">
        <v>12.9</v>
      </c>
      <c r="F96" s="64">
        <v>2.13</v>
      </c>
      <c r="G96" s="64">
        <v>237.2</v>
      </c>
      <c r="H96" s="64">
        <v>53.46</v>
      </c>
      <c r="I96" s="210" t="s">
        <v>43</v>
      </c>
      <c r="J96" s="64">
        <v>0.54</v>
      </c>
      <c r="K96" s="64">
        <v>293.52</v>
      </c>
      <c r="L96" s="64">
        <v>11.22</v>
      </c>
      <c r="M96" s="64">
        <v>85.26</v>
      </c>
      <c r="N96" s="64">
        <v>57.2</v>
      </c>
      <c r="O96" s="64">
        <v>0</v>
      </c>
      <c r="P96" s="64">
        <v>2.15</v>
      </c>
      <c r="Q96" s="64">
        <v>10.08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1004</v>
      </c>
      <c r="B97" s="64">
        <v>168.53</v>
      </c>
      <c r="C97" s="64">
        <v>63.09</v>
      </c>
      <c r="D97" s="64">
        <v>166.73</v>
      </c>
      <c r="E97" s="64">
        <v>12.69</v>
      </c>
      <c r="F97" s="64">
        <v>2.13</v>
      </c>
      <c r="G97" s="64">
        <v>237.2</v>
      </c>
      <c r="H97" s="64">
        <v>53.46</v>
      </c>
      <c r="I97" s="210" t="s">
        <v>43</v>
      </c>
      <c r="J97" s="64">
        <v>1.47</v>
      </c>
      <c r="K97" s="64">
        <v>253.75</v>
      </c>
      <c r="L97" s="64">
        <v>11.31</v>
      </c>
      <c r="M97" s="64">
        <v>77.2</v>
      </c>
      <c r="N97" s="64">
        <v>57.3</v>
      </c>
      <c r="O97" s="64">
        <v>0</v>
      </c>
      <c r="P97" s="64">
        <v>2.27</v>
      </c>
      <c r="Q97" s="64">
        <v>10.14</v>
      </c>
      <c r="R97" s="198"/>
      <c r="S97" s="198"/>
      <c r="T97" s="198"/>
      <c r="U97" s="198"/>
    </row>
    <row r="98" spans="1:33" s="12" customFormat="1" x14ac:dyDescent="0.25">
      <c r="A98" s="214" t="s">
        <v>1005</v>
      </c>
      <c r="B98" s="64">
        <v>175.66</v>
      </c>
      <c r="C98" s="64">
        <v>62.53</v>
      </c>
      <c r="D98" s="64">
        <v>172.16</v>
      </c>
      <c r="E98" s="64">
        <v>13</v>
      </c>
      <c r="F98" s="64">
        <v>2.13</v>
      </c>
      <c r="G98" s="64">
        <v>237.2</v>
      </c>
      <c r="H98" s="64">
        <v>53.46</v>
      </c>
      <c r="I98" s="210" t="s">
        <v>43</v>
      </c>
      <c r="J98" s="64">
        <v>1.32</v>
      </c>
      <c r="K98" s="64">
        <v>237.64</v>
      </c>
      <c r="L98" s="64">
        <v>11.39</v>
      </c>
      <c r="M98" s="64">
        <v>69.2</v>
      </c>
      <c r="N98" s="64">
        <v>56.8</v>
      </c>
      <c r="O98" s="64">
        <v>0</v>
      </c>
      <c r="P98" s="64">
        <v>2.31</v>
      </c>
      <c r="Q98" s="64">
        <v>10.19</v>
      </c>
      <c r="R98" s="198"/>
      <c r="S98" s="198"/>
      <c r="T98" s="198"/>
      <c r="U98" s="198"/>
    </row>
    <row r="99" spans="1:33" s="12" customFormat="1" x14ac:dyDescent="0.25">
      <c r="A99" s="214" t="s">
        <v>1006</v>
      </c>
      <c r="B99" s="64">
        <v>175</v>
      </c>
      <c r="C99" s="64">
        <v>61.74</v>
      </c>
      <c r="D99" s="64">
        <v>171.22</v>
      </c>
      <c r="E99" s="64">
        <v>13.06</v>
      </c>
      <c r="F99" s="64">
        <v>2.13</v>
      </c>
      <c r="G99" s="64">
        <v>209.53</v>
      </c>
      <c r="H99" s="64">
        <v>56.36</v>
      </c>
      <c r="I99" s="210" t="s">
        <v>43</v>
      </c>
      <c r="J99" s="64">
        <v>1.48</v>
      </c>
      <c r="K99" s="64">
        <v>234.38</v>
      </c>
      <c r="L99" s="64">
        <v>11.62</v>
      </c>
      <c r="M99" s="64">
        <v>67.39</v>
      </c>
      <c r="N99" s="64">
        <v>56.9</v>
      </c>
      <c r="O99" s="64">
        <v>0</v>
      </c>
      <c r="P99" s="64">
        <v>2.2799999999999998</v>
      </c>
      <c r="Q99" s="64">
        <v>10.199999999999999</v>
      </c>
      <c r="R99" s="198"/>
      <c r="S99" s="198"/>
      <c r="T99" s="198"/>
      <c r="U99" s="198"/>
    </row>
    <row r="100" spans="1:33" s="12" customFormat="1" x14ac:dyDescent="0.25">
      <c r="A100" s="214" t="s">
        <v>1007</v>
      </c>
      <c r="B100" s="64">
        <v>171.41</v>
      </c>
      <c r="C100" s="64">
        <v>59.91</v>
      </c>
      <c r="D100" s="64">
        <v>167.38</v>
      </c>
      <c r="E100" s="64">
        <v>12.16</v>
      </c>
      <c r="F100" s="64">
        <v>2.13</v>
      </c>
      <c r="G100" s="64">
        <v>197.67</v>
      </c>
      <c r="H100" s="64">
        <v>57.61</v>
      </c>
      <c r="I100" s="210" t="s">
        <v>43</v>
      </c>
      <c r="J100" s="64">
        <v>1.42</v>
      </c>
      <c r="K100" s="64">
        <v>319.68</v>
      </c>
      <c r="L100" s="64">
        <v>11.05</v>
      </c>
      <c r="M100" s="64">
        <v>75.89</v>
      </c>
      <c r="N100" s="64">
        <v>57.7</v>
      </c>
      <c r="O100" s="64">
        <v>0</v>
      </c>
      <c r="P100" s="64">
        <v>2.2599999999999998</v>
      </c>
      <c r="Q100" s="64">
        <v>10.19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1008</v>
      </c>
      <c r="B101" s="64">
        <v>169.27</v>
      </c>
      <c r="C101" s="64">
        <v>58.42</v>
      </c>
      <c r="D101" s="64">
        <v>164.89</v>
      </c>
      <c r="E101" s="64">
        <v>12.63</v>
      </c>
      <c r="F101" s="64">
        <v>2.13</v>
      </c>
      <c r="G101" s="64">
        <v>197.67</v>
      </c>
      <c r="H101" s="64">
        <v>57.61</v>
      </c>
      <c r="I101" s="210" t="s">
        <v>43</v>
      </c>
      <c r="J101" s="64">
        <v>0.55000000000000004</v>
      </c>
      <c r="K101" s="64">
        <v>309.85000000000002</v>
      </c>
      <c r="L101" s="64">
        <v>10.5</v>
      </c>
      <c r="M101" s="64">
        <v>81.400000000000006</v>
      </c>
      <c r="N101" s="64">
        <v>57.5</v>
      </c>
      <c r="O101" s="64">
        <v>0</v>
      </c>
      <c r="P101" s="64">
        <v>2.27</v>
      </c>
      <c r="Q101" s="64">
        <v>10.15</v>
      </c>
      <c r="R101" s="198"/>
      <c r="S101" s="198"/>
      <c r="T101" s="198"/>
      <c r="U101" s="198"/>
    </row>
    <row r="102" spans="1:33" s="12" customFormat="1" x14ac:dyDescent="0.25">
      <c r="A102" s="214" t="s">
        <v>1009</v>
      </c>
      <c r="B102" s="64">
        <v>165.26</v>
      </c>
      <c r="C102" s="64">
        <v>56.56</v>
      </c>
      <c r="D102" s="64">
        <v>160.69999999999999</v>
      </c>
      <c r="E102" s="64">
        <v>11.92</v>
      </c>
      <c r="F102" s="64">
        <v>2.13</v>
      </c>
      <c r="G102" s="64">
        <v>197.67</v>
      </c>
      <c r="H102" s="64">
        <v>57.61</v>
      </c>
      <c r="I102" s="210" t="s">
        <v>43</v>
      </c>
      <c r="J102" s="64">
        <v>1.39</v>
      </c>
      <c r="K102" s="64">
        <v>289.89</v>
      </c>
      <c r="L102" s="64">
        <v>10.25</v>
      </c>
      <c r="M102" s="64">
        <v>78.23</v>
      </c>
      <c r="N102" s="64">
        <v>57.6</v>
      </c>
      <c r="O102" s="64">
        <v>0</v>
      </c>
      <c r="P102" s="64">
        <v>2.23</v>
      </c>
      <c r="Q102" s="64">
        <v>10.15</v>
      </c>
      <c r="R102" s="198"/>
      <c r="S102" s="198"/>
      <c r="T102" s="198"/>
      <c r="U102" s="198"/>
    </row>
    <row r="103" spans="1:33" s="12" customFormat="1" x14ac:dyDescent="0.25">
      <c r="A103" s="214" t="s">
        <v>1010</v>
      </c>
      <c r="B103" s="64">
        <v>160.22999999999999</v>
      </c>
      <c r="C103" s="64">
        <v>54.97</v>
      </c>
      <c r="D103" s="64">
        <v>155.83000000000001</v>
      </c>
      <c r="E103" s="64">
        <v>11.58</v>
      </c>
      <c r="F103" s="64">
        <v>2.13</v>
      </c>
      <c r="G103" s="64">
        <v>173.89</v>
      </c>
      <c r="H103" s="64">
        <v>57.48</v>
      </c>
      <c r="I103" s="210" t="s">
        <v>43</v>
      </c>
      <c r="J103" s="64">
        <v>1.42</v>
      </c>
      <c r="K103" s="64">
        <v>300.85000000000002</v>
      </c>
      <c r="L103" s="64">
        <v>10.050000000000001</v>
      </c>
      <c r="M103" s="64">
        <v>78.959999999999994</v>
      </c>
      <c r="N103" s="64">
        <v>57.6</v>
      </c>
      <c r="O103" s="64">
        <v>0</v>
      </c>
      <c r="P103" s="64">
        <v>2.2000000000000002</v>
      </c>
      <c r="Q103" s="64">
        <v>10.16</v>
      </c>
      <c r="R103" s="198"/>
      <c r="S103" s="198"/>
      <c r="T103" s="198"/>
      <c r="U103" s="198"/>
    </row>
    <row r="104" spans="1:33" s="12" customFormat="1" x14ac:dyDescent="0.25">
      <c r="A104" s="214" t="s">
        <v>1011</v>
      </c>
      <c r="B104" s="64">
        <v>155.27000000000001</v>
      </c>
      <c r="C104" s="64">
        <v>52.17</v>
      </c>
      <c r="D104" s="64">
        <v>150.4</v>
      </c>
      <c r="E104" s="64">
        <v>8.92</v>
      </c>
      <c r="F104" s="64">
        <v>2.13</v>
      </c>
      <c r="G104" s="64">
        <v>163.69999999999999</v>
      </c>
      <c r="H104" s="64">
        <v>57.43</v>
      </c>
      <c r="I104" s="210" t="s">
        <v>43</v>
      </c>
      <c r="J104" s="64">
        <v>1.5</v>
      </c>
      <c r="K104" s="64">
        <v>282.82</v>
      </c>
      <c r="L104" s="64">
        <v>9.86</v>
      </c>
      <c r="M104" s="64">
        <v>81.03</v>
      </c>
      <c r="N104" s="64">
        <v>57.5</v>
      </c>
      <c r="O104" s="64">
        <v>0</v>
      </c>
      <c r="P104" s="64">
        <v>2.12</v>
      </c>
      <c r="Q104" s="64">
        <v>10.08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3.05</v>
      </c>
      <c r="C106" s="67">
        <f>MIN(C9:C104)</f>
        <v>45.2</v>
      </c>
      <c r="D106" s="67">
        <f t="shared" ref="D106:Q106" si="0">MIN(D9:D104)</f>
        <v>31.27</v>
      </c>
      <c r="E106" s="67">
        <f t="shared" si="0"/>
        <v>5</v>
      </c>
      <c r="F106" s="67">
        <f t="shared" si="0"/>
        <v>2.13</v>
      </c>
      <c r="G106" s="67">
        <f t="shared" si="0"/>
        <v>44.44</v>
      </c>
      <c r="H106" s="67">
        <f t="shared" si="0"/>
        <v>21.1</v>
      </c>
      <c r="I106" s="67">
        <f t="shared" si="0"/>
        <v>0</v>
      </c>
      <c r="J106" s="67">
        <f t="shared" si="0"/>
        <v>0.15</v>
      </c>
      <c r="K106" s="67">
        <f t="shared" si="0"/>
        <v>0.14000000000000001</v>
      </c>
      <c r="L106" s="67">
        <f t="shared" si="0"/>
        <v>8.9600000000000009</v>
      </c>
      <c r="M106" s="67">
        <f t="shared" si="0"/>
        <v>25.68</v>
      </c>
      <c r="N106" s="67">
        <f t="shared" si="0"/>
        <v>54.9</v>
      </c>
      <c r="O106" s="67">
        <f t="shared" si="0"/>
        <v>0</v>
      </c>
      <c r="P106" s="67">
        <f t="shared" si="0"/>
        <v>0.61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175.66</v>
      </c>
      <c r="C107" s="66">
        <f t="shared" ref="C107:Q107" si="1">MAX(C9:C104)</f>
        <v>77.41</v>
      </c>
      <c r="D107" s="66">
        <f t="shared" si="1"/>
        <v>172.16</v>
      </c>
      <c r="E107" s="66">
        <f t="shared" si="1"/>
        <v>13.06</v>
      </c>
      <c r="F107" s="66">
        <f t="shared" si="1"/>
        <v>5.0199999999999996</v>
      </c>
      <c r="G107" s="66">
        <f t="shared" si="1"/>
        <v>237.2</v>
      </c>
      <c r="H107" s="66">
        <f t="shared" si="1"/>
        <v>57.61</v>
      </c>
      <c r="I107" s="66">
        <f t="shared" si="1"/>
        <v>0</v>
      </c>
      <c r="J107" s="66">
        <f t="shared" si="1"/>
        <v>2.68</v>
      </c>
      <c r="K107" s="66">
        <f t="shared" si="1"/>
        <v>352.94</v>
      </c>
      <c r="L107" s="66">
        <f t="shared" si="1"/>
        <v>24.34</v>
      </c>
      <c r="M107" s="66">
        <f t="shared" si="1"/>
        <v>85.26</v>
      </c>
      <c r="N107" s="66">
        <f t="shared" si="1"/>
        <v>718.6</v>
      </c>
      <c r="O107" s="66">
        <f t="shared" si="1"/>
        <v>0</v>
      </c>
      <c r="P107" s="66">
        <f t="shared" si="1"/>
        <v>2.31</v>
      </c>
      <c r="Q107" s="66">
        <f t="shared" si="1"/>
        <v>10.199999999999999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33.159583333333337</v>
      </c>
      <c r="C108" s="67">
        <f t="shared" ref="C108:Q108" si="2">AVERAGE(C9:C104)</f>
        <v>59.299895833333345</v>
      </c>
      <c r="D108" s="67">
        <f t="shared" si="2"/>
        <v>56.196562499999999</v>
      </c>
      <c r="E108" s="67">
        <f t="shared" si="2"/>
        <v>7.6178124999999994</v>
      </c>
      <c r="F108" s="67">
        <f t="shared" si="2"/>
        <v>2.2346874999999979</v>
      </c>
      <c r="G108" s="67">
        <f t="shared" si="2"/>
        <v>96.172916666666666</v>
      </c>
      <c r="H108" s="67">
        <f t="shared" si="2"/>
        <v>31.853437500000009</v>
      </c>
      <c r="I108" s="67" t="e">
        <f t="shared" si="2"/>
        <v>#DIV/0!</v>
      </c>
      <c r="J108" s="67">
        <f t="shared" si="2"/>
        <v>1.3694791666666664</v>
      </c>
      <c r="K108" s="67">
        <f t="shared" si="2"/>
        <v>231.91270833333328</v>
      </c>
      <c r="L108" s="67">
        <f t="shared" si="2"/>
        <v>15.098645833333331</v>
      </c>
      <c r="M108" s="67">
        <f t="shared" si="2"/>
        <v>54.852291666666645</v>
      </c>
      <c r="N108" s="67">
        <f t="shared" si="2"/>
        <v>206.24062500000005</v>
      </c>
      <c r="O108" s="67">
        <f t="shared" si="2"/>
        <v>0</v>
      </c>
      <c r="P108" s="67">
        <f t="shared" si="2"/>
        <v>0.98531250000000037</v>
      </c>
      <c r="Q108" s="67">
        <f t="shared" si="2"/>
        <v>8.5217708333333348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49.29667459515246</v>
      </c>
      <c r="C109" s="67">
        <f t="shared" ref="C109:Q109" si="3">STDEV(C9:C104)</f>
        <v>8.591783038374885</v>
      </c>
      <c r="D109" s="67">
        <f t="shared" si="3"/>
        <v>40.138863352331065</v>
      </c>
      <c r="E109" s="67">
        <f t="shared" si="3"/>
        <v>2.3448026302868232</v>
      </c>
      <c r="F109" s="67">
        <f t="shared" si="3"/>
        <v>0.43876370124057329</v>
      </c>
      <c r="G109" s="67">
        <f t="shared" si="3"/>
        <v>57.232260021713095</v>
      </c>
      <c r="H109" s="67">
        <f t="shared" si="3"/>
        <v>9.8654815368509574</v>
      </c>
      <c r="I109" s="67" t="e">
        <f t="shared" si="3"/>
        <v>#DIV/0!</v>
      </c>
      <c r="J109" s="67">
        <f t="shared" si="3"/>
        <v>0.60404839435205837</v>
      </c>
      <c r="K109" s="67">
        <f t="shared" si="3"/>
        <v>128.42273193168825</v>
      </c>
      <c r="L109" s="67">
        <f t="shared" si="3"/>
        <v>5.0845705961201748</v>
      </c>
      <c r="M109" s="67">
        <f t="shared" si="3"/>
        <v>20.587022559148334</v>
      </c>
      <c r="N109" s="67">
        <f t="shared" si="3"/>
        <v>233.95363309318344</v>
      </c>
      <c r="O109" s="67">
        <f t="shared" si="3"/>
        <v>0</v>
      </c>
      <c r="P109" s="67">
        <f t="shared" si="3"/>
        <v>0.50952186694462498</v>
      </c>
      <c r="Q109" s="67">
        <f t="shared" si="3"/>
        <v>0.66054681461516807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1012</v>
      </c>
      <c r="B9" s="64">
        <v>151.15</v>
      </c>
      <c r="C9" s="64">
        <v>51.16</v>
      </c>
      <c r="D9" s="64">
        <v>146.57</v>
      </c>
      <c r="E9" s="64">
        <v>9.02</v>
      </c>
      <c r="F9" s="64">
        <v>2.13</v>
      </c>
      <c r="G9" s="64">
        <v>163.69999999999999</v>
      </c>
      <c r="H9" s="64">
        <v>57.43</v>
      </c>
      <c r="I9" s="210" t="s">
        <v>43</v>
      </c>
      <c r="J9" s="64">
        <v>1.43</v>
      </c>
      <c r="K9" s="64">
        <v>309.02999999999997</v>
      </c>
      <c r="L9" s="64">
        <v>9.7899999999999991</v>
      </c>
      <c r="M9" s="64">
        <v>85.47</v>
      </c>
      <c r="N9" s="64">
        <v>57.4</v>
      </c>
      <c r="O9" s="64">
        <v>0</v>
      </c>
      <c r="P9" s="64">
        <v>2.1</v>
      </c>
      <c r="Q9" s="64">
        <v>10.07</v>
      </c>
      <c r="R9" s="198"/>
      <c r="S9" s="198"/>
      <c r="T9" s="198"/>
      <c r="U9" s="198"/>
    </row>
    <row r="10" spans="1:21" s="12" customFormat="1" x14ac:dyDescent="0.25">
      <c r="A10" s="214" t="s">
        <v>1013</v>
      </c>
      <c r="B10" s="64">
        <v>146.85</v>
      </c>
      <c r="C10" s="64">
        <v>50.66</v>
      </c>
      <c r="D10" s="64">
        <v>142.86000000000001</v>
      </c>
      <c r="E10" s="64">
        <v>9.0299999999999994</v>
      </c>
      <c r="F10" s="64">
        <v>2.13</v>
      </c>
      <c r="G10" s="64">
        <v>163.69999999999999</v>
      </c>
      <c r="H10" s="64">
        <v>57.43</v>
      </c>
      <c r="I10" s="210" t="s">
        <v>43</v>
      </c>
      <c r="J10" s="64">
        <v>1.21</v>
      </c>
      <c r="K10" s="64">
        <v>279.26</v>
      </c>
      <c r="L10" s="64">
        <v>9.73</v>
      </c>
      <c r="M10" s="64">
        <v>85.07</v>
      </c>
      <c r="N10" s="64">
        <v>57.4</v>
      </c>
      <c r="O10" s="64">
        <v>0</v>
      </c>
      <c r="P10" s="64">
        <v>2.0499999999999998</v>
      </c>
      <c r="Q10" s="64">
        <v>10.06</v>
      </c>
      <c r="R10" s="198"/>
      <c r="S10" s="198"/>
      <c r="T10" s="198"/>
      <c r="U10" s="198"/>
    </row>
    <row r="11" spans="1:21" s="12" customFormat="1" x14ac:dyDescent="0.25">
      <c r="A11" s="214" t="s">
        <v>1014</v>
      </c>
      <c r="B11" s="64">
        <v>141.26</v>
      </c>
      <c r="C11" s="64">
        <v>50.08</v>
      </c>
      <c r="D11" s="64">
        <v>138.07</v>
      </c>
      <c r="E11" s="64">
        <v>8.9</v>
      </c>
      <c r="F11" s="64">
        <v>2.13</v>
      </c>
      <c r="G11" s="64">
        <v>149.72999999999999</v>
      </c>
      <c r="H11" s="64">
        <v>53.77</v>
      </c>
      <c r="I11" s="210" t="s">
        <v>43</v>
      </c>
      <c r="J11" s="64">
        <v>1.01</v>
      </c>
      <c r="K11" s="64">
        <v>250.36</v>
      </c>
      <c r="L11" s="64">
        <v>9.8000000000000007</v>
      </c>
      <c r="M11" s="64">
        <v>86.88</v>
      </c>
      <c r="N11" s="64">
        <v>57.4</v>
      </c>
      <c r="O11" s="64">
        <v>0</v>
      </c>
      <c r="P11" s="64">
        <v>2</v>
      </c>
      <c r="Q11" s="64">
        <v>10.06</v>
      </c>
      <c r="R11" s="198"/>
      <c r="S11" s="198"/>
      <c r="T11" s="198"/>
      <c r="U11" s="198"/>
    </row>
    <row r="12" spans="1:21" s="12" customFormat="1" x14ac:dyDescent="0.25">
      <c r="A12" s="214" t="s">
        <v>1015</v>
      </c>
      <c r="B12" s="64">
        <v>135.71</v>
      </c>
      <c r="C12" s="64">
        <v>48.81</v>
      </c>
      <c r="D12" s="64">
        <v>132.94999999999999</v>
      </c>
      <c r="E12" s="64">
        <v>8.49</v>
      </c>
      <c r="F12" s="64">
        <v>2.13</v>
      </c>
      <c r="G12" s="64">
        <v>143.75</v>
      </c>
      <c r="H12" s="64">
        <v>52.2</v>
      </c>
      <c r="I12" s="210" t="s">
        <v>43</v>
      </c>
      <c r="J12" s="64">
        <v>1.1499999999999999</v>
      </c>
      <c r="K12" s="64">
        <v>287.81</v>
      </c>
      <c r="L12" s="64">
        <v>9.6</v>
      </c>
      <c r="M12" s="64">
        <v>88.31</v>
      </c>
      <c r="N12" s="64">
        <v>57.5</v>
      </c>
      <c r="O12" s="64">
        <v>0</v>
      </c>
      <c r="P12" s="64">
        <v>1.98</v>
      </c>
      <c r="Q12" s="64">
        <v>10.029999999999999</v>
      </c>
      <c r="R12" s="198"/>
      <c r="S12" s="198"/>
      <c r="T12" s="198"/>
      <c r="U12" s="198"/>
    </row>
    <row r="13" spans="1:21" s="12" customFormat="1" x14ac:dyDescent="0.25">
      <c r="A13" s="214" t="s">
        <v>1016</v>
      </c>
      <c r="B13" s="64">
        <v>129.75</v>
      </c>
      <c r="C13" s="64">
        <v>48.02</v>
      </c>
      <c r="D13" s="64">
        <v>127.76</v>
      </c>
      <c r="E13" s="64">
        <v>8.42</v>
      </c>
      <c r="F13" s="64">
        <v>2.13</v>
      </c>
      <c r="G13" s="64">
        <v>143.75</v>
      </c>
      <c r="H13" s="64">
        <v>52.2</v>
      </c>
      <c r="I13" s="210" t="s">
        <v>43</v>
      </c>
      <c r="J13" s="64">
        <v>0.52</v>
      </c>
      <c r="K13" s="64">
        <v>221.85</v>
      </c>
      <c r="L13" s="64">
        <v>9.8800000000000008</v>
      </c>
      <c r="M13" s="64">
        <v>85.29</v>
      </c>
      <c r="N13" s="64">
        <v>56.9</v>
      </c>
      <c r="O13" s="64">
        <v>0</v>
      </c>
      <c r="P13" s="64">
        <v>1.71</v>
      </c>
      <c r="Q13" s="64">
        <v>9.99</v>
      </c>
      <c r="R13" s="198"/>
      <c r="S13" s="198"/>
      <c r="T13" s="198"/>
      <c r="U13" s="198"/>
    </row>
    <row r="14" spans="1:21" s="12" customFormat="1" x14ac:dyDescent="0.25">
      <c r="A14" s="214" t="s">
        <v>1017</v>
      </c>
      <c r="B14" s="64">
        <v>123.7</v>
      </c>
      <c r="C14" s="64">
        <v>47.66</v>
      </c>
      <c r="D14" s="64">
        <v>122.72</v>
      </c>
      <c r="E14" s="64">
        <v>8.5500000000000007</v>
      </c>
      <c r="F14" s="64">
        <v>2.13</v>
      </c>
      <c r="G14" s="64">
        <v>143.75</v>
      </c>
      <c r="H14" s="64">
        <v>52.2</v>
      </c>
      <c r="I14" s="210" t="s">
        <v>43</v>
      </c>
      <c r="J14" s="64">
        <v>0.86</v>
      </c>
      <c r="K14" s="64">
        <v>274.63</v>
      </c>
      <c r="L14" s="64">
        <v>9.9</v>
      </c>
      <c r="M14" s="64">
        <v>84.86</v>
      </c>
      <c r="N14" s="64">
        <v>57.5</v>
      </c>
      <c r="O14" s="64">
        <v>0</v>
      </c>
      <c r="P14" s="64">
        <v>1.75</v>
      </c>
      <c r="Q14" s="64">
        <v>9.9600000000000009</v>
      </c>
      <c r="R14" s="198"/>
      <c r="S14" s="198"/>
      <c r="T14" s="198"/>
      <c r="U14" s="198"/>
    </row>
    <row r="15" spans="1:21" s="12" customFormat="1" x14ac:dyDescent="0.25">
      <c r="A15" s="214" t="s">
        <v>1018</v>
      </c>
      <c r="B15" s="64">
        <v>118.17</v>
      </c>
      <c r="C15" s="64">
        <v>48.37</v>
      </c>
      <c r="D15" s="64">
        <v>118.66</v>
      </c>
      <c r="E15" s="64">
        <v>8.16</v>
      </c>
      <c r="F15" s="64">
        <v>2.13</v>
      </c>
      <c r="G15" s="64">
        <v>129.56</v>
      </c>
      <c r="H15" s="64">
        <v>50.07</v>
      </c>
      <c r="I15" s="210" t="s">
        <v>43</v>
      </c>
      <c r="J15" s="64">
        <v>1.0900000000000001</v>
      </c>
      <c r="K15" s="64">
        <v>283.68</v>
      </c>
      <c r="L15" s="64">
        <v>9.6300000000000008</v>
      </c>
      <c r="M15" s="64">
        <v>88.04</v>
      </c>
      <c r="N15" s="64">
        <v>57.7</v>
      </c>
      <c r="O15" s="64">
        <v>0</v>
      </c>
      <c r="P15" s="64">
        <v>1.73</v>
      </c>
      <c r="Q15" s="64">
        <v>9.93</v>
      </c>
      <c r="R15" s="198"/>
      <c r="S15" s="198"/>
      <c r="T15" s="198"/>
      <c r="U15" s="198"/>
    </row>
    <row r="16" spans="1:21" s="12" customFormat="1" x14ac:dyDescent="0.25">
      <c r="A16" s="214" t="s">
        <v>1019</v>
      </c>
      <c r="B16" s="64">
        <v>113.9</v>
      </c>
      <c r="C16" s="64">
        <v>48.36</v>
      </c>
      <c r="D16" s="64">
        <v>115.23</v>
      </c>
      <c r="E16" s="64">
        <v>8.74</v>
      </c>
      <c r="F16" s="64">
        <v>2.13</v>
      </c>
      <c r="G16" s="64">
        <v>123.48</v>
      </c>
      <c r="H16" s="64">
        <v>49.16</v>
      </c>
      <c r="I16" s="210" t="s">
        <v>43</v>
      </c>
      <c r="J16" s="64">
        <v>0.5</v>
      </c>
      <c r="K16" s="64">
        <v>270.3</v>
      </c>
      <c r="L16" s="64">
        <v>9.32</v>
      </c>
      <c r="M16" s="64">
        <v>91.79</v>
      </c>
      <c r="N16" s="64">
        <v>57.6</v>
      </c>
      <c r="O16" s="64">
        <v>0</v>
      </c>
      <c r="P16" s="64">
        <v>1.7</v>
      </c>
      <c r="Q16" s="64">
        <v>9.8800000000000008</v>
      </c>
      <c r="R16" s="198"/>
      <c r="S16" s="198"/>
      <c r="T16" s="198"/>
      <c r="U16" s="198"/>
    </row>
    <row r="17" spans="1:21" s="12" customFormat="1" x14ac:dyDescent="0.25">
      <c r="A17" s="214" t="s">
        <v>1020</v>
      </c>
      <c r="B17" s="64">
        <v>109.49</v>
      </c>
      <c r="C17" s="64">
        <v>47.77</v>
      </c>
      <c r="D17" s="64">
        <v>111.39</v>
      </c>
      <c r="E17" s="64">
        <v>8.3000000000000007</v>
      </c>
      <c r="F17" s="64">
        <v>2.13</v>
      </c>
      <c r="G17" s="64">
        <v>123.48</v>
      </c>
      <c r="H17" s="64">
        <v>49.16</v>
      </c>
      <c r="I17" s="210" t="s">
        <v>43</v>
      </c>
      <c r="J17" s="64">
        <v>0.25</v>
      </c>
      <c r="K17" s="64">
        <v>338.97</v>
      </c>
      <c r="L17" s="64">
        <v>9.36</v>
      </c>
      <c r="M17" s="64">
        <v>92.98</v>
      </c>
      <c r="N17" s="64">
        <v>57.6</v>
      </c>
      <c r="O17" s="64">
        <v>0</v>
      </c>
      <c r="P17" s="64">
        <v>1.68</v>
      </c>
      <c r="Q17" s="64">
        <v>9.81</v>
      </c>
      <c r="R17" s="198"/>
      <c r="S17" s="198"/>
      <c r="T17" s="198"/>
      <c r="U17" s="198"/>
    </row>
    <row r="18" spans="1:21" s="12" customFormat="1" x14ac:dyDescent="0.25">
      <c r="A18" s="214" t="s">
        <v>1021</v>
      </c>
      <c r="B18" s="64">
        <v>105.34</v>
      </c>
      <c r="C18" s="64">
        <v>47.04</v>
      </c>
      <c r="D18" s="64">
        <v>107.68</v>
      </c>
      <c r="E18" s="64">
        <v>7.98</v>
      </c>
      <c r="F18" s="64">
        <v>2.13</v>
      </c>
      <c r="G18" s="64">
        <v>123.48</v>
      </c>
      <c r="H18" s="64">
        <v>49.16</v>
      </c>
      <c r="I18" s="210" t="s">
        <v>43</v>
      </c>
      <c r="J18" s="64">
        <v>0.8</v>
      </c>
      <c r="K18" s="64">
        <v>320.39</v>
      </c>
      <c r="L18" s="64">
        <v>9.17</v>
      </c>
      <c r="M18" s="64">
        <v>95.47</v>
      </c>
      <c r="N18" s="64">
        <v>57.7</v>
      </c>
      <c r="O18" s="64">
        <v>0</v>
      </c>
      <c r="P18" s="64">
        <v>1.66</v>
      </c>
      <c r="Q18" s="64">
        <v>9.75</v>
      </c>
      <c r="R18" s="198"/>
      <c r="S18" s="198"/>
      <c r="T18" s="198"/>
      <c r="U18" s="198"/>
    </row>
    <row r="19" spans="1:21" s="12" customFormat="1" x14ac:dyDescent="0.25">
      <c r="A19" s="214" t="s">
        <v>1022</v>
      </c>
      <c r="B19" s="64">
        <v>101.88</v>
      </c>
      <c r="C19" s="64">
        <v>46.44</v>
      </c>
      <c r="D19" s="64">
        <v>104.58</v>
      </c>
      <c r="E19" s="64">
        <v>8.1300000000000008</v>
      </c>
      <c r="F19" s="64">
        <v>2.13</v>
      </c>
      <c r="G19" s="64">
        <v>133.05000000000001</v>
      </c>
      <c r="H19" s="64">
        <v>48.44</v>
      </c>
      <c r="I19" s="210" t="s">
        <v>43</v>
      </c>
      <c r="J19" s="64">
        <v>0.77</v>
      </c>
      <c r="K19" s="64">
        <v>225.31</v>
      </c>
      <c r="L19" s="64">
        <v>9.14</v>
      </c>
      <c r="M19" s="64">
        <v>95.16</v>
      </c>
      <c r="N19" s="64">
        <v>57.8</v>
      </c>
      <c r="O19" s="64">
        <v>0</v>
      </c>
      <c r="P19" s="64">
        <v>1.64</v>
      </c>
      <c r="Q19" s="64">
        <v>9.75</v>
      </c>
      <c r="R19" s="198"/>
      <c r="S19" s="198"/>
      <c r="T19" s="198"/>
      <c r="U19" s="198"/>
    </row>
    <row r="20" spans="1:21" s="12" customFormat="1" x14ac:dyDescent="0.25">
      <c r="A20" s="214" t="s">
        <v>1023</v>
      </c>
      <c r="B20" s="64">
        <v>98.54</v>
      </c>
      <c r="C20" s="64">
        <v>46.42</v>
      </c>
      <c r="D20" s="64">
        <v>101.9</v>
      </c>
      <c r="E20" s="64">
        <v>7.92</v>
      </c>
      <c r="F20" s="64">
        <v>2.13</v>
      </c>
      <c r="G20" s="64">
        <v>137.13999999999999</v>
      </c>
      <c r="H20" s="64">
        <v>48.13</v>
      </c>
      <c r="I20" s="210" t="s">
        <v>43</v>
      </c>
      <c r="J20" s="64">
        <v>0.7</v>
      </c>
      <c r="K20" s="64">
        <v>325.17</v>
      </c>
      <c r="L20" s="64">
        <v>8.86</v>
      </c>
      <c r="M20" s="64">
        <v>96.49</v>
      </c>
      <c r="N20" s="64">
        <v>57.8</v>
      </c>
      <c r="O20" s="64">
        <v>0</v>
      </c>
      <c r="P20" s="64">
        <v>1.62</v>
      </c>
      <c r="Q20" s="64">
        <v>9.74</v>
      </c>
      <c r="R20" s="198"/>
      <c r="S20" s="198"/>
      <c r="T20" s="198"/>
      <c r="U20" s="198"/>
    </row>
    <row r="21" spans="1:21" s="12" customFormat="1" x14ac:dyDescent="0.25">
      <c r="A21" s="214" t="s">
        <v>1024</v>
      </c>
      <c r="B21" s="64">
        <v>95.34</v>
      </c>
      <c r="C21" s="64">
        <v>46.08</v>
      </c>
      <c r="D21" s="64">
        <v>99.16</v>
      </c>
      <c r="E21" s="64">
        <v>7.8</v>
      </c>
      <c r="F21" s="64">
        <v>2.13</v>
      </c>
      <c r="G21" s="64">
        <v>137.13999999999999</v>
      </c>
      <c r="H21" s="64">
        <v>48.13</v>
      </c>
      <c r="I21" s="210" t="s">
        <v>43</v>
      </c>
      <c r="J21" s="64">
        <v>1.26</v>
      </c>
      <c r="K21" s="64">
        <v>165.56</v>
      </c>
      <c r="L21" s="64">
        <v>8.8000000000000007</v>
      </c>
      <c r="M21" s="64">
        <v>95.3</v>
      </c>
      <c r="N21" s="64">
        <v>57.6</v>
      </c>
      <c r="O21" s="64">
        <v>0</v>
      </c>
      <c r="P21" s="64">
        <v>1.61</v>
      </c>
      <c r="Q21" s="64">
        <v>9.7100000000000009</v>
      </c>
      <c r="R21" s="198"/>
      <c r="S21" s="198"/>
      <c r="T21" s="198"/>
      <c r="U21" s="198"/>
    </row>
    <row r="22" spans="1:21" s="12" customFormat="1" x14ac:dyDescent="0.25">
      <c r="A22" s="214" t="s">
        <v>1025</v>
      </c>
      <c r="B22" s="64">
        <v>91.88</v>
      </c>
      <c r="C22" s="64">
        <v>45.73</v>
      </c>
      <c r="D22" s="64">
        <v>96.2</v>
      </c>
      <c r="E22" s="64">
        <v>7.87</v>
      </c>
      <c r="F22" s="64">
        <v>2.13</v>
      </c>
      <c r="G22" s="64">
        <v>137.13999999999999</v>
      </c>
      <c r="H22" s="64">
        <v>48.13</v>
      </c>
      <c r="I22" s="210" t="s">
        <v>43</v>
      </c>
      <c r="J22" s="64">
        <v>0.82</v>
      </c>
      <c r="K22" s="64">
        <v>46.73</v>
      </c>
      <c r="L22" s="64">
        <v>8.91</v>
      </c>
      <c r="M22" s="64">
        <v>93.17</v>
      </c>
      <c r="N22" s="64">
        <v>57.7</v>
      </c>
      <c r="O22" s="64">
        <v>0</v>
      </c>
      <c r="P22" s="64">
        <v>1.6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1026</v>
      </c>
      <c r="B23" s="64">
        <v>88.99</v>
      </c>
      <c r="C23" s="64">
        <v>45.36</v>
      </c>
      <c r="D23" s="64">
        <v>93.68</v>
      </c>
      <c r="E23" s="64">
        <v>8</v>
      </c>
      <c r="F23" s="64">
        <v>2.13</v>
      </c>
      <c r="G23" s="64">
        <v>156.71</v>
      </c>
      <c r="H23" s="64">
        <v>52.03</v>
      </c>
      <c r="I23" s="210" t="s">
        <v>43</v>
      </c>
      <c r="J23" s="64">
        <v>0.95</v>
      </c>
      <c r="K23" s="64">
        <v>231.35</v>
      </c>
      <c r="L23" s="64">
        <v>8.8800000000000008</v>
      </c>
      <c r="M23" s="64">
        <v>94.92</v>
      </c>
      <c r="N23" s="64">
        <v>57.4</v>
      </c>
      <c r="O23" s="64">
        <v>0</v>
      </c>
      <c r="P23" s="64">
        <v>1.6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4" t="s">
        <v>1027</v>
      </c>
      <c r="B24" s="64">
        <v>86.95</v>
      </c>
      <c r="C24" s="64">
        <v>44.9</v>
      </c>
      <c r="D24" s="64">
        <v>91.81</v>
      </c>
      <c r="E24" s="64">
        <v>8.36</v>
      </c>
      <c r="F24" s="64">
        <v>2.13</v>
      </c>
      <c r="G24" s="64">
        <v>165.09</v>
      </c>
      <c r="H24" s="64">
        <v>53.7</v>
      </c>
      <c r="I24" s="210" t="s">
        <v>43</v>
      </c>
      <c r="J24" s="64">
        <v>1.55</v>
      </c>
      <c r="K24" s="64">
        <v>340.76</v>
      </c>
      <c r="L24" s="64">
        <v>8.74</v>
      </c>
      <c r="M24" s="64">
        <v>95.62</v>
      </c>
      <c r="N24" s="64">
        <v>58</v>
      </c>
      <c r="O24" s="64">
        <v>0</v>
      </c>
      <c r="P24" s="64">
        <v>1.6</v>
      </c>
      <c r="Q24" s="64">
        <v>9.61</v>
      </c>
      <c r="R24" s="198"/>
      <c r="S24" s="198"/>
      <c r="T24" s="198"/>
      <c r="U24" s="198"/>
    </row>
    <row r="25" spans="1:21" s="12" customFormat="1" x14ac:dyDescent="0.25">
      <c r="A25" s="214" t="s">
        <v>1028</v>
      </c>
      <c r="B25" s="64">
        <v>85.7</v>
      </c>
      <c r="C25" s="64">
        <v>42.64</v>
      </c>
      <c r="D25" s="64">
        <v>89.63</v>
      </c>
      <c r="E25" s="64">
        <v>8.23</v>
      </c>
      <c r="F25" s="64">
        <v>2.13</v>
      </c>
      <c r="G25" s="64">
        <v>165.09</v>
      </c>
      <c r="H25" s="64">
        <v>53.7</v>
      </c>
      <c r="I25" s="210" t="s">
        <v>43</v>
      </c>
      <c r="J25" s="64">
        <v>1.4</v>
      </c>
      <c r="K25" s="64">
        <v>299.29000000000002</v>
      </c>
      <c r="L25" s="64">
        <v>8.27</v>
      </c>
      <c r="M25" s="64">
        <v>98.64</v>
      </c>
      <c r="N25" s="64">
        <v>57.9</v>
      </c>
      <c r="O25" s="64">
        <v>0</v>
      </c>
      <c r="P25" s="64">
        <v>1.57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1029</v>
      </c>
      <c r="B26" s="64">
        <v>85.13</v>
      </c>
      <c r="C26" s="64">
        <v>42.36</v>
      </c>
      <c r="D26" s="64">
        <v>89.02</v>
      </c>
      <c r="E26" s="64">
        <v>8.2100000000000009</v>
      </c>
      <c r="F26" s="64">
        <v>2.13</v>
      </c>
      <c r="G26" s="64">
        <v>165.09</v>
      </c>
      <c r="H26" s="64">
        <v>53.7</v>
      </c>
      <c r="I26" s="210" t="s">
        <v>43</v>
      </c>
      <c r="J26" s="64">
        <v>1.26</v>
      </c>
      <c r="K26" s="64">
        <v>321.72000000000003</v>
      </c>
      <c r="L26" s="64">
        <v>8.17</v>
      </c>
      <c r="M26" s="64">
        <v>99.35</v>
      </c>
      <c r="N26" s="64">
        <v>58</v>
      </c>
      <c r="O26" s="64">
        <v>0</v>
      </c>
      <c r="P26" s="64">
        <v>1.57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1030</v>
      </c>
      <c r="B27" s="64">
        <v>84.97</v>
      </c>
      <c r="C27" s="64">
        <v>42.37</v>
      </c>
      <c r="D27" s="64">
        <v>88.9</v>
      </c>
      <c r="E27" s="64">
        <v>8.31</v>
      </c>
      <c r="F27" s="64">
        <v>2.13</v>
      </c>
      <c r="G27" s="64">
        <v>154.93</v>
      </c>
      <c r="H27" s="64">
        <v>56.39</v>
      </c>
      <c r="I27" s="210" t="s">
        <v>43</v>
      </c>
      <c r="J27" s="64">
        <v>0.11</v>
      </c>
      <c r="K27" s="64">
        <v>52.78</v>
      </c>
      <c r="L27" s="64">
        <v>7.92</v>
      </c>
      <c r="M27" s="64">
        <v>100.67</v>
      </c>
      <c r="N27" s="64">
        <v>57.9</v>
      </c>
      <c r="O27" s="64">
        <v>0</v>
      </c>
      <c r="P27" s="64">
        <v>1.56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4" t="s">
        <v>1031</v>
      </c>
      <c r="B28" s="64">
        <v>85.13</v>
      </c>
      <c r="C28" s="64">
        <v>41.93</v>
      </c>
      <c r="D28" s="64">
        <v>88.8</v>
      </c>
      <c r="E28" s="64">
        <v>8.89</v>
      </c>
      <c r="F28" s="64">
        <v>2.13</v>
      </c>
      <c r="G28" s="64">
        <v>150.35</v>
      </c>
      <c r="H28" s="64">
        <v>57.54</v>
      </c>
      <c r="I28" s="210" t="s">
        <v>43</v>
      </c>
      <c r="J28" s="64">
        <v>1.35</v>
      </c>
      <c r="K28" s="64">
        <v>355.9</v>
      </c>
      <c r="L28" s="64">
        <v>7.95</v>
      </c>
      <c r="M28" s="64">
        <v>99.69</v>
      </c>
      <c r="N28" s="64">
        <v>57.8</v>
      </c>
      <c r="O28" s="64">
        <v>0</v>
      </c>
      <c r="P28" s="64">
        <v>1.57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1032</v>
      </c>
      <c r="B29" s="64">
        <v>86.69</v>
      </c>
      <c r="C29" s="64">
        <v>41.52</v>
      </c>
      <c r="D29" s="64">
        <v>89.84</v>
      </c>
      <c r="E29" s="64">
        <v>9.02</v>
      </c>
      <c r="F29" s="64">
        <v>2.13</v>
      </c>
      <c r="G29" s="64">
        <v>150.35</v>
      </c>
      <c r="H29" s="64">
        <v>57.54</v>
      </c>
      <c r="I29" s="210" t="s">
        <v>43</v>
      </c>
      <c r="J29" s="64">
        <v>0.94</v>
      </c>
      <c r="K29" s="64">
        <v>344.71</v>
      </c>
      <c r="L29" s="64">
        <v>8.1</v>
      </c>
      <c r="M29" s="64">
        <v>95.35</v>
      </c>
      <c r="N29" s="64">
        <v>57.6</v>
      </c>
      <c r="O29" s="64">
        <v>0</v>
      </c>
      <c r="P29" s="64">
        <v>1.59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4" t="s">
        <v>1033</v>
      </c>
      <c r="B30" s="64">
        <v>87.63</v>
      </c>
      <c r="C30" s="64">
        <v>40.9</v>
      </c>
      <c r="D30" s="64">
        <v>90.26</v>
      </c>
      <c r="E30" s="64">
        <v>9.25</v>
      </c>
      <c r="F30" s="64">
        <v>2.13</v>
      </c>
      <c r="G30" s="64">
        <v>150.35</v>
      </c>
      <c r="H30" s="64">
        <v>57.54</v>
      </c>
      <c r="I30" s="210" t="s">
        <v>43</v>
      </c>
      <c r="J30" s="64">
        <v>1.1200000000000001</v>
      </c>
      <c r="K30" s="64">
        <v>170.1</v>
      </c>
      <c r="L30" s="64">
        <v>8.34</v>
      </c>
      <c r="M30" s="64">
        <v>90.61</v>
      </c>
      <c r="N30" s="64">
        <v>57.5</v>
      </c>
      <c r="O30" s="64">
        <v>0</v>
      </c>
      <c r="P30" s="64">
        <v>1.63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4" t="s">
        <v>1034</v>
      </c>
      <c r="B31" s="64">
        <v>86.97</v>
      </c>
      <c r="C31" s="64">
        <v>40.42</v>
      </c>
      <c r="D31" s="64">
        <v>89.48</v>
      </c>
      <c r="E31" s="64">
        <v>9.27</v>
      </c>
      <c r="F31" s="64">
        <v>2.13</v>
      </c>
      <c r="G31" s="64">
        <v>186.27</v>
      </c>
      <c r="H31" s="64">
        <v>61.94</v>
      </c>
      <c r="I31" s="210" t="s">
        <v>43</v>
      </c>
      <c r="J31" s="64">
        <v>1.06</v>
      </c>
      <c r="K31" s="64">
        <v>86.58</v>
      </c>
      <c r="L31" s="64">
        <v>8.58</v>
      </c>
      <c r="M31" s="64">
        <v>84.83</v>
      </c>
      <c r="N31" s="64">
        <v>57.6</v>
      </c>
      <c r="O31" s="64">
        <v>0</v>
      </c>
      <c r="P31" s="64">
        <v>1.63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4" t="s">
        <v>1035</v>
      </c>
      <c r="B32" s="64">
        <v>84.65</v>
      </c>
      <c r="C32" s="64">
        <v>40.479999999999997</v>
      </c>
      <c r="D32" s="64">
        <v>87.65</v>
      </c>
      <c r="E32" s="64">
        <v>9.32</v>
      </c>
      <c r="F32" s="64">
        <v>2.13</v>
      </c>
      <c r="G32" s="64">
        <v>201.67</v>
      </c>
      <c r="H32" s="64">
        <v>63.83</v>
      </c>
      <c r="I32" s="210" t="s">
        <v>43</v>
      </c>
      <c r="J32" s="64">
        <v>1.23</v>
      </c>
      <c r="K32" s="64">
        <v>73.22</v>
      </c>
      <c r="L32" s="64">
        <v>8.67</v>
      </c>
      <c r="M32" s="64">
        <v>79.45</v>
      </c>
      <c r="N32" s="64">
        <v>57.7</v>
      </c>
      <c r="O32" s="64">
        <v>0</v>
      </c>
      <c r="P32" s="64">
        <v>1.63</v>
      </c>
      <c r="Q32" s="64">
        <v>9.68</v>
      </c>
      <c r="R32" s="198"/>
      <c r="S32" s="198"/>
      <c r="T32" s="198"/>
      <c r="U32" s="198"/>
    </row>
    <row r="33" spans="1:21" s="12" customFormat="1" x14ac:dyDescent="0.25">
      <c r="A33" s="214" t="s">
        <v>1036</v>
      </c>
      <c r="B33" s="64">
        <v>81.62</v>
      </c>
      <c r="C33" s="64">
        <v>41.1</v>
      </c>
      <c r="D33" s="64">
        <v>85.55</v>
      </c>
      <c r="E33" s="64">
        <v>8.7899999999999991</v>
      </c>
      <c r="F33" s="64">
        <v>2.13</v>
      </c>
      <c r="G33" s="64">
        <v>201.67</v>
      </c>
      <c r="H33" s="64">
        <v>63.83</v>
      </c>
      <c r="I33" s="210" t="s">
        <v>43</v>
      </c>
      <c r="J33" s="64">
        <v>1.1200000000000001</v>
      </c>
      <c r="K33" s="64">
        <v>21.38</v>
      </c>
      <c r="L33" s="64">
        <v>8.48</v>
      </c>
      <c r="M33" s="64">
        <v>79.5</v>
      </c>
      <c r="N33" s="64">
        <v>58</v>
      </c>
      <c r="O33" s="64">
        <v>0</v>
      </c>
      <c r="P33" s="64">
        <v>1.6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1037</v>
      </c>
      <c r="B34" s="64">
        <v>78.650000000000006</v>
      </c>
      <c r="C34" s="64">
        <v>41.45</v>
      </c>
      <c r="D34" s="64">
        <v>83.35</v>
      </c>
      <c r="E34" s="64">
        <v>8.39</v>
      </c>
      <c r="F34" s="64">
        <v>2.13</v>
      </c>
      <c r="G34" s="64">
        <v>201.67</v>
      </c>
      <c r="H34" s="64">
        <v>63.83</v>
      </c>
      <c r="I34" s="210" t="s">
        <v>43</v>
      </c>
      <c r="J34" s="64">
        <v>1.5</v>
      </c>
      <c r="K34" s="64">
        <v>359.04</v>
      </c>
      <c r="L34" s="64">
        <v>8.41</v>
      </c>
      <c r="M34" s="64">
        <v>78.959999999999994</v>
      </c>
      <c r="N34" s="64">
        <v>57.6</v>
      </c>
      <c r="O34" s="64">
        <v>0</v>
      </c>
      <c r="P34" s="64">
        <v>1.55</v>
      </c>
      <c r="Q34" s="64">
        <v>9.59</v>
      </c>
      <c r="R34" s="198"/>
      <c r="S34" s="198"/>
      <c r="T34" s="198"/>
      <c r="U34" s="198"/>
    </row>
    <row r="35" spans="1:21" s="12" customFormat="1" x14ac:dyDescent="0.25">
      <c r="A35" s="214" t="s">
        <v>1038</v>
      </c>
      <c r="B35" s="64">
        <v>75.91</v>
      </c>
      <c r="C35" s="64">
        <v>41.79</v>
      </c>
      <c r="D35" s="64">
        <v>81.33</v>
      </c>
      <c r="E35" s="64">
        <v>7.91</v>
      </c>
      <c r="F35" s="64">
        <v>2.13</v>
      </c>
      <c r="G35" s="64">
        <v>158.28</v>
      </c>
      <c r="H35" s="64">
        <v>60.59</v>
      </c>
      <c r="I35" s="210" t="s">
        <v>43</v>
      </c>
      <c r="J35" s="64">
        <v>1.07</v>
      </c>
      <c r="K35" s="64">
        <v>6.93</v>
      </c>
      <c r="L35" s="64">
        <v>8.59</v>
      </c>
      <c r="M35" s="64">
        <v>75.88</v>
      </c>
      <c r="N35" s="64">
        <v>59.8</v>
      </c>
      <c r="O35" s="64">
        <v>0</v>
      </c>
      <c r="P35" s="64">
        <v>1.5</v>
      </c>
      <c r="Q35" s="64">
        <v>9.5500000000000007</v>
      </c>
      <c r="R35" s="198"/>
      <c r="S35" s="198"/>
      <c r="T35" s="198"/>
      <c r="U35" s="198"/>
    </row>
    <row r="36" spans="1:21" s="12" customFormat="1" x14ac:dyDescent="0.25">
      <c r="A36" s="214" t="s">
        <v>1039</v>
      </c>
      <c r="B36" s="64">
        <v>73.06</v>
      </c>
      <c r="C36" s="64">
        <v>42.11</v>
      </c>
      <c r="D36" s="64">
        <v>79.209999999999994</v>
      </c>
      <c r="E36" s="64">
        <v>7.56</v>
      </c>
      <c r="F36" s="64">
        <v>2.13</v>
      </c>
      <c r="G36" s="64">
        <v>138.69</v>
      </c>
      <c r="H36" s="64">
        <v>59.2</v>
      </c>
      <c r="I36" s="210" t="s">
        <v>43</v>
      </c>
      <c r="J36" s="64">
        <v>0.34</v>
      </c>
      <c r="K36" s="64">
        <v>304.39</v>
      </c>
      <c r="L36" s="64">
        <v>8.7200000000000006</v>
      </c>
      <c r="M36" s="64">
        <v>74.33</v>
      </c>
      <c r="N36" s="64">
        <v>66.7</v>
      </c>
      <c r="O36" s="64">
        <v>0</v>
      </c>
      <c r="P36" s="64">
        <v>1.46</v>
      </c>
      <c r="Q36" s="64">
        <v>9.5299999999999994</v>
      </c>
      <c r="R36" s="198"/>
      <c r="S36" s="198"/>
      <c r="T36" s="198"/>
      <c r="U36" s="198"/>
    </row>
    <row r="37" spans="1:21" s="12" customFormat="1" x14ac:dyDescent="0.25">
      <c r="A37" s="214" t="s">
        <v>1040</v>
      </c>
      <c r="B37" s="64">
        <v>70.16</v>
      </c>
      <c r="C37" s="64">
        <v>42.63</v>
      </c>
      <c r="D37" s="64">
        <v>77.16</v>
      </c>
      <c r="E37" s="64">
        <v>7.63</v>
      </c>
      <c r="F37" s="64">
        <v>2.13</v>
      </c>
      <c r="G37" s="64">
        <v>138.69</v>
      </c>
      <c r="H37" s="64">
        <v>59.2</v>
      </c>
      <c r="I37" s="210" t="s">
        <v>43</v>
      </c>
      <c r="J37" s="64">
        <v>0.37</v>
      </c>
      <c r="K37" s="64">
        <v>12.37</v>
      </c>
      <c r="L37" s="64">
        <v>8.85</v>
      </c>
      <c r="M37" s="64">
        <v>74.16</v>
      </c>
      <c r="N37" s="64">
        <v>78.900000000000006</v>
      </c>
      <c r="O37" s="64">
        <v>0</v>
      </c>
      <c r="P37" s="64">
        <v>1.39</v>
      </c>
      <c r="Q37" s="64">
        <v>9.5299999999999994</v>
      </c>
      <c r="R37" s="198"/>
      <c r="S37" s="198"/>
      <c r="T37" s="198"/>
      <c r="U37" s="198"/>
    </row>
    <row r="38" spans="1:21" s="12" customFormat="1" x14ac:dyDescent="0.25">
      <c r="A38" s="214" t="s">
        <v>1041</v>
      </c>
      <c r="B38" s="64">
        <v>68.27</v>
      </c>
      <c r="C38" s="64">
        <v>43.2</v>
      </c>
      <c r="D38" s="64">
        <v>75.95</v>
      </c>
      <c r="E38" s="64">
        <v>7.54</v>
      </c>
      <c r="F38" s="64">
        <v>2.13</v>
      </c>
      <c r="G38" s="64">
        <v>138.69</v>
      </c>
      <c r="H38" s="64">
        <v>59.2</v>
      </c>
      <c r="I38" s="210" t="s">
        <v>43</v>
      </c>
      <c r="J38" s="64">
        <v>1.02</v>
      </c>
      <c r="K38" s="64">
        <v>322.97000000000003</v>
      </c>
      <c r="L38" s="64">
        <v>9.14</v>
      </c>
      <c r="M38" s="64">
        <v>73.22</v>
      </c>
      <c r="N38" s="64">
        <v>91.4</v>
      </c>
      <c r="O38" s="64">
        <v>0</v>
      </c>
      <c r="P38" s="64">
        <v>1.37</v>
      </c>
      <c r="Q38" s="64">
        <v>9.48</v>
      </c>
      <c r="R38" s="198"/>
      <c r="S38" s="198"/>
      <c r="T38" s="198"/>
      <c r="U38" s="198"/>
    </row>
    <row r="39" spans="1:21" s="12" customFormat="1" x14ac:dyDescent="0.25">
      <c r="A39" s="214" t="s">
        <v>1042</v>
      </c>
      <c r="B39" s="64">
        <v>66.760000000000005</v>
      </c>
      <c r="C39" s="64">
        <v>43.92</v>
      </c>
      <c r="D39" s="64">
        <v>75.099999999999994</v>
      </c>
      <c r="E39" s="64">
        <v>7.4</v>
      </c>
      <c r="F39" s="64">
        <v>2.13</v>
      </c>
      <c r="G39" s="64">
        <v>110.94</v>
      </c>
      <c r="H39" s="64">
        <v>51.01</v>
      </c>
      <c r="I39" s="210" t="s">
        <v>43</v>
      </c>
      <c r="J39" s="64">
        <v>0.86</v>
      </c>
      <c r="K39" s="64">
        <v>89.78</v>
      </c>
      <c r="L39" s="64">
        <v>9.6</v>
      </c>
      <c r="M39" s="64">
        <v>71.099999999999994</v>
      </c>
      <c r="N39" s="64">
        <v>106.7</v>
      </c>
      <c r="O39" s="64">
        <v>0</v>
      </c>
      <c r="P39" s="64">
        <v>1.33</v>
      </c>
      <c r="Q39" s="64">
        <v>9.4700000000000006</v>
      </c>
      <c r="R39" s="198"/>
      <c r="S39" s="198"/>
      <c r="T39" s="198"/>
      <c r="U39" s="198"/>
    </row>
    <row r="40" spans="1:21" s="12" customFormat="1" x14ac:dyDescent="0.25">
      <c r="A40" s="214" t="s">
        <v>1043</v>
      </c>
      <c r="B40" s="64">
        <v>64.260000000000005</v>
      </c>
      <c r="C40" s="64">
        <v>44.04</v>
      </c>
      <c r="D40" s="64">
        <v>73.16</v>
      </c>
      <c r="E40" s="64">
        <v>6.16</v>
      </c>
      <c r="F40" s="64">
        <v>2.13</v>
      </c>
      <c r="G40" s="64">
        <v>99.04</v>
      </c>
      <c r="H40" s="64">
        <v>47.51</v>
      </c>
      <c r="I40" s="210" t="s">
        <v>43</v>
      </c>
      <c r="J40" s="64">
        <v>1.32</v>
      </c>
      <c r="K40" s="64">
        <v>117.63</v>
      </c>
      <c r="L40" s="64">
        <v>10.199999999999999</v>
      </c>
      <c r="M40" s="64">
        <v>68.739999999999995</v>
      </c>
      <c r="N40" s="64">
        <v>188.9</v>
      </c>
      <c r="O40" s="64">
        <v>0</v>
      </c>
      <c r="P40" s="64">
        <v>1.3</v>
      </c>
      <c r="Q40" s="64">
        <v>9.4499999999999993</v>
      </c>
      <c r="R40" s="198"/>
      <c r="S40" s="198"/>
      <c r="T40" s="198"/>
      <c r="U40" s="198"/>
    </row>
    <row r="41" spans="1:21" s="12" customFormat="1" x14ac:dyDescent="0.25">
      <c r="A41" s="214" t="s">
        <v>1044</v>
      </c>
      <c r="B41" s="64">
        <v>61.83</v>
      </c>
      <c r="C41" s="64">
        <v>43.36</v>
      </c>
      <c r="D41" s="64">
        <v>70.86</v>
      </c>
      <c r="E41" s="64">
        <v>6.42</v>
      </c>
      <c r="F41" s="64">
        <v>2.13</v>
      </c>
      <c r="G41" s="64">
        <v>99.04</v>
      </c>
      <c r="H41" s="64">
        <v>47.51</v>
      </c>
      <c r="I41" s="210" t="s">
        <v>43</v>
      </c>
      <c r="J41" s="64">
        <v>0.99</v>
      </c>
      <c r="K41" s="64">
        <v>101.71</v>
      </c>
      <c r="L41" s="64">
        <v>11.76</v>
      </c>
      <c r="M41" s="64">
        <v>61.27</v>
      </c>
      <c r="N41" s="64">
        <v>284.5</v>
      </c>
      <c r="O41" s="64">
        <v>0</v>
      </c>
      <c r="P41" s="64">
        <v>1.25</v>
      </c>
      <c r="Q41" s="64">
        <v>9.44</v>
      </c>
      <c r="R41" s="198"/>
      <c r="S41" s="198"/>
      <c r="T41" s="198"/>
      <c r="U41" s="198"/>
    </row>
    <row r="42" spans="1:21" s="12" customFormat="1" x14ac:dyDescent="0.25">
      <c r="A42" s="214" t="s">
        <v>1045</v>
      </c>
      <c r="B42" s="64">
        <v>58.92</v>
      </c>
      <c r="C42" s="64">
        <v>42.9</v>
      </c>
      <c r="D42" s="64">
        <v>68.290000000000006</v>
      </c>
      <c r="E42" s="64">
        <v>5.75</v>
      </c>
      <c r="F42" s="64">
        <v>2.13</v>
      </c>
      <c r="G42" s="64">
        <v>99.04</v>
      </c>
      <c r="H42" s="64">
        <v>47.51</v>
      </c>
      <c r="I42" s="210" t="s">
        <v>43</v>
      </c>
      <c r="J42" s="64">
        <v>0.87</v>
      </c>
      <c r="K42" s="64">
        <v>347.03</v>
      </c>
      <c r="L42" s="64">
        <v>14.68</v>
      </c>
      <c r="M42" s="64">
        <v>50.67</v>
      </c>
      <c r="N42" s="64">
        <v>338.7</v>
      </c>
      <c r="O42" s="64">
        <v>0</v>
      </c>
      <c r="P42" s="64">
        <v>1.22</v>
      </c>
      <c r="Q42" s="64">
        <v>9.32</v>
      </c>
      <c r="R42" s="198"/>
      <c r="S42" s="198"/>
      <c r="T42" s="198"/>
      <c r="U42" s="198"/>
    </row>
    <row r="43" spans="1:21" s="12" customFormat="1" x14ac:dyDescent="0.25">
      <c r="A43" s="214" t="s">
        <v>1046</v>
      </c>
      <c r="B43" s="64">
        <v>56.69</v>
      </c>
      <c r="C43" s="64">
        <v>44.1</v>
      </c>
      <c r="D43" s="64">
        <v>67.13</v>
      </c>
      <c r="E43" s="64">
        <v>5.52</v>
      </c>
      <c r="F43" s="64">
        <v>2.13</v>
      </c>
      <c r="G43" s="64">
        <v>97.53</v>
      </c>
      <c r="H43" s="64">
        <v>46.33</v>
      </c>
      <c r="I43" s="210" t="s">
        <v>43</v>
      </c>
      <c r="J43" s="64">
        <v>2.0299999999999998</v>
      </c>
      <c r="K43" s="64">
        <v>116.5</v>
      </c>
      <c r="L43" s="64">
        <v>13.8</v>
      </c>
      <c r="M43" s="64">
        <v>53.05</v>
      </c>
      <c r="N43" s="64">
        <v>393.6</v>
      </c>
      <c r="O43" s="64">
        <v>0</v>
      </c>
      <c r="P43" s="64">
        <v>1.19</v>
      </c>
      <c r="Q43" s="64">
        <v>9.2200000000000006</v>
      </c>
      <c r="R43" s="198"/>
      <c r="S43" s="198"/>
      <c r="T43" s="198"/>
      <c r="U43" s="198"/>
    </row>
    <row r="44" spans="1:21" s="12" customFormat="1" x14ac:dyDescent="0.25">
      <c r="A44" s="214" t="s">
        <v>1047</v>
      </c>
      <c r="B44" s="64">
        <v>54.42</v>
      </c>
      <c r="C44" s="64">
        <v>44.06</v>
      </c>
      <c r="D44" s="64">
        <v>65.290000000000006</v>
      </c>
      <c r="E44" s="64">
        <v>5.92</v>
      </c>
      <c r="F44" s="64">
        <v>2.13</v>
      </c>
      <c r="G44" s="64">
        <v>96.85</v>
      </c>
      <c r="H44" s="64">
        <v>45.83</v>
      </c>
      <c r="I44" s="210" t="s">
        <v>43</v>
      </c>
      <c r="J44" s="64">
        <v>1.92</v>
      </c>
      <c r="K44" s="64">
        <v>114.55</v>
      </c>
      <c r="L44" s="64">
        <v>14.32</v>
      </c>
      <c r="M44" s="64">
        <v>51.35</v>
      </c>
      <c r="N44" s="64">
        <v>434.6</v>
      </c>
      <c r="O44" s="64">
        <v>0</v>
      </c>
      <c r="P44" s="64">
        <v>1.1599999999999999</v>
      </c>
      <c r="Q44" s="64">
        <v>9.08</v>
      </c>
      <c r="R44" s="198"/>
      <c r="S44" s="198"/>
      <c r="T44" s="198"/>
      <c r="U44" s="198"/>
    </row>
    <row r="45" spans="1:21" s="12" customFormat="1" x14ac:dyDescent="0.25">
      <c r="A45" s="214" t="s">
        <v>1048</v>
      </c>
      <c r="B45" s="64">
        <v>52.17</v>
      </c>
      <c r="C45" s="64">
        <v>44.8</v>
      </c>
      <c r="D45" s="64">
        <v>63.86</v>
      </c>
      <c r="E45" s="64">
        <v>5.97</v>
      </c>
      <c r="F45" s="64">
        <v>2.13</v>
      </c>
      <c r="G45" s="64">
        <v>96.85</v>
      </c>
      <c r="H45" s="64">
        <v>45.83</v>
      </c>
      <c r="I45" s="210" t="s">
        <v>43</v>
      </c>
      <c r="J45" s="64">
        <v>2</v>
      </c>
      <c r="K45" s="64">
        <v>121.05</v>
      </c>
      <c r="L45" s="64">
        <v>14.83</v>
      </c>
      <c r="M45" s="64">
        <v>48.7</v>
      </c>
      <c r="N45" s="64">
        <v>491</v>
      </c>
      <c r="O45" s="64">
        <v>0</v>
      </c>
      <c r="P45" s="64">
        <v>1.1200000000000001</v>
      </c>
      <c r="Q45" s="64">
        <v>8.93</v>
      </c>
      <c r="R45" s="198"/>
      <c r="S45" s="198"/>
      <c r="T45" s="198"/>
      <c r="U45" s="198"/>
    </row>
    <row r="46" spans="1:21" s="12" customFormat="1" x14ac:dyDescent="0.25">
      <c r="A46" s="214" t="s">
        <v>1049</v>
      </c>
      <c r="B46" s="64">
        <v>50.22</v>
      </c>
      <c r="C46" s="64">
        <v>45.35</v>
      </c>
      <c r="D46" s="64">
        <v>62.59</v>
      </c>
      <c r="E46" s="64">
        <v>5.63</v>
      </c>
      <c r="F46" s="64">
        <v>2.13</v>
      </c>
      <c r="G46" s="64">
        <v>96.85</v>
      </c>
      <c r="H46" s="64">
        <v>45.83</v>
      </c>
      <c r="I46" s="210" t="s">
        <v>43</v>
      </c>
      <c r="J46" s="64">
        <v>2.89</v>
      </c>
      <c r="K46" s="64">
        <v>117.61</v>
      </c>
      <c r="L46" s="64">
        <v>14.7</v>
      </c>
      <c r="M46" s="64">
        <v>46.73</v>
      </c>
      <c r="N46" s="64">
        <v>546.4</v>
      </c>
      <c r="O46" s="64">
        <v>0</v>
      </c>
      <c r="P46" s="64">
        <v>1.08</v>
      </c>
      <c r="Q46" s="64">
        <v>8.81</v>
      </c>
      <c r="R46" s="198"/>
      <c r="S46" s="198"/>
      <c r="T46" s="198"/>
      <c r="U46" s="198"/>
    </row>
    <row r="47" spans="1:21" s="12" customFormat="1" x14ac:dyDescent="0.25">
      <c r="A47" s="214" t="s">
        <v>1050</v>
      </c>
      <c r="B47" s="64">
        <v>47.83</v>
      </c>
      <c r="C47" s="64">
        <v>45.8</v>
      </c>
      <c r="D47" s="64">
        <v>60.91</v>
      </c>
      <c r="E47" s="64">
        <v>5.49</v>
      </c>
      <c r="F47" s="64">
        <v>2.13</v>
      </c>
      <c r="G47" s="64">
        <v>83.28</v>
      </c>
      <c r="H47" s="64">
        <v>41.15</v>
      </c>
      <c r="I47" s="210" t="s">
        <v>43</v>
      </c>
      <c r="J47" s="64">
        <v>2.12</v>
      </c>
      <c r="K47" s="64">
        <v>109.78</v>
      </c>
      <c r="L47" s="64">
        <v>15.71</v>
      </c>
      <c r="M47" s="64">
        <v>42.77</v>
      </c>
      <c r="N47" s="64">
        <v>567.29999999999995</v>
      </c>
      <c r="O47" s="64">
        <v>0</v>
      </c>
      <c r="P47" s="64">
        <v>1.04</v>
      </c>
      <c r="Q47" s="64">
        <v>8.69</v>
      </c>
      <c r="R47" s="198"/>
      <c r="S47" s="198"/>
      <c r="T47" s="198"/>
      <c r="U47" s="198"/>
    </row>
    <row r="48" spans="1:21" s="12" customFormat="1" x14ac:dyDescent="0.25">
      <c r="A48" s="214" t="s">
        <v>1051</v>
      </c>
      <c r="B48" s="64">
        <v>46.19</v>
      </c>
      <c r="C48" s="64">
        <v>46.85</v>
      </c>
      <c r="D48" s="64">
        <v>60.14</v>
      </c>
      <c r="E48" s="64">
        <v>5.45</v>
      </c>
      <c r="F48" s="64">
        <v>2.13</v>
      </c>
      <c r="G48" s="64">
        <v>77.47</v>
      </c>
      <c r="H48" s="64">
        <v>39.14</v>
      </c>
      <c r="I48" s="210" t="s">
        <v>43</v>
      </c>
      <c r="J48" s="64">
        <v>1.26</v>
      </c>
      <c r="K48" s="64">
        <v>113.89</v>
      </c>
      <c r="L48" s="64">
        <v>16.940000000000001</v>
      </c>
      <c r="M48" s="64">
        <v>40.29</v>
      </c>
      <c r="N48" s="64">
        <v>559.79999999999995</v>
      </c>
      <c r="O48" s="64">
        <v>0</v>
      </c>
      <c r="P48" s="64">
        <v>1</v>
      </c>
      <c r="Q48" s="64">
        <v>8.56</v>
      </c>
      <c r="R48" s="198"/>
      <c r="S48" s="198"/>
      <c r="T48" s="198"/>
      <c r="U48" s="198"/>
    </row>
    <row r="49" spans="1:21" s="12" customFormat="1" x14ac:dyDescent="0.25">
      <c r="A49" s="214" t="s">
        <v>1052</v>
      </c>
      <c r="B49" s="64">
        <v>47.17</v>
      </c>
      <c r="C49" s="64">
        <v>47.92</v>
      </c>
      <c r="D49" s="64">
        <v>61.49</v>
      </c>
      <c r="E49" s="64">
        <v>5.71</v>
      </c>
      <c r="F49" s="64">
        <v>2.13</v>
      </c>
      <c r="G49" s="64">
        <v>77.47</v>
      </c>
      <c r="H49" s="64">
        <v>39.14</v>
      </c>
      <c r="I49" s="210" t="s">
        <v>43</v>
      </c>
      <c r="J49" s="64">
        <v>1.78</v>
      </c>
      <c r="K49" s="64">
        <v>112.21</v>
      </c>
      <c r="L49" s="64">
        <v>18.23</v>
      </c>
      <c r="M49" s="64">
        <v>36.89</v>
      </c>
      <c r="N49" s="64">
        <v>615.70000000000005</v>
      </c>
      <c r="O49" s="64">
        <v>0</v>
      </c>
      <c r="P49" s="64">
        <v>0.98</v>
      </c>
      <c r="Q49" s="64">
        <v>8.56</v>
      </c>
      <c r="R49" s="198"/>
      <c r="S49" s="198"/>
      <c r="T49" s="198"/>
      <c r="U49" s="198"/>
    </row>
    <row r="50" spans="1:21" s="12" customFormat="1" x14ac:dyDescent="0.25">
      <c r="A50" s="214" t="s">
        <v>1053</v>
      </c>
      <c r="B50" s="64">
        <v>47.44</v>
      </c>
      <c r="C50" s="64">
        <v>49.35</v>
      </c>
      <c r="D50" s="64">
        <v>62.45</v>
      </c>
      <c r="E50" s="64">
        <v>6</v>
      </c>
      <c r="F50" s="64">
        <v>2.13</v>
      </c>
      <c r="G50" s="64">
        <v>77.47</v>
      </c>
      <c r="H50" s="64">
        <v>39.14</v>
      </c>
      <c r="I50" s="210" t="s">
        <v>43</v>
      </c>
      <c r="J50" s="64">
        <v>2.35</v>
      </c>
      <c r="K50" s="64">
        <v>122.62</v>
      </c>
      <c r="L50" s="64">
        <v>17.8</v>
      </c>
      <c r="M50" s="64">
        <v>37.31</v>
      </c>
      <c r="N50" s="64">
        <v>652.5</v>
      </c>
      <c r="O50" s="64">
        <v>0</v>
      </c>
      <c r="P50" s="64">
        <v>0.95</v>
      </c>
      <c r="Q50" s="64">
        <v>8.59</v>
      </c>
      <c r="R50" s="198"/>
      <c r="S50" s="198"/>
      <c r="T50" s="198"/>
      <c r="U50" s="198"/>
    </row>
    <row r="51" spans="1:21" s="12" customFormat="1" x14ac:dyDescent="0.25">
      <c r="A51" s="214" t="s">
        <v>1054</v>
      </c>
      <c r="B51" s="64">
        <v>46.18</v>
      </c>
      <c r="C51" s="64">
        <v>50.38</v>
      </c>
      <c r="D51" s="64">
        <v>61.98</v>
      </c>
      <c r="E51" s="64">
        <v>5.34</v>
      </c>
      <c r="F51" s="64">
        <v>2.13</v>
      </c>
      <c r="G51" s="64">
        <v>73.52</v>
      </c>
      <c r="H51" s="64">
        <v>36.25</v>
      </c>
      <c r="I51" s="210" t="s">
        <v>43</v>
      </c>
      <c r="J51" s="64">
        <v>2.1800000000000002</v>
      </c>
      <c r="K51" s="64">
        <v>116.7</v>
      </c>
      <c r="L51" s="64">
        <v>18.079999999999998</v>
      </c>
      <c r="M51" s="64">
        <v>34.93</v>
      </c>
      <c r="N51" s="64">
        <v>638.79999999999995</v>
      </c>
      <c r="O51" s="64">
        <v>0</v>
      </c>
      <c r="P51" s="64">
        <v>0.92</v>
      </c>
      <c r="Q51" s="64">
        <v>8.57</v>
      </c>
      <c r="R51" s="198"/>
      <c r="S51" s="198"/>
      <c r="T51" s="198"/>
      <c r="U51" s="198"/>
    </row>
    <row r="52" spans="1:21" s="12" customFormat="1" x14ac:dyDescent="0.25">
      <c r="A52" s="214" t="s">
        <v>1055</v>
      </c>
      <c r="B52" s="64">
        <v>42.39</v>
      </c>
      <c r="C52" s="64">
        <v>51.86</v>
      </c>
      <c r="D52" s="64">
        <v>59.71</v>
      </c>
      <c r="E52" s="64">
        <v>6.17</v>
      </c>
      <c r="F52" s="64">
        <v>2.13</v>
      </c>
      <c r="G52" s="64">
        <v>71.819999999999993</v>
      </c>
      <c r="H52" s="64">
        <v>35.020000000000003</v>
      </c>
      <c r="I52" s="210" t="s">
        <v>43</v>
      </c>
      <c r="J52" s="64">
        <v>2.34</v>
      </c>
      <c r="K52" s="64">
        <v>115.73</v>
      </c>
      <c r="L52" s="64">
        <v>18.809999999999999</v>
      </c>
      <c r="M52" s="64">
        <v>33.369999999999997</v>
      </c>
      <c r="N52" s="64">
        <v>655.4</v>
      </c>
      <c r="O52" s="64">
        <v>0</v>
      </c>
      <c r="P52" s="64">
        <v>0.86</v>
      </c>
      <c r="Q52" s="64">
        <v>8.41</v>
      </c>
      <c r="R52" s="198"/>
      <c r="S52" s="198"/>
      <c r="T52" s="198"/>
      <c r="U52" s="198"/>
    </row>
    <row r="53" spans="1:21" s="12" customFormat="1" x14ac:dyDescent="0.25">
      <c r="A53" s="214" t="s">
        <v>1056</v>
      </c>
      <c r="B53" s="64">
        <v>34.33</v>
      </c>
      <c r="C53" s="64">
        <v>56.43</v>
      </c>
      <c r="D53" s="64">
        <v>55.63</v>
      </c>
      <c r="E53" s="64">
        <v>6.68</v>
      </c>
      <c r="F53" s="64">
        <v>2.13</v>
      </c>
      <c r="G53" s="64">
        <v>71.819999999999993</v>
      </c>
      <c r="H53" s="64">
        <v>35.020000000000003</v>
      </c>
      <c r="I53" s="210" t="s">
        <v>43</v>
      </c>
      <c r="J53" s="64">
        <v>0.99</v>
      </c>
      <c r="K53" s="64">
        <v>111.6</v>
      </c>
      <c r="L53" s="64">
        <v>20.09</v>
      </c>
      <c r="M53" s="64">
        <v>30.93</v>
      </c>
      <c r="N53" s="64">
        <v>683.9</v>
      </c>
      <c r="O53" s="64">
        <v>0</v>
      </c>
      <c r="P53" s="64">
        <v>0.78</v>
      </c>
      <c r="Q53" s="64">
        <v>8.2200000000000006</v>
      </c>
      <c r="R53" s="198"/>
      <c r="S53" s="198"/>
      <c r="T53" s="198"/>
      <c r="U53" s="198"/>
    </row>
    <row r="54" spans="1:21" s="12" customFormat="1" x14ac:dyDescent="0.25">
      <c r="A54" s="214" t="s">
        <v>1057</v>
      </c>
      <c r="B54" s="64">
        <v>29.36</v>
      </c>
      <c r="C54" s="64">
        <v>58.51</v>
      </c>
      <c r="D54" s="64">
        <v>52.74</v>
      </c>
      <c r="E54" s="64">
        <v>6.3</v>
      </c>
      <c r="F54" s="64">
        <v>2.13</v>
      </c>
      <c r="G54" s="64">
        <v>71.819999999999993</v>
      </c>
      <c r="H54" s="64">
        <v>35.020000000000003</v>
      </c>
      <c r="I54" s="210" t="s">
        <v>43</v>
      </c>
      <c r="J54" s="64">
        <v>0.55000000000000004</v>
      </c>
      <c r="K54" s="64">
        <v>75.36</v>
      </c>
      <c r="L54" s="64">
        <v>21.22</v>
      </c>
      <c r="M54" s="64">
        <v>28.06</v>
      </c>
      <c r="N54" s="64">
        <v>700</v>
      </c>
      <c r="O54" s="64">
        <v>0</v>
      </c>
      <c r="P54" s="64">
        <v>0.74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1058</v>
      </c>
      <c r="B55" s="64">
        <v>25.36</v>
      </c>
      <c r="C55" s="64">
        <v>60.89</v>
      </c>
      <c r="D55" s="64">
        <v>50.77</v>
      </c>
      <c r="E55" s="64">
        <v>7.84</v>
      </c>
      <c r="F55" s="64">
        <v>2.13</v>
      </c>
      <c r="G55" s="64">
        <v>63.86</v>
      </c>
      <c r="H55" s="64">
        <v>31.82</v>
      </c>
      <c r="I55" s="210" t="s">
        <v>43</v>
      </c>
      <c r="J55" s="64">
        <v>2.1800000000000002</v>
      </c>
      <c r="K55" s="64">
        <v>119.69</v>
      </c>
      <c r="L55" s="64">
        <v>20.79</v>
      </c>
      <c r="M55" s="64">
        <v>28.51</v>
      </c>
      <c r="N55" s="64">
        <v>712.5</v>
      </c>
      <c r="O55" s="64">
        <v>0</v>
      </c>
      <c r="P55" s="64">
        <v>0.69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1059</v>
      </c>
      <c r="B56" s="64">
        <v>20.329999999999998</v>
      </c>
      <c r="C56" s="64">
        <v>64.27</v>
      </c>
      <c r="D56" s="64">
        <v>48.5</v>
      </c>
      <c r="E56" s="64">
        <v>8.3800000000000008</v>
      </c>
      <c r="F56" s="64">
        <v>2.13</v>
      </c>
      <c r="G56" s="64">
        <v>60.44</v>
      </c>
      <c r="H56" s="64">
        <v>30.46</v>
      </c>
      <c r="I56" s="210" t="s">
        <v>43</v>
      </c>
      <c r="J56" s="64">
        <v>0.91</v>
      </c>
      <c r="K56" s="64">
        <v>17.91</v>
      </c>
      <c r="L56" s="64">
        <v>21.96</v>
      </c>
      <c r="M56" s="64">
        <v>25.76</v>
      </c>
      <c r="N56" s="64">
        <v>731</v>
      </c>
      <c r="O56" s="64">
        <v>0</v>
      </c>
      <c r="P56" s="64">
        <v>0.62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1060</v>
      </c>
      <c r="B57" s="64">
        <v>16.45</v>
      </c>
      <c r="C57" s="64">
        <v>68.209999999999994</v>
      </c>
      <c r="D57" s="64">
        <v>47.45</v>
      </c>
      <c r="E57" s="64">
        <v>8.74</v>
      </c>
      <c r="F57" s="64">
        <v>2.13</v>
      </c>
      <c r="G57" s="64">
        <v>60.44</v>
      </c>
      <c r="H57" s="64">
        <v>30.46</v>
      </c>
      <c r="I57" s="210" t="s">
        <v>43</v>
      </c>
      <c r="J57" s="64">
        <v>0.84</v>
      </c>
      <c r="K57" s="64">
        <v>65.55</v>
      </c>
      <c r="L57" s="64">
        <v>23.15</v>
      </c>
      <c r="M57" s="64">
        <v>24.91</v>
      </c>
      <c r="N57" s="64">
        <v>715.9</v>
      </c>
      <c r="O57" s="64">
        <v>0</v>
      </c>
      <c r="P57" s="64">
        <v>0.56999999999999995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1061</v>
      </c>
      <c r="B58" s="64">
        <v>12.72</v>
      </c>
      <c r="C58" s="64">
        <v>69.67</v>
      </c>
      <c r="D58" s="64">
        <v>45.23</v>
      </c>
      <c r="E58" s="64">
        <v>6.83</v>
      </c>
      <c r="F58" s="64">
        <v>2.13</v>
      </c>
      <c r="G58" s="64">
        <v>60.44</v>
      </c>
      <c r="H58" s="64">
        <v>30.46</v>
      </c>
      <c r="I58" s="210" t="s">
        <v>43</v>
      </c>
      <c r="J58" s="64">
        <v>0.56999999999999995</v>
      </c>
      <c r="K58" s="64">
        <v>282.32</v>
      </c>
      <c r="L58" s="64">
        <v>23.01</v>
      </c>
      <c r="M58" s="64">
        <v>23.86</v>
      </c>
      <c r="N58" s="64">
        <v>702</v>
      </c>
      <c r="O58" s="64">
        <v>0</v>
      </c>
      <c r="P58" s="64">
        <v>0.54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1062</v>
      </c>
      <c r="B59" s="64">
        <v>9.3000000000000007</v>
      </c>
      <c r="C59" s="64">
        <v>70.22</v>
      </c>
      <c r="D59" s="64">
        <v>42.77</v>
      </c>
      <c r="E59" s="64">
        <v>6.2</v>
      </c>
      <c r="F59" s="64">
        <v>2.13</v>
      </c>
      <c r="G59" s="64">
        <v>56.66</v>
      </c>
      <c r="H59" s="64">
        <v>26.56</v>
      </c>
      <c r="I59" s="210" t="s">
        <v>43</v>
      </c>
      <c r="J59" s="64">
        <v>0.97</v>
      </c>
      <c r="K59" s="64">
        <v>346.55</v>
      </c>
      <c r="L59" s="64">
        <v>23.54</v>
      </c>
      <c r="M59" s="64">
        <v>24.01</v>
      </c>
      <c r="N59" s="64">
        <v>702.8</v>
      </c>
      <c r="O59" s="64">
        <v>0</v>
      </c>
      <c r="P59" s="64">
        <v>0.52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1063</v>
      </c>
      <c r="B60" s="64">
        <v>6.17</v>
      </c>
      <c r="C60" s="64">
        <v>73.22</v>
      </c>
      <c r="D60" s="64">
        <v>41.83</v>
      </c>
      <c r="E60" s="64">
        <v>10.37</v>
      </c>
      <c r="F60" s="64">
        <v>11.65</v>
      </c>
      <c r="G60" s="64">
        <v>55.04</v>
      </c>
      <c r="H60" s="64">
        <v>24.89</v>
      </c>
      <c r="I60" s="210" t="s">
        <v>43</v>
      </c>
      <c r="J60" s="64">
        <v>0.31</v>
      </c>
      <c r="K60" s="64">
        <v>196.76</v>
      </c>
      <c r="L60" s="64">
        <v>23.31</v>
      </c>
      <c r="M60" s="64">
        <v>23.13</v>
      </c>
      <c r="N60" s="64">
        <v>709.4</v>
      </c>
      <c r="O60" s="64">
        <v>0</v>
      </c>
      <c r="P60" s="64">
        <v>0.49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1064</v>
      </c>
      <c r="B61" s="64">
        <v>3</v>
      </c>
      <c r="C61" s="64">
        <v>74.56</v>
      </c>
      <c r="D61" s="64">
        <v>39.99</v>
      </c>
      <c r="E61" s="64">
        <v>8.58</v>
      </c>
      <c r="F61" s="64">
        <v>6.66</v>
      </c>
      <c r="G61" s="64">
        <v>55.04</v>
      </c>
      <c r="H61" s="64">
        <v>24.89</v>
      </c>
      <c r="I61" s="210" t="s">
        <v>43</v>
      </c>
      <c r="J61" s="64">
        <v>1.74</v>
      </c>
      <c r="K61" s="64">
        <v>327.62</v>
      </c>
      <c r="L61" s="64">
        <v>24.76</v>
      </c>
      <c r="M61" s="64">
        <v>20.96</v>
      </c>
      <c r="N61" s="64">
        <v>688.8</v>
      </c>
      <c r="O61" s="64">
        <v>0</v>
      </c>
      <c r="P61" s="64">
        <v>0.63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1065</v>
      </c>
      <c r="B62" s="64">
        <v>2.75</v>
      </c>
      <c r="C62" s="64">
        <v>71.150000000000006</v>
      </c>
      <c r="D62" s="64">
        <v>38</v>
      </c>
      <c r="E62" s="64">
        <v>7.88</v>
      </c>
      <c r="F62" s="64">
        <v>3.84</v>
      </c>
      <c r="G62" s="64">
        <v>55.04</v>
      </c>
      <c r="H62" s="64">
        <v>24.89</v>
      </c>
      <c r="I62" s="210" t="s">
        <v>43</v>
      </c>
      <c r="J62" s="64">
        <v>0.85</v>
      </c>
      <c r="K62" s="64">
        <v>300.18</v>
      </c>
      <c r="L62" s="64">
        <v>24.31</v>
      </c>
      <c r="M62" s="64">
        <v>19.28</v>
      </c>
      <c r="N62" s="64">
        <v>663.8</v>
      </c>
      <c r="O62" s="64">
        <v>0</v>
      </c>
      <c r="P62" s="64">
        <v>0.63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1066</v>
      </c>
      <c r="B63" s="64">
        <v>2.68</v>
      </c>
      <c r="C63" s="64">
        <v>66.13</v>
      </c>
      <c r="D63" s="64">
        <v>35.32</v>
      </c>
      <c r="E63" s="64">
        <v>7.5</v>
      </c>
      <c r="F63" s="64">
        <v>4.55</v>
      </c>
      <c r="G63" s="64">
        <v>47.9</v>
      </c>
      <c r="H63" s="64">
        <v>22.32</v>
      </c>
      <c r="I63" s="210" t="s">
        <v>43</v>
      </c>
      <c r="J63" s="64">
        <v>0.97</v>
      </c>
      <c r="K63" s="64">
        <v>323.02999999999997</v>
      </c>
      <c r="L63" s="64">
        <v>23.86</v>
      </c>
      <c r="M63" s="64">
        <v>20.82</v>
      </c>
      <c r="N63" s="64">
        <v>662.9</v>
      </c>
      <c r="O63" s="64">
        <v>0</v>
      </c>
      <c r="P63" s="64">
        <v>0.61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1067</v>
      </c>
      <c r="B64" s="64">
        <v>2.67</v>
      </c>
      <c r="C64" s="64">
        <v>62.53</v>
      </c>
      <c r="D64" s="64">
        <v>33.43</v>
      </c>
      <c r="E64" s="64">
        <v>6.13</v>
      </c>
      <c r="F64" s="64">
        <v>3.93</v>
      </c>
      <c r="G64" s="64">
        <v>44.84</v>
      </c>
      <c r="H64" s="64">
        <v>21.23</v>
      </c>
      <c r="I64" s="210" t="s">
        <v>43</v>
      </c>
      <c r="J64" s="64">
        <v>0.82</v>
      </c>
      <c r="K64" s="64">
        <v>144.05000000000001</v>
      </c>
      <c r="L64" s="64">
        <v>23.06</v>
      </c>
      <c r="M64" s="64">
        <v>22.29</v>
      </c>
      <c r="N64" s="64">
        <v>624.1</v>
      </c>
      <c r="O64" s="64">
        <v>0</v>
      </c>
      <c r="P64" s="64">
        <v>0.59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1068</v>
      </c>
      <c r="B65" s="64">
        <v>2.9</v>
      </c>
      <c r="C65" s="64">
        <v>59.53</v>
      </c>
      <c r="D65" s="64">
        <v>32.049999999999997</v>
      </c>
      <c r="E65" s="64">
        <v>5.8</v>
      </c>
      <c r="F65" s="64">
        <v>2.13</v>
      </c>
      <c r="G65" s="64">
        <v>44.84</v>
      </c>
      <c r="H65" s="64">
        <v>21.23</v>
      </c>
      <c r="I65" s="210" t="s">
        <v>43</v>
      </c>
      <c r="J65" s="64">
        <v>2.57</v>
      </c>
      <c r="K65" s="64">
        <v>332.49</v>
      </c>
      <c r="L65" s="64">
        <v>24.39</v>
      </c>
      <c r="M65" s="64">
        <v>21.35</v>
      </c>
      <c r="N65" s="64">
        <v>611.70000000000005</v>
      </c>
      <c r="O65" s="64">
        <v>0</v>
      </c>
      <c r="P65" s="64">
        <v>0.57999999999999996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1069</v>
      </c>
      <c r="B66" s="64">
        <v>3.49</v>
      </c>
      <c r="C66" s="64">
        <v>56.91</v>
      </c>
      <c r="D66" s="64">
        <v>31.15</v>
      </c>
      <c r="E66" s="64">
        <v>5.7</v>
      </c>
      <c r="F66" s="64">
        <v>2.13</v>
      </c>
      <c r="G66" s="64">
        <v>44.84</v>
      </c>
      <c r="H66" s="64">
        <v>21.23</v>
      </c>
      <c r="I66" s="210" t="s">
        <v>43</v>
      </c>
      <c r="J66" s="64">
        <v>2.35</v>
      </c>
      <c r="K66" s="64">
        <v>326.95999999999998</v>
      </c>
      <c r="L66" s="64">
        <v>24.72</v>
      </c>
      <c r="M66" s="64">
        <v>19.27</v>
      </c>
      <c r="N66" s="64">
        <v>368.1</v>
      </c>
      <c r="O66" s="64">
        <v>0</v>
      </c>
      <c r="P66" s="64">
        <v>0.59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1070</v>
      </c>
      <c r="B67" s="64">
        <v>4</v>
      </c>
      <c r="C67" s="64">
        <v>56.51</v>
      </c>
      <c r="D67" s="64">
        <v>31.35</v>
      </c>
      <c r="E67" s="64">
        <v>5.7</v>
      </c>
      <c r="F67" s="64">
        <v>2.15</v>
      </c>
      <c r="G67" s="64">
        <v>48.86</v>
      </c>
      <c r="H67" s="64">
        <v>19.63</v>
      </c>
      <c r="I67" s="210" t="s">
        <v>43</v>
      </c>
      <c r="J67" s="64">
        <v>0.63</v>
      </c>
      <c r="K67" s="64">
        <v>39.68</v>
      </c>
      <c r="L67" s="64">
        <v>23.22</v>
      </c>
      <c r="M67" s="64">
        <v>20.97</v>
      </c>
      <c r="N67" s="64">
        <v>308.2</v>
      </c>
      <c r="O67" s="64">
        <v>0</v>
      </c>
      <c r="P67" s="64">
        <v>0.6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1071</v>
      </c>
      <c r="B68" s="64">
        <v>3.79</v>
      </c>
      <c r="C68" s="64">
        <v>55.89</v>
      </c>
      <c r="D68" s="64">
        <v>30.87</v>
      </c>
      <c r="E68" s="64">
        <v>6.09</v>
      </c>
      <c r="F68" s="64">
        <v>2.6</v>
      </c>
      <c r="G68" s="64">
        <v>50.59</v>
      </c>
      <c r="H68" s="64">
        <v>18.940000000000001</v>
      </c>
      <c r="I68" s="210" t="s">
        <v>43</v>
      </c>
      <c r="J68" s="64">
        <v>0.86</v>
      </c>
      <c r="K68" s="64">
        <v>326.20999999999998</v>
      </c>
      <c r="L68" s="64">
        <v>22.36</v>
      </c>
      <c r="M68" s="64">
        <v>21.77</v>
      </c>
      <c r="N68" s="64">
        <v>293.60000000000002</v>
      </c>
      <c r="O68" s="64">
        <v>0</v>
      </c>
      <c r="P68" s="64">
        <v>0.59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1072</v>
      </c>
      <c r="B69" s="64">
        <v>3.03</v>
      </c>
      <c r="C69" s="64">
        <v>56.14</v>
      </c>
      <c r="D69" s="64">
        <v>30.39</v>
      </c>
      <c r="E69" s="64">
        <v>6.26</v>
      </c>
      <c r="F69" s="64">
        <v>3.84</v>
      </c>
      <c r="G69" s="64">
        <v>50.59</v>
      </c>
      <c r="H69" s="64">
        <v>18.940000000000001</v>
      </c>
      <c r="I69" s="210" t="s">
        <v>43</v>
      </c>
      <c r="J69" s="64">
        <v>0.99</v>
      </c>
      <c r="K69" s="64">
        <v>349.7</v>
      </c>
      <c r="L69" s="64">
        <v>22.86</v>
      </c>
      <c r="M69" s="64">
        <v>21.36</v>
      </c>
      <c r="N69" s="64">
        <v>194.8</v>
      </c>
      <c r="O69" s="64">
        <v>0</v>
      </c>
      <c r="P69" s="64">
        <v>0.6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1073</v>
      </c>
      <c r="B70" s="64">
        <v>3.01</v>
      </c>
      <c r="C70" s="64">
        <v>56.12</v>
      </c>
      <c r="D70" s="64">
        <v>30.36</v>
      </c>
      <c r="E70" s="64">
        <v>5.79</v>
      </c>
      <c r="F70" s="64">
        <v>3.41</v>
      </c>
      <c r="G70" s="64">
        <v>50.59</v>
      </c>
      <c r="H70" s="64">
        <v>18.940000000000001</v>
      </c>
      <c r="I70" s="210" t="s">
        <v>43</v>
      </c>
      <c r="J70" s="64">
        <v>0.79</v>
      </c>
      <c r="K70" s="64">
        <v>101.72</v>
      </c>
      <c r="L70" s="64">
        <v>21.87</v>
      </c>
      <c r="M70" s="64">
        <v>21.05</v>
      </c>
      <c r="N70" s="64">
        <v>135</v>
      </c>
      <c r="O70" s="64">
        <v>0</v>
      </c>
      <c r="P70" s="64">
        <v>0.6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1074</v>
      </c>
      <c r="B71" s="64">
        <v>2.3199999999999998</v>
      </c>
      <c r="C71" s="64">
        <v>54.06</v>
      </c>
      <c r="D71" s="64">
        <v>28.73</v>
      </c>
      <c r="E71" s="64">
        <v>6.73</v>
      </c>
      <c r="F71" s="64">
        <v>7.25</v>
      </c>
      <c r="G71" s="64">
        <v>52.96</v>
      </c>
      <c r="H71" s="64">
        <v>18.09</v>
      </c>
      <c r="I71" s="210" t="s">
        <v>43</v>
      </c>
      <c r="J71" s="64">
        <v>1.65</v>
      </c>
      <c r="K71" s="64">
        <v>141.79</v>
      </c>
      <c r="L71" s="64">
        <v>20.91</v>
      </c>
      <c r="M71" s="64">
        <v>22.01</v>
      </c>
      <c r="N71" s="64">
        <v>120</v>
      </c>
      <c r="O71" s="64">
        <v>0</v>
      </c>
      <c r="P71" s="64">
        <v>0.56000000000000005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1075</v>
      </c>
      <c r="B72" s="64">
        <v>1.95</v>
      </c>
      <c r="C72" s="64">
        <v>51.22</v>
      </c>
      <c r="D72" s="64">
        <v>26.95</v>
      </c>
      <c r="E72" s="64">
        <v>7.26</v>
      </c>
      <c r="F72" s="64">
        <v>7.13</v>
      </c>
      <c r="G72" s="64">
        <v>53.98</v>
      </c>
      <c r="H72" s="64">
        <v>17.72</v>
      </c>
      <c r="I72" s="210" t="s">
        <v>43</v>
      </c>
      <c r="J72" s="64">
        <v>1.62</v>
      </c>
      <c r="K72" s="64">
        <v>126.77</v>
      </c>
      <c r="L72" s="64">
        <v>20.77</v>
      </c>
      <c r="M72" s="64">
        <v>22.85</v>
      </c>
      <c r="N72" s="64">
        <v>114</v>
      </c>
      <c r="O72" s="64">
        <v>0</v>
      </c>
      <c r="P72" s="64">
        <v>0.53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1076</v>
      </c>
      <c r="B73" s="64">
        <v>1.93</v>
      </c>
      <c r="C73" s="64">
        <v>48.63</v>
      </c>
      <c r="D73" s="64">
        <v>25.57</v>
      </c>
      <c r="E73" s="64">
        <v>6.88</v>
      </c>
      <c r="F73" s="64">
        <v>5.53</v>
      </c>
      <c r="G73" s="64">
        <v>53.98</v>
      </c>
      <c r="H73" s="64">
        <v>17.72</v>
      </c>
      <c r="I73" s="210" t="s">
        <v>43</v>
      </c>
      <c r="J73" s="64">
        <v>1.77</v>
      </c>
      <c r="K73" s="64">
        <v>121.13</v>
      </c>
      <c r="L73" s="64">
        <v>20.5</v>
      </c>
      <c r="M73" s="64">
        <v>22.43</v>
      </c>
      <c r="N73" s="64">
        <v>107.7</v>
      </c>
      <c r="O73" s="64">
        <v>0</v>
      </c>
      <c r="P73" s="64">
        <v>0.51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1077</v>
      </c>
      <c r="B74" s="64">
        <v>2.0699999999999998</v>
      </c>
      <c r="C74" s="64">
        <v>46.24</v>
      </c>
      <c r="D74" s="64">
        <v>24.44</v>
      </c>
      <c r="E74" s="64">
        <v>6.66</v>
      </c>
      <c r="F74" s="64">
        <v>3.74</v>
      </c>
      <c r="G74" s="64">
        <v>53.98</v>
      </c>
      <c r="H74" s="64">
        <v>17.72</v>
      </c>
      <c r="I74" s="210" t="s">
        <v>43</v>
      </c>
      <c r="J74" s="64">
        <v>1.4</v>
      </c>
      <c r="K74" s="64">
        <v>130.4</v>
      </c>
      <c r="L74" s="64">
        <v>20.399999999999999</v>
      </c>
      <c r="M74" s="64">
        <v>22.21</v>
      </c>
      <c r="N74" s="64">
        <v>101.9</v>
      </c>
      <c r="O74" s="64">
        <v>0</v>
      </c>
      <c r="P74" s="64">
        <v>0.49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1078</v>
      </c>
      <c r="B75" s="64">
        <v>2.2000000000000002</v>
      </c>
      <c r="C75" s="64">
        <v>45.08</v>
      </c>
      <c r="D75" s="64">
        <v>23.94</v>
      </c>
      <c r="E75" s="64">
        <v>5.26</v>
      </c>
      <c r="F75" s="64">
        <v>2.68</v>
      </c>
      <c r="G75" s="64">
        <v>51.63</v>
      </c>
      <c r="H75" s="64">
        <v>19.46</v>
      </c>
      <c r="I75" s="210" t="s">
        <v>43</v>
      </c>
      <c r="J75" s="64">
        <v>1.19</v>
      </c>
      <c r="K75" s="64">
        <v>130.91999999999999</v>
      </c>
      <c r="L75" s="64">
        <v>20.239999999999998</v>
      </c>
      <c r="M75" s="64">
        <v>21.69</v>
      </c>
      <c r="N75" s="64">
        <v>95.6</v>
      </c>
      <c r="O75" s="64">
        <v>0</v>
      </c>
      <c r="P75" s="64">
        <v>0.46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1079</v>
      </c>
      <c r="B76" s="64">
        <v>2.36</v>
      </c>
      <c r="C76" s="64">
        <v>44.82</v>
      </c>
      <c r="D76" s="64">
        <v>23.94</v>
      </c>
      <c r="E76" s="64">
        <v>7</v>
      </c>
      <c r="F76" s="64">
        <v>7.45</v>
      </c>
      <c r="G76" s="64">
        <v>50.63</v>
      </c>
      <c r="H76" s="64">
        <v>20.2</v>
      </c>
      <c r="I76" s="210" t="s">
        <v>43</v>
      </c>
      <c r="J76" s="64">
        <v>0.83</v>
      </c>
      <c r="K76" s="64">
        <v>134.21</v>
      </c>
      <c r="L76" s="64">
        <v>19.989999999999998</v>
      </c>
      <c r="M76" s="64">
        <v>23.49</v>
      </c>
      <c r="N76" s="64">
        <v>89.6</v>
      </c>
      <c r="O76" s="64">
        <v>0</v>
      </c>
      <c r="P76" s="64">
        <v>0.46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1080</v>
      </c>
      <c r="B77" s="64">
        <v>1.99</v>
      </c>
      <c r="C77" s="64">
        <v>47.02</v>
      </c>
      <c r="D77" s="64">
        <v>24.78</v>
      </c>
      <c r="E77" s="64">
        <v>9.48</v>
      </c>
      <c r="F77" s="64">
        <v>14.9</v>
      </c>
      <c r="G77" s="64">
        <v>50.63</v>
      </c>
      <c r="H77" s="64">
        <v>20.2</v>
      </c>
      <c r="I77" s="210" t="s">
        <v>43</v>
      </c>
      <c r="J77" s="64">
        <v>1.32</v>
      </c>
      <c r="K77" s="64">
        <v>89.94</v>
      </c>
      <c r="L77" s="64">
        <v>19.43</v>
      </c>
      <c r="M77" s="64">
        <v>26.77</v>
      </c>
      <c r="N77" s="64">
        <v>82.2</v>
      </c>
      <c r="O77" s="64">
        <v>0</v>
      </c>
      <c r="P77" s="64">
        <v>0.45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1081</v>
      </c>
      <c r="B78" s="64">
        <v>5.81</v>
      </c>
      <c r="C78" s="64">
        <v>58.59</v>
      </c>
      <c r="D78" s="64">
        <v>33.89</v>
      </c>
      <c r="E78" s="64">
        <v>9.11</v>
      </c>
      <c r="F78" s="64">
        <v>7.59</v>
      </c>
      <c r="G78" s="64">
        <v>50.63</v>
      </c>
      <c r="H78" s="64">
        <v>20.2</v>
      </c>
      <c r="I78" s="210" t="s">
        <v>43</v>
      </c>
      <c r="J78" s="64">
        <v>1.51</v>
      </c>
      <c r="K78" s="64">
        <v>309.38</v>
      </c>
      <c r="L78" s="64">
        <v>18.54</v>
      </c>
      <c r="M78" s="64">
        <v>33.36</v>
      </c>
      <c r="N78" s="64">
        <v>75.099999999999994</v>
      </c>
      <c r="O78" s="64">
        <v>0</v>
      </c>
      <c r="P78" s="64">
        <v>0.56999999999999995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1082</v>
      </c>
      <c r="B79" s="64">
        <v>23.54</v>
      </c>
      <c r="C79" s="64">
        <v>80.099999999999994</v>
      </c>
      <c r="D79" s="64">
        <v>59.35</v>
      </c>
      <c r="E79" s="64">
        <v>10.08</v>
      </c>
      <c r="F79" s="64">
        <v>2.4300000000000002</v>
      </c>
      <c r="G79" s="64">
        <v>54.89</v>
      </c>
      <c r="H79" s="64">
        <v>22.16</v>
      </c>
      <c r="I79" s="210" t="s">
        <v>43</v>
      </c>
      <c r="J79" s="64">
        <v>1.44</v>
      </c>
      <c r="K79" s="64">
        <v>333.46</v>
      </c>
      <c r="L79" s="64">
        <v>17.39</v>
      </c>
      <c r="M79" s="64">
        <v>38.229999999999997</v>
      </c>
      <c r="N79" s="64">
        <v>70</v>
      </c>
      <c r="O79" s="64">
        <v>0</v>
      </c>
      <c r="P79" s="64">
        <v>0.78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1083</v>
      </c>
      <c r="B80" s="64">
        <v>39.65</v>
      </c>
      <c r="C80" s="64">
        <v>87.93</v>
      </c>
      <c r="D80" s="64">
        <v>76.36</v>
      </c>
      <c r="E80" s="64">
        <v>10.28</v>
      </c>
      <c r="F80" s="64">
        <v>2.13</v>
      </c>
      <c r="G80" s="64">
        <v>56.72</v>
      </c>
      <c r="H80" s="64">
        <v>23</v>
      </c>
      <c r="I80" s="210" t="s">
        <v>43</v>
      </c>
      <c r="J80" s="64">
        <v>1.44</v>
      </c>
      <c r="K80" s="64">
        <v>331.45</v>
      </c>
      <c r="L80" s="64">
        <v>16.37</v>
      </c>
      <c r="M80" s="64">
        <v>46.86</v>
      </c>
      <c r="N80" s="64">
        <v>68.099999999999994</v>
      </c>
      <c r="O80" s="64">
        <v>0</v>
      </c>
      <c r="P80" s="64">
        <v>0.99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1084</v>
      </c>
      <c r="B81" s="64">
        <v>39.9</v>
      </c>
      <c r="C81" s="64">
        <v>84.88</v>
      </c>
      <c r="D81" s="64">
        <v>74.97</v>
      </c>
      <c r="E81" s="64">
        <v>8.6199999999999992</v>
      </c>
      <c r="F81" s="64">
        <v>2.13</v>
      </c>
      <c r="G81" s="64">
        <v>56.72</v>
      </c>
      <c r="H81" s="64">
        <v>23</v>
      </c>
      <c r="I81" s="210" t="s">
        <v>43</v>
      </c>
      <c r="J81" s="64">
        <v>0.91</v>
      </c>
      <c r="K81" s="64">
        <v>99.06</v>
      </c>
      <c r="L81" s="64">
        <v>15.75</v>
      </c>
      <c r="M81" s="64">
        <v>43.69</v>
      </c>
      <c r="N81" s="64">
        <v>67.5</v>
      </c>
      <c r="O81" s="64">
        <v>0</v>
      </c>
      <c r="P81" s="64">
        <v>1.07</v>
      </c>
      <c r="Q81" s="64">
        <v>8.44</v>
      </c>
      <c r="R81" s="198"/>
      <c r="S81" s="198"/>
      <c r="T81" s="198"/>
      <c r="U81" s="198"/>
    </row>
    <row r="82" spans="1:26" s="12" customFormat="1" x14ac:dyDescent="0.25">
      <c r="A82" s="214" t="s">
        <v>1085</v>
      </c>
      <c r="B82" s="64">
        <v>41.83</v>
      </c>
      <c r="C82" s="64">
        <v>82.34</v>
      </c>
      <c r="D82" s="64">
        <v>75.180000000000007</v>
      </c>
      <c r="E82" s="64">
        <v>8.5299999999999994</v>
      </c>
      <c r="F82" s="64">
        <v>2.13</v>
      </c>
      <c r="G82" s="64">
        <v>56.72</v>
      </c>
      <c r="H82" s="64">
        <v>23</v>
      </c>
      <c r="I82" s="210" t="s">
        <v>43</v>
      </c>
      <c r="J82" s="64">
        <v>1.4</v>
      </c>
      <c r="K82" s="64">
        <v>63.35</v>
      </c>
      <c r="L82" s="64">
        <v>15.62</v>
      </c>
      <c r="M82" s="64">
        <v>43.01</v>
      </c>
      <c r="N82" s="64">
        <v>67.2</v>
      </c>
      <c r="O82" s="64">
        <v>0</v>
      </c>
      <c r="P82" s="64">
        <v>1.08</v>
      </c>
      <c r="Q82" s="64">
        <v>8.82</v>
      </c>
      <c r="R82" s="198"/>
      <c r="S82" s="198"/>
      <c r="T82" s="198"/>
      <c r="U82" s="198"/>
    </row>
    <row r="83" spans="1:26" s="12" customFormat="1" x14ac:dyDescent="0.25">
      <c r="A83" s="214" t="s">
        <v>1086</v>
      </c>
      <c r="B83" s="64">
        <v>44.43</v>
      </c>
      <c r="C83" s="64">
        <v>80.53</v>
      </c>
      <c r="D83" s="64">
        <v>76.33</v>
      </c>
      <c r="E83" s="64">
        <v>8.7799999999999994</v>
      </c>
      <c r="F83" s="64">
        <v>2.13</v>
      </c>
      <c r="G83" s="64">
        <v>116.16</v>
      </c>
      <c r="H83" s="64">
        <v>24.1</v>
      </c>
      <c r="I83" s="210" t="s">
        <v>43</v>
      </c>
      <c r="J83" s="64">
        <v>1.51</v>
      </c>
      <c r="K83" s="64">
        <v>82.25</v>
      </c>
      <c r="L83" s="64">
        <v>15.87</v>
      </c>
      <c r="M83" s="64">
        <v>42.22</v>
      </c>
      <c r="N83" s="64">
        <v>67.2</v>
      </c>
      <c r="O83" s="64">
        <v>0</v>
      </c>
      <c r="P83" s="64">
        <v>1.06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4" t="s">
        <v>1087</v>
      </c>
      <c r="B84" s="64">
        <v>46.35</v>
      </c>
      <c r="C84" s="64">
        <v>79.17</v>
      </c>
      <c r="D84" s="64">
        <v>77.150000000000006</v>
      </c>
      <c r="E84" s="64">
        <v>8.4</v>
      </c>
      <c r="F84" s="64">
        <v>2.13</v>
      </c>
      <c r="G84" s="64">
        <v>141.63999999999999</v>
      </c>
      <c r="H84" s="64">
        <v>24.57</v>
      </c>
      <c r="I84" s="210" t="s">
        <v>43</v>
      </c>
      <c r="J84" s="64">
        <v>1.1499999999999999</v>
      </c>
      <c r="K84" s="64">
        <v>64.06</v>
      </c>
      <c r="L84" s="64">
        <v>15.75</v>
      </c>
      <c r="M84" s="64">
        <v>42.78</v>
      </c>
      <c r="N84" s="64">
        <v>67.5</v>
      </c>
      <c r="O84" s="64">
        <v>0</v>
      </c>
      <c r="P84" s="64">
        <v>1.21</v>
      </c>
      <c r="Q84" s="64">
        <v>9.27</v>
      </c>
      <c r="R84" s="198"/>
      <c r="S84" s="198"/>
      <c r="T84" s="198"/>
      <c r="U84" s="198"/>
    </row>
    <row r="85" spans="1:26" s="12" customFormat="1" x14ac:dyDescent="0.25">
      <c r="A85" s="214" t="s">
        <v>1088</v>
      </c>
      <c r="B85" s="64">
        <v>47.41</v>
      </c>
      <c r="C85" s="64">
        <v>77.790000000000006</v>
      </c>
      <c r="D85" s="64">
        <v>77.28</v>
      </c>
      <c r="E85" s="64">
        <v>8.67</v>
      </c>
      <c r="F85" s="64">
        <v>2.13</v>
      </c>
      <c r="G85" s="64">
        <v>141.63999999999999</v>
      </c>
      <c r="H85" s="64">
        <v>24.57</v>
      </c>
      <c r="I85" s="210" t="s">
        <v>43</v>
      </c>
      <c r="J85" s="64">
        <v>1.46</v>
      </c>
      <c r="K85" s="64">
        <v>74.260000000000005</v>
      </c>
      <c r="L85" s="64">
        <v>15.82</v>
      </c>
      <c r="M85" s="64">
        <v>41.24</v>
      </c>
      <c r="N85" s="64">
        <v>67.3</v>
      </c>
      <c r="O85" s="64">
        <v>0</v>
      </c>
      <c r="P85" s="64">
        <v>1.1399999999999999</v>
      </c>
      <c r="Q85" s="64">
        <v>9.35</v>
      </c>
      <c r="R85" s="198"/>
      <c r="S85" s="198"/>
      <c r="T85" s="198"/>
      <c r="U85" s="198"/>
    </row>
    <row r="86" spans="1:26" s="12" customFormat="1" x14ac:dyDescent="0.25">
      <c r="A86" s="214" t="s">
        <v>1089</v>
      </c>
      <c r="B86" s="64">
        <v>47</v>
      </c>
      <c r="C86" s="64">
        <v>76.650000000000006</v>
      </c>
      <c r="D86" s="64">
        <v>76.36</v>
      </c>
      <c r="E86" s="64">
        <v>8.42</v>
      </c>
      <c r="F86" s="64">
        <v>2.13</v>
      </c>
      <c r="G86" s="64">
        <v>141.63999999999999</v>
      </c>
      <c r="H86" s="64">
        <v>24.57</v>
      </c>
      <c r="I86" s="210" t="s">
        <v>43</v>
      </c>
      <c r="J86" s="64">
        <v>1.1499999999999999</v>
      </c>
      <c r="K86" s="64">
        <v>72.91</v>
      </c>
      <c r="L86" s="64">
        <v>15.48</v>
      </c>
      <c r="M86" s="64">
        <v>43.18</v>
      </c>
      <c r="N86" s="64">
        <v>67.599999999999994</v>
      </c>
      <c r="O86" s="64">
        <v>0</v>
      </c>
      <c r="P86" s="64">
        <v>1.23</v>
      </c>
      <c r="Q86" s="64">
        <v>9.32</v>
      </c>
      <c r="R86" s="198"/>
      <c r="S86" s="198"/>
      <c r="T86" s="198"/>
      <c r="U86" s="198"/>
    </row>
    <row r="87" spans="1:26" s="12" customFormat="1" x14ac:dyDescent="0.25">
      <c r="A87" s="214" t="s">
        <v>1090</v>
      </c>
      <c r="B87" s="64">
        <v>45.51</v>
      </c>
      <c r="C87" s="64">
        <v>75.040000000000006</v>
      </c>
      <c r="D87" s="64">
        <v>74.319999999999993</v>
      </c>
      <c r="E87" s="64">
        <v>7.99</v>
      </c>
      <c r="F87" s="64">
        <v>2.13</v>
      </c>
      <c r="G87" s="64">
        <v>157.46</v>
      </c>
      <c r="H87" s="64">
        <v>32.54</v>
      </c>
      <c r="I87" s="210" t="s">
        <v>43</v>
      </c>
      <c r="J87" s="64">
        <v>1.1499999999999999</v>
      </c>
      <c r="K87" s="64">
        <v>63.8</v>
      </c>
      <c r="L87" s="64">
        <v>15.25</v>
      </c>
      <c r="M87" s="64">
        <v>43.81</v>
      </c>
      <c r="N87" s="64">
        <v>67.599999999999994</v>
      </c>
      <c r="O87" s="64">
        <v>0</v>
      </c>
      <c r="P87" s="64">
        <v>1.28</v>
      </c>
      <c r="Q87" s="64">
        <v>9.23</v>
      </c>
      <c r="R87" s="198"/>
      <c r="S87" s="198"/>
      <c r="T87" s="198"/>
      <c r="U87" s="198"/>
    </row>
    <row r="88" spans="1:26" s="12" customFormat="1" x14ac:dyDescent="0.25">
      <c r="A88" s="214" t="s">
        <v>1091</v>
      </c>
      <c r="B88" s="64">
        <v>43.57</v>
      </c>
      <c r="C88" s="64">
        <v>73.319999999999993</v>
      </c>
      <c r="D88" s="64">
        <v>71.87</v>
      </c>
      <c r="E88" s="64">
        <v>7.7</v>
      </c>
      <c r="F88" s="64">
        <v>2.13</v>
      </c>
      <c r="G88" s="64">
        <v>164.25</v>
      </c>
      <c r="H88" s="64">
        <v>35.950000000000003</v>
      </c>
      <c r="I88" s="210" t="s">
        <v>43</v>
      </c>
      <c r="J88" s="64">
        <v>1</v>
      </c>
      <c r="K88" s="64">
        <v>30.05</v>
      </c>
      <c r="L88" s="64">
        <v>14.96</v>
      </c>
      <c r="M88" s="64">
        <v>44.88</v>
      </c>
      <c r="N88" s="64">
        <v>67.599999999999994</v>
      </c>
      <c r="O88" s="64">
        <v>0</v>
      </c>
      <c r="P88" s="64">
        <v>1.29</v>
      </c>
      <c r="Q88" s="64">
        <v>9.1</v>
      </c>
      <c r="R88" s="198"/>
      <c r="S88" s="198"/>
      <c r="T88" s="198"/>
      <c r="U88" s="198"/>
    </row>
    <row r="89" spans="1:26" s="12" customFormat="1" x14ac:dyDescent="0.25">
      <c r="A89" s="214" t="s">
        <v>1092</v>
      </c>
      <c r="B89" s="64">
        <v>41.9</v>
      </c>
      <c r="C89" s="64">
        <v>71.83</v>
      </c>
      <c r="D89" s="64">
        <v>69.75</v>
      </c>
      <c r="E89" s="64">
        <v>7.63</v>
      </c>
      <c r="F89" s="64">
        <v>2.13</v>
      </c>
      <c r="G89" s="64">
        <v>164.25</v>
      </c>
      <c r="H89" s="64">
        <v>35.950000000000003</v>
      </c>
      <c r="I89" s="210" t="s">
        <v>43</v>
      </c>
      <c r="J89" s="64">
        <v>0.92</v>
      </c>
      <c r="K89" s="64">
        <v>20.93</v>
      </c>
      <c r="L89" s="64">
        <v>14.77</v>
      </c>
      <c r="M89" s="64">
        <v>43.59</v>
      </c>
      <c r="N89" s="64">
        <v>67.900000000000006</v>
      </c>
      <c r="O89" s="64">
        <v>0</v>
      </c>
      <c r="P89" s="64">
        <v>1.31</v>
      </c>
      <c r="Q89" s="64">
        <v>8.93</v>
      </c>
      <c r="R89" s="198"/>
      <c r="S89" s="198"/>
      <c r="T89" s="198"/>
      <c r="U89" s="198"/>
    </row>
    <row r="90" spans="1:26" s="12" customFormat="1" x14ac:dyDescent="0.25">
      <c r="A90" s="214" t="s">
        <v>1093</v>
      </c>
      <c r="B90" s="64">
        <v>40.71</v>
      </c>
      <c r="C90" s="64">
        <v>70.31</v>
      </c>
      <c r="D90" s="64">
        <v>68</v>
      </c>
      <c r="E90" s="64">
        <v>7.07</v>
      </c>
      <c r="F90" s="64">
        <v>2.13</v>
      </c>
      <c r="G90" s="64">
        <v>164.25</v>
      </c>
      <c r="H90" s="64">
        <v>35.950000000000003</v>
      </c>
      <c r="I90" s="210" t="s">
        <v>43</v>
      </c>
      <c r="J90" s="64">
        <v>1.1499999999999999</v>
      </c>
      <c r="K90" s="64">
        <v>63.86</v>
      </c>
      <c r="L90" s="64">
        <v>14.6</v>
      </c>
      <c r="M90" s="64">
        <v>42.4</v>
      </c>
      <c r="N90" s="64">
        <v>68</v>
      </c>
      <c r="O90" s="64">
        <v>0</v>
      </c>
      <c r="P90" s="64">
        <v>1.32</v>
      </c>
      <c r="Q90" s="64">
        <v>8.7899999999999991</v>
      </c>
      <c r="R90" s="198"/>
      <c r="S90" s="198"/>
      <c r="T90" s="198"/>
      <c r="U90" s="198"/>
    </row>
    <row r="91" spans="1:26" s="12" customFormat="1" x14ac:dyDescent="0.25">
      <c r="A91" s="214" t="s">
        <v>1094</v>
      </c>
      <c r="B91" s="64">
        <v>39.35</v>
      </c>
      <c r="C91" s="64">
        <v>68.66</v>
      </c>
      <c r="D91" s="64">
        <v>66.05</v>
      </c>
      <c r="E91" s="64">
        <v>6.84</v>
      </c>
      <c r="F91" s="64">
        <v>2.13</v>
      </c>
      <c r="G91" s="64">
        <v>107.16</v>
      </c>
      <c r="H91" s="64">
        <v>35.119999999999997</v>
      </c>
      <c r="I91" s="210" t="s">
        <v>43</v>
      </c>
      <c r="J91" s="64">
        <v>0.93</v>
      </c>
      <c r="K91" s="64">
        <v>86.87</v>
      </c>
      <c r="L91" s="64">
        <v>14.45</v>
      </c>
      <c r="M91" s="64">
        <v>42.21</v>
      </c>
      <c r="N91" s="64">
        <v>68.2</v>
      </c>
      <c r="O91" s="64">
        <v>0</v>
      </c>
      <c r="P91" s="64">
        <v>1.34</v>
      </c>
      <c r="Q91" s="64">
        <v>8.66</v>
      </c>
      <c r="R91" s="198"/>
      <c r="S91" s="198"/>
      <c r="T91" s="198"/>
      <c r="U91" s="198"/>
    </row>
    <row r="92" spans="1:26" s="12" customFormat="1" x14ac:dyDescent="0.25">
      <c r="A92" s="214" t="s">
        <v>1095</v>
      </c>
      <c r="B92" s="64">
        <v>38.06</v>
      </c>
      <c r="C92" s="64">
        <v>66.22</v>
      </c>
      <c r="D92" s="64">
        <v>63.74</v>
      </c>
      <c r="E92" s="64">
        <v>6.76</v>
      </c>
      <c r="F92" s="64">
        <v>2.13</v>
      </c>
      <c r="G92" s="64">
        <v>82.69</v>
      </c>
      <c r="H92" s="64">
        <v>34.76</v>
      </c>
      <c r="I92" s="210" t="s">
        <v>43</v>
      </c>
      <c r="J92" s="64">
        <v>0.48</v>
      </c>
      <c r="K92" s="64">
        <v>160.9</v>
      </c>
      <c r="L92" s="64">
        <v>14.24</v>
      </c>
      <c r="M92" s="64">
        <v>44.47</v>
      </c>
      <c r="N92" s="64">
        <v>68.3</v>
      </c>
      <c r="O92" s="64">
        <v>0</v>
      </c>
      <c r="P92" s="64">
        <v>1.35</v>
      </c>
      <c r="Q92" s="64">
        <v>8.5299999999999994</v>
      </c>
      <c r="R92" s="198"/>
      <c r="S92" s="198"/>
      <c r="T92" s="198"/>
      <c r="U92" s="198"/>
    </row>
    <row r="93" spans="1:26" s="12" customFormat="1" x14ac:dyDescent="0.25">
      <c r="A93" s="214" t="s">
        <v>1096</v>
      </c>
      <c r="B93" s="64">
        <v>38.659999999999997</v>
      </c>
      <c r="C93" s="64">
        <v>64.86</v>
      </c>
      <c r="D93" s="64">
        <v>63.51</v>
      </c>
      <c r="E93" s="64">
        <v>6.63</v>
      </c>
      <c r="F93" s="64">
        <v>2.13</v>
      </c>
      <c r="G93" s="64">
        <v>82.69</v>
      </c>
      <c r="H93" s="64">
        <v>34.76</v>
      </c>
      <c r="I93" s="210" t="s">
        <v>43</v>
      </c>
      <c r="J93" s="64">
        <v>1.36</v>
      </c>
      <c r="K93" s="64">
        <v>322.08999999999997</v>
      </c>
      <c r="L93" s="64">
        <v>13.62</v>
      </c>
      <c r="M93" s="64">
        <v>50.63</v>
      </c>
      <c r="N93" s="64">
        <v>68.599999999999994</v>
      </c>
      <c r="O93" s="64">
        <v>0</v>
      </c>
      <c r="P93" s="64">
        <v>1.42</v>
      </c>
      <c r="Q93" s="64">
        <v>8.4600000000000009</v>
      </c>
      <c r="R93" s="198"/>
      <c r="S93" s="198"/>
      <c r="T93" s="198"/>
      <c r="U93" s="198"/>
    </row>
    <row r="94" spans="1:26" s="12" customFormat="1" x14ac:dyDescent="0.25">
      <c r="A94" s="214" t="s">
        <v>1097</v>
      </c>
      <c r="B94" s="64">
        <v>43.42</v>
      </c>
      <c r="C94" s="64">
        <v>64.55</v>
      </c>
      <c r="D94" s="64">
        <v>67.17</v>
      </c>
      <c r="E94" s="64">
        <v>6.81</v>
      </c>
      <c r="F94" s="64">
        <v>2.13</v>
      </c>
      <c r="G94" s="64">
        <v>82.69</v>
      </c>
      <c r="H94" s="64">
        <v>34.76</v>
      </c>
      <c r="I94" s="210" t="s">
        <v>43</v>
      </c>
      <c r="J94" s="64">
        <v>1.06</v>
      </c>
      <c r="K94" s="64">
        <v>239.7</v>
      </c>
      <c r="L94" s="64">
        <v>13.13</v>
      </c>
      <c r="M94" s="64">
        <v>52.71</v>
      </c>
      <c r="N94" s="64">
        <v>68.8</v>
      </c>
      <c r="O94" s="64">
        <v>0</v>
      </c>
      <c r="P94" s="64">
        <v>1.4</v>
      </c>
      <c r="Q94" s="64">
        <v>8.6300000000000008</v>
      </c>
      <c r="R94" s="198"/>
      <c r="S94" s="198"/>
      <c r="T94" s="198"/>
      <c r="U94" s="198"/>
    </row>
    <row r="95" spans="1:26" s="12" customFormat="1" x14ac:dyDescent="0.25">
      <c r="A95" s="214" t="s">
        <v>1098</v>
      </c>
      <c r="B95" s="64">
        <v>47.57</v>
      </c>
      <c r="C95" s="64">
        <v>63.81</v>
      </c>
      <c r="D95" s="64">
        <v>70.11</v>
      </c>
      <c r="E95" s="64">
        <v>6.42</v>
      </c>
      <c r="F95" s="64">
        <v>2.13</v>
      </c>
      <c r="G95" s="64">
        <v>107.92</v>
      </c>
      <c r="H95" s="64">
        <v>35.659999999999997</v>
      </c>
      <c r="I95" s="210" t="s">
        <v>43</v>
      </c>
      <c r="J95" s="64">
        <v>1.52</v>
      </c>
      <c r="K95" s="64">
        <v>226.62</v>
      </c>
      <c r="L95" s="64">
        <v>12.68</v>
      </c>
      <c r="M95" s="64">
        <v>53.97</v>
      </c>
      <c r="N95" s="64">
        <v>68.900000000000006</v>
      </c>
      <c r="O95" s="64">
        <v>0</v>
      </c>
      <c r="P95" s="64">
        <v>1.44</v>
      </c>
      <c r="Q95" s="64">
        <v>8.9</v>
      </c>
      <c r="R95" s="198"/>
      <c r="S95" s="198"/>
      <c r="T95" s="198"/>
      <c r="U95" s="198"/>
    </row>
    <row r="96" spans="1:26" s="12" customFormat="1" x14ac:dyDescent="0.25">
      <c r="A96" s="214" t="s">
        <v>1099</v>
      </c>
      <c r="B96" s="64">
        <v>51.79</v>
      </c>
      <c r="C96" s="64">
        <v>62.86</v>
      </c>
      <c r="D96" s="64">
        <v>73</v>
      </c>
      <c r="E96" s="64">
        <v>7.14</v>
      </c>
      <c r="F96" s="64">
        <v>2.13</v>
      </c>
      <c r="G96" s="64">
        <v>118.73</v>
      </c>
      <c r="H96" s="64">
        <v>36.049999999999997</v>
      </c>
      <c r="I96" s="210" t="s">
        <v>43</v>
      </c>
      <c r="J96" s="64">
        <v>1.19</v>
      </c>
      <c r="K96" s="64">
        <v>280.17</v>
      </c>
      <c r="L96" s="64">
        <v>12.38</v>
      </c>
      <c r="M96" s="64">
        <v>57.46</v>
      </c>
      <c r="N96" s="64">
        <v>69</v>
      </c>
      <c r="O96" s="64">
        <v>0</v>
      </c>
      <c r="P96" s="64">
        <v>1.47</v>
      </c>
      <c r="Q96" s="64">
        <v>9.1999999999999993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1100</v>
      </c>
      <c r="B97" s="64">
        <v>58.36</v>
      </c>
      <c r="C97" s="64">
        <v>62.04</v>
      </c>
      <c r="D97" s="64">
        <v>77.84</v>
      </c>
      <c r="E97" s="64">
        <v>7.13</v>
      </c>
      <c r="F97" s="64">
        <v>2.13</v>
      </c>
      <c r="G97" s="64">
        <v>118.73</v>
      </c>
      <c r="H97" s="64">
        <v>36.049999999999997</v>
      </c>
      <c r="I97" s="210" t="s">
        <v>43</v>
      </c>
      <c r="J97" s="64">
        <v>1.53</v>
      </c>
      <c r="K97" s="64">
        <v>301.26</v>
      </c>
      <c r="L97" s="64">
        <v>11.78</v>
      </c>
      <c r="M97" s="64">
        <v>62.04</v>
      </c>
      <c r="N97" s="64">
        <v>69.599999999999994</v>
      </c>
      <c r="O97" s="64">
        <v>0</v>
      </c>
      <c r="P97" s="64">
        <v>1.51</v>
      </c>
      <c r="Q97" s="64">
        <v>9.4499999999999993</v>
      </c>
      <c r="R97" s="198"/>
      <c r="S97" s="198"/>
      <c r="T97" s="198"/>
      <c r="U97" s="198"/>
    </row>
    <row r="98" spans="1:33" s="12" customFormat="1" x14ac:dyDescent="0.25">
      <c r="A98" s="214" t="s">
        <v>1101</v>
      </c>
      <c r="B98" s="64">
        <v>64.599999999999994</v>
      </c>
      <c r="C98" s="64">
        <v>61.39</v>
      </c>
      <c r="D98" s="64">
        <v>82.5</v>
      </c>
      <c r="E98" s="64">
        <v>7.48</v>
      </c>
      <c r="F98" s="64">
        <v>2.13</v>
      </c>
      <c r="G98" s="64">
        <v>118.73</v>
      </c>
      <c r="H98" s="64">
        <v>36.049999999999997</v>
      </c>
      <c r="I98" s="210" t="s">
        <v>43</v>
      </c>
      <c r="J98" s="64">
        <v>1.52</v>
      </c>
      <c r="K98" s="64">
        <v>297.39999999999998</v>
      </c>
      <c r="L98" s="64">
        <v>11.52</v>
      </c>
      <c r="M98" s="64">
        <v>62.9</v>
      </c>
      <c r="N98" s="64">
        <v>69.8</v>
      </c>
      <c r="O98" s="64">
        <v>0</v>
      </c>
      <c r="P98" s="64">
        <v>1.57</v>
      </c>
      <c r="Q98" s="64">
        <v>9.52</v>
      </c>
      <c r="R98" s="198"/>
      <c r="S98" s="198"/>
      <c r="T98" s="198"/>
      <c r="U98" s="198"/>
    </row>
    <row r="99" spans="1:33" s="12" customFormat="1" x14ac:dyDescent="0.25">
      <c r="A99" s="214" t="s">
        <v>1102</v>
      </c>
      <c r="B99" s="64">
        <v>69.45</v>
      </c>
      <c r="C99" s="64">
        <v>60.13</v>
      </c>
      <c r="D99" s="64">
        <v>85.73</v>
      </c>
      <c r="E99" s="64">
        <v>7.48</v>
      </c>
      <c r="F99" s="64">
        <v>2.13</v>
      </c>
      <c r="G99" s="64">
        <v>145.51</v>
      </c>
      <c r="H99" s="64">
        <v>38.869999999999997</v>
      </c>
      <c r="I99" s="210" t="s">
        <v>43</v>
      </c>
      <c r="J99" s="64">
        <v>1.49</v>
      </c>
      <c r="K99" s="64">
        <v>309.37</v>
      </c>
      <c r="L99" s="64">
        <v>11.21</v>
      </c>
      <c r="M99" s="64">
        <v>65.97</v>
      </c>
      <c r="N99" s="64">
        <v>70.400000000000006</v>
      </c>
      <c r="O99" s="64">
        <v>0</v>
      </c>
      <c r="P99" s="64">
        <v>1.55</v>
      </c>
      <c r="Q99" s="64">
        <v>9.5399999999999991</v>
      </c>
      <c r="R99" s="198"/>
      <c r="S99" s="198"/>
      <c r="T99" s="198"/>
      <c r="U99" s="198"/>
    </row>
    <row r="100" spans="1:33" s="12" customFormat="1" x14ac:dyDescent="0.25">
      <c r="A100" s="214" t="s">
        <v>1103</v>
      </c>
      <c r="B100" s="64">
        <v>77.87</v>
      </c>
      <c r="C100" s="64">
        <v>59.61</v>
      </c>
      <c r="D100" s="64">
        <v>92.21</v>
      </c>
      <c r="E100" s="64">
        <v>8.1999999999999993</v>
      </c>
      <c r="F100" s="64">
        <v>2.13</v>
      </c>
      <c r="G100" s="64">
        <v>156.97999999999999</v>
      </c>
      <c r="H100" s="64">
        <v>40.08</v>
      </c>
      <c r="I100" s="210" t="s">
        <v>43</v>
      </c>
      <c r="J100" s="64">
        <v>1.41</v>
      </c>
      <c r="K100" s="64">
        <v>312.17</v>
      </c>
      <c r="L100" s="64">
        <v>11.1</v>
      </c>
      <c r="M100" s="64">
        <v>70.959999999999994</v>
      </c>
      <c r="N100" s="64">
        <v>70.900000000000006</v>
      </c>
      <c r="O100" s="64">
        <v>0</v>
      </c>
      <c r="P100" s="64">
        <v>1.61</v>
      </c>
      <c r="Q100" s="64">
        <v>9.56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1104</v>
      </c>
      <c r="B101" s="64">
        <v>90.86</v>
      </c>
      <c r="C101" s="64">
        <v>59.57</v>
      </c>
      <c r="D101" s="64">
        <v>102.61</v>
      </c>
      <c r="E101" s="64">
        <v>8.68</v>
      </c>
      <c r="F101" s="64">
        <v>2.13</v>
      </c>
      <c r="G101" s="64">
        <v>156.97999999999999</v>
      </c>
      <c r="H101" s="64">
        <v>40.08</v>
      </c>
      <c r="I101" s="210" t="s">
        <v>43</v>
      </c>
      <c r="J101" s="64">
        <v>1.54</v>
      </c>
      <c r="K101" s="64">
        <v>279.54000000000002</v>
      </c>
      <c r="L101" s="64">
        <v>10.89</v>
      </c>
      <c r="M101" s="64">
        <v>68.760000000000005</v>
      </c>
      <c r="N101" s="64">
        <v>72.2</v>
      </c>
      <c r="O101" s="64">
        <v>0</v>
      </c>
      <c r="P101" s="64">
        <v>1.69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4" t="s">
        <v>1105</v>
      </c>
      <c r="B102" s="64">
        <v>96.68</v>
      </c>
      <c r="C102" s="64">
        <v>59.34</v>
      </c>
      <c r="D102" s="64">
        <v>107.15</v>
      </c>
      <c r="E102" s="64">
        <v>8.5299999999999994</v>
      </c>
      <c r="F102" s="64">
        <v>2.13</v>
      </c>
      <c r="G102" s="64">
        <v>156.97999999999999</v>
      </c>
      <c r="H102" s="64">
        <v>40.08</v>
      </c>
      <c r="I102" s="210" t="s">
        <v>43</v>
      </c>
      <c r="J102" s="64">
        <v>1.5</v>
      </c>
      <c r="K102" s="64">
        <v>279.54000000000002</v>
      </c>
      <c r="L102" s="64">
        <v>10.63</v>
      </c>
      <c r="M102" s="64">
        <v>71.28</v>
      </c>
      <c r="N102" s="64">
        <v>76.599999999999994</v>
      </c>
      <c r="O102" s="64">
        <v>0</v>
      </c>
      <c r="P102" s="64">
        <v>1.7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4" t="s">
        <v>1106</v>
      </c>
      <c r="B103" s="64">
        <v>97.9</v>
      </c>
      <c r="C103" s="64">
        <v>58.39</v>
      </c>
      <c r="D103" s="64">
        <v>107.64</v>
      </c>
      <c r="E103" s="64">
        <v>8.26</v>
      </c>
      <c r="F103" s="64">
        <v>2.13</v>
      </c>
      <c r="G103" s="64">
        <v>174.9</v>
      </c>
      <c r="H103" s="64">
        <v>44</v>
      </c>
      <c r="I103" s="210" t="s">
        <v>43</v>
      </c>
      <c r="J103" s="64">
        <v>1.08</v>
      </c>
      <c r="K103" s="64">
        <v>262.10000000000002</v>
      </c>
      <c r="L103" s="64">
        <v>10.36</v>
      </c>
      <c r="M103" s="64">
        <v>75.489999999999995</v>
      </c>
      <c r="N103" s="64">
        <v>79.599999999999994</v>
      </c>
      <c r="O103" s="64">
        <v>0</v>
      </c>
      <c r="P103" s="64">
        <v>1.72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1107</v>
      </c>
      <c r="B104" s="64">
        <v>102.32</v>
      </c>
      <c r="C104" s="64">
        <v>57.69</v>
      </c>
      <c r="D104" s="64">
        <v>110.81</v>
      </c>
      <c r="E104" s="64">
        <v>8.6300000000000008</v>
      </c>
      <c r="F104" s="64">
        <v>2.13</v>
      </c>
      <c r="G104" s="64">
        <v>182.58</v>
      </c>
      <c r="H104" s="64">
        <v>45.69</v>
      </c>
      <c r="I104" s="210" t="s">
        <v>43</v>
      </c>
      <c r="J104" s="64">
        <v>1.03</v>
      </c>
      <c r="K104" s="64">
        <v>269.33999999999997</v>
      </c>
      <c r="L104" s="64">
        <v>10.3</v>
      </c>
      <c r="M104" s="64">
        <v>79.5</v>
      </c>
      <c r="N104" s="64">
        <v>76.5</v>
      </c>
      <c r="O104" s="64">
        <v>0</v>
      </c>
      <c r="P104" s="64">
        <v>1.76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1.93</v>
      </c>
      <c r="C106" s="67">
        <f>MIN(C9:C104)</f>
        <v>40.42</v>
      </c>
      <c r="D106" s="67">
        <f t="shared" ref="D106:Q106" si="0">MIN(D9:D104)</f>
        <v>23.94</v>
      </c>
      <c r="E106" s="67">
        <f t="shared" si="0"/>
        <v>5.26</v>
      </c>
      <c r="F106" s="67">
        <f t="shared" si="0"/>
        <v>2.13</v>
      </c>
      <c r="G106" s="67">
        <f t="shared" si="0"/>
        <v>44.84</v>
      </c>
      <c r="H106" s="67">
        <f t="shared" si="0"/>
        <v>17.72</v>
      </c>
      <c r="I106" s="67">
        <f t="shared" si="0"/>
        <v>0</v>
      </c>
      <c r="J106" s="67">
        <f t="shared" si="0"/>
        <v>0.11</v>
      </c>
      <c r="K106" s="67">
        <f t="shared" si="0"/>
        <v>6.93</v>
      </c>
      <c r="L106" s="67">
        <f t="shared" si="0"/>
        <v>7.92</v>
      </c>
      <c r="M106" s="67">
        <f t="shared" si="0"/>
        <v>19.27</v>
      </c>
      <c r="N106" s="67">
        <f t="shared" si="0"/>
        <v>56.9</v>
      </c>
      <c r="O106" s="67">
        <f t="shared" si="0"/>
        <v>0</v>
      </c>
      <c r="P106" s="67">
        <f t="shared" si="0"/>
        <v>0.45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151.15</v>
      </c>
      <c r="C107" s="66">
        <f t="shared" ref="C107:Q107" si="1">MAX(C9:C104)</f>
        <v>87.93</v>
      </c>
      <c r="D107" s="66">
        <f t="shared" si="1"/>
        <v>146.57</v>
      </c>
      <c r="E107" s="66">
        <f t="shared" si="1"/>
        <v>10.37</v>
      </c>
      <c r="F107" s="66">
        <f t="shared" si="1"/>
        <v>14.9</v>
      </c>
      <c r="G107" s="66">
        <f t="shared" si="1"/>
        <v>201.67</v>
      </c>
      <c r="H107" s="66">
        <f t="shared" si="1"/>
        <v>63.83</v>
      </c>
      <c r="I107" s="66">
        <f t="shared" si="1"/>
        <v>0</v>
      </c>
      <c r="J107" s="66">
        <f t="shared" si="1"/>
        <v>2.89</v>
      </c>
      <c r="K107" s="66">
        <f t="shared" si="1"/>
        <v>359.04</v>
      </c>
      <c r="L107" s="66">
        <f t="shared" si="1"/>
        <v>24.76</v>
      </c>
      <c r="M107" s="66">
        <f t="shared" si="1"/>
        <v>100.67</v>
      </c>
      <c r="N107" s="66">
        <f t="shared" si="1"/>
        <v>731</v>
      </c>
      <c r="O107" s="66">
        <f t="shared" si="1"/>
        <v>0</v>
      </c>
      <c r="P107" s="66">
        <f t="shared" si="1"/>
        <v>2.1</v>
      </c>
      <c r="Q107" s="66">
        <f t="shared" si="1"/>
        <v>10.07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55.630937499999987</v>
      </c>
      <c r="C108" s="67">
        <f t="shared" ref="C108:Q108" si="2">AVERAGE(C9:C104)</f>
        <v>55.562604166666659</v>
      </c>
      <c r="D108" s="67">
        <f t="shared" si="2"/>
        <v>72.264270833333299</v>
      </c>
      <c r="E108" s="67">
        <f t="shared" si="2"/>
        <v>7.5753124999999981</v>
      </c>
      <c r="F108" s="67">
        <f t="shared" si="2"/>
        <v>2.786145833333332</v>
      </c>
      <c r="G108" s="67">
        <f t="shared" si="2"/>
        <v>108.90927083333331</v>
      </c>
      <c r="H108" s="67">
        <f t="shared" si="2"/>
        <v>38.814374999999984</v>
      </c>
      <c r="I108" s="67" t="e">
        <f t="shared" si="2"/>
        <v>#DIV/0!</v>
      </c>
      <c r="J108" s="67">
        <f t="shared" si="2"/>
        <v>1.2205208333333335</v>
      </c>
      <c r="K108" s="67">
        <f t="shared" si="2"/>
        <v>193.93499999999997</v>
      </c>
      <c r="L108" s="67">
        <f t="shared" si="2"/>
        <v>14.649374999999994</v>
      </c>
      <c r="M108" s="67">
        <f t="shared" si="2"/>
        <v>55.458020833333336</v>
      </c>
      <c r="N108" s="67">
        <f t="shared" si="2"/>
        <v>219.5291666666665</v>
      </c>
      <c r="O108" s="67">
        <f t="shared" si="2"/>
        <v>0</v>
      </c>
      <c r="P108" s="67">
        <f t="shared" si="2"/>
        <v>1.2014583333333329</v>
      </c>
      <c r="Q108" s="67">
        <f t="shared" si="2"/>
        <v>9.028020833333338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39.239342692014077</v>
      </c>
      <c r="C109" s="67">
        <f t="shared" ref="C109:Q109" si="3">STDEV(C9:C104)</f>
        <v>12.390217894077583</v>
      </c>
      <c r="D109" s="67">
        <f t="shared" si="3"/>
        <v>29.348101265393236</v>
      </c>
      <c r="E109" s="67">
        <f t="shared" si="3"/>
        <v>1.2476360409949379</v>
      </c>
      <c r="F109" s="67">
        <f t="shared" si="3"/>
        <v>1.9830090743703397</v>
      </c>
      <c r="G109" s="67">
        <f t="shared" si="3"/>
        <v>46.277717526502151</v>
      </c>
      <c r="H109" s="67">
        <f t="shared" si="3"/>
        <v>13.855119047333803</v>
      </c>
      <c r="I109" s="67" t="e">
        <f t="shared" si="3"/>
        <v>#DIV/0!</v>
      </c>
      <c r="J109" s="67">
        <f t="shared" si="3"/>
        <v>0.52149657069401101</v>
      </c>
      <c r="K109" s="67">
        <f t="shared" si="3"/>
        <v>111.47240453417879</v>
      </c>
      <c r="L109" s="67">
        <f t="shared" si="3"/>
        <v>5.3792231512112041</v>
      </c>
      <c r="M109" s="67">
        <f t="shared" si="3"/>
        <v>26.847248476864564</v>
      </c>
      <c r="N109" s="67">
        <f t="shared" si="3"/>
        <v>242.46274023756479</v>
      </c>
      <c r="O109" s="67">
        <f t="shared" si="3"/>
        <v>0</v>
      </c>
      <c r="P109" s="67">
        <f t="shared" si="3"/>
        <v>0.45814725090168701</v>
      </c>
      <c r="Q109" s="67">
        <f t="shared" si="3"/>
        <v>0.65850487716159967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1108</v>
      </c>
      <c r="B9" s="64">
        <v>110.6</v>
      </c>
      <c r="C9" s="64">
        <v>57.11</v>
      </c>
      <c r="D9" s="64">
        <v>117.15</v>
      </c>
      <c r="E9" s="64">
        <v>10.06</v>
      </c>
      <c r="F9" s="64">
        <v>2.13</v>
      </c>
      <c r="G9" s="64">
        <v>182.58</v>
      </c>
      <c r="H9" s="64">
        <v>45.69</v>
      </c>
      <c r="I9" s="210" t="s">
        <v>43</v>
      </c>
      <c r="J9" s="64">
        <v>1.23</v>
      </c>
      <c r="K9" s="64">
        <v>293.77</v>
      </c>
      <c r="L9" s="64">
        <v>10.26</v>
      </c>
      <c r="M9" s="64">
        <v>82.34</v>
      </c>
      <c r="N9" s="64">
        <v>76.7</v>
      </c>
      <c r="O9" s="64">
        <v>0</v>
      </c>
      <c r="P9" s="64">
        <v>1.8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4" t="s">
        <v>1109</v>
      </c>
      <c r="B10" s="64">
        <v>116.02</v>
      </c>
      <c r="C10" s="64">
        <v>55.94</v>
      </c>
      <c r="D10" s="64">
        <v>120.89</v>
      </c>
      <c r="E10" s="64">
        <v>9.93</v>
      </c>
      <c r="F10" s="64">
        <v>2.13</v>
      </c>
      <c r="G10" s="64">
        <v>182.58</v>
      </c>
      <c r="H10" s="64">
        <v>45.69</v>
      </c>
      <c r="I10" s="210" t="s">
        <v>43</v>
      </c>
      <c r="J10" s="64">
        <v>0.65</v>
      </c>
      <c r="K10" s="64">
        <v>331.03</v>
      </c>
      <c r="L10" s="64">
        <v>10.26</v>
      </c>
      <c r="M10" s="64">
        <v>85.55</v>
      </c>
      <c r="N10" s="64">
        <v>76.5</v>
      </c>
      <c r="O10" s="64">
        <v>0</v>
      </c>
      <c r="P10" s="64">
        <v>1.84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14" t="s">
        <v>1110</v>
      </c>
      <c r="B11" s="64">
        <v>117.97</v>
      </c>
      <c r="C11" s="64">
        <v>54.72</v>
      </c>
      <c r="D11" s="64">
        <v>121.82</v>
      </c>
      <c r="E11" s="64">
        <v>10.14</v>
      </c>
      <c r="F11" s="64">
        <v>2.13</v>
      </c>
      <c r="G11" s="64">
        <v>176.56</v>
      </c>
      <c r="H11" s="64">
        <v>48.52</v>
      </c>
      <c r="I11" s="210" t="s">
        <v>43</v>
      </c>
      <c r="J11" s="64">
        <v>1.1200000000000001</v>
      </c>
      <c r="K11" s="64">
        <v>303.60000000000002</v>
      </c>
      <c r="L11" s="64">
        <v>10.49</v>
      </c>
      <c r="M11" s="64">
        <v>79.91</v>
      </c>
      <c r="N11" s="64">
        <v>76.400000000000006</v>
      </c>
      <c r="O11" s="64">
        <v>0</v>
      </c>
      <c r="P11" s="64">
        <v>1.86</v>
      </c>
      <c r="Q11" s="64">
        <v>9.7799999999999994</v>
      </c>
      <c r="R11" s="198"/>
      <c r="S11" s="198"/>
      <c r="T11" s="198"/>
      <c r="U11" s="198"/>
    </row>
    <row r="12" spans="1:21" s="12" customFormat="1" x14ac:dyDescent="0.25">
      <c r="A12" s="214" t="s">
        <v>1111</v>
      </c>
      <c r="B12" s="64">
        <v>117.02</v>
      </c>
      <c r="C12" s="64">
        <v>52.6</v>
      </c>
      <c r="D12" s="64">
        <v>119.95</v>
      </c>
      <c r="E12" s="64">
        <v>10.16</v>
      </c>
      <c r="F12" s="64">
        <v>2.13</v>
      </c>
      <c r="G12" s="64">
        <v>173.98</v>
      </c>
      <c r="H12" s="64">
        <v>49.73</v>
      </c>
      <c r="I12" s="210" t="s">
        <v>43</v>
      </c>
      <c r="J12" s="64">
        <v>0.8</v>
      </c>
      <c r="K12" s="64">
        <v>338.74</v>
      </c>
      <c r="L12" s="64">
        <v>10.34</v>
      </c>
      <c r="M12" s="64">
        <v>75.59</v>
      </c>
      <c r="N12" s="64">
        <v>76.400000000000006</v>
      </c>
      <c r="O12" s="64">
        <v>0</v>
      </c>
      <c r="P12" s="64">
        <v>1.87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14" t="s">
        <v>1112</v>
      </c>
      <c r="B13" s="64">
        <v>114.37</v>
      </c>
      <c r="C13" s="64">
        <v>51.57</v>
      </c>
      <c r="D13" s="64">
        <v>117.28</v>
      </c>
      <c r="E13" s="64">
        <v>9.83</v>
      </c>
      <c r="F13" s="64">
        <v>2.13</v>
      </c>
      <c r="G13" s="64">
        <v>173.98</v>
      </c>
      <c r="H13" s="64">
        <v>49.73</v>
      </c>
      <c r="I13" s="210" t="s">
        <v>43</v>
      </c>
      <c r="J13" s="64">
        <v>1.36</v>
      </c>
      <c r="K13" s="64">
        <v>330.34</v>
      </c>
      <c r="L13" s="64">
        <v>10.39</v>
      </c>
      <c r="M13" s="64">
        <v>68.489999999999995</v>
      </c>
      <c r="N13" s="64">
        <v>76.2</v>
      </c>
      <c r="O13" s="64">
        <v>0</v>
      </c>
      <c r="P13" s="64">
        <v>1.73</v>
      </c>
      <c r="Q13" s="64">
        <v>9.84</v>
      </c>
      <c r="R13" s="198"/>
      <c r="S13" s="198"/>
      <c r="T13" s="198"/>
      <c r="U13" s="198"/>
    </row>
    <row r="14" spans="1:21" s="12" customFormat="1" x14ac:dyDescent="0.25">
      <c r="A14" s="214" t="s">
        <v>1113</v>
      </c>
      <c r="B14" s="64">
        <v>110.78</v>
      </c>
      <c r="C14" s="64">
        <v>51.16</v>
      </c>
      <c r="D14" s="64">
        <v>114.19</v>
      </c>
      <c r="E14" s="64">
        <v>10.210000000000001</v>
      </c>
      <c r="F14" s="64">
        <v>2.13</v>
      </c>
      <c r="G14" s="64">
        <v>173.98</v>
      </c>
      <c r="H14" s="64">
        <v>49.73</v>
      </c>
      <c r="I14" s="210" t="s">
        <v>43</v>
      </c>
      <c r="J14" s="64">
        <v>0.19</v>
      </c>
      <c r="K14" s="64">
        <v>290.87</v>
      </c>
      <c r="L14" s="64">
        <v>10.63</v>
      </c>
      <c r="M14" s="64">
        <v>63.49</v>
      </c>
      <c r="N14" s="64">
        <v>76.099999999999994</v>
      </c>
      <c r="O14" s="64">
        <v>0</v>
      </c>
      <c r="P14" s="64">
        <v>1.74</v>
      </c>
      <c r="Q14" s="64">
        <v>9.82</v>
      </c>
      <c r="R14" s="198"/>
      <c r="S14" s="198"/>
      <c r="T14" s="198"/>
      <c r="U14" s="198"/>
    </row>
    <row r="15" spans="1:21" s="12" customFormat="1" x14ac:dyDescent="0.25">
      <c r="A15" s="214" t="s">
        <v>1114</v>
      </c>
      <c r="B15" s="64">
        <v>106.82</v>
      </c>
      <c r="C15" s="64">
        <v>50.68</v>
      </c>
      <c r="D15" s="64">
        <v>110.77</v>
      </c>
      <c r="E15" s="64">
        <v>9.73</v>
      </c>
      <c r="F15" s="64">
        <v>2.13</v>
      </c>
      <c r="G15" s="64">
        <v>128.88999999999999</v>
      </c>
      <c r="H15" s="64">
        <v>49.14</v>
      </c>
      <c r="I15" s="210" t="s">
        <v>43</v>
      </c>
      <c r="J15" s="64">
        <v>1.64</v>
      </c>
      <c r="K15" s="64">
        <v>185.06</v>
      </c>
      <c r="L15" s="64">
        <v>10.75</v>
      </c>
      <c r="M15" s="64">
        <v>64.239999999999995</v>
      </c>
      <c r="N15" s="64">
        <v>75.599999999999994</v>
      </c>
      <c r="O15" s="64">
        <v>0</v>
      </c>
      <c r="P15" s="64">
        <v>1.75</v>
      </c>
      <c r="Q15" s="64">
        <v>9.7899999999999991</v>
      </c>
      <c r="R15" s="198"/>
      <c r="S15" s="198"/>
      <c r="T15" s="198"/>
      <c r="U15" s="198"/>
    </row>
    <row r="16" spans="1:21" s="12" customFormat="1" x14ac:dyDescent="0.25">
      <c r="A16" s="214" t="s">
        <v>1115</v>
      </c>
      <c r="B16" s="64">
        <v>102.11</v>
      </c>
      <c r="C16" s="64">
        <v>50.03</v>
      </c>
      <c r="D16" s="64">
        <v>106.65</v>
      </c>
      <c r="E16" s="64">
        <v>9.73</v>
      </c>
      <c r="F16" s="64">
        <v>2.13</v>
      </c>
      <c r="G16" s="64">
        <v>109.57</v>
      </c>
      <c r="H16" s="64">
        <v>48.89</v>
      </c>
      <c r="I16" s="210" t="s">
        <v>43</v>
      </c>
      <c r="J16" s="64">
        <v>0.81</v>
      </c>
      <c r="K16" s="64">
        <v>331.09</v>
      </c>
      <c r="L16" s="64">
        <v>10.220000000000001</v>
      </c>
      <c r="M16" s="64">
        <v>71.47</v>
      </c>
      <c r="N16" s="64">
        <v>76.7</v>
      </c>
      <c r="O16" s="64">
        <v>0</v>
      </c>
      <c r="P16" s="64">
        <v>1.72</v>
      </c>
      <c r="Q16" s="64">
        <v>9.7799999999999994</v>
      </c>
      <c r="R16" s="198"/>
      <c r="S16" s="198"/>
      <c r="T16" s="198"/>
      <c r="U16" s="198"/>
    </row>
    <row r="17" spans="1:21" s="12" customFormat="1" x14ac:dyDescent="0.25">
      <c r="A17" s="214" t="s">
        <v>1116</v>
      </c>
      <c r="B17" s="64">
        <v>97.52</v>
      </c>
      <c r="C17" s="64">
        <v>49.35</v>
      </c>
      <c r="D17" s="64">
        <v>102.61</v>
      </c>
      <c r="E17" s="64">
        <v>9.27</v>
      </c>
      <c r="F17" s="64">
        <v>2.13</v>
      </c>
      <c r="G17" s="64">
        <v>109.57</v>
      </c>
      <c r="H17" s="64">
        <v>48.89</v>
      </c>
      <c r="I17" s="210" t="s">
        <v>43</v>
      </c>
      <c r="J17" s="64">
        <v>0.95</v>
      </c>
      <c r="K17" s="64">
        <v>251.83</v>
      </c>
      <c r="L17" s="64">
        <v>9.74</v>
      </c>
      <c r="M17" s="64">
        <v>73.599999999999994</v>
      </c>
      <c r="N17" s="64">
        <v>76.7</v>
      </c>
      <c r="O17" s="64">
        <v>0</v>
      </c>
      <c r="P17" s="64">
        <v>1.68</v>
      </c>
      <c r="Q17" s="64">
        <v>9.77</v>
      </c>
      <c r="R17" s="198"/>
      <c r="S17" s="198"/>
      <c r="T17" s="198"/>
      <c r="U17" s="198"/>
    </row>
    <row r="18" spans="1:21" s="12" customFormat="1" x14ac:dyDescent="0.25">
      <c r="A18" s="214" t="s">
        <v>1117</v>
      </c>
      <c r="B18" s="64">
        <v>93.19</v>
      </c>
      <c r="C18" s="64">
        <v>48.64</v>
      </c>
      <c r="D18" s="64">
        <v>98.76</v>
      </c>
      <c r="E18" s="64">
        <v>9.1300000000000008</v>
      </c>
      <c r="F18" s="64">
        <v>2.13</v>
      </c>
      <c r="G18" s="64">
        <v>109.57</v>
      </c>
      <c r="H18" s="64">
        <v>48.89</v>
      </c>
      <c r="I18" s="210" t="s">
        <v>43</v>
      </c>
      <c r="J18" s="64">
        <v>1.27</v>
      </c>
      <c r="K18" s="64">
        <v>332.85</v>
      </c>
      <c r="L18" s="64">
        <v>9.25</v>
      </c>
      <c r="M18" s="64">
        <v>78.569999999999993</v>
      </c>
      <c r="N18" s="64">
        <v>77</v>
      </c>
      <c r="O18" s="64">
        <v>0</v>
      </c>
      <c r="P18" s="64">
        <v>1.66</v>
      </c>
      <c r="Q18" s="64">
        <v>9.75</v>
      </c>
      <c r="R18" s="198"/>
      <c r="S18" s="198"/>
      <c r="T18" s="198"/>
      <c r="U18" s="198"/>
    </row>
    <row r="19" spans="1:21" s="12" customFormat="1" x14ac:dyDescent="0.25">
      <c r="A19" s="214" t="s">
        <v>1118</v>
      </c>
      <c r="B19" s="64">
        <v>89.5</v>
      </c>
      <c r="C19" s="64">
        <v>48.07</v>
      </c>
      <c r="D19" s="64">
        <v>95.51</v>
      </c>
      <c r="E19" s="64">
        <v>8.9499999999999993</v>
      </c>
      <c r="F19" s="64">
        <v>2.13</v>
      </c>
      <c r="G19" s="64">
        <v>108.06</v>
      </c>
      <c r="H19" s="64">
        <v>47.12</v>
      </c>
      <c r="I19" s="210" t="s">
        <v>43</v>
      </c>
      <c r="J19" s="64">
        <v>1.51</v>
      </c>
      <c r="K19" s="64">
        <v>348.56</v>
      </c>
      <c r="L19" s="64">
        <v>8.75</v>
      </c>
      <c r="M19" s="64">
        <v>83.22</v>
      </c>
      <c r="N19" s="64">
        <v>77.099999999999994</v>
      </c>
      <c r="O19" s="64">
        <v>0</v>
      </c>
      <c r="P19" s="64">
        <v>1.62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4" t="s">
        <v>1119</v>
      </c>
      <c r="B20" s="64">
        <v>86.24</v>
      </c>
      <c r="C20" s="64">
        <v>46.04</v>
      </c>
      <c r="D20" s="64">
        <v>91.84</v>
      </c>
      <c r="E20" s="64">
        <v>8.8000000000000007</v>
      </c>
      <c r="F20" s="64">
        <v>2.13</v>
      </c>
      <c r="G20" s="64">
        <v>107.42</v>
      </c>
      <c r="H20" s="64">
        <v>46.32</v>
      </c>
      <c r="I20" s="210" t="s">
        <v>43</v>
      </c>
      <c r="J20" s="64">
        <v>0.81</v>
      </c>
      <c r="K20" s="64">
        <v>238.4</v>
      </c>
      <c r="L20" s="64">
        <v>8.9700000000000006</v>
      </c>
      <c r="M20" s="64">
        <v>80.349999999999994</v>
      </c>
      <c r="N20" s="64">
        <v>76.8</v>
      </c>
      <c r="O20" s="64">
        <v>0</v>
      </c>
      <c r="P20" s="64">
        <v>1.61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1120</v>
      </c>
      <c r="B21" s="64">
        <v>82.68</v>
      </c>
      <c r="C21" s="64">
        <v>45.95</v>
      </c>
      <c r="D21" s="64">
        <v>88.93</v>
      </c>
      <c r="E21" s="64">
        <v>8.7200000000000006</v>
      </c>
      <c r="F21" s="64">
        <v>2.13</v>
      </c>
      <c r="G21" s="64">
        <v>107.42</v>
      </c>
      <c r="H21" s="64">
        <v>46.32</v>
      </c>
      <c r="I21" s="210" t="s">
        <v>43</v>
      </c>
      <c r="J21" s="64">
        <v>1.38</v>
      </c>
      <c r="K21" s="64">
        <v>348.12</v>
      </c>
      <c r="L21" s="64">
        <v>8.9600000000000009</v>
      </c>
      <c r="M21" s="64">
        <v>84.03</v>
      </c>
      <c r="N21" s="64">
        <v>77.599999999999994</v>
      </c>
      <c r="O21" s="64">
        <v>0</v>
      </c>
      <c r="P21" s="64">
        <v>1.57</v>
      </c>
      <c r="Q21" s="64">
        <v>9.6300000000000008</v>
      </c>
      <c r="R21" s="198"/>
      <c r="S21" s="198"/>
      <c r="T21" s="198"/>
      <c r="U21" s="198"/>
    </row>
    <row r="22" spans="1:21" s="12" customFormat="1" x14ac:dyDescent="0.25">
      <c r="A22" s="214" t="s">
        <v>1121</v>
      </c>
      <c r="B22" s="64">
        <v>78.849999999999994</v>
      </c>
      <c r="C22" s="64">
        <v>46.38</v>
      </c>
      <c r="D22" s="64">
        <v>86.09</v>
      </c>
      <c r="E22" s="64">
        <v>8.5500000000000007</v>
      </c>
      <c r="F22" s="64">
        <v>2.13</v>
      </c>
      <c r="G22" s="64">
        <v>107.42</v>
      </c>
      <c r="H22" s="64">
        <v>46.32</v>
      </c>
      <c r="I22" s="210" t="s">
        <v>43</v>
      </c>
      <c r="J22" s="64">
        <v>1.01</v>
      </c>
      <c r="K22" s="64">
        <v>86.24</v>
      </c>
      <c r="L22" s="64">
        <v>8.76</v>
      </c>
      <c r="M22" s="64">
        <v>86.51</v>
      </c>
      <c r="N22" s="64">
        <v>78.5</v>
      </c>
      <c r="O22" s="64">
        <v>0</v>
      </c>
      <c r="P22" s="64">
        <v>1.54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4" t="s">
        <v>1122</v>
      </c>
      <c r="B23" s="64">
        <v>75.430000000000007</v>
      </c>
      <c r="C23" s="64">
        <v>46.22</v>
      </c>
      <c r="D23" s="64">
        <v>83.26</v>
      </c>
      <c r="E23" s="64">
        <v>8.73</v>
      </c>
      <c r="F23" s="64">
        <v>2.13</v>
      </c>
      <c r="G23" s="64">
        <v>112.91</v>
      </c>
      <c r="H23" s="64">
        <v>45.64</v>
      </c>
      <c r="I23" s="210" t="s">
        <v>43</v>
      </c>
      <c r="J23" s="64">
        <v>1.32</v>
      </c>
      <c r="K23" s="64">
        <v>265.05</v>
      </c>
      <c r="L23" s="64">
        <v>8.93</v>
      </c>
      <c r="M23" s="64">
        <v>84.2</v>
      </c>
      <c r="N23" s="64">
        <v>80.7</v>
      </c>
      <c r="O23" s="64">
        <v>0</v>
      </c>
      <c r="P23" s="64">
        <v>1.51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4" t="s">
        <v>1123</v>
      </c>
      <c r="B24" s="64">
        <v>72.97</v>
      </c>
      <c r="C24" s="64">
        <v>45.67</v>
      </c>
      <c r="D24" s="64">
        <v>81</v>
      </c>
      <c r="E24" s="64">
        <v>8.35</v>
      </c>
      <c r="F24" s="64">
        <v>2.13</v>
      </c>
      <c r="G24" s="64">
        <v>115.39</v>
      </c>
      <c r="H24" s="64">
        <v>45.35</v>
      </c>
      <c r="I24" s="210" t="s">
        <v>43</v>
      </c>
      <c r="J24" s="64">
        <v>0.03</v>
      </c>
      <c r="K24" s="64">
        <v>251.28</v>
      </c>
      <c r="L24" s="64">
        <v>9.25</v>
      </c>
      <c r="M24" s="64">
        <v>76.650000000000006</v>
      </c>
      <c r="N24" s="64">
        <v>90.6</v>
      </c>
      <c r="O24" s="64">
        <v>0</v>
      </c>
      <c r="P24" s="64">
        <v>1.49</v>
      </c>
      <c r="Q24" s="64">
        <v>9.56</v>
      </c>
      <c r="R24" s="198"/>
      <c r="S24" s="198"/>
      <c r="T24" s="198"/>
      <c r="U24" s="198"/>
    </row>
    <row r="25" spans="1:21" s="12" customFormat="1" x14ac:dyDescent="0.25">
      <c r="A25" s="214" t="s">
        <v>1124</v>
      </c>
      <c r="B25" s="64">
        <v>70.14</v>
      </c>
      <c r="C25" s="64">
        <v>45.49</v>
      </c>
      <c r="D25" s="64">
        <v>78.64</v>
      </c>
      <c r="E25" s="64">
        <v>7.68</v>
      </c>
      <c r="F25" s="64">
        <v>2.13</v>
      </c>
      <c r="G25" s="64">
        <v>115.39</v>
      </c>
      <c r="H25" s="64">
        <v>45.35</v>
      </c>
      <c r="I25" s="210" t="s">
        <v>43</v>
      </c>
      <c r="J25" s="64">
        <v>1.31</v>
      </c>
      <c r="K25" s="64">
        <v>249.77</v>
      </c>
      <c r="L25" s="64">
        <v>9.16</v>
      </c>
      <c r="M25" s="64">
        <v>73.790000000000006</v>
      </c>
      <c r="N25" s="64">
        <v>91.2</v>
      </c>
      <c r="O25" s="64">
        <v>0</v>
      </c>
      <c r="P25" s="64">
        <v>1.46</v>
      </c>
      <c r="Q25" s="64">
        <v>9.52</v>
      </c>
      <c r="R25" s="198"/>
      <c r="S25" s="198"/>
      <c r="T25" s="198"/>
      <c r="U25" s="198"/>
    </row>
    <row r="26" spans="1:21" s="12" customFormat="1" x14ac:dyDescent="0.25">
      <c r="A26" s="214" t="s">
        <v>1125</v>
      </c>
      <c r="B26" s="64">
        <v>66.95</v>
      </c>
      <c r="C26" s="64">
        <v>45.7</v>
      </c>
      <c r="D26" s="64">
        <v>76.19</v>
      </c>
      <c r="E26" s="64">
        <v>7.93</v>
      </c>
      <c r="F26" s="64">
        <v>2.13</v>
      </c>
      <c r="G26" s="64">
        <v>115.39</v>
      </c>
      <c r="H26" s="64">
        <v>45.35</v>
      </c>
      <c r="I26" s="210" t="s">
        <v>43</v>
      </c>
      <c r="J26" s="64">
        <v>0.78</v>
      </c>
      <c r="K26" s="64">
        <v>74.8</v>
      </c>
      <c r="L26" s="64">
        <v>8.8699999999999992</v>
      </c>
      <c r="M26" s="64">
        <v>73.22</v>
      </c>
      <c r="N26" s="64">
        <v>92.3</v>
      </c>
      <c r="O26" s="64">
        <v>0</v>
      </c>
      <c r="P26" s="64">
        <v>1.42</v>
      </c>
      <c r="Q26" s="64">
        <v>9.49</v>
      </c>
      <c r="R26" s="198"/>
      <c r="S26" s="198"/>
      <c r="T26" s="198"/>
      <c r="U26" s="198"/>
    </row>
    <row r="27" spans="1:21" s="12" customFormat="1" x14ac:dyDescent="0.25">
      <c r="A27" s="214" t="s">
        <v>1126</v>
      </c>
      <c r="B27" s="64">
        <v>64.739999999999995</v>
      </c>
      <c r="C27" s="64">
        <v>46.03</v>
      </c>
      <c r="D27" s="64">
        <v>74.59</v>
      </c>
      <c r="E27" s="64">
        <v>7.96</v>
      </c>
      <c r="F27" s="64">
        <v>2.13</v>
      </c>
      <c r="G27" s="64">
        <v>109.66</v>
      </c>
      <c r="H27" s="64">
        <v>45.29</v>
      </c>
      <c r="I27" s="210" t="s">
        <v>43</v>
      </c>
      <c r="J27" s="64">
        <v>1.27</v>
      </c>
      <c r="K27" s="64">
        <v>184.84</v>
      </c>
      <c r="L27" s="64">
        <v>9.1300000000000008</v>
      </c>
      <c r="M27" s="64">
        <v>70.91</v>
      </c>
      <c r="N27" s="64">
        <v>97.9</v>
      </c>
      <c r="O27" s="64">
        <v>0</v>
      </c>
      <c r="P27" s="64">
        <v>1.4</v>
      </c>
      <c r="Q27" s="64">
        <v>9.51</v>
      </c>
      <c r="R27" s="198"/>
      <c r="S27" s="198"/>
      <c r="T27" s="198"/>
      <c r="U27" s="198"/>
    </row>
    <row r="28" spans="1:21" s="12" customFormat="1" x14ac:dyDescent="0.25">
      <c r="A28" s="214" t="s">
        <v>1127</v>
      </c>
      <c r="B28" s="64">
        <v>63.69</v>
      </c>
      <c r="C28" s="64">
        <v>46.07</v>
      </c>
      <c r="D28" s="64">
        <v>73.77</v>
      </c>
      <c r="E28" s="64">
        <v>8.1999999999999993</v>
      </c>
      <c r="F28" s="64">
        <v>2.13</v>
      </c>
      <c r="G28" s="64">
        <v>107.2</v>
      </c>
      <c r="H28" s="64">
        <v>45.26</v>
      </c>
      <c r="I28" s="210" t="s">
        <v>43</v>
      </c>
      <c r="J28" s="64">
        <v>1.32</v>
      </c>
      <c r="K28" s="64">
        <v>305.02</v>
      </c>
      <c r="L28" s="64">
        <v>9.19</v>
      </c>
      <c r="M28" s="64">
        <v>71.069999999999993</v>
      </c>
      <c r="N28" s="64">
        <v>99.6</v>
      </c>
      <c r="O28" s="64">
        <v>0</v>
      </c>
      <c r="P28" s="64">
        <v>1.36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14" t="s">
        <v>1128</v>
      </c>
      <c r="B29" s="64">
        <v>63.12</v>
      </c>
      <c r="C29" s="64">
        <v>45.2</v>
      </c>
      <c r="D29" s="64">
        <v>72.849999999999994</v>
      </c>
      <c r="E29" s="64">
        <v>8.23</v>
      </c>
      <c r="F29" s="64">
        <v>2.13</v>
      </c>
      <c r="G29" s="64">
        <v>107.2</v>
      </c>
      <c r="H29" s="64">
        <v>45.26</v>
      </c>
      <c r="I29" s="210" t="s">
        <v>43</v>
      </c>
      <c r="J29" s="64">
        <v>1.18</v>
      </c>
      <c r="K29" s="64">
        <v>315</v>
      </c>
      <c r="L29" s="64">
        <v>8.5299999999999994</v>
      </c>
      <c r="M29" s="64">
        <v>79.17</v>
      </c>
      <c r="N29" s="64">
        <v>100.1</v>
      </c>
      <c r="O29" s="64">
        <v>0</v>
      </c>
      <c r="P29" s="64">
        <v>1.32</v>
      </c>
      <c r="Q29" s="64">
        <v>9.4499999999999993</v>
      </c>
      <c r="R29" s="198"/>
      <c r="S29" s="198"/>
      <c r="T29" s="198"/>
      <c r="U29" s="198"/>
    </row>
    <row r="30" spans="1:21" s="12" customFormat="1" x14ac:dyDescent="0.25">
      <c r="A30" s="214" t="s">
        <v>1129</v>
      </c>
      <c r="B30" s="64">
        <v>63.12</v>
      </c>
      <c r="C30" s="64">
        <v>45.57</v>
      </c>
      <c r="D30" s="64">
        <v>73.05</v>
      </c>
      <c r="E30" s="64">
        <v>8.1199999999999992</v>
      </c>
      <c r="F30" s="64">
        <v>2.13</v>
      </c>
      <c r="G30" s="64">
        <v>107.2</v>
      </c>
      <c r="H30" s="64">
        <v>45.26</v>
      </c>
      <c r="I30" s="210" t="s">
        <v>43</v>
      </c>
      <c r="J30" s="64">
        <v>1.0900000000000001</v>
      </c>
      <c r="K30" s="64">
        <v>290.05</v>
      </c>
      <c r="L30" s="64">
        <v>8.31</v>
      </c>
      <c r="M30" s="64">
        <v>77.16</v>
      </c>
      <c r="N30" s="64">
        <v>100.7</v>
      </c>
      <c r="O30" s="64">
        <v>0</v>
      </c>
      <c r="P30" s="64">
        <v>1.31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4" t="s">
        <v>1130</v>
      </c>
      <c r="B31" s="64">
        <v>63.63</v>
      </c>
      <c r="C31" s="64">
        <v>45.99</v>
      </c>
      <c r="D31" s="64">
        <v>73.680000000000007</v>
      </c>
      <c r="E31" s="64">
        <v>7.89</v>
      </c>
      <c r="F31" s="64">
        <v>2.13</v>
      </c>
      <c r="G31" s="64">
        <v>122.91</v>
      </c>
      <c r="H31" s="64">
        <v>44.02</v>
      </c>
      <c r="I31" s="210" t="s">
        <v>43</v>
      </c>
      <c r="J31" s="64">
        <v>1.32</v>
      </c>
      <c r="K31" s="64">
        <v>265.38</v>
      </c>
      <c r="L31" s="64">
        <v>8.15</v>
      </c>
      <c r="M31" s="64">
        <v>80.31</v>
      </c>
      <c r="N31" s="64">
        <v>104.4</v>
      </c>
      <c r="O31" s="64">
        <v>0</v>
      </c>
      <c r="P31" s="64">
        <v>1.3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4" t="s">
        <v>1131</v>
      </c>
      <c r="B32" s="64">
        <v>64.92</v>
      </c>
      <c r="C32" s="64">
        <v>46.03</v>
      </c>
      <c r="D32" s="64">
        <v>74.73</v>
      </c>
      <c r="E32" s="64">
        <v>8.1</v>
      </c>
      <c r="F32" s="64">
        <v>2.13</v>
      </c>
      <c r="G32" s="64">
        <v>129.65</v>
      </c>
      <c r="H32" s="64">
        <v>43.48</v>
      </c>
      <c r="I32" s="210" t="s">
        <v>43</v>
      </c>
      <c r="J32" s="64">
        <v>0.64</v>
      </c>
      <c r="K32" s="64">
        <v>329.53</v>
      </c>
      <c r="L32" s="64">
        <v>8.02</v>
      </c>
      <c r="M32" s="64">
        <v>78.97</v>
      </c>
      <c r="N32" s="64">
        <v>108.8</v>
      </c>
      <c r="O32" s="64">
        <v>0</v>
      </c>
      <c r="P32" s="64">
        <v>1.27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14" t="s">
        <v>1132</v>
      </c>
      <c r="B33" s="64">
        <v>67.45</v>
      </c>
      <c r="C33" s="64">
        <v>46.37</v>
      </c>
      <c r="D33" s="64">
        <v>76.94</v>
      </c>
      <c r="E33" s="64">
        <v>8.5</v>
      </c>
      <c r="F33" s="64">
        <v>2.13</v>
      </c>
      <c r="G33" s="64">
        <v>129.65</v>
      </c>
      <c r="H33" s="64">
        <v>43.48</v>
      </c>
      <c r="I33" s="210" t="s">
        <v>43</v>
      </c>
      <c r="J33" s="64">
        <v>1.1100000000000001</v>
      </c>
      <c r="K33" s="64">
        <v>224.65</v>
      </c>
      <c r="L33" s="64">
        <v>8.0399999999999991</v>
      </c>
      <c r="M33" s="64">
        <v>83.82</v>
      </c>
      <c r="N33" s="64">
        <v>107.5</v>
      </c>
      <c r="O33" s="64">
        <v>0</v>
      </c>
      <c r="P33" s="64">
        <v>1.25</v>
      </c>
      <c r="Q33" s="64">
        <v>9.5299999999999994</v>
      </c>
      <c r="R33" s="198"/>
      <c r="S33" s="198"/>
      <c r="T33" s="198"/>
      <c r="U33" s="198"/>
    </row>
    <row r="34" spans="1:21" s="12" customFormat="1" x14ac:dyDescent="0.25">
      <c r="A34" s="214" t="s">
        <v>1133</v>
      </c>
      <c r="B34" s="64">
        <v>70.72</v>
      </c>
      <c r="C34" s="64">
        <v>46.24</v>
      </c>
      <c r="D34" s="64">
        <v>79.5</v>
      </c>
      <c r="E34" s="64">
        <v>8.25</v>
      </c>
      <c r="F34" s="64">
        <v>2.13</v>
      </c>
      <c r="G34" s="64">
        <v>129.65</v>
      </c>
      <c r="H34" s="64">
        <v>43.48</v>
      </c>
      <c r="I34" s="210" t="s">
        <v>43</v>
      </c>
      <c r="J34" s="64">
        <v>0.83</v>
      </c>
      <c r="K34" s="64">
        <v>305.92</v>
      </c>
      <c r="L34" s="64">
        <v>8.42</v>
      </c>
      <c r="M34" s="64">
        <v>79.88</v>
      </c>
      <c r="N34" s="64">
        <v>100.5</v>
      </c>
      <c r="O34" s="64">
        <v>0</v>
      </c>
      <c r="P34" s="64">
        <v>1.24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4" t="s">
        <v>1134</v>
      </c>
      <c r="B35" s="64">
        <v>75.680000000000007</v>
      </c>
      <c r="C35" s="64">
        <v>46.29</v>
      </c>
      <c r="D35" s="64">
        <v>83.5</v>
      </c>
      <c r="E35" s="64">
        <v>8.8800000000000008</v>
      </c>
      <c r="F35" s="64">
        <v>2.13</v>
      </c>
      <c r="G35" s="64">
        <v>128.06</v>
      </c>
      <c r="H35" s="64">
        <v>43.92</v>
      </c>
      <c r="I35" s="210" t="s">
        <v>43</v>
      </c>
      <c r="J35" s="64">
        <v>1.59</v>
      </c>
      <c r="K35" s="64">
        <v>342.75</v>
      </c>
      <c r="L35" s="64">
        <v>8.09</v>
      </c>
      <c r="M35" s="64">
        <v>83.8</v>
      </c>
      <c r="N35" s="64">
        <v>102.6</v>
      </c>
      <c r="O35" s="64">
        <v>0</v>
      </c>
      <c r="P35" s="64">
        <v>1.25</v>
      </c>
      <c r="Q35" s="64">
        <v>9.56</v>
      </c>
      <c r="R35" s="198"/>
      <c r="S35" s="198"/>
      <c r="T35" s="198"/>
      <c r="U35" s="198"/>
    </row>
    <row r="36" spans="1:21" s="12" customFormat="1" x14ac:dyDescent="0.25">
      <c r="A36" s="214" t="s">
        <v>1135</v>
      </c>
      <c r="B36" s="64">
        <v>80.959999999999994</v>
      </c>
      <c r="C36" s="64">
        <v>46.75</v>
      </c>
      <c r="D36" s="64">
        <v>87.98</v>
      </c>
      <c r="E36" s="64">
        <v>9.3699999999999992</v>
      </c>
      <c r="F36" s="64">
        <v>2.13</v>
      </c>
      <c r="G36" s="64">
        <v>127.38</v>
      </c>
      <c r="H36" s="64">
        <v>44.11</v>
      </c>
      <c r="I36" s="210" t="s">
        <v>43</v>
      </c>
      <c r="J36" s="64">
        <v>0.73</v>
      </c>
      <c r="K36" s="64">
        <v>33.97</v>
      </c>
      <c r="L36" s="64">
        <v>8.33</v>
      </c>
      <c r="M36" s="64">
        <v>71.53</v>
      </c>
      <c r="N36" s="64">
        <v>111.5</v>
      </c>
      <c r="O36" s="64">
        <v>0</v>
      </c>
      <c r="P36" s="64">
        <v>1.24</v>
      </c>
      <c r="Q36" s="64">
        <v>9.61</v>
      </c>
      <c r="R36" s="198"/>
      <c r="S36" s="198"/>
      <c r="T36" s="198"/>
      <c r="U36" s="198"/>
    </row>
    <row r="37" spans="1:21" s="12" customFormat="1" x14ac:dyDescent="0.25">
      <c r="A37" s="214" t="s">
        <v>1136</v>
      </c>
      <c r="B37" s="64">
        <v>80.650000000000006</v>
      </c>
      <c r="C37" s="64">
        <v>46.97</v>
      </c>
      <c r="D37" s="64">
        <v>87.84</v>
      </c>
      <c r="E37" s="64">
        <v>9.1300000000000008</v>
      </c>
      <c r="F37" s="64">
        <v>2.13</v>
      </c>
      <c r="G37" s="64">
        <v>127.38</v>
      </c>
      <c r="H37" s="64">
        <v>44.11</v>
      </c>
      <c r="I37" s="210" t="s">
        <v>43</v>
      </c>
      <c r="J37" s="64">
        <v>0.75</v>
      </c>
      <c r="K37" s="64">
        <v>66.819999999999993</v>
      </c>
      <c r="L37" s="64">
        <v>9</v>
      </c>
      <c r="M37" s="64">
        <v>63.61</v>
      </c>
      <c r="N37" s="64">
        <v>166.1</v>
      </c>
      <c r="O37" s="64">
        <v>0</v>
      </c>
      <c r="P37" s="64">
        <v>1.2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4" t="s">
        <v>1137</v>
      </c>
      <c r="B38" s="64">
        <v>78.22</v>
      </c>
      <c r="C38" s="64">
        <v>47.13</v>
      </c>
      <c r="D38" s="64">
        <v>85.97</v>
      </c>
      <c r="E38" s="64">
        <v>8.84</v>
      </c>
      <c r="F38" s="64">
        <v>2.13</v>
      </c>
      <c r="G38" s="64">
        <v>127.38</v>
      </c>
      <c r="H38" s="64">
        <v>44.11</v>
      </c>
      <c r="I38" s="210" t="s">
        <v>43</v>
      </c>
      <c r="J38" s="64">
        <v>1.01</v>
      </c>
      <c r="K38" s="64">
        <v>353.05</v>
      </c>
      <c r="L38" s="64">
        <v>9.5500000000000007</v>
      </c>
      <c r="M38" s="64">
        <v>62.16</v>
      </c>
      <c r="N38" s="64">
        <v>124.1</v>
      </c>
      <c r="O38" s="64">
        <v>0</v>
      </c>
      <c r="P38" s="64">
        <v>1.23</v>
      </c>
      <c r="Q38" s="64">
        <v>9.57</v>
      </c>
      <c r="R38" s="198"/>
      <c r="S38" s="198"/>
      <c r="T38" s="198"/>
      <c r="U38" s="198"/>
    </row>
    <row r="39" spans="1:21" s="12" customFormat="1" x14ac:dyDescent="0.25">
      <c r="A39" s="214" t="s">
        <v>1138</v>
      </c>
      <c r="B39" s="64">
        <v>76.61</v>
      </c>
      <c r="C39" s="64">
        <v>47.93</v>
      </c>
      <c r="D39" s="64">
        <v>85.1</v>
      </c>
      <c r="E39" s="64">
        <v>8.8000000000000007</v>
      </c>
      <c r="F39" s="64">
        <v>2.13</v>
      </c>
      <c r="G39" s="64">
        <v>122.65</v>
      </c>
      <c r="H39" s="64">
        <v>45.12</v>
      </c>
      <c r="I39" s="210" t="s">
        <v>43</v>
      </c>
      <c r="J39" s="64">
        <v>0.78</v>
      </c>
      <c r="K39" s="64">
        <v>74.849999999999994</v>
      </c>
      <c r="L39" s="64">
        <v>10.17</v>
      </c>
      <c r="M39" s="64">
        <v>59.63</v>
      </c>
      <c r="N39" s="64">
        <v>162.80000000000001</v>
      </c>
      <c r="O39" s="64">
        <v>0</v>
      </c>
      <c r="P39" s="64">
        <v>1.21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14" t="s">
        <v>1139</v>
      </c>
      <c r="B40" s="64">
        <v>73.84</v>
      </c>
      <c r="C40" s="64">
        <v>48.28</v>
      </c>
      <c r="D40" s="64">
        <v>83.06</v>
      </c>
      <c r="E40" s="64">
        <v>7.13</v>
      </c>
      <c r="F40" s="64">
        <v>2.13</v>
      </c>
      <c r="G40" s="64">
        <v>120.62</v>
      </c>
      <c r="H40" s="64">
        <v>45.55</v>
      </c>
      <c r="I40" s="210" t="s">
        <v>43</v>
      </c>
      <c r="J40" s="64">
        <v>0.49</v>
      </c>
      <c r="K40" s="64">
        <v>17.82</v>
      </c>
      <c r="L40" s="64">
        <v>11.25</v>
      </c>
      <c r="M40" s="64">
        <v>55.16</v>
      </c>
      <c r="N40" s="64">
        <v>231.4</v>
      </c>
      <c r="O40" s="64">
        <v>0</v>
      </c>
      <c r="P40" s="64">
        <v>1.2</v>
      </c>
      <c r="Q40" s="64">
        <v>9.52</v>
      </c>
      <c r="R40" s="198"/>
      <c r="S40" s="198"/>
      <c r="T40" s="198"/>
      <c r="U40" s="198"/>
    </row>
    <row r="41" spans="1:21" s="12" customFormat="1" x14ac:dyDescent="0.25">
      <c r="A41" s="214" t="s">
        <v>1140</v>
      </c>
      <c r="B41" s="64">
        <v>71.739999999999995</v>
      </c>
      <c r="C41" s="64">
        <v>48.86</v>
      </c>
      <c r="D41" s="64">
        <v>81.680000000000007</v>
      </c>
      <c r="E41" s="64">
        <v>8.3000000000000007</v>
      </c>
      <c r="F41" s="64">
        <v>2.13</v>
      </c>
      <c r="G41" s="64">
        <v>120.62</v>
      </c>
      <c r="H41" s="64">
        <v>45.55</v>
      </c>
      <c r="I41" s="210" t="s">
        <v>43</v>
      </c>
      <c r="J41" s="64">
        <v>0.97</v>
      </c>
      <c r="K41" s="64">
        <v>332.78</v>
      </c>
      <c r="L41" s="64">
        <v>13.61</v>
      </c>
      <c r="M41" s="64">
        <v>47.33</v>
      </c>
      <c r="N41" s="64">
        <v>295.89999999999998</v>
      </c>
      <c r="O41" s="64">
        <v>0</v>
      </c>
      <c r="P41" s="64">
        <v>1.18</v>
      </c>
      <c r="Q41" s="64">
        <v>9.5</v>
      </c>
      <c r="R41" s="198"/>
      <c r="S41" s="198"/>
      <c r="T41" s="198"/>
      <c r="U41" s="198"/>
    </row>
    <row r="42" spans="1:21" s="12" customFormat="1" x14ac:dyDescent="0.25">
      <c r="A42" s="214" t="s">
        <v>1141</v>
      </c>
      <c r="B42" s="64">
        <v>69.16</v>
      </c>
      <c r="C42" s="64">
        <v>49.48</v>
      </c>
      <c r="D42" s="64">
        <v>79.930000000000007</v>
      </c>
      <c r="E42" s="64">
        <v>7.91</v>
      </c>
      <c r="F42" s="64">
        <v>2.13</v>
      </c>
      <c r="G42" s="64">
        <v>120.62</v>
      </c>
      <c r="H42" s="64">
        <v>45.55</v>
      </c>
      <c r="I42" s="210" t="s">
        <v>43</v>
      </c>
      <c r="J42" s="64">
        <v>1.36</v>
      </c>
      <c r="K42" s="64">
        <v>344.17</v>
      </c>
      <c r="L42" s="64">
        <v>16.2</v>
      </c>
      <c r="M42" s="64">
        <v>39.28</v>
      </c>
      <c r="N42" s="64">
        <v>335.7</v>
      </c>
      <c r="O42" s="64">
        <v>0</v>
      </c>
      <c r="P42" s="64">
        <v>1.1599999999999999</v>
      </c>
      <c r="Q42" s="64">
        <v>9.5</v>
      </c>
      <c r="R42" s="198"/>
      <c r="S42" s="198"/>
      <c r="T42" s="198"/>
      <c r="U42" s="198"/>
    </row>
    <row r="43" spans="1:21" s="12" customFormat="1" x14ac:dyDescent="0.25">
      <c r="A43" s="214" t="s">
        <v>1142</v>
      </c>
      <c r="B43" s="64">
        <v>66.08</v>
      </c>
      <c r="C43" s="64">
        <v>50.13</v>
      </c>
      <c r="D43" s="64">
        <v>77.8</v>
      </c>
      <c r="E43" s="64">
        <v>7.44</v>
      </c>
      <c r="F43" s="64">
        <v>2.13</v>
      </c>
      <c r="G43" s="64">
        <v>114.68</v>
      </c>
      <c r="H43" s="64">
        <v>43.55</v>
      </c>
      <c r="I43" s="210" t="s">
        <v>43</v>
      </c>
      <c r="J43" s="64">
        <v>1.78</v>
      </c>
      <c r="K43" s="64">
        <v>111.44</v>
      </c>
      <c r="L43" s="64">
        <v>15.61</v>
      </c>
      <c r="M43" s="64">
        <v>41.17</v>
      </c>
      <c r="N43" s="64">
        <v>448.2</v>
      </c>
      <c r="O43" s="64">
        <v>0</v>
      </c>
      <c r="P43" s="64">
        <v>1.1299999999999999</v>
      </c>
      <c r="Q43" s="64">
        <v>9.48</v>
      </c>
      <c r="R43" s="198"/>
      <c r="S43" s="198"/>
      <c r="T43" s="198"/>
      <c r="U43" s="198"/>
    </row>
    <row r="44" spans="1:21" s="12" customFormat="1" x14ac:dyDescent="0.25">
      <c r="A44" s="214" t="s">
        <v>1143</v>
      </c>
      <c r="B44" s="64">
        <v>62.57</v>
      </c>
      <c r="C44" s="64">
        <v>50.45</v>
      </c>
      <c r="D44" s="64">
        <v>75.16</v>
      </c>
      <c r="E44" s="64">
        <v>7.57</v>
      </c>
      <c r="F44" s="64">
        <v>2.13</v>
      </c>
      <c r="G44" s="64">
        <v>112.14</v>
      </c>
      <c r="H44" s="64">
        <v>42.65</v>
      </c>
      <c r="I44" s="210" t="s">
        <v>43</v>
      </c>
      <c r="J44" s="64">
        <v>1.96</v>
      </c>
      <c r="K44" s="64">
        <v>115.43</v>
      </c>
      <c r="L44" s="64">
        <v>15.4</v>
      </c>
      <c r="M44" s="64">
        <v>42.74</v>
      </c>
      <c r="N44" s="64">
        <v>482.5</v>
      </c>
      <c r="O44" s="64">
        <v>0</v>
      </c>
      <c r="P44" s="64">
        <v>1.1100000000000001</v>
      </c>
      <c r="Q44" s="64">
        <v>9.4499999999999993</v>
      </c>
      <c r="R44" s="198"/>
      <c r="S44" s="198"/>
      <c r="T44" s="198"/>
      <c r="U44" s="198"/>
    </row>
    <row r="45" spans="1:21" s="12" customFormat="1" x14ac:dyDescent="0.25">
      <c r="A45" s="214" t="s">
        <v>1144</v>
      </c>
      <c r="B45" s="64">
        <v>58.6</v>
      </c>
      <c r="C45" s="64">
        <v>50.67</v>
      </c>
      <c r="D45" s="64">
        <v>72.09</v>
      </c>
      <c r="E45" s="64">
        <v>7.55</v>
      </c>
      <c r="F45" s="64">
        <v>2.13</v>
      </c>
      <c r="G45" s="64">
        <v>112.14</v>
      </c>
      <c r="H45" s="64">
        <v>42.65</v>
      </c>
      <c r="I45" s="210" t="s">
        <v>43</v>
      </c>
      <c r="J45" s="64">
        <v>0.46</v>
      </c>
      <c r="K45" s="64">
        <v>56.68</v>
      </c>
      <c r="L45" s="64">
        <v>16.13</v>
      </c>
      <c r="M45" s="64">
        <v>42.51</v>
      </c>
      <c r="N45" s="64">
        <v>540.1</v>
      </c>
      <c r="O45" s="64">
        <v>0</v>
      </c>
      <c r="P45" s="64">
        <v>1.08</v>
      </c>
      <c r="Q45" s="64">
        <v>9.26</v>
      </c>
      <c r="R45" s="198"/>
      <c r="S45" s="198"/>
      <c r="T45" s="198"/>
      <c r="U45" s="198"/>
    </row>
    <row r="46" spans="1:21" s="12" customFormat="1" x14ac:dyDescent="0.25">
      <c r="A46" s="214" t="s">
        <v>1145</v>
      </c>
      <c r="B46" s="64">
        <v>54.61</v>
      </c>
      <c r="C46" s="64">
        <v>50.55</v>
      </c>
      <c r="D46" s="64">
        <v>68.55</v>
      </c>
      <c r="E46" s="64">
        <v>7.17</v>
      </c>
      <c r="F46" s="64">
        <v>2.13</v>
      </c>
      <c r="G46" s="64">
        <v>112.14</v>
      </c>
      <c r="H46" s="64">
        <v>42.65</v>
      </c>
      <c r="I46" s="210" t="s">
        <v>43</v>
      </c>
      <c r="J46" s="64">
        <v>1.1599999999999999</v>
      </c>
      <c r="K46" s="64">
        <v>356.07</v>
      </c>
      <c r="L46" s="64">
        <v>19</v>
      </c>
      <c r="M46" s="64">
        <v>36.43</v>
      </c>
      <c r="N46" s="64">
        <v>564.1</v>
      </c>
      <c r="O46" s="64">
        <v>0</v>
      </c>
      <c r="P46" s="64">
        <v>1.05</v>
      </c>
      <c r="Q46" s="64">
        <v>8.9700000000000006</v>
      </c>
      <c r="R46" s="198"/>
      <c r="S46" s="198"/>
      <c r="T46" s="198"/>
      <c r="U46" s="198"/>
    </row>
    <row r="47" spans="1:21" s="12" customFormat="1" x14ac:dyDescent="0.25">
      <c r="A47" s="214" t="s">
        <v>1146</v>
      </c>
      <c r="B47" s="64">
        <v>51.52</v>
      </c>
      <c r="C47" s="64">
        <v>51.37</v>
      </c>
      <c r="D47" s="64">
        <v>66.78</v>
      </c>
      <c r="E47" s="64">
        <v>7.44</v>
      </c>
      <c r="F47" s="64">
        <v>2.13</v>
      </c>
      <c r="G47" s="64">
        <v>96.6</v>
      </c>
      <c r="H47" s="64">
        <v>39.57</v>
      </c>
      <c r="I47" s="210" t="s">
        <v>43</v>
      </c>
      <c r="J47" s="64">
        <v>0.91</v>
      </c>
      <c r="K47" s="64">
        <v>26.83</v>
      </c>
      <c r="L47" s="64">
        <v>20.58</v>
      </c>
      <c r="M47" s="64">
        <v>33.64</v>
      </c>
      <c r="N47" s="64">
        <v>584.29999999999995</v>
      </c>
      <c r="O47" s="64">
        <v>0</v>
      </c>
      <c r="P47" s="64">
        <v>1.03</v>
      </c>
      <c r="Q47" s="64">
        <v>8.7899999999999991</v>
      </c>
      <c r="R47" s="198"/>
      <c r="S47" s="198"/>
      <c r="T47" s="198"/>
      <c r="U47" s="198"/>
    </row>
    <row r="48" spans="1:21" s="12" customFormat="1" x14ac:dyDescent="0.25">
      <c r="A48" s="214" t="s">
        <v>1147</v>
      </c>
      <c r="B48" s="64">
        <v>48.82</v>
      </c>
      <c r="C48" s="64">
        <v>52.26</v>
      </c>
      <c r="D48" s="64">
        <v>65.08</v>
      </c>
      <c r="E48" s="64">
        <v>7.46</v>
      </c>
      <c r="F48" s="64">
        <v>2.13</v>
      </c>
      <c r="G48" s="64">
        <v>89.94</v>
      </c>
      <c r="H48" s="64">
        <v>38.25</v>
      </c>
      <c r="I48" s="210" t="s">
        <v>43</v>
      </c>
      <c r="J48" s="64">
        <v>0.86</v>
      </c>
      <c r="K48" s="64">
        <v>17.489999999999998</v>
      </c>
      <c r="L48" s="64">
        <v>20.68</v>
      </c>
      <c r="M48" s="64">
        <v>34.549999999999997</v>
      </c>
      <c r="N48" s="64">
        <v>602.1</v>
      </c>
      <c r="O48" s="64">
        <v>0</v>
      </c>
      <c r="P48" s="64">
        <v>1.02</v>
      </c>
      <c r="Q48" s="64">
        <v>8.66</v>
      </c>
      <c r="R48" s="198"/>
      <c r="S48" s="198"/>
      <c r="T48" s="198"/>
      <c r="U48" s="198"/>
    </row>
    <row r="49" spans="1:21" s="12" customFormat="1" x14ac:dyDescent="0.25">
      <c r="A49" s="214" t="s">
        <v>1148</v>
      </c>
      <c r="B49" s="64">
        <v>45.99</v>
      </c>
      <c r="C49" s="64">
        <v>53.05</v>
      </c>
      <c r="D49" s="64">
        <v>63.22</v>
      </c>
      <c r="E49" s="64">
        <v>6.92</v>
      </c>
      <c r="F49" s="64">
        <v>2.13</v>
      </c>
      <c r="G49" s="64">
        <v>89.94</v>
      </c>
      <c r="H49" s="64">
        <v>38.25</v>
      </c>
      <c r="I49" s="210" t="s">
        <v>43</v>
      </c>
      <c r="J49" s="64">
        <v>1.43</v>
      </c>
      <c r="K49" s="64">
        <v>104.14</v>
      </c>
      <c r="L49" s="64">
        <v>19.52</v>
      </c>
      <c r="M49" s="64">
        <v>36.47</v>
      </c>
      <c r="N49" s="64">
        <v>588</v>
      </c>
      <c r="O49" s="64">
        <v>0</v>
      </c>
      <c r="P49" s="64">
        <v>1</v>
      </c>
      <c r="Q49" s="64">
        <v>8.5</v>
      </c>
      <c r="R49" s="198"/>
      <c r="S49" s="198"/>
      <c r="T49" s="198"/>
      <c r="U49" s="198"/>
    </row>
    <row r="50" spans="1:21" s="12" customFormat="1" x14ac:dyDescent="0.25">
      <c r="A50" s="214" t="s">
        <v>1149</v>
      </c>
      <c r="B50" s="64">
        <v>42.87</v>
      </c>
      <c r="C50" s="64">
        <v>53.6</v>
      </c>
      <c r="D50" s="64">
        <v>61</v>
      </c>
      <c r="E50" s="64">
        <v>7.11</v>
      </c>
      <c r="F50" s="64">
        <v>2.13</v>
      </c>
      <c r="G50" s="64">
        <v>89.94</v>
      </c>
      <c r="H50" s="64">
        <v>38.25</v>
      </c>
      <c r="I50" s="210" t="s">
        <v>43</v>
      </c>
      <c r="J50" s="64">
        <v>1.35</v>
      </c>
      <c r="K50" s="64">
        <v>110.81</v>
      </c>
      <c r="L50" s="64">
        <v>20.16</v>
      </c>
      <c r="M50" s="64">
        <v>35.130000000000003</v>
      </c>
      <c r="N50" s="64">
        <v>598.79999999999995</v>
      </c>
      <c r="O50" s="64">
        <v>0</v>
      </c>
      <c r="P50" s="64">
        <v>0.99</v>
      </c>
      <c r="Q50" s="64">
        <v>8.34</v>
      </c>
      <c r="R50" s="198"/>
      <c r="S50" s="198"/>
      <c r="T50" s="198"/>
      <c r="U50" s="198"/>
    </row>
    <row r="51" spans="1:21" s="12" customFormat="1" x14ac:dyDescent="0.25">
      <c r="A51" s="214" t="s">
        <v>1150</v>
      </c>
      <c r="B51" s="64">
        <v>39.979999999999997</v>
      </c>
      <c r="C51" s="64">
        <v>53.67</v>
      </c>
      <c r="D51" s="64">
        <v>58.72</v>
      </c>
      <c r="E51" s="64">
        <v>6.89</v>
      </c>
      <c r="F51" s="64">
        <v>2.13</v>
      </c>
      <c r="G51" s="64">
        <v>88.57</v>
      </c>
      <c r="H51" s="64">
        <v>35.83</v>
      </c>
      <c r="I51" s="210" t="s">
        <v>43</v>
      </c>
      <c r="J51" s="64">
        <v>0.54</v>
      </c>
      <c r="K51" s="64">
        <v>103.07</v>
      </c>
      <c r="L51" s="64">
        <v>20.96</v>
      </c>
      <c r="M51" s="64">
        <v>33.92</v>
      </c>
      <c r="N51" s="64">
        <v>628.20000000000005</v>
      </c>
      <c r="O51" s="64">
        <v>0</v>
      </c>
      <c r="P51" s="64">
        <v>0.97</v>
      </c>
      <c r="Q51" s="64">
        <v>8.2200000000000006</v>
      </c>
      <c r="R51" s="198"/>
      <c r="S51" s="198"/>
      <c r="T51" s="198"/>
      <c r="U51" s="198"/>
    </row>
    <row r="52" spans="1:21" s="12" customFormat="1" x14ac:dyDescent="0.25">
      <c r="A52" s="214" t="s">
        <v>1151</v>
      </c>
      <c r="B52" s="64">
        <v>37.26</v>
      </c>
      <c r="C52" s="64">
        <v>53.7</v>
      </c>
      <c r="D52" s="64">
        <v>56.56</v>
      </c>
      <c r="E52" s="64">
        <v>7.15</v>
      </c>
      <c r="F52" s="64">
        <v>2.13</v>
      </c>
      <c r="G52" s="64">
        <v>87.98</v>
      </c>
      <c r="H52" s="64">
        <v>34.79</v>
      </c>
      <c r="I52" s="210" t="s">
        <v>43</v>
      </c>
      <c r="J52" s="64">
        <v>1.1399999999999999</v>
      </c>
      <c r="K52" s="64">
        <v>130.37</v>
      </c>
      <c r="L52" s="64">
        <v>20.94</v>
      </c>
      <c r="M52" s="64">
        <v>33.39</v>
      </c>
      <c r="N52" s="64">
        <v>642.1</v>
      </c>
      <c r="O52" s="64">
        <v>0</v>
      </c>
      <c r="P52" s="64">
        <v>0.95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1152</v>
      </c>
      <c r="B53" s="64">
        <v>34.31</v>
      </c>
      <c r="C53" s="64">
        <v>54.47</v>
      </c>
      <c r="D53" s="64">
        <v>54.6</v>
      </c>
      <c r="E53" s="64">
        <v>6.95</v>
      </c>
      <c r="F53" s="64">
        <v>2.13</v>
      </c>
      <c r="G53" s="64">
        <v>87.98</v>
      </c>
      <c r="H53" s="64">
        <v>34.79</v>
      </c>
      <c r="I53" s="210" t="s">
        <v>43</v>
      </c>
      <c r="J53" s="64">
        <v>2.14</v>
      </c>
      <c r="K53" s="64">
        <v>126.57</v>
      </c>
      <c r="L53" s="64">
        <v>20.5</v>
      </c>
      <c r="M53" s="64">
        <v>32.83</v>
      </c>
      <c r="N53" s="64">
        <v>667.9</v>
      </c>
      <c r="O53" s="64">
        <v>0</v>
      </c>
      <c r="P53" s="64">
        <v>0.93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1153</v>
      </c>
      <c r="B54" s="64">
        <v>30.66</v>
      </c>
      <c r="C54" s="64">
        <v>55.53</v>
      </c>
      <c r="D54" s="64">
        <v>52.22</v>
      </c>
      <c r="E54" s="64">
        <v>6.93</v>
      </c>
      <c r="F54" s="64">
        <v>2.13</v>
      </c>
      <c r="G54" s="64">
        <v>87.98</v>
      </c>
      <c r="H54" s="64">
        <v>34.79</v>
      </c>
      <c r="I54" s="210" t="s">
        <v>43</v>
      </c>
      <c r="J54" s="64">
        <v>2.11</v>
      </c>
      <c r="K54" s="64">
        <v>119.81</v>
      </c>
      <c r="L54" s="64">
        <v>20.76</v>
      </c>
      <c r="M54" s="64">
        <v>32.659999999999997</v>
      </c>
      <c r="N54" s="64">
        <v>707.9</v>
      </c>
      <c r="O54" s="64">
        <v>0</v>
      </c>
      <c r="P54" s="64">
        <v>0.92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1154</v>
      </c>
      <c r="B55" s="64">
        <v>26.81</v>
      </c>
      <c r="C55" s="64">
        <v>56.94</v>
      </c>
      <c r="D55" s="64">
        <v>49.87</v>
      </c>
      <c r="E55" s="64">
        <v>6.41</v>
      </c>
      <c r="F55" s="64">
        <v>2.13</v>
      </c>
      <c r="G55" s="64">
        <v>87.97</v>
      </c>
      <c r="H55" s="64">
        <v>35.090000000000003</v>
      </c>
      <c r="I55" s="210" t="s">
        <v>43</v>
      </c>
      <c r="J55" s="64">
        <v>1.5</v>
      </c>
      <c r="K55" s="64">
        <v>115.36</v>
      </c>
      <c r="L55" s="64">
        <v>21.25</v>
      </c>
      <c r="M55" s="64">
        <v>31.05</v>
      </c>
      <c r="N55" s="64">
        <v>698.8</v>
      </c>
      <c r="O55" s="64">
        <v>0</v>
      </c>
      <c r="P55" s="64">
        <v>0.89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1155</v>
      </c>
      <c r="B56" s="64">
        <v>23.47</v>
      </c>
      <c r="C56" s="64">
        <v>57.98</v>
      </c>
      <c r="D56" s="64">
        <v>47.73</v>
      </c>
      <c r="E56" s="64">
        <v>6.63</v>
      </c>
      <c r="F56" s="64">
        <v>2.13</v>
      </c>
      <c r="G56" s="64">
        <v>87.96</v>
      </c>
      <c r="H56" s="64">
        <v>35.22</v>
      </c>
      <c r="I56" s="210" t="s">
        <v>43</v>
      </c>
      <c r="J56" s="64">
        <v>1.29</v>
      </c>
      <c r="K56" s="64">
        <v>96.94</v>
      </c>
      <c r="L56" s="64">
        <v>22.24</v>
      </c>
      <c r="M56" s="64">
        <v>28.02</v>
      </c>
      <c r="N56" s="64">
        <v>696.9</v>
      </c>
      <c r="O56" s="64">
        <v>0</v>
      </c>
      <c r="P56" s="64">
        <v>0.87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1156</v>
      </c>
      <c r="B57" s="64">
        <v>20.010000000000002</v>
      </c>
      <c r="C57" s="64">
        <v>58.95</v>
      </c>
      <c r="D57" s="64">
        <v>45.47</v>
      </c>
      <c r="E57" s="64">
        <v>6.18</v>
      </c>
      <c r="F57" s="64">
        <v>2.13</v>
      </c>
      <c r="G57" s="64">
        <v>87.96</v>
      </c>
      <c r="H57" s="64">
        <v>35.22</v>
      </c>
      <c r="I57" s="210" t="s">
        <v>43</v>
      </c>
      <c r="J57" s="64">
        <v>1.2</v>
      </c>
      <c r="K57" s="64">
        <v>94.9</v>
      </c>
      <c r="L57" s="64">
        <v>22.21</v>
      </c>
      <c r="M57" s="64">
        <v>28.09</v>
      </c>
      <c r="N57" s="64">
        <v>644.9</v>
      </c>
      <c r="O57" s="64">
        <v>0</v>
      </c>
      <c r="P57" s="64">
        <v>0.85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1157</v>
      </c>
      <c r="B58" s="64">
        <v>16.61</v>
      </c>
      <c r="C58" s="64">
        <v>59.67</v>
      </c>
      <c r="D58" s="64">
        <v>43.12</v>
      </c>
      <c r="E58" s="64">
        <v>6.83</v>
      </c>
      <c r="F58" s="64">
        <v>2.13</v>
      </c>
      <c r="G58" s="64">
        <v>87.96</v>
      </c>
      <c r="H58" s="64">
        <v>35.22</v>
      </c>
      <c r="I58" s="210" t="s">
        <v>43</v>
      </c>
      <c r="J58" s="64">
        <v>2.27</v>
      </c>
      <c r="K58" s="64">
        <v>110.52</v>
      </c>
      <c r="L58" s="64">
        <v>20.77</v>
      </c>
      <c r="M58" s="64">
        <v>29.27</v>
      </c>
      <c r="N58" s="64">
        <v>674.3</v>
      </c>
      <c r="O58" s="64">
        <v>0</v>
      </c>
      <c r="P58" s="64">
        <v>0.83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1158</v>
      </c>
      <c r="B59" s="64">
        <v>13.25</v>
      </c>
      <c r="C59" s="64">
        <v>60.06</v>
      </c>
      <c r="D59" s="64">
        <v>40.630000000000003</v>
      </c>
      <c r="E59" s="64">
        <v>6.59</v>
      </c>
      <c r="F59" s="64">
        <v>2.13</v>
      </c>
      <c r="G59" s="64">
        <v>73.56</v>
      </c>
      <c r="H59" s="64">
        <v>32.42</v>
      </c>
      <c r="I59" s="210" t="s">
        <v>43</v>
      </c>
      <c r="J59" s="64">
        <v>1.46</v>
      </c>
      <c r="K59" s="64">
        <v>124.84</v>
      </c>
      <c r="L59" s="64">
        <v>22.58</v>
      </c>
      <c r="M59" s="64">
        <v>25.55</v>
      </c>
      <c r="N59" s="64">
        <v>699.4</v>
      </c>
      <c r="O59" s="64">
        <v>0</v>
      </c>
      <c r="P59" s="64">
        <v>0.81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1159</v>
      </c>
      <c r="B60" s="64">
        <v>10.55</v>
      </c>
      <c r="C60" s="64">
        <v>59.84</v>
      </c>
      <c r="D60" s="64">
        <v>38.35</v>
      </c>
      <c r="E60" s="64">
        <v>6.55</v>
      </c>
      <c r="F60" s="64">
        <v>2.13</v>
      </c>
      <c r="G60" s="64">
        <v>67.39</v>
      </c>
      <c r="H60" s="64">
        <v>31.22</v>
      </c>
      <c r="I60" s="210" t="s">
        <v>43</v>
      </c>
      <c r="J60" s="64">
        <v>1.87</v>
      </c>
      <c r="K60" s="64">
        <v>120.87</v>
      </c>
      <c r="L60" s="64">
        <v>21.73</v>
      </c>
      <c r="M60" s="64">
        <v>27.22</v>
      </c>
      <c r="N60" s="64">
        <v>678.1</v>
      </c>
      <c r="O60" s="64">
        <v>0</v>
      </c>
      <c r="P60" s="64">
        <v>0.78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1160</v>
      </c>
      <c r="B61" s="64">
        <v>8.2200000000000006</v>
      </c>
      <c r="C61" s="64">
        <v>59.65</v>
      </c>
      <c r="D61" s="64">
        <v>36.380000000000003</v>
      </c>
      <c r="E61" s="64">
        <v>6.68</v>
      </c>
      <c r="F61" s="64">
        <v>2.13</v>
      </c>
      <c r="G61" s="64">
        <v>67.39</v>
      </c>
      <c r="H61" s="64">
        <v>31.22</v>
      </c>
      <c r="I61" s="210" t="s">
        <v>43</v>
      </c>
      <c r="J61" s="64">
        <v>0.62</v>
      </c>
      <c r="K61" s="64">
        <v>13.53</v>
      </c>
      <c r="L61" s="64">
        <v>23.69</v>
      </c>
      <c r="M61" s="64">
        <v>25.35</v>
      </c>
      <c r="N61" s="64">
        <v>667.8</v>
      </c>
      <c r="O61" s="64">
        <v>0</v>
      </c>
      <c r="P61" s="64">
        <v>0.79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1161</v>
      </c>
      <c r="B62" s="64">
        <v>6.79</v>
      </c>
      <c r="C62" s="64">
        <v>59.56</v>
      </c>
      <c r="D62" s="64">
        <v>35.19</v>
      </c>
      <c r="E62" s="64">
        <v>6.88</v>
      </c>
      <c r="F62" s="64">
        <v>2.13</v>
      </c>
      <c r="G62" s="64">
        <v>67.39</v>
      </c>
      <c r="H62" s="64">
        <v>31.22</v>
      </c>
      <c r="I62" s="210" t="s">
        <v>43</v>
      </c>
      <c r="J62" s="64">
        <v>1.91</v>
      </c>
      <c r="K62" s="64">
        <v>339.42</v>
      </c>
      <c r="L62" s="64">
        <v>25.13</v>
      </c>
      <c r="M62" s="64">
        <v>23.27</v>
      </c>
      <c r="N62" s="64">
        <v>636.4</v>
      </c>
      <c r="O62" s="64">
        <v>0</v>
      </c>
      <c r="P62" s="64">
        <v>0.82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1162</v>
      </c>
      <c r="B63" s="64">
        <v>6.01</v>
      </c>
      <c r="C63" s="64">
        <v>59.19</v>
      </c>
      <c r="D63" s="64">
        <v>34.369999999999997</v>
      </c>
      <c r="E63" s="64">
        <v>6.71</v>
      </c>
      <c r="F63" s="64">
        <v>2.13</v>
      </c>
      <c r="G63" s="64">
        <v>63.79</v>
      </c>
      <c r="H63" s="64">
        <v>30.86</v>
      </c>
      <c r="I63" s="210" t="s">
        <v>43</v>
      </c>
      <c r="J63" s="64">
        <v>2.1</v>
      </c>
      <c r="K63" s="64">
        <v>332.49</v>
      </c>
      <c r="L63" s="64">
        <v>25.79</v>
      </c>
      <c r="M63" s="64">
        <v>21.46</v>
      </c>
      <c r="N63" s="64">
        <v>620</v>
      </c>
      <c r="O63" s="64">
        <v>0</v>
      </c>
      <c r="P63" s="64">
        <v>0.81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1163</v>
      </c>
      <c r="B64" s="64">
        <v>5.52</v>
      </c>
      <c r="C64" s="64">
        <v>58.83</v>
      </c>
      <c r="D64" s="64">
        <v>33.79</v>
      </c>
      <c r="E64" s="64">
        <v>6.34</v>
      </c>
      <c r="F64" s="64">
        <v>2.13</v>
      </c>
      <c r="G64" s="64">
        <v>62.26</v>
      </c>
      <c r="H64" s="64">
        <v>30.7</v>
      </c>
      <c r="I64" s="210" t="s">
        <v>43</v>
      </c>
      <c r="J64" s="64">
        <v>0.84</v>
      </c>
      <c r="K64" s="64">
        <v>58.75</v>
      </c>
      <c r="L64" s="64">
        <v>24.73</v>
      </c>
      <c r="M64" s="64">
        <v>22.87</v>
      </c>
      <c r="N64" s="64">
        <v>528.20000000000005</v>
      </c>
      <c r="O64" s="64">
        <v>0</v>
      </c>
      <c r="P64" s="64">
        <v>0.8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1164</v>
      </c>
      <c r="B65" s="64">
        <v>5.0599999999999996</v>
      </c>
      <c r="C65" s="64">
        <v>57.69</v>
      </c>
      <c r="D65" s="64">
        <v>32.82</v>
      </c>
      <c r="E65" s="64">
        <v>6.33</v>
      </c>
      <c r="F65" s="64">
        <v>2.13</v>
      </c>
      <c r="G65" s="64">
        <v>62.26</v>
      </c>
      <c r="H65" s="64">
        <v>30.7</v>
      </c>
      <c r="I65" s="210" t="s">
        <v>43</v>
      </c>
      <c r="J65" s="64">
        <v>1</v>
      </c>
      <c r="K65" s="64">
        <v>355.58</v>
      </c>
      <c r="L65" s="64">
        <v>23.89</v>
      </c>
      <c r="M65" s="64">
        <v>22.72</v>
      </c>
      <c r="N65" s="64">
        <v>514</v>
      </c>
      <c r="O65" s="64">
        <v>0</v>
      </c>
      <c r="P65" s="64">
        <v>0.78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1165</v>
      </c>
      <c r="B66" s="64">
        <v>4.67</v>
      </c>
      <c r="C66" s="64">
        <v>56.52</v>
      </c>
      <c r="D66" s="64">
        <v>31.9</v>
      </c>
      <c r="E66" s="64">
        <v>6.75</v>
      </c>
      <c r="F66" s="64">
        <v>2.13</v>
      </c>
      <c r="G66" s="64">
        <v>62.26</v>
      </c>
      <c r="H66" s="64">
        <v>30.7</v>
      </c>
      <c r="I66" s="210" t="s">
        <v>43</v>
      </c>
      <c r="J66" s="64">
        <v>1.98</v>
      </c>
      <c r="K66" s="64">
        <v>107.14</v>
      </c>
      <c r="L66" s="64">
        <v>23.07</v>
      </c>
      <c r="M66" s="64">
        <v>24.03</v>
      </c>
      <c r="N66" s="64">
        <v>386.8</v>
      </c>
      <c r="O66" s="64">
        <v>0</v>
      </c>
      <c r="P66" s="64">
        <v>0.77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1166</v>
      </c>
      <c r="B67" s="64">
        <v>4.32</v>
      </c>
      <c r="C67" s="64">
        <v>54.91</v>
      </c>
      <c r="D67" s="64">
        <v>30.78</v>
      </c>
      <c r="E67" s="64">
        <v>6.63</v>
      </c>
      <c r="F67" s="64">
        <v>2.13</v>
      </c>
      <c r="G67" s="64">
        <v>60.87</v>
      </c>
      <c r="H67" s="64">
        <v>28.77</v>
      </c>
      <c r="I67" s="210" t="s">
        <v>43</v>
      </c>
      <c r="J67" s="64">
        <v>0.49</v>
      </c>
      <c r="K67" s="64">
        <v>47.19</v>
      </c>
      <c r="L67" s="64">
        <v>22.55</v>
      </c>
      <c r="M67" s="64">
        <v>24.69</v>
      </c>
      <c r="N67" s="64">
        <v>247.4</v>
      </c>
      <c r="O67" s="64">
        <v>0</v>
      </c>
      <c r="P67" s="64">
        <v>0.75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1167</v>
      </c>
      <c r="B68" s="64">
        <v>4.3600000000000003</v>
      </c>
      <c r="C68" s="64">
        <v>54.15</v>
      </c>
      <c r="D68" s="64">
        <v>30.41</v>
      </c>
      <c r="E68" s="64">
        <v>6.39</v>
      </c>
      <c r="F68" s="64">
        <v>2.13</v>
      </c>
      <c r="G68" s="64">
        <v>60.28</v>
      </c>
      <c r="H68" s="64">
        <v>27.95</v>
      </c>
      <c r="I68" s="210" t="s">
        <v>43</v>
      </c>
      <c r="J68" s="64">
        <v>0.86</v>
      </c>
      <c r="K68" s="64">
        <v>3.17</v>
      </c>
      <c r="L68" s="64">
        <v>23.23</v>
      </c>
      <c r="M68" s="64">
        <v>24.16</v>
      </c>
      <c r="N68" s="64">
        <v>349.3</v>
      </c>
      <c r="O68" s="64">
        <v>0</v>
      </c>
      <c r="P68" s="64">
        <v>0.73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1168</v>
      </c>
      <c r="B69" s="64">
        <v>4.2699999999999996</v>
      </c>
      <c r="C69" s="64">
        <v>53.59</v>
      </c>
      <c r="D69" s="64">
        <v>30.05</v>
      </c>
      <c r="E69" s="64">
        <v>6.5</v>
      </c>
      <c r="F69" s="64">
        <v>2.13</v>
      </c>
      <c r="G69" s="64">
        <v>60.28</v>
      </c>
      <c r="H69" s="64">
        <v>27.95</v>
      </c>
      <c r="I69" s="210" t="s">
        <v>43</v>
      </c>
      <c r="J69" s="64">
        <v>1.53</v>
      </c>
      <c r="K69" s="64">
        <v>329.64</v>
      </c>
      <c r="L69" s="64">
        <v>23.16</v>
      </c>
      <c r="M69" s="64">
        <v>24.57</v>
      </c>
      <c r="N69" s="64">
        <v>228.8</v>
      </c>
      <c r="O69" s="64">
        <v>0</v>
      </c>
      <c r="P69" s="64">
        <v>0.72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1169</v>
      </c>
      <c r="B70" s="64">
        <v>4.24</v>
      </c>
      <c r="C70" s="64">
        <v>53.16</v>
      </c>
      <c r="D70" s="64">
        <v>29.8</v>
      </c>
      <c r="E70" s="64">
        <v>7.01</v>
      </c>
      <c r="F70" s="64">
        <v>2.13</v>
      </c>
      <c r="G70" s="64">
        <v>60.28</v>
      </c>
      <c r="H70" s="64">
        <v>27.95</v>
      </c>
      <c r="I70" s="210" t="s">
        <v>43</v>
      </c>
      <c r="J70" s="64">
        <v>2.15</v>
      </c>
      <c r="K70" s="64">
        <v>349.31</v>
      </c>
      <c r="L70" s="64">
        <v>22.91</v>
      </c>
      <c r="M70" s="64">
        <v>23.7</v>
      </c>
      <c r="N70" s="64">
        <v>141.6</v>
      </c>
      <c r="O70" s="64">
        <v>0</v>
      </c>
      <c r="P70" s="64">
        <v>0.74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1170</v>
      </c>
      <c r="B71" s="64">
        <v>4.26</v>
      </c>
      <c r="C71" s="64">
        <v>53.86</v>
      </c>
      <c r="D71" s="64">
        <v>30.18</v>
      </c>
      <c r="E71" s="64">
        <v>7.12</v>
      </c>
      <c r="F71" s="64">
        <v>2.13</v>
      </c>
      <c r="G71" s="64">
        <v>60.26</v>
      </c>
      <c r="H71" s="64">
        <v>28</v>
      </c>
      <c r="I71" s="210" t="s">
        <v>43</v>
      </c>
      <c r="J71" s="64">
        <v>2.2599999999999998</v>
      </c>
      <c r="K71" s="64">
        <v>339.48</v>
      </c>
      <c r="L71" s="64">
        <v>22.62</v>
      </c>
      <c r="M71" s="64">
        <v>24.29</v>
      </c>
      <c r="N71" s="64">
        <v>120.1</v>
      </c>
      <c r="O71" s="64">
        <v>0</v>
      </c>
      <c r="P71" s="64">
        <v>0.74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1171</v>
      </c>
      <c r="B72" s="64">
        <v>4.3099999999999996</v>
      </c>
      <c r="C72" s="64">
        <v>54.47</v>
      </c>
      <c r="D72" s="64">
        <v>30.54</v>
      </c>
      <c r="E72" s="64">
        <v>7.45</v>
      </c>
      <c r="F72" s="64">
        <v>2.13</v>
      </c>
      <c r="G72" s="64">
        <v>60.25</v>
      </c>
      <c r="H72" s="64">
        <v>28.02</v>
      </c>
      <c r="I72" s="210" t="s">
        <v>43</v>
      </c>
      <c r="J72" s="64">
        <v>0.78</v>
      </c>
      <c r="K72" s="64">
        <v>119.7</v>
      </c>
      <c r="L72" s="64">
        <v>21.97</v>
      </c>
      <c r="M72" s="64">
        <v>23.44</v>
      </c>
      <c r="N72" s="64">
        <v>113.8</v>
      </c>
      <c r="O72" s="64">
        <v>0</v>
      </c>
      <c r="P72" s="64">
        <v>0.73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1172</v>
      </c>
      <c r="B73" s="64">
        <v>4.08</v>
      </c>
      <c r="C73" s="64">
        <v>54.43</v>
      </c>
      <c r="D73" s="64">
        <v>30.33</v>
      </c>
      <c r="E73" s="64">
        <v>6.94</v>
      </c>
      <c r="F73" s="64">
        <v>2.13</v>
      </c>
      <c r="G73" s="64">
        <v>60.25</v>
      </c>
      <c r="H73" s="64">
        <v>28.02</v>
      </c>
      <c r="I73" s="210" t="s">
        <v>43</v>
      </c>
      <c r="J73" s="64">
        <v>0.68</v>
      </c>
      <c r="K73" s="64">
        <v>80</v>
      </c>
      <c r="L73" s="64">
        <v>21.65</v>
      </c>
      <c r="M73" s="64">
        <v>24.06</v>
      </c>
      <c r="N73" s="64">
        <v>106.3</v>
      </c>
      <c r="O73" s="64">
        <v>0</v>
      </c>
      <c r="P73" s="64">
        <v>0.73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1173</v>
      </c>
      <c r="B74" s="64">
        <v>3.88</v>
      </c>
      <c r="C74" s="64">
        <v>54.34</v>
      </c>
      <c r="D74" s="64">
        <v>30.12</v>
      </c>
      <c r="E74" s="64">
        <v>6.78</v>
      </c>
      <c r="F74" s="64">
        <v>2.13</v>
      </c>
      <c r="G74" s="64">
        <v>60.25</v>
      </c>
      <c r="H74" s="64">
        <v>28.02</v>
      </c>
      <c r="I74" s="210" t="s">
        <v>43</v>
      </c>
      <c r="J74" s="64">
        <v>0.75</v>
      </c>
      <c r="K74" s="64">
        <v>39.47</v>
      </c>
      <c r="L74" s="64">
        <v>21.39</v>
      </c>
      <c r="M74" s="64">
        <v>24.22</v>
      </c>
      <c r="N74" s="64">
        <v>99.6</v>
      </c>
      <c r="O74" s="64">
        <v>0</v>
      </c>
      <c r="P74" s="64">
        <v>0.72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1174</v>
      </c>
      <c r="B75" s="64">
        <v>4.09</v>
      </c>
      <c r="C75" s="64">
        <v>54.94</v>
      </c>
      <c r="D75" s="64">
        <v>30.61</v>
      </c>
      <c r="E75" s="64">
        <v>6.76</v>
      </c>
      <c r="F75" s="64">
        <v>2.13</v>
      </c>
      <c r="G75" s="64">
        <v>61.6</v>
      </c>
      <c r="H75" s="64">
        <v>27.19</v>
      </c>
      <c r="I75" s="210" t="s">
        <v>43</v>
      </c>
      <c r="J75" s="64">
        <v>0.65</v>
      </c>
      <c r="K75" s="64">
        <v>83.52</v>
      </c>
      <c r="L75" s="64">
        <v>21.23</v>
      </c>
      <c r="M75" s="64">
        <v>24.78</v>
      </c>
      <c r="N75" s="64">
        <v>93</v>
      </c>
      <c r="O75" s="64">
        <v>0</v>
      </c>
      <c r="P75" s="64">
        <v>0.72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1175</v>
      </c>
      <c r="B76" s="64">
        <v>4.8</v>
      </c>
      <c r="C76" s="64">
        <v>56.27</v>
      </c>
      <c r="D76" s="64">
        <v>31.87</v>
      </c>
      <c r="E76" s="64">
        <v>6.91</v>
      </c>
      <c r="F76" s="64">
        <v>2.13</v>
      </c>
      <c r="G76" s="64">
        <v>62.18</v>
      </c>
      <c r="H76" s="64">
        <v>26.81</v>
      </c>
      <c r="I76" s="210" t="s">
        <v>43</v>
      </c>
      <c r="J76" s="64">
        <v>1.1100000000000001</v>
      </c>
      <c r="K76" s="64">
        <v>29.52</v>
      </c>
      <c r="L76" s="64">
        <v>20.82</v>
      </c>
      <c r="M76" s="64">
        <v>27.32</v>
      </c>
      <c r="N76" s="64">
        <v>86.5</v>
      </c>
      <c r="O76" s="64">
        <v>0</v>
      </c>
      <c r="P76" s="64">
        <v>0.73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1176</v>
      </c>
      <c r="B77" s="64">
        <v>5.79</v>
      </c>
      <c r="C77" s="64">
        <v>58.26</v>
      </c>
      <c r="D77" s="64">
        <v>33.71</v>
      </c>
      <c r="E77" s="64">
        <v>7.29</v>
      </c>
      <c r="F77" s="64">
        <v>2.13</v>
      </c>
      <c r="G77" s="64">
        <v>62.18</v>
      </c>
      <c r="H77" s="64">
        <v>26.81</v>
      </c>
      <c r="I77" s="210" t="s">
        <v>43</v>
      </c>
      <c r="J77" s="64">
        <v>0.94</v>
      </c>
      <c r="K77" s="64">
        <v>349.11</v>
      </c>
      <c r="L77" s="64">
        <v>20.239999999999998</v>
      </c>
      <c r="M77" s="64">
        <v>28.28</v>
      </c>
      <c r="N77" s="64">
        <v>78.3</v>
      </c>
      <c r="O77" s="64">
        <v>0</v>
      </c>
      <c r="P77" s="64">
        <v>0.75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1177</v>
      </c>
      <c r="B78" s="64">
        <v>6.31</v>
      </c>
      <c r="C78" s="64">
        <v>60.22</v>
      </c>
      <c r="D78" s="64">
        <v>35.15</v>
      </c>
      <c r="E78" s="64">
        <v>7.08</v>
      </c>
      <c r="F78" s="64">
        <v>2.13</v>
      </c>
      <c r="G78" s="64">
        <v>62.18</v>
      </c>
      <c r="H78" s="64">
        <v>26.81</v>
      </c>
      <c r="I78" s="210" t="s">
        <v>43</v>
      </c>
      <c r="J78" s="64">
        <v>1.05</v>
      </c>
      <c r="K78" s="64">
        <v>235.46</v>
      </c>
      <c r="L78" s="64">
        <v>19.350000000000001</v>
      </c>
      <c r="M78" s="64">
        <v>32.200000000000003</v>
      </c>
      <c r="N78" s="64">
        <v>70.900000000000006</v>
      </c>
      <c r="O78" s="64">
        <v>0</v>
      </c>
      <c r="P78" s="64">
        <v>0.77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1178</v>
      </c>
      <c r="B79" s="64">
        <v>6.91</v>
      </c>
      <c r="C79" s="64">
        <v>61.34</v>
      </c>
      <c r="D79" s="64">
        <v>36.21</v>
      </c>
      <c r="E79" s="64">
        <v>6.95</v>
      </c>
      <c r="F79" s="64">
        <v>2.13</v>
      </c>
      <c r="G79" s="64">
        <v>73.31</v>
      </c>
      <c r="H79" s="64">
        <v>27.09</v>
      </c>
      <c r="I79" s="210" t="s">
        <v>43</v>
      </c>
      <c r="J79" s="64">
        <v>1.47</v>
      </c>
      <c r="K79" s="64">
        <v>275.27</v>
      </c>
      <c r="L79" s="64">
        <v>18.239999999999998</v>
      </c>
      <c r="M79" s="64">
        <v>36.340000000000003</v>
      </c>
      <c r="N79" s="64">
        <v>65.400000000000006</v>
      </c>
      <c r="O79" s="64">
        <v>0</v>
      </c>
      <c r="P79" s="64">
        <v>0.84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1179</v>
      </c>
      <c r="B80" s="64">
        <v>9.6199999999999992</v>
      </c>
      <c r="C80" s="64">
        <v>62.2</v>
      </c>
      <c r="D80" s="64">
        <v>38.840000000000003</v>
      </c>
      <c r="E80" s="64">
        <v>6.51</v>
      </c>
      <c r="F80" s="64">
        <v>2.13</v>
      </c>
      <c r="G80" s="64">
        <v>78.09</v>
      </c>
      <c r="H80" s="64">
        <v>27.22</v>
      </c>
      <c r="I80" s="210" t="s">
        <v>43</v>
      </c>
      <c r="J80" s="64">
        <v>0.95</v>
      </c>
      <c r="K80" s="64">
        <v>42.73</v>
      </c>
      <c r="L80" s="64">
        <v>17.239999999999998</v>
      </c>
      <c r="M80" s="64">
        <v>42.54</v>
      </c>
      <c r="N80" s="64">
        <v>63.4</v>
      </c>
      <c r="O80" s="64">
        <v>0</v>
      </c>
      <c r="P80" s="64">
        <v>0.92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1180</v>
      </c>
      <c r="B81" s="64">
        <v>14.66</v>
      </c>
      <c r="C81" s="64">
        <v>62.86</v>
      </c>
      <c r="D81" s="64">
        <v>43.22</v>
      </c>
      <c r="E81" s="64">
        <v>6.97</v>
      </c>
      <c r="F81" s="64">
        <v>2.13</v>
      </c>
      <c r="G81" s="64">
        <v>78.09</v>
      </c>
      <c r="H81" s="64">
        <v>27.22</v>
      </c>
      <c r="I81" s="210" t="s">
        <v>43</v>
      </c>
      <c r="J81" s="64">
        <v>0.98</v>
      </c>
      <c r="K81" s="64">
        <v>109.92</v>
      </c>
      <c r="L81" s="64">
        <v>16.8</v>
      </c>
      <c r="M81" s="64">
        <v>48.22</v>
      </c>
      <c r="N81" s="64">
        <v>62.8</v>
      </c>
      <c r="O81" s="64">
        <v>0</v>
      </c>
      <c r="P81" s="64">
        <v>1.06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1181</v>
      </c>
      <c r="B82" s="64">
        <v>17.37</v>
      </c>
      <c r="C82" s="64">
        <v>63.09</v>
      </c>
      <c r="D82" s="64">
        <v>45.51</v>
      </c>
      <c r="E82" s="64">
        <v>7.42</v>
      </c>
      <c r="F82" s="64">
        <v>2.13</v>
      </c>
      <c r="G82" s="64">
        <v>78.09</v>
      </c>
      <c r="H82" s="64">
        <v>27.22</v>
      </c>
      <c r="I82" s="210" t="s">
        <v>43</v>
      </c>
      <c r="J82" s="64">
        <v>1.1299999999999999</v>
      </c>
      <c r="K82" s="64">
        <v>82.26</v>
      </c>
      <c r="L82" s="64">
        <v>17.09</v>
      </c>
      <c r="M82" s="64">
        <v>44.11</v>
      </c>
      <c r="N82" s="64">
        <v>62.6</v>
      </c>
      <c r="O82" s="64">
        <v>0</v>
      </c>
      <c r="P82" s="64">
        <v>1.39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1182</v>
      </c>
      <c r="B83" s="64">
        <v>19.62</v>
      </c>
      <c r="C83" s="64">
        <v>63.6</v>
      </c>
      <c r="D83" s="64">
        <v>47.59</v>
      </c>
      <c r="E83" s="64">
        <v>7.42</v>
      </c>
      <c r="F83" s="64">
        <v>2.13</v>
      </c>
      <c r="G83" s="64">
        <v>137.05000000000001</v>
      </c>
      <c r="H83" s="64">
        <v>31.11</v>
      </c>
      <c r="I83" s="210" t="s">
        <v>43</v>
      </c>
      <c r="J83" s="64">
        <v>1.24</v>
      </c>
      <c r="K83" s="64">
        <v>49.45</v>
      </c>
      <c r="L83" s="64">
        <v>16.850000000000001</v>
      </c>
      <c r="M83" s="64">
        <v>49.44</v>
      </c>
      <c r="N83" s="64">
        <v>62.8</v>
      </c>
      <c r="O83" s="64">
        <v>0</v>
      </c>
      <c r="P83" s="64">
        <v>1.31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1183</v>
      </c>
      <c r="B84" s="64">
        <v>22.83</v>
      </c>
      <c r="C84" s="64">
        <v>63.93</v>
      </c>
      <c r="D84" s="64">
        <v>50.33</v>
      </c>
      <c r="E84" s="64">
        <v>7.46</v>
      </c>
      <c r="F84" s="64">
        <v>2.13</v>
      </c>
      <c r="G84" s="64">
        <v>162.33000000000001</v>
      </c>
      <c r="H84" s="64">
        <v>32.78</v>
      </c>
      <c r="I84" s="210" t="s">
        <v>43</v>
      </c>
      <c r="J84" s="64">
        <v>0.16</v>
      </c>
      <c r="K84" s="64">
        <v>230.31</v>
      </c>
      <c r="L84" s="64">
        <v>16.41</v>
      </c>
      <c r="M84" s="64">
        <v>47.45</v>
      </c>
      <c r="N84" s="64">
        <v>63.1</v>
      </c>
      <c r="O84" s="64">
        <v>0</v>
      </c>
      <c r="P84" s="64">
        <v>1.26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1184</v>
      </c>
      <c r="B85" s="64">
        <v>25.95</v>
      </c>
      <c r="C85" s="64">
        <v>64.22</v>
      </c>
      <c r="D85" s="64">
        <v>52.98</v>
      </c>
      <c r="E85" s="64">
        <v>7.82</v>
      </c>
      <c r="F85" s="64">
        <v>2.13</v>
      </c>
      <c r="G85" s="64">
        <v>162.33000000000001</v>
      </c>
      <c r="H85" s="64">
        <v>32.78</v>
      </c>
      <c r="I85" s="210" t="s">
        <v>43</v>
      </c>
      <c r="J85" s="64">
        <v>1.56</v>
      </c>
      <c r="K85" s="64">
        <v>256.14</v>
      </c>
      <c r="L85" s="64">
        <v>15.69</v>
      </c>
      <c r="M85" s="64">
        <v>51.07</v>
      </c>
      <c r="N85" s="64">
        <v>63.5</v>
      </c>
      <c r="O85" s="64">
        <v>0</v>
      </c>
      <c r="P85" s="64">
        <v>1.23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1185</v>
      </c>
      <c r="B86" s="64">
        <v>29.53</v>
      </c>
      <c r="C86" s="64">
        <v>64.33</v>
      </c>
      <c r="D86" s="64">
        <v>55.91</v>
      </c>
      <c r="E86" s="64">
        <v>8.4700000000000006</v>
      </c>
      <c r="F86" s="64">
        <v>2.13</v>
      </c>
      <c r="G86" s="64">
        <v>162.33000000000001</v>
      </c>
      <c r="H86" s="64">
        <v>32.78</v>
      </c>
      <c r="I86" s="210" t="s">
        <v>43</v>
      </c>
      <c r="J86" s="64">
        <v>1.46</v>
      </c>
      <c r="K86" s="64">
        <v>277.75</v>
      </c>
      <c r="L86" s="64">
        <v>15.1</v>
      </c>
      <c r="M86" s="64">
        <v>54.98</v>
      </c>
      <c r="N86" s="64">
        <v>63.4</v>
      </c>
      <c r="O86" s="64">
        <v>0</v>
      </c>
      <c r="P86" s="64">
        <v>1.23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1186</v>
      </c>
      <c r="B87" s="64">
        <v>32.61</v>
      </c>
      <c r="C87" s="64">
        <v>64.75</v>
      </c>
      <c r="D87" s="64">
        <v>58.6</v>
      </c>
      <c r="E87" s="64">
        <v>8.51</v>
      </c>
      <c r="F87" s="64">
        <v>2.13</v>
      </c>
      <c r="G87" s="64">
        <v>170.33</v>
      </c>
      <c r="H87" s="64">
        <v>38.79</v>
      </c>
      <c r="I87" s="210" t="s">
        <v>43</v>
      </c>
      <c r="J87" s="64">
        <v>1.22</v>
      </c>
      <c r="K87" s="64">
        <v>325.18</v>
      </c>
      <c r="L87" s="64">
        <v>14.69</v>
      </c>
      <c r="M87" s="64">
        <v>58.42</v>
      </c>
      <c r="N87" s="64">
        <v>63.4</v>
      </c>
      <c r="O87" s="64">
        <v>0</v>
      </c>
      <c r="P87" s="64">
        <v>1.19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1187</v>
      </c>
      <c r="B88" s="64">
        <v>35.81</v>
      </c>
      <c r="C88" s="64">
        <v>65.38</v>
      </c>
      <c r="D88" s="64">
        <v>61.5</v>
      </c>
      <c r="E88" s="64">
        <v>9.16</v>
      </c>
      <c r="F88" s="64">
        <v>2.13</v>
      </c>
      <c r="G88" s="64">
        <v>173.77</v>
      </c>
      <c r="H88" s="64">
        <v>41.37</v>
      </c>
      <c r="I88" s="210" t="s">
        <v>43</v>
      </c>
      <c r="J88" s="64">
        <v>0.53</v>
      </c>
      <c r="K88" s="64">
        <v>353.38</v>
      </c>
      <c r="L88" s="64">
        <v>14.77</v>
      </c>
      <c r="M88" s="64">
        <v>63.21</v>
      </c>
      <c r="N88" s="64">
        <v>63.1</v>
      </c>
      <c r="O88" s="64">
        <v>0</v>
      </c>
      <c r="P88" s="64">
        <v>1.29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1188</v>
      </c>
      <c r="B89" s="64">
        <v>37.71</v>
      </c>
      <c r="C89" s="64">
        <v>65.95</v>
      </c>
      <c r="D89" s="64">
        <v>63.32</v>
      </c>
      <c r="E89" s="64">
        <v>8.99</v>
      </c>
      <c r="F89" s="64">
        <v>2.13</v>
      </c>
      <c r="G89" s="64">
        <v>173.77</v>
      </c>
      <c r="H89" s="64">
        <v>41.37</v>
      </c>
      <c r="I89" s="210" t="s">
        <v>43</v>
      </c>
      <c r="J89" s="64">
        <v>0.97</v>
      </c>
      <c r="K89" s="64">
        <v>22.63</v>
      </c>
      <c r="L89" s="64">
        <v>14.88</v>
      </c>
      <c r="M89" s="64">
        <v>54.3</v>
      </c>
      <c r="N89" s="64">
        <v>63.4</v>
      </c>
      <c r="O89" s="64">
        <v>0</v>
      </c>
      <c r="P89" s="64">
        <v>1.34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1189</v>
      </c>
      <c r="B90" s="64">
        <v>38.68</v>
      </c>
      <c r="C90" s="64">
        <v>66.13</v>
      </c>
      <c r="D90" s="64">
        <v>64.19</v>
      </c>
      <c r="E90" s="64">
        <v>9.61</v>
      </c>
      <c r="F90" s="64">
        <v>2.13</v>
      </c>
      <c r="G90" s="64">
        <v>173.77</v>
      </c>
      <c r="H90" s="64">
        <v>41.37</v>
      </c>
      <c r="I90" s="210" t="s">
        <v>43</v>
      </c>
      <c r="J90" s="64">
        <v>0.85</v>
      </c>
      <c r="K90" s="64">
        <v>355.45</v>
      </c>
      <c r="L90" s="64">
        <v>14.87</v>
      </c>
      <c r="M90" s="64">
        <v>53.95</v>
      </c>
      <c r="N90" s="64">
        <v>63.6</v>
      </c>
      <c r="O90" s="64">
        <v>0</v>
      </c>
      <c r="P90" s="64">
        <v>1.41</v>
      </c>
      <c r="Q90" s="64">
        <v>8.23</v>
      </c>
      <c r="R90" s="198"/>
      <c r="S90" s="198"/>
      <c r="T90" s="198"/>
      <c r="U90" s="198"/>
    </row>
    <row r="91" spans="1:26" s="12" customFormat="1" x14ac:dyDescent="0.25">
      <c r="A91" s="214" t="s">
        <v>1190</v>
      </c>
      <c r="B91" s="64">
        <v>40.17</v>
      </c>
      <c r="C91" s="64">
        <v>66.41</v>
      </c>
      <c r="D91" s="64">
        <v>65.53</v>
      </c>
      <c r="E91" s="64">
        <v>9.1999999999999993</v>
      </c>
      <c r="F91" s="64">
        <v>2.13</v>
      </c>
      <c r="G91" s="64">
        <v>157.77000000000001</v>
      </c>
      <c r="H91" s="64">
        <v>44.68</v>
      </c>
      <c r="I91" s="210" t="s">
        <v>43</v>
      </c>
      <c r="J91" s="64">
        <v>1.32</v>
      </c>
      <c r="K91" s="64">
        <v>282.10000000000002</v>
      </c>
      <c r="L91" s="64">
        <v>14.69</v>
      </c>
      <c r="M91" s="64">
        <v>52.64</v>
      </c>
      <c r="N91" s="64">
        <v>63.8</v>
      </c>
      <c r="O91" s="64">
        <v>0</v>
      </c>
      <c r="P91" s="64">
        <v>1.46</v>
      </c>
      <c r="Q91" s="64">
        <v>8.32</v>
      </c>
      <c r="R91" s="198"/>
      <c r="S91" s="198"/>
      <c r="T91" s="198"/>
      <c r="U91" s="198"/>
    </row>
    <row r="92" spans="1:26" s="12" customFormat="1" x14ac:dyDescent="0.25">
      <c r="A92" s="214" t="s">
        <v>1191</v>
      </c>
      <c r="B92" s="64">
        <v>39.97</v>
      </c>
      <c r="C92" s="64">
        <v>66.430000000000007</v>
      </c>
      <c r="D92" s="64">
        <v>65.38</v>
      </c>
      <c r="E92" s="64">
        <v>9.02</v>
      </c>
      <c r="F92" s="64">
        <v>2.13</v>
      </c>
      <c r="G92" s="64">
        <v>150.55000000000001</v>
      </c>
      <c r="H92" s="64">
        <v>46.09</v>
      </c>
      <c r="I92" s="210" t="s">
        <v>43</v>
      </c>
      <c r="J92" s="64">
        <v>1.33</v>
      </c>
      <c r="K92" s="64">
        <v>288.43</v>
      </c>
      <c r="L92" s="64">
        <v>14.56</v>
      </c>
      <c r="M92" s="64">
        <v>53.38</v>
      </c>
      <c r="N92" s="64">
        <v>63.9</v>
      </c>
      <c r="O92" s="64">
        <v>0</v>
      </c>
      <c r="P92" s="64">
        <v>1.48</v>
      </c>
      <c r="Q92" s="64">
        <v>8.35</v>
      </c>
      <c r="R92" s="198"/>
      <c r="S92" s="198"/>
      <c r="T92" s="198"/>
      <c r="U92" s="198"/>
    </row>
    <row r="93" spans="1:26" s="12" customFormat="1" x14ac:dyDescent="0.25">
      <c r="A93" s="214" t="s">
        <v>1192</v>
      </c>
      <c r="B93" s="64">
        <v>39.97</v>
      </c>
      <c r="C93" s="64">
        <v>66.39</v>
      </c>
      <c r="D93" s="64">
        <v>65.36</v>
      </c>
      <c r="E93" s="64">
        <v>8.48</v>
      </c>
      <c r="F93" s="64">
        <v>2.13</v>
      </c>
      <c r="G93" s="64">
        <v>150.55000000000001</v>
      </c>
      <c r="H93" s="64">
        <v>46.09</v>
      </c>
      <c r="I93" s="210" t="s">
        <v>43</v>
      </c>
      <c r="J93" s="64">
        <v>1.62</v>
      </c>
      <c r="K93" s="64">
        <v>286.06</v>
      </c>
      <c r="L93" s="64">
        <v>14.22</v>
      </c>
      <c r="M93" s="64">
        <v>56.75</v>
      </c>
      <c r="N93" s="64">
        <v>64.099999999999994</v>
      </c>
      <c r="O93" s="64">
        <v>0</v>
      </c>
      <c r="P93" s="64">
        <v>1.5</v>
      </c>
      <c r="Q93" s="64">
        <v>8.34</v>
      </c>
      <c r="R93" s="198"/>
      <c r="S93" s="198"/>
      <c r="T93" s="198"/>
      <c r="U93" s="198"/>
    </row>
    <row r="94" spans="1:26" s="12" customFormat="1" x14ac:dyDescent="0.25">
      <c r="A94" s="214" t="s">
        <v>1193</v>
      </c>
      <c r="B94" s="64">
        <v>41.51</v>
      </c>
      <c r="C94" s="64">
        <v>66.67</v>
      </c>
      <c r="D94" s="64">
        <v>66.739999999999995</v>
      </c>
      <c r="E94" s="64">
        <v>8.91</v>
      </c>
      <c r="F94" s="64">
        <v>2.13</v>
      </c>
      <c r="G94" s="64">
        <v>150.55000000000001</v>
      </c>
      <c r="H94" s="64">
        <v>46.09</v>
      </c>
      <c r="I94" s="210" t="s">
        <v>43</v>
      </c>
      <c r="J94" s="64">
        <v>1.54</v>
      </c>
      <c r="K94" s="64">
        <v>286.68</v>
      </c>
      <c r="L94" s="64">
        <v>13.6</v>
      </c>
      <c r="M94" s="64">
        <v>59.69</v>
      </c>
      <c r="N94" s="64">
        <v>64.2</v>
      </c>
      <c r="O94" s="64">
        <v>0</v>
      </c>
      <c r="P94" s="64">
        <v>1.51</v>
      </c>
      <c r="Q94" s="64">
        <v>8.3699999999999992</v>
      </c>
      <c r="R94" s="198"/>
      <c r="S94" s="198"/>
      <c r="T94" s="198"/>
      <c r="U94" s="198"/>
    </row>
    <row r="95" spans="1:26" s="12" customFormat="1" x14ac:dyDescent="0.25">
      <c r="A95" s="214" t="s">
        <v>1194</v>
      </c>
      <c r="B95" s="64">
        <v>46.17</v>
      </c>
      <c r="C95" s="64">
        <v>66.66</v>
      </c>
      <c r="D95" s="64">
        <v>70.47</v>
      </c>
      <c r="E95" s="64">
        <v>8.86</v>
      </c>
      <c r="F95" s="64">
        <v>2.13</v>
      </c>
      <c r="G95" s="64">
        <v>125.46</v>
      </c>
      <c r="H95" s="64">
        <v>45.74</v>
      </c>
      <c r="I95" s="210" t="s">
        <v>43</v>
      </c>
      <c r="J95" s="64">
        <v>1.3</v>
      </c>
      <c r="K95" s="64">
        <v>333.16</v>
      </c>
      <c r="L95" s="64">
        <v>13.28</v>
      </c>
      <c r="M95" s="64">
        <v>61.91</v>
      </c>
      <c r="N95" s="64">
        <v>64</v>
      </c>
      <c r="O95" s="64">
        <v>0</v>
      </c>
      <c r="P95" s="64">
        <v>1.59</v>
      </c>
      <c r="Q95" s="64">
        <v>8.56</v>
      </c>
      <c r="R95" s="198"/>
      <c r="S95" s="198"/>
      <c r="T95" s="198"/>
      <c r="U95" s="198"/>
    </row>
    <row r="96" spans="1:26" s="12" customFormat="1" x14ac:dyDescent="0.25">
      <c r="A96" s="214" t="s">
        <v>1195</v>
      </c>
      <c r="B96" s="64">
        <v>52.65</v>
      </c>
      <c r="C96" s="64">
        <v>65.55</v>
      </c>
      <c r="D96" s="64">
        <v>75.09</v>
      </c>
      <c r="E96" s="64">
        <v>9.23</v>
      </c>
      <c r="F96" s="64">
        <v>2.13</v>
      </c>
      <c r="G96" s="64">
        <v>114.71</v>
      </c>
      <c r="H96" s="64">
        <v>45.58</v>
      </c>
      <c r="I96" s="210" t="s">
        <v>43</v>
      </c>
      <c r="J96" s="64">
        <v>1.57</v>
      </c>
      <c r="K96" s="64">
        <v>282.04000000000002</v>
      </c>
      <c r="L96" s="64">
        <v>13.33</v>
      </c>
      <c r="M96" s="64">
        <v>57.31</v>
      </c>
      <c r="N96" s="64">
        <v>63.7</v>
      </c>
      <c r="O96" s="64">
        <v>0</v>
      </c>
      <c r="P96" s="64">
        <v>1.62</v>
      </c>
      <c r="Q96" s="64">
        <v>8.91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1196</v>
      </c>
      <c r="B97" s="64">
        <v>55.32</v>
      </c>
      <c r="C97" s="64">
        <v>65.44</v>
      </c>
      <c r="D97" s="64">
        <v>77.180000000000007</v>
      </c>
      <c r="E97" s="64">
        <v>8.49</v>
      </c>
      <c r="F97" s="64">
        <v>2.13</v>
      </c>
      <c r="G97" s="64">
        <v>114.71</v>
      </c>
      <c r="H97" s="64">
        <v>45.58</v>
      </c>
      <c r="I97" s="210" t="s">
        <v>43</v>
      </c>
      <c r="J97" s="64">
        <v>1.34</v>
      </c>
      <c r="K97" s="64">
        <v>298.7</v>
      </c>
      <c r="L97" s="64">
        <v>13.72</v>
      </c>
      <c r="M97" s="64">
        <v>50.86</v>
      </c>
      <c r="N97" s="64">
        <v>63.5</v>
      </c>
      <c r="O97" s="64">
        <v>0</v>
      </c>
      <c r="P97" s="64">
        <v>1.6</v>
      </c>
      <c r="Q97" s="64">
        <v>9.18</v>
      </c>
      <c r="R97" s="198"/>
      <c r="S97" s="198"/>
      <c r="T97" s="198"/>
      <c r="U97" s="198"/>
    </row>
    <row r="98" spans="1:33" s="12" customFormat="1" x14ac:dyDescent="0.25">
      <c r="A98" s="214" t="s">
        <v>1197</v>
      </c>
      <c r="B98" s="64">
        <v>55.48</v>
      </c>
      <c r="C98" s="64">
        <v>65.069999999999993</v>
      </c>
      <c r="D98" s="64">
        <v>77.11</v>
      </c>
      <c r="E98" s="64">
        <v>8.6</v>
      </c>
      <c r="F98" s="64">
        <v>2.13</v>
      </c>
      <c r="G98" s="64">
        <v>114.71</v>
      </c>
      <c r="H98" s="64">
        <v>45.58</v>
      </c>
      <c r="I98" s="210" t="s">
        <v>43</v>
      </c>
      <c r="J98" s="64">
        <v>1.61</v>
      </c>
      <c r="K98" s="64">
        <v>257.72000000000003</v>
      </c>
      <c r="L98" s="64">
        <v>13.94</v>
      </c>
      <c r="M98" s="64">
        <v>48.99</v>
      </c>
      <c r="N98" s="64">
        <v>63.8</v>
      </c>
      <c r="O98" s="64">
        <v>0</v>
      </c>
      <c r="P98" s="64">
        <v>1.59</v>
      </c>
      <c r="Q98" s="64">
        <v>9.32</v>
      </c>
      <c r="R98" s="198"/>
      <c r="S98" s="198"/>
      <c r="T98" s="198"/>
      <c r="U98" s="198"/>
    </row>
    <row r="99" spans="1:33" s="12" customFormat="1" x14ac:dyDescent="0.25">
      <c r="A99" s="214" t="s">
        <v>1198</v>
      </c>
      <c r="B99" s="64">
        <v>54.35</v>
      </c>
      <c r="C99" s="64">
        <v>64.540000000000006</v>
      </c>
      <c r="D99" s="64">
        <v>75.930000000000007</v>
      </c>
      <c r="E99" s="64">
        <v>8.83</v>
      </c>
      <c r="F99" s="64">
        <v>2.13</v>
      </c>
      <c r="G99" s="64">
        <v>118.11</v>
      </c>
      <c r="H99" s="64">
        <v>45.45</v>
      </c>
      <c r="I99" s="210" t="s">
        <v>43</v>
      </c>
      <c r="J99" s="64">
        <v>0.6</v>
      </c>
      <c r="K99" s="64">
        <v>140.53</v>
      </c>
      <c r="L99" s="64">
        <v>14.02</v>
      </c>
      <c r="M99" s="64">
        <v>47.3</v>
      </c>
      <c r="N99" s="64">
        <v>63.3</v>
      </c>
      <c r="O99" s="64">
        <v>0</v>
      </c>
      <c r="P99" s="64">
        <v>1.56</v>
      </c>
      <c r="Q99" s="64">
        <v>9.34</v>
      </c>
      <c r="R99" s="198"/>
      <c r="S99" s="198"/>
      <c r="T99" s="198"/>
      <c r="U99" s="198"/>
    </row>
    <row r="100" spans="1:33" s="12" customFormat="1" x14ac:dyDescent="0.25">
      <c r="A100" s="214" t="s">
        <v>1199</v>
      </c>
      <c r="B100" s="64">
        <v>52.55</v>
      </c>
      <c r="C100" s="64">
        <v>63.71</v>
      </c>
      <c r="D100" s="64">
        <v>74.05</v>
      </c>
      <c r="E100" s="64">
        <v>8.49</v>
      </c>
      <c r="F100" s="64">
        <v>2.13</v>
      </c>
      <c r="G100" s="64">
        <v>119.57</v>
      </c>
      <c r="H100" s="64">
        <v>45.39</v>
      </c>
      <c r="I100" s="210" t="s">
        <v>43</v>
      </c>
      <c r="J100" s="64">
        <v>0.86</v>
      </c>
      <c r="K100" s="64">
        <v>48.43</v>
      </c>
      <c r="L100" s="64">
        <v>14.14</v>
      </c>
      <c r="M100" s="64">
        <v>45.23</v>
      </c>
      <c r="N100" s="64">
        <v>63.7</v>
      </c>
      <c r="O100" s="64">
        <v>0</v>
      </c>
      <c r="P100" s="64">
        <v>1.52</v>
      </c>
      <c r="Q100" s="64">
        <v>9.27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1200</v>
      </c>
      <c r="B101" s="64">
        <v>50.28</v>
      </c>
      <c r="C101" s="64">
        <v>63.55</v>
      </c>
      <c r="D101" s="64">
        <v>72.150000000000006</v>
      </c>
      <c r="E101" s="64">
        <v>8.4700000000000006</v>
      </c>
      <c r="F101" s="64">
        <v>2.13</v>
      </c>
      <c r="G101" s="64">
        <v>119.57</v>
      </c>
      <c r="H101" s="64">
        <v>45.39</v>
      </c>
      <c r="I101" s="210" t="s">
        <v>43</v>
      </c>
      <c r="J101" s="64">
        <v>1</v>
      </c>
      <c r="K101" s="64">
        <v>338.15</v>
      </c>
      <c r="L101" s="64">
        <v>13.91</v>
      </c>
      <c r="M101" s="64">
        <v>46.72</v>
      </c>
      <c r="N101" s="64">
        <v>63.8</v>
      </c>
      <c r="O101" s="64">
        <v>0</v>
      </c>
      <c r="P101" s="64">
        <v>1.49</v>
      </c>
      <c r="Q101" s="64">
        <v>9.16</v>
      </c>
      <c r="R101" s="198"/>
      <c r="S101" s="198"/>
      <c r="T101" s="198"/>
      <c r="U101" s="198"/>
    </row>
    <row r="102" spans="1:33" s="12" customFormat="1" x14ac:dyDescent="0.25">
      <c r="A102" s="214" t="s">
        <v>1201</v>
      </c>
      <c r="B102" s="64">
        <v>48.04</v>
      </c>
      <c r="C102" s="64">
        <v>62.72</v>
      </c>
      <c r="D102" s="64">
        <v>69.92</v>
      </c>
      <c r="E102" s="64">
        <v>8.2200000000000006</v>
      </c>
      <c r="F102" s="64">
        <v>2.13</v>
      </c>
      <c r="G102" s="64">
        <v>119.57</v>
      </c>
      <c r="H102" s="64">
        <v>45.39</v>
      </c>
      <c r="I102" s="210" t="s">
        <v>43</v>
      </c>
      <c r="J102" s="64">
        <v>0.36</v>
      </c>
      <c r="K102" s="64">
        <v>10.08</v>
      </c>
      <c r="L102" s="64">
        <v>13.77</v>
      </c>
      <c r="M102" s="64">
        <v>46.92</v>
      </c>
      <c r="N102" s="64">
        <v>63.9</v>
      </c>
      <c r="O102" s="64">
        <v>0</v>
      </c>
      <c r="P102" s="64">
        <v>1.44</v>
      </c>
      <c r="Q102" s="64">
        <v>9.01</v>
      </c>
      <c r="R102" s="198"/>
      <c r="S102" s="198"/>
      <c r="T102" s="198"/>
      <c r="U102" s="198"/>
    </row>
    <row r="103" spans="1:33" s="12" customFormat="1" x14ac:dyDescent="0.25">
      <c r="A103" s="214" t="s">
        <v>1202</v>
      </c>
      <c r="B103" s="64">
        <v>45.8</v>
      </c>
      <c r="C103" s="64">
        <v>62.36</v>
      </c>
      <c r="D103" s="64">
        <v>67.930000000000007</v>
      </c>
      <c r="E103" s="64">
        <v>9.08</v>
      </c>
      <c r="F103" s="64">
        <v>2.13</v>
      </c>
      <c r="G103" s="64">
        <v>97</v>
      </c>
      <c r="H103" s="64">
        <v>44.37</v>
      </c>
      <c r="I103" s="210" t="s">
        <v>43</v>
      </c>
      <c r="J103" s="64">
        <v>0.52</v>
      </c>
      <c r="K103" s="64">
        <v>298.01</v>
      </c>
      <c r="L103" s="64">
        <v>13.78</v>
      </c>
      <c r="M103" s="64">
        <v>46.92</v>
      </c>
      <c r="N103" s="64">
        <v>63.9</v>
      </c>
      <c r="O103" s="64">
        <v>0</v>
      </c>
      <c r="P103" s="64">
        <v>1.5</v>
      </c>
      <c r="Q103" s="64">
        <v>8.8699999999999992</v>
      </c>
      <c r="R103" s="198"/>
      <c r="S103" s="198"/>
      <c r="T103" s="198"/>
      <c r="U103" s="198"/>
    </row>
    <row r="104" spans="1:33" s="12" customFormat="1" x14ac:dyDescent="0.25">
      <c r="A104" s="214" t="s">
        <v>1203</v>
      </c>
      <c r="B104" s="64">
        <v>43.18</v>
      </c>
      <c r="C104" s="64">
        <v>61.62</v>
      </c>
      <c r="D104" s="64">
        <v>65.45</v>
      </c>
      <c r="E104" s="64">
        <v>8.1300000000000008</v>
      </c>
      <c r="F104" s="64">
        <v>2.13</v>
      </c>
      <c r="G104" s="64">
        <v>87.34</v>
      </c>
      <c r="H104" s="64">
        <v>43.93</v>
      </c>
      <c r="I104" s="210" t="s">
        <v>43</v>
      </c>
      <c r="J104" s="64">
        <v>1.32</v>
      </c>
      <c r="K104" s="64">
        <v>278.74</v>
      </c>
      <c r="L104" s="64">
        <v>13.44</v>
      </c>
      <c r="M104" s="64">
        <v>48.72</v>
      </c>
      <c r="N104" s="64">
        <v>64.5</v>
      </c>
      <c r="O104" s="64">
        <v>0</v>
      </c>
      <c r="P104" s="64">
        <v>1.46</v>
      </c>
      <c r="Q104" s="64">
        <v>8.69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3.88</v>
      </c>
      <c r="C106" s="67">
        <f>MIN(C9:C104)</f>
        <v>45.2</v>
      </c>
      <c r="D106" s="67">
        <f t="shared" ref="D106:Q106" si="0">MIN(D9:D104)</f>
        <v>29.8</v>
      </c>
      <c r="E106" s="67">
        <f t="shared" si="0"/>
        <v>6.18</v>
      </c>
      <c r="F106" s="67">
        <f t="shared" si="0"/>
        <v>2.13</v>
      </c>
      <c r="G106" s="67">
        <f t="shared" si="0"/>
        <v>60.25</v>
      </c>
      <c r="H106" s="67">
        <f t="shared" si="0"/>
        <v>26.81</v>
      </c>
      <c r="I106" s="67">
        <f t="shared" si="0"/>
        <v>0</v>
      </c>
      <c r="J106" s="67">
        <f t="shared" si="0"/>
        <v>0.03</v>
      </c>
      <c r="K106" s="67">
        <f t="shared" si="0"/>
        <v>3.17</v>
      </c>
      <c r="L106" s="67">
        <f t="shared" si="0"/>
        <v>8.02</v>
      </c>
      <c r="M106" s="67">
        <f t="shared" si="0"/>
        <v>21.46</v>
      </c>
      <c r="N106" s="67">
        <f t="shared" si="0"/>
        <v>62.6</v>
      </c>
      <c r="O106" s="67">
        <f t="shared" si="0"/>
        <v>0</v>
      </c>
      <c r="P106" s="67">
        <f t="shared" si="0"/>
        <v>0.72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117.97</v>
      </c>
      <c r="C107" s="66">
        <f t="shared" ref="C107:Q107" si="1">MAX(C9:C104)</f>
        <v>66.67</v>
      </c>
      <c r="D107" s="66">
        <f t="shared" si="1"/>
        <v>121.82</v>
      </c>
      <c r="E107" s="66">
        <f t="shared" si="1"/>
        <v>10.210000000000001</v>
      </c>
      <c r="F107" s="66">
        <f t="shared" si="1"/>
        <v>2.13</v>
      </c>
      <c r="G107" s="66">
        <f t="shared" si="1"/>
        <v>182.58</v>
      </c>
      <c r="H107" s="66">
        <f t="shared" si="1"/>
        <v>49.73</v>
      </c>
      <c r="I107" s="66">
        <f t="shared" si="1"/>
        <v>0</v>
      </c>
      <c r="J107" s="66">
        <f t="shared" si="1"/>
        <v>2.27</v>
      </c>
      <c r="K107" s="66">
        <f t="shared" si="1"/>
        <v>356.07</v>
      </c>
      <c r="L107" s="66">
        <f t="shared" si="1"/>
        <v>25.79</v>
      </c>
      <c r="M107" s="66">
        <f t="shared" si="1"/>
        <v>86.51</v>
      </c>
      <c r="N107" s="66">
        <f t="shared" si="1"/>
        <v>707.9</v>
      </c>
      <c r="O107" s="66">
        <f t="shared" si="1"/>
        <v>0</v>
      </c>
      <c r="P107" s="66">
        <f t="shared" si="1"/>
        <v>1.87</v>
      </c>
      <c r="Q107" s="66">
        <f t="shared" si="1"/>
        <v>9.84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47.594791666666652</v>
      </c>
      <c r="C108" s="67">
        <f t="shared" ref="C108:Q108" si="2">AVERAGE(C9:C104)</f>
        <v>55.336874999999999</v>
      </c>
      <c r="D108" s="67">
        <f t="shared" si="2"/>
        <v>65.699374999999961</v>
      </c>
      <c r="E108" s="67">
        <f t="shared" si="2"/>
        <v>7.9701041666666681</v>
      </c>
      <c r="F108" s="67">
        <f t="shared" si="2"/>
        <v>2.1299999999999972</v>
      </c>
      <c r="G108" s="67">
        <f t="shared" si="2"/>
        <v>109.28083333333332</v>
      </c>
      <c r="H108" s="67">
        <f t="shared" si="2"/>
        <v>39.487291666666628</v>
      </c>
      <c r="I108" s="67" t="e">
        <f t="shared" si="2"/>
        <v>#DIV/0!</v>
      </c>
      <c r="J108" s="67">
        <f t="shared" si="2"/>
        <v>1.1515624999999996</v>
      </c>
      <c r="K108" s="67">
        <f t="shared" si="2"/>
        <v>205.22833333333338</v>
      </c>
      <c r="L108" s="67">
        <f t="shared" si="2"/>
        <v>15.452499999999999</v>
      </c>
      <c r="M108" s="67">
        <f t="shared" si="2"/>
        <v>50.691979166666677</v>
      </c>
      <c r="N108" s="67">
        <f t="shared" si="2"/>
        <v>225.71562499999996</v>
      </c>
      <c r="O108" s="67">
        <f t="shared" si="2"/>
        <v>0</v>
      </c>
      <c r="P108" s="67">
        <f t="shared" si="2"/>
        <v>1.2144791666666668</v>
      </c>
      <c r="Q108" s="67">
        <f t="shared" si="2"/>
        <v>8.859583333333342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32.814267595832156</v>
      </c>
      <c r="C109" s="67">
        <f t="shared" ref="C109:Q109" si="3">STDEV(C9:C104)</f>
        <v>6.9418878537242437</v>
      </c>
      <c r="D109" s="67">
        <f t="shared" si="3"/>
        <v>24.68559344670069</v>
      </c>
      <c r="E109" s="67">
        <f t="shared" si="3"/>
        <v>1.0860439991006174</v>
      </c>
      <c r="F109" s="67">
        <f t="shared" si="3"/>
        <v>2.678522416932523E-15</v>
      </c>
      <c r="G109" s="67">
        <f t="shared" si="3"/>
        <v>35.309460925893376</v>
      </c>
      <c r="H109" s="67">
        <f t="shared" si="3"/>
        <v>7.5056098990118452</v>
      </c>
      <c r="I109" s="67" t="e">
        <f t="shared" si="3"/>
        <v>#DIV/0!</v>
      </c>
      <c r="J109" s="67">
        <f t="shared" si="3"/>
        <v>0.47902165235097033</v>
      </c>
      <c r="K109" s="67">
        <f t="shared" si="3"/>
        <v>119.61058842115989</v>
      </c>
      <c r="L109" s="67">
        <f t="shared" si="3"/>
        <v>5.3622518835987165</v>
      </c>
      <c r="M109" s="67">
        <f t="shared" si="3"/>
        <v>20.568042489044455</v>
      </c>
      <c r="N109" s="67">
        <f t="shared" si="3"/>
        <v>229.82483688241004</v>
      </c>
      <c r="O109" s="67">
        <f t="shared" si="3"/>
        <v>0</v>
      </c>
      <c r="P109" s="67">
        <f t="shared" si="3"/>
        <v>0.33901675099637818</v>
      </c>
      <c r="Q109" s="67">
        <f t="shared" si="3"/>
        <v>0.65007840282889073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98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1204</v>
      </c>
      <c r="B9" s="64">
        <v>40.54</v>
      </c>
      <c r="C9" s="64">
        <v>61.43</v>
      </c>
      <c r="D9" s="64">
        <v>63.23</v>
      </c>
      <c r="E9" s="64">
        <v>7.85</v>
      </c>
      <c r="F9" s="64">
        <v>2.13</v>
      </c>
      <c r="G9" s="64">
        <v>87.34</v>
      </c>
      <c r="H9" s="64">
        <v>43.93</v>
      </c>
      <c r="I9" s="210" t="s">
        <v>43</v>
      </c>
      <c r="J9" s="64">
        <v>0.92</v>
      </c>
      <c r="K9" s="64">
        <v>284.52</v>
      </c>
      <c r="L9" s="64">
        <v>12.75</v>
      </c>
      <c r="M9" s="64">
        <v>52.8</v>
      </c>
      <c r="N9" s="64">
        <v>64.8</v>
      </c>
      <c r="O9" s="64">
        <v>0</v>
      </c>
      <c r="P9" s="64">
        <v>1.42</v>
      </c>
      <c r="Q9" s="64">
        <v>8.4600000000000009</v>
      </c>
      <c r="R9" s="198"/>
      <c r="S9" s="198"/>
      <c r="T9" s="198"/>
      <c r="U9" s="198"/>
    </row>
    <row r="10" spans="1:21" s="12" customFormat="1" x14ac:dyDescent="0.25">
      <c r="A10" s="214" t="s">
        <v>1205</v>
      </c>
      <c r="B10" s="64">
        <v>37.909999999999997</v>
      </c>
      <c r="C10" s="64">
        <v>60.78</v>
      </c>
      <c r="D10" s="64">
        <v>60.77</v>
      </c>
      <c r="E10" s="64">
        <v>7.51</v>
      </c>
      <c r="F10" s="64">
        <v>2.13</v>
      </c>
      <c r="G10" s="64">
        <v>87.34</v>
      </c>
      <c r="H10" s="64">
        <v>43.93</v>
      </c>
      <c r="I10" s="210" t="s">
        <v>43</v>
      </c>
      <c r="J10" s="64">
        <v>1.47</v>
      </c>
      <c r="K10" s="64">
        <v>350.84</v>
      </c>
      <c r="L10" s="64">
        <v>12.02</v>
      </c>
      <c r="M10" s="64">
        <v>58.55</v>
      </c>
      <c r="N10" s="64">
        <v>64.900000000000006</v>
      </c>
      <c r="O10" s="64">
        <v>0</v>
      </c>
      <c r="P10" s="64">
        <v>1.39</v>
      </c>
      <c r="Q10" s="64">
        <v>8.26</v>
      </c>
      <c r="R10" s="198"/>
      <c r="S10" s="198"/>
      <c r="T10" s="198"/>
      <c r="U10" s="198"/>
    </row>
    <row r="11" spans="1:21" s="12" customFormat="1" x14ac:dyDescent="0.25">
      <c r="A11" s="214" t="s">
        <v>1206</v>
      </c>
      <c r="B11" s="64">
        <v>35.83</v>
      </c>
      <c r="C11" s="64">
        <v>60.33</v>
      </c>
      <c r="D11" s="64">
        <v>58.87</v>
      </c>
      <c r="E11" s="64">
        <v>7.39</v>
      </c>
      <c r="F11" s="64">
        <v>2.13</v>
      </c>
      <c r="G11" s="64">
        <v>88.56</v>
      </c>
      <c r="H11" s="64">
        <v>42.64</v>
      </c>
      <c r="I11" s="210" t="s">
        <v>43</v>
      </c>
      <c r="J11" s="64">
        <v>1.58</v>
      </c>
      <c r="K11" s="64">
        <v>304.79000000000002</v>
      </c>
      <c r="L11" s="64">
        <v>11.53</v>
      </c>
      <c r="M11" s="64">
        <v>65.42</v>
      </c>
      <c r="N11" s="64">
        <v>64.7</v>
      </c>
      <c r="O11" s="64">
        <v>0</v>
      </c>
      <c r="P11" s="64">
        <v>1.36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1207</v>
      </c>
      <c r="B12" s="64">
        <v>35.450000000000003</v>
      </c>
      <c r="C12" s="64">
        <v>60.07</v>
      </c>
      <c r="D12" s="64">
        <v>58.44</v>
      </c>
      <c r="E12" s="64">
        <v>7.47</v>
      </c>
      <c r="F12" s="64">
        <v>2.13</v>
      </c>
      <c r="G12" s="64">
        <v>89.11</v>
      </c>
      <c r="H12" s="64">
        <v>42.08</v>
      </c>
      <c r="I12" s="210" t="s">
        <v>43</v>
      </c>
      <c r="J12" s="64">
        <v>1.53</v>
      </c>
      <c r="K12" s="64">
        <v>298.51</v>
      </c>
      <c r="L12" s="64">
        <v>11.1</v>
      </c>
      <c r="M12" s="64">
        <v>65.61</v>
      </c>
      <c r="N12" s="64">
        <v>64.7</v>
      </c>
      <c r="O12" s="64">
        <v>0</v>
      </c>
      <c r="P12" s="64">
        <v>1.35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1208</v>
      </c>
      <c r="B13" s="64">
        <v>34.83</v>
      </c>
      <c r="C13" s="64">
        <v>59.9</v>
      </c>
      <c r="D13" s="64">
        <v>57.85</v>
      </c>
      <c r="E13" s="64">
        <v>7.34</v>
      </c>
      <c r="F13" s="64">
        <v>2.13</v>
      </c>
      <c r="G13" s="64">
        <v>89.11</v>
      </c>
      <c r="H13" s="64">
        <v>42.08</v>
      </c>
      <c r="I13" s="210" t="s">
        <v>43</v>
      </c>
      <c r="J13" s="64">
        <v>1.55</v>
      </c>
      <c r="K13" s="64">
        <v>277.5</v>
      </c>
      <c r="L13" s="64">
        <v>10.78</v>
      </c>
      <c r="M13" s="64">
        <v>62.36</v>
      </c>
      <c r="N13" s="64">
        <v>64.599999999999994</v>
      </c>
      <c r="O13" s="64">
        <v>0</v>
      </c>
      <c r="P13" s="64">
        <v>1.3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1209</v>
      </c>
      <c r="B14" s="64">
        <v>33.020000000000003</v>
      </c>
      <c r="C14" s="64">
        <v>59.51</v>
      </c>
      <c r="D14" s="64">
        <v>56.19</v>
      </c>
      <c r="E14" s="64">
        <v>7.18</v>
      </c>
      <c r="F14" s="64">
        <v>2.13</v>
      </c>
      <c r="G14" s="64">
        <v>89.11</v>
      </c>
      <c r="H14" s="64">
        <v>42.08</v>
      </c>
      <c r="I14" s="210" t="s">
        <v>43</v>
      </c>
      <c r="J14" s="64">
        <v>1.03</v>
      </c>
      <c r="K14" s="64">
        <v>309.08</v>
      </c>
      <c r="L14" s="64">
        <v>10.76</v>
      </c>
      <c r="M14" s="64">
        <v>64.47</v>
      </c>
      <c r="N14" s="64">
        <v>64</v>
      </c>
      <c r="O14" s="64">
        <v>0</v>
      </c>
      <c r="P14" s="64">
        <v>1.29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1210</v>
      </c>
      <c r="B15" s="64">
        <v>31.05</v>
      </c>
      <c r="C15" s="64">
        <v>58.98</v>
      </c>
      <c r="D15" s="64">
        <v>54.34</v>
      </c>
      <c r="E15" s="64">
        <v>7.51</v>
      </c>
      <c r="F15" s="64">
        <v>2.13</v>
      </c>
      <c r="G15" s="64">
        <v>92.24</v>
      </c>
      <c r="H15" s="64">
        <v>41.6</v>
      </c>
      <c r="I15" s="210" t="s">
        <v>43</v>
      </c>
      <c r="J15" s="64">
        <v>0.79</v>
      </c>
      <c r="K15" s="64">
        <v>170.13</v>
      </c>
      <c r="L15" s="64">
        <v>11.35</v>
      </c>
      <c r="M15" s="64">
        <v>60.14</v>
      </c>
      <c r="N15" s="64">
        <v>63.5</v>
      </c>
      <c r="O15" s="64">
        <v>0</v>
      </c>
      <c r="P15" s="64">
        <v>1.26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1211</v>
      </c>
      <c r="B16" s="64">
        <v>28.77</v>
      </c>
      <c r="C16" s="64">
        <v>57.93</v>
      </c>
      <c r="D16" s="64">
        <v>51.96</v>
      </c>
      <c r="E16" s="64">
        <v>7.37</v>
      </c>
      <c r="F16" s="64">
        <v>2.13</v>
      </c>
      <c r="G16" s="64">
        <v>93.58</v>
      </c>
      <c r="H16" s="64">
        <v>41.39</v>
      </c>
      <c r="I16" s="210" t="s">
        <v>43</v>
      </c>
      <c r="J16" s="64">
        <v>1.32</v>
      </c>
      <c r="K16" s="64">
        <v>329.2</v>
      </c>
      <c r="L16" s="64">
        <v>11.67</v>
      </c>
      <c r="M16" s="64">
        <v>63.03</v>
      </c>
      <c r="N16" s="64">
        <v>64.2</v>
      </c>
      <c r="O16" s="64">
        <v>0</v>
      </c>
      <c r="P16" s="64">
        <v>1.21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1212</v>
      </c>
      <c r="B17" s="64">
        <v>26.81</v>
      </c>
      <c r="C17" s="64">
        <v>56.08</v>
      </c>
      <c r="D17" s="64">
        <v>49.43</v>
      </c>
      <c r="E17" s="64">
        <v>7.45</v>
      </c>
      <c r="F17" s="64">
        <v>2.13</v>
      </c>
      <c r="G17" s="64">
        <v>93.58</v>
      </c>
      <c r="H17" s="64">
        <v>41.39</v>
      </c>
      <c r="I17" s="210" t="s">
        <v>43</v>
      </c>
      <c r="J17" s="64">
        <v>1.59</v>
      </c>
      <c r="K17" s="64">
        <v>299.68</v>
      </c>
      <c r="L17" s="64">
        <v>11.1</v>
      </c>
      <c r="M17" s="64">
        <v>77.290000000000006</v>
      </c>
      <c r="N17" s="64">
        <v>64.8</v>
      </c>
      <c r="O17" s="64">
        <v>0</v>
      </c>
      <c r="P17" s="64">
        <v>1.21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1213</v>
      </c>
      <c r="B18" s="64">
        <v>25.36</v>
      </c>
      <c r="C18" s="64">
        <v>55.39</v>
      </c>
      <c r="D18" s="64">
        <v>47.89</v>
      </c>
      <c r="E18" s="64">
        <v>7.45</v>
      </c>
      <c r="F18" s="64">
        <v>2.13</v>
      </c>
      <c r="G18" s="64">
        <v>93.58</v>
      </c>
      <c r="H18" s="64">
        <v>41.39</v>
      </c>
      <c r="I18" s="210" t="s">
        <v>43</v>
      </c>
      <c r="J18" s="64">
        <v>0.49</v>
      </c>
      <c r="K18" s="64">
        <v>21.58</v>
      </c>
      <c r="L18" s="64">
        <v>10.86</v>
      </c>
      <c r="M18" s="64">
        <v>70.180000000000007</v>
      </c>
      <c r="N18" s="64">
        <v>64.3</v>
      </c>
      <c r="O18" s="64">
        <v>0</v>
      </c>
      <c r="P18" s="64">
        <v>1.1599999999999999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1214</v>
      </c>
      <c r="B19" s="64">
        <v>24.09</v>
      </c>
      <c r="C19" s="64">
        <v>54.28</v>
      </c>
      <c r="D19" s="64">
        <v>46.3</v>
      </c>
      <c r="E19" s="64">
        <v>7.23</v>
      </c>
      <c r="F19" s="64">
        <v>2.13</v>
      </c>
      <c r="G19" s="64">
        <v>93.78</v>
      </c>
      <c r="H19" s="64">
        <v>40.71</v>
      </c>
      <c r="I19" s="210" t="s">
        <v>43</v>
      </c>
      <c r="J19" s="64">
        <v>1.59</v>
      </c>
      <c r="K19" s="64">
        <v>269.94</v>
      </c>
      <c r="L19" s="64">
        <v>10.83</v>
      </c>
      <c r="M19" s="64">
        <v>69.34</v>
      </c>
      <c r="N19" s="64">
        <v>64.599999999999994</v>
      </c>
      <c r="O19" s="64">
        <v>0</v>
      </c>
      <c r="P19" s="64">
        <v>1.1499999999999999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1215</v>
      </c>
      <c r="B20" s="64">
        <v>22.93</v>
      </c>
      <c r="C20" s="64">
        <v>53.35</v>
      </c>
      <c r="D20" s="64">
        <v>44.89</v>
      </c>
      <c r="E20" s="64">
        <v>7.09</v>
      </c>
      <c r="F20" s="64">
        <v>2.13</v>
      </c>
      <c r="G20" s="64">
        <v>93.86</v>
      </c>
      <c r="H20" s="64">
        <v>40.409999999999997</v>
      </c>
      <c r="I20" s="210" t="s">
        <v>43</v>
      </c>
      <c r="J20" s="64">
        <v>1.23</v>
      </c>
      <c r="K20" s="64">
        <v>222.87</v>
      </c>
      <c r="L20" s="64">
        <v>10.58</v>
      </c>
      <c r="M20" s="64">
        <v>70.39</v>
      </c>
      <c r="N20" s="64">
        <v>64.400000000000006</v>
      </c>
      <c r="O20" s="64">
        <v>0</v>
      </c>
      <c r="P20" s="64">
        <v>1.1299999999999999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1216</v>
      </c>
      <c r="B21" s="64">
        <v>22.3</v>
      </c>
      <c r="C21" s="64">
        <v>52.75</v>
      </c>
      <c r="D21" s="64">
        <v>44.06</v>
      </c>
      <c r="E21" s="64">
        <v>7.57</v>
      </c>
      <c r="F21" s="64">
        <v>2.13</v>
      </c>
      <c r="G21" s="64">
        <v>93.86</v>
      </c>
      <c r="H21" s="64">
        <v>40.409999999999997</v>
      </c>
      <c r="I21" s="210" t="s">
        <v>43</v>
      </c>
      <c r="J21" s="64">
        <v>0.87</v>
      </c>
      <c r="K21" s="64">
        <v>193.05</v>
      </c>
      <c r="L21" s="64">
        <v>10.29</v>
      </c>
      <c r="M21" s="64">
        <v>81.510000000000005</v>
      </c>
      <c r="N21" s="64">
        <v>64.400000000000006</v>
      </c>
      <c r="O21" s="64">
        <v>0</v>
      </c>
      <c r="P21" s="64">
        <v>1.1200000000000001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1217</v>
      </c>
      <c r="B22" s="64">
        <v>22.5</v>
      </c>
      <c r="C22" s="64">
        <v>51.73</v>
      </c>
      <c r="D22" s="64">
        <v>43.69</v>
      </c>
      <c r="E22" s="64">
        <v>7.44</v>
      </c>
      <c r="F22" s="64">
        <v>2.13</v>
      </c>
      <c r="G22" s="64">
        <v>93.86</v>
      </c>
      <c r="H22" s="64">
        <v>40.409999999999997</v>
      </c>
      <c r="I22" s="210" t="s">
        <v>43</v>
      </c>
      <c r="J22" s="64">
        <v>0.06</v>
      </c>
      <c r="K22" s="64">
        <v>42.59</v>
      </c>
      <c r="L22" s="64">
        <v>9.94</v>
      </c>
      <c r="M22" s="64">
        <v>89.11</v>
      </c>
      <c r="N22" s="64">
        <v>64.5</v>
      </c>
      <c r="O22" s="64">
        <v>0</v>
      </c>
      <c r="P22" s="64">
        <v>1.1200000000000001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1218</v>
      </c>
      <c r="B23" s="64">
        <v>23.38</v>
      </c>
      <c r="C23" s="64">
        <v>50.33</v>
      </c>
      <c r="D23" s="64">
        <v>43.66</v>
      </c>
      <c r="E23" s="64">
        <v>7.75</v>
      </c>
      <c r="F23" s="64">
        <v>2.13</v>
      </c>
      <c r="G23" s="64">
        <v>98.74</v>
      </c>
      <c r="H23" s="64">
        <v>39.950000000000003</v>
      </c>
      <c r="I23" s="210" t="s">
        <v>43</v>
      </c>
      <c r="J23" s="64">
        <v>0.76</v>
      </c>
      <c r="K23" s="64">
        <v>240.49</v>
      </c>
      <c r="L23" s="64">
        <v>9.64</v>
      </c>
      <c r="M23" s="64">
        <v>92.5</v>
      </c>
      <c r="N23" s="64">
        <v>64.5</v>
      </c>
      <c r="O23" s="64">
        <v>0</v>
      </c>
      <c r="P23" s="64">
        <v>1.1399999999999999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1219</v>
      </c>
      <c r="B24" s="64">
        <v>24.86</v>
      </c>
      <c r="C24" s="64">
        <v>49.36</v>
      </c>
      <c r="D24" s="64">
        <v>44.35</v>
      </c>
      <c r="E24" s="64">
        <v>8.33</v>
      </c>
      <c r="F24" s="64">
        <v>2.13</v>
      </c>
      <c r="G24" s="64">
        <v>100.83</v>
      </c>
      <c r="H24" s="64">
        <v>39.75</v>
      </c>
      <c r="I24" s="210" t="s">
        <v>43</v>
      </c>
      <c r="J24" s="64">
        <v>0.12</v>
      </c>
      <c r="K24" s="64">
        <v>208.24</v>
      </c>
      <c r="L24" s="64">
        <v>9.42</v>
      </c>
      <c r="M24" s="64">
        <v>94.04</v>
      </c>
      <c r="N24" s="64">
        <v>64.400000000000006</v>
      </c>
      <c r="O24" s="64">
        <v>0</v>
      </c>
      <c r="P24" s="64">
        <v>1.1399999999999999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1220</v>
      </c>
      <c r="B25" s="64">
        <v>27.05</v>
      </c>
      <c r="C25" s="64">
        <v>47.91</v>
      </c>
      <c r="D25" s="64">
        <v>45.35</v>
      </c>
      <c r="E25" s="64">
        <v>8.2100000000000009</v>
      </c>
      <c r="F25" s="64">
        <v>2.13</v>
      </c>
      <c r="G25" s="64">
        <v>100.83</v>
      </c>
      <c r="H25" s="64">
        <v>39.75</v>
      </c>
      <c r="I25" s="210" t="s">
        <v>43</v>
      </c>
      <c r="J25" s="64">
        <v>0.82</v>
      </c>
      <c r="K25" s="64">
        <v>265</v>
      </c>
      <c r="L25" s="64">
        <v>9.2799999999999994</v>
      </c>
      <c r="M25" s="64">
        <v>95.19</v>
      </c>
      <c r="N25" s="64">
        <v>64.400000000000006</v>
      </c>
      <c r="O25" s="64">
        <v>0</v>
      </c>
      <c r="P25" s="64">
        <v>1.1499999999999999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1221</v>
      </c>
      <c r="B26" s="64">
        <v>30.44</v>
      </c>
      <c r="C26" s="64">
        <v>47.08</v>
      </c>
      <c r="D26" s="64">
        <v>47.63</v>
      </c>
      <c r="E26" s="64">
        <v>8.89</v>
      </c>
      <c r="F26" s="64">
        <v>2.13</v>
      </c>
      <c r="G26" s="64">
        <v>100.83</v>
      </c>
      <c r="H26" s="64">
        <v>39.75</v>
      </c>
      <c r="I26" s="210" t="s">
        <v>43</v>
      </c>
      <c r="J26" s="64">
        <v>0.5</v>
      </c>
      <c r="K26" s="64">
        <v>178.95</v>
      </c>
      <c r="L26" s="64">
        <v>9.14</v>
      </c>
      <c r="M26" s="64">
        <v>96.65</v>
      </c>
      <c r="N26" s="64">
        <v>64.400000000000006</v>
      </c>
      <c r="O26" s="64">
        <v>0</v>
      </c>
      <c r="P26" s="64">
        <v>1.17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1222</v>
      </c>
      <c r="B27" s="64">
        <v>34.53</v>
      </c>
      <c r="C27" s="64">
        <v>45.89</v>
      </c>
      <c r="D27" s="64">
        <v>50.29</v>
      </c>
      <c r="E27" s="64">
        <v>8.91</v>
      </c>
      <c r="F27" s="64">
        <v>2.13</v>
      </c>
      <c r="G27" s="64">
        <v>121.47</v>
      </c>
      <c r="H27" s="64">
        <v>44.01</v>
      </c>
      <c r="I27" s="210" t="s">
        <v>43</v>
      </c>
      <c r="J27" s="64">
        <v>1.56</v>
      </c>
      <c r="K27" s="64">
        <v>296.2</v>
      </c>
      <c r="L27" s="64">
        <v>9.07</v>
      </c>
      <c r="M27" s="64">
        <v>99.11</v>
      </c>
      <c r="N27" s="64">
        <v>64.7</v>
      </c>
      <c r="O27" s="64">
        <v>0</v>
      </c>
      <c r="P27" s="64">
        <v>1.19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1223</v>
      </c>
      <c r="B28" s="64">
        <v>38.72</v>
      </c>
      <c r="C28" s="64">
        <v>45.02</v>
      </c>
      <c r="D28" s="64">
        <v>53.2</v>
      </c>
      <c r="E28" s="64">
        <v>8.77</v>
      </c>
      <c r="F28" s="64">
        <v>2.13</v>
      </c>
      <c r="G28" s="64">
        <v>130.32</v>
      </c>
      <c r="H28" s="64">
        <v>45.83</v>
      </c>
      <c r="I28" s="210" t="s">
        <v>43</v>
      </c>
      <c r="J28" s="64">
        <v>1.63</v>
      </c>
      <c r="K28" s="64">
        <v>247.5</v>
      </c>
      <c r="L28" s="64">
        <v>9.1999999999999993</v>
      </c>
      <c r="M28" s="64">
        <v>97.58</v>
      </c>
      <c r="N28" s="64">
        <v>64.400000000000006</v>
      </c>
      <c r="O28" s="64">
        <v>0</v>
      </c>
      <c r="P28" s="64">
        <v>1.2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1224</v>
      </c>
      <c r="B29" s="64">
        <v>43.47</v>
      </c>
      <c r="C29" s="64">
        <v>44.47</v>
      </c>
      <c r="D29" s="64">
        <v>56.72</v>
      </c>
      <c r="E29" s="64">
        <v>9.2100000000000009</v>
      </c>
      <c r="F29" s="64">
        <v>2.13</v>
      </c>
      <c r="G29" s="64">
        <v>130.32</v>
      </c>
      <c r="H29" s="64">
        <v>45.83</v>
      </c>
      <c r="I29" s="210" t="s">
        <v>43</v>
      </c>
      <c r="J29" s="64">
        <v>1.17</v>
      </c>
      <c r="K29" s="64">
        <v>239.77</v>
      </c>
      <c r="L29" s="64">
        <v>9.14</v>
      </c>
      <c r="M29" s="64">
        <v>96.7</v>
      </c>
      <c r="N29" s="64">
        <v>62.5</v>
      </c>
      <c r="O29" s="64">
        <v>0</v>
      </c>
      <c r="P29" s="64">
        <v>1.21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1225</v>
      </c>
      <c r="B30" s="64">
        <v>50.95</v>
      </c>
      <c r="C30" s="64">
        <v>44.05</v>
      </c>
      <c r="D30" s="64">
        <v>62.5</v>
      </c>
      <c r="E30" s="64">
        <v>8.65</v>
      </c>
      <c r="F30" s="64">
        <v>2.13</v>
      </c>
      <c r="G30" s="64">
        <v>130.32</v>
      </c>
      <c r="H30" s="64">
        <v>45.83</v>
      </c>
      <c r="I30" s="210" t="s">
        <v>43</v>
      </c>
      <c r="J30" s="64">
        <v>1.42</v>
      </c>
      <c r="K30" s="64">
        <v>19.489999999999998</v>
      </c>
      <c r="L30" s="64">
        <v>8.86</v>
      </c>
      <c r="M30" s="64">
        <v>98.66</v>
      </c>
      <c r="N30" s="64">
        <v>62.3</v>
      </c>
      <c r="O30" s="64">
        <v>0</v>
      </c>
      <c r="P30" s="64">
        <v>1.22</v>
      </c>
      <c r="Q30" s="64">
        <v>8.33</v>
      </c>
      <c r="R30" s="198"/>
      <c r="S30" s="198"/>
      <c r="T30" s="198"/>
      <c r="U30" s="198"/>
    </row>
    <row r="31" spans="1:21" s="12" customFormat="1" x14ac:dyDescent="0.25">
      <c r="A31" s="214" t="s">
        <v>1226</v>
      </c>
      <c r="B31" s="64">
        <v>58.02</v>
      </c>
      <c r="C31" s="64">
        <v>43.77</v>
      </c>
      <c r="D31" s="64">
        <v>68.02</v>
      </c>
      <c r="E31" s="64">
        <v>9.02</v>
      </c>
      <c r="F31" s="64">
        <v>2.13</v>
      </c>
      <c r="G31" s="64">
        <v>140.06</v>
      </c>
      <c r="H31" s="64">
        <v>45.88</v>
      </c>
      <c r="I31" s="210" t="s">
        <v>43</v>
      </c>
      <c r="J31" s="64">
        <v>1.38</v>
      </c>
      <c r="K31" s="64">
        <v>154.72999999999999</v>
      </c>
      <c r="L31" s="64">
        <v>8.64</v>
      </c>
      <c r="M31" s="64">
        <v>100.47</v>
      </c>
      <c r="N31" s="64">
        <v>61.9</v>
      </c>
      <c r="O31" s="64">
        <v>0</v>
      </c>
      <c r="P31" s="64">
        <v>1.23</v>
      </c>
      <c r="Q31" s="64">
        <v>8.76</v>
      </c>
      <c r="R31" s="198"/>
      <c r="S31" s="198"/>
      <c r="T31" s="198"/>
      <c r="U31" s="198"/>
    </row>
    <row r="32" spans="1:21" s="12" customFormat="1" x14ac:dyDescent="0.25">
      <c r="A32" s="214" t="s">
        <v>1227</v>
      </c>
      <c r="B32" s="64">
        <v>63.62</v>
      </c>
      <c r="C32" s="64">
        <v>43.73</v>
      </c>
      <c r="D32" s="64">
        <v>72.489999999999995</v>
      </c>
      <c r="E32" s="64">
        <v>9.1</v>
      </c>
      <c r="F32" s="64">
        <v>2.13</v>
      </c>
      <c r="G32" s="64">
        <v>144.22999999999999</v>
      </c>
      <c r="H32" s="64">
        <v>45.9</v>
      </c>
      <c r="I32" s="210" t="s">
        <v>43</v>
      </c>
      <c r="J32" s="64">
        <v>0.88</v>
      </c>
      <c r="K32" s="64">
        <v>315.62</v>
      </c>
      <c r="L32" s="64">
        <v>8.61</v>
      </c>
      <c r="M32" s="64">
        <v>99.39</v>
      </c>
      <c r="N32" s="64">
        <v>62.3</v>
      </c>
      <c r="O32" s="64">
        <v>0</v>
      </c>
      <c r="P32" s="64">
        <v>1.24</v>
      </c>
      <c r="Q32" s="64">
        <v>9.16</v>
      </c>
      <c r="R32" s="198"/>
      <c r="S32" s="198"/>
      <c r="T32" s="198"/>
      <c r="U32" s="198"/>
    </row>
    <row r="33" spans="1:21" s="12" customFormat="1" x14ac:dyDescent="0.25">
      <c r="A33" s="214" t="s">
        <v>1228</v>
      </c>
      <c r="B33" s="64">
        <v>69.78</v>
      </c>
      <c r="C33" s="64">
        <v>42.94</v>
      </c>
      <c r="D33" s="64">
        <v>77.02</v>
      </c>
      <c r="E33" s="64">
        <v>8.8699999999999992</v>
      </c>
      <c r="F33" s="64">
        <v>2.13</v>
      </c>
      <c r="G33" s="64">
        <v>144.22999999999999</v>
      </c>
      <c r="H33" s="64">
        <v>45.9</v>
      </c>
      <c r="I33" s="210" t="s">
        <v>43</v>
      </c>
      <c r="J33" s="64">
        <v>1.67</v>
      </c>
      <c r="K33" s="64">
        <v>314.39999999999998</v>
      </c>
      <c r="L33" s="64">
        <v>8.5299999999999994</v>
      </c>
      <c r="M33" s="64">
        <v>98.4</v>
      </c>
      <c r="N33" s="64">
        <v>62.2</v>
      </c>
      <c r="O33" s="64">
        <v>0</v>
      </c>
      <c r="P33" s="64">
        <v>1.25</v>
      </c>
      <c r="Q33" s="64">
        <v>9.4600000000000009</v>
      </c>
      <c r="R33" s="198"/>
      <c r="S33" s="198"/>
      <c r="T33" s="198"/>
      <c r="U33" s="198"/>
    </row>
    <row r="34" spans="1:21" s="12" customFormat="1" x14ac:dyDescent="0.25">
      <c r="A34" s="214" t="s">
        <v>1229</v>
      </c>
      <c r="B34" s="64">
        <v>76.03</v>
      </c>
      <c r="C34" s="64">
        <v>43.12</v>
      </c>
      <c r="D34" s="64">
        <v>82.13</v>
      </c>
      <c r="E34" s="64">
        <v>9.0500000000000007</v>
      </c>
      <c r="F34" s="64">
        <v>2.13</v>
      </c>
      <c r="G34" s="64">
        <v>144.22999999999999</v>
      </c>
      <c r="H34" s="64">
        <v>45.9</v>
      </c>
      <c r="I34" s="210" t="s">
        <v>43</v>
      </c>
      <c r="J34" s="64">
        <v>1.32</v>
      </c>
      <c r="K34" s="64">
        <v>303.76</v>
      </c>
      <c r="L34" s="64">
        <v>8.41</v>
      </c>
      <c r="M34" s="64">
        <v>98.87</v>
      </c>
      <c r="N34" s="64">
        <v>62.7</v>
      </c>
      <c r="O34" s="64">
        <v>0</v>
      </c>
      <c r="P34" s="64">
        <v>1.27</v>
      </c>
      <c r="Q34" s="64">
        <v>9.56</v>
      </c>
      <c r="R34" s="198"/>
      <c r="S34" s="198"/>
      <c r="T34" s="198"/>
      <c r="U34" s="198"/>
    </row>
    <row r="35" spans="1:21" s="12" customFormat="1" x14ac:dyDescent="0.25">
      <c r="A35" s="214" t="s">
        <v>1230</v>
      </c>
      <c r="B35" s="64">
        <v>81.77</v>
      </c>
      <c r="C35" s="64">
        <v>43.88</v>
      </c>
      <c r="D35" s="64">
        <v>87.12</v>
      </c>
      <c r="E35" s="64">
        <v>9.51</v>
      </c>
      <c r="F35" s="64">
        <v>2.13</v>
      </c>
      <c r="G35" s="64">
        <v>147.29</v>
      </c>
      <c r="H35" s="64">
        <v>48.25</v>
      </c>
      <c r="I35" s="210" t="s">
        <v>43</v>
      </c>
      <c r="J35" s="64">
        <v>1.49</v>
      </c>
      <c r="K35" s="64">
        <v>2.44</v>
      </c>
      <c r="L35" s="64">
        <v>8.3699999999999992</v>
      </c>
      <c r="M35" s="64">
        <v>98.55</v>
      </c>
      <c r="N35" s="64">
        <v>64.5</v>
      </c>
      <c r="O35" s="64">
        <v>0</v>
      </c>
      <c r="P35" s="64">
        <v>1.29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1231</v>
      </c>
      <c r="B36" s="64">
        <v>88.54</v>
      </c>
      <c r="C36" s="64">
        <v>44.57</v>
      </c>
      <c r="D36" s="64">
        <v>92.91</v>
      </c>
      <c r="E36" s="64">
        <v>9.8000000000000007</v>
      </c>
      <c r="F36" s="64">
        <v>2.13</v>
      </c>
      <c r="G36" s="64">
        <v>148.6</v>
      </c>
      <c r="H36" s="64">
        <v>49.32</v>
      </c>
      <c r="I36" s="210" t="s">
        <v>43</v>
      </c>
      <c r="J36" s="64">
        <v>1.21</v>
      </c>
      <c r="K36" s="64">
        <v>330.55</v>
      </c>
      <c r="L36" s="64">
        <v>8.59</v>
      </c>
      <c r="M36" s="64">
        <v>95.82</v>
      </c>
      <c r="N36" s="64">
        <v>71.599999999999994</v>
      </c>
      <c r="O36" s="64">
        <v>0</v>
      </c>
      <c r="P36" s="64">
        <v>1.3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4" t="s">
        <v>1232</v>
      </c>
      <c r="B37" s="64">
        <v>94.04</v>
      </c>
      <c r="C37" s="64">
        <v>45.2</v>
      </c>
      <c r="D37" s="64">
        <v>97.65</v>
      </c>
      <c r="E37" s="64">
        <v>10.36</v>
      </c>
      <c r="F37" s="64">
        <v>2.13</v>
      </c>
      <c r="G37" s="64">
        <v>148.6</v>
      </c>
      <c r="H37" s="64">
        <v>49.32</v>
      </c>
      <c r="I37" s="210" t="s">
        <v>43</v>
      </c>
      <c r="J37" s="64">
        <v>1.57</v>
      </c>
      <c r="K37" s="64">
        <v>1.39</v>
      </c>
      <c r="L37" s="64">
        <v>8.84</v>
      </c>
      <c r="M37" s="64">
        <v>95.83</v>
      </c>
      <c r="N37" s="64">
        <v>81.599999999999994</v>
      </c>
      <c r="O37" s="64">
        <v>0</v>
      </c>
      <c r="P37" s="64">
        <v>1.21</v>
      </c>
      <c r="Q37" s="64">
        <v>9.74</v>
      </c>
      <c r="R37" s="198"/>
      <c r="S37" s="198"/>
      <c r="T37" s="198"/>
      <c r="U37" s="198"/>
    </row>
    <row r="38" spans="1:21" s="12" customFormat="1" x14ac:dyDescent="0.25">
      <c r="A38" s="214" t="s">
        <v>1233</v>
      </c>
      <c r="B38" s="64">
        <v>98.01</v>
      </c>
      <c r="C38" s="64">
        <v>45.83</v>
      </c>
      <c r="D38" s="64">
        <v>101.17</v>
      </c>
      <c r="E38" s="64">
        <v>10.62</v>
      </c>
      <c r="F38" s="64">
        <v>2.13</v>
      </c>
      <c r="G38" s="64">
        <v>148.6</v>
      </c>
      <c r="H38" s="64">
        <v>49.32</v>
      </c>
      <c r="I38" s="210" t="s">
        <v>43</v>
      </c>
      <c r="J38" s="64">
        <v>1.1200000000000001</v>
      </c>
      <c r="K38" s="64">
        <v>334.6</v>
      </c>
      <c r="L38" s="64">
        <v>9.57</v>
      </c>
      <c r="M38" s="64">
        <v>89.39</v>
      </c>
      <c r="N38" s="64">
        <v>93.2</v>
      </c>
      <c r="O38" s="64">
        <v>0</v>
      </c>
      <c r="P38" s="64">
        <v>1.29</v>
      </c>
      <c r="Q38" s="64">
        <v>9.76</v>
      </c>
      <c r="R38" s="198"/>
      <c r="S38" s="198"/>
      <c r="T38" s="198"/>
      <c r="U38" s="198"/>
    </row>
    <row r="39" spans="1:21" s="12" customFormat="1" x14ac:dyDescent="0.25">
      <c r="A39" s="214" t="s">
        <v>1234</v>
      </c>
      <c r="B39" s="64">
        <v>100.96</v>
      </c>
      <c r="C39" s="64">
        <v>46.22</v>
      </c>
      <c r="D39" s="64">
        <v>103.74</v>
      </c>
      <c r="E39" s="64">
        <v>10.51</v>
      </c>
      <c r="F39" s="64">
        <v>2.13</v>
      </c>
      <c r="G39" s="64">
        <v>153.77000000000001</v>
      </c>
      <c r="H39" s="64">
        <v>52.35</v>
      </c>
      <c r="I39" s="210" t="s">
        <v>43</v>
      </c>
      <c r="J39" s="64">
        <v>0.46</v>
      </c>
      <c r="K39" s="64">
        <v>22.92</v>
      </c>
      <c r="L39" s="64">
        <v>10.59</v>
      </c>
      <c r="M39" s="64">
        <v>82.07</v>
      </c>
      <c r="N39" s="64">
        <v>109.8</v>
      </c>
      <c r="O39" s="64">
        <v>0</v>
      </c>
      <c r="P39" s="64">
        <v>1.29</v>
      </c>
      <c r="Q39" s="64">
        <v>9.76</v>
      </c>
      <c r="R39" s="198"/>
      <c r="S39" s="198"/>
      <c r="T39" s="198"/>
      <c r="U39" s="198"/>
    </row>
    <row r="40" spans="1:21" s="12" customFormat="1" x14ac:dyDescent="0.25">
      <c r="A40" s="214" t="s">
        <v>1235</v>
      </c>
      <c r="B40" s="64">
        <v>101.42</v>
      </c>
      <c r="C40" s="64">
        <v>46.44</v>
      </c>
      <c r="D40" s="64">
        <v>104.22</v>
      </c>
      <c r="E40" s="64">
        <v>8.14</v>
      </c>
      <c r="F40" s="64">
        <v>2.13</v>
      </c>
      <c r="G40" s="64">
        <v>155.99</v>
      </c>
      <c r="H40" s="64">
        <v>53.64</v>
      </c>
      <c r="I40" s="210" t="s">
        <v>43</v>
      </c>
      <c r="J40" s="64">
        <v>1.88</v>
      </c>
      <c r="K40" s="64">
        <v>347.68</v>
      </c>
      <c r="L40" s="64">
        <v>11.8</v>
      </c>
      <c r="M40" s="64">
        <v>76.41</v>
      </c>
      <c r="N40" s="64">
        <v>187.4</v>
      </c>
      <c r="O40" s="64">
        <v>0</v>
      </c>
      <c r="P40" s="64">
        <v>1.3</v>
      </c>
      <c r="Q40" s="64">
        <v>9.7899999999999991</v>
      </c>
      <c r="R40" s="198"/>
      <c r="S40" s="198"/>
      <c r="T40" s="198"/>
      <c r="U40" s="198"/>
    </row>
    <row r="41" spans="1:21" s="12" customFormat="1" x14ac:dyDescent="0.25">
      <c r="A41" s="214" t="s">
        <v>1236</v>
      </c>
      <c r="B41" s="64">
        <v>100.42</v>
      </c>
      <c r="C41" s="64">
        <v>45.97</v>
      </c>
      <c r="D41" s="64">
        <v>103.17</v>
      </c>
      <c r="E41" s="64">
        <v>8.81</v>
      </c>
      <c r="F41" s="64">
        <v>2.13</v>
      </c>
      <c r="G41" s="64">
        <v>155.99</v>
      </c>
      <c r="H41" s="64">
        <v>53.64</v>
      </c>
      <c r="I41" s="210" t="s">
        <v>43</v>
      </c>
      <c r="J41" s="64">
        <v>0.77</v>
      </c>
      <c r="K41" s="64">
        <v>41.63</v>
      </c>
      <c r="L41" s="64">
        <v>13.56</v>
      </c>
      <c r="M41" s="64">
        <v>66.8</v>
      </c>
      <c r="N41" s="64">
        <v>306.89999999999998</v>
      </c>
      <c r="O41" s="64">
        <v>0</v>
      </c>
      <c r="P41" s="64">
        <v>1.3</v>
      </c>
      <c r="Q41" s="64">
        <v>9.7799999999999994</v>
      </c>
      <c r="R41" s="198"/>
      <c r="S41" s="198"/>
      <c r="T41" s="198"/>
      <c r="U41" s="198"/>
    </row>
    <row r="42" spans="1:21" s="12" customFormat="1" x14ac:dyDescent="0.25">
      <c r="A42" s="214" t="s">
        <v>1237</v>
      </c>
      <c r="B42" s="64">
        <v>97.89</v>
      </c>
      <c r="C42" s="64">
        <v>47.46</v>
      </c>
      <c r="D42" s="64">
        <v>101.92</v>
      </c>
      <c r="E42" s="64">
        <v>8.31</v>
      </c>
      <c r="F42" s="64">
        <v>2.13</v>
      </c>
      <c r="G42" s="64">
        <v>155.99</v>
      </c>
      <c r="H42" s="64">
        <v>53.64</v>
      </c>
      <c r="I42" s="210" t="s">
        <v>43</v>
      </c>
      <c r="J42" s="64">
        <v>1.96</v>
      </c>
      <c r="K42" s="64">
        <v>111.51</v>
      </c>
      <c r="L42" s="64">
        <v>13.97</v>
      </c>
      <c r="M42" s="64">
        <v>64.42</v>
      </c>
      <c r="N42" s="64">
        <v>346.4</v>
      </c>
      <c r="O42" s="64">
        <v>0</v>
      </c>
      <c r="P42" s="64">
        <v>1.3</v>
      </c>
      <c r="Q42" s="64">
        <v>9.77</v>
      </c>
      <c r="R42" s="198"/>
      <c r="S42" s="198"/>
      <c r="T42" s="198"/>
      <c r="U42" s="198"/>
    </row>
    <row r="43" spans="1:21" s="12" customFormat="1" x14ac:dyDescent="0.25">
      <c r="A43" s="214" t="s">
        <v>1238</v>
      </c>
      <c r="B43" s="64">
        <v>93.7</v>
      </c>
      <c r="C43" s="64">
        <v>49.25</v>
      </c>
      <c r="D43" s="64">
        <v>99.5</v>
      </c>
      <c r="E43" s="64">
        <v>8.5299999999999994</v>
      </c>
      <c r="F43" s="64">
        <v>2.13</v>
      </c>
      <c r="G43" s="64">
        <v>135.08000000000001</v>
      </c>
      <c r="H43" s="64">
        <v>52.4</v>
      </c>
      <c r="I43" s="210" t="s">
        <v>43</v>
      </c>
      <c r="J43" s="64">
        <v>2.4300000000000002</v>
      </c>
      <c r="K43" s="64">
        <v>116.19</v>
      </c>
      <c r="L43" s="64">
        <v>14.52</v>
      </c>
      <c r="M43" s="64">
        <v>64.180000000000007</v>
      </c>
      <c r="N43" s="64">
        <v>361.6</v>
      </c>
      <c r="O43" s="64">
        <v>0</v>
      </c>
      <c r="P43" s="64">
        <v>1.29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4" t="s">
        <v>1239</v>
      </c>
      <c r="B44" s="64">
        <v>89.1</v>
      </c>
      <c r="C44" s="64">
        <v>50.71</v>
      </c>
      <c r="D44" s="64">
        <v>96.57</v>
      </c>
      <c r="E44" s="64">
        <v>8.11</v>
      </c>
      <c r="F44" s="64">
        <v>2.13</v>
      </c>
      <c r="G44" s="64">
        <v>126.11</v>
      </c>
      <c r="H44" s="64">
        <v>51.86</v>
      </c>
      <c r="I44" s="210" t="s">
        <v>43</v>
      </c>
      <c r="J44" s="64">
        <v>1.1100000000000001</v>
      </c>
      <c r="K44" s="64">
        <v>354.3</v>
      </c>
      <c r="L44" s="64">
        <v>16.690000000000001</v>
      </c>
      <c r="M44" s="64">
        <v>56.7</v>
      </c>
      <c r="N44" s="64">
        <v>401.9</v>
      </c>
      <c r="O44" s="64">
        <v>0</v>
      </c>
      <c r="P44" s="64">
        <v>1.29</v>
      </c>
      <c r="Q44" s="64">
        <v>9.69</v>
      </c>
      <c r="R44" s="198"/>
      <c r="S44" s="198"/>
      <c r="T44" s="198"/>
      <c r="U44" s="198"/>
    </row>
    <row r="45" spans="1:21" s="12" customFormat="1" x14ac:dyDescent="0.25">
      <c r="A45" s="214" t="s">
        <v>1240</v>
      </c>
      <c r="B45" s="64">
        <v>85.06</v>
      </c>
      <c r="C45" s="64">
        <v>52.73</v>
      </c>
      <c r="D45" s="64">
        <v>94.38</v>
      </c>
      <c r="E45" s="64">
        <v>7.49</v>
      </c>
      <c r="F45" s="64">
        <v>2.13</v>
      </c>
      <c r="G45" s="64">
        <v>126.11</v>
      </c>
      <c r="H45" s="64">
        <v>51.86</v>
      </c>
      <c r="I45" s="210" t="s">
        <v>43</v>
      </c>
      <c r="J45" s="64">
        <v>0.66</v>
      </c>
      <c r="K45" s="64">
        <v>67.66</v>
      </c>
      <c r="L45" s="64">
        <v>18.64</v>
      </c>
      <c r="M45" s="64">
        <v>49.83</v>
      </c>
      <c r="N45" s="64">
        <v>456</v>
      </c>
      <c r="O45" s="64">
        <v>0</v>
      </c>
      <c r="P45" s="64">
        <v>1.3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1241</v>
      </c>
      <c r="B46" s="64">
        <v>80.540000000000006</v>
      </c>
      <c r="C46" s="64">
        <v>54.5</v>
      </c>
      <c r="D46" s="64">
        <v>91.69</v>
      </c>
      <c r="E46" s="64">
        <v>7.17</v>
      </c>
      <c r="F46" s="64">
        <v>2.13</v>
      </c>
      <c r="G46" s="64">
        <v>126.11</v>
      </c>
      <c r="H46" s="64">
        <v>51.86</v>
      </c>
      <c r="I46" s="210" t="s">
        <v>43</v>
      </c>
      <c r="J46" s="64">
        <v>2.21</v>
      </c>
      <c r="K46" s="64">
        <v>124.22</v>
      </c>
      <c r="L46" s="64">
        <v>18.03</v>
      </c>
      <c r="M46" s="64">
        <v>49.77</v>
      </c>
      <c r="N46" s="64">
        <v>539.29999999999995</v>
      </c>
      <c r="O46" s="64">
        <v>0</v>
      </c>
      <c r="P46" s="64">
        <v>1.3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1242</v>
      </c>
      <c r="B47" s="64">
        <v>75.2</v>
      </c>
      <c r="C47" s="64">
        <v>55.82</v>
      </c>
      <c r="D47" s="64">
        <v>88.09</v>
      </c>
      <c r="E47" s="64">
        <v>7.25</v>
      </c>
      <c r="F47" s="64">
        <v>2.13</v>
      </c>
      <c r="G47" s="64">
        <v>116.93</v>
      </c>
      <c r="H47" s="64">
        <v>48.96</v>
      </c>
      <c r="I47" s="210" t="s">
        <v>43</v>
      </c>
      <c r="J47" s="64">
        <v>1.84</v>
      </c>
      <c r="K47" s="64">
        <v>118.96</v>
      </c>
      <c r="L47" s="64">
        <v>18.510000000000002</v>
      </c>
      <c r="M47" s="64">
        <v>45.3</v>
      </c>
      <c r="N47" s="64">
        <v>552.4</v>
      </c>
      <c r="O47" s="64">
        <v>0</v>
      </c>
      <c r="P47" s="64">
        <v>1.28</v>
      </c>
      <c r="Q47" s="64">
        <v>9.59</v>
      </c>
      <c r="R47" s="198"/>
      <c r="S47" s="198"/>
      <c r="T47" s="198"/>
      <c r="U47" s="198"/>
    </row>
    <row r="48" spans="1:21" s="12" customFormat="1" x14ac:dyDescent="0.25">
      <c r="A48" s="214" t="s">
        <v>1243</v>
      </c>
      <c r="B48" s="64">
        <v>69.42</v>
      </c>
      <c r="C48" s="64">
        <v>56.94</v>
      </c>
      <c r="D48" s="64">
        <v>84.04</v>
      </c>
      <c r="E48" s="64">
        <v>7</v>
      </c>
      <c r="F48" s="64">
        <v>2.13</v>
      </c>
      <c r="G48" s="64">
        <v>112.99</v>
      </c>
      <c r="H48" s="64">
        <v>47.72</v>
      </c>
      <c r="I48" s="210" t="s">
        <v>43</v>
      </c>
      <c r="J48" s="64">
        <v>0.76</v>
      </c>
      <c r="K48" s="64">
        <v>64.05</v>
      </c>
      <c r="L48" s="64">
        <v>19.38</v>
      </c>
      <c r="M48" s="64">
        <v>43.37</v>
      </c>
      <c r="N48" s="64">
        <v>537.1</v>
      </c>
      <c r="O48" s="64">
        <v>0</v>
      </c>
      <c r="P48" s="64">
        <v>1.25</v>
      </c>
      <c r="Q48" s="64">
        <v>9.5299999999999994</v>
      </c>
      <c r="R48" s="198"/>
      <c r="S48" s="198"/>
      <c r="T48" s="198"/>
      <c r="U48" s="198"/>
    </row>
    <row r="49" spans="1:21" s="12" customFormat="1" x14ac:dyDescent="0.25">
      <c r="A49" s="214" t="s">
        <v>1244</v>
      </c>
      <c r="B49" s="64">
        <v>64.12</v>
      </c>
      <c r="C49" s="64">
        <v>58.83</v>
      </c>
      <c r="D49" s="64">
        <v>80.78</v>
      </c>
      <c r="E49" s="64">
        <v>6.95</v>
      </c>
      <c r="F49" s="64">
        <v>2.13</v>
      </c>
      <c r="G49" s="64">
        <v>112.99</v>
      </c>
      <c r="H49" s="64">
        <v>47.72</v>
      </c>
      <c r="I49" s="210" t="s">
        <v>43</v>
      </c>
      <c r="J49" s="64">
        <v>2.31</v>
      </c>
      <c r="K49" s="64">
        <v>342.37</v>
      </c>
      <c r="L49" s="64">
        <v>23.55</v>
      </c>
      <c r="M49" s="64">
        <v>34.47</v>
      </c>
      <c r="N49" s="64">
        <v>584.29999999999995</v>
      </c>
      <c r="O49" s="64">
        <v>0</v>
      </c>
      <c r="P49" s="64">
        <v>1.23</v>
      </c>
      <c r="Q49" s="64">
        <v>9.51</v>
      </c>
      <c r="R49" s="198"/>
      <c r="S49" s="198"/>
      <c r="T49" s="198"/>
      <c r="U49" s="198"/>
    </row>
    <row r="50" spans="1:21" s="12" customFormat="1" x14ac:dyDescent="0.25">
      <c r="A50" s="214" t="s">
        <v>1245</v>
      </c>
      <c r="B50" s="64">
        <v>59.48</v>
      </c>
      <c r="C50" s="64">
        <v>59.88</v>
      </c>
      <c r="D50" s="64">
        <v>77.61</v>
      </c>
      <c r="E50" s="64">
        <v>6.66</v>
      </c>
      <c r="F50" s="64">
        <v>2.13</v>
      </c>
      <c r="G50" s="64">
        <v>112.99</v>
      </c>
      <c r="H50" s="64">
        <v>47.72</v>
      </c>
      <c r="I50" s="210" t="s">
        <v>43</v>
      </c>
      <c r="J50" s="64">
        <v>2.2000000000000002</v>
      </c>
      <c r="K50" s="64">
        <v>328.53</v>
      </c>
      <c r="L50" s="64">
        <v>25.08</v>
      </c>
      <c r="M50" s="64">
        <v>31.45</v>
      </c>
      <c r="N50" s="64">
        <v>593.20000000000005</v>
      </c>
      <c r="O50" s="64">
        <v>0</v>
      </c>
      <c r="P50" s="64">
        <v>1.22</v>
      </c>
      <c r="Q50" s="64">
        <v>9.4700000000000006</v>
      </c>
      <c r="R50" s="198"/>
      <c r="S50" s="198"/>
      <c r="T50" s="198"/>
      <c r="U50" s="198"/>
    </row>
    <row r="51" spans="1:21" s="12" customFormat="1" x14ac:dyDescent="0.25">
      <c r="A51" s="214" t="s">
        <v>1246</v>
      </c>
      <c r="B51" s="64">
        <v>55.53</v>
      </c>
      <c r="C51" s="64">
        <v>61.67</v>
      </c>
      <c r="D51" s="64">
        <v>75.37</v>
      </c>
      <c r="E51" s="64">
        <v>6.86</v>
      </c>
      <c r="F51" s="64">
        <v>2.13</v>
      </c>
      <c r="G51" s="64">
        <v>99.89</v>
      </c>
      <c r="H51" s="64">
        <v>46.32</v>
      </c>
      <c r="I51" s="210" t="s">
        <v>43</v>
      </c>
      <c r="J51" s="64">
        <v>0.49</v>
      </c>
      <c r="K51" s="64">
        <v>54.6</v>
      </c>
      <c r="L51" s="64">
        <v>23.9</v>
      </c>
      <c r="M51" s="64">
        <v>33.729999999999997</v>
      </c>
      <c r="N51" s="64">
        <v>613.9</v>
      </c>
      <c r="O51" s="64">
        <v>0</v>
      </c>
      <c r="P51" s="64">
        <v>1.2</v>
      </c>
      <c r="Q51" s="64">
        <v>9.27</v>
      </c>
      <c r="R51" s="198"/>
      <c r="S51" s="198"/>
      <c r="T51" s="198"/>
      <c r="U51" s="198"/>
    </row>
    <row r="52" spans="1:21" s="12" customFormat="1" x14ac:dyDescent="0.25">
      <c r="A52" s="214" t="s">
        <v>1247</v>
      </c>
      <c r="B52" s="64">
        <v>51.46</v>
      </c>
      <c r="C52" s="64">
        <v>62.56</v>
      </c>
      <c r="D52" s="64">
        <v>72.58</v>
      </c>
      <c r="E52" s="64">
        <v>6.98</v>
      </c>
      <c r="F52" s="64">
        <v>2.13</v>
      </c>
      <c r="G52" s="64">
        <v>94.27</v>
      </c>
      <c r="H52" s="64">
        <v>45.72</v>
      </c>
      <c r="I52" s="210" t="s">
        <v>43</v>
      </c>
      <c r="J52" s="64">
        <v>0.6</v>
      </c>
      <c r="K52" s="64">
        <v>79.95</v>
      </c>
      <c r="L52" s="64">
        <v>21.83</v>
      </c>
      <c r="M52" s="64">
        <v>38.549999999999997</v>
      </c>
      <c r="N52" s="64">
        <v>644</v>
      </c>
      <c r="O52" s="64">
        <v>0</v>
      </c>
      <c r="P52" s="64">
        <v>1.19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4" t="s">
        <v>1248</v>
      </c>
      <c r="B53" s="64">
        <v>47.21</v>
      </c>
      <c r="C53" s="64">
        <v>62.85</v>
      </c>
      <c r="D53" s="64">
        <v>69.319999999999993</v>
      </c>
      <c r="E53" s="64">
        <v>6.25</v>
      </c>
      <c r="F53" s="64">
        <v>2.13</v>
      </c>
      <c r="G53" s="64">
        <v>94.27</v>
      </c>
      <c r="H53" s="64">
        <v>45.72</v>
      </c>
      <c r="I53" s="210" t="s">
        <v>43</v>
      </c>
      <c r="J53" s="64">
        <v>1.68</v>
      </c>
      <c r="K53" s="64">
        <v>116.09</v>
      </c>
      <c r="L53" s="64">
        <v>21.66</v>
      </c>
      <c r="M53" s="64">
        <v>39.380000000000003</v>
      </c>
      <c r="N53" s="64">
        <v>657.7</v>
      </c>
      <c r="O53" s="64">
        <v>0</v>
      </c>
      <c r="P53" s="64">
        <v>1.1599999999999999</v>
      </c>
      <c r="Q53" s="64">
        <v>8.86</v>
      </c>
      <c r="R53" s="198"/>
      <c r="S53" s="198"/>
      <c r="T53" s="198"/>
      <c r="U53" s="198"/>
    </row>
    <row r="54" spans="1:21" s="12" customFormat="1" x14ac:dyDescent="0.25">
      <c r="A54" s="214" t="s">
        <v>1249</v>
      </c>
      <c r="B54" s="64">
        <v>42.89</v>
      </c>
      <c r="C54" s="64">
        <v>62.94</v>
      </c>
      <c r="D54" s="64">
        <v>65.900000000000006</v>
      </c>
      <c r="E54" s="64">
        <v>6.6</v>
      </c>
      <c r="F54" s="64">
        <v>2.13</v>
      </c>
      <c r="G54" s="64">
        <v>94.27</v>
      </c>
      <c r="H54" s="64">
        <v>45.72</v>
      </c>
      <c r="I54" s="210" t="s">
        <v>43</v>
      </c>
      <c r="J54" s="64">
        <v>1.37</v>
      </c>
      <c r="K54" s="64">
        <v>112</v>
      </c>
      <c r="L54" s="64">
        <v>21.44</v>
      </c>
      <c r="M54" s="64">
        <v>40.71</v>
      </c>
      <c r="N54" s="64">
        <v>619.29999999999995</v>
      </c>
      <c r="O54" s="64">
        <v>0</v>
      </c>
      <c r="P54" s="64">
        <v>1.1299999999999999</v>
      </c>
      <c r="Q54" s="64">
        <v>8.6300000000000008</v>
      </c>
      <c r="R54" s="198"/>
      <c r="S54" s="198"/>
      <c r="T54" s="198"/>
      <c r="U54" s="198"/>
    </row>
    <row r="55" spans="1:21" s="12" customFormat="1" x14ac:dyDescent="0.25">
      <c r="A55" s="214" t="s">
        <v>1250</v>
      </c>
      <c r="B55" s="64">
        <v>39.06</v>
      </c>
      <c r="C55" s="64">
        <v>63.07</v>
      </c>
      <c r="D55" s="64">
        <v>62.9</v>
      </c>
      <c r="E55" s="64">
        <v>6.03</v>
      </c>
      <c r="F55" s="64">
        <v>2.13</v>
      </c>
      <c r="G55" s="64">
        <v>89.95</v>
      </c>
      <c r="H55" s="64">
        <v>39.85</v>
      </c>
      <c r="I55" s="210" t="s">
        <v>43</v>
      </c>
      <c r="J55" s="64">
        <v>1.07</v>
      </c>
      <c r="K55" s="64">
        <v>339.57</v>
      </c>
      <c r="L55" s="64">
        <v>23.32</v>
      </c>
      <c r="M55" s="64">
        <v>37</v>
      </c>
      <c r="N55" s="64">
        <v>664.9</v>
      </c>
      <c r="O55" s="64">
        <v>0</v>
      </c>
      <c r="P55" s="64">
        <v>1.0900000000000001</v>
      </c>
      <c r="Q55" s="64">
        <v>8.3800000000000008</v>
      </c>
      <c r="R55" s="198"/>
      <c r="S55" s="198"/>
      <c r="T55" s="198"/>
      <c r="U55" s="198"/>
    </row>
    <row r="56" spans="1:21" s="12" customFormat="1" x14ac:dyDescent="0.25">
      <c r="A56" s="214" t="s">
        <v>1251</v>
      </c>
      <c r="B56" s="64">
        <v>35.369999999999997</v>
      </c>
      <c r="C56" s="64">
        <v>63.15</v>
      </c>
      <c r="D56" s="64">
        <v>59.98</v>
      </c>
      <c r="E56" s="64">
        <v>5.96</v>
      </c>
      <c r="F56" s="64">
        <v>2.13</v>
      </c>
      <c r="G56" s="64">
        <v>88</v>
      </c>
      <c r="H56" s="64">
        <v>37.33</v>
      </c>
      <c r="I56" s="210" t="s">
        <v>43</v>
      </c>
      <c r="J56" s="64">
        <v>2.13</v>
      </c>
      <c r="K56" s="64">
        <v>110.12</v>
      </c>
      <c r="L56" s="64">
        <v>22.06</v>
      </c>
      <c r="M56" s="64">
        <v>38.590000000000003</v>
      </c>
      <c r="N56" s="64">
        <v>686.1</v>
      </c>
      <c r="O56" s="64">
        <v>0</v>
      </c>
      <c r="P56" s="64">
        <v>1.07</v>
      </c>
      <c r="Q56" s="64">
        <v>8.2200000000000006</v>
      </c>
      <c r="R56" s="198"/>
      <c r="S56" s="198"/>
      <c r="T56" s="198"/>
      <c r="U56" s="198"/>
    </row>
    <row r="57" spans="1:21" s="12" customFormat="1" x14ac:dyDescent="0.25">
      <c r="A57" s="214" t="s">
        <v>1252</v>
      </c>
      <c r="B57" s="64">
        <v>31.45</v>
      </c>
      <c r="C57" s="64">
        <v>63.07</v>
      </c>
      <c r="D57" s="64">
        <v>56.8</v>
      </c>
      <c r="E57" s="64">
        <v>5.61</v>
      </c>
      <c r="F57" s="64">
        <v>2.13</v>
      </c>
      <c r="G57" s="64">
        <v>88</v>
      </c>
      <c r="H57" s="64">
        <v>37.33</v>
      </c>
      <c r="I57" s="210" t="s">
        <v>43</v>
      </c>
      <c r="J57" s="64">
        <v>2.0699999999999998</v>
      </c>
      <c r="K57" s="64">
        <v>115.79</v>
      </c>
      <c r="L57" s="64">
        <v>21.9</v>
      </c>
      <c r="M57" s="64">
        <v>38.36</v>
      </c>
      <c r="N57" s="64">
        <v>694.8</v>
      </c>
      <c r="O57" s="64">
        <v>0</v>
      </c>
      <c r="P57" s="64">
        <v>1.02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1253</v>
      </c>
      <c r="B58" s="64">
        <v>27.43</v>
      </c>
      <c r="C58" s="64">
        <v>63.12</v>
      </c>
      <c r="D58" s="64">
        <v>53.6</v>
      </c>
      <c r="E58" s="64">
        <v>5.95</v>
      </c>
      <c r="F58" s="64">
        <v>2.13</v>
      </c>
      <c r="G58" s="64">
        <v>88</v>
      </c>
      <c r="H58" s="64">
        <v>37.33</v>
      </c>
      <c r="I58" s="210" t="s">
        <v>43</v>
      </c>
      <c r="J58" s="64">
        <v>2.76</v>
      </c>
      <c r="K58" s="64">
        <v>117.75</v>
      </c>
      <c r="L58" s="64">
        <v>21.43</v>
      </c>
      <c r="M58" s="64">
        <v>38.340000000000003</v>
      </c>
      <c r="N58" s="64">
        <v>659.9</v>
      </c>
      <c r="O58" s="64">
        <v>0</v>
      </c>
      <c r="P58" s="64">
        <v>0.99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1254</v>
      </c>
      <c r="B59" s="64">
        <v>23.2</v>
      </c>
      <c r="C59" s="64">
        <v>62.5</v>
      </c>
      <c r="D59" s="64">
        <v>49.88</v>
      </c>
      <c r="E59" s="64">
        <v>6.28</v>
      </c>
      <c r="F59" s="64">
        <v>2.13</v>
      </c>
      <c r="G59" s="64">
        <v>65.44</v>
      </c>
      <c r="H59" s="64">
        <v>34.5</v>
      </c>
      <c r="I59" s="210" t="s">
        <v>43</v>
      </c>
      <c r="J59" s="64">
        <v>0.57999999999999996</v>
      </c>
      <c r="K59" s="64">
        <v>23.12</v>
      </c>
      <c r="L59" s="64">
        <v>22.43</v>
      </c>
      <c r="M59" s="64">
        <v>39</v>
      </c>
      <c r="N59" s="64">
        <v>647.79999999999995</v>
      </c>
      <c r="O59" s="64">
        <v>0</v>
      </c>
      <c r="P59" s="64">
        <v>0.95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1255</v>
      </c>
      <c r="B60" s="64">
        <v>20.010000000000002</v>
      </c>
      <c r="C60" s="64">
        <v>62.45</v>
      </c>
      <c r="D60" s="64">
        <v>47.3</v>
      </c>
      <c r="E60" s="64">
        <v>5.85</v>
      </c>
      <c r="F60" s="64">
        <v>2.13</v>
      </c>
      <c r="G60" s="64">
        <v>55.25</v>
      </c>
      <c r="H60" s="64">
        <v>33.22</v>
      </c>
      <c r="I60" s="210" t="s">
        <v>43</v>
      </c>
      <c r="J60" s="64">
        <v>1.45</v>
      </c>
      <c r="K60" s="64">
        <v>106.77</v>
      </c>
      <c r="L60" s="64">
        <v>23.01</v>
      </c>
      <c r="M60" s="64">
        <v>35.6</v>
      </c>
      <c r="N60" s="64">
        <v>672.9</v>
      </c>
      <c r="O60" s="64">
        <v>0</v>
      </c>
      <c r="P60" s="64">
        <v>0.92</v>
      </c>
      <c r="Q60" s="64">
        <v>0</v>
      </c>
      <c r="R60" s="198"/>
      <c r="S60" s="198"/>
      <c r="T60" s="198"/>
      <c r="U60" s="198"/>
    </row>
    <row r="61" spans="1:21" s="12" customFormat="1" x14ac:dyDescent="0.25">
      <c r="A61" s="214" t="s">
        <v>1256</v>
      </c>
      <c r="B61" s="64">
        <v>17.43</v>
      </c>
      <c r="C61" s="64">
        <v>62.1</v>
      </c>
      <c r="D61" s="64">
        <v>45.05</v>
      </c>
      <c r="E61" s="64">
        <v>5.82</v>
      </c>
      <c r="F61" s="64">
        <v>2.13</v>
      </c>
      <c r="G61" s="64">
        <v>55.25</v>
      </c>
      <c r="H61" s="64">
        <v>33.22</v>
      </c>
      <c r="I61" s="210" t="s">
        <v>43</v>
      </c>
      <c r="J61" s="64">
        <v>1.83</v>
      </c>
      <c r="K61" s="64">
        <v>125.49</v>
      </c>
      <c r="L61" s="64">
        <v>22.4</v>
      </c>
      <c r="M61" s="64">
        <v>35.659999999999997</v>
      </c>
      <c r="N61" s="64">
        <v>670.2</v>
      </c>
      <c r="O61" s="64">
        <v>0</v>
      </c>
      <c r="P61" s="64">
        <v>0.9</v>
      </c>
      <c r="Q61" s="64">
        <v>0</v>
      </c>
      <c r="R61" s="198"/>
      <c r="S61" s="198"/>
      <c r="T61" s="198"/>
      <c r="U61" s="198"/>
    </row>
    <row r="62" spans="1:21" s="12" customFormat="1" x14ac:dyDescent="0.25">
      <c r="A62" s="214" t="s">
        <v>1257</v>
      </c>
      <c r="B62" s="64">
        <v>14.37</v>
      </c>
      <c r="C62" s="64">
        <v>61.67</v>
      </c>
      <c r="D62" s="64">
        <v>42.36</v>
      </c>
      <c r="E62" s="64">
        <v>6.02</v>
      </c>
      <c r="F62" s="64">
        <v>2.13</v>
      </c>
      <c r="G62" s="64">
        <v>55.25</v>
      </c>
      <c r="H62" s="64">
        <v>33.22</v>
      </c>
      <c r="I62" s="210" t="s">
        <v>43</v>
      </c>
      <c r="J62" s="64">
        <v>1.26</v>
      </c>
      <c r="K62" s="64">
        <v>336.98</v>
      </c>
      <c r="L62" s="64">
        <v>23.08</v>
      </c>
      <c r="M62" s="64">
        <v>37.61</v>
      </c>
      <c r="N62" s="64">
        <v>623.70000000000005</v>
      </c>
      <c r="O62" s="64">
        <v>0</v>
      </c>
      <c r="P62" s="64">
        <v>0.93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1258</v>
      </c>
      <c r="B63" s="64">
        <v>12.13</v>
      </c>
      <c r="C63" s="64">
        <v>61.76</v>
      </c>
      <c r="D63" s="64">
        <v>40.619999999999997</v>
      </c>
      <c r="E63" s="64">
        <v>5.89</v>
      </c>
      <c r="F63" s="64">
        <v>2.13</v>
      </c>
      <c r="G63" s="64">
        <v>54.87</v>
      </c>
      <c r="H63" s="64">
        <v>29.53</v>
      </c>
      <c r="I63" s="210" t="s">
        <v>43</v>
      </c>
      <c r="J63" s="64">
        <v>1.21</v>
      </c>
      <c r="K63" s="64">
        <v>107.44</v>
      </c>
      <c r="L63" s="64">
        <v>22.78</v>
      </c>
      <c r="M63" s="64">
        <v>36.35</v>
      </c>
      <c r="N63" s="64">
        <v>620.4</v>
      </c>
      <c r="O63" s="64">
        <v>0</v>
      </c>
      <c r="P63" s="64">
        <v>0.9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1259</v>
      </c>
      <c r="B64" s="64">
        <v>10.119999999999999</v>
      </c>
      <c r="C64" s="64">
        <v>61.08</v>
      </c>
      <c r="D64" s="64">
        <v>38.659999999999997</v>
      </c>
      <c r="E64" s="64">
        <v>5.53</v>
      </c>
      <c r="F64" s="64">
        <v>2.13</v>
      </c>
      <c r="G64" s="64">
        <v>54.7</v>
      </c>
      <c r="H64" s="64">
        <v>27.87</v>
      </c>
      <c r="I64" s="210" t="s">
        <v>43</v>
      </c>
      <c r="J64" s="64">
        <v>0.87</v>
      </c>
      <c r="K64" s="64">
        <v>123.72</v>
      </c>
      <c r="L64" s="64">
        <v>23</v>
      </c>
      <c r="M64" s="64">
        <v>34.44</v>
      </c>
      <c r="N64" s="64">
        <v>586.1</v>
      </c>
      <c r="O64" s="64">
        <v>0</v>
      </c>
      <c r="P64" s="64">
        <v>0.88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1260</v>
      </c>
      <c r="B65" s="64">
        <v>8.41</v>
      </c>
      <c r="C65" s="64">
        <v>60.26</v>
      </c>
      <c r="D65" s="64">
        <v>36.85</v>
      </c>
      <c r="E65" s="64">
        <v>5.5</v>
      </c>
      <c r="F65" s="64">
        <v>2.13</v>
      </c>
      <c r="G65" s="64">
        <v>54.7</v>
      </c>
      <c r="H65" s="64">
        <v>27.87</v>
      </c>
      <c r="I65" s="210" t="s">
        <v>43</v>
      </c>
      <c r="J65" s="64">
        <v>2.58</v>
      </c>
      <c r="K65" s="64">
        <v>114.52</v>
      </c>
      <c r="L65" s="64">
        <v>22.69</v>
      </c>
      <c r="M65" s="64">
        <v>33.270000000000003</v>
      </c>
      <c r="N65" s="64">
        <v>569.6</v>
      </c>
      <c r="O65" s="64">
        <v>0</v>
      </c>
      <c r="P65" s="64">
        <v>0.84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1261</v>
      </c>
      <c r="B66" s="64">
        <v>7.1</v>
      </c>
      <c r="C66" s="64">
        <v>58.93</v>
      </c>
      <c r="D66" s="64">
        <v>35.1</v>
      </c>
      <c r="E66" s="64">
        <v>5.71</v>
      </c>
      <c r="F66" s="64">
        <v>2.13</v>
      </c>
      <c r="G66" s="64">
        <v>54.7</v>
      </c>
      <c r="H66" s="64">
        <v>27.87</v>
      </c>
      <c r="I66" s="210" t="s">
        <v>43</v>
      </c>
      <c r="J66" s="64">
        <v>0.73</v>
      </c>
      <c r="K66" s="64">
        <v>28.46</v>
      </c>
      <c r="L66" s="64">
        <v>22.8</v>
      </c>
      <c r="M66" s="64">
        <v>33.54</v>
      </c>
      <c r="N66" s="64">
        <v>402.4</v>
      </c>
      <c r="O66" s="64">
        <v>0</v>
      </c>
      <c r="P66" s="64">
        <v>0.79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1262</v>
      </c>
      <c r="B67" s="64">
        <v>6.61</v>
      </c>
      <c r="C67" s="64">
        <v>57.28</v>
      </c>
      <c r="D67" s="64">
        <v>33.85</v>
      </c>
      <c r="E67" s="64">
        <v>5.24</v>
      </c>
      <c r="F67" s="64">
        <v>2.13</v>
      </c>
      <c r="G67" s="64">
        <v>51.52</v>
      </c>
      <c r="H67" s="64">
        <v>27.18</v>
      </c>
      <c r="I67" s="210" t="s">
        <v>43</v>
      </c>
      <c r="J67" s="64">
        <v>1.57</v>
      </c>
      <c r="K67" s="64">
        <v>120.55</v>
      </c>
      <c r="L67" s="64">
        <v>22.99</v>
      </c>
      <c r="M67" s="64">
        <v>32.700000000000003</v>
      </c>
      <c r="N67" s="64">
        <v>282.2</v>
      </c>
      <c r="O67" s="64">
        <v>0</v>
      </c>
      <c r="P67" s="64">
        <v>0.75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1263</v>
      </c>
      <c r="B68" s="64">
        <v>6.16</v>
      </c>
      <c r="C68" s="64">
        <v>55.45</v>
      </c>
      <c r="D68" s="64">
        <v>32.53</v>
      </c>
      <c r="E68" s="64">
        <v>5.46</v>
      </c>
      <c r="F68" s="64">
        <v>2.13</v>
      </c>
      <c r="G68" s="64">
        <v>50.15</v>
      </c>
      <c r="H68" s="64">
        <v>26.89</v>
      </c>
      <c r="I68" s="210" t="s">
        <v>43</v>
      </c>
      <c r="J68" s="64">
        <v>2.2000000000000002</v>
      </c>
      <c r="K68" s="64">
        <v>112.19</v>
      </c>
      <c r="L68" s="64">
        <v>22.28</v>
      </c>
      <c r="M68" s="64">
        <v>31.58</v>
      </c>
      <c r="N68" s="64">
        <v>320.8</v>
      </c>
      <c r="O68" s="64">
        <v>0</v>
      </c>
      <c r="P68" s="64">
        <v>0.76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1264</v>
      </c>
      <c r="B69" s="64">
        <v>5.7</v>
      </c>
      <c r="C69" s="64">
        <v>53.77</v>
      </c>
      <c r="D69" s="64">
        <v>31.28</v>
      </c>
      <c r="E69" s="64">
        <v>5.14</v>
      </c>
      <c r="F69" s="64">
        <v>2.13</v>
      </c>
      <c r="G69" s="64">
        <v>50.15</v>
      </c>
      <c r="H69" s="64">
        <v>26.89</v>
      </c>
      <c r="I69" s="210" t="s">
        <v>43</v>
      </c>
      <c r="J69" s="64">
        <v>1.76</v>
      </c>
      <c r="K69" s="64">
        <v>113.77</v>
      </c>
      <c r="L69" s="64">
        <v>22.45</v>
      </c>
      <c r="M69" s="64">
        <v>31.55</v>
      </c>
      <c r="N69" s="64">
        <v>269.8</v>
      </c>
      <c r="O69" s="64">
        <v>0</v>
      </c>
      <c r="P69" s="64">
        <v>0.72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1265</v>
      </c>
      <c r="B70" s="64">
        <v>5.35</v>
      </c>
      <c r="C70" s="64">
        <v>52.1</v>
      </c>
      <c r="D70" s="64">
        <v>30.13</v>
      </c>
      <c r="E70" s="64">
        <v>5.86</v>
      </c>
      <c r="F70" s="64">
        <v>2.13</v>
      </c>
      <c r="G70" s="64">
        <v>50.15</v>
      </c>
      <c r="H70" s="64">
        <v>26.89</v>
      </c>
      <c r="I70" s="210" t="s">
        <v>43</v>
      </c>
      <c r="J70" s="64">
        <v>1.39</v>
      </c>
      <c r="K70" s="64">
        <v>105.72</v>
      </c>
      <c r="L70" s="64">
        <v>22.27</v>
      </c>
      <c r="M70" s="64">
        <v>30.22</v>
      </c>
      <c r="N70" s="64">
        <v>153</v>
      </c>
      <c r="O70" s="64">
        <v>0</v>
      </c>
      <c r="P70" s="64">
        <v>0.7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1266</v>
      </c>
      <c r="B71" s="64">
        <v>5.17</v>
      </c>
      <c r="C71" s="64">
        <v>50.86</v>
      </c>
      <c r="D71" s="64">
        <v>29.34</v>
      </c>
      <c r="E71" s="64">
        <v>4.41</v>
      </c>
      <c r="F71" s="64">
        <v>2.13</v>
      </c>
      <c r="G71" s="64">
        <v>42.48</v>
      </c>
      <c r="H71" s="64">
        <v>25.47</v>
      </c>
      <c r="I71" s="210" t="s">
        <v>43</v>
      </c>
      <c r="J71" s="64">
        <v>2.4700000000000002</v>
      </c>
      <c r="K71" s="64">
        <v>113.13</v>
      </c>
      <c r="L71" s="64">
        <v>22</v>
      </c>
      <c r="M71" s="64">
        <v>31.29</v>
      </c>
      <c r="N71" s="64">
        <v>130.5</v>
      </c>
      <c r="O71" s="64">
        <v>0</v>
      </c>
      <c r="P71" s="64">
        <v>0.68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1267</v>
      </c>
      <c r="B72" s="64">
        <v>4.83</v>
      </c>
      <c r="C72" s="64">
        <v>49.1</v>
      </c>
      <c r="D72" s="64">
        <v>28.15</v>
      </c>
      <c r="E72" s="64">
        <v>4.53</v>
      </c>
      <c r="F72" s="64">
        <v>2.13</v>
      </c>
      <c r="G72" s="64">
        <v>39.92</v>
      </c>
      <c r="H72" s="64">
        <v>24.99</v>
      </c>
      <c r="I72" s="210" t="s">
        <v>43</v>
      </c>
      <c r="J72" s="64">
        <v>2.08</v>
      </c>
      <c r="K72" s="64">
        <v>119.53</v>
      </c>
      <c r="L72" s="64">
        <v>21.75</v>
      </c>
      <c r="M72" s="64">
        <v>32.299999999999997</v>
      </c>
      <c r="N72" s="64">
        <v>122.8</v>
      </c>
      <c r="O72" s="64">
        <v>0</v>
      </c>
      <c r="P72" s="64">
        <v>0.64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1268</v>
      </c>
      <c r="B73" s="64">
        <v>4.55</v>
      </c>
      <c r="C73" s="64">
        <v>47.76</v>
      </c>
      <c r="D73" s="64">
        <v>27.22</v>
      </c>
      <c r="E73" s="64">
        <v>5.24</v>
      </c>
      <c r="F73" s="64">
        <v>2.13</v>
      </c>
      <c r="G73" s="64">
        <v>39.92</v>
      </c>
      <c r="H73" s="64">
        <v>24.99</v>
      </c>
      <c r="I73" s="210" t="s">
        <v>43</v>
      </c>
      <c r="J73" s="64">
        <v>2</v>
      </c>
      <c r="K73" s="64">
        <v>119.82</v>
      </c>
      <c r="L73" s="64">
        <v>21.66</v>
      </c>
      <c r="M73" s="64">
        <v>32.85</v>
      </c>
      <c r="N73" s="64">
        <v>115.1</v>
      </c>
      <c r="O73" s="64">
        <v>0</v>
      </c>
      <c r="P73" s="64">
        <v>0.6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1269</v>
      </c>
      <c r="B74" s="64">
        <v>4.3499999999999996</v>
      </c>
      <c r="C74" s="64">
        <v>47.07</v>
      </c>
      <c r="D74" s="64">
        <v>26.7</v>
      </c>
      <c r="E74" s="64">
        <v>5.69</v>
      </c>
      <c r="F74" s="64">
        <v>2.13</v>
      </c>
      <c r="G74" s="64">
        <v>39.92</v>
      </c>
      <c r="H74" s="64">
        <v>24.99</v>
      </c>
      <c r="I74" s="210" t="s">
        <v>43</v>
      </c>
      <c r="J74" s="64">
        <v>2.68</v>
      </c>
      <c r="K74" s="64">
        <v>112.61</v>
      </c>
      <c r="L74" s="64">
        <v>21.58</v>
      </c>
      <c r="M74" s="64">
        <v>32.99</v>
      </c>
      <c r="N74" s="64">
        <v>111.2</v>
      </c>
      <c r="O74" s="64">
        <v>0</v>
      </c>
      <c r="P74" s="64">
        <v>0.66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1270</v>
      </c>
      <c r="B75" s="64">
        <v>4.03</v>
      </c>
      <c r="C75" s="64">
        <v>46.69</v>
      </c>
      <c r="D75" s="64">
        <v>26.25</v>
      </c>
      <c r="E75" s="64">
        <v>5.53</v>
      </c>
      <c r="F75" s="64">
        <v>2.13</v>
      </c>
      <c r="G75" s="64">
        <v>40.35</v>
      </c>
      <c r="H75" s="64">
        <v>22.57</v>
      </c>
      <c r="I75" s="210" t="s">
        <v>43</v>
      </c>
      <c r="J75" s="64">
        <v>2.62</v>
      </c>
      <c r="K75" s="64">
        <v>104.81</v>
      </c>
      <c r="L75" s="64">
        <v>21.44</v>
      </c>
      <c r="M75" s="64">
        <v>31.03</v>
      </c>
      <c r="N75" s="64">
        <v>101.2</v>
      </c>
      <c r="O75" s="64">
        <v>0</v>
      </c>
      <c r="P75" s="64">
        <v>0.64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1271</v>
      </c>
      <c r="B76" s="64">
        <v>3.77</v>
      </c>
      <c r="C76" s="64">
        <v>46.2</v>
      </c>
      <c r="D76" s="64">
        <v>25.78</v>
      </c>
      <c r="E76" s="64">
        <v>5.18</v>
      </c>
      <c r="F76" s="64">
        <v>2.13</v>
      </c>
      <c r="G76" s="64">
        <v>40.39</v>
      </c>
      <c r="H76" s="64">
        <v>22.3</v>
      </c>
      <c r="I76" s="210" t="s">
        <v>43</v>
      </c>
      <c r="J76" s="64">
        <v>2.15</v>
      </c>
      <c r="K76" s="64">
        <v>108.23</v>
      </c>
      <c r="L76" s="64">
        <v>21.22</v>
      </c>
      <c r="M76" s="64">
        <v>32.700000000000003</v>
      </c>
      <c r="N76" s="64">
        <v>93.7</v>
      </c>
      <c r="O76" s="64">
        <v>0</v>
      </c>
      <c r="P76" s="64">
        <v>0.61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1272</v>
      </c>
      <c r="B77" s="64">
        <v>3.57</v>
      </c>
      <c r="C77" s="64">
        <v>45.83</v>
      </c>
      <c r="D77" s="64">
        <v>25.43</v>
      </c>
      <c r="E77" s="64">
        <v>5.52</v>
      </c>
      <c r="F77" s="64">
        <v>2.13</v>
      </c>
      <c r="G77" s="64">
        <v>40.39</v>
      </c>
      <c r="H77" s="64">
        <v>22.3</v>
      </c>
      <c r="I77" s="210" t="s">
        <v>43</v>
      </c>
      <c r="J77" s="64">
        <v>1.8</v>
      </c>
      <c r="K77" s="64">
        <v>114.51</v>
      </c>
      <c r="L77" s="64">
        <v>20.98</v>
      </c>
      <c r="M77" s="64">
        <v>34.35</v>
      </c>
      <c r="N77" s="64">
        <v>86</v>
      </c>
      <c r="O77" s="64">
        <v>0</v>
      </c>
      <c r="P77" s="64">
        <v>0.6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1273</v>
      </c>
      <c r="B78" s="64">
        <v>3.5</v>
      </c>
      <c r="C78" s="64">
        <v>45.79</v>
      </c>
      <c r="D78" s="64">
        <v>25.36</v>
      </c>
      <c r="E78" s="64">
        <v>4.8899999999999997</v>
      </c>
      <c r="F78" s="64">
        <v>2.13</v>
      </c>
      <c r="G78" s="64">
        <v>40.39</v>
      </c>
      <c r="H78" s="64">
        <v>22.3</v>
      </c>
      <c r="I78" s="210" t="s">
        <v>43</v>
      </c>
      <c r="J78" s="64">
        <v>0.61</v>
      </c>
      <c r="K78" s="64">
        <v>101.18</v>
      </c>
      <c r="L78" s="64">
        <v>20.52</v>
      </c>
      <c r="M78" s="64">
        <v>41.51</v>
      </c>
      <c r="N78" s="64">
        <v>78.8</v>
      </c>
      <c r="O78" s="64">
        <v>0</v>
      </c>
      <c r="P78" s="64">
        <v>0.59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1274</v>
      </c>
      <c r="B79" s="64">
        <v>3.75</v>
      </c>
      <c r="C79" s="64">
        <v>46.91</v>
      </c>
      <c r="D79" s="64">
        <v>26.14</v>
      </c>
      <c r="E79" s="64">
        <v>5.3</v>
      </c>
      <c r="F79" s="64">
        <v>2.13</v>
      </c>
      <c r="G79" s="64">
        <v>44.4</v>
      </c>
      <c r="H79" s="64">
        <v>22.17</v>
      </c>
      <c r="I79" s="210" t="s">
        <v>43</v>
      </c>
      <c r="J79" s="64">
        <v>1.46</v>
      </c>
      <c r="K79" s="64">
        <v>326.36</v>
      </c>
      <c r="L79" s="64">
        <v>19.18</v>
      </c>
      <c r="M79" s="64">
        <v>49.35</v>
      </c>
      <c r="N79" s="64">
        <v>74.2</v>
      </c>
      <c r="O79" s="64">
        <v>0</v>
      </c>
      <c r="P79" s="64">
        <v>0.62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1275</v>
      </c>
      <c r="B80" s="64">
        <v>4.78</v>
      </c>
      <c r="C80" s="64">
        <v>49.03</v>
      </c>
      <c r="D80" s="64">
        <v>28.07</v>
      </c>
      <c r="E80" s="64">
        <v>5.28</v>
      </c>
      <c r="F80" s="64">
        <v>2.13</v>
      </c>
      <c r="G80" s="64">
        <v>44.84</v>
      </c>
      <c r="H80" s="64">
        <v>22.16</v>
      </c>
      <c r="I80" s="210" t="s">
        <v>43</v>
      </c>
      <c r="J80" s="64">
        <v>1.54</v>
      </c>
      <c r="K80" s="64">
        <v>327.62</v>
      </c>
      <c r="L80" s="64">
        <v>18.27</v>
      </c>
      <c r="M80" s="64">
        <v>57.51</v>
      </c>
      <c r="N80" s="64">
        <v>72.5</v>
      </c>
      <c r="O80" s="64">
        <v>0</v>
      </c>
      <c r="P80" s="64">
        <v>0.66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1276</v>
      </c>
      <c r="B81" s="64">
        <v>8.33</v>
      </c>
      <c r="C81" s="64">
        <v>51.35</v>
      </c>
      <c r="D81" s="64">
        <v>32.130000000000003</v>
      </c>
      <c r="E81" s="64">
        <v>5.38</v>
      </c>
      <c r="F81" s="64">
        <v>2.13</v>
      </c>
      <c r="G81" s="64">
        <v>44.84</v>
      </c>
      <c r="H81" s="64">
        <v>22.16</v>
      </c>
      <c r="I81" s="210" t="s">
        <v>43</v>
      </c>
      <c r="J81" s="64">
        <v>1.63</v>
      </c>
      <c r="K81" s="64">
        <v>300.58999999999997</v>
      </c>
      <c r="L81" s="64">
        <v>17.72</v>
      </c>
      <c r="M81" s="64">
        <v>57.02</v>
      </c>
      <c r="N81" s="64">
        <v>72</v>
      </c>
      <c r="O81" s="64">
        <v>0</v>
      </c>
      <c r="P81" s="64">
        <v>0.71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1277</v>
      </c>
      <c r="B82" s="64">
        <v>13.29</v>
      </c>
      <c r="C82" s="64">
        <v>54</v>
      </c>
      <c r="D82" s="64">
        <v>37.5</v>
      </c>
      <c r="E82" s="64">
        <v>5.49</v>
      </c>
      <c r="F82" s="64">
        <v>2.13</v>
      </c>
      <c r="G82" s="64">
        <v>44.84</v>
      </c>
      <c r="H82" s="64">
        <v>22.16</v>
      </c>
      <c r="I82" s="210" t="s">
        <v>43</v>
      </c>
      <c r="J82" s="64">
        <v>1.7</v>
      </c>
      <c r="K82" s="64">
        <v>305.45999999999998</v>
      </c>
      <c r="L82" s="64">
        <v>17.27</v>
      </c>
      <c r="M82" s="64">
        <v>52.81</v>
      </c>
      <c r="N82" s="64">
        <v>72.2</v>
      </c>
      <c r="O82" s="64">
        <v>0</v>
      </c>
      <c r="P82" s="64">
        <v>0.76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1278</v>
      </c>
      <c r="B83" s="64">
        <v>17.05</v>
      </c>
      <c r="C83" s="64">
        <v>54.63</v>
      </c>
      <c r="D83" s="64">
        <v>40.840000000000003</v>
      </c>
      <c r="E83" s="64">
        <v>6.02</v>
      </c>
      <c r="F83" s="64">
        <v>2.13</v>
      </c>
      <c r="G83" s="64">
        <v>65.31</v>
      </c>
      <c r="H83" s="64">
        <v>22.07</v>
      </c>
      <c r="I83" s="210" t="s">
        <v>43</v>
      </c>
      <c r="J83" s="64">
        <v>1.6</v>
      </c>
      <c r="K83" s="64">
        <v>300.56</v>
      </c>
      <c r="L83" s="64">
        <v>16.940000000000001</v>
      </c>
      <c r="M83" s="64">
        <v>55.41</v>
      </c>
      <c r="N83" s="64">
        <v>72.3</v>
      </c>
      <c r="O83" s="64">
        <v>0</v>
      </c>
      <c r="P83" s="64">
        <v>1.26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1279</v>
      </c>
      <c r="B84" s="64">
        <v>21.21</v>
      </c>
      <c r="C84" s="64">
        <v>55.36</v>
      </c>
      <c r="D84" s="64">
        <v>44.55</v>
      </c>
      <c r="E84" s="64">
        <v>5.82</v>
      </c>
      <c r="F84" s="64">
        <v>2.13</v>
      </c>
      <c r="G84" s="64">
        <v>67.58</v>
      </c>
      <c r="H84" s="64">
        <v>22.06</v>
      </c>
      <c r="I84" s="210" t="s">
        <v>43</v>
      </c>
      <c r="J84" s="64">
        <v>1.52</v>
      </c>
      <c r="K84" s="64">
        <v>299.35000000000002</v>
      </c>
      <c r="L84" s="64">
        <v>16.54</v>
      </c>
      <c r="M84" s="64">
        <v>55.14</v>
      </c>
      <c r="N84" s="64">
        <v>72.3</v>
      </c>
      <c r="O84" s="64">
        <v>0</v>
      </c>
      <c r="P84" s="64">
        <v>1.25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1280</v>
      </c>
      <c r="B85" s="64">
        <v>26</v>
      </c>
      <c r="C85" s="64">
        <v>55.85</v>
      </c>
      <c r="D85" s="64">
        <v>48.65</v>
      </c>
      <c r="E85" s="64">
        <v>6.57</v>
      </c>
      <c r="F85" s="64">
        <v>2.13</v>
      </c>
      <c r="G85" s="64">
        <v>67.58</v>
      </c>
      <c r="H85" s="64">
        <v>22.06</v>
      </c>
      <c r="I85" s="210" t="s">
        <v>43</v>
      </c>
      <c r="J85" s="64">
        <v>1.48</v>
      </c>
      <c r="K85" s="64">
        <v>5.68</v>
      </c>
      <c r="L85" s="64">
        <v>16.329999999999998</v>
      </c>
      <c r="M85" s="64">
        <v>59.67</v>
      </c>
      <c r="N85" s="64">
        <v>72.2</v>
      </c>
      <c r="O85" s="64">
        <v>0</v>
      </c>
      <c r="P85" s="64">
        <v>1.39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1281</v>
      </c>
      <c r="B86" s="64">
        <v>31.57</v>
      </c>
      <c r="C86" s="64">
        <v>55.93</v>
      </c>
      <c r="D86" s="64">
        <v>53.16</v>
      </c>
      <c r="E86" s="64">
        <v>6.69</v>
      </c>
      <c r="F86" s="64">
        <v>2.13</v>
      </c>
      <c r="G86" s="64">
        <v>67.58</v>
      </c>
      <c r="H86" s="64">
        <v>22.06</v>
      </c>
      <c r="I86" s="210" t="s">
        <v>43</v>
      </c>
      <c r="J86" s="64">
        <v>1.47</v>
      </c>
      <c r="K86" s="64">
        <v>304.95</v>
      </c>
      <c r="L86" s="64">
        <v>16.09</v>
      </c>
      <c r="M86" s="64">
        <v>60.18</v>
      </c>
      <c r="N86" s="64">
        <v>72.8</v>
      </c>
      <c r="O86" s="64">
        <v>0</v>
      </c>
      <c r="P86" s="64">
        <v>1.51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1282</v>
      </c>
      <c r="B87" s="64">
        <v>36.96</v>
      </c>
      <c r="C87" s="64">
        <v>55.83</v>
      </c>
      <c r="D87" s="64">
        <v>57.43</v>
      </c>
      <c r="E87" s="64">
        <v>7.13</v>
      </c>
      <c r="F87" s="64">
        <v>2.13</v>
      </c>
      <c r="G87" s="64">
        <v>162.77000000000001</v>
      </c>
      <c r="H87" s="64">
        <v>27.68</v>
      </c>
      <c r="I87" s="210" t="s">
        <v>43</v>
      </c>
      <c r="J87" s="64">
        <v>1.6</v>
      </c>
      <c r="K87" s="64">
        <v>322.95999999999998</v>
      </c>
      <c r="L87" s="64">
        <v>15.86</v>
      </c>
      <c r="M87" s="64">
        <v>72.44</v>
      </c>
      <c r="N87" s="64">
        <v>73.599999999999994</v>
      </c>
      <c r="O87" s="64">
        <v>0</v>
      </c>
      <c r="P87" s="64">
        <v>1.37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1283</v>
      </c>
      <c r="B88" s="64">
        <v>42.3</v>
      </c>
      <c r="C88" s="64">
        <v>55.38</v>
      </c>
      <c r="D88" s="64">
        <v>61.48</v>
      </c>
      <c r="E88" s="64">
        <v>7.56</v>
      </c>
      <c r="F88" s="64">
        <v>2.13</v>
      </c>
      <c r="G88" s="64">
        <v>173.35</v>
      </c>
      <c r="H88" s="64">
        <v>28.31</v>
      </c>
      <c r="I88" s="210" t="s">
        <v>43</v>
      </c>
      <c r="J88" s="64">
        <v>1.43</v>
      </c>
      <c r="K88" s="64">
        <v>319.22000000000003</v>
      </c>
      <c r="L88" s="64">
        <v>15.53</v>
      </c>
      <c r="M88" s="64">
        <v>73.3</v>
      </c>
      <c r="N88" s="64">
        <v>73.400000000000006</v>
      </c>
      <c r="O88" s="64">
        <v>0</v>
      </c>
      <c r="P88" s="64">
        <v>1.6</v>
      </c>
      <c r="Q88" s="64">
        <v>8.2200000000000006</v>
      </c>
      <c r="R88" s="198"/>
      <c r="S88" s="198"/>
      <c r="T88" s="198"/>
      <c r="U88" s="198"/>
    </row>
    <row r="89" spans="1:26" s="12" customFormat="1" x14ac:dyDescent="0.25">
      <c r="A89" s="214" t="s">
        <v>1284</v>
      </c>
      <c r="B89" s="64">
        <v>48</v>
      </c>
      <c r="C89" s="64">
        <v>55.21</v>
      </c>
      <c r="D89" s="64">
        <v>65.959999999999994</v>
      </c>
      <c r="E89" s="64">
        <v>7.91</v>
      </c>
      <c r="F89" s="64">
        <v>2.13</v>
      </c>
      <c r="G89" s="64">
        <v>173.35</v>
      </c>
      <c r="H89" s="64">
        <v>28.31</v>
      </c>
      <c r="I89" s="210" t="s">
        <v>43</v>
      </c>
      <c r="J89" s="64">
        <v>1.73</v>
      </c>
      <c r="K89" s="64">
        <v>340.58</v>
      </c>
      <c r="L89" s="64">
        <v>15.45</v>
      </c>
      <c r="M89" s="64">
        <v>71.48</v>
      </c>
      <c r="N89" s="64">
        <v>72</v>
      </c>
      <c r="O89" s="64">
        <v>0</v>
      </c>
      <c r="P89" s="64">
        <v>1.61</v>
      </c>
      <c r="Q89" s="64">
        <v>8.44</v>
      </c>
      <c r="R89" s="198"/>
      <c r="S89" s="198"/>
      <c r="T89" s="198"/>
      <c r="U89" s="198"/>
    </row>
    <row r="90" spans="1:26" s="12" customFormat="1" x14ac:dyDescent="0.25">
      <c r="A90" s="214" t="s">
        <v>1285</v>
      </c>
      <c r="B90" s="64">
        <v>51.27</v>
      </c>
      <c r="C90" s="64">
        <v>54.94</v>
      </c>
      <c r="D90" s="64">
        <v>68.44</v>
      </c>
      <c r="E90" s="64">
        <v>8.0399999999999991</v>
      </c>
      <c r="F90" s="64">
        <v>2.13</v>
      </c>
      <c r="G90" s="64">
        <v>173.35</v>
      </c>
      <c r="H90" s="64">
        <v>28.31</v>
      </c>
      <c r="I90" s="210" t="s">
        <v>43</v>
      </c>
      <c r="J90" s="64">
        <v>1.27</v>
      </c>
      <c r="K90" s="64">
        <v>288.72000000000003</v>
      </c>
      <c r="L90" s="64">
        <v>15.47</v>
      </c>
      <c r="M90" s="64">
        <v>61.08</v>
      </c>
      <c r="N90" s="64">
        <v>71.7</v>
      </c>
      <c r="O90" s="64">
        <v>0</v>
      </c>
      <c r="P90" s="64">
        <v>1.41</v>
      </c>
      <c r="Q90" s="64">
        <v>8.75</v>
      </c>
      <c r="R90" s="198"/>
      <c r="S90" s="198"/>
      <c r="T90" s="198"/>
      <c r="U90" s="198"/>
    </row>
    <row r="91" spans="1:26" s="12" customFormat="1" x14ac:dyDescent="0.25">
      <c r="A91" s="214" t="s">
        <v>1286</v>
      </c>
      <c r="B91" s="64">
        <v>52.69</v>
      </c>
      <c r="C91" s="64">
        <v>54.73</v>
      </c>
      <c r="D91" s="64">
        <v>69.47</v>
      </c>
      <c r="E91" s="64">
        <v>8.7100000000000009</v>
      </c>
      <c r="F91" s="64">
        <v>2.13</v>
      </c>
      <c r="G91" s="64">
        <v>151.11000000000001</v>
      </c>
      <c r="H91" s="64">
        <v>35.94</v>
      </c>
      <c r="I91" s="210" t="s">
        <v>43</v>
      </c>
      <c r="J91" s="64">
        <v>1.1000000000000001</v>
      </c>
      <c r="K91" s="64">
        <v>307.7</v>
      </c>
      <c r="L91" s="64">
        <v>15.62</v>
      </c>
      <c r="M91" s="64">
        <v>59.14</v>
      </c>
      <c r="N91" s="64">
        <v>81.2</v>
      </c>
      <c r="O91" s="64">
        <v>0</v>
      </c>
      <c r="P91" s="64">
        <v>1.41</v>
      </c>
      <c r="Q91" s="64">
        <v>8.9</v>
      </c>
      <c r="R91" s="198"/>
      <c r="S91" s="198"/>
      <c r="T91" s="198"/>
      <c r="U91" s="198"/>
    </row>
    <row r="92" spans="1:26" s="12" customFormat="1" x14ac:dyDescent="0.25">
      <c r="A92" s="214" t="s">
        <v>1287</v>
      </c>
      <c r="B92" s="64">
        <v>56.36</v>
      </c>
      <c r="C92" s="64">
        <v>55.54</v>
      </c>
      <c r="D92" s="64">
        <v>72.84</v>
      </c>
      <c r="E92" s="64">
        <v>8.4700000000000006</v>
      </c>
      <c r="F92" s="64">
        <v>2.13</v>
      </c>
      <c r="G92" s="64">
        <v>148.63999999999999</v>
      </c>
      <c r="H92" s="64">
        <v>36.78</v>
      </c>
      <c r="I92" s="210" t="s">
        <v>43</v>
      </c>
      <c r="J92" s="64">
        <v>0.89</v>
      </c>
      <c r="K92" s="64">
        <v>335.34</v>
      </c>
      <c r="L92" s="64">
        <v>15.6</v>
      </c>
      <c r="M92" s="64">
        <v>59.07</v>
      </c>
      <c r="N92" s="64">
        <v>79</v>
      </c>
      <c r="O92" s="64">
        <v>0</v>
      </c>
      <c r="P92" s="64">
        <v>1.53</v>
      </c>
      <c r="Q92" s="64">
        <v>9.07</v>
      </c>
      <c r="R92" s="198"/>
      <c r="S92" s="198"/>
      <c r="T92" s="198"/>
      <c r="U92" s="198"/>
    </row>
    <row r="93" spans="1:26" s="12" customFormat="1" x14ac:dyDescent="0.25">
      <c r="A93" s="214" t="s">
        <v>1288</v>
      </c>
      <c r="B93" s="64">
        <v>60.45</v>
      </c>
      <c r="C93" s="64">
        <v>56.89</v>
      </c>
      <c r="D93" s="64">
        <v>76.83</v>
      </c>
      <c r="E93" s="64">
        <v>8.58</v>
      </c>
      <c r="F93" s="64">
        <v>2.13</v>
      </c>
      <c r="G93" s="64">
        <v>148.63999999999999</v>
      </c>
      <c r="H93" s="64">
        <v>36.78</v>
      </c>
      <c r="I93" s="210" t="s">
        <v>43</v>
      </c>
      <c r="J93" s="64">
        <v>1.01</v>
      </c>
      <c r="K93" s="64">
        <v>339.6</v>
      </c>
      <c r="L93" s="64">
        <v>15.77</v>
      </c>
      <c r="M93" s="64">
        <v>58.47</v>
      </c>
      <c r="N93" s="64">
        <v>80.900000000000006</v>
      </c>
      <c r="O93" s="64">
        <v>0</v>
      </c>
      <c r="P93" s="64">
        <v>1.56</v>
      </c>
      <c r="Q93" s="64">
        <v>9.32</v>
      </c>
      <c r="R93" s="198"/>
      <c r="S93" s="198"/>
      <c r="T93" s="198"/>
      <c r="U93" s="198"/>
    </row>
    <row r="94" spans="1:26" s="12" customFormat="1" x14ac:dyDescent="0.25">
      <c r="A94" s="214" t="s">
        <v>1289</v>
      </c>
      <c r="B94" s="64">
        <v>63.73</v>
      </c>
      <c r="C94" s="64">
        <v>57.81</v>
      </c>
      <c r="D94" s="64">
        <v>79.930000000000007</v>
      </c>
      <c r="E94" s="64">
        <v>8.3000000000000007</v>
      </c>
      <c r="F94" s="64">
        <v>2.13</v>
      </c>
      <c r="G94" s="64">
        <v>148.63999999999999</v>
      </c>
      <c r="H94" s="64">
        <v>36.78</v>
      </c>
      <c r="I94" s="210" t="s">
        <v>43</v>
      </c>
      <c r="J94" s="64">
        <v>0.89</v>
      </c>
      <c r="K94" s="64">
        <v>325.35000000000002</v>
      </c>
      <c r="L94" s="64">
        <v>15.58</v>
      </c>
      <c r="M94" s="64">
        <v>58.96</v>
      </c>
      <c r="N94" s="64">
        <v>88.9</v>
      </c>
      <c r="O94" s="64">
        <v>0</v>
      </c>
      <c r="P94" s="64">
        <v>1.58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14" t="s">
        <v>1290</v>
      </c>
      <c r="B95" s="64">
        <v>67.64</v>
      </c>
      <c r="C95" s="64">
        <v>58.23</v>
      </c>
      <c r="D95" s="64">
        <v>83.28</v>
      </c>
      <c r="E95" s="64">
        <v>8.1</v>
      </c>
      <c r="F95" s="64">
        <v>2.13</v>
      </c>
      <c r="G95" s="64">
        <v>118.53</v>
      </c>
      <c r="H95" s="64">
        <v>32.06</v>
      </c>
      <c r="I95" s="210" t="s">
        <v>43</v>
      </c>
      <c r="J95" s="64">
        <v>1.03</v>
      </c>
      <c r="K95" s="64">
        <v>341.54</v>
      </c>
      <c r="L95" s="64">
        <v>15.41</v>
      </c>
      <c r="M95" s="64">
        <v>60.28</v>
      </c>
      <c r="N95" s="64">
        <v>88.6</v>
      </c>
      <c r="O95" s="64">
        <v>0</v>
      </c>
      <c r="P95" s="64">
        <v>1.62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4" t="s">
        <v>1291</v>
      </c>
      <c r="B96" s="64">
        <v>71.7</v>
      </c>
      <c r="C96" s="64">
        <v>58.26</v>
      </c>
      <c r="D96" s="64">
        <v>86.56</v>
      </c>
      <c r="E96" s="64">
        <v>7.86</v>
      </c>
      <c r="F96" s="64">
        <v>2.13</v>
      </c>
      <c r="G96" s="64">
        <v>115.19</v>
      </c>
      <c r="H96" s="64">
        <v>31.53</v>
      </c>
      <c r="I96" s="210" t="s">
        <v>43</v>
      </c>
      <c r="J96" s="64">
        <v>1.77</v>
      </c>
      <c r="K96" s="64">
        <v>348.57</v>
      </c>
      <c r="L96" s="64">
        <v>15.14</v>
      </c>
      <c r="M96" s="64">
        <v>67.209999999999994</v>
      </c>
      <c r="N96" s="64">
        <v>90.8</v>
      </c>
      <c r="O96" s="64">
        <v>0</v>
      </c>
      <c r="P96" s="64">
        <v>1.66</v>
      </c>
      <c r="Q96" s="64">
        <v>9.5500000000000007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1292</v>
      </c>
      <c r="B97" s="64">
        <v>74.87</v>
      </c>
      <c r="C97" s="64">
        <v>58.01</v>
      </c>
      <c r="D97" s="64">
        <v>88.97</v>
      </c>
      <c r="E97" s="64">
        <v>8.1300000000000008</v>
      </c>
      <c r="F97" s="64">
        <v>2.13</v>
      </c>
      <c r="G97" s="64">
        <v>115.19</v>
      </c>
      <c r="H97" s="64">
        <v>31.53</v>
      </c>
      <c r="I97" s="210" t="s">
        <v>43</v>
      </c>
      <c r="J97" s="64">
        <v>1.32</v>
      </c>
      <c r="K97" s="64">
        <v>334.26</v>
      </c>
      <c r="L97" s="64">
        <v>14.55</v>
      </c>
      <c r="M97" s="64">
        <v>70.47</v>
      </c>
      <c r="N97" s="64">
        <v>91.1</v>
      </c>
      <c r="O97" s="64">
        <v>0</v>
      </c>
      <c r="P97" s="64">
        <v>1.67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4" t="s">
        <v>1293</v>
      </c>
      <c r="B98" s="64">
        <v>77.89</v>
      </c>
      <c r="C98" s="64">
        <v>57.5</v>
      </c>
      <c r="D98" s="64">
        <v>91.13</v>
      </c>
      <c r="E98" s="64">
        <v>7.61</v>
      </c>
      <c r="F98" s="64">
        <v>2.13</v>
      </c>
      <c r="G98" s="64">
        <v>115.19</v>
      </c>
      <c r="H98" s="64">
        <v>31.53</v>
      </c>
      <c r="I98" s="210" t="s">
        <v>43</v>
      </c>
      <c r="J98" s="64">
        <v>1.41</v>
      </c>
      <c r="K98" s="64">
        <v>313.45</v>
      </c>
      <c r="L98" s="64">
        <v>14.26</v>
      </c>
      <c r="M98" s="64">
        <v>67.73</v>
      </c>
      <c r="N98" s="64">
        <v>88.2</v>
      </c>
      <c r="O98" s="64">
        <v>0</v>
      </c>
      <c r="P98" s="64">
        <v>1.69</v>
      </c>
      <c r="Q98" s="64">
        <v>9.61</v>
      </c>
      <c r="R98" s="198"/>
      <c r="S98" s="198"/>
      <c r="T98" s="198"/>
      <c r="U98" s="198"/>
    </row>
    <row r="99" spans="1:33" s="12" customFormat="1" x14ac:dyDescent="0.25">
      <c r="A99" s="214" t="s">
        <v>1294</v>
      </c>
      <c r="B99" s="64">
        <v>78.98</v>
      </c>
      <c r="C99" s="64">
        <v>57.07</v>
      </c>
      <c r="D99" s="64">
        <v>91.78</v>
      </c>
      <c r="E99" s="64">
        <v>7.74</v>
      </c>
      <c r="F99" s="64">
        <v>2.13</v>
      </c>
      <c r="G99" s="64">
        <v>106.98</v>
      </c>
      <c r="H99" s="64">
        <v>32.69</v>
      </c>
      <c r="I99" s="210" t="s">
        <v>43</v>
      </c>
      <c r="J99" s="64">
        <v>0.89</v>
      </c>
      <c r="K99" s="64">
        <v>325.07</v>
      </c>
      <c r="L99" s="64">
        <v>14.3</v>
      </c>
      <c r="M99" s="64">
        <v>64.58</v>
      </c>
      <c r="N99" s="64">
        <v>88.6</v>
      </c>
      <c r="O99" s="64">
        <v>0</v>
      </c>
      <c r="P99" s="64">
        <v>1.68</v>
      </c>
      <c r="Q99" s="64">
        <v>9.6300000000000008</v>
      </c>
      <c r="R99" s="198"/>
      <c r="S99" s="198"/>
      <c r="T99" s="198"/>
      <c r="U99" s="198"/>
    </row>
    <row r="100" spans="1:33" s="12" customFormat="1" x14ac:dyDescent="0.25">
      <c r="A100" s="214" t="s">
        <v>1295</v>
      </c>
      <c r="B100" s="64">
        <v>79.650000000000006</v>
      </c>
      <c r="C100" s="64">
        <v>55.67</v>
      </c>
      <c r="D100" s="64">
        <v>91.58</v>
      </c>
      <c r="E100" s="64">
        <v>7.59</v>
      </c>
      <c r="F100" s="64">
        <v>2.13</v>
      </c>
      <c r="G100" s="64">
        <v>106.07</v>
      </c>
      <c r="H100" s="64">
        <v>32.82</v>
      </c>
      <c r="I100" s="210" t="s">
        <v>43</v>
      </c>
      <c r="J100" s="64">
        <v>1.21</v>
      </c>
      <c r="K100" s="64">
        <v>348.37</v>
      </c>
      <c r="L100" s="64">
        <v>14.27</v>
      </c>
      <c r="M100" s="64">
        <v>66.8</v>
      </c>
      <c r="N100" s="64">
        <v>88.6</v>
      </c>
      <c r="O100" s="64">
        <v>0</v>
      </c>
      <c r="P100" s="64">
        <v>1.68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1296</v>
      </c>
      <c r="B101" s="64">
        <v>79.94</v>
      </c>
      <c r="C101" s="64">
        <v>55.8</v>
      </c>
      <c r="D101" s="64">
        <v>91.88</v>
      </c>
      <c r="E101" s="64">
        <v>7.35</v>
      </c>
      <c r="F101" s="64">
        <v>2.13</v>
      </c>
      <c r="G101" s="64">
        <v>106.07</v>
      </c>
      <c r="H101" s="64">
        <v>32.82</v>
      </c>
      <c r="I101" s="210" t="s">
        <v>43</v>
      </c>
      <c r="J101" s="64">
        <v>0.77</v>
      </c>
      <c r="K101" s="64">
        <v>84.58</v>
      </c>
      <c r="L101" s="64">
        <v>14.2</v>
      </c>
      <c r="M101" s="64">
        <v>66.180000000000007</v>
      </c>
      <c r="N101" s="64">
        <v>85.6</v>
      </c>
      <c r="O101" s="64">
        <v>0</v>
      </c>
      <c r="P101" s="64">
        <v>1.65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4" t="s">
        <v>1297</v>
      </c>
      <c r="B102" s="64">
        <v>78.56</v>
      </c>
      <c r="C102" s="64">
        <v>55.5</v>
      </c>
      <c r="D102" s="64">
        <v>90.62</v>
      </c>
      <c r="E102" s="64">
        <v>7.88</v>
      </c>
      <c r="F102" s="64">
        <v>2.13</v>
      </c>
      <c r="G102" s="64">
        <v>106.07</v>
      </c>
      <c r="H102" s="64">
        <v>32.82</v>
      </c>
      <c r="I102" s="210" t="s">
        <v>43</v>
      </c>
      <c r="J102" s="64">
        <v>0.42</v>
      </c>
      <c r="K102" s="64">
        <v>93.09</v>
      </c>
      <c r="L102" s="64">
        <v>14.29</v>
      </c>
      <c r="M102" s="64">
        <v>66.099999999999994</v>
      </c>
      <c r="N102" s="64">
        <v>86.1</v>
      </c>
      <c r="O102" s="64">
        <v>0</v>
      </c>
      <c r="P102" s="64">
        <v>1.61</v>
      </c>
      <c r="Q102" s="64">
        <v>9.66</v>
      </c>
      <c r="R102" s="198"/>
      <c r="S102" s="198"/>
      <c r="T102" s="198"/>
      <c r="U102" s="198"/>
    </row>
    <row r="103" spans="1:33" s="12" customFormat="1" x14ac:dyDescent="0.25">
      <c r="A103" s="214" t="s">
        <v>1298</v>
      </c>
      <c r="B103" s="64">
        <v>77.05</v>
      </c>
      <c r="C103" s="64">
        <v>55.47</v>
      </c>
      <c r="D103" s="64">
        <v>89.39</v>
      </c>
      <c r="E103" s="64">
        <v>7.13</v>
      </c>
      <c r="F103" s="64">
        <v>2.13</v>
      </c>
      <c r="G103" s="64">
        <v>107.91</v>
      </c>
      <c r="H103" s="64">
        <v>33.33</v>
      </c>
      <c r="I103" s="210" t="s">
        <v>43</v>
      </c>
      <c r="J103" s="64">
        <v>1.58</v>
      </c>
      <c r="K103" s="64">
        <v>105.39</v>
      </c>
      <c r="L103" s="64">
        <v>14.06</v>
      </c>
      <c r="M103" s="64">
        <v>68.459999999999994</v>
      </c>
      <c r="N103" s="64">
        <v>76.599999999999994</v>
      </c>
      <c r="O103" s="64">
        <v>0</v>
      </c>
      <c r="P103" s="64">
        <v>1.6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4" t="s">
        <v>1299</v>
      </c>
      <c r="B104" s="64">
        <v>74.83</v>
      </c>
      <c r="C104" s="64">
        <v>54.48</v>
      </c>
      <c r="D104" s="64">
        <v>87.1</v>
      </c>
      <c r="E104" s="64">
        <v>7.82</v>
      </c>
      <c r="F104" s="64">
        <v>2.13</v>
      </c>
      <c r="G104" s="64">
        <v>108.12</v>
      </c>
      <c r="H104" s="64">
        <v>33.380000000000003</v>
      </c>
      <c r="I104" s="210" t="s">
        <v>43</v>
      </c>
      <c r="J104" s="64">
        <v>1.65</v>
      </c>
      <c r="K104" s="64">
        <v>82.21</v>
      </c>
      <c r="L104" s="64">
        <v>13.91</v>
      </c>
      <c r="M104" s="64">
        <v>69.08</v>
      </c>
      <c r="N104" s="64">
        <v>72.3</v>
      </c>
      <c r="O104" s="64">
        <v>0</v>
      </c>
      <c r="P104" s="64">
        <v>1.6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</v>
      </c>
      <c r="C106" s="67">
        <f>MIN(C9:C104)</f>
        <v>42.94</v>
      </c>
      <c r="D106" s="67">
        <f t="shared" ref="D106:Q106" si="0">MIN(D9:D104)</f>
        <v>25.36</v>
      </c>
      <c r="E106" s="67">
        <f t="shared" si="0"/>
        <v>4.41</v>
      </c>
      <c r="F106" s="67">
        <f t="shared" si="0"/>
        <v>2.13</v>
      </c>
      <c r="G106" s="67">
        <f t="shared" si="0"/>
        <v>39.92</v>
      </c>
      <c r="H106" s="67">
        <f t="shared" si="0"/>
        <v>22.06</v>
      </c>
      <c r="I106" s="67">
        <f t="shared" si="0"/>
        <v>0</v>
      </c>
      <c r="J106" s="67">
        <f t="shared" si="0"/>
        <v>0.06</v>
      </c>
      <c r="K106" s="67">
        <f t="shared" si="0"/>
        <v>1.39</v>
      </c>
      <c r="L106" s="67">
        <f t="shared" si="0"/>
        <v>8.3699999999999992</v>
      </c>
      <c r="M106" s="67">
        <f t="shared" si="0"/>
        <v>30.22</v>
      </c>
      <c r="N106" s="67">
        <f t="shared" si="0"/>
        <v>61.9</v>
      </c>
      <c r="O106" s="67">
        <f t="shared" si="0"/>
        <v>0</v>
      </c>
      <c r="P106" s="67">
        <f t="shared" si="0"/>
        <v>0.59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101.42</v>
      </c>
      <c r="C107" s="66">
        <f t="shared" ref="C107:Q107" si="1">MAX(C9:C104)</f>
        <v>63.15</v>
      </c>
      <c r="D107" s="66">
        <f t="shared" si="1"/>
        <v>104.22</v>
      </c>
      <c r="E107" s="66">
        <f t="shared" si="1"/>
        <v>10.62</v>
      </c>
      <c r="F107" s="66">
        <f t="shared" si="1"/>
        <v>2.13</v>
      </c>
      <c r="G107" s="66">
        <f t="shared" si="1"/>
        <v>173.35</v>
      </c>
      <c r="H107" s="66">
        <f t="shared" si="1"/>
        <v>53.64</v>
      </c>
      <c r="I107" s="66">
        <f t="shared" si="1"/>
        <v>0</v>
      </c>
      <c r="J107" s="66">
        <f t="shared" si="1"/>
        <v>2.76</v>
      </c>
      <c r="K107" s="66">
        <f t="shared" si="1"/>
        <v>354.3</v>
      </c>
      <c r="L107" s="66">
        <f t="shared" si="1"/>
        <v>25.08</v>
      </c>
      <c r="M107" s="66">
        <f t="shared" si="1"/>
        <v>100.47</v>
      </c>
      <c r="N107" s="66">
        <f t="shared" si="1"/>
        <v>694.8</v>
      </c>
      <c r="O107" s="66">
        <f t="shared" si="1"/>
        <v>0</v>
      </c>
      <c r="P107" s="66">
        <f t="shared" si="1"/>
        <v>1.69</v>
      </c>
      <c r="Q107" s="66">
        <f t="shared" si="1"/>
        <v>9.7899999999999991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43.14083333333334</v>
      </c>
      <c r="C108" s="67">
        <f t="shared" ref="C108:Q108" si="2">AVERAGE(C9:C104)</f>
        <v>53.967395833333342</v>
      </c>
      <c r="D108" s="67">
        <f t="shared" si="2"/>
        <v>61.414895833333361</v>
      </c>
      <c r="E108" s="67">
        <f t="shared" si="2"/>
        <v>7.2064583333333347</v>
      </c>
      <c r="F108" s="67">
        <f t="shared" si="2"/>
        <v>2.1299999999999972</v>
      </c>
      <c r="G108" s="67">
        <f t="shared" si="2"/>
        <v>98.897291666666675</v>
      </c>
      <c r="H108" s="67">
        <f t="shared" si="2"/>
        <v>37.072812499999991</v>
      </c>
      <c r="I108" s="67" t="e">
        <f t="shared" si="2"/>
        <v>#DIV/0!</v>
      </c>
      <c r="J108" s="67">
        <f t="shared" si="2"/>
        <v>1.3917708333333334</v>
      </c>
      <c r="K108" s="67">
        <f t="shared" si="2"/>
        <v>201.58770833333332</v>
      </c>
      <c r="L108" s="67">
        <f t="shared" si="2"/>
        <v>15.954895833333326</v>
      </c>
      <c r="M108" s="67">
        <f t="shared" si="2"/>
        <v>60.158750000000026</v>
      </c>
      <c r="N108" s="67">
        <f t="shared" si="2"/>
        <v>217.77916666666658</v>
      </c>
      <c r="O108" s="67">
        <f t="shared" si="2"/>
        <v>0</v>
      </c>
      <c r="P108" s="67">
        <f t="shared" si="2"/>
        <v>1.1762500000000002</v>
      </c>
      <c r="Q108" s="67">
        <f t="shared" si="2"/>
        <v>8.557812500000006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29.596327498585168</v>
      </c>
      <c r="C109" s="67">
        <f t="shared" ref="C109:Q109" si="3">STDEV(C9:C104)</f>
        <v>6.0941667095486363</v>
      </c>
      <c r="D109" s="67">
        <f t="shared" si="3"/>
        <v>23.404584301047112</v>
      </c>
      <c r="E109" s="67">
        <f t="shared" si="3"/>
        <v>1.3998225294783162</v>
      </c>
      <c r="F109" s="67">
        <f t="shared" si="3"/>
        <v>2.678522416932523E-15</v>
      </c>
      <c r="G109" s="67">
        <f t="shared" si="3"/>
        <v>38.290607628865331</v>
      </c>
      <c r="H109" s="67">
        <f t="shared" si="3"/>
        <v>9.6256807500205586</v>
      </c>
      <c r="I109" s="67" t="e">
        <f t="shared" si="3"/>
        <v>#DIV/0!</v>
      </c>
      <c r="J109" s="67">
        <f t="shared" si="3"/>
        <v>0.57900276299980091</v>
      </c>
      <c r="K109" s="67">
        <f t="shared" si="3"/>
        <v>115.50953925956129</v>
      </c>
      <c r="L109" s="67">
        <f t="shared" si="3"/>
        <v>5.1276493013325641</v>
      </c>
      <c r="M109" s="67">
        <f t="shared" si="3"/>
        <v>21.879756240824332</v>
      </c>
      <c r="N109" s="67">
        <f t="shared" si="3"/>
        <v>225.12653186791925</v>
      </c>
      <c r="O109" s="67">
        <f t="shared" si="3"/>
        <v>0</v>
      </c>
      <c r="P109" s="67">
        <f t="shared" si="3"/>
        <v>0.30252359629587366</v>
      </c>
      <c r="Q109" s="67">
        <f t="shared" si="3"/>
        <v>1.4095988254407834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1300</v>
      </c>
      <c r="B9" s="64">
        <v>72.09</v>
      </c>
      <c r="C9" s="64">
        <v>54.16</v>
      </c>
      <c r="D9" s="64">
        <v>84.73</v>
      </c>
      <c r="E9" s="64">
        <v>8.0299999999999994</v>
      </c>
      <c r="F9" s="64">
        <v>2.13</v>
      </c>
      <c r="G9" s="64">
        <v>108.12</v>
      </c>
      <c r="H9" s="64">
        <v>33.380000000000003</v>
      </c>
      <c r="I9" s="210" t="s">
        <v>43</v>
      </c>
      <c r="J9" s="64">
        <v>1.42</v>
      </c>
      <c r="K9" s="64">
        <v>56.29</v>
      </c>
      <c r="L9" s="64">
        <v>13.72</v>
      </c>
      <c r="M9" s="64">
        <v>69.27</v>
      </c>
      <c r="N9" s="64">
        <v>80.7</v>
      </c>
      <c r="O9" s="64">
        <v>0</v>
      </c>
      <c r="P9" s="64">
        <v>1.54</v>
      </c>
      <c r="Q9" s="64">
        <v>9.61</v>
      </c>
      <c r="R9" s="198"/>
      <c r="S9" s="198"/>
      <c r="T9" s="198"/>
      <c r="U9" s="198"/>
    </row>
    <row r="10" spans="1:21" s="12" customFormat="1" x14ac:dyDescent="0.25">
      <c r="A10" s="214" t="s">
        <v>1301</v>
      </c>
      <c r="B10" s="64">
        <v>69.209999999999994</v>
      </c>
      <c r="C10" s="64">
        <v>53.03</v>
      </c>
      <c r="D10" s="64">
        <v>81.83</v>
      </c>
      <c r="E10" s="64">
        <v>8.2100000000000009</v>
      </c>
      <c r="F10" s="64">
        <v>2.13</v>
      </c>
      <c r="G10" s="64">
        <v>108.12</v>
      </c>
      <c r="H10" s="64">
        <v>33.380000000000003</v>
      </c>
      <c r="I10" s="210" t="s">
        <v>43</v>
      </c>
      <c r="J10" s="64">
        <v>0.33</v>
      </c>
      <c r="K10" s="64">
        <v>24.58</v>
      </c>
      <c r="L10" s="64">
        <v>13.56</v>
      </c>
      <c r="M10" s="64">
        <v>70.819999999999993</v>
      </c>
      <c r="N10" s="64">
        <v>84.5</v>
      </c>
      <c r="O10" s="64">
        <v>0</v>
      </c>
      <c r="P10" s="64">
        <v>1.51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4" t="s">
        <v>1302</v>
      </c>
      <c r="B11" s="64">
        <v>66.95</v>
      </c>
      <c r="C11" s="64">
        <v>53.09</v>
      </c>
      <c r="D11" s="64">
        <v>80.05</v>
      </c>
      <c r="E11" s="64">
        <v>8.23</v>
      </c>
      <c r="F11" s="64">
        <v>2.13</v>
      </c>
      <c r="G11" s="64">
        <v>93.45</v>
      </c>
      <c r="H11" s="64">
        <v>35.799999999999997</v>
      </c>
      <c r="I11" s="210" t="s">
        <v>43</v>
      </c>
      <c r="J11" s="64">
        <v>0.77</v>
      </c>
      <c r="K11" s="64">
        <v>286.95</v>
      </c>
      <c r="L11" s="64">
        <v>13.15</v>
      </c>
      <c r="M11" s="64">
        <v>75.91</v>
      </c>
      <c r="N11" s="64">
        <v>82.8</v>
      </c>
      <c r="O11" s="64">
        <v>0</v>
      </c>
      <c r="P11" s="64">
        <v>1.58</v>
      </c>
      <c r="Q11" s="64">
        <v>9.57</v>
      </c>
      <c r="R11" s="198"/>
      <c r="S11" s="198"/>
      <c r="T11" s="198"/>
      <c r="U11" s="198"/>
    </row>
    <row r="12" spans="1:21" s="12" customFormat="1" x14ac:dyDescent="0.25">
      <c r="A12" s="214" t="s">
        <v>1303</v>
      </c>
      <c r="B12" s="64">
        <v>64.97</v>
      </c>
      <c r="C12" s="64">
        <v>52.6</v>
      </c>
      <c r="D12" s="64">
        <v>78.209999999999994</v>
      </c>
      <c r="E12" s="64">
        <v>8.3699999999999992</v>
      </c>
      <c r="F12" s="64">
        <v>2.13</v>
      </c>
      <c r="G12" s="64">
        <v>91.82</v>
      </c>
      <c r="H12" s="64">
        <v>36.06</v>
      </c>
      <c r="I12" s="210" t="s">
        <v>43</v>
      </c>
      <c r="J12" s="64">
        <v>1.37</v>
      </c>
      <c r="K12" s="64">
        <v>301.73</v>
      </c>
      <c r="L12" s="64">
        <v>12.84</v>
      </c>
      <c r="M12" s="64">
        <v>83.36</v>
      </c>
      <c r="N12" s="64">
        <v>83.2</v>
      </c>
      <c r="O12" s="64">
        <v>0</v>
      </c>
      <c r="P12" s="64">
        <v>1.5</v>
      </c>
      <c r="Q12" s="64">
        <v>9.57</v>
      </c>
      <c r="R12" s="198"/>
      <c r="S12" s="198"/>
      <c r="T12" s="198"/>
      <c r="U12" s="198"/>
    </row>
    <row r="13" spans="1:21" s="12" customFormat="1" x14ac:dyDescent="0.25">
      <c r="A13" s="214" t="s">
        <v>1304</v>
      </c>
      <c r="B13" s="64">
        <v>62.45</v>
      </c>
      <c r="C13" s="64">
        <v>52.15</v>
      </c>
      <c r="D13" s="64">
        <v>75.95</v>
      </c>
      <c r="E13" s="64">
        <v>8.16</v>
      </c>
      <c r="F13" s="64">
        <v>2.13</v>
      </c>
      <c r="G13" s="64">
        <v>91.82</v>
      </c>
      <c r="H13" s="64">
        <v>36.06</v>
      </c>
      <c r="I13" s="210" t="s">
        <v>43</v>
      </c>
      <c r="J13" s="64">
        <v>1.07</v>
      </c>
      <c r="K13" s="64">
        <v>267.24</v>
      </c>
      <c r="L13" s="64">
        <v>12.94</v>
      </c>
      <c r="M13" s="64">
        <v>75.3</v>
      </c>
      <c r="N13" s="64">
        <v>84.8</v>
      </c>
      <c r="O13" s="64">
        <v>0</v>
      </c>
      <c r="P13" s="64">
        <v>1.39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4" t="s">
        <v>1305</v>
      </c>
      <c r="B14" s="64">
        <v>58.96</v>
      </c>
      <c r="C14" s="64">
        <v>51.74</v>
      </c>
      <c r="D14" s="64">
        <v>72.94</v>
      </c>
      <c r="E14" s="64">
        <v>7.93</v>
      </c>
      <c r="F14" s="64">
        <v>2.13</v>
      </c>
      <c r="G14" s="64">
        <v>91.82</v>
      </c>
      <c r="H14" s="64">
        <v>36.06</v>
      </c>
      <c r="I14" s="210" t="s">
        <v>43</v>
      </c>
      <c r="J14" s="64">
        <v>0.69</v>
      </c>
      <c r="K14" s="64">
        <v>120.69</v>
      </c>
      <c r="L14" s="64">
        <v>13.43</v>
      </c>
      <c r="M14" s="64">
        <v>68.930000000000007</v>
      </c>
      <c r="N14" s="64">
        <v>84</v>
      </c>
      <c r="O14" s="64">
        <v>0</v>
      </c>
      <c r="P14" s="64">
        <v>1.37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1306</v>
      </c>
      <c r="B15" s="64">
        <v>55.45</v>
      </c>
      <c r="C15" s="64">
        <v>51.3</v>
      </c>
      <c r="D15" s="64">
        <v>69.89</v>
      </c>
      <c r="E15" s="64">
        <v>7.49</v>
      </c>
      <c r="F15" s="64">
        <v>2.13</v>
      </c>
      <c r="G15" s="64">
        <v>84.46</v>
      </c>
      <c r="H15" s="64">
        <v>34.69</v>
      </c>
      <c r="I15" s="210" t="s">
        <v>43</v>
      </c>
      <c r="J15" s="64">
        <v>1.85</v>
      </c>
      <c r="K15" s="64">
        <v>99.55</v>
      </c>
      <c r="L15" s="64">
        <v>14.12</v>
      </c>
      <c r="M15" s="64">
        <v>63.16</v>
      </c>
      <c r="N15" s="64">
        <v>87</v>
      </c>
      <c r="O15" s="64">
        <v>0</v>
      </c>
      <c r="P15" s="64">
        <v>1.32</v>
      </c>
      <c r="Q15" s="64">
        <v>9.18</v>
      </c>
      <c r="R15" s="198"/>
      <c r="S15" s="198"/>
      <c r="T15" s="198"/>
      <c r="U15" s="198"/>
    </row>
    <row r="16" spans="1:21" s="12" customFormat="1" x14ac:dyDescent="0.25">
      <c r="A16" s="214" t="s">
        <v>1307</v>
      </c>
      <c r="B16" s="64">
        <v>51.84</v>
      </c>
      <c r="C16" s="64">
        <v>51.16</v>
      </c>
      <c r="D16" s="64">
        <v>66.92</v>
      </c>
      <c r="E16" s="64">
        <v>7.68</v>
      </c>
      <c r="F16" s="64">
        <v>2.13</v>
      </c>
      <c r="G16" s="64">
        <v>81.3</v>
      </c>
      <c r="H16" s="64">
        <v>34.07</v>
      </c>
      <c r="I16" s="210" t="s">
        <v>43</v>
      </c>
      <c r="J16" s="64">
        <v>2.6</v>
      </c>
      <c r="K16" s="64">
        <v>99.34</v>
      </c>
      <c r="L16" s="64">
        <v>14.19</v>
      </c>
      <c r="M16" s="64">
        <v>62.25</v>
      </c>
      <c r="N16" s="64">
        <v>87.5</v>
      </c>
      <c r="O16" s="64">
        <v>0</v>
      </c>
      <c r="P16" s="64">
        <v>1.28</v>
      </c>
      <c r="Q16" s="64">
        <v>8.94</v>
      </c>
      <c r="R16" s="198"/>
      <c r="S16" s="198"/>
      <c r="T16" s="198"/>
      <c r="U16" s="198"/>
    </row>
    <row r="17" spans="1:21" s="12" customFormat="1" x14ac:dyDescent="0.25">
      <c r="A17" s="214" t="s">
        <v>1308</v>
      </c>
      <c r="B17" s="64">
        <v>47.97</v>
      </c>
      <c r="C17" s="64">
        <v>50.99</v>
      </c>
      <c r="D17" s="64">
        <v>63.73</v>
      </c>
      <c r="E17" s="64">
        <v>7.42</v>
      </c>
      <c r="F17" s="64">
        <v>2.13</v>
      </c>
      <c r="G17" s="64">
        <v>81.3</v>
      </c>
      <c r="H17" s="64">
        <v>34.07</v>
      </c>
      <c r="I17" s="210" t="s">
        <v>43</v>
      </c>
      <c r="J17" s="64">
        <v>2.68</v>
      </c>
      <c r="K17" s="64">
        <v>104.02</v>
      </c>
      <c r="L17" s="64">
        <v>14.17</v>
      </c>
      <c r="M17" s="64">
        <v>62.21</v>
      </c>
      <c r="N17" s="64">
        <v>82.7</v>
      </c>
      <c r="O17" s="64">
        <v>0</v>
      </c>
      <c r="P17" s="64">
        <v>1.23</v>
      </c>
      <c r="Q17" s="64">
        <v>8.68</v>
      </c>
      <c r="R17" s="198"/>
      <c r="S17" s="198"/>
      <c r="T17" s="198"/>
      <c r="U17" s="198"/>
    </row>
    <row r="18" spans="1:21" s="12" customFormat="1" x14ac:dyDescent="0.25">
      <c r="A18" s="214" t="s">
        <v>1309</v>
      </c>
      <c r="B18" s="64">
        <v>44.46</v>
      </c>
      <c r="C18" s="64">
        <v>51.09</v>
      </c>
      <c r="D18" s="64">
        <v>60.97</v>
      </c>
      <c r="E18" s="64">
        <v>7.21</v>
      </c>
      <c r="F18" s="64">
        <v>2.13</v>
      </c>
      <c r="G18" s="64">
        <v>81.3</v>
      </c>
      <c r="H18" s="64">
        <v>34.07</v>
      </c>
      <c r="I18" s="210" t="s">
        <v>43</v>
      </c>
      <c r="J18" s="64">
        <v>2.2400000000000002</v>
      </c>
      <c r="K18" s="64">
        <v>100.77</v>
      </c>
      <c r="L18" s="64">
        <v>14.09</v>
      </c>
      <c r="M18" s="64">
        <v>62.76</v>
      </c>
      <c r="N18" s="64">
        <v>83.3</v>
      </c>
      <c r="O18" s="64">
        <v>0</v>
      </c>
      <c r="P18" s="64">
        <v>1.19</v>
      </c>
      <c r="Q18" s="64">
        <v>8.43</v>
      </c>
      <c r="R18" s="198"/>
      <c r="S18" s="198"/>
      <c r="T18" s="198"/>
      <c r="U18" s="198"/>
    </row>
    <row r="19" spans="1:21" s="12" customFormat="1" x14ac:dyDescent="0.25">
      <c r="A19" s="214" t="s">
        <v>1310</v>
      </c>
      <c r="B19" s="64">
        <v>41.36</v>
      </c>
      <c r="C19" s="64">
        <v>50.85</v>
      </c>
      <c r="D19" s="64">
        <v>58.36</v>
      </c>
      <c r="E19" s="64">
        <v>7.19</v>
      </c>
      <c r="F19" s="64">
        <v>2.13</v>
      </c>
      <c r="G19" s="64">
        <v>65.75</v>
      </c>
      <c r="H19" s="64">
        <v>32.82</v>
      </c>
      <c r="I19" s="210" t="s">
        <v>43</v>
      </c>
      <c r="J19" s="64">
        <v>2.77</v>
      </c>
      <c r="K19" s="64">
        <v>108.16</v>
      </c>
      <c r="L19" s="64">
        <v>14.05</v>
      </c>
      <c r="M19" s="64">
        <v>62.16</v>
      </c>
      <c r="N19" s="64">
        <v>86</v>
      </c>
      <c r="O19" s="64">
        <v>0</v>
      </c>
      <c r="P19" s="64">
        <v>1.1499999999999999</v>
      </c>
      <c r="Q19" s="64">
        <v>8.23</v>
      </c>
      <c r="R19" s="198"/>
      <c r="S19" s="198"/>
      <c r="T19" s="198"/>
      <c r="U19" s="198"/>
    </row>
    <row r="20" spans="1:21" s="12" customFormat="1" x14ac:dyDescent="0.25">
      <c r="A20" s="214" t="s">
        <v>1311</v>
      </c>
      <c r="B20" s="64">
        <v>38.22</v>
      </c>
      <c r="C20" s="64">
        <v>50.12</v>
      </c>
      <c r="D20" s="64">
        <v>55.46</v>
      </c>
      <c r="E20" s="64">
        <v>7.08</v>
      </c>
      <c r="F20" s="64">
        <v>2.13</v>
      </c>
      <c r="G20" s="64">
        <v>58.72</v>
      </c>
      <c r="H20" s="64">
        <v>32.25</v>
      </c>
      <c r="I20" s="210" t="s">
        <v>43</v>
      </c>
      <c r="J20" s="64">
        <v>2.3199999999999998</v>
      </c>
      <c r="K20" s="64">
        <v>99.4</v>
      </c>
      <c r="L20" s="64">
        <v>14.04</v>
      </c>
      <c r="M20" s="64">
        <v>61.7</v>
      </c>
      <c r="N20" s="64">
        <v>87.7</v>
      </c>
      <c r="O20" s="64">
        <v>0</v>
      </c>
      <c r="P20" s="64">
        <v>1.1000000000000001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1312</v>
      </c>
      <c r="B21" s="64">
        <v>34.93</v>
      </c>
      <c r="C21" s="64">
        <v>48.98</v>
      </c>
      <c r="D21" s="64">
        <v>52.23</v>
      </c>
      <c r="E21" s="64">
        <v>6.76</v>
      </c>
      <c r="F21" s="64">
        <v>2.13</v>
      </c>
      <c r="G21" s="64">
        <v>58.72</v>
      </c>
      <c r="H21" s="64">
        <v>32.25</v>
      </c>
      <c r="I21" s="210" t="s">
        <v>43</v>
      </c>
      <c r="J21" s="64">
        <v>2.29</v>
      </c>
      <c r="K21" s="64">
        <v>105.79</v>
      </c>
      <c r="L21" s="64">
        <v>13.93</v>
      </c>
      <c r="M21" s="64">
        <v>62.14</v>
      </c>
      <c r="N21" s="64">
        <v>88.9</v>
      </c>
      <c r="O21" s="64">
        <v>0</v>
      </c>
      <c r="P21" s="64">
        <v>1.05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1313</v>
      </c>
      <c r="B22" s="64">
        <v>32.32</v>
      </c>
      <c r="C22" s="64">
        <v>49.24</v>
      </c>
      <c r="D22" s="64">
        <v>50.27</v>
      </c>
      <c r="E22" s="64">
        <v>6.78</v>
      </c>
      <c r="F22" s="64">
        <v>2.13</v>
      </c>
      <c r="G22" s="64">
        <v>58.72</v>
      </c>
      <c r="H22" s="64">
        <v>32.25</v>
      </c>
      <c r="I22" s="210" t="s">
        <v>43</v>
      </c>
      <c r="J22" s="64">
        <v>2.4500000000000002</v>
      </c>
      <c r="K22" s="64">
        <v>105.85</v>
      </c>
      <c r="L22" s="64">
        <v>13.79</v>
      </c>
      <c r="M22" s="64">
        <v>62.82</v>
      </c>
      <c r="N22" s="64">
        <v>88.2</v>
      </c>
      <c r="O22" s="64">
        <v>0</v>
      </c>
      <c r="P22" s="64">
        <v>1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1314</v>
      </c>
      <c r="B23" s="64">
        <v>30.22</v>
      </c>
      <c r="C23" s="64">
        <v>48.8</v>
      </c>
      <c r="D23" s="64">
        <v>48.35</v>
      </c>
      <c r="E23" s="64">
        <v>7.28</v>
      </c>
      <c r="F23" s="64">
        <v>2.13</v>
      </c>
      <c r="G23" s="64">
        <v>57.61</v>
      </c>
      <c r="H23" s="64">
        <v>30.62</v>
      </c>
      <c r="I23" s="210" t="s">
        <v>43</v>
      </c>
      <c r="J23" s="64">
        <v>0.85</v>
      </c>
      <c r="K23" s="64">
        <v>90.82</v>
      </c>
      <c r="L23" s="64">
        <v>13.64</v>
      </c>
      <c r="M23" s="64">
        <v>63.58</v>
      </c>
      <c r="N23" s="64">
        <v>96.1</v>
      </c>
      <c r="O23" s="64">
        <v>0</v>
      </c>
      <c r="P23" s="64">
        <v>0.97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1315</v>
      </c>
      <c r="B24" s="64">
        <v>28.56</v>
      </c>
      <c r="C24" s="64">
        <v>48.76</v>
      </c>
      <c r="D24" s="64">
        <v>47</v>
      </c>
      <c r="E24" s="64">
        <v>7.26</v>
      </c>
      <c r="F24" s="64">
        <v>2.13</v>
      </c>
      <c r="G24" s="64">
        <v>57.13</v>
      </c>
      <c r="H24" s="64">
        <v>29.92</v>
      </c>
      <c r="I24" s="210" t="s">
        <v>43</v>
      </c>
      <c r="J24" s="64">
        <v>0.4</v>
      </c>
      <c r="K24" s="64">
        <v>56.7</v>
      </c>
      <c r="L24" s="64">
        <v>13.05</v>
      </c>
      <c r="M24" s="64">
        <v>68.900000000000006</v>
      </c>
      <c r="N24" s="64">
        <v>96.3</v>
      </c>
      <c r="O24" s="64">
        <v>0</v>
      </c>
      <c r="P24" s="64">
        <v>0.94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1316</v>
      </c>
      <c r="B25" s="64">
        <v>27.16</v>
      </c>
      <c r="C25" s="64">
        <v>48.4</v>
      </c>
      <c r="D25" s="64">
        <v>45.69</v>
      </c>
      <c r="E25" s="64">
        <v>6.92</v>
      </c>
      <c r="F25" s="64">
        <v>2.13</v>
      </c>
      <c r="G25" s="64">
        <v>57.13</v>
      </c>
      <c r="H25" s="64">
        <v>29.92</v>
      </c>
      <c r="I25" s="210" t="s">
        <v>43</v>
      </c>
      <c r="J25" s="64">
        <v>1.03</v>
      </c>
      <c r="K25" s="64">
        <v>332.5</v>
      </c>
      <c r="L25" s="64">
        <v>12.98</v>
      </c>
      <c r="M25" s="64">
        <v>68.010000000000005</v>
      </c>
      <c r="N25" s="64">
        <v>99.5</v>
      </c>
      <c r="O25" s="64">
        <v>0</v>
      </c>
      <c r="P25" s="64">
        <v>0.89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1317</v>
      </c>
      <c r="B26" s="64">
        <v>25.62</v>
      </c>
      <c r="C26" s="64">
        <v>47.9</v>
      </c>
      <c r="D26" s="64">
        <v>44.2</v>
      </c>
      <c r="E26" s="64">
        <v>7.17</v>
      </c>
      <c r="F26" s="64">
        <v>2.13</v>
      </c>
      <c r="G26" s="64">
        <v>57.13</v>
      </c>
      <c r="H26" s="64">
        <v>29.92</v>
      </c>
      <c r="I26" s="210" t="s">
        <v>43</v>
      </c>
      <c r="J26" s="64">
        <v>0.56999999999999995</v>
      </c>
      <c r="K26" s="64">
        <v>80.849999999999994</v>
      </c>
      <c r="L26" s="64">
        <v>12.75</v>
      </c>
      <c r="M26" s="64">
        <v>69.55</v>
      </c>
      <c r="N26" s="64">
        <v>94.9</v>
      </c>
      <c r="O26" s="64">
        <v>0</v>
      </c>
      <c r="P26" s="64">
        <v>0.88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1318</v>
      </c>
      <c r="B27" s="64">
        <v>24.21</v>
      </c>
      <c r="C27" s="64">
        <v>47.58</v>
      </c>
      <c r="D27" s="64">
        <v>42.9</v>
      </c>
      <c r="E27" s="64">
        <v>7.06</v>
      </c>
      <c r="F27" s="64">
        <v>2.13</v>
      </c>
      <c r="G27" s="64">
        <v>48.05</v>
      </c>
      <c r="H27" s="64">
        <v>28.98</v>
      </c>
      <c r="I27" s="210" t="s">
        <v>43</v>
      </c>
      <c r="J27" s="64">
        <v>0.45</v>
      </c>
      <c r="K27" s="64">
        <v>99.19</v>
      </c>
      <c r="L27" s="64">
        <v>12.66</v>
      </c>
      <c r="M27" s="64">
        <v>70.36</v>
      </c>
      <c r="N27" s="64">
        <v>96.3</v>
      </c>
      <c r="O27" s="64">
        <v>0</v>
      </c>
      <c r="P27" s="64">
        <v>0.84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1319</v>
      </c>
      <c r="B28" s="64">
        <v>23.04</v>
      </c>
      <c r="C28" s="64">
        <v>47.74</v>
      </c>
      <c r="D28" s="64">
        <v>42.04</v>
      </c>
      <c r="E28" s="64">
        <v>7.08</v>
      </c>
      <c r="F28" s="64">
        <v>2.13</v>
      </c>
      <c r="G28" s="64">
        <v>44.16</v>
      </c>
      <c r="H28" s="64">
        <v>28.58</v>
      </c>
      <c r="I28" s="210" t="s">
        <v>43</v>
      </c>
      <c r="J28" s="64">
        <v>0.93</v>
      </c>
      <c r="K28" s="64">
        <v>296.52999999999997</v>
      </c>
      <c r="L28" s="64">
        <v>12.71</v>
      </c>
      <c r="M28" s="64">
        <v>70.88</v>
      </c>
      <c r="N28" s="64">
        <v>93.9</v>
      </c>
      <c r="O28" s="64">
        <v>0</v>
      </c>
      <c r="P28" s="64">
        <v>0.85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1320</v>
      </c>
      <c r="B29" s="64">
        <v>21.94</v>
      </c>
      <c r="C29" s="64">
        <v>48.1</v>
      </c>
      <c r="D29" s="64">
        <v>41.34</v>
      </c>
      <c r="E29" s="64">
        <v>7.13</v>
      </c>
      <c r="F29" s="64">
        <v>2.13</v>
      </c>
      <c r="G29" s="64">
        <v>44.16</v>
      </c>
      <c r="H29" s="64">
        <v>28.58</v>
      </c>
      <c r="I29" s="210" t="s">
        <v>43</v>
      </c>
      <c r="J29" s="64">
        <v>1.25</v>
      </c>
      <c r="K29" s="64">
        <v>279.02</v>
      </c>
      <c r="L29" s="64">
        <v>12.14</v>
      </c>
      <c r="M29" s="64">
        <v>74.89</v>
      </c>
      <c r="N29" s="64">
        <v>95.1</v>
      </c>
      <c r="O29" s="64">
        <v>0</v>
      </c>
      <c r="P29" s="64">
        <v>0.83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1321</v>
      </c>
      <c r="B30" s="64">
        <v>21.18</v>
      </c>
      <c r="C30" s="64">
        <v>48.52</v>
      </c>
      <c r="D30" s="64">
        <v>40.950000000000003</v>
      </c>
      <c r="E30" s="64">
        <v>7.16</v>
      </c>
      <c r="F30" s="64">
        <v>2.13</v>
      </c>
      <c r="G30" s="64">
        <v>44.16</v>
      </c>
      <c r="H30" s="64">
        <v>28.58</v>
      </c>
      <c r="I30" s="210" t="s">
        <v>43</v>
      </c>
      <c r="J30" s="64">
        <v>0.92</v>
      </c>
      <c r="K30" s="64">
        <v>280.11</v>
      </c>
      <c r="L30" s="64">
        <v>11.63</v>
      </c>
      <c r="M30" s="64">
        <v>78.38</v>
      </c>
      <c r="N30" s="64">
        <v>87.7</v>
      </c>
      <c r="O30" s="64">
        <v>0</v>
      </c>
      <c r="P30" s="64">
        <v>0.81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1322</v>
      </c>
      <c r="B31" s="64">
        <v>22.54</v>
      </c>
      <c r="C31" s="64">
        <v>49.34</v>
      </c>
      <c r="D31" s="64">
        <v>42.48</v>
      </c>
      <c r="E31" s="64">
        <v>6.9</v>
      </c>
      <c r="F31" s="64">
        <v>2.13</v>
      </c>
      <c r="G31" s="64">
        <v>57.5</v>
      </c>
      <c r="H31" s="64">
        <v>26.85</v>
      </c>
      <c r="I31" s="210" t="s">
        <v>43</v>
      </c>
      <c r="J31" s="64">
        <v>1.1200000000000001</v>
      </c>
      <c r="K31" s="64">
        <v>321.58</v>
      </c>
      <c r="L31" s="64">
        <v>11.55</v>
      </c>
      <c r="M31" s="64">
        <v>80.349999999999994</v>
      </c>
      <c r="N31" s="64">
        <v>90.8</v>
      </c>
      <c r="O31" s="64">
        <v>0</v>
      </c>
      <c r="P31" s="64">
        <v>0.8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1323</v>
      </c>
      <c r="B32" s="64">
        <v>25.89</v>
      </c>
      <c r="C32" s="64">
        <v>50.29</v>
      </c>
      <c r="D32" s="64">
        <v>45.66</v>
      </c>
      <c r="E32" s="64">
        <v>7.16</v>
      </c>
      <c r="F32" s="64">
        <v>2.13</v>
      </c>
      <c r="G32" s="64">
        <v>63.22</v>
      </c>
      <c r="H32" s="64">
        <v>26.06</v>
      </c>
      <c r="I32" s="210" t="s">
        <v>43</v>
      </c>
      <c r="J32" s="64">
        <v>0.85</v>
      </c>
      <c r="K32" s="64">
        <v>27.15</v>
      </c>
      <c r="L32" s="64">
        <v>11.56</v>
      </c>
      <c r="M32" s="64">
        <v>81.27</v>
      </c>
      <c r="N32" s="64">
        <v>89.8</v>
      </c>
      <c r="O32" s="64">
        <v>0</v>
      </c>
      <c r="P32" s="64">
        <v>0.79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1324</v>
      </c>
      <c r="B33" s="64">
        <v>26.78</v>
      </c>
      <c r="C33" s="64">
        <v>50.6</v>
      </c>
      <c r="D33" s="64">
        <v>46.54</v>
      </c>
      <c r="E33" s="64">
        <v>6.62</v>
      </c>
      <c r="F33" s="64">
        <v>2.13</v>
      </c>
      <c r="G33" s="64">
        <v>63.22</v>
      </c>
      <c r="H33" s="64">
        <v>26.06</v>
      </c>
      <c r="I33" s="210" t="s">
        <v>43</v>
      </c>
      <c r="J33" s="64">
        <v>0.44</v>
      </c>
      <c r="K33" s="64">
        <v>73.680000000000007</v>
      </c>
      <c r="L33" s="64">
        <v>11.55</v>
      </c>
      <c r="M33" s="64">
        <v>81.45</v>
      </c>
      <c r="N33" s="64">
        <v>88.8</v>
      </c>
      <c r="O33" s="64">
        <v>0</v>
      </c>
      <c r="P33" s="64">
        <v>0.78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1325</v>
      </c>
      <c r="B34" s="64">
        <v>25.65</v>
      </c>
      <c r="C34" s="64">
        <v>50.17</v>
      </c>
      <c r="D34" s="64">
        <v>45.41</v>
      </c>
      <c r="E34" s="64">
        <v>7.39</v>
      </c>
      <c r="F34" s="64">
        <v>2.13</v>
      </c>
      <c r="G34" s="64">
        <v>63.22</v>
      </c>
      <c r="H34" s="64">
        <v>26.06</v>
      </c>
      <c r="I34" s="210" t="s">
        <v>43</v>
      </c>
      <c r="J34" s="64">
        <v>1.17</v>
      </c>
      <c r="K34" s="64">
        <v>116.95</v>
      </c>
      <c r="L34" s="64">
        <v>11.51</v>
      </c>
      <c r="M34" s="64">
        <v>83.1</v>
      </c>
      <c r="N34" s="64">
        <v>90.6</v>
      </c>
      <c r="O34" s="64">
        <v>0</v>
      </c>
      <c r="P34" s="64">
        <v>0.77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1326</v>
      </c>
      <c r="B35" s="64">
        <v>24.41</v>
      </c>
      <c r="C35" s="64">
        <v>49.62</v>
      </c>
      <c r="D35" s="64">
        <v>44.12</v>
      </c>
      <c r="E35" s="64">
        <v>7.09</v>
      </c>
      <c r="F35" s="64">
        <v>2.13</v>
      </c>
      <c r="G35" s="64">
        <v>75.53</v>
      </c>
      <c r="H35" s="64">
        <v>27.39</v>
      </c>
      <c r="I35" s="210" t="s">
        <v>43</v>
      </c>
      <c r="J35" s="64">
        <v>2.81</v>
      </c>
      <c r="K35" s="64">
        <v>110.89</v>
      </c>
      <c r="L35" s="64">
        <v>11.74</v>
      </c>
      <c r="M35" s="64">
        <v>81.349999999999994</v>
      </c>
      <c r="N35" s="64">
        <v>92.4</v>
      </c>
      <c r="O35" s="64">
        <v>0</v>
      </c>
      <c r="P35" s="64">
        <v>0.76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1327</v>
      </c>
      <c r="B36" s="64">
        <v>23.19</v>
      </c>
      <c r="C36" s="64">
        <v>49.36</v>
      </c>
      <c r="D36" s="64">
        <v>43.01</v>
      </c>
      <c r="E36" s="64">
        <v>6.91</v>
      </c>
      <c r="F36" s="64">
        <v>2.13</v>
      </c>
      <c r="G36" s="64">
        <v>80.81</v>
      </c>
      <c r="H36" s="64">
        <v>27.96</v>
      </c>
      <c r="I36" s="210" t="s">
        <v>43</v>
      </c>
      <c r="J36" s="64">
        <v>3.16</v>
      </c>
      <c r="K36" s="64">
        <v>115.97</v>
      </c>
      <c r="L36" s="64">
        <v>12.04</v>
      </c>
      <c r="M36" s="64">
        <v>78.77</v>
      </c>
      <c r="N36" s="64">
        <v>105</v>
      </c>
      <c r="O36" s="64">
        <v>0</v>
      </c>
      <c r="P36" s="64">
        <v>0.73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1328</v>
      </c>
      <c r="B37" s="64">
        <v>21.79</v>
      </c>
      <c r="C37" s="64">
        <v>48.08</v>
      </c>
      <c r="D37" s="64">
        <v>41.22</v>
      </c>
      <c r="E37" s="64">
        <v>7.31</v>
      </c>
      <c r="F37" s="64">
        <v>2.13</v>
      </c>
      <c r="G37" s="64">
        <v>80.81</v>
      </c>
      <c r="H37" s="64">
        <v>27.96</v>
      </c>
      <c r="I37" s="210" t="s">
        <v>43</v>
      </c>
      <c r="J37" s="64">
        <v>3.2</v>
      </c>
      <c r="K37" s="64">
        <v>106.15</v>
      </c>
      <c r="L37" s="64">
        <v>12.29</v>
      </c>
      <c r="M37" s="64">
        <v>75.84</v>
      </c>
      <c r="N37" s="64">
        <v>124.5</v>
      </c>
      <c r="O37" s="64">
        <v>0</v>
      </c>
      <c r="P37" s="64">
        <v>0.83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1329</v>
      </c>
      <c r="B38" s="64">
        <v>20.239999999999998</v>
      </c>
      <c r="C38" s="64">
        <v>48.48</v>
      </c>
      <c r="D38" s="64">
        <v>40.18</v>
      </c>
      <c r="E38" s="64">
        <v>7.07</v>
      </c>
      <c r="F38" s="64">
        <v>2.13</v>
      </c>
      <c r="G38" s="64">
        <v>80.81</v>
      </c>
      <c r="H38" s="64">
        <v>27.96</v>
      </c>
      <c r="I38" s="210" t="s">
        <v>43</v>
      </c>
      <c r="J38" s="64">
        <v>2.08</v>
      </c>
      <c r="K38" s="64">
        <v>122.38</v>
      </c>
      <c r="L38" s="64">
        <v>12.6</v>
      </c>
      <c r="M38" s="64">
        <v>75.05</v>
      </c>
      <c r="N38" s="64">
        <v>127.9</v>
      </c>
      <c r="O38" s="64">
        <v>0</v>
      </c>
      <c r="P38" s="64">
        <v>0.85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1330</v>
      </c>
      <c r="B39" s="64">
        <v>19.22</v>
      </c>
      <c r="C39" s="64">
        <v>48.75</v>
      </c>
      <c r="D39" s="64">
        <v>39.51</v>
      </c>
      <c r="E39" s="64">
        <v>7.34</v>
      </c>
      <c r="F39" s="64">
        <v>2.13</v>
      </c>
      <c r="G39" s="64">
        <v>84.31</v>
      </c>
      <c r="H39" s="64">
        <v>31.87</v>
      </c>
      <c r="I39" s="210" t="s">
        <v>43</v>
      </c>
      <c r="J39" s="64">
        <v>2.71</v>
      </c>
      <c r="K39" s="64">
        <v>117.73</v>
      </c>
      <c r="L39" s="64">
        <v>12.79</v>
      </c>
      <c r="M39" s="64">
        <v>73.02</v>
      </c>
      <c r="N39" s="64">
        <v>146.80000000000001</v>
      </c>
      <c r="O39" s="64">
        <v>0</v>
      </c>
      <c r="P39" s="64">
        <v>0.84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1331</v>
      </c>
      <c r="B40" s="64">
        <v>18.170000000000002</v>
      </c>
      <c r="C40" s="64">
        <v>48.67</v>
      </c>
      <c r="D40" s="64">
        <v>38.630000000000003</v>
      </c>
      <c r="E40" s="64">
        <v>5.74</v>
      </c>
      <c r="F40" s="64">
        <v>2.13</v>
      </c>
      <c r="G40" s="64">
        <v>85.81</v>
      </c>
      <c r="H40" s="64">
        <v>33.64</v>
      </c>
      <c r="I40" s="210" t="s">
        <v>43</v>
      </c>
      <c r="J40" s="64">
        <v>2.63</v>
      </c>
      <c r="K40" s="64">
        <v>120.85</v>
      </c>
      <c r="L40" s="64">
        <v>13.16</v>
      </c>
      <c r="M40" s="64">
        <v>71.290000000000006</v>
      </c>
      <c r="N40" s="64">
        <v>206.8</v>
      </c>
      <c r="O40" s="64">
        <v>0</v>
      </c>
      <c r="P40" s="64">
        <v>0.83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1332</v>
      </c>
      <c r="B41" s="64">
        <v>17.04</v>
      </c>
      <c r="C41" s="64">
        <v>48.61</v>
      </c>
      <c r="D41" s="64">
        <v>37.68</v>
      </c>
      <c r="E41" s="64">
        <v>5.61</v>
      </c>
      <c r="F41" s="64">
        <v>2.13</v>
      </c>
      <c r="G41" s="64">
        <v>85.81</v>
      </c>
      <c r="H41" s="64">
        <v>33.64</v>
      </c>
      <c r="I41" s="210" t="s">
        <v>43</v>
      </c>
      <c r="J41" s="64">
        <v>2.78</v>
      </c>
      <c r="K41" s="64">
        <v>108.26</v>
      </c>
      <c r="L41" s="64">
        <v>13.79</v>
      </c>
      <c r="M41" s="64">
        <v>68.31</v>
      </c>
      <c r="N41" s="64">
        <v>255.2</v>
      </c>
      <c r="O41" s="64">
        <v>0</v>
      </c>
      <c r="P41" s="64">
        <v>0.82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1333</v>
      </c>
      <c r="B42" s="64">
        <v>15.78</v>
      </c>
      <c r="C42" s="64">
        <v>48.21</v>
      </c>
      <c r="D42" s="64">
        <v>36.47</v>
      </c>
      <c r="E42" s="64">
        <v>5.47</v>
      </c>
      <c r="F42" s="64">
        <v>2.13</v>
      </c>
      <c r="G42" s="64">
        <v>85.81</v>
      </c>
      <c r="H42" s="64">
        <v>33.64</v>
      </c>
      <c r="I42" s="210" t="s">
        <v>43</v>
      </c>
      <c r="J42" s="64">
        <v>1.61</v>
      </c>
      <c r="K42" s="64">
        <v>111.49</v>
      </c>
      <c r="L42" s="64">
        <v>14.57</v>
      </c>
      <c r="M42" s="64">
        <v>65.89</v>
      </c>
      <c r="N42" s="64">
        <v>320.5</v>
      </c>
      <c r="O42" s="64">
        <v>0</v>
      </c>
      <c r="P42" s="64">
        <v>0.8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1334</v>
      </c>
      <c r="B43" s="64">
        <v>14.62</v>
      </c>
      <c r="C43" s="64">
        <v>48.55</v>
      </c>
      <c r="D43" s="64">
        <v>35.71</v>
      </c>
      <c r="E43" s="64">
        <v>5.87</v>
      </c>
      <c r="F43" s="64">
        <v>2.13</v>
      </c>
      <c r="G43" s="64">
        <v>76.37</v>
      </c>
      <c r="H43" s="64">
        <v>31.42</v>
      </c>
      <c r="I43" s="210" t="s">
        <v>43</v>
      </c>
      <c r="J43" s="64">
        <v>1.41</v>
      </c>
      <c r="K43" s="64">
        <v>154.91999999999999</v>
      </c>
      <c r="L43" s="64">
        <v>15.45</v>
      </c>
      <c r="M43" s="64">
        <v>63</v>
      </c>
      <c r="N43" s="64">
        <v>258.7</v>
      </c>
      <c r="O43" s="64">
        <v>0</v>
      </c>
      <c r="P43" s="64">
        <v>0.8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1335</v>
      </c>
      <c r="B44" s="64">
        <v>13.8</v>
      </c>
      <c r="C44" s="64">
        <v>48.44</v>
      </c>
      <c r="D44" s="64">
        <v>35</v>
      </c>
      <c r="E44" s="64">
        <v>6.12</v>
      </c>
      <c r="F44" s="64">
        <v>2.13</v>
      </c>
      <c r="G44" s="64">
        <v>72.319999999999993</v>
      </c>
      <c r="H44" s="64">
        <v>30.48</v>
      </c>
      <c r="I44" s="210" t="s">
        <v>43</v>
      </c>
      <c r="J44" s="64">
        <v>1.5</v>
      </c>
      <c r="K44" s="64">
        <v>123.79</v>
      </c>
      <c r="L44" s="64">
        <v>16.47</v>
      </c>
      <c r="M44" s="64">
        <v>59.01</v>
      </c>
      <c r="N44" s="64">
        <v>381.6</v>
      </c>
      <c r="O44" s="64">
        <v>0</v>
      </c>
      <c r="P44" s="64">
        <v>0.79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1336</v>
      </c>
      <c r="B45" s="64">
        <v>12.97</v>
      </c>
      <c r="C45" s="64">
        <v>48.61</v>
      </c>
      <c r="D45" s="64">
        <v>34.42</v>
      </c>
      <c r="E45" s="64">
        <v>5.91</v>
      </c>
      <c r="F45" s="64">
        <v>2.13</v>
      </c>
      <c r="G45" s="64">
        <v>72.319999999999993</v>
      </c>
      <c r="H45" s="64">
        <v>30.48</v>
      </c>
      <c r="I45" s="210" t="s">
        <v>43</v>
      </c>
      <c r="J45" s="64">
        <v>0.94</v>
      </c>
      <c r="K45" s="64">
        <v>114.86</v>
      </c>
      <c r="L45" s="64">
        <v>16.989999999999998</v>
      </c>
      <c r="M45" s="64">
        <v>57.41</v>
      </c>
      <c r="N45" s="64">
        <v>417.7</v>
      </c>
      <c r="O45" s="64">
        <v>0</v>
      </c>
      <c r="P45" s="64">
        <v>0.78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1337</v>
      </c>
      <c r="B46" s="64">
        <v>11.91</v>
      </c>
      <c r="C46" s="64">
        <v>48.94</v>
      </c>
      <c r="D46" s="64">
        <v>33.74</v>
      </c>
      <c r="E46" s="64">
        <v>5.57</v>
      </c>
      <c r="F46" s="64">
        <v>2.13</v>
      </c>
      <c r="G46" s="64">
        <v>72.319999999999993</v>
      </c>
      <c r="H46" s="64">
        <v>30.48</v>
      </c>
      <c r="I46" s="210" t="s">
        <v>43</v>
      </c>
      <c r="J46" s="64">
        <v>0.73</v>
      </c>
      <c r="K46" s="64">
        <v>215.45</v>
      </c>
      <c r="L46" s="64">
        <v>18.829999999999998</v>
      </c>
      <c r="M46" s="64">
        <v>51.37</v>
      </c>
      <c r="N46" s="64">
        <v>445.6</v>
      </c>
      <c r="O46" s="64">
        <v>0</v>
      </c>
      <c r="P46" s="64">
        <v>0.78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1338</v>
      </c>
      <c r="B47" s="64">
        <v>10.81</v>
      </c>
      <c r="C47" s="64">
        <v>49.5</v>
      </c>
      <c r="D47" s="64">
        <v>33.15</v>
      </c>
      <c r="E47" s="64">
        <v>5.76</v>
      </c>
      <c r="F47" s="64">
        <v>2.13</v>
      </c>
      <c r="G47" s="64">
        <v>68.22</v>
      </c>
      <c r="H47" s="64">
        <v>28.72</v>
      </c>
      <c r="I47" s="210" t="s">
        <v>43</v>
      </c>
      <c r="J47" s="64">
        <v>1.74</v>
      </c>
      <c r="K47" s="64">
        <v>146.52000000000001</v>
      </c>
      <c r="L47" s="64">
        <v>18.809999999999999</v>
      </c>
      <c r="M47" s="64">
        <v>50.82</v>
      </c>
      <c r="N47" s="64">
        <v>436.9</v>
      </c>
      <c r="O47" s="64">
        <v>0</v>
      </c>
      <c r="P47" s="64">
        <v>0.77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1339</v>
      </c>
      <c r="B48" s="64">
        <v>9.8800000000000008</v>
      </c>
      <c r="C48" s="64">
        <v>49.88</v>
      </c>
      <c r="D48" s="64">
        <v>32.61</v>
      </c>
      <c r="E48" s="64">
        <v>5.75</v>
      </c>
      <c r="F48" s="64">
        <v>2.13</v>
      </c>
      <c r="G48" s="64">
        <v>66.459999999999994</v>
      </c>
      <c r="H48" s="64">
        <v>27.97</v>
      </c>
      <c r="I48" s="210" t="s">
        <v>43</v>
      </c>
      <c r="J48" s="64">
        <v>1.58</v>
      </c>
      <c r="K48" s="64">
        <v>280.04000000000002</v>
      </c>
      <c r="L48" s="64">
        <v>20.46</v>
      </c>
      <c r="M48" s="64">
        <v>47.59</v>
      </c>
      <c r="N48" s="64">
        <v>389.3</v>
      </c>
      <c r="O48" s="64">
        <v>0</v>
      </c>
      <c r="P48" s="64">
        <v>0.77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1340</v>
      </c>
      <c r="B49" s="64">
        <v>9.2100000000000009</v>
      </c>
      <c r="C49" s="64">
        <v>50.91</v>
      </c>
      <c r="D49" s="64">
        <v>32.61</v>
      </c>
      <c r="E49" s="64">
        <v>6.01</v>
      </c>
      <c r="F49" s="64">
        <v>2.13</v>
      </c>
      <c r="G49" s="64">
        <v>66.459999999999994</v>
      </c>
      <c r="H49" s="64">
        <v>27.97</v>
      </c>
      <c r="I49" s="210" t="s">
        <v>43</v>
      </c>
      <c r="J49" s="64">
        <v>0.22</v>
      </c>
      <c r="K49" s="64">
        <v>236.56</v>
      </c>
      <c r="L49" s="64">
        <v>19.670000000000002</v>
      </c>
      <c r="M49" s="64">
        <v>48.04</v>
      </c>
      <c r="N49" s="64">
        <v>366.5</v>
      </c>
      <c r="O49" s="64">
        <v>0</v>
      </c>
      <c r="P49" s="64">
        <v>0.76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1341</v>
      </c>
      <c r="B50" s="64">
        <v>8.42</v>
      </c>
      <c r="C50" s="64">
        <v>51.35</v>
      </c>
      <c r="D50" s="64">
        <v>32.200000000000003</v>
      </c>
      <c r="E50" s="64">
        <v>5.57</v>
      </c>
      <c r="F50" s="64">
        <v>2.13</v>
      </c>
      <c r="G50" s="64">
        <v>66.459999999999994</v>
      </c>
      <c r="H50" s="64">
        <v>27.97</v>
      </c>
      <c r="I50" s="210" t="s">
        <v>43</v>
      </c>
      <c r="J50" s="64">
        <v>0.97</v>
      </c>
      <c r="K50" s="64">
        <v>197.91</v>
      </c>
      <c r="L50" s="64">
        <v>18.77</v>
      </c>
      <c r="M50" s="64">
        <v>49.53</v>
      </c>
      <c r="N50" s="64">
        <v>467</v>
      </c>
      <c r="O50" s="64">
        <v>0</v>
      </c>
      <c r="P50" s="64">
        <v>0.76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1342</v>
      </c>
      <c r="B51" s="64">
        <v>7.26</v>
      </c>
      <c r="C51" s="64">
        <v>51.29</v>
      </c>
      <c r="D51" s="64">
        <v>31.24</v>
      </c>
      <c r="E51" s="64">
        <v>5.3</v>
      </c>
      <c r="F51" s="64">
        <v>2.13</v>
      </c>
      <c r="G51" s="64">
        <v>63.22</v>
      </c>
      <c r="H51" s="64">
        <v>27.86</v>
      </c>
      <c r="I51" s="210" t="s">
        <v>43</v>
      </c>
      <c r="J51" s="64">
        <v>1.07</v>
      </c>
      <c r="K51" s="64">
        <v>135.79</v>
      </c>
      <c r="L51" s="64">
        <v>19.88</v>
      </c>
      <c r="M51" s="64">
        <v>46.5</v>
      </c>
      <c r="N51" s="64">
        <v>440.7</v>
      </c>
      <c r="O51" s="64">
        <v>0</v>
      </c>
      <c r="P51" s="64">
        <v>0.74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1343</v>
      </c>
      <c r="B52" s="64">
        <v>6.27</v>
      </c>
      <c r="C52" s="64">
        <v>50.84</v>
      </c>
      <c r="D52" s="64">
        <v>30.22</v>
      </c>
      <c r="E52" s="64">
        <v>5.13</v>
      </c>
      <c r="F52" s="64">
        <v>2.13</v>
      </c>
      <c r="G52" s="64">
        <v>61.84</v>
      </c>
      <c r="H52" s="64">
        <v>27.81</v>
      </c>
      <c r="I52" s="210" t="s">
        <v>43</v>
      </c>
      <c r="J52" s="64">
        <v>1.4</v>
      </c>
      <c r="K52" s="64">
        <v>156.16999999999999</v>
      </c>
      <c r="L52" s="64">
        <v>20.48</v>
      </c>
      <c r="M52" s="64">
        <v>44.87</v>
      </c>
      <c r="N52" s="64">
        <v>544.29999999999995</v>
      </c>
      <c r="O52" s="64">
        <v>0</v>
      </c>
      <c r="P52" s="64">
        <v>0.73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1344</v>
      </c>
      <c r="B53" s="64">
        <v>5.48</v>
      </c>
      <c r="C53" s="64">
        <v>50.52</v>
      </c>
      <c r="D53" s="64">
        <v>0</v>
      </c>
      <c r="E53" s="64">
        <v>0</v>
      </c>
      <c r="F53" s="64">
        <v>2.13</v>
      </c>
      <c r="G53" s="64">
        <v>0</v>
      </c>
      <c r="H53" s="64">
        <v>0</v>
      </c>
      <c r="I53" s="210" t="s">
        <v>43</v>
      </c>
      <c r="J53" s="64">
        <v>1.99</v>
      </c>
      <c r="K53" s="64">
        <v>156</v>
      </c>
      <c r="L53" s="64">
        <v>20.75</v>
      </c>
      <c r="M53" s="64">
        <v>42.75</v>
      </c>
      <c r="N53" s="64">
        <v>671.5</v>
      </c>
      <c r="O53" s="64">
        <v>0</v>
      </c>
      <c r="P53" s="64">
        <v>0.72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1345</v>
      </c>
      <c r="B54" s="64">
        <v>4.8099999999999996</v>
      </c>
      <c r="C54" s="64">
        <v>48.53</v>
      </c>
      <c r="D54" s="64">
        <v>27.84</v>
      </c>
      <c r="E54" s="64">
        <v>5.05</v>
      </c>
      <c r="F54" s="64">
        <v>2.13</v>
      </c>
      <c r="G54" s="64">
        <v>61.84</v>
      </c>
      <c r="H54" s="64">
        <v>27.81</v>
      </c>
      <c r="I54" s="210" t="s">
        <v>43</v>
      </c>
      <c r="J54" s="64">
        <v>0.87</v>
      </c>
      <c r="K54" s="64">
        <v>334.9</v>
      </c>
      <c r="L54" s="64">
        <v>22.1</v>
      </c>
      <c r="M54" s="64">
        <v>40.799999999999997</v>
      </c>
      <c r="N54" s="64">
        <v>578.20000000000005</v>
      </c>
      <c r="O54" s="64">
        <v>0</v>
      </c>
      <c r="P54" s="64">
        <v>0.71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1346</v>
      </c>
      <c r="B55" s="64">
        <v>4.7</v>
      </c>
      <c r="C55" s="64">
        <v>48.98</v>
      </c>
      <c r="D55" s="64">
        <v>27.98</v>
      </c>
      <c r="E55" s="64">
        <v>5.17</v>
      </c>
      <c r="F55" s="64">
        <v>2.13</v>
      </c>
      <c r="G55" s="64">
        <v>57.68</v>
      </c>
      <c r="H55" s="64">
        <v>27.67</v>
      </c>
      <c r="I55" s="210" t="s">
        <v>43</v>
      </c>
      <c r="J55" s="64">
        <v>1.41</v>
      </c>
      <c r="K55" s="64">
        <v>289.45999999999998</v>
      </c>
      <c r="L55" s="64">
        <v>24.19</v>
      </c>
      <c r="M55" s="64">
        <v>37.53</v>
      </c>
      <c r="N55" s="64">
        <v>634</v>
      </c>
      <c r="O55" s="64">
        <v>0</v>
      </c>
      <c r="P55" s="64">
        <v>0.71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1347</v>
      </c>
      <c r="B56" s="64">
        <v>4.59</v>
      </c>
      <c r="C56" s="64">
        <v>49.03</v>
      </c>
      <c r="D56" s="64">
        <v>27.92</v>
      </c>
      <c r="E56" s="64">
        <v>5.24</v>
      </c>
      <c r="F56" s="64">
        <v>2.13</v>
      </c>
      <c r="G56" s="64">
        <v>55.9</v>
      </c>
      <c r="H56" s="64">
        <v>27.6</v>
      </c>
      <c r="I56" s="210" t="s">
        <v>43</v>
      </c>
      <c r="J56" s="64">
        <v>2.09</v>
      </c>
      <c r="K56" s="64">
        <v>306.33</v>
      </c>
      <c r="L56" s="64">
        <v>25.58</v>
      </c>
      <c r="M56" s="64">
        <v>35.4</v>
      </c>
      <c r="N56" s="64">
        <v>635.1</v>
      </c>
      <c r="O56" s="64">
        <v>0</v>
      </c>
      <c r="P56" s="64">
        <v>0.7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1348</v>
      </c>
      <c r="B57" s="64">
        <v>4.37</v>
      </c>
      <c r="C57" s="64">
        <v>49.41</v>
      </c>
      <c r="D57" s="64">
        <v>27.94</v>
      </c>
      <c r="E57" s="64">
        <v>5.53</v>
      </c>
      <c r="F57" s="64">
        <v>2.13</v>
      </c>
      <c r="G57" s="64">
        <v>55.9</v>
      </c>
      <c r="H57" s="64">
        <v>27.6</v>
      </c>
      <c r="I57" s="210" t="s">
        <v>43</v>
      </c>
      <c r="J57" s="64">
        <v>0.75</v>
      </c>
      <c r="K57" s="64">
        <v>280.60000000000002</v>
      </c>
      <c r="L57" s="64">
        <v>24.02</v>
      </c>
      <c r="M57" s="64">
        <v>38.31</v>
      </c>
      <c r="N57" s="64">
        <v>628.70000000000005</v>
      </c>
      <c r="O57" s="64">
        <v>0</v>
      </c>
      <c r="P57" s="64">
        <v>0.7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1349</v>
      </c>
      <c r="B58" s="64">
        <v>4.08</v>
      </c>
      <c r="C58" s="64">
        <v>49.82</v>
      </c>
      <c r="D58" s="64">
        <v>27.93</v>
      </c>
      <c r="E58" s="64">
        <v>5.75</v>
      </c>
      <c r="F58" s="64">
        <v>2.13</v>
      </c>
      <c r="G58" s="64">
        <v>55.9</v>
      </c>
      <c r="H58" s="64">
        <v>27.6</v>
      </c>
      <c r="I58" s="210" t="s">
        <v>43</v>
      </c>
      <c r="J58" s="64">
        <v>2.41</v>
      </c>
      <c r="K58" s="64">
        <v>330.35</v>
      </c>
      <c r="L58" s="64">
        <v>24.36</v>
      </c>
      <c r="M58" s="64">
        <v>37.630000000000003</v>
      </c>
      <c r="N58" s="64">
        <v>620.79999999999995</v>
      </c>
      <c r="O58" s="64">
        <v>0</v>
      </c>
      <c r="P58" s="64">
        <v>0.7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1350</v>
      </c>
      <c r="B59" s="64">
        <v>3.91</v>
      </c>
      <c r="C59" s="64">
        <v>50.72</v>
      </c>
      <c r="D59" s="64">
        <v>28.26</v>
      </c>
      <c r="E59" s="64">
        <v>6.13</v>
      </c>
      <c r="F59" s="64">
        <v>2.13</v>
      </c>
      <c r="G59" s="64">
        <v>59.56</v>
      </c>
      <c r="H59" s="64">
        <v>27.72</v>
      </c>
      <c r="I59" s="210" t="s">
        <v>43</v>
      </c>
      <c r="J59" s="64">
        <v>3.17</v>
      </c>
      <c r="K59" s="64">
        <v>341.02</v>
      </c>
      <c r="L59" s="64">
        <v>26.31</v>
      </c>
      <c r="M59" s="64">
        <v>34.119999999999997</v>
      </c>
      <c r="N59" s="64">
        <v>595</v>
      </c>
      <c r="O59" s="64">
        <v>0</v>
      </c>
      <c r="P59" s="64">
        <v>0.72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1351</v>
      </c>
      <c r="B60" s="64">
        <v>3.84</v>
      </c>
      <c r="C60" s="64">
        <v>51.85</v>
      </c>
      <c r="D60" s="64">
        <v>28.79</v>
      </c>
      <c r="E60" s="64">
        <v>6.28</v>
      </c>
      <c r="F60" s="64">
        <v>2.13</v>
      </c>
      <c r="G60" s="64">
        <v>61.13</v>
      </c>
      <c r="H60" s="64">
        <v>27.77</v>
      </c>
      <c r="I60" s="210" t="s">
        <v>43</v>
      </c>
      <c r="J60" s="64">
        <v>1.84</v>
      </c>
      <c r="K60" s="64">
        <v>301.83999999999997</v>
      </c>
      <c r="L60" s="64">
        <v>26.6</v>
      </c>
      <c r="M60" s="64">
        <v>33.92</v>
      </c>
      <c r="N60" s="64">
        <v>572</v>
      </c>
      <c r="O60" s="64">
        <v>0</v>
      </c>
      <c r="P60" s="64">
        <v>0.75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1352</v>
      </c>
      <c r="B61" s="64">
        <v>3.74</v>
      </c>
      <c r="C61" s="64">
        <v>53.11</v>
      </c>
      <c r="D61" s="64">
        <v>29.37</v>
      </c>
      <c r="E61" s="64">
        <v>6.3</v>
      </c>
      <c r="F61" s="64">
        <v>2.13</v>
      </c>
      <c r="G61" s="64">
        <v>61.13</v>
      </c>
      <c r="H61" s="64">
        <v>27.77</v>
      </c>
      <c r="I61" s="210" t="s">
        <v>43</v>
      </c>
      <c r="J61" s="64">
        <v>2.54</v>
      </c>
      <c r="K61" s="64">
        <v>327.85</v>
      </c>
      <c r="L61" s="64">
        <v>25.93</v>
      </c>
      <c r="M61" s="64">
        <v>34.909999999999997</v>
      </c>
      <c r="N61" s="64">
        <v>498.5</v>
      </c>
      <c r="O61" s="64">
        <v>0</v>
      </c>
      <c r="P61" s="64">
        <v>0.76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1353</v>
      </c>
      <c r="B62" s="64">
        <v>3.56</v>
      </c>
      <c r="C62" s="64">
        <v>54.87</v>
      </c>
      <c r="D62" s="64">
        <v>30.14</v>
      </c>
      <c r="E62" s="64">
        <v>6.28</v>
      </c>
      <c r="F62" s="64">
        <v>2.13</v>
      </c>
      <c r="G62" s="64">
        <v>61.13</v>
      </c>
      <c r="H62" s="64">
        <v>27.77</v>
      </c>
      <c r="I62" s="210" t="s">
        <v>43</v>
      </c>
      <c r="J62" s="64">
        <v>2.74</v>
      </c>
      <c r="K62" s="64">
        <v>321.72000000000003</v>
      </c>
      <c r="L62" s="64">
        <v>25.86</v>
      </c>
      <c r="M62" s="64">
        <v>35.5</v>
      </c>
      <c r="N62" s="64">
        <v>485</v>
      </c>
      <c r="O62" s="64">
        <v>0</v>
      </c>
      <c r="P62" s="64">
        <v>0.82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1354</v>
      </c>
      <c r="B63" s="64">
        <v>3.38</v>
      </c>
      <c r="C63" s="64">
        <v>56.2</v>
      </c>
      <c r="D63" s="64">
        <v>30.7</v>
      </c>
      <c r="E63" s="64">
        <v>6.64</v>
      </c>
      <c r="F63" s="64">
        <v>2.13</v>
      </c>
      <c r="G63" s="64">
        <v>81.02</v>
      </c>
      <c r="H63" s="64">
        <v>29.37</v>
      </c>
      <c r="I63" s="210" t="s">
        <v>43</v>
      </c>
      <c r="J63" s="64">
        <v>2.42</v>
      </c>
      <c r="K63" s="64">
        <v>319.45</v>
      </c>
      <c r="L63" s="64">
        <v>26.19</v>
      </c>
      <c r="M63" s="64">
        <v>34.92</v>
      </c>
      <c r="N63" s="64">
        <v>482.8</v>
      </c>
      <c r="O63" s="64">
        <v>0</v>
      </c>
      <c r="P63" s="64">
        <v>0.83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1355</v>
      </c>
      <c r="B64" s="64">
        <v>3.29</v>
      </c>
      <c r="C64" s="64">
        <v>56.88</v>
      </c>
      <c r="D64" s="64">
        <v>30.98</v>
      </c>
      <c r="E64" s="64">
        <v>7.03</v>
      </c>
      <c r="F64" s="64">
        <v>2.13</v>
      </c>
      <c r="G64" s="64">
        <v>90</v>
      </c>
      <c r="H64" s="64">
        <v>30.05</v>
      </c>
      <c r="I64" s="210" t="s">
        <v>43</v>
      </c>
      <c r="J64" s="64">
        <v>2.5299999999999998</v>
      </c>
      <c r="K64" s="64">
        <v>318.63</v>
      </c>
      <c r="L64" s="64">
        <v>26.35</v>
      </c>
      <c r="M64" s="64">
        <v>35.15</v>
      </c>
      <c r="N64" s="64">
        <v>461.3</v>
      </c>
      <c r="O64" s="64">
        <v>0</v>
      </c>
      <c r="P64" s="64">
        <v>0.83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1356</v>
      </c>
      <c r="B65" s="64">
        <v>3.35</v>
      </c>
      <c r="C65" s="64">
        <v>57.18</v>
      </c>
      <c r="D65" s="64">
        <v>31.18</v>
      </c>
      <c r="E65" s="64">
        <v>6.07</v>
      </c>
      <c r="F65" s="64">
        <v>2.13</v>
      </c>
      <c r="G65" s="64">
        <v>90</v>
      </c>
      <c r="H65" s="64">
        <v>30.05</v>
      </c>
      <c r="I65" s="210" t="s">
        <v>43</v>
      </c>
      <c r="J65" s="64">
        <v>2.4500000000000002</v>
      </c>
      <c r="K65" s="64">
        <v>320.07</v>
      </c>
      <c r="L65" s="64">
        <v>25.69</v>
      </c>
      <c r="M65" s="64">
        <v>36.71</v>
      </c>
      <c r="N65" s="64">
        <v>451.8</v>
      </c>
      <c r="O65" s="64">
        <v>0</v>
      </c>
      <c r="P65" s="64">
        <v>0.83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1357</v>
      </c>
      <c r="B66" s="64">
        <v>3.3</v>
      </c>
      <c r="C66" s="64">
        <v>56.88</v>
      </c>
      <c r="D66" s="64">
        <v>30.99</v>
      </c>
      <c r="E66" s="64">
        <v>6.43</v>
      </c>
      <c r="F66" s="64">
        <v>2.1800000000000002</v>
      </c>
      <c r="G66" s="64">
        <v>90</v>
      </c>
      <c r="H66" s="64">
        <v>30.05</v>
      </c>
      <c r="I66" s="210" t="s">
        <v>43</v>
      </c>
      <c r="J66" s="64">
        <v>2.86</v>
      </c>
      <c r="K66" s="64">
        <v>331.77</v>
      </c>
      <c r="L66" s="64">
        <v>24.91</v>
      </c>
      <c r="M66" s="64">
        <v>39.31</v>
      </c>
      <c r="N66" s="64">
        <v>305.89999999999998</v>
      </c>
      <c r="O66" s="64">
        <v>0</v>
      </c>
      <c r="P66" s="64">
        <v>0.82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1358</v>
      </c>
      <c r="B67" s="64">
        <v>3.28</v>
      </c>
      <c r="C67" s="64">
        <v>56.7</v>
      </c>
      <c r="D67" s="64">
        <v>30.88</v>
      </c>
      <c r="E67" s="64">
        <v>6.04</v>
      </c>
      <c r="F67" s="64">
        <v>2.13</v>
      </c>
      <c r="G67" s="64">
        <v>78.3</v>
      </c>
      <c r="H67" s="64">
        <v>29.91</v>
      </c>
      <c r="I67" s="210" t="s">
        <v>43</v>
      </c>
      <c r="J67" s="64">
        <v>1.77</v>
      </c>
      <c r="K67" s="64">
        <v>298.7</v>
      </c>
      <c r="L67" s="64">
        <v>24.69</v>
      </c>
      <c r="M67" s="64">
        <v>39.26</v>
      </c>
      <c r="N67" s="64">
        <v>283.8</v>
      </c>
      <c r="O67" s="64">
        <v>0</v>
      </c>
      <c r="P67" s="64">
        <v>0.82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1359</v>
      </c>
      <c r="B68" s="64">
        <v>3.08</v>
      </c>
      <c r="C68" s="64">
        <v>56.13</v>
      </c>
      <c r="D68" s="64">
        <v>30.42</v>
      </c>
      <c r="E68" s="64">
        <v>6.3</v>
      </c>
      <c r="F68" s="64">
        <v>2.13</v>
      </c>
      <c r="G68" s="64">
        <v>73.28</v>
      </c>
      <c r="H68" s="64">
        <v>29.84</v>
      </c>
      <c r="I68" s="210" t="s">
        <v>43</v>
      </c>
      <c r="J68" s="64">
        <v>2.0299999999999998</v>
      </c>
      <c r="K68" s="64">
        <v>300.60000000000002</v>
      </c>
      <c r="L68" s="64">
        <v>23.93</v>
      </c>
      <c r="M68" s="64">
        <v>40.57</v>
      </c>
      <c r="N68" s="64">
        <v>313.3</v>
      </c>
      <c r="O68" s="64">
        <v>0</v>
      </c>
      <c r="P68" s="64">
        <v>0.81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1360</v>
      </c>
      <c r="B69" s="64">
        <v>3.11</v>
      </c>
      <c r="C69" s="64">
        <v>55.94</v>
      </c>
      <c r="D69" s="64">
        <v>30.35</v>
      </c>
      <c r="E69" s="64">
        <v>6.05</v>
      </c>
      <c r="F69" s="64">
        <v>2.15</v>
      </c>
      <c r="G69" s="64">
        <v>73.28</v>
      </c>
      <c r="H69" s="64">
        <v>29.84</v>
      </c>
      <c r="I69" s="210" t="s">
        <v>43</v>
      </c>
      <c r="J69" s="64">
        <v>1.3</v>
      </c>
      <c r="K69" s="64">
        <v>292.04000000000002</v>
      </c>
      <c r="L69" s="64">
        <v>24.01</v>
      </c>
      <c r="M69" s="64">
        <v>40</v>
      </c>
      <c r="N69" s="64">
        <v>257.7</v>
      </c>
      <c r="O69" s="64">
        <v>0</v>
      </c>
      <c r="P69" s="64">
        <v>0.81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1361</v>
      </c>
      <c r="B70" s="64">
        <v>3.19</v>
      </c>
      <c r="C70" s="64">
        <v>55.46</v>
      </c>
      <c r="D70" s="64">
        <v>30.16</v>
      </c>
      <c r="E70" s="64">
        <v>5.97</v>
      </c>
      <c r="F70" s="64">
        <v>2.13</v>
      </c>
      <c r="G70" s="64">
        <v>73.28</v>
      </c>
      <c r="H70" s="64">
        <v>29.84</v>
      </c>
      <c r="I70" s="210" t="s">
        <v>43</v>
      </c>
      <c r="J70" s="64">
        <v>2.17</v>
      </c>
      <c r="K70" s="64">
        <v>318.29000000000002</v>
      </c>
      <c r="L70" s="64">
        <v>23.59</v>
      </c>
      <c r="M70" s="64">
        <v>40.99</v>
      </c>
      <c r="N70" s="64">
        <v>168.6</v>
      </c>
      <c r="O70" s="64">
        <v>0</v>
      </c>
      <c r="P70" s="64">
        <v>0.8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1362</v>
      </c>
      <c r="B71" s="64">
        <v>3.42</v>
      </c>
      <c r="C71" s="64">
        <v>54.12</v>
      </c>
      <c r="D71" s="64">
        <v>29.64</v>
      </c>
      <c r="E71" s="64">
        <v>5.96</v>
      </c>
      <c r="F71" s="64">
        <v>2.13</v>
      </c>
      <c r="G71" s="64">
        <v>71.55</v>
      </c>
      <c r="H71" s="64">
        <v>31.29</v>
      </c>
      <c r="I71" s="210" t="s">
        <v>43</v>
      </c>
      <c r="J71" s="64">
        <v>2.42</v>
      </c>
      <c r="K71" s="64">
        <v>320.83999999999997</v>
      </c>
      <c r="L71" s="64">
        <v>23.35</v>
      </c>
      <c r="M71" s="64">
        <v>41.69</v>
      </c>
      <c r="N71" s="64">
        <v>153.4</v>
      </c>
      <c r="O71" s="64">
        <v>0</v>
      </c>
      <c r="P71" s="64">
        <v>0.81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1363</v>
      </c>
      <c r="B72" s="64">
        <v>3.78</v>
      </c>
      <c r="C72" s="64">
        <v>53.95</v>
      </c>
      <c r="D72" s="64">
        <v>29.84</v>
      </c>
      <c r="E72" s="64">
        <v>7.24</v>
      </c>
      <c r="F72" s="64">
        <v>2.13</v>
      </c>
      <c r="G72" s="64">
        <v>70.81</v>
      </c>
      <c r="H72" s="64">
        <v>31.91</v>
      </c>
      <c r="I72" s="210" t="s">
        <v>43</v>
      </c>
      <c r="J72" s="64">
        <v>2.62</v>
      </c>
      <c r="K72" s="64">
        <v>325.54000000000002</v>
      </c>
      <c r="L72" s="64">
        <v>23.1</v>
      </c>
      <c r="M72" s="64">
        <v>43.15</v>
      </c>
      <c r="N72" s="64">
        <v>145.5</v>
      </c>
      <c r="O72" s="64">
        <v>0</v>
      </c>
      <c r="P72" s="64">
        <v>0.8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1364</v>
      </c>
      <c r="B73" s="64">
        <v>4.1500000000000004</v>
      </c>
      <c r="C73" s="64">
        <v>54</v>
      </c>
      <c r="D73" s="64">
        <v>30.16</v>
      </c>
      <c r="E73" s="64">
        <v>7.56</v>
      </c>
      <c r="F73" s="64">
        <v>2.13</v>
      </c>
      <c r="G73" s="64">
        <v>70.81</v>
      </c>
      <c r="H73" s="64">
        <v>31.91</v>
      </c>
      <c r="I73" s="210" t="s">
        <v>43</v>
      </c>
      <c r="J73" s="64">
        <v>3.33</v>
      </c>
      <c r="K73" s="64">
        <v>334.27</v>
      </c>
      <c r="L73" s="64">
        <v>22.64</v>
      </c>
      <c r="M73" s="64">
        <v>44.93</v>
      </c>
      <c r="N73" s="64">
        <v>137</v>
      </c>
      <c r="O73" s="64">
        <v>0</v>
      </c>
      <c r="P73" s="64">
        <v>0.82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1365</v>
      </c>
      <c r="B74" s="64">
        <v>4.32</v>
      </c>
      <c r="C74" s="64">
        <v>54.04</v>
      </c>
      <c r="D74" s="64">
        <v>30.33</v>
      </c>
      <c r="E74" s="64">
        <v>7.85</v>
      </c>
      <c r="F74" s="64">
        <v>2.13</v>
      </c>
      <c r="G74" s="64">
        <v>70.81</v>
      </c>
      <c r="H74" s="64">
        <v>31.91</v>
      </c>
      <c r="I74" s="210" t="s">
        <v>43</v>
      </c>
      <c r="J74" s="64">
        <v>3.25</v>
      </c>
      <c r="K74" s="64">
        <v>341.92</v>
      </c>
      <c r="L74" s="64">
        <v>22.11</v>
      </c>
      <c r="M74" s="64">
        <v>45.92</v>
      </c>
      <c r="N74" s="64">
        <v>127</v>
      </c>
      <c r="O74" s="64">
        <v>0</v>
      </c>
      <c r="P74" s="64">
        <v>0.81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1366</v>
      </c>
      <c r="B75" s="64">
        <v>4.45</v>
      </c>
      <c r="C75" s="64">
        <v>54.26</v>
      </c>
      <c r="D75" s="64">
        <v>30.54</v>
      </c>
      <c r="E75" s="64">
        <v>7.86</v>
      </c>
      <c r="F75" s="64">
        <v>2.13</v>
      </c>
      <c r="G75" s="64">
        <v>71.95</v>
      </c>
      <c r="H75" s="64">
        <v>31.03</v>
      </c>
      <c r="I75" s="210" t="s">
        <v>43</v>
      </c>
      <c r="J75" s="64">
        <v>2.86</v>
      </c>
      <c r="K75" s="64">
        <v>334.05</v>
      </c>
      <c r="L75" s="64">
        <v>21.7</v>
      </c>
      <c r="M75" s="64">
        <v>47.02</v>
      </c>
      <c r="N75" s="64">
        <v>116.9</v>
      </c>
      <c r="O75" s="64">
        <v>0</v>
      </c>
      <c r="P75" s="64">
        <v>0.81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1367</v>
      </c>
      <c r="B76" s="64">
        <v>4.6500000000000004</v>
      </c>
      <c r="C76" s="64">
        <v>54.33</v>
      </c>
      <c r="D76" s="64">
        <v>30.74</v>
      </c>
      <c r="E76" s="64">
        <v>8.0299999999999994</v>
      </c>
      <c r="F76" s="64">
        <v>2.13</v>
      </c>
      <c r="G76" s="64">
        <v>72.45</v>
      </c>
      <c r="H76" s="64">
        <v>30.66</v>
      </c>
      <c r="I76" s="210" t="s">
        <v>43</v>
      </c>
      <c r="J76" s="64">
        <v>2.89</v>
      </c>
      <c r="K76" s="64">
        <v>330.48</v>
      </c>
      <c r="L76" s="64">
        <v>21.4</v>
      </c>
      <c r="M76" s="64">
        <v>48.01</v>
      </c>
      <c r="N76" s="64">
        <v>107.6</v>
      </c>
      <c r="O76" s="64">
        <v>0</v>
      </c>
      <c r="P76" s="64">
        <v>0.82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1368</v>
      </c>
      <c r="B77" s="64">
        <v>4.9800000000000004</v>
      </c>
      <c r="C77" s="64">
        <v>54.15</v>
      </c>
      <c r="D77" s="64">
        <v>30.91</v>
      </c>
      <c r="E77" s="64">
        <v>7.52</v>
      </c>
      <c r="F77" s="64">
        <v>2.13</v>
      </c>
      <c r="G77" s="64">
        <v>72.45</v>
      </c>
      <c r="H77" s="64">
        <v>30.66</v>
      </c>
      <c r="I77" s="210" t="s">
        <v>43</v>
      </c>
      <c r="J77" s="64">
        <v>2.88</v>
      </c>
      <c r="K77" s="64">
        <v>338.93</v>
      </c>
      <c r="L77" s="64">
        <v>20.9</v>
      </c>
      <c r="M77" s="64">
        <v>49.34</v>
      </c>
      <c r="N77" s="64">
        <v>98.6</v>
      </c>
      <c r="O77" s="64">
        <v>0</v>
      </c>
      <c r="P77" s="64">
        <v>0.84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1369</v>
      </c>
      <c r="B78" s="64">
        <v>5.51</v>
      </c>
      <c r="C78" s="64">
        <v>54.09</v>
      </c>
      <c r="D78" s="64">
        <v>31.3</v>
      </c>
      <c r="E78" s="64">
        <v>8.25</v>
      </c>
      <c r="F78" s="64">
        <v>2.13</v>
      </c>
      <c r="G78" s="64">
        <v>72.45</v>
      </c>
      <c r="H78" s="64">
        <v>30.66</v>
      </c>
      <c r="I78" s="210" t="s">
        <v>43</v>
      </c>
      <c r="J78" s="64">
        <v>2.67</v>
      </c>
      <c r="K78" s="64">
        <v>344.67</v>
      </c>
      <c r="L78" s="64">
        <v>20.36</v>
      </c>
      <c r="M78" s="64">
        <v>51.26</v>
      </c>
      <c r="N78" s="64">
        <v>91.3</v>
      </c>
      <c r="O78" s="64">
        <v>0</v>
      </c>
      <c r="P78" s="64">
        <v>0.84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1370</v>
      </c>
      <c r="B79" s="64">
        <v>6.24</v>
      </c>
      <c r="C79" s="64">
        <v>54.92</v>
      </c>
      <c r="D79" s="64">
        <v>32.32</v>
      </c>
      <c r="E79" s="64">
        <v>7.95</v>
      </c>
      <c r="F79" s="64">
        <v>2.13</v>
      </c>
      <c r="G79" s="64">
        <v>77.569999999999993</v>
      </c>
      <c r="H79" s="64">
        <v>26.28</v>
      </c>
      <c r="I79" s="210" t="s">
        <v>43</v>
      </c>
      <c r="J79" s="64">
        <v>2.2799999999999998</v>
      </c>
      <c r="K79" s="64">
        <v>352.8</v>
      </c>
      <c r="L79" s="64">
        <v>19.78</v>
      </c>
      <c r="M79" s="64">
        <v>54</v>
      </c>
      <c r="N79" s="64">
        <v>87.4</v>
      </c>
      <c r="O79" s="64">
        <v>0</v>
      </c>
      <c r="P79" s="64">
        <v>0.9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1371</v>
      </c>
      <c r="B80" s="64">
        <v>7.62</v>
      </c>
      <c r="C80" s="64">
        <v>56.93</v>
      </c>
      <c r="D80" s="64">
        <v>34.479999999999997</v>
      </c>
      <c r="E80" s="64">
        <v>8.4</v>
      </c>
      <c r="F80" s="64">
        <v>2.13</v>
      </c>
      <c r="G80" s="64">
        <v>79.77</v>
      </c>
      <c r="H80" s="64">
        <v>24.4</v>
      </c>
      <c r="I80" s="210" t="s">
        <v>43</v>
      </c>
      <c r="J80" s="64">
        <v>2.4</v>
      </c>
      <c r="K80" s="64">
        <v>352.6</v>
      </c>
      <c r="L80" s="64">
        <v>19.22</v>
      </c>
      <c r="M80" s="64">
        <v>55.81</v>
      </c>
      <c r="N80" s="64">
        <v>85.9</v>
      </c>
      <c r="O80" s="64">
        <v>0</v>
      </c>
      <c r="P80" s="64">
        <v>0.91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1372</v>
      </c>
      <c r="B81" s="64">
        <v>8.67</v>
      </c>
      <c r="C81" s="64">
        <v>58.59</v>
      </c>
      <c r="D81" s="64">
        <v>36.19</v>
      </c>
      <c r="E81" s="64">
        <v>8.1300000000000008</v>
      </c>
      <c r="F81" s="64">
        <v>2.13</v>
      </c>
      <c r="G81" s="64">
        <v>79.77</v>
      </c>
      <c r="H81" s="64">
        <v>24.4</v>
      </c>
      <c r="I81" s="210" t="s">
        <v>43</v>
      </c>
      <c r="J81" s="64">
        <v>2.2799999999999998</v>
      </c>
      <c r="K81" s="64">
        <v>351.64</v>
      </c>
      <c r="L81" s="64">
        <v>18.91</v>
      </c>
      <c r="M81" s="64">
        <v>56</v>
      </c>
      <c r="N81" s="64">
        <v>86.2</v>
      </c>
      <c r="O81" s="64">
        <v>0</v>
      </c>
      <c r="P81" s="64">
        <v>0.95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1373</v>
      </c>
      <c r="B82" s="64">
        <v>9.4</v>
      </c>
      <c r="C82" s="64">
        <v>59.87</v>
      </c>
      <c r="D82" s="64">
        <v>37.44</v>
      </c>
      <c r="E82" s="64">
        <v>8.2899999999999991</v>
      </c>
      <c r="F82" s="64">
        <v>2.13</v>
      </c>
      <c r="G82" s="64">
        <v>79.77</v>
      </c>
      <c r="H82" s="64">
        <v>24.4</v>
      </c>
      <c r="I82" s="210" t="s">
        <v>43</v>
      </c>
      <c r="J82" s="64">
        <v>1.74</v>
      </c>
      <c r="K82" s="64">
        <v>91.57</v>
      </c>
      <c r="L82" s="64">
        <v>18.690000000000001</v>
      </c>
      <c r="M82" s="64">
        <v>57.09</v>
      </c>
      <c r="N82" s="64">
        <v>86.5</v>
      </c>
      <c r="O82" s="64">
        <v>0</v>
      </c>
      <c r="P82" s="64">
        <v>1.01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1374</v>
      </c>
      <c r="B83" s="64">
        <v>9.1199999999999992</v>
      </c>
      <c r="C83" s="64">
        <v>60.5</v>
      </c>
      <c r="D83" s="64">
        <v>37.549999999999997</v>
      </c>
      <c r="E83" s="64">
        <v>8.4499999999999993</v>
      </c>
      <c r="F83" s="64">
        <v>2.13</v>
      </c>
      <c r="G83" s="64">
        <v>89.03</v>
      </c>
      <c r="H83" s="64">
        <v>30.12</v>
      </c>
      <c r="I83" s="210" t="s">
        <v>43</v>
      </c>
      <c r="J83" s="64">
        <v>1</v>
      </c>
      <c r="K83" s="64">
        <v>75.11</v>
      </c>
      <c r="L83" s="64">
        <v>18.48</v>
      </c>
      <c r="M83" s="64">
        <v>59.11</v>
      </c>
      <c r="N83" s="64">
        <v>85.9</v>
      </c>
      <c r="O83" s="64">
        <v>0</v>
      </c>
      <c r="P83" s="64">
        <v>1.03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1375</v>
      </c>
      <c r="B84" s="64">
        <v>8.77</v>
      </c>
      <c r="C84" s="64">
        <v>60.96</v>
      </c>
      <c r="D84" s="64">
        <v>37.51</v>
      </c>
      <c r="E84" s="64">
        <v>8.24</v>
      </c>
      <c r="F84" s="64">
        <v>2.13</v>
      </c>
      <c r="G84" s="64">
        <v>93</v>
      </c>
      <c r="H84" s="64">
        <v>32.56</v>
      </c>
      <c r="I84" s="210" t="s">
        <v>43</v>
      </c>
      <c r="J84" s="64">
        <v>1.05</v>
      </c>
      <c r="K84" s="64">
        <v>111.9</v>
      </c>
      <c r="L84" s="64">
        <v>17.98</v>
      </c>
      <c r="M84" s="64">
        <v>61.35</v>
      </c>
      <c r="N84" s="64">
        <v>86.4</v>
      </c>
      <c r="O84" s="64">
        <v>0</v>
      </c>
      <c r="P84" s="64">
        <v>1.07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1376</v>
      </c>
      <c r="B85" s="64">
        <v>9.0299999999999994</v>
      </c>
      <c r="C85" s="64">
        <v>61.55</v>
      </c>
      <c r="D85" s="64">
        <v>38.03</v>
      </c>
      <c r="E85" s="64">
        <v>8.31</v>
      </c>
      <c r="F85" s="64">
        <v>2.13</v>
      </c>
      <c r="G85" s="64">
        <v>93</v>
      </c>
      <c r="H85" s="64">
        <v>32.56</v>
      </c>
      <c r="I85" s="210" t="s">
        <v>43</v>
      </c>
      <c r="J85" s="64">
        <v>1.98</v>
      </c>
      <c r="K85" s="64">
        <v>310.23</v>
      </c>
      <c r="L85" s="64">
        <v>17.45</v>
      </c>
      <c r="M85" s="64">
        <v>70.150000000000006</v>
      </c>
      <c r="N85" s="64">
        <v>87.2</v>
      </c>
      <c r="O85" s="64">
        <v>0</v>
      </c>
      <c r="P85" s="64">
        <v>1.05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1377</v>
      </c>
      <c r="B86" s="64">
        <v>9.77</v>
      </c>
      <c r="C86" s="64">
        <v>62.32</v>
      </c>
      <c r="D86" s="64">
        <v>39.020000000000003</v>
      </c>
      <c r="E86" s="64">
        <v>8.7200000000000006</v>
      </c>
      <c r="F86" s="64">
        <v>2.13</v>
      </c>
      <c r="G86" s="64">
        <v>93</v>
      </c>
      <c r="H86" s="64">
        <v>32.56</v>
      </c>
      <c r="I86" s="210" t="s">
        <v>43</v>
      </c>
      <c r="J86" s="64">
        <v>0.54</v>
      </c>
      <c r="K86" s="64">
        <v>313.18</v>
      </c>
      <c r="L86" s="64">
        <v>17.02</v>
      </c>
      <c r="M86" s="64">
        <v>67.739999999999995</v>
      </c>
      <c r="N86" s="64">
        <v>87.5</v>
      </c>
      <c r="O86" s="64">
        <v>0</v>
      </c>
      <c r="P86" s="64">
        <v>1.1599999999999999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1378</v>
      </c>
      <c r="B87" s="64">
        <v>11.69</v>
      </c>
      <c r="C87" s="64">
        <v>61.94</v>
      </c>
      <c r="D87" s="64">
        <v>40.36</v>
      </c>
      <c r="E87" s="64">
        <v>8.83</v>
      </c>
      <c r="F87" s="64">
        <v>2.13</v>
      </c>
      <c r="G87" s="64">
        <v>111.91</v>
      </c>
      <c r="H87" s="64">
        <v>38.4</v>
      </c>
      <c r="I87" s="210" t="s">
        <v>43</v>
      </c>
      <c r="J87" s="64">
        <v>1.89</v>
      </c>
      <c r="K87" s="64">
        <v>337.57</v>
      </c>
      <c r="L87" s="64">
        <v>16.86</v>
      </c>
      <c r="M87" s="64">
        <v>71.09</v>
      </c>
      <c r="N87" s="64">
        <v>88.5</v>
      </c>
      <c r="O87" s="64">
        <v>0</v>
      </c>
      <c r="P87" s="64">
        <v>1.59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1379</v>
      </c>
      <c r="B88" s="64">
        <v>13.85</v>
      </c>
      <c r="C88" s="64">
        <v>61.66</v>
      </c>
      <c r="D88" s="64">
        <v>41.94</v>
      </c>
      <c r="E88" s="64">
        <v>8.7200000000000006</v>
      </c>
      <c r="F88" s="64">
        <v>2.13</v>
      </c>
      <c r="G88" s="64">
        <v>120.01</v>
      </c>
      <c r="H88" s="64">
        <v>40.9</v>
      </c>
      <c r="I88" s="210" t="s">
        <v>43</v>
      </c>
      <c r="J88" s="64">
        <v>1.46</v>
      </c>
      <c r="K88" s="64">
        <v>44.69</v>
      </c>
      <c r="L88" s="64">
        <v>16.93</v>
      </c>
      <c r="M88" s="64">
        <v>66.25</v>
      </c>
      <c r="N88" s="64">
        <v>89.8</v>
      </c>
      <c r="O88" s="64">
        <v>0</v>
      </c>
      <c r="P88" s="64">
        <v>1.39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1380</v>
      </c>
      <c r="B89" s="64">
        <v>14.55</v>
      </c>
      <c r="C89" s="64">
        <v>61.98</v>
      </c>
      <c r="D89" s="64">
        <v>42.67</v>
      </c>
      <c r="E89" s="64">
        <v>8.24</v>
      </c>
      <c r="F89" s="64">
        <v>2.13</v>
      </c>
      <c r="G89" s="64">
        <v>120.01</v>
      </c>
      <c r="H89" s="64">
        <v>40.9</v>
      </c>
      <c r="I89" s="210" t="s">
        <v>43</v>
      </c>
      <c r="J89" s="64">
        <v>1.0900000000000001</v>
      </c>
      <c r="K89" s="64">
        <v>354.93</v>
      </c>
      <c r="L89" s="64">
        <v>16.920000000000002</v>
      </c>
      <c r="M89" s="64">
        <v>68.73</v>
      </c>
      <c r="N89" s="64">
        <v>91.4</v>
      </c>
      <c r="O89" s="64">
        <v>0</v>
      </c>
      <c r="P89" s="64">
        <v>1.53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1381</v>
      </c>
      <c r="B90" s="64">
        <v>15.53</v>
      </c>
      <c r="C90" s="64">
        <v>62.02</v>
      </c>
      <c r="D90" s="64">
        <v>43.48</v>
      </c>
      <c r="E90" s="64">
        <v>8.73</v>
      </c>
      <c r="F90" s="64">
        <v>2.13</v>
      </c>
      <c r="G90" s="64">
        <v>120.01</v>
      </c>
      <c r="H90" s="64">
        <v>40.9</v>
      </c>
      <c r="I90" s="210" t="s">
        <v>43</v>
      </c>
      <c r="J90" s="64">
        <v>1.98</v>
      </c>
      <c r="K90" s="64">
        <v>336.09</v>
      </c>
      <c r="L90" s="64">
        <v>16.510000000000002</v>
      </c>
      <c r="M90" s="64">
        <v>76.61</v>
      </c>
      <c r="N90" s="64">
        <v>94.8</v>
      </c>
      <c r="O90" s="64">
        <v>0</v>
      </c>
      <c r="P90" s="64">
        <v>1.47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1382</v>
      </c>
      <c r="B91" s="64">
        <v>17.309999999999999</v>
      </c>
      <c r="C91" s="64">
        <v>61.69</v>
      </c>
      <c r="D91" s="64">
        <v>44.74</v>
      </c>
      <c r="E91" s="64">
        <v>8.68</v>
      </c>
      <c r="F91" s="64">
        <v>2.13</v>
      </c>
      <c r="G91" s="64">
        <v>126.47</v>
      </c>
      <c r="H91" s="64">
        <v>45.21</v>
      </c>
      <c r="I91" s="210" t="s">
        <v>43</v>
      </c>
      <c r="J91" s="64">
        <v>1.22</v>
      </c>
      <c r="K91" s="64">
        <v>324.83</v>
      </c>
      <c r="L91" s="64">
        <v>16.22</v>
      </c>
      <c r="M91" s="64">
        <v>76.709999999999994</v>
      </c>
      <c r="N91" s="64">
        <v>100.5</v>
      </c>
      <c r="O91" s="64">
        <v>0</v>
      </c>
      <c r="P91" s="64">
        <v>1.72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1383</v>
      </c>
      <c r="B92" s="64">
        <v>20.059999999999999</v>
      </c>
      <c r="C92" s="64">
        <v>61.59</v>
      </c>
      <c r="D92" s="64">
        <v>46.89</v>
      </c>
      <c r="E92" s="64">
        <v>9.0299999999999994</v>
      </c>
      <c r="F92" s="64">
        <v>2.13</v>
      </c>
      <c r="G92" s="64">
        <v>129.22999999999999</v>
      </c>
      <c r="H92" s="64">
        <v>47.06</v>
      </c>
      <c r="I92" s="210" t="s">
        <v>43</v>
      </c>
      <c r="J92" s="64">
        <v>0.65</v>
      </c>
      <c r="K92" s="64">
        <v>13</v>
      </c>
      <c r="L92" s="64">
        <v>15.92</v>
      </c>
      <c r="M92" s="64">
        <v>79.540000000000006</v>
      </c>
      <c r="N92" s="64">
        <v>111.1</v>
      </c>
      <c r="O92" s="64">
        <v>0</v>
      </c>
      <c r="P92" s="64">
        <v>1.65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1384</v>
      </c>
      <c r="B93" s="64">
        <v>22.94</v>
      </c>
      <c r="C93" s="64">
        <v>61.21</v>
      </c>
      <c r="D93" s="64">
        <v>49</v>
      </c>
      <c r="E93" s="64">
        <v>8.93</v>
      </c>
      <c r="F93" s="64">
        <v>2.13</v>
      </c>
      <c r="G93" s="64">
        <v>129.22999999999999</v>
      </c>
      <c r="H93" s="64">
        <v>47.06</v>
      </c>
      <c r="I93" s="210" t="s">
        <v>43</v>
      </c>
      <c r="J93" s="64">
        <v>1.56</v>
      </c>
      <c r="K93" s="64">
        <v>145.59</v>
      </c>
      <c r="L93" s="64">
        <v>15.88</v>
      </c>
      <c r="M93" s="64">
        <v>76.86</v>
      </c>
      <c r="N93" s="64">
        <v>120.6</v>
      </c>
      <c r="O93" s="64">
        <v>0</v>
      </c>
      <c r="P93" s="64">
        <v>1.67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1385</v>
      </c>
      <c r="B94" s="64">
        <v>27.95</v>
      </c>
      <c r="C94" s="64">
        <v>61.72</v>
      </c>
      <c r="D94" s="64">
        <v>53.28</v>
      </c>
      <c r="E94" s="64">
        <v>8.89</v>
      </c>
      <c r="F94" s="64">
        <v>2.13</v>
      </c>
      <c r="G94" s="64">
        <v>129.22999999999999</v>
      </c>
      <c r="H94" s="64">
        <v>47.06</v>
      </c>
      <c r="I94" s="210" t="s">
        <v>43</v>
      </c>
      <c r="J94" s="64">
        <v>0.83</v>
      </c>
      <c r="K94" s="64">
        <v>44.14</v>
      </c>
      <c r="L94" s="64">
        <v>15.79</v>
      </c>
      <c r="M94" s="64">
        <v>77.84</v>
      </c>
      <c r="N94" s="64">
        <v>121.3</v>
      </c>
      <c r="O94" s="64">
        <v>0</v>
      </c>
      <c r="P94" s="64">
        <v>1.7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1386</v>
      </c>
      <c r="B95" s="64">
        <v>34.380000000000003</v>
      </c>
      <c r="C95" s="64">
        <v>62.72</v>
      </c>
      <c r="D95" s="64">
        <v>58.97</v>
      </c>
      <c r="E95" s="64">
        <v>9.2200000000000006</v>
      </c>
      <c r="F95" s="64">
        <v>2.13</v>
      </c>
      <c r="G95" s="64">
        <v>147.03</v>
      </c>
      <c r="H95" s="64">
        <v>50.53</v>
      </c>
      <c r="I95" s="210" t="s">
        <v>43</v>
      </c>
      <c r="J95" s="64">
        <v>1.87</v>
      </c>
      <c r="K95" s="64">
        <v>324.45</v>
      </c>
      <c r="L95" s="64">
        <v>15.59</v>
      </c>
      <c r="M95" s="64">
        <v>81.650000000000006</v>
      </c>
      <c r="N95" s="64">
        <v>122</v>
      </c>
      <c r="O95" s="64">
        <v>0</v>
      </c>
      <c r="P95" s="64">
        <v>1.58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1387</v>
      </c>
      <c r="B96" s="64">
        <v>37.64</v>
      </c>
      <c r="C96" s="64">
        <v>63.07</v>
      </c>
      <c r="D96" s="64">
        <v>61.76</v>
      </c>
      <c r="E96" s="64">
        <v>9.2799999999999994</v>
      </c>
      <c r="F96" s="64">
        <v>2.13</v>
      </c>
      <c r="G96" s="64">
        <v>154.65</v>
      </c>
      <c r="H96" s="64">
        <v>52.01</v>
      </c>
      <c r="I96" s="210" t="s">
        <v>43</v>
      </c>
      <c r="J96" s="64">
        <v>1.83</v>
      </c>
      <c r="K96" s="64">
        <v>303.26</v>
      </c>
      <c r="L96" s="64">
        <v>15.55</v>
      </c>
      <c r="M96" s="64">
        <v>80.22</v>
      </c>
      <c r="N96" s="64">
        <v>114.8</v>
      </c>
      <c r="O96" s="64">
        <v>0</v>
      </c>
      <c r="P96" s="64">
        <v>1.65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1388</v>
      </c>
      <c r="B97" s="64">
        <v>40.75</v>
      </c>
      <c r="C97" s="64">
        <v>63.17</v>
      </c>
      <c r="D97" s="64">
        <v>64.3</v>
      </c>
      <c r="E97" s="64">
        <v>9.58</v>
      </c>
      <c r="F97" s="64">
        <v>2.13</v>
      </c>
      <c r="G97" s="64">
        <v>154.65</v>
      </c>
      <c r="H97" s="64">
        <v>52.01</v>
      </c>
      <c r="I97" s="210" t="s">
        <v>43</v>
      </c>
      <c r="J97" s="64">
        <v>1.88</v>
      </c>
      <c r="K97" s="64">
        <v>319.38</v>
      </c>
      <c r="L97" s="64">
        <v>15.5</v>
      </c>
      <c r="M97" s="64">
        <v>82.72</v>
      </c>
      <c r="N97" s="64">
        <v>90.7</v>
      </c>
      <c r="O97" s="64">
        <v>0</v>
      </c>
      <c r="P97" s="64">
        <v>1.72</v>
      </c>
      <c r="Q97" s="64">
        <v>8.2200000000000006</v>
      </c>
      <c r="R97" s="198"/>
      <c r="S97" s="198"/>
      <c r="T97" s="198"/>
      <c r="U97" s="198"/>
    </row>
    <row r="98" spans="1:33" s="12" customFormat="1" x14ac:dyDescent="0.25">
      <c r="A98" s="214" t="s">
        <v>1389</v>
      </c>
      <c r="B98" s="64">
        <v>46.4</v>
      </c>
      <c r="C98" s="64">
        <v>63.6</v>
      </c>
      <c r="D98" s="64">
        <v>69.06</v>
      </c>
      <c r="E98" s="64">
        <v>9.65</v>
      </c>
      <c r="F98" s="64">
        <v>2.13</v>
      </c>
      <c r="G98" s="64">
        <v>154.65</v>
      </c>
      <c r="H98" s="64">
        <v>52.01</v>
      </c>
      <c r="I98" s="210" t="s">
        <v>43</v>
      </c>
      <c r="J98" s="64">
        <v>2.08</v>
      </c>
      <c r="K98" s="64">
        <v>311.99</v>
      </c>
      <c r="L98" s="64">
        <v>15.38</v>
      </c>
      <c r="M98" s="64">
        <v>83.23</v>
      </c>
      <c r="N98" s="64">
        <v>116.1</v>
      </c>
      <c r="O98" s="64">
        <v>0</v>
      </c>
      <c r="P98" s="64">
        <v>1.81</v>
      </c>
      <c r="Q98" s="64">
        <v>8.4499999999999993</v>
      </c>
      <c r="R98" s="198"/>
      <c r="S98" s="198"/>
      <c r="T98" s="198"/>
      <c r="U98" s="198"/>
    </row>
    <row r="99" spans="1:33" s="12" customFormat="1" x14ac:dyDescent="0.25">
      <c r="A99" s="214" t="s">
        <v>1390</v>
      </c>
      <c r="B99" s="64">
        <v>52.88</v>
      </c>
      <c r="C99" s="64">
        <v>63.61</v>
      </c>
      <c r="D99" s="64">
        <v>74.260000000000005</v>
      </c>
      <c r="E99" s="64">
        <v>9.69</v>
      </c>
      <c r="F99" s="64">
        <v>2.13</v>
      </c>
      <c r="G99" s="64">
        <v>156.12</v>
      </c>
      <c r="H99" s="64">
        <v>52.38</v>
      </c>
      <c r="I99" s="210" t="s">
        <v>43</v>
      </c>
      <c r="J99" s="64">
        <v>1.67</v>
      </c>
      <c r="K99" s="64">
        <v>333.41</v>
      </c>
      <c r="L99" s="64">
        <v>15.54</v>
      </c>
      <c r="M99" s="64">
        <v>75.87</v>
      </c>
      <c r="N99" s="64">
        <v>105.3</v>
      </c>
      <c r="O99" s="64">
        <v>0</v>
      </c>
      <c r="P99" s="64">
        <v>1.86</v>
      </c>
      <c r="Q99" s="64">
        <v>8.8699999999999992</v>
      </c>
      <c r="R99" s="198"/>
      <c r="S99" s="198"/>
      <c r="T99" s="198"/>
      <c r="U99" s="198"/>
    </row>
    <row r="100" spans="1:33" s="12" customFormat="1" x14ac:dyDescent="0.25">
      <c r="A100" s="214" t="s">
        <v>1391</v>
      </c>
      <c r="B100" s="64">
        <v>53.79</v>
      </c>
      <c r="C100" s="64">
        <v>63.56</v>
      </c>
      <c r="D100" s="64">
        <v>74.959999999999994</v>
      </c>
      <c r="E100" s="64">
        <v>9.57</v>
      </c>
      <c r="F100" s="64">
        <v>2.13</v>
      </c>
      <c r="G100" s="64">
        <v>156.75</v>
      </c>
      <c r="H100" s="64">
        <v>52.54</v>
      </c>
      <c r="I100" s="210" t="s">
        <v>43</v>
      </c>
      <c r="J100" s="64">
        <v>1.05</v>
      </c>
      <c r="K100" s="64">
        <v>71.09</v>
      </c>
      <c r="L100" s="64">
        <v>15.8</v>
      </c>
      <c r="M100" s="64">
        <v>70.66</v>
      </c>
      <c r="N100" s="64">
        <v>91.4</v>
      </c>
      <c r="O100" s="64">
        <v>0</v>
      </c>
      <c r="P100" s="64">
        <v>1.85</v>
      </c>
      <c r="Q100" s="64">
        <v>9.06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1392</v>
      </c>
      <c r="B101" s="64">
        <v>51.96</v>
      </c>
      <c r="C101" s="64">
        <v>63.5</v>
      </c>
      <c r="D101" s="64">
        <v>73.459999999999994</v>
      </c>
      <c r="E101" s="64">
        <v>9.16</v>
      </c>
      <c r="F101" s="64">
        <v>2.13</v>
      </c>
      <c r="G101" s="64">
        <v>156.75</v>
      </c>
      <c r="H101" s="64">
        <v>52.54</v>
      </c>
      <c r="I101" s="210" t="s">
        <v>43</v>
      </c>
      <c r="J101" s="64">
        <v>0.89</v>
      </c>
      <c r="K101" s="64">
        <v>106.01</v>
      </c>
      <c r="L101" s="64">
        <v>15.81</v>
      </c>
      <c r="M101" s="64">
        <v>69.52</v>
      </c>
      <c r="N101" s="64">
        <v>96.3</v>
      </c>
      <c r="O101" s="64">
        <v>0</v>
      </c>
      <c r="P101" s="64">
        <v>1.83</v>
      </c>
      <c r="Q101" s="64">
        <v>9.0299999999999994</v>
      </c>
      <c r="R101" s="198"/>
      <c r="S101" s="198"/>
      <c r="T101" s="198"/>
      <c r="U101" s="198"/>
    </row>
    <row r="102" spans="1:33" s="12" customFormat="1" x14ac:dyDescent="0.25">
      <c r="A102" s="214" t="s">
        <v>1393</v>
      </c>
      <c r="B102" s="64">
        <v>49.63</v>
      </c>
      <c r="C102" s="64">
        <v>63.26</v>
      </c>
      <c r="D102" s="64">
        <v>71.47</v>
      </c>
      <c r="E102" s="64">
        <v>8.98</v>
      </c>
      <c r="F102" s="64">
        <v>2.13</v>
      </c>
      <c r="G102" s="64">
        <v>156.75</v>
      </c>
      <c r="H102" s="64">
        <v>52.54</v>
      </c>
      <c r="I102" s="210" t="s">
        <v>43</v>
      </c>
      <c r="J102" s="64">
        <v>1.01</v>
      </c>
      <c r="K102" s="64">
        <v>83.91</v>
      </c>
      <c r="L102" s="64">
        <v>15.68</v>
      </c>
      <c r="M102" s="64">
        <v>69.91</v>
      </c>
      <c r="N102" s="64">
        <v>93.8</v>
      </c>
      <c r="O102" s="64">
        <v>0</v>
      </c>
      <c r="P102" s="64">
        <v>1.8</v>
      </c>
      <c r="Q102" s="64">
        <v>8.89</v>
      </c>
      <c r="R102" s="198"/>
      <c r="S102" s="198"/>
      <c r="T102" s="198"/>
      <c r="U102" s="198"/>
    </row>
    <row r="103" spans="1:33" s="12" customFormat="1" x14ac:dyDescent="0.25">
      <c r="A103" s="214" t="s">
        <v>1394</v>
      </c>
      <c r="B103" s="64">
        <v>47.58</v>
      </c>
      <c r="C103" s="64">
        <v>62.73</v>
      </c>
      <c r="D103" s="64">
        <v>69.55</v>
      </c>
      <c r="E103" s="64">
        <v>9.0500000000000007</v>
      </c>
      <c r="F103" s="64">
        <v>2.13</v>
      </c>
      <c r="G103" s="64">
        <v>142.49</v>
      </c>
      <c r="H103" s="64">
        <v>49.95</v>
      </c>
      <c r="I103" s="210" t="s">
        <v>43</v>
      </c>
      <c r="J103" s="64">
        <v>1.43</v>
      </c>
      <c r="K103" s="64">
        <v>33.369999999999997</v>
      </c>
      <c r="L103" s="64">
        <v>15.46</v>
      </c>
      <c r="M103" s="64">
        <v>71.36</v>
      </c>
      <c r="N103" s="64">
        <v>87.7</v>
      </c>
      <c r="O103" s="64">
        <v>0</v>
      </c>
      <c r="P103" s="64">
        <v>1.77</v>
      </c>
      <c r="Q103" s="64">
        <v>8.77</v>
      </c>
      <c r="R103" s="198"/>
      <c r="S103" s="198"/>
      <c r="T103" s="198"/>
      <c r="U103" s="198"/>
    </row>
    <row r="104" spans="1:33" s="12" customFormat="1" x14ac:dyDescent="0.25">
      <c r="A104" s="214" t="s">
        <v>1395</v>
      </c>
      <c r="B104" s="64">
        <v>45.87</v>
      </c>
      <c r="C104" s="64">
        <v>59.92</v>
      </c>
      <c r="D104" s="64">
        <v>66.709999999999994</v>
      </c>
      <c r="E104" s="64">
        <v>6.39</v>
      </c>
      <c r="F104" s="64">
        <v>2.13</v>
      </c>
      <c r="G104" s="64">
        <v>136.37</v>
      </c>
      <c r="H104" s="64">
        <v>48.84</v>
      </c>
      <c r="I104" s="210" t="s">
        <v>43</v>
      </c>
      <c r="J104" s="64">
        <v>1.0900000000000001</v>
      </c>
      <c r="K104" s="64">
        <v>16.73</v>
      </c>
      <c r="L104" s="64">
        <v>15.19</v>
      </c>
      <c r="M104" s="64">
        <v>73.64</v>
      </c>
      <c r="N104" s="64">
        <v>95.3</v>
      </c>
      <c r="O104" s="64">
        <v>0</v>
      </c>
      <c r="P104" s="64">
        <v>1.68</v>
      </c>
      <c r="Q104" s="64">
        <v>8.6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3.08</v>
      </c>
      <c r="C106" s="67">
        <f>MIN(C9:C104)</f>
        <v>47.58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2.13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0.22</v>
      </c>
      <c r="K106" s="67">
        <f t="shared" si="0"/>
        <v>13</v>
      </c>
      <c r="L106" s="67">
        <f t="shared" si="0"/>
        <v>11.51</v>
      </c>
      <c r="M106" s="67">
        <f t="shared" si="0"/>
        <v>33.92</v>
      </c>
      <c r="N106" s="67">
        <f t="shared" si="0"/>
        <v>80.7</v>
      </c>
      <c r="O106" s="67">
        <f t="shared" si="0"/>
        <v>0</v>
      </c>
      <c r="P106" s="67">
        <f t="shared" si="0"/>
        <v>0.7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72.09</v>
      </c>
      <c r="C107" s="66">
        <f t="shared" ref="C107:Q107" si="1">MAX(C9:C104)</f>
        <v>63.61</v>
      </c>
      <c r="D107" s="66">
        <f t="shared" si="1"/>
        <v>84.73</v>
      </c>
      <c r="E107" s="66">
        <f t="shared" si="1"/>
        <v>9.69</v>
      </c>
      <c r="F107" s="66">
        <f t="shared" si="1"/>
        <v>2.1800000000000002</v>
      </c>
      <c r="G107" s="66">
        <f t="shared" si="1"/>
        <v>156.75</v>
      </c>
      <c r="H107" s="66">
        <f t="shared" si="1"/>
        <v>52.54</v>
      </c>
      <c r="I107" s="66">
        <f t="shared" si="1"/>
        <v>0</v>
      </c>
      <c r="J107" s="66">
        <f t="shared" si="1"/>
        <v>3.33</v>
      </c>
      <c r="K107" s="66">
        <f t="shared" si="1"/>
        <v>354.93</v>
      </c>
      <c r="L107" s="66">
        <f t="shared" si="1"/>
        <v>26.6</v>
      </c>
      <c r="M107" s="66">
        <f t="shared" si="1"/>
        <v>83.36</v>
      </c>
      <c r="N107" s="66">
        <f t="shared" si="1"/>
        <v>671.5</v>
      </c>
      <c r="O107" s="66">
        <f t="shared" si="1"/>
        <v>0</v>
      </c>
      <c r="P107" s="66">
        <f t="shared" si="1"/>
        <v>1.86</v>
      </c>
      <c r="Q107" s="66">
        <f t="shared" si="1"/>
        <v>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21.736041666666669</v>
      </c>
      <c r="C108" s="67">
        <f t="shared" ref="C108:Q108" si="2">AVERAGE(C9:C104)</f>
        <v>54.005520833333343</v>
      </c>
      <c r="D108" s="67">
        <f t="shared" si="2"/>
        <v>43.963645833333338</v>
      </c>
      <c r="E108" s="67">
        <f t="shared" si="2"/>
        <v>7.1962499999999991</v>
      </c>
      <c r="F108" s="67">
        <f t="shared" si="2"/>
        <v>2.1307291666666641</v>
      </c>
      <c r="G108" s="67">
        <f t="shared" si="2"/>
        <v>84.350312499999987</v>
      </c>
      <c r="H108" s="67">
        <f t="shared" si="2"/>
        <v>33.135104166666672</v>
      </c>
      <c r="I108" s="67" t="e">
        <f t="shared" si="2"/>
        <v>#DIV/0!</v>
      </c>
      <c r="J108" s="67">
        <f t="shared" si="2"/>
        <v>1.7331250000000002</v>
      </c>
      <c r="K108" s="67">
        <f t="shared" si="2"/>
        <v>210.78083333333336</v>
      </c>
      <c r="L108" s="67">
        <f t="shared" si="2"/>
        <v>17.533541666666672</v>
      </c>
      <c r="M108" s="67">
        <f t="shared" si="2"/>
        <v>60.665937500000005</v>
      </c>
      <c r="N108" s="67">
        <f t="shared" si="2"/>
        <v>208.16874999999996</v>
      </c>
      <c r="O108" s="67">
        <f t="shared" si="2"/>
        <v>0</v>
      </c>
      <c r="P108" s="67">
        <f t="shared" si="2"/>
        <v>1.0545833333333337</v>
      </c>
      <c r="Q108" s="67">
        <f t="shared" si="2"/>
        <v>8.3627083333333374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18.86146779348207</v>
      </c>
      <c r="C109" s="67">
        <f t="shared" ref="C109:Q109" si="3">STDEV(C9:C104)</f>
        <v>5.2531315712462936</v>
      </c>
      <c r="D109" s="67">
        <f t="shared" si="3"/>
        <v>16.237977779189606</v>
      </c>
      <c r="E109" s="67">
        <f t="shared" si="3"/>
        <v>1.4353383976573193</v>
      </c>
      <c r="F109" s="67">
        <f t="shared" si="3"/>
        <v>5.4762245286072431E-3</v>
      </c>
      <c r="G109" s="67">
        <f t="shared" si="3"/>
        <v>30.939715150361888</v>
      </c>
      <c r="H109" s="67">
        <f t="shared" si="3"/>
        <v>8.4264283492994032</v>
      </c>
      <c r="I109" s="67" t="e">
        <f t="shared" si="3"/>
        <v>#DIV/0!</v>
      </c>
      <c r="J109" s="67">
        <f t="shared" si="3"/>
        <v>0.81028950316992765</v>
      </c>
      <c r="K109" s="67">
        <f t="shared" si="3"/>
        <v>113.97987401907183</v>
      </c>
      <c r="L109" s="67">
        <f t="shared" si="3"/>
        <v>4.5404648450100096</v>
      </c>
      <c r="M109" s="67">
        <f t="shared" si="3"/>
        <v>15.347545291683057</v>
      </c>
      <c r="N109" s="67">
        <f t="shared" si="3"/>
        <v>178.46366713379544</v>
      </c>
      <c r="O109" s="67">
        <f t="shared" si="3"/>
        <v>0</v>
      </c>
      <c r="P109" s="67">
        <f t="shared" si="3"/>
        <v>0.36444887495523964</v>
      </c>
      <c r="Q109" s="67">
        <f t="shared" si="3"/>
        <v>0.37159253056530828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4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1396</v>
      </c>
      <c r="B9" s="64">
        <v>44.37</v>
      </c>
      <c r="C9" s="64">
        <v>59.61</v>
      </c>
      <c r="D9" s="64">
        <v>65.349999999999994</v>
      </c>
      <c r="E9" s="64">
        <v>7.01</v>
      </c>
      <c r="F9" s="64">
        <v>2.13</v>
      </c>
      <c r="G9" s="64">
        <v>136.37</v>
      </c>
      <c r="H9" s="64">
        <v>48.84</v>
      </c>
      <c r="I9" s="210" t="s">
        <v>43</v>
      </c>
      <c r="J9" s="64">
        <v>0.88</v>
      </c>
      <c r="K9" s="64">
        <v>194.22</v>
      </c>
      <c r="L9" s="64">
        <v>15.01</v>
      </c>
      <c r="M9" s="64">
        <v>73.63</v>
      </c>
      <c r="N9" s="64">
        <v>101</v>
      </c>
      <c r="O9" s="64">
        <v>0</v>
      </c>
      <c r="P9" s="64">
        <v>1.68</v>
      </c>
      <c r="Q9" s="64">
        <v>8.4700000000000006</v>
      </c>
      <c r="R9" s="198"/>
      <c r="S9" s="198"/>
      <c r="T9" s="198"/>
      <c r="U9" s="198"/>
    </row>
    <row r="10" spans="1:21" s="12" customFormat="1" x14ac:dyDescent="0.25">
      <c r="A10" s="214" t="s">
        <v>1397</v>
      </c>
      <c r="B10" s="64">
        <v>42.71</v>
      </c>
      <c r="C10" s="64">
        <v>59.14</v>
      </c>
      <c r="D10" s="64">
        <v>63.77</v>
      </c>
      <c r="E10" s="64">
        <v>7.08</v>
      </c>
      <c r="F10" s="64">
        <v>2.13</v>
      </c>
      <c r="G10" s="64">
        <v>136.37</v>
      </c>
      <c r="H10" s="64">
        <v>48.84</v>
      </c>
      <c r="I10" s="210" t="s">
        <v>43</v>
      </c>
      <c r="J10" s="64">
        <v>1.7</v>
      </c>
      <c r="K10" s="64">
        <v>99.89</v>
      </c>
      <c r="L10" s="64">
        <v>14.93</v>
      </c>
      <c r="M10" s="64">
        <v>72.41</v>
      </c>
      <c r="N10" s="64">
        <v>88.8</v>
      </c>
      <c r="O10" s="64">
        <v>0</v>
      </c>
      <c r="P10" s="64">
        <v>1.56</v>
      </c>
      <c r="Q10" s="64">
        <v>8.36</v>
      </c>
      <c r="R10" s="198"/>
      <c r="S10" s="198"/>
      <c r="T10" s="198"/>
      <c r="U10" s="198"/>
    </row>
    <row r="11" spans="1:21" s="12" customFormat="1" x14ac:dyDescent="0.25">
      <c r="A11" s="214" t="s">
        <v>1398</v>
      </c>
      <c r="B11" s="64">
        <v>41.01</v>
      </c>
      <c r="C11" s="64">
        <v>58.67</v>
      </c>
      <c r="D11" s="64">
        <v>62.16</v>
      </c>
      <c r="E11" s="64">
        <v>7.1</v>
      </c>
      <c r="F11" s="64">
        <v>2.13</v>
      </c>
      <c r="G11" s="64">
        <v>126.27</v>
      </c>
      <c r="H11" s="64">
        <v>49.28</v>
      </c>
      <c r="I11" s="210" t="s">
        <v>43</v>
      </c>
      <c r="J11" s="64">
        <v>0.89</v>
      </c>
      <c r="K11" s="64">
        <v>320.18</v>
      </c>
      <c r="L11" s="64">
        <v>14.88</v>
      </c>
      <c r="M11" s="64">
        <v>71.8</v>
      </c>
      <c r="N11" s="64">
        <v>93.4</v>
      </c>
      <c r="O11" s="64">
        <v>0</v>
      </c>
      <c r="P11" s="64">
        <v>1.6</v>
      </c>
      <c r="Q11" s="64">
        <v>8.26</v>
      </c>
      <c r="R11" s="198"/>
      <c r="S11" s="198"/>
      <c r="T11" s="198"/>
      <c r="U11" s="198"/>
    </row>
    <row r="12" spans="1:21" s="12" customFormat="1" x14ac:dyDescent="0.25">
      <c r="A12" s="214" t="s">
        <v>1399</v>
      </c>
      <c r="B12" s="64">
        <v>39.340000000000003</v>
      </c>
      <c r="C12" s="64">
        <v>57.84</v>
      </c>
      <c r="D12" s="64">
        <v>60.39</v>
      </c>
      <c r="E12" s="64">
        <v>6.43</v>
      </c>
      <c r="F12" s="64">
        <v>2.13</v>
      </c>
      <c r="G12" s="64">
        <v>121.93</v>
      </c>
      <c r="H12" s="64">
        <v>49.47</v>
      </c>
      <c r="I12" s="210" t="s">
        <v>43</v>
      </c>
      <c r="J12" s="64">
        <v>1.69</v>
      </c>
      <c r="K12" s="64">
        <v>322.02999999999997</v>
      </c>
      <c r="L12" s="64">
        <v>14.93</v>
      </c>
      <c r="M12" s="64">
        <v>70.819999999999993</v>
      </c>
      <c r="N12" s="64">
        <v>95.4</v>
      </c>
      <c r="O12" s="64">
        <v>0</v>
      </c>
      <c r="P12" s="64">
        <v>1.48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1400</v>
      </c>
      <c r="B13" s="64">
        <v>37.28</v>
      </c>
      <c r="C13" s="64">
        <v>56.96</v>
      </c>
      <c r="D13" s="64">
        <v>58.28</v>
      </c>
      <c r="E13" s="64">
        <v>6.52</v>
      </c>
      <c r="F13" s="64">
        <v>2.13</v>
      </c>
      <c r="G13" s="64">
        <v>121.93</v>
      </c>
      <c r="H13" s="64">
        <v>49.47</v>
      </c>
      <c r="I13" s="210" t="s">
        <v>43</v>
      </c>
      <c r="J13" s="64">
        <v>0.87</v>
      </c>
      <c r="K13" s="64">
        <v>314.58999999999997</v>
      </c>
      <c r="L13" s="64">
        <v>14.84</v>
      </c>
      <c r="M13" s="64">
        <v>71.430000000000007</v>
      </c>
      <c r="N13" s="64">
        <v>99.4</v>
      </c>
      <c r="O13" s="64">
        <v>0</v>
      </c>
      <c r="P13" s="64">
        <v>1.39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1401</v>
      </c>
      <c r="B14" s="64">
        <v>34.950000000000003</v>
      </c>
      <c r="C14" s="64">
        <v>55.9</v>
      </c>
      <c r="D14" s="64">
        <v>55.86</v>
      </c>
      <c r="E14" s="64">
        <v>6.45</v>
      </c>
      <c r="F14" s="64">
        <v>2.13</v>
      </c>
      <c r="G14" s="64">
        <v>121.93</v>
      </c>
      <c r="H14" s="64">
        <v>49.47</v>
      </c>
      <c r="I14" s="210" t="s">
        <v>43</v>
      </c>
      <c r="J14" s="64">
        <v>0.8</v>
      </c>
      <c r="K14" s="64">
        <v>348.18</v>
      </c>
      <c r="L14" s="64">
        <v>14.82</v>
      </c>
      <c r="M14" s="64">
        <v>71.52</v>
      </c>
      <c r="N14" s="64">
        <v>93.8</v>
      </c>
      <c r="O14" s="64">
        <v>0</v>
      </c>
      <c r="P14" s="64">
        <v>1.4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1402</v>
      </c>
      <c r="B15" s="64">
        <v>32.71</v>
      </c>
      <c r="C15" s="64">
        <v>56.16</v>
      </c>
      <c r="D15" s="64">
        <v>54.2</v>
      </c>
      <c r="E15" s="64">
        <v>6.49</v>
      </c>
      <c r="F15" s="64">
        <v>2.13</v>
      </c>
      <c r="G15" s="64">
        <v>105.37</v>
      </c>
      <c r="H15" s="64">
        <v>44.73</v>
      </c>
      <c r="I15" s="210" t="s">
        <v>43</v>
      </c>
      <c r="J15" s="64">
        <v>1.2</v>
      </c>
      <c r="K15" s="64">
        <v>324.31</v>
      </c>
      <c r="L15" s="64">
        <v>14.66</v>
      </c>
      <c r="M15" s="64">
        <v>72.91</v>
      </c>
      <c r="N15" s="64">
        <v>98</v>
      </c>
      <c r="O15" s="64">
        <v>0</v>
      </c>
      <c r="P15" s="64">
        <v>1.46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1403</v>
      </c>
      <c r="B16" s="64">
        <v>30.68</v>
      </c>
      <c r="C16" s="64">
        <v>55.86</v>
      </c>
      <c r="D16" s="64">
        <v>52.41</v>
      </c>
      <c r="E16" s="64">
        <v>7.03</v>
      </c>
      <c r="F16" s="64">
        <v>2.13</v>
      </c>
      <c r="G16" s="64">
        <v>97.89</v>
      </c>
      <c r="H16" s="64">
        <v>42.6</v>
      </c>
      <c r="I16" s="210" t="s">
        <v>43</v>
      </c>
      <c r="J16" s="64">
        <v>1.88</v>
      </c>
      <c r="K16" s="64">
        <v>349.87</v>
      </c>
      <c r="L16" s="64">
        <v>14.55</v>
      </c>
      <c r="M16" s="64">
        <v>73.400000000000006</v>
      </c>
      <c r="N16" s="64">
        <v>89</v>
      </c>
      <c r="O16" s="64">
        <v>0</v>
      </c>
      <c r="P16" s="64">
        <v>1.42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1404</v>
      </c>
      <c r="B17" s="64">
        <v>28.39</v>
      </c>
      <c r="C17" s="64">
        <v>55.26</v>
      </c>
      <c r="D17" s="64">
        <v>50.26</v>
      </c>
      <c r="E17" s="64">
        <v>7.51</v>
      </c>
      <c r="F17" s="64">
        <v>2.13</v>
      </c>
      <c r="G17" s="64">
        <v>97.89</v>
      </c>
      <c r="H17" s="64">
        <v>42.6</v>
      </c>
      <c r="I17" s="210" t="s">
        <v>43</v>
      </c>
      <c r="J17" s="64">
        <v>2.4</v>
      </c>
      <c r="K17" s="64">
        <v>344.23</v>
      </c>
      <c r="L17" s="64">
        <v>14.39</v>
      </c>
      <c r="M17" s="64">
        <v>74.5</v>
      </c>
      <c r="N17" s="64">
        <v>95</v>
      </c>
      <c r="O17" s="64">
        <v>0</v>
      </c>
      <c r="P17" s="64">
        <v>1.36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1405</v>
      </c>
      <c r="B18" s="64">
        <v>25.96</v>
      </c>
      <c r="C18" s="64">
        <v>54.63</v>
      </c>
      <c r="D18" s="64">
        <v>47.98</v>
      </c>
      <c r="E18" s="64">
        <v>6.98</v>
      </c>
      <c r="F18" s="64">
        <v>2.13</v>
      </c>
      <c r="G18" s="64">
        <v>97.89</v>
      </c>
      <c r="H18" s="64">
        <v>42.6</v>
      </c>
      <c r="I18" s="210" t="s">
        <v>43</v>
      </c>
      <c r="J18" s="64">
        <v>2.81</v>
      </c>
      <c r="K18" s="64">
        <v>349.26</v>
      </c>
      <c r="L18" s="64">
        <v>14.36</v>
      </c>
      <c r="M18" s="64">
        <v>74.36</v>
      </c>
      <c r="N18" s="64">
        <v>102.9</v>
      </c>
      <c r="O18" s="64">
        <v>0</v>
      </c>
      <c r="P18" s="64">
        <v>1.32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1406</v>
      </c>
      <c r="B19" s="64">
        <v>23.53</v>
      </c>
      <c r="C19" s="64">
        <v>53.86</v>
      </c>
      <c r="D19" s="64">
        <v>45.64</v>
      </c>
      <c r="E19" s="64">
        <v>6.82</v>
      </c>
      <c r="F19" s="64">
        <v>2.13</v>
      </c>
      <c r="G19" s="64">
        <v>92.43</v>
      </c>
      <c r="H19" s="64">
        <v>40.89</v>
      </c>
      <c r="I19" s="210" t="s">
        <v>43</v>
      </c>
      <c r="J19" s="64">
        <v>2.52</v>
      </c>
      <c r="K19" s="64">
        <v>352.96</v>
      </c>
      <c r="L19" s="64">
        <v>14.5</v>
      </c>
      <c r="M19" s="64">
        <v>72.41</v>
      </c>
      <c r="N19" s="64">
        <v>91.1</v>
      </c>
      <c r="O19" s="64">
        <v>0</v>
      </c>
      <c r="P19" s="64">
        <v>1.27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1407</v>
      </c>
      <c r="B20" s="64">
        <v>21.27</v>
      </c>
      <c r="C20" s="64">
        <v>53.4</v>
      </c>
      <c r="D20" s="64">
        <v>43.58</v>
      </c>
      <c r="E20" s="64">
        <v>6.2</v>
      </c>
      <c r="F20" s="64">
        <v>2.13</v>
      </c>
      <c r="G20" s="64">
        <v>90.09</v>
      </c>
      <c r="H20" s="64">
        <v>40.119999999999997</v>
      </c>
      <c r="I20" s="210" t="s">
        <v>43</v>
      </c>
      <c r="J20" s="64">
        <v>1.74</v>
      </c>
      <c r="K20" s="64">
        <v>356.75</v>
      </c>
      <c r="L20" s="64">
        <v>14.59</v>
      </c>
      <c r="M20" s="64">
        <v>71.48</v>
      </c>
      <c r="N20" s="64">
        <v>104.1</v>
      </c>
      <c r="O20" s="64">
        <v>0</v>
      </c>
      <c r="P20" s="64">
        <v>1.23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1408</v>
      </c>
      <c r="B21" s="64">
        <v>19.3</v>
      </c>
      <c r="C21" s="64">
        <v>52.88</v>
      </c>
      <c r="D21" s="64">
        <v>41.73</v>
      </c>
      <c r="E21" s="64">
        <v>6.22</v>
      </c>
      <c r="F21" s="64">
        <v>2.13</v>
      </c>
      <c r="G21" s="64">
        <v>90.09</v>
      </c>
      <c r="H21" s="64">
        <v>40.119999999999997</v>
      </c>
      <c r="I21" s="210" t="s">
        <v>43</v>
      </c>
      <c r="J21" s="64">
        <v>0.81</v>
      </c>
      <c r="K21" s="64">
        <v>340.1</v>
      </c>
      <c r="L21" s="64">
        <v>14.42</v>
      </c>
      <c r="M21" s="64">
        <v>72.099999999999994</v>
      </c>
      <c r="N21" s="64">
        <v>107.9</v>
      </c>
      <c r="O21" s="64">
        <v>0</v>
      </c>
      <c r="P21" s="64">
        <v>1.2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1409</v>
      </c>
      <c r="B22" s="64">
        <v>17.61</v>
      </c>
      <c r="C22" s="64">
        <v>52.61</v>
      </c>
      <c r="D22" s="64">
        <v>40.24</v>
      </c>
      <c r="E22" s="64">
        <v>6.39</v>
      </c>
      <c r="F22" s="64">
        <v>2.13</v>
      </c>
      <c r="G22" s="64">
        <v>90.09</v>
      </c>
      <c r="H22" s="64">
        <v>40.119999999999997</v>
      </c>
      <c r="I22" s="210" t="s">
        <v>43</v>
      </c>
      <c r="J22" s="64">
        <v>2.0699999999999998</v>
      </c>
      <c r="K22" s="64">
        <v>355.23</v>
      </c>
      <c r="L22" s="64">
        <v>14.29</v>
      </c>
      <c r="M22" s="64">
        <v>73.040000000000006</v>
      </c>
      <c r="N22" s="64">
        <v>100</v>
      </c>
      <c r="O22" s="64">
        <v>0</v>
      </c>
      <c r="P22" s="64">
        <v>1.1599999999999999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1410</v>
      </c>
      <c r="B23" s="64">
        <v>16.149999999999999</v>
      </c>
      <c r="C23" s="64">
        <v>52.4</v>
      </c>
      <c r="D23" s="64">
        <v>38.950000000000003</v>
      </c>
      <c r="E23" s="64">
        <v>6.34</v>
      </c>
      <c r="F23" s="64">
        <v>2.13</v>
      </c>
      <c r="G23" s="64">
        <v>83.98</v>
      </c>
      <c r="H23" s="64">
        <v>39.799999999999997</v>
      </c>
      <c r="I23" s="210" t="s">
        <v>43</v>
      </c>
      <c r="J23" s="64">
        <v>2.04</v>
      </c>
      <c r="K23" s="64">
        <v>351.36</v>
      </c>
      <c r="L23" s="64">
        <v>14.14</v>
      </c>
      <c r="M23" s="64">
        <v>74.08</v>
      </c>
      <c r="N23" s="64">
        <v>106</v>
      </c>
      <c r="O23" s="64">
        <v>0</v>
      </c>
      <c r="P23" s="64">
        <v>1.1299999999999999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1411</v>
      </c>
      <c r="B24" s="64">
        <v>15.14</v>
      </c>
      <c r="C24" s="64">
        <v>51.5</v>
      </c>
      <c r="D24" s="64">
        <v>37.67</v>
      </c>
      <c r="E24" s="64">
        <v>6.61</v>
      </c>
      <c r="F24" s="64">
        <v>2.13</v>
      </c>
      <c r="G24" s="64">
        <v>81.36</v>
      </c>
      <c r="H24" s="64">
        <v>39.67</v>
      </c>
      <c r="I24" s="210" t="s">
        <v>43</v>
      </c>
      <c r="J24" s="64">
        <v>1.1599999999999999</v>
      </c>
      <c r="K24" s="64">
        <v>342.9</v>
      </c>
      <c r="L24" s="64">
        <v>13.82</v>
      </c>
      <c r="M24" s="64">
        <v>76.67</v>
      </c>
      <c r="N24" s="64">
        <v>97.9</v>
      </c>
      <c r="O24" s="64">
        <v>0</v>
      </c>
      <c r="P24" s="64">
        <v>1.07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1412</v>
      </c>
      <c r="B25" s="64">
        <v>14.56</v>
      </c>
      <c r="C25" s="64">
        <v>49.83</v>
      </c>
      <c r="D25" s="64">
        <v>36.33</v>
      </c>
      <c r="E25" s="64">
        <v>6.36</v>
      </c>
      <c r="F25" s="64">
        <v>2.13</v>
      </c>
      <c r="G25" s="64">
        <v>81.36</v>
      </c>
      <c r="H25" s="64">
        <v>39.67</v>
      </c>
      <c r="I25" s="210" t="s">
        <v>43</v>
      </c>
      <c r="J25" s="64">
        <v>0.34</v>
      </c>
      <c r="K25" s="64">
        <v>26.8</v>
      </c>
      <c r="L25" s="64">
        <v>13.68</v>
      </c>
      <c r="M25" s="64">
        <v>77.290000000000006</v>
      </c>
      <c r="N25" s="64">
        <v>95.6</v>
      </c>
      <c r="O25" s="64">
        <v>0</v>
      </c>
      <c r="P25" s="64">
        <v>1.06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1413</v>
      </c>
      <c r="B26" s="64">
        <v>14.05</v>
      </c>
      <c r="C26" s="64">
        <v>49.85</v>
      </c>
      <c r="D26" s="64">
        <v>35.93</v>
      </c>
      <c r="E26" s="64">
        <v>5.89</v>
      </c>
      <c r="F26" s="64">
        <v>2.13</v>
      </c>
      <c r="G26" s="64">
        <v>81.36</v>
      </c>
      <c r="H26" s="64">
        <v>39.67</v>
      </c>
      <c r="I26" s="210" t="s">
        <v>43</v>
      </c>
      <c r="J26" s="64">
        <v>1.45</v>
      </c>
      <c r="K26" s="64">
        <v>118.23</v>
      </c>
      <c r="L26" s="64">
        <v>13.56</v>
      </c>
      <c r="M26" s="64">
        <v>78.77</v>
      </c>
      <c r="N26" s="64">
        <v>121.9</v>
      </c>
      <c r="O26" s="64">
        <v>0</v>
      </c>
      <c r="P26" s="64">
        <v>1.03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1414</v>
      </c>
      <c r="B27" s="64">
        <v>13.64</v>
      </c>
      <c r="C27" s="64">
        <v>49.31</v>
      </c>
      <c r="D27" s="64">
        <v>35.33</v>
      </c>
      <c r="E27" s="64">
        <v>6.13</v>
      </c>
      <c r="F27" s="64">
        <v>2.13</v>
      </c>
      <c r="G27" s="64">
        <v>84.66</v>
      </c>
      <c r="H27" s="64">
        <v>39.72</v>
      </c>
      <c r="I27" s="210" t="s">
        <v>43</v>
      </c>
      <c r="J27" s="64">
        <v>2.0499999999999998</v>
      </c>
      <c r="K27" s="64">
        <v>340.42</v>
      </c>
      <c r="L27" s="64">
        <v>13.57</v>
      </c>
      <c r="M27" s="64">
        <v>79.760000000000005</v>
      </c>
      <c r="N27" s="64">
        <v>116.2</v>
      </c>
      <c r="O27" s="64">
        <v>0</v>
      </c>
      <c r="P27" s="64">
        <v>0.98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1415</v>
      </c>
      <c r="B28" s="64">
        <v>13.46</v>
      </c>
      <c r="C28" s="64">
        <v>49.13</v>
      </c>
      <c r="D28" s="64">
        <v>35.090000000000003</v>
      </c>
      <c r="E28" s="64">
        <v>6.11</v>
      </c>
      <c r="F28" s="64">
        <v>2.13</v>
      </c>
      <c r="G28" s="64">
        <v>86.07</v>
      </c>
      <c r="H28" s="64">
        <v>39.74</v>
      </c>
      <c r="I28" s="210" t="s">
        <v>43</v>
      </c>
      <c r="J28" s="64">
        <v>0.98</v>
      </c>
      <c r="K28" s="64">
        <v>347.75</v>
      </c>
      <c r="L28" s="64">
        <v>13.52</v>
      </c>
      <c r="M28" s="64">
        <v>79.989999999999995</v>
      </c>
      <c r="N28" s="64">
        <v>111.6</v>
      </c>
      <c r="O28" s="64">
        <v>0</v>
      </c>
      <c r="P28" s="64">
        <v>1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1416</v>
      </c>
      <c r="B29" s="64">
        <v>13.44</v>
      </c>
      <c r="C29" s="64">
        <v>48.74</v>
      </c>
      <c r="D29" s="64">
        <v>34.86</v>
      </c>
      <c r="E29" s="64">
        <v>6</v>
      </c>
      <c r="F29" s="64">
        <v>2.13</v>
      </c>
      <c r="G29" s="64">
        <v>86.07</v>
      </c>
      <c r="H29" s="64">
        <v>39.74</v>
      </c>
      <c r="I29" s="210" t="s">
        <v>43</v>
      </c>
      <c r="J29" s="64">
        <v>1.03</v>
      </c>
      <c r="K29" s="64">
        <v>325.42</v>
      </c>
      <c r="L29" s="64">
        <v>13.33</v>
      </c>
      <c r="M29" s="64">
        <v>81.27</v>
      </c>
      <c r="N29" s="64">
        <v>112.5</v>
      </c>
      <c r="O29" s="64">
        <v>0</v>
      </c>
      <c r="P29" s="64">
        <v>0.97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1417</v>
      </c>
      <c r="B30" s="64">
        <v>13.25</v>
      </c>
      <c r="C30" s="64">
        <v>48.5</v>
      </c>
      <c r="D30" s="64">
        <v>34.590000000000003</v>
      </c>
      <c r="E30" s="64">
        <v>6.04</v>
      </c>
      <c r="F30" s="64">
        <v>2.13</v>
      </c>
      <c r="G30" s="64">
        <v>86.07</v>
      </c>
      <c r="H30" s="64">
        <v>39.74</v>
      </c>
      <c r="I30" s="210" t="s">
        <v>43</v>
      </c>
      <c r="J30" s="64">
        <v>1.25</v>
      </c>
      <c r="K30" s="64">
        <v>113.85</v>
      </c>
      <c r="L30" s="64">
        <v>13.12</v>
      </c>
      <c r="M30" s="64">
        <v>82.28</v>
      </c>
      <c r="N30" s="64">
        <v>110.6</v>
      </c>
      <c r="O30" s="64">
        <v>0</v>
      </c>
      <c r="P30" s="64">
        <v>0.95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1418</v>
      </c>
      <c r="B31" s="64">
        <v>13.09</v>
      </c>
      <c r="C31" s="64">
        <v>48.24</v>
      </c>
      <c r="D31" s="64">
        <v>34.32</v>
      </c>
      <c r="E31" s="64">
        <v>5.84</v>
      </c>
      <c r="F31" s="64">
        <v>2.13</v>
      </c>
      <c r="G31" s="64">
        <v>84.82</v>
      </c>
      <c r="H31" s="64">
        <v>38.24</v>
      </c>
      <c r="I31" s="210" t="s">
        <v>43</v>
      </c>
      <c r="J31" s="64">
        <v>1.98</v>
      </c>
      <c r="K31" s="64">
        <v>331.81</v>
      </c>
      <c r="L31" s="64">
        <v>12.95</v>
      </c>
      <c r="M31" s="64">
        <v>84.39</v>
      </c>
      <c r="N31" s="64">
        <v>101.3</v>
      </c>
      <c r="O31" s="64">
        <v>0</v>
      </c>
      <c r="P31" s="64">
        <v>0.91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1419</v>
      </c>
      <c r="B32" s="64">
        <v>14.72</v>
      </c>
      <c r="C32" s="64">
        <v>46.02</v>
      </c>
      <c r="D32" s="64">
        <v>34.47</v>
      </c>
      <c r="E32" s="64">
        <v>6.62</v>
      </c>
      <c r="F32" s="64">
        <v>2.13</v>
      </c>
      <c r="G32" s="64">
        <v>84.29</v>
      </c>
      <c r="H32" s="64">
        <v>37.61</v>
      </c>
      <c r="I32" s="210" t="s">
        <v>43</v>
      </c>
      <c r="J32" s="64">
        <v>1.68</v>
      </c>
      <c r="K32" s="64">
        <v>249.1</v>
      </c>
      <c r="L32" s="64">
        <v>12.71</v>
      </c>
      <c r="M32" s="64">
        <v>87.97</v>
      </c>
      <c r="N32" s="64">
        <v>96.8</v>
      </c>
      <c r="O32" s="64">
        <v>0</v>
      </c>
      <c r="P32" s="64">
        <v>0.94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1420</v>
      </c>
      <c r="B33" s="64">
        <v>16.829999999999998</v>
      </c>
      <c r="C33" s="64">
        <v>46.11</v>
      </c>
      <c r="D33" s="64">
        <v>36.21</v>
      </c>
      <c r="E33" s="64">
        <v>6.37</v>
      </c>
      <c r="F33" s="64">
        <v>2.13</v>
      </c>
      <c r="G33" s="64">
        <v>84.29</v>
      </c>
      <c r="H33" s="64">
        <v>37.61</v>
      </c>
      <c r="I33" s="210" t="s">
        <v>43</v>
      </c>
      <c r="J33" s="64">
        <v>1.78</v>
      </c>
      <c r="K33" s="64">
        <v>358.49</v>
      </c>
      <c r="L33" s="64">
        <v>12.52</v>
      </c>
      <c r="M33" s="64">
        <v>92.49</v>
      </c>
      <c r="N33" s="64">
        <v>100.8</v>
      </c>
      <c r="O33" s="64">
        <v>0</v>
      </c>
      <c r="P33" s="64">
        <v>0.94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1421</v>
      </c>
      <c r="B34" s="64">
        <v>18.97</v>
      </c>
      <c r="C34" s="64">
        <v>47.17</v>
      </c>
      <c r="D34" s="64">
        <v>38.479999999999997</v>
      </c>
      <c r="E34" s="64">
        <v>6.54</v>
      </c>
      <c r="F34" s="64">
        <v>2.13</v>
      </c>
      <c r="G34" s="64">
        <v>84.29</v>
      </c>
      <c r="H34" s="64">
        <v>37.61</v>
      </c>
      <c r="I34" s="210" t="s">
        <v>43</v>
      </c>
      <c r="J34" s="64">
        <v>1.28</v>
      </c>
      <c r="K34" s="64">
        <v>356.1</v>
      </c>
      <c r="L34" s="64">
        <v>12.4</v>
      </c>
      <c r="M34" s="64">
        <v>92.32</v>
      </c>
      <c r="N34" s="64">
        <v>102.4</v>
      </c>
      <c r="O34" s="64">
        <v>0</v>
      </c>
      <c r="P34" s="64">
        <v>0.92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1422</v>
      </c>
      <c r="B35" s="64">
        <v>20.28</v>
      </c>
      <c r="C35" s="64">
        <v>48.35</v>
      </c>
      <c r="D35" s="64">
        <v>40.14</v>
      </c>
      <c r="E35" s="64">
        <v>6.51</v>
      </c>
      <c r="F35" s="64">
        <v>2.13</v>
      </c>
      <c r="G35" s="64">
        <v>92.53</v>
      </c>
      <c r="H35" s="64">
        <v>38.25</v>
      </c>
      <c r="I35" s="210" t="s">
        <v>43</v>
      </c>
      <c r="J35" s="64">
        <v>2.2200000000000002</v>
      </c>
      <c r="K35" s="64">
        <v>352.68</v>
      </c>
      <c r="L35" s="64">
        <v>12.65</v>
      </c>
      <c r="M35" s="64">
        <v>90.73</v>
      </c>
      <c r="N35" s="64">
        <v>114.5</v>
      </c>
      <c r="O35" s="64">
        <v>0</v>
      </c>
      <c r="P35" s="64">
        <v>0.92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1423</v>
      </c>
      <c r="B36" s="64">
        <v>20.99</v>
      </c>
      <c r="C36" s="64">
        <v>49.28</v>
      </c>
      <c r="D36" s="64">
        <v>41.2</v>
      </c>
      <c r="E36" s="64">
        <v>6.51</v>
      </c>
      <c r="F36" s="64">
        <v>2.13</v>
      </c>
      <c r="G36" s="64">
        <v>96.26</v>
      </c>
      <c r="H36" s="64">
        <v>38.53</v>
      </c>
      <c r="I36" s="210" t="s">
        <v>43</v>
      </c>
      <c r="J36" s="64">
        <v>2.35</v>
      </c>
      <c r="K36" s="64">
        <v>352.5</v>
      </c>
      <c r="L36" s="64">
        <v>12.91</v>
      </c>
      <c r="M36" s="64">
        <v>87.93</v>
      </c>
      <c r="N36" s="64">
        <v>114.4</v>
      </c>
      <c r="O36" s="64">
        <v>0</v>
      </c>
      <c r="P36" s="64">
        <v>0.92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1424</v>
      </c>
      <c r="B37" s="64">
        <v>21.55</v>
      </c>
      <c r="C37" s="64">
        <v>50.03</v>
      </c>
      <c r="D37" s="64">
        <v>42.04</v>
      </c>
      <c r="E37" s="64">
        <v>6.63</v>
      </c>
      <c r="F37" s="64">
        <v>2.13</v>
      </c>
      <c r="G37" s="64">
        <v>96.26</v>
      </c>
      <c r="H37" s="64">
        <v>38.53</v>
      </c>
      <c r="I37" s="210" t="s">
        <v>43</v>
      </c>
      <c r="J37" s="64">
        <v>2.37</v>
      </c>
      <c r="K37" s="64">
        <v>347.98</v>
      </c>
      <c r="L37" s="64">
        <v>13.21</v>
      </c>
      <c r="M37" s="64">
        <v>86.81</v>
      </c>
      <c r="N37" s="64">
        <v>129.5</v>
      </c>
      <c r="O37" s="64">
        <v>0</v>
      </c>
      <c r="P37" s="64">
        <v>0.96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1425</v>
      </c>
      <c r="B38" s="64">
        <v>22.38</v>
      </c>
      <c r="C38" s="64">
        <v>50.66</v>
      </c>
      <c r="D38" s="64">
        <v>43.04</v>
      </c>
      <c r="E38" s="64">
        <v>6.98</v>
      </c>
      <c r="F38" s="64">
        <v>2.13</v>
      </c>
      <c r="G38" s="64">
        <v>96.26</v>
      </c>
      <c r="H38" s="64">
        <v>38.53</v>
      </c>
      <c r="I38" s="210" t="s">
        <v>43</v>
      </c>
      <c r="J38" s="64">
        <v>2.13</v>
      </c>
      <c r="K38" s="64">
        <v>323.98</v>
      </c>
      <c r="L38" s="64">
        <v>13.61</v>
      </c>
      <c r="M38" s="64">
        <v>86.25</v>
      </c>
      <c r="N38" s="64">
        <v>141.80000000000001</v>
      </c>
      <c r="O38" s="64">
        <v>0</v>
      </c>
      <c r="P38" s="64">
        <v>1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1426</v>
      </c>
      <c r="B39" s="64">
        <v>23.46</v>
      </c>
      <c r="C39" s="64">
        <v>50.86</v>
      </c>
      <c r="D39" s="64">
        <v>44.01</v>
      </c>
      <c r="E39" s="64">
        <v>7.06</v>
      </c>
      <c r="F39" s="64">
        <v>2.13</v>
      </c>
      <c r="G39" s="64">
        <v>102.71</v>
      </c>
      <c r="H39" s="64">
        <v>40.119999999999997</v>
      </c>
      <c r="I39" s="210" t="s">
        <v>43</v>
      </c>
      <c r="J39" s="64">
        <v>2.4300000000000002</v>
      </c>
      <c r="K39" s="64">
        <v>351.71</v>
      </c>
      <c r="L39" s="64">
        <v>14.04</v>
      </c>
      <c r="M39" s="64">
        <v>84.7</v>
      </c>
      <c r="N39" s="64">
        <v>162.19999999999999</v>
      </c>
      <c r="O39" s="64">
        <v>0</v>
      </c>
      <c r="P39" s="64">
        <v>1.01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1427</v>
      </c>
      <c r="B40" s="64">
        <v>24.96</v>
      </c>
      <c r="C40" s="64">
        <v>51.31</v>
      </c>
      <c r="D40" s="64">
        <v>45.44</v>
      </c>
      <c r="E40" s="64">
        <v>7.23</v>
      </c>
      <c r="F40" s="64">
        <v>2.13</v>
      </c>
      <c r="G40" s="64">
        <v>105.47</v>
      </c>
      <c r="H40" s="64">
        <v>40.799999999999997</v>
      </c>
      <c r="I40" s="210" t="s">
        <v>43</v>
      </c>
      <c r="J40" s="64">
        <v>2.21</v>
      </c>
      <c r="K40" s="64">
        <v>355.01</v>
      </c>
      <c r="L40" s="64">
        <v>14.59</v>
      </c>
      <c r="M40" s="64">
        <v>81.540000000000006</v>
      </c>
      <c r="N40" s="64">
        <v>190.9</v>
      </c>
      <c r="O40" s="64">
        <v>0</v>
      </c>
      <c r="P40" s="64">
        <v>1.04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1428</v>
      </c>
      <c r="B41" s="64">
        <v>26.32</v>
      </c>
      <c r="C41" s="64">
        <v>50.79</v>
      </c>
      <c r="D41" s="64">
        <v>46.27</v>
      </c>
      <c r="E41" s="64">
        <v>7.89</v>
      </c>
      <c r="F41" s="64">
        <v>2.13</v>
      </c>
      <c r="G41" s="64">
        <v>105.47</v>
      </c>
      <c r="H41" s="64">
        <v>40.799999999999997</v>
      </c>
      <c r="I41" s="210" t="s">
        <v>43</v>
      </c>
      <c r="J41" s="64">
        <v>2.31</v>
      </c>
      <c r="K41" s="64">
        <v>347.93</v>
      </c>
      <c r="L41" s="64">
        <v>15.44</v>
      </c>
      <c r="M41" s="64">
        <v>77.28</v>
      </c>
      <c r="N41" s="64">
        <v>228.9</v>
      </c>
      <c r="O41" s="64">
        <v>0</v>
      </c>
      <c r="P41" s="64">
        <v>1.08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1429</v>
      </c>
      <c r="B42" s="64">
        <v>27.53</v>
      </c>
      <c r="C42" s="64">
        <v>50.75</v>
      </c>
      <c r="D42" s="64">
        <v>47.21</v>
      </c>
      <c r="E42" s="64">
        <v>7.78</v>
      </c>
      <c r="F42" s="64">
        <v>2.13</v>
      </c>
      <c r="G42" s="64">
        <v>105.47</v>
      </c>
      <c r="H42" s="64">
        <v>40.799999999999997</v>
      </c>
      <c r="I42" s="210" t="s">
        <v>43</v>
      </c>
      <c r="J42" s="64">
        <v>2.54</v>
      </c>
      <c r="K42" s="64">
        <v>348.43</v>
      </c>
      <c r="L42" s="64">
        <v>16.64</v>
      </c>
      <c r="M42" s="64">
        <v>71.819999999999993</v>
      </c>
      <c r="N42" s="64">
        <v>263.39999999999998</v>
      </c>
      <c r="O42" s="64">
        <v>0</v>
      </c>
      <c r="P42" s="64">
        <v>1.1200000000000001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1430</v>
      </c>
      <c r="B43" s="64">
        <v>28.49</v>
      </c>
      <c r="C43" s="64">
        <v>51.56</v>
      </c>
      <c r="D43" s="64">
        <v>48.41</v>
      </c>
      <c r="E43" s="64">
        <v>7.76</v>
      </c>
      <c r="F43" s="64">
        <v>2.13</v>
      </c>
      <c r="G43" s="64">
        <v>167.55</v>
      </c>
      <c r="H43" s="64">
        <v>48.28</v>
      </c>
      <c r="I43" s="210" t="s">
        <v>43</v>
      </c>
      <c r="J43" s="64">
        <v>2.19</v>
      </c>
      <c r="K43" s="64">
        <v>346.84</v>
      </c>
      <c r="L43" s="64">
        <v>17.45</v>
      </c>
      <c r="M43" s="64">
        <v>67.39</v>
      </c>
      <c r="N43" s="64">
        <v>313.5</v>
      </c>
      <c r="O43" s="64">
        <v>0</v>
      </c>
      <c r="P43" s="64">
        <v>1.1299999999999999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1431</v>
      </c>
      <c r="B44" s="64">
        <v>28.93</v>
      </c>
      <c r="C44" s="64">
        <v>52.28</v>
      </c>
      <c r="D44" s="64">
        <v>49.13</v>
      </c>
      <c r="E44" s="64">
        <v>7.91</v>
      </c>
      <c r="F44" s="64">
        <v>2.13</v>
      </c>
      <c r="G44" s="64">
        <v>194.16</v>
      </c>
      <c r="H44" s="64">
        <v>51.49</v>
      </c>
      <c r="I44" s="210" t="s">
        <v>43</v>
      </c>
      <c r="J44" s="64">
        <v>2.3199999999999998</v>
      </c>
      <c r="K44" s="64">
        <v>349.7</v>
      </c>
      <c r="L44" s="64">
        <v>17.89</v>
      </c>
      <c r="M44" s="64">
        <v>63.09</v>
      </c>
      <c r="N44" s="64">
        <v>314.39999999999998</v>
      </c>
      <c r="O44" s="64">
        <v>0</v>
      </c>
      <c r="P44" s="64">
        <v>1.1299999999999999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1432</v>
      </c>
      <c r="B45" s="64">
        <v>29.02</v>
      </c>
      <c r="C45" s="64">
        <v>52.64</v>
      </c>
      <c r="D45" s="64">
        <v>49.4</v>
      </c>
      <c r="E45" s="64">
        <v>8.2799999999999994</v>
      </c>
      <c r="F45" s="64">
        <v>2.13</v>
      </c>
      <c r="G45" s="64">
        <v>194.16</v>
      </c>
      <c r="H45" s="64">
        <v>51.49</v>
      </c>
      <c r="I45" s="210" t="s">
        <v>43</v>
      </c>
      <c r="J45" s="64">
        <v>2.4700000000000002</v>
      </c>
      <c r="K45" s="64">
        <v>346.23</v>
      </c>
      <c r="L45" s="64">
        <v>18.38</v>
      </c>
      <c r="M45" s="64">
        <v>60.13</v>
      </c>
      <c r="N45" s="64">
        <v>321.2</v>
      </c>
      <c r="O45" s="64">
        <v>0</v>
      </c>
      <c r="P45" s="64">
        <v>1.1200000000000001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1433</v>
      </c>
      <c r="B46" s="64">
        <v>29.05</v>
      </c>
      <c r="C46" s="64">
        <v>53.56</v>
      </c>
      <c r="D46" s="64">
        <v>49.9</v>
      </c>
      <c r="E46" s="64">
        <v>8.18</v>
      </c>
      <c r="F46" s="64">
        <v>2.13</v>
      </c>
      <c r="G46" s="64">
        <v>194.16</v>
      </c>
      <c r="H46" s="64">
        <v>51.49</v>
      </c>
      <c r="I46" s="210" t="s">
        <v>43</v>
      </c>
      <c r="J46" s="64">
        <v>1.05</v>
      </c>
      <c r="K46" s="64">
        <v>20.55</v>
      </c>
      <c r="L46" s="64">
        <v>18.73</v>
      </c>
      <c r="M46" s="64">
        <v>59.05</v>
      </c>
      <c r="N46" s="64">
        <v>360.7</v>
      </c>
      <c r="O46" s="64">
        <v>0</v>
      </c>
      <c r="P46" s="64">
        <v>1.1200000000000001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1434</v>
      </c>
      <c r="B47" s="64">
        <v>29.03</v>
      </c>
      <c r="C47" s="64">
        <v>53.75</v>
      </c>
      <c r="D47" s="64">
        <v>49.98</v>
      </c>
      <c r="E47" s="64">
        <v>7.75</v>
      </c>
      <c r="F47" s="64">
        <v>2.13</v>
      </c>
      <c r="G47" s="64">
        <v>150.69</v>
      </c>
      <c r="H47" s="64">
        <v>52.08</v>
      </c>
      <c r="I47" s="210" t="s">
        <v>43</v>
      </c>
      <c r="J47" s="64">
        <v>2.08</v>
      </c>
      <c r="K47" s="64">
        <v>347.08</v>
      </c>
      <c r="L47" s="64">
        <v>18.32</v>
      </c>
      <c r="M47" s="64">
        <v>59.76</v>
      </c>
      <c r="N47" s="64">
        <v>314.3</v>
      </c>
      <c r="O47" s="64">
        <v>0</v>
      </c>
      <c r="P47" s="64">
        <v>1.1200000000000001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1435</v>
      </c>
      <c r="B48" s="64">
        <v>29.74</v>
      </c>
      <c r="C48" s="64">
        <v>54.65</v>
      </c>
      <c r="D48" s="64">
        <v>51.02</v>
      </c>
      <c r="E48" s="64">
        <v>8.1199999999999992</v>
      </c>
      <c r="F48" s="64">
        <v>2.13</v>
      </c>
      <c r="G48" s="64">
        <v>132.06</v>
      </c>
      <c r="H48" s="64">
        <v>52.34</v>
      </c>
      <c r="I48" s="210" t="s">
        <v>43</v>
      </c>
      <c r="J48" s="64">
        <v>2.74</v>
      </c>
      <c r="K48" s="64">
        <v>341.38</v>
      </c>
      <c r="L48" s="64">
        <v>19.54</v>
      </c>
      <c r="M48" s="64">
        <v>56.08</v>
      </c>
      <c r="N48" s="64">
        <v>387</v>
      </c>
      <c r="O48" s="64">
        <v>0</v>
      </c>
      <c r="P48" s="64">
        <v>1.1100000000000001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1436</v>
      </c>
      <c r="B49" s="64">
        <v>31.3</v>
      </c>
      <c r="C49" s="64">
        <v>56.64</v>
      </c>
      <c r="D49" s="64">
        <v>53.32</v>
      </c>
      <c r="E49" s="64">
        <v>8.1999999999999993</v>
      </c>
      <c r="F49" s="64">
        <v>2.13</v>
      </c>
      <c r="G49" s="64">
        <v>132.06</v>
      </c>
      <c r="H49" s="64">
        <v>52.34</v>
      </c>
      <c r="I49" s="210" t="s">
        <v>43</v>
      </c>
      <c r="J49" s="64">
        <v>1.44</v>
      </c>
      <c r="K49" s="64">
        <v>2.61</v>
      </c>
      <c r="L49" s="64">
        <v>20.3</v>
      </c>
      <c r="M49" s="64">
        <v>53.26</v>
      </c>
      <c r="N49" s="64">
        <v>383</v>
      </c>
      <c r="O49" s="64">
        <v>0</v>
      </c>
      <c r="P49" s="64">
        <v>1.1100000000000001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1437</v>
      </c>
      <c r="B50" s="64">
        <v>33.26</v>
      </c>
      <c r="C50" s="64">
        <v>58.53</v>
      </c>
      <c r="D50" s="64">
        <v>55.87</v>
      </c>
      <c r="E50" s="64">
        <v>9.01</v>
      </c>
      <c r="F50" s="64">
        <v>2.13</v>
      </c>
      <c r="G50" s="211" t="s">
        <v>40</v>
      </c>
      <c r="H50" s="211" t="s">
        <v>40</v>
      </c>
      <c r="I50" s="210" t="s">
        <v>43</v>
      </c>
      <c r="J50" s="64">
        <v>2.9</v>
      </c>
      <c r="K50" s="64">
        <v>343.27</v>
      </c>
      <c r="L50" s="64">
        <v>22.07</v>
      </c>
      <c r="M50" s="64">
        <v>47.77</v>
      </c>
      <c r="N50" s="64">
        <v>393.8</v>
      </c>
      <c r="O50" s="64">
        <v>0</v>
      </c>
      <c r="P50" s="64">
        <v>1.1100000000000001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1438</v>
      </c>
      <c r="B51" s="64">
        <v>35.200000000000003</v>
      </c>
      <c r="C51" s="64">
        <v>72.39</v>
      </c>
      <c r="D51" s="64">
        <v>64.67</v>
      </c>
      <c r="E51" s="64">
        <v>27.07</v>
      </c>
      <c r="F51" s="64">
        <v>2.17</v>
      </c>
      <c r="G51" s="211" t="s">
        <v>40</v>
      </c>
      <c r="H51" s="211" t="s">
        <v>40</v>
      </c>
      <c r="I51" s="210" t="s">
        <v>43</v>
      </c>
      <c r="J51" s="64">
        <v>2.46</v>
      </c>
      <c r="K51" s="64">
        <v>342.28</v>
      </c>
      <c r="L51" s="64">
        <v>22.64</v>
      </c>
      <c r="M51" s="64">
        <v>46.48</v>
      </c>
      <c r="N51" s="64">
        <v>404.5</v>
      </c>
      <c r="O51" s="64">
        <v>0</v>
      </c>
      <c r="P51" s="64">
        <v>1.0900000000000001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1439</v>
      </c>
      <c r="B52" s="64">
        <v>35.049999999999997</v>
      </c>
      <c r="C52" s="64">
        <v>87.97</v>
      </c>
      <c r="D52" s="64">
        <v>72.69</v>
      </c>
      <c r="E52" s="64">
        <v>18.79</v>
      </c>
      <c r="F52" s="64">
        <v>2.13</v>
      </c>
      <c r="G52" s="211" t="s">
        <v>40</v>
      </c>
      <c r="H52" s="211" t="s">
        <v>40</v>
      </c>
      <c r="I52" s="210" t="s">
        <v>43</v>
      </c>
      <c r="J52" s="64">
        <v>2.29</v>
      </c>
      <c r="K52" s="64">
        <v>346.61</v>
      </c>
      <c r="L52" s="64">
        <v>23.13</v>
      </c>
      <c r="M52" s="64">
        <v>44.97</v>
      </c>
      <c r="N52" s="64">
        <v>399.5</v>
      </c>
      <c r="O52" s="64">
        <v>0</v>
      </c>
      <c r="P52" s="64">
        <v>1.08</v>
      </c>
      <c r="Q52" s="64">
        <v>8.24</v>
      </c>
      <c r="R52" s="198"/>
      <c r="S52" s="198"/>
      <c r="T52" s="198"/>
      <c r="U52" s="198"/>
    </row>
    <row r="53" spans="1:21" s="12" customFormat="1" x14ac:dyDescent="0.25">
      <c r="A53" s="214" t="s">
        <v>1440</v>
      </c>
      <c r="B53" s="64">
        <v>34.520000000000003</v>
      </c>
      <c r="C53" s="64">
        <v>87.88</v>
      </c>
      <c r="D53" s="64">
        <v>72.22</v>
      </c>
      <c r="E53" s="64">
        <v>14.36</v>
      </c>
      <c r="F53" s="64">
        <v>2.13</v>
      </c>
      <c r="G53" s="64">
        <v>102.21</v>
      </c>
      <c r="H53" s="64">
        <v>48.84</v>
      </c>
      <c r="I53" s="210" t="s">
        <v>43</v>
      </c>
      <c r="J53" s="64">
        <v>0.61</v>
      </c>
      <c r="K53" s="64">
        <v>66.41</v>
      </c>
      <c r="L53" s="64">
        <v>22.39</v>
      </c>
      <c r="M53" s="64">
        <v>47.97</v>
      </c>
      <c r="N53" s="64">
        <v>400.1</v>
      </c>
      <c r="O53" s="64">
        <v>0</v>
      </c>
      <c r="P53" s="64">
        <v>1.08</v>
      </c>
      <c r="Q53" s="64">
        <v>8.34</v>
      </c>
      <c r="R53" s="198"/>
      <c r="S53" s="198"/>
      <c r="T53" s="198"/>
      <c r="U53" s="198"/>
    </row>
    <row r="54" spans="1:21" s="12" customFormat="1" x14ac:dyDescent="0.25">
      <c r="A54" s="214" t="s">
        <v>1441</v>
      </c>
      <c r="B54" s="64">
        <v>33.82</v>
      </c>
      <c r="C54" s="64">
        <v>86.71</v>
      </c>
      <c r="D54" s="64">
        <v>71.05</v>
      </c>
      <c r="E54" s="64">
        <v>15.09</v>
      </c>
      <c r="F54" s="64">
        <v>2.13</v>
      </c>
      <c r="G54" s="64">
        <v>102.21</v>
      </c>
      <c r="H54" s="64">
        <v>48.84</v>
      </c>
      <c r="I54" s="210" t="s">
        <v>43</v>
      </c>
      <c r="J54" s="64">
        <v>2.04</v>
      </c>
      <c r="K54" s="64">
        <v>345.51</v>
      </c>
      <c r="L54" s="64">
        <v>22.27</v>
      </c>
      <c r="M54" s="64">
        <v>47.69</v>
      </c>
      <c r="N54" s="64">
        <v>416.5</v>
      </c>
      <c r="O54" s="64">
        <v>0</v>
      </c>
      <c r="P54" s="64">
        <v>1.08</v>
      </c>
      <c r="Q54" s="64">
        <v>8.35</v>
      </c>
      <c r="R54" s="198"/>
      <c r="S54" s="198"/>
      <c r="T54" s="198"/>
      <c r="U54" s="198"/>
    </row>
    <row r="55" spans="1:21" s="12" customFormat="1" x14ac:dyDescent="0.25">
      <c r="A55" s="214" t="s">
        <v>1442</v>
      </c>
      <c r="B55" s="64">
        <v>31.01</v>
      </c>
      <c r="C55" s="64">
        <v>88.78</v>
      </c>
      <c r="D55" s="64">
        <v>69.87</v>
      </c>
      <c r="E55" s="64">
        <v>14.88</v>
      </c>
      <c r="F55" s="64">
        <v>2.13</v>
      </c>
      <c r="G55" s="64">
        <v>98.87</v>
      </c>
      <c r="H55" s="64">
        <v>47.6</v>
      </c>
      <c r="I55" s="210" t="s">
        <v>43</v>
      </c>
      <c r="J55" s="64">
        <v>2.33</v>
      </c>
      <c r="K55" s="64">
        <v>341.16</v>
      </c>
      <c r="L55" s="64">
        <v>23.75</v>
      </c>
      <c r="M55" s="64">
        <v>44.25</v>
      </c>
      <c r="N55" s="64">
        <v>436.8</v>
      </c>
      <c r="O55" s="64">
        <v>0</v>
      </c>
      <c r="P55" s="64">
        <v>1.06</v>
      </c>
      <c r="Q55" s="64">
        <v>8.36</v>
      </c>
      <c r="R55" s="198"/>
      <c r="S55" s="198"/>
      <c r="T55" s="198"/>
      <c r="U55" s="198"/>
    </row>
    <row r="56" spans="1:21" s="12" customFormat="1" x14ac:dyDescent="0.25">
      <c r="A56" s="214" t="s">
        <v>1443</v>
      </c>
      <c r="B56" s="64">
        <v>29.63</v>
      </c>
      <c r="C56" s="64">
        <v>88.59</v>
      </c>
      <c r="D56" s="64">
        <v>68.680000000000007</v>
      </c>
      <c r="E56" s="64">
        <v>14.19</v>
      </c>
      <c r="F56" s="64">
        <v>2.13</v>
      </c>
      <c r="G56" s="64">
        <v>97.44</v>
      </c>
      <c r="H56" s="64">
        <v>47.06</v>
      </c>
      <c r="I56" s="210" t="s">
        <v>43</v>
      </c>
      <c r="J56" s="64">
        <v>3.16</v>
      </c>
      <c r="K56" s="64">
        <v>340.46</v>
      </c>
      <c r="L56" s="64">
        <v>24.37</v>
      </c>
      <c r="M56" s="64">
        <v>42.8</v>
      </c>
      <c r="N56" s="64">
        <v>472.8</v>
      </c>
      <c r="O56" s="64">
        <v>0</v>
      </c>
      <c r="P56" s="64">
        <v>1.05</v>
      </c>
      <c r="Q56" s="64">
        <v>8.32</v>
      </c>
      <c r="R56" s="198"/>
      <c r="S56" s="198"/>
      <c r="T56" s="198"/>
      <c r="U56" s="198"/>
    </row>
    <row r="57" spans="1:21" s="12" customFormat="1" x14ac:dyDescent="0.25">
      <c r="A57" s="214" t="s">
        <v>1444</v>
      </c>
      <c r="B57" s="211" t="s">
        <v>40</v>
      </c>
      <c r="C57" s="211" t="s">
        <v>40</v>
      </c>
      <c r="D57" s="211" t="s">
        <v>40</v>
      </c>
      <c r="E57" s="64">
        <v>15.38</v>
      </c>
      <c r="F57" s="64">
        <v>2.13</v>
      </c>
      <c r="G57" s="64">
        <v>97.44</v>
      </c>
      <c r="H57" s="64">
        <v>47.06</v>
      </c>
      <c r="I57" s="210" t="s">
        <v>43</v>
      </c>
      <c r="J57" s="64">
        <v>3.47</v>
      </c>
      <c r="K57" s="64">
        <v>343.26</v>
      </c>
      <c r="L57" s="64">
        <v>24.6</v>
      </c>
      <c r="M57" s="64">
        <v>40.99</v>
      </c>
      <c r="N57" s="64">
        <v>504.7</v>
      </c>
      <c r="O57" s="64">
        <v>0</v>
      </c>
      <c r="P57" s="64">
        <v>1.01</v>
      </c>
      <c r="Q57" s="64">
        <v>8.2200000000000006</v>
      </c>
      <c r="R57" s="198"/>
      <c r="S57" s="198"/>
      <c r="T57" s="198"/>
      <c r="U57" s="198"/>
    </row>
    <row r="58" spans="1:21" s="12" customFormat="1" x14ac:dyDescent="0.25">
      <c r="A58" s="214" t="s">
        <v>1445</v>
      </c>
      <c r="B58" s="211" t="s">
        <v>40</v>
      </c>
      <c r="C58" s="211" t="s">
        <v>40</v>
      </c>
      <c r="D58" s="211" t="s">
        <v>40</v>
      </c>
      <c r="E58" s="64">
        <v>15.72</v>
      </c>
      <c r="F58" s="64">
        <v>2.27</v>
      </c>
      <c r="G58" s="64">
        <v>97.44</v>
      </c>
      <c r="H58" s="64">
        <v>47.06</v>
      </c>
      <c r="I58" s="210" t="s">
        <v>43</v>
      </c>
      <c r="J58" s="64">
        <v>3.21</v>
      </c>
      <c r="K58" s="64">
        <v>343.28</v>
      </c>
      <c r="L58" s="64">
        <v>24.91</v>
      </c>
      <c r="M58" s="64">
        <v>40.32</v>
      </c>
      <c r="N58" s="64">
        <v>472.4</v>
      </c>
      <c r="O58" s="64">
        <v>0</v>
      </c>
      <c r="P58" s="64">
        <v>1.03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1446</v>
      </c>
      <c r="B59" s="211" t="s">
        <v>40</v>
      </c>
      <c r="C59" s="211" t="s">
        <v>40</v>
      </c>
      <c r="D59" s="211" t="s">
        <v>40</v>
      </c>
      <c r="E59" s="64">
        <v>15.21</v>
      </c>
      <c r="F59" s="64">
        <v>2.58</v>
      </c>
      <c r="G59" s="64">
        <v>122.62</v>
      </c>
      <c r="H59" s="64">
        <v>48.93</v>
      </c>
      <c r="I59" s="210" t="s">
        <v>43</v>
      </c>
      <c r="J59" s="64">
        <v>1.62</v>
      </c>
      <c r="K59" s="64">
        <v>343.47</v>
      </c>
      <c r="L59" s="64">
        <v>24.67</v>
      </c>
      <c r="M59" s="64">
        <v>41.17</v>
      </c>
      <c r="N59" s="64">
        <v>389.6</v>
      </c>
      <c r="O59" s="64">
        <v>0</v>
      </c>
      <c r="P59" s="64">
        <v>1.1000000000000001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1447</v>
      </c>
      <c r="B60" s="211" t="s">
        <v>40</v>
      </c>
      <c r="C60" s="211" t="s">
        <v>40</v>
      </c>
      <c r="D60" s="211" t="s">
        <v>40</v>
      </c>
      <c r="E60" s="64">
        <v>13.69</v>
      </c>
      <c r="F60" s="64">
        <v>2.37</v>
      </c>
      <c r="G60" s="64">
        <v>133.41999999999999</v>
      </c>
      <c r="H60" s="64">
        <v>49.73</v>
      </c>
      <c r="I60" s="210" t="s">
        <v>43</v>
      </c>
      <c r="J60" s="64">
        <v>1.93</v>
      </c>
      <c r="K60" s="64">
        <v>344.22</v>
      </c>
      <c r="L60" s="64">
        <v>23.65</v>
      </c>
      <c r="M60" s="64">
        <v>43.05</v>
      </c>
      <c r="N60" s="64">
        <v>368.7</v>
      </c>
      <c r="O60" s="64">
        <v>0</v>
      </c>
      <c r="P60" s="64">
        <v>1.1100000000000001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1448</v>
      </c>
      <c r="B61" s="64">
        <v>18.239999999999998</v>
      </c>
      <c r="C61" s="64">
        <v>114.59</v>
      </c>
      <c r="D61" s="64">
        <v>73.12</v>
      </c>
      <c r="E61" s="64">
        <v>4.82</v>
      </c>
      <c r="F61" s="64">
        <v>3.29</v>
      </c>
      <c r="G61" s="64">
        <v>133.41999999999999</v>
      </c>
      <c r="H61" s="64">
        <v>49.73</v>
      </c>
      <c r="I61" s="210" t="s">
        <v>43</v>
      </c>
      <c r="J61" s="64">
        <v>1.92</v>
      </c>
      <c r="K61" s="64">
        <v>345.22</v>
      </c>
      <c r="L61" s="64">
        <v>23.76</v>
      </c>
      <c r="M61" s="64">
        <v>42.48</v>
      </c>
      <c r="N61" s="64">
        <v>433.6</v>
      </c>
      <c r="O61" s="64">
        <v>0</v>
      </c>
      <c r="P61" s="64">
        <v>1.05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1449</v>
      </c>
      <c r="B62" s="64">
        <v>12.9</v>
      </c>
      <c r="C62" s="64">
        <v>113.33</v>
      </c>
      <c r="D62" s="64">
        <v>68.180000000000007</v>
      </c>
      <c r="E62" s="64">
        <v>4.22</v>
      </c>
      <c r="F62" s="64">
        <v>2.46</v>
      </c>
      <c r="G62" s="64">
        <v>133.41999999999999</v>
      </c>
      <c r="H62" s="64">
        <v>49.73</v>
      </c>
      <c r="I62" s="210" t="s">
        <v>43</v>
      </c>
      <c r="J62" s="64">
        <v>2.39</v>
      </c>
      <c r="K62" s="64">
        <v>341.08</v>
      </c>
      <c r="L62" s="64">
        <v>24.15</v>
      </c>
      <c r="M62" s="64">
        <v>42.13</v>
      </c>
      <c r="N62" s="64">
        <v>413.6</v>
      </c>
      <c r="O62" s="64">
        <v>0</v>
      </c>
      <c r="P62" s="64">
        <v>1.07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1450</v>
      </c>
      <c r="B63" s="64">
        <v>11.86</v>
      </c>
      <c r="C63" s="64">
        <v>108.46</v>
      </c>
      <c r="D63" s="64">
        <v>64.8</v>
      </c>
      <c r="E63" s="64">
        <v>8.8800000000000008</v>
      </c>
      <c r="F63" s="64">
        <v>2.13</v>
      </c>
      <c r="G63" s="64">
        <v>124.56</v>
      </c>
      <c r="H63" s="64">
        <v>48.55</v>
      </c>
      <c r="I63" s="210" t="s">
        <v>43</v>
      </c>
      <c r="J63" s="64">
        <v>3.22</v>
      </c>
      <c r="K63" s="64">
        <v>341.76</v>
      </c>
      <c r="L63" s="64">
        <v>24.42</v>
      </c>
      <c r="M63" s="64">
        <v>41.75</v>
      </c>
      <c r="N63" s="64">
        <v>400.8</v>
      </c>
      <c r="O63" s="64">
        <v>0</v>
      </c>
      <c r="P63" s="64">
        <v>1.07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1451</v>
      </c>
      <c r="B64" s="64">
        <v>11.97</v>
      </c>
      <c r="C64" s="64">
        <v>102.62</v>
      </c>
      <c r="D64" s="64">
        <v>61.84</v>
      </c>
      <c r="E64" s="64">
        <v>11.35</v>
      </c>
      <c r="F64" s="64">
        <v>2.16</v>
      </c>
      <c r="G64" s="64">
        <v>120.77</v>
      </c>
      <c r="H64" s="64">
        <v>48.05</v>
      </c>
      <c r="I64" s="210" t="s">
        <v>43</v>
      </c>
      <c r="J64" s="64">
        <v>2.06</v>
      </c>
      <c r="K64" s="64">
        <v>348.78</v>
      </c>
      <c r="L64" s="64">
        <v>24.34</v>
      </c>
      <c r="M64" s="64">
        <v>41.43</v>
      </c>
      <c r="N64" s="64">
        <v>376.6</v>
      </c>
      <c r="O64" s="64">
        <v>0</v>
      </c>
      <c r="P64" s="64">
        <v>1.07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1452</v>
      </c>
      <c r="B65" s="64">
        <v>11.98</v>
      </c>
      <c r="C65" s="64">
        <v>93.81</v>
      </c>
      <c r="D65" s="64">
        <v>57.24</v>
      </c>
      <c r="E65" s="64">
        <v>10.91</v>
      </c>
      <c r="F65" s="64">
        <v>2.13</v>
      </c>
      <c r="G65" s="64">
        <v>120.77</v>
      </c>
      <c r="H65" s="64">
        <v>48.05</v>
      </c>
      <c r="I65" s="210" t="s">
        <v>43</v>
      </c>
      <c r="J65" s="64">
        <v>2.62</v>
      </c>
      <c r="K65" s="64">
        <v>347.77</v>
      </c>
      <c r="L65" s="64">
        <v>23.54</v>
      </c>
      <c r="M65" s="64">
        <v>43.78</v>
      </c>
      <c r="N65" s="64">
        <v>342.4</v>
      </c>
      <c r="O65" s="64">
        <v>0</v>
      </c>
      <c r="P65" s="64">
        <v>1.07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1453</v>
      </c>
      <c r="B66" s="64">
        <v>11.64</v>
      </c>
      <c r="C66" s="64">
        <v>91.03</v>
      </c>
      <c r="D66" s="64">
        <v>55.51</v>
      </c>
      <c r="E66" s="64">
        <v>10.92</v>
      </c>
      <c r="F66" s="64">
        <v>2.13</v>
      </c>
      <c r="G66" s="64">
        <v>120.77</v>
      </c>
      <c r="H66" s="64">
        <v>48.05</v>
      </c>
      <c r="I66" s="210" t="s">
        <v>43</v>
      </c>
      <c r="J66" s="64">
        <v>3.16</v>
      </c>
      <c r="K66" s="64">
        <v>339.06</v>
      </c>
      <c r="L66" s="64">
        <v>23.72</v>
      </c>
      <c r="M66" s="64">
        <v>43.7</v>
      </c>
      <c r="N66" s="64">
        <v>293.39999999999998</v>
      </c>
      <c r="O66" s="64">
        <v>0</v>
      </c>
      <c r="P66" s="64">
        <v>1.08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1454</v>
      </c>
      <c r="B67" s="64">
        <v>8.69</v>
      </c>
      <c r="C67" s="64">
        <v>89.87</v>
      </c>
      <c r="D67" s="64">
        <v>52.54</v>
      </c>
      <c r="E67" s="64">
        <v>14.08</v>
      </c>
      <c r="F67" s="64">
        <v>5.3</v>
      </c>
      <c r="G67" s="64">
        <v>107.61</v>
      </c>
      <c r="H67" s="64">
        <v>45.87</v>
      </c>
      <c r="I67" s="210" t="s">
        <v>43</v>
      </c>
      <c r="J67" s="64">
        <v>3.12</v>
      </c>
      <c r="K67" s="64">
        <v>345.49</v>
      </c>
      <c r="L67" s="64">
        <v>23.54</v>
      </c>
      <c r="M67" s="64">
        <v>44.14</v>
      </c>
      <c r="N67" s="64">
        <v>254.3</v>
      </c>
      <c r="O67" s="64">
        <v>0</v>
      </c>
      <c r="P67" s="64">
        <v>1.04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1455</v>
      </c>
      <c r="B68" s="64">
        <v>4.66</v>
      </c>
      <c r="C68" s="64">
        <v>94.56</v>
      </c>
      <c r="D68" s="64">
        <v>51.77</v>
      </c>
      <c r="E68" s="64">
        <v>12.6</v>
      </c>
      <c r="F68" s="64">
        <v>4.87</v>
      </c>
      <c r="G68" s="64">
        <v>101.97</v>
      </c>
      <c r="H68" s="64">
        <v>44.93</v>
      </c>
      <c r="I68" s="210" t="s">
        <v>43</v>
      </c>
      <c r="J68" s="64">
        <v>2.86</v>
      </c>
      <c r="K68" s="64">
        <v>343.68</v>
      </c>
      <c r="L68" s="64">
        <v>23.4</v>
      </c>
      <c r="M68" s="64">
        <v>44.55</v>
      </c>
      <c r="N68" s="64">
        <v>245.2</v>
      </c>
      <c r="O68" s="64">
        <v>0</v>
      </c>
      <c r="P68" s="64">
        <v>1.06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1456</v>
      </c>
      <c r="B69" s="64">
        <v>4.13</v>
      </c>
      <c r="C69" s="64">
        <v>92.16</v>
      </c>
      <c r="D69" s="64">
        <v>50.08</v>
      </c>
      <c r="E69" s="64">
        <v>10.66</v>
      </c>
      <c r="F69" s="64">
        <v>2.42</v>
      </c>
      <c r="G69" s="64">
        <v>101.97</v>
      </c>
      <c r="H69" s="64">
        <v>44.93</v>
      </c>
      <c r="I69" s="210" t="s">
        <v>43</v>
      </c>
      <c r="J69" s="64">
        <v>2.2000000000000002</v>
      </c>
      <c r="K69" s="64">
        <v>347.57</v>
      </c>
      <c r="L69" s="64">
        <v>23.14</v>
      </c>
      <c r="M69" s="64">
        <v>45.78</v>
      </c>
      <c r="N69" s="64">
        <v>227</v>
      </c>
      <c r="O69" s="64">
        <v>0</v>
      </c>
      <c r="P69" s="64">
        <v>1.05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1457</v>
      </c>
      <c r="B70" s="64">
        <v>4.6500000000000004</v>
      </c>
      <c r="C70" s="64">
        <v>87.65</v>
      </c>
      <c r="D70" s="64">
        <v>48.15</v>
      </c>
      <c r="E70" s="64">
        <v>9.99</v>
      </c>
      <c r="F70" s="64">
        <v>2.3199999999999998</v>
      </c>
      <c r="G70" s="64">
        <v>101.97</v>
      </c>
      <c r="H70" s="64">
        <v>44.93</v>
      </c>
      <c r="I70" s="210" t="s">
        <v>43</v>
      </c>
      <c r="J70" s="64">
        <v>2.48</v>
      </c>
      <c r="K70" s="64">
        <v>345.22</v>
      </c>
      <c r="L70" s="64">
        <v>22.61</v>
      </c>
      <c r="M70" s="64">
        <v>47.05</v>
      </c>
      <c r="N70" s="64">
        <v>196.7</v>
      </c>
      <c r="O70" s="64">
        <v>0</v>
      </c>
      <c r="P70" s="64">
        <v>1.06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1458</v>
      </c>
      <c r="B71" s="64">
        <v>5.22</v>
      </c>
      <c r="C71" s="64">
        <v>89.43</v>
      </c>
      <c r="D71" s="64">
        <v>49.53</v>
      </c>
      <c r="E71" s="64">
        <v>11.78</v>
      </c>
      <c r="F71" s="64">
        <v>3.17</v>
      </c>
      <c r="G71" s="64">
        <v>127.39</v>
      </c>
      <c r="H71" s="64">
        <v>48</v>
      </c>
      <c r="I71" s="210" t="s">
        <v>43</v>
      </c>
      <c r="J71" s="64">
        <v>2.57</v>
      </c>
      <c r="K71" s="64">
        <v>347.57</v>
      </c>
      <c r="L71" s="64">
        <v>22.49</v>
      </c>
      <c r="M71" s="64">
        <v>47.51</v>
      </c>
      <c r="N71" s="64">
        <v>180.8</v>
      </c>
      <c r="O71" s="64">
        <v>0</v>
      </c>
      <c r="P71" s="64">
        <v>1.08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1459</v>
      </c>
      <c r="B72" s="64">
        <v>5.64</v>
      </c>
      <c r="C72" s="64">
        <v>88.26</v>
      </c>
      <c r="D72" s="64">
        <v>49.26</v>
      </c>
      <c r="E72" s="64">
        <v>8.75</v>
      </c>
      <c r="F72" s="64">
        <v>2.14</v>
      </c>
      <c r="G72" s="64">
        <v>138.29</v>
      </c>
      <c r="H72" s="64">
        <v>49.31</v>
      </c>
      <c r="I72" s="210" t="s">
        <v>43</v>
      </c>
      <c r="J72" s="64">
        <v>2.41</v>
      </c>
      <c r="K72" s="64">
        <v>343.93</v>
      </c>
      <c r="L72" s="64">
        <v>21.96</v>
      </c>
      <c r="M72" s="64">
        <v>54.01</v>
      </c>
      <c r="N72" s="64">
        <v>170.1</v>
      </c>
      <c r="O72" s="64">
        <v>0</v>
      </c>
      <c r="P72" s="64">
        <v>1.08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1460</v>
      </c>
      <c r="B73" s="64">
        <v>5.86</v>
      </c>
      <c r="C73" s="64">
        <v>87.8</v>
      </c>
      <c r="D73" s="64">
        <v>49.2</v>
      </c>
      <c r="E73" s="64">
        <v>9.76</v>
      </c>
      <c r="F73" s="64">
        <v>2.13</v>
      </c>
      <c r="G73" s="64">
        <v>138.29</v>
      </c>
      <c r="H73" s="64">
        <v>49.31</v>
      </c>
      <c r="I73" s="210" t="s">
        <v>43</v>
      </c>
      <c r="J73" s="64">
        <v>0.95</v>
      </c>
      <c r="K73" s="64">
        <v>352.95</v>
      </c>
      <c r="L73" s="64">
        <v>21.15</v>
      </c>
      <c r="M73" s="64">
        <v>54.42</v>
      </c>
      <c r="N73" s="64">
        <v>157.5</v>
      </c>
      <c r="O73" s="64">
        <v>0</v>
      </c>
      <c r="P73" s="64">
        <v>1.0900000000000001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1461</v>
      </c>
      <c r="B74" s="64">
        <v>6.41</v>
      </c>
      <c r="C74" s="64">
        <v>85.74</v>
      </c>
      <c r="D74" s="64">
        <v>48.56</v>
      </c>
      <c r="E74" s="64">
        <v>8.74</v>
      </c>
      <c r="F74" s="64">
        <v>2.13</v>
      </c>
      <c r="G74" s="64">
        <v>138.29</v>
      </c>
      <c r="H74" s="64">
        <v>49.31</v>
      </c>
      <c r="I74" s="210" t="s">
        <v>43</v>
      </c>
      <c r="J74" s="64">
        <v>1.44</v>
      </c>
      <c r="K74" s="64">
        <v>348.61</v>
      </c>
      <c r="L74" s="64">
        <v>21.17</v>
      </c>
      <c r="M74" s="64">
        <v>51.72</v>
      </c>
      <c r="N74" s="64">
        <v>146.9</v>
      </c>
      <c r="O74" s="64">
        <v>0</v>
      </c>
      <c r="P74" s="64">
        <v>1.07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1462</v>
      </c>
      <c r="B75" s="64">
        <v>7.14</v>
      </c>
      <c r="C75" s="64">
        <v>82.44</v>
      </c>
      <c r="D75" s="64">
        <v>47.42</v>
      </c>
      <c r="E75" s="64">
        <v>7.8</v>
      </c>
      <c r="F75" s="64">
        <v>2.13</v>
      </c>
      <c r="G75" s="64">
        <v>125.94</v>
      </c>
      <c r="H75" s="64">
        <v>48.85</v>
      </c>
      <c r="I75" s="210" t="s">
        <v>43</v>
      </c>
      <c r="J75" s="64">
        <v>0.88</v>
      </c>
      <c r="K75" s="64">
        <v>116.1</v>
      </c>
      <c r="L75" s="64">
        <v>20.71</v>
      </c>
      <c r="M75" s="64">
        <v>52.57</v>
      </c>
      <c r="N75" s="64">
        <v>136.6</v>
      </c>
      <c r="O75" s="64">
        <v>0</v>
      </c>
      <c r="P75" s="64">
        <v>1.0900000000000001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1463</v>
      </c>
      <c r="B76" s="64">
        <v>7.34</v>
      </c>
      <c r="C76" s="64">
        <v>81.77</v>
      </c>
      <c r="D76" s="64">
        <v>47.23</v>
      </c>
      <c r="E76" s="64">
        <v>8.7100000000000009</v>
      </c>
      <c r="F76" s="64">
        <v>2.2000000000000002</v>
      </c>
      <c r="G76" s="64">
        <v>120.65</v>
      </c>
      <c r="H76" s="64">
        <v>48.65</v>
      </c>
      <c r="I76" s="210" t="s">
        <v>43</v>
      </c>
      <c r="J76" s="64">
        <v>1.83</v>
      </c>
      <c r="K76" s="64">
        <v>350.78</v>
      </c>
      <c r="L76" s="64">
        <v>20.41</v>
      </c>
      <c r="M76" s="64">
        <v>54.1</v>
      </c>
      <c r="N76" s="64">
        <v>128</v>
      </c>
      <c r="O76" s="64">
        <v>0</v>
      </c>
      <c r="P76" s="64">
        <v>1.24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1464</v>
      </c>
      <c r="B77" s="64">
        <v>7.71</v>
      </c>
      <c r="C77" s="64">
        <v>85.65</v>
      </c>
      <c r="D77" s="64">
        <v>52.14</v>
      </c>
      <c r="E77" s="64">
        <v>10.43</v>
      </c>
      <c r="F77" s="64">
        <v>2.13</v>
      </c>
      <c r="G77" s="64">
        <v>120.65</v>
      </c>
      <c r="H77" s="64">
        <v>48.65</v>
      </c>
      <c r="I77" s="210" t="s">
        <v>43</v>
      </c>
      <c r="J77" s="64">
        <v>2.15</v>
      </c>
      <c r="K77" s="64">
        <v>347.96</v>
      </c>
      <c r="L77" s="64">
        <v>19.989999999999998</v>
      </c>
      <c r="M77" s="64">
        <v>58.89</v>
      </c>
      <c r="N77" s="64">
        <v>115.8</v>
      </c>
      <c r="O77" s="64">
        <v>0</v>
      </c>
      <c r="P77" s="64">
        <v>1.38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1465</v>
      </c>
      <c r="B78" s="64">
        <v>10.73</v>
      </c>
      <c r="C78" s="64">
        <v>94.29</v>
      </c>
      <c r="D78" s="64">
        <v>56.49</v>
      </c>
      <c r="E78" s="64">
        <v>10.61</v>
      </c>
      <c r="F78" s="64">
        <v>2.15</v>
      </c>
      <c r="G78" s="64">
        <v>120.65</v>
      </c>
      <c r="H78" s="64">
        <v>48.65</v>
      </c>
      <c r="I78" s="210" t="s">
        <v>43</v>
      </c>
      <c r="J78" s="64">
        <v>2.27</v>
      </c>
      <c r="K78" s="64">
        <v>345.97</v>
      </c>
      <c r="L78" s="64">
        <v>19.649999999999999</v>
      </c>
      <c r="M78" s="64">
        <v>60.93</v>
      </c>
      <c r="N78" s="64">
        <v>111.4</v>
      </c>
      <c r="O78" s="64">
        <v>0</v>
      </c>
      <c r="P78" s="64">
        <v>1.32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1466</v>
      </c>
      <c r="B79" s="64">
        <v>12.4</v>
      </c>
      <c r="C79" s="64">
        <v>96.14</v>
      </c>
      <c r="D79" s="64">
        <v>58.8</v>
      </c>
      <c r="E79" s="64">
        <v>9</v>
      </c>
      <c r="F79" s="64">
        <v>2.13</v>
      </c>
      <c r="G79" s="64">
        <v>137.9</v>
      </c>
      <c r="H79" s="64">
        <v>48.74</v>
      </c>
      <c r="I79" s="210" t="s">
        <v>43</v>
      </c>
      <c r="J79" s="64">
        <v>2.29</v>
      </c>
      <c r="K79" s="64">
        <v>347.08</v>
      </c>
      <c r="L79" s="64">
        <v>19.14</v>
      </c>
      <c r="M79" s="64">
        <v>63.33</v>
      </c>
      <c r="N79" s="64">
        <v>106.5</v>
      </c>
      <c r="O79" s="64">
        <v>0</v>
      </c>
      <c r="P79" s="64">
        <v>1.33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1467</v>
      </c>
      <c r="B80" s="64">
        <v>13.65</v>
      </c>
      <c r="C80" s="64">
        <v>94.18</v>
      </c>
      <c r="D80" s="64">
        <v>58.77</v>
      </c>
      <c r="E80" s="64">
        <v>8.83</v>
      </c>
      <c r="F80" s="64">
        <v>2.13</v>
      </c>
      <c r="G80" s="64">
        <v>145.29</v>
      </c>
      <c r="H80" s="64">
        <v>48.78</v>
      </c>
      <c r="I80" s="210" t="s">
        <v>43</v>
      </c>
      <c r="J80" s="64">
        <v>2.15</v>
      </c>
      <c r="K80" s="64">
        <v>349.37</v>
      </c>
      <c r="L80" s="64">
        <v>18.54</v>
      </c>
      <c r="M80" s="64">
        <v>66.28</v>
      </c>
      <c r="N80" s="64">
        <v>105.6</v>
      </c>
      <c r="O80" s="64">
        <v>0</v>
      </c>
      <c r="P80" s="64">
        <v>1.4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1468</v>
      </c>
      <c r="B81" s="64">
        <v>15.15</v>
      </c>
      <c r="C81" s="64">
        <v>91.45</v>
      </c>
      <c r="D81" s="64">
        <v>58.55</v>
      </c>
      <c r="E81" s="64">
        <v>8.5500000000000007</v>
      </c>
      <c r="F81" s="64">
        <v>2.13</v>
      </c>
      <c r="G81" s="64">
        <v>145.29</v>
      </c>
      <c r="H81" s="64">
        <v>48.78</v>
      </c>
      <c r="I81" s="210" t="s">
        <v>43</v>
      </c>
      <c r="J81" s="64">
        <v>1.82</v>
      </c>
      <c r="K81" s="64">
        <v>334.44</v>
      </c>
      <c r="L81" s="64">
        <v>17.760000000000002</v>
      </c>
      <c r="M81" s="64">
        <v>72.91</v>
      </c>
      <c r="N81" s="64">
        <v>106</v>
      </c>
      <c r="O81" s="64">
        <v>0</v>
      </c>
      <c r="P81" s="64">
        <v>1.45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1469</v>
      </c>
      <c r="B82" s="64">
        <v>16.89</v>
      </c>
      <c r="C82" s="64">
        <v>90.91</v>
      </c>
      <c r="D82" s="64">
        <v>59.67</v>
      </c>
      <c r="E82" s="64">
        <v>8.48</v>
      </c>
      <c r="F82" s="64">
        <v>2.13</v>
      </c>
      <c r="G82" s="64">
        <v>145.29</v>
      </c>
      <c r="H82" s="64">
        <v>48.78</v>
      </c>
      <c r="I82" s="210" t="s">
        <v>43</v>
      </c>
      <c r="J82" s="64">
        <v>1.84</v>
      </c>
      <c r="K82" s="64">
        <v>341.03</v>
      </c>
      <c r="L82" s="64">
        <v>17.45</v>
      </c>
      <c r="M82" s="64">
        <v>72.739999999999995</v>
      </c>
      <c r="N82" s="64">
        <v>107.6</v>
      </c>
      <c r="O82" s="64">
        <v>0</v>
      </c>
      <c r="P82" s="64">
        <v>1.38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1470</v>
      </c>
      <c r="B83" s="64">
        <v>19.62</v>
      </c>
      <c r="C83" s="64">
        <v>90.15</v>
      </c>
      <c r="D83" s="64">
        <v>61.46</v>
      </c>
      <c r="E83" s="64">
        <v>8.83</v>
      </c>
      <c r="F83" s="64">
        <v>2.13</v>
      </c>
      <c r="G83" s="64">
        <v>157.72999999999999</v>
      </c>
      <c r="H83" s="64">
        <v>51.06</v>
      </c>
      <c r="I83" s="210" t="s">
        <v>43</v>
      </c>
      <c r="J83" s="64">
        <v>1.76</v>
      </c>
      <c r="K83" s="64">
        <v>351.03</v>
      </c>
      <c r="L83" s="64">
        <v>17.14</v>
      </c>
      <c r="M83" s="64">
        <v>78.63</v>
      </c>
      <c r="N83" s="64">
        <v>107.5</v>
      </c>
      <c r="O83" s="64">
        <v>0</v>
      </c>
      <c r="P83" s="64">
        <v>1.41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1471</v>
      </c>
      <c r="B84" s="64">
        <v>22.46</v>
      </c>
      <c r="C84" s="64">
        <v>88.68</v>
      </c>
      <c r="D84" s="64">
        <v>62.97</v>
      </c>
      <c r="E84" s="64">
        <v>8.85</v>
      </c>
      <c r="F84" s="64">
        <v>2.13</v>
      </c>
      <c r="G84" s="64">
        <v>163.34</v>
      </c>
      <c r="H84" s="64">
        <v>52.03</v>
      </c>
      <c r="I84" s="210" t="s">
        <v>43</v>
      </c>
      <c r="J84" s="64">
        <v>1.57</v>
      </c>
      <c r="K84" s="64">
        <v>22.76</v>
      </c>
      <c r="L84" s="64">
        <v>16.93</v>
      </c>
      <c r="M84" s="64">
        <v>74.400000000000006</v>
      </c>
      <c r="N84" s="64">
        <v>107.4</v>
      </c>
      <c r="O84" s="64">
        <v>0</v>
      </c>
      <c r="P84" s="64">
        <v>1.52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1472</v>
      </c>
      <c r="B85" s="64">
        <v>24.92</v>
      </c>
      <c r="C85" s="64">
        <v>87.6</v>
      </c>
      <c r="D85" s="64">
        <v>64.38</v>
      </c>
      <c r="E85" s="64">
        <v>8.7899999999999991</v>
      </c>
      <c r="F85" s="64">
        <v>2.13</v>
      </c>
      <c r="G85" s="64">
        <v>163.34</v>
      </c>
      <c r="H85" s="64">
        <v>52.03</v>
      </c>
      <c r="I85" s="210" t="s">
        <v>43</v>
      </c>
      <c r="J85" s="64">
        <v>1.69</v>
      </c>
      <c r="K85" s="64">
        <v>20.239999999999998</v>
      </c>
      <c r="L85" s="64">
        <v>16.96</v>
      </c>
      <c r="M85" s="64">
        <v>74.28</v>
      </c>
      <c r="N85" s="64">
        <v>107.3</v>
      </c>
      <c r="O85" s="64">
        <v>0</v>
      </c>
      <c r="P85" s="64">
        <v>1.4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1473</v>
      </c>
      <c r="B86" s="64">
        <v>27.18</v>
      </c>
      <c r="C86" s="64">
        <v>87.01</v>
      </c>
      <c r="D86" s="64">
        <v>65.87</v>
      </c>
      <c r="E86" s="64">
        <v>8.44</v>
      </c>
      <c r="F86" s="64">
        <v>2.13</v>
      </c>
      <c r="G86" s="64">
        <v>163.34</v>
      </c>
      <c r="H86" s="64">
        <v>52.03</v>
      </c>
      <c r="I86" s="210" t="s">
        <v>43</v>
      </c>
      <c r="J86" s="64">
        <v>2</v>
      </c>
      <c r="K86" s="64">
        <v>353.79</v>
      </c>
      <c r="L86" s="64">
        <v>16.84</v>
      </c>
      <c r="M86" s="64">
        <v>74.650000000000006</v>
      </c>
      <c r="N86" s="64">
        <v>105.5</v>
      </c>
      <c r="O86" s="64">
        <v>0</v>
      </c>
      <c r="P86" s="64">
        <v>1.52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1474</v>
      </c>
      <c r="B87" s="64">
        <v>29.17</v>
      </c>
      <c r="C87" s="64">
        <v>86.57</v>
      </c>
      <c r="D87" s="64">
        <v>67.239999999999995</v>
      </c>
      <c r="E87" s="64">
        <v>8.5500000000000007</v>
      </c>
      <c r="F87" s="64">
        <v>2.13</v>
      </c>
      <c r="G87" s="64">
        <v>168.43</v>
      </c>
      <c r="H87" s="64">
        <v>56.28</v>
      </c>
      <c r="I87" s="210" t="s">
        <v>43</v>
      </c>
      <c r="J87" s="64">
        <v>2.0499999999999998</v>
      </c>
      <c r="K87" s="64">
        <v>357.08</v>
      </c>
      <c r="L87" s="64">
        <v>16.940000000000001</v>
      </c>
      <c r="M87" s="64">
        <v>71.099999999999994</v>
      </c>
      <c r="N87" s="64">
        <v>103</v>
      </c>
      <c r="O87" s="64">
        <v>0</v>
      </c>
      <c r="P87" s="64">
        <v>1.56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1475</v>
      </c>
      <c r="B88" s="64">
        <v>30.21</v>
      </c>
      <c r="C88" s="64">
        <v>86.46</v>
      </c>
      <c r="D88" s="64">
        <v>68.02</v>
      </c>
      <c r="E88" s="64">
        <v>8.01</v>
      </c>
      <c r="F88" s="64">
        <v>2.13</v>
      </c>
      <c r="G88" s="64">
        <v>170.61</v>
      </c>
      <c r="H88" s="64">
        <v>58.2</v>
      </c>
      <c r="I88" s="210" t="s">
        <v>43</v>
      </c>
      <c r="J88" s="64">
        <v>1.86</v>
      </c>
      <c r="K88" s="64">
        <v>1.35</v>
      </c>
      <c r="L88" s="64">
        <v>16.920000000000002</v>
      </c>
      <c r="M88" s="64">
        <v>70.27</v>
      </c>
      <c r="N88" s="64">
        <v>103.2</v>
      </c>
      <c r="O88" s="64">
        <v>0</v>
      </c>
      <c r="P88" s="64">
        <v>1.57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1476</v>
      </c>
      <c r="B89" s="64">
        <v>30.32</v>
      </c>
      <c r="C89" s="64">
        <v>86.19</v>
      </c>
      <c r="D89" s="64">
        <v>67.959999999999994</v>
      </c>
      <c r="E89" s="64">
        <v>8.4</v>
      </c>
      <c r="F89" s="64">
        <v>2.13</v>
      </c>
      <c r="G89" s="64">
        <v>170.61</v>
      </c>
      <c r="H89" s="64">
        <v>58.2</v>
      </c>
      <c r="I89" s="210" t="s">
        <v>43</v>
      </c>
      <c r="J89" s="64">
        <v>1.8</v>
      </c>
      <c r="K89" s="64">
        <v>348.53</v>
      </c>
      <c r="L89" s="64">
        <v>16.72</v>
      </c>
      <c r="M89" s="64">
        <v>70.92</v>
      </c>
      <c r="N89" s="64">
        <v>103</v>
      </c>
      <c r="O89" s="64">
        <v>0</v>
      </c>
      <c r="P89" s="64">
        <v>1.6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1477</v>
      </c>
      <c r="B90" s="64">
        <v>30.42</v>
      </c>
      <c r="C90" s="64">
        <v>86.06</v>
      </c>
      <c r="D90" s="64">
        <v>67.98</v>
      </c>
      <c r="E90" s="64">
        <v>8.5399999999999991</v>
      </c>
      <c r="F90" s="64">
        <v>2.13</v>
      </c>
      <c r="G90" s="64">
        <v>170.61</v>
      </c>
      <c r="H90" s="64">
        <v>58.2</v>
      </c>
      <c r="I90" s="210" t="s">
        <v>43</v>
      </c>
      <c r="J90" s="64">
        <v>1.51</v>
      </c>
      <c r="K90" s="64">
        <v>10.9</v>
      </c>
      <c r="L90" s="64">
        <v>16.739999999999998</v>
      </c>
      <c r="M90" s="64">
        <v>71.33</v>
      </c>
      <c r="N90" s="64">
        <v>103</v>
      </c>
      <c r="O90" s="64">
        <v>0</v>
      </c>
      <c r="P90" s="64">
        <v>1.64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1478</v>
      </c>
      <c r="B91" s="64">
        <v>31.19</v>
      </c>
      <c r="C91" s="64">
        <v>83.31</v>
      </c>
      <c r="D91" s="64">
        <v>67.16</v>
      </c>
      <c r="E91" s="64">
        <v>8.6</v>
      </c>
      <c r="F91" s="64">
        <v>2.13</v>
      </c>
      <c r="G91" s="64">
        <v>158.75</v>
      </c>
      <c r="H91" s="64">
        <v>57.35</v>
      </c>
      <c r="I91" s="210" t="s">
        <v>43</v>
      </c>
      <c r="J91" s="64">
        <v>1.21</v>
      </c>
      <c r="K91" s="64">
        <v>38.25</v>
      </c>
      <c r="L91" s="64">
        <v>16.579999999999998</v>
      </c>
      <c r="M91" s="64">
        <v>73.180000000000007</v>
      </c>
      <c r="N91" s="64">
        <v>103.2</v>
      </c>
      <c r="O91" s="64">
        <v>0</v>
      </c>
      <c r="P91" s="64">
        <v>1.84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1479</v>
      </c>
      <c r="B92" s="64">
        <v>31.79</v>
      </c>
      <c r="C92" s="64">
        <v>79.930000000000007</v>
      </c>
      <c r="D92" s="64">
        <v>65.88</v>
      </c>
      <c r="E92" s="64">
        <v>8.42</v>
      </c>
      <c r="F92" s="64">
        <v>2.13</v>
      </c>
      <c r="G92" s="64">
        <v>153.66</v>
      </c>
      <c r="H92" s="64">
        <v>56.99</v>
      </c>
      <c r="I92" s="210" t="s">
        <v>43</v>
      </c>
      <c r="J92" s="64">
        <v>1.87</v>
      </c>
      <c r="K92" s="64">
        <v>94.45</v>
      </c>
      <c r="L92" s="64">
        <v>16.5</v>
      </c>
      <c r="M92" s="64">
        <v>73.19</v>
      </c>
      <c r="N92" s="64">
        <v>104.4</v>
      </c>
      <c r="O92" s="64">
        <v>0</v>
      </c>
      <c r="P92" s="64">
        <v>1.79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1480</v>
      </c>
      <c r="B93" s="64">
        <v>31.78</v>
      </c>
      <c r="C93" s="64">
        <v>79.73</v>
      </c>
      <c r="D93" s="64">
        <v>65.760000000000005</v>
      </c>
      <c r="E93" s="64">
        <v>7.78</v>
      </c>
      <c r="F93" s="64">
        <v>2.13</v>
      </c>
      <c r="G93" s="64">
        <v>153.66</v>
      </c>
      <c r="H93" s="64">
        <v>56.99</v>
      </c>
      <c r="I93" s="210" t="s">
        <v>43</v>
      </c>
      <c r="J93" s="64">
        <v>0.3</v>
      </c>
      <c r="K93" s="64">
        <v>55.9</v>
      </c>
      <c r="L93" s="64">
        <v>16.29</v>
      </c>
      <c r="M93" s="64">
        <v>75.62</v>
      </c>
      <c r="N93" s="64">
        <v>105</v>
      </c>
      <c r="O93" s="64">
        <v>0</v>
      </c>
      <c r="P93" s="64">
        <v>1.78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1481</v>
      </c>
      <c r="B94" s="64">
        <v>33.409999999999997</v>
      </c>
      <c r="C94" s="64">
        <v>79.739999999999995</v>
      </c>
      <c r="D94" s="64">
        <v>67.069999999999993</v>
      </c>
      <c r="E94" s="64">
        <v>8.0399999999999991</v>
      </c>
      <c r="F94" s="64">
        <v>2.13</v>
      </c>
      <c r="G94" s="64">
        <v>153.66</v>
      </c>
      <c r="H94" s="64">
        <v>56.99</v>
      </c>
      <c r="I94" s="210" t="s">
        <v>43</v>
      </c>
      <c r="J94" s="64">
        <v>1.03</v>
      </c>
      <c r="K94" s="64">
        <v>354.69</v>
      </c>
      <c r="L94" s="64">
        <v>16.11</v>
      </c>
      <c r="M94" s="64">
        <v>77.72</v>
      </c>
      <c r="N94" s="64">
        <v>104.5</v>
      </c>
      <c r="O94" s="64">
        <v>0</v>
      </c>
      <c r="P94" s="64">
        <v>1.99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1482</v>
      </c>
      <c r="B95" s="64">
        <v>36.71</v>
      </c>
      <c r="C95" s="64">
        <v>80.13</v>
      </c>
      <c r="D95" s="64">
        <v>69.930000000000007</v>
      </c>
      <c r="E95" s="64">
        <v>8.39</v>
      </c>
      <c r="F95" s="64">
        <v>2.13</v>
      </c>
      <c r="G95" s="64">
        <v>171.16</v>
      </c>
      <c r="H95" s="64">
        <v>59.54</v>
      </c>
      <c r="I95" s="210" t="s">
        <v>43</v>
      </c>
      <c r="J95" s="64">
        <v>2.4</v>
      </c>
      <c r="K95" s="64">
        <v>354.01</v>
      </c>
      <c r="L95" s="64">
        <v>16.18</v>
      </c>
      <c r="M95" s="64">
        <v>75.22</v>
      </c>
      <c r="N95" s="64">
        <v>103.8</v>
      </c>
      <c r="O95" s="64">
        <v>0</v>
      </c>
      <c r="P95" s="64">
        <v>1.76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1483</v>
      </c>
      <c r="B96" s="64">
        <v>37.25</v>
      </c>
      <c r="C96" s="64">
        <v>79.63</v>
      </c>
      <c r="D96" s="64">
        <v>70.099999999999994</v>
      </c>
      <c r="E96" s="64">
        <v>8.65</v>
      </c>
      <c r="F96" s="64">
        <v>2.13</v>
      </c>
      <c r="G96" s="64">
        <v>178.66</v>
      </c>
      <c r="H96" s="64">
        <v>60.63</v>
      </c>
      <c r="I96" s="210" t="s">
        <v>43</v>
      </c>
      <c r="J96" s="64">
        <v>1.95</v>
      </c>
      <c r="K96" s="64">
        <v>351.54</v>
      </c>
      <c r="L96" s="64">
        <v>16.03</v>
      </c>
      <c r="M96" s="64">
        <v>76.48</v>
      </c>
      <c r="N96" s="64">
        <v>104.7</v>
      </c>
      <c r="O96" s="64">
        <v>0</v>
      </c>
      <c r="P96" s="64">
        <v>1.76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1484</v>
      </c>
      <c r="B97" s="64">
        <v>37.67</v>
      </c>
      <c r="C97" s="64">
        <v>79.680000000000007</v>
      </c>
      <c r="D97" s="64">
        <v>70.47</v>
      </c>
      <c r="E97" s="64">
        <v>8.2899999999999991</v>
      </c>
      <c r="F97" s="64">
        <v>2.13</v>
      </c>
      <c r="G97" s="64">
        <v>178.66</v>
      </c>
      <c r="H97" s="64">
        <v>60.63</v>
      </c>
      <c r="I97" s="210" t="s">
        <v>43</v>
      </c>
      <c r="J97" s="64">
        <v>1.87</v>
      </c>
      <c r="K97" s="64">
        <v>347.89</v>
      </c>
      <c r="L97" s="64">
        <v>15.64</v>
      </c>
      <c r="M97" s="64">
        <v>78.989999999999995</v>
      </c>
      <c r="N97" s="64">
        <v>104.8</v>
      </c>
      <c r="O97" s="64">
        <v>0</v>
      </c>
      <c r="P97" s="64">
        <v>1.72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4" t="s">
        <v>1485</v>
      </c>
      <c r="B98" s="64">
        <v>37.54</v>
      </c>
      <c r="C98" s="64">
        <v>77.680000000000007</v>
      </c>
      <c r="D98" s="64">
        <v>69.319999999999993</v>
      </c>
      <c r="E98" s="64">
        <v>8.44</v>
      </c>
      <c r="F98" s="64">
        <v>2.13</v>
      </c>
      <c r="G98" s="64">
        <v>178.66</v>
      </c>
      <c r="H98" s="64">
        <v>60.63</v>
      </c>
      <c r="I98" s="210" t="s">
        <v>43</v>
      </c>
      <c r="J98" s="64">
        <v>2.5299999999999998</v>
      </c>
      <c r="K98" s="64">
        <v>349.77</v>
      </c>
      <c r="L98" s="64">
        <v>15.38</v>
      </c>
      <c r="M98" s="64">
        <v>80.39</v>
      </c>
      <c r="N98" s="64">
        <v>105.1</v>
      </c>
      <c r="O98" s="64">
        <v>0</v>
      </c>
      <c r="P98" s="64">
        <v>1.71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4" t="s">
        <v>1486</v>
      </c>
      <c r="B99" s="64">
        <v>37.08</v>
      </c>
      <c r="C99" s="64">
        <v>75.400000000000006</v>
      </c>
      <c r="D99" s="64">
        <v>67.760000000000005</v>
      </c>
      <c r="E99" s="64">
        <v>8.0299999999999994</v>
      </c>
      <c r="F99" s="64">
        <v>2.13</v>
      </c>
      <c r="G99" s="64">
        <v>148.5</v>
      </c>
      <c r="H99" s="64">
        <v>59.31</v>
      </c>
      <c r="I99" s="210" t="s">
        <v>43</v>
      </c>
      <c r="J99" s="64">
        <v>2.6</v>
      </c>
      <c r="K99" s="64">
        <v>350.45</v>
      </c>
      <c r="L99" s="64">
        <v>15.03</v>
      </c>
      <c r="M99" s="64">
        <v>81.89</v>
      </c>
      <c r="N99" s="64">
        <v>105.6</v>
      </c>
      <c r="O99" s="64">
        <v>0</v>
      </c>
      <c r="P99" s="64">
        <v>1.69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4" t="s">
        <v>1487</v>
      </c>
      <c r="B100" s="64">
        <v>35.9</v>
      </c>
      <c r="C100" s="64">
        <v>76.48</v>
      </c>
      <c r="D100" s="64">
        <v>67.37</v>
      </c>
      <c r="E100" s="64">
        <v>8.48</v>
      </c>
      <c r="F100" s="64">
        <v>2.13</v>
      </c>
      <c r="G100" s="64">
        <v>135.58000000000001</v>
      </c>
      <c r="H100" s="64">
        <v>58.74</v>
      </c>
      <c r="I100" s="210" t="s">
        <v>43</v>
      </c>
      <c r="J100" s="64">
        <v>2.85</v>
      </c>
      <c r="K100" s="64">
        <v>351.08</v>
      </c>
      <c r="L100" s="64">
        <v>14.67</v>
      </c>
      <c r="M100" s="64">
        <v>83.41</v>
      </c>
      <c r="N100" s="64">
        <v>105.8</v>
      </c>
      <c r="O100" s="64">
        <v>0</v>
      </c>
      <c r="P100" s="64">
        <v>1.62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1488</v>
      </c>
      <c r="B101" s="64">
        <v>33.22</v>
      </c>
      <c r="C101" s="64">
        <v>75.239999999999995</v>
      </c>
      <c r="D101" s="64">
        <v>64.58</v>
      </c>
      <c r="E101" s="64">
        <v>7.78</v>
      </c>
      <c r="F101" s="64">
        <v>2.13</v>
      </c>
      <c r="G101" s="64">
        <v>135.58000000000001</v>
      </c>
      <c r="H101" s="64">
        <v>58.74</v>
      </c>
      <c r="I101" s="210" t="s">
        <v>43</v>
      </c>
      <c r="J101" s="64">
        <v>2.59</v>
      </c>
      <c r="K101" s="64">
        <v>349.89</v>
      </c>
      <c r="L101" s="64">
        <v>14.36</v>
      </c>
      <c r="M101" s="64">
        <v>83.27</v>
      </c>
      <c r="N101" s="64">
        <v>103.9</v>
      </c>
      <c r="O101" s="64">
        <v>0</v>
      </c>
      <c r="P101" s="64">
        <v>1.54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4" t="s">
        <v>1489</v>
      </c>
      <c r="B102" s="64">
        <v>30.5</v>
      </c>
      <c r="C102" s="64">
        <v>73.92</v>
      </c>
      <c r="D102" s="64">
        <v>61.7</v>
      </c>
      <c r="E102" s="64">
        <v>7.35</v>
      </c>
      <c r="F102" s="64">
        <v>2.13</v>
      </c>
      <c r="G102" s="64">
        <v>135.58000000000001</v>
      </c>
      <c r="H102" s="64">
        <v>58.74</v>
      </c>
      <c r="I102" s="210" t="s">
        <v>43</v>
      </c>
      <c r="J102" s="64">
        <v>2.4300000000000002</v>
      </c>
      <c r="K102" s="64">
        <v>347.46</v>
      </c>
      <c r="L102" s="64">
        <v>14.17</v>
      </c>
      <c r="M102" s="64">
        <v>83.26</v>
      </c>
      <c r="N102" s="64">
        <v>102.1</v>
      </c>
      <c r="O102" s="64">
        <v>0</v>
      </c>
      <c r="P102" s="64">
        <v>1.47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4" t="s">
        <v>1490</v>
      </c>
      <c r="B103" s="64">
        <v>28.23</v>
      </c>
      <c r="C103" s="64">
        <v>72.64</v>
      </c>
      <c r="D103" s="64">
        <v>59.21</v>
      </c>
      <c r="E103" s="64">
        <v>7.59</v>
      </c>
      <c r="F103" s="64">
        <v>2.13</v>
      </c>
      <c r="G103" s="64">
        <v>108.02</v>
      </c>
      <c r="H103" s="64">
        <v>53.6</v>
      </c>
      <c r="I103" s="210" t="s">
        <v>43</v>
      </c>
      <c r="J103" s="64">
        <v>1.96</v>
      </c>
      <c r="K103" s="64">
        <v>340.98</v>
      </c>
      <c r="L103" s="64">
        <v>13.94</v>
      </c>
      <c r="M103" s="64">
        <v>82.75</v>
      </c>
      <c r="N103" s="64">
        <v>102.2</v>
      </c>
      <c r="O103" s="64">
        <v>0</v>
      </c>
      <c r="P103" s="64">
        <v>1.41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4" t="s">
        <v>1491</v>
      </c>
      <c r="B104" s="64">
        <v>26.12</v>
      </c>
      <c r="C104" s="64">
        <v>71.010000000000005</v>
      </c>
      <c r="D104" s="64">
        <v>56.67</v>
      </c>
      <c r="E104" s="64">
        <v>6.24</v>
      </c>
      <c r="F104" s="64">
        <v>2.13</v>
      </c>
      <c r="G104" s="64">
        <v>96.21</v>
      </c>
      <c r="H104" s="64">
        <v>51.4</v>
      </c>
      <c r="I104" s="210" t="s">
        <v>43</v>
      </c>
      <c r="J104" s="64">
        <v>2.11</v>
      </c>
      <c r="K104" s="64">
        <v>345.69</v>
      </c>
      <c r="L104" s="64">
        <v>13.75</v>
      </c>
      <c r="M104" s="64">
        <v>83.51</v>
      </c>
      <c r="N104" s="64">
        <v>103</v>
      </c>
      <c r="O104" s="64">
        <v>0</v>
      </c>
      <c r="P104" s="64">
        <v>1.36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4.13</v>
      </c>
      <c r="C106" s="67">
        <f>MIN(C9:C104)</f>
        <v>46.02</v>
      </c>
      <c r="D106" s="67">
        <f t="shared" ref="D106:Q106" si="0">MIN(D9:D104)</f>
        <v>34.32</v>
      </c>
      <c r="E106" s="67">
        <f t="shared" si="0"/>
        <v>4.22</v>
      </c>
      <c r="F106" s="67">
        <f t="shared" si="0"/>
        <v>2.13</v>
      </c>
      <c r="G106" s="67">
        <f t="shared" si="0"/>
        <v>81.36</v>
      </c>
      <c r="H106" s="67">
        <f t="shared" si="0"/>
        <v>37.61</v>
      </c>
      <c r="I106" s="67">
        <f t="shared" si="0"/>
        <v>0</v>
      </c>
      <c r="J106" s="67">
        <f t="shared" si="0"/>
        <v>0.3</v>
      </c>
      <c r="K106" s="67">
        <f t="shared" si="0"/>
        <v>1.35</v>
      </c>
      <c r="L106" s="67">
        <f t="shared" si="0"/>
        <v>12.4</v>
      </c>
      <c r="M106" s="67">
        <f t="shared" si="0"/>
        <v>40.32</v>
      </c>
      <c r="N106" s="67">
        <f t="shared" si="0"/>
        <v>88.8</v>
      </c>
      <c r="O106" s="67">
        <f t="shared" si="0"/>
        <v>0</v>
      </c>
      <c r="P106" s="67">
        <f t="shared" si="0"/>
        <v>0.91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44.37</v>
      </c>
      <c r="C107" s="66">
        <f t="shared" ref="C107:Q107" si="1">MAX(C9:C104)</f>
        <v>114.59</v>
      </c>
      <c r="D107" s="66">
        <f t="shared" si="1"/>
        <v>73.12</v>
      </c>
      <c r="E107" s="66">
        <f t="shared" si="1"/>
        <v>27.07</v>
      </c>
      <c r="F107" s="66">
        <f t="shared" si="1"/>
        <v>5.3</v>
      </c>
      <c r="G107" s="66">
        <f t="shared" si="1"/>
        <v>194.16</v>
      </c>
      <c r="H107" s="66">
        <f t="shared" si="1"/>
        <v>60.63</v>
      </c>
      <c r="I107" s="66">
        <f t="shared" si="1"/>
        <v>0</v>
      </c>
      <c r="J107" s="66">
        <f t="shared" si="1"/>
        <v>3.47</v>
      </c>
      <c r="K107" s="66">
        <f t="shared" si="1"/>
        <v>358.49</v>
      </c>
      <c r="L107" s="66">
        <f t="shared" si="1"/>
        <v>24.91</v>
      </c>
      <c r="M107" s="66">
        <f t="shared" si="1"/>
        <v>92.49</v>
      </c>
      <c r="N107" s="66">
        <f t="shared" si="1"/>
        <v>504.7</v>
      </c>
      <c r="O107" s="66">
        <f t="shared" si="1"/>
        <v>0</v>
      </c>
      <c r="P107" s="66">
        <f t="shared" si="1"/>
        <v>1.99</v>
      </c>
      <c r="Q107" s="66">
        <f t="shared" si="1"/>
        <v>8.4700000000000006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23.255217391304363</v>
      </c>
      <c r="C108" s="67">
        <f t="shared" ref="C108:Q108" si="2">AVERAGE(C9:C104)</f>
        <v>71.270869565217396</v>
      </c>
      <c r="D108" s="67">
        <f t="shared" si="2"/>
        <v>54.536413043478277</v>
      </c>
      <c r="E108" s="67">
        <f t="shared" si="2"/>
        <v>8.8085416666666649</v>
      </c>
      <c r="F108" s="67">
        <f t="shared" si="2"/>
        <v>2.2333333333333307</v>
      </c>
      <c r="G108" s="67">
        <f t="shared" si="2"/>
        <v>124.06000000000002</v>
      </c>
      <c r="H108" s="67">
        <f t="shared" si="2"/>
        <v>48.02043010752687</v>
      </c>
      <c r="I108" s="67" t="e">
        <f t="shared" si="2"/>
        <v>#DIV/0!</v>
      </c>
      <c r="J108" s="67">
        <f t="shared" si="2"/>
        <v>1.9658333333333342</v>
      </c>
      <c r="K108" s="67">
        <f t="shared" si="2"/>
        <v>297.26791666666662</v>
      </c>
      <c r="L108" s="67">
        <f t="shared" si="2"/>
        <v>17.640625000000007</v>
      </c>
      <c r="M108" s="67">
        <f t="shared" si="2"/>
        <v>66.844062500000021</v>
      </c>
      <c r="N108" s="67">
        <f t="shared" si="2"/>
        <v>188.40520833333332</v>
      </c>
      <c r="O108" s="67">
        <f t="shared" si="2"/>
        <v>0</v>
      </c>
      <c r="P108" s="67">
        <f t="shared" si="2"/>
        <v>1.2532291666666664</v>
      </c>
      <c r="Q108" s="67">
        <f t="shared" si="2"/>
        <v>8.2207291666666773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10.544905491295438</v>
      </c>
      <c r="C109" s="67">
        <f t="shared" ref="C109:Q109" si="3">STDEV(C9:C104)</f>
        <v>18.755876069851553</v>
      </c>
      <c r="D109" s="67">
        <f t="shared" si="3"/>
        <v>11.410526524388883</v>
      </c>
      <c r="E109" s="67">
        <f t="shared" si="3"/>
        <v>3.292638672831345</v>
      </c>
      <c r="F109" s="67">
        <f t="shared" si="3"/>
        <v>0.45277313168069433</v>
      </c>
      <c r="G109" s="67">
        <f t="shared" si="3"/>
        <v>30.91164424614108</v>
      </c>
      <c r="H109" s="67">
        <f t="shared" si="3"/>
        <v>6.5432228320903469</v>
      </c>
      <c r="I109" s="67" t="e">
        <f t="shared" si="3"/>
        <v>#DIV/0!</v>
      </c>
      <c r="J109" s="67">
        <f t="shared" si="3"/>
        <v>0.67376970400507241</v>
      </c>
      <c r="K109" s="67">
        <f t="shared" si="3"/>
        <v>108.43523164026166</v>
      </c>
      <c r="L109" s="67">
        <f t="shared" si="3"/>
        <v>3.8716151430364536</v>
      </c>
      <c r="M109" s="67">
        <f t="shared" si="3"/>
        <v>15.183678257511556</v>
      </c>
      <c r="N109" s="67">
        <f t="shared" si="3"/>
        <v>123.96829252488352</v>
      </c>
      <c r="O109" s="67">
        <f t="shared" si="3"/>
        <v>0</v>
      </c>
      <c r="P109" s="67">
        <f t="shared" si="3"/>
        <v>0.2641749611294017</v>
      </c>
      <c r="Q109" s="67">
        <f t="shared" si="3"/>
        <v>4.0216382932088006E-2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 t="shared" ref="C110:D110" si="4">COUNT(C9:C104)+4</f>
        <v>96</v>
      </c>
      <c r="D110" s="66">
        <f t="shared" si="4"/>
        <v>96</v>
      </c>
      <c r="E110" s="66">
        <f t="shared" ref="E110:Q110" si="5">COUNT(E9:E104)</f>
        <v>96</v>
      </c>
      <c r="F110" s="66">
        <f t="shared" si="5"/>
        <v>96</v>
      </c>
      <c r="G110" s="66">
        <f>COUNT(G9:G104)+3</f>
        <v>96</v>
      </c>
      <c r="H110" s="66">
        <f>COUNT(H9:H104)+3</f>
        <v>96</v>
      </c>
      <c r="I110" s="66">
        <f t="shared" si="5"/>
        <v>0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&lt;90%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LESS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216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1492</v>
      </c>
      <c r="B9" s="64">
        <v>23.74</v>
      </c>
      <c r="C9" s="64">
        <v>69.27</v>
      </c>
      <c r="D9" s="64">
        <v>53.85</v>
      </c>
      <c r="E9" s="64">
        <v>6.77</v>
      </c>
      <c r="F9" s="64">
        <v>2.13</v>
      </c>
      <c r="G9" s="64">
        <v>96.21</v>
      </c>
      <c r="H9" s="64">
        <v>51.4</v>
      </c>
      <c r="I9" s="210" t="s">
        <v>43</v>
      </c>
      <c r="J9" s="64">
        <v>2.2799999999999998</v>
      </c>
      <c r="K9" s="64">
        <v>345.18</v>
      </c>
      <c r="L9" s="64">
        <v>13.57</v>
      </c>
      <c r="M9" s="64">
        <v>83.82</v>
      </c>
      <c r="N9" s="64">
        <v>103.5</v>
      </c>
      <c r="O9" s="64">
        <v>0</v>
      </c>
      <c r="P9" s="64">
        <v>1.3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1493</v>
      </c>
      <c r="B10" s="64">
        <v>21.57</v>
      </c>
      <c r="C10" s="64">
        <v>67.73</v>
      </c>
      <c r="D10" s="64">
        <v>51.31</v>
      </c>
      <c r="E10" s="64">
        <v>6.63</v>
      </c>
      <c r="F10" s="64">
        <v>2.13</v>
      </c>
      <c r="G10" s="64">
        <v>96.21</v>
      </c>
      <c r="H10" s="64">
        <v>51.4</v>
      </c>
      <c r="I10" s="210" t="s">
        <v>43</v>
      </c>
      <c r="J10" s="64">
        <v>2.87</v>
      </c>
      <c r="K10" s="64">
        <v>349.43</v>
      </c>
      <c r="L10" s="64">
        <v>13.42</v>
      </c>
      <c r="M10" s="64">
        <v>84.56</v>
      </c>
      <c r="N10" s="64">
        <v>105.1</v>
      </c>
      <c r="O10" s="64">
        <v>0</v>
      </c>
      <c r="P10" s="64">
        <v>1.24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1494</v>
      </c>
      <c r="B11" s="64">
        <v>19.64</v>
      </c>
      <c r="C11" s="64">
        <v>66.540000000000006</v>
      </c>
      <c r="D11" s="64">
        <v>49.14</v>
      </c>
      <c r="E11" s="64">
        <v>6.53</v>
      </c>
      <c r="F11" s="64">
        <v>2.13</v>
      </c>
      <c r="G11" s="64">
        <v>81.81</v>
      </c>
      <c r="H11" s="64">
        <v>48.75</v>
      </c>
      <c r="I11" s="210" t="s">
        <v>43</v>
      </c>
      <c r="J11" s="64">
        <v>1.84</v>
      </c>
      <c r="K11" s="64">
        <v>336.22</v>
      </c>
      <c r="L11" s="64">
        <v>13.3</v>
      </c>
      <c r="M11" s="64">
        <v>85.92</v>
      </c>
      <c r="N11" s="64">
        <v>106.5</v>
      </c>
      <c r="O11" s="64">
        <v>0</v>
      </c>
      <c r="P11" s="64">
        <v>1.19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1495</v>
      </c>
      <c r="B12" s="64">
        <v>18.309999999999999</v>
      </c>
      <c r="C12" s="64">
        <v>62.75</v>
      </c>
      <c r="D12" s="64">
        <v>46.09</v>
      </c>
      <c r="E12" s="64">
        <v>6.78</v>
      </c>
      <c r="F12" s="64">
        <v>2.13</v>
      </c>
      <c r="G12" s="64">
        <v>75.63</v>
      </c>
      <c r="H12" s="64">
        <v>47.62</v>
      </c>
      <c r="I12" s="210" t="s">
        <v>43</v>
      </c>
      <c r="J12" s="64">
        <v>1.71</v>
      </c>
      <c r="K12" s="64">
        <v>353.68</v>
      </c>
      <c r="L12" s="64">
        <v>13.12</v>
      </c>
      <c r="M12" s="64">
        <v>87.29</v>
      </c>
      <c r="N12" s="64">
        <v>106</v>
      </c>
      <c r="O12" s="64">
        <v>0</v>
      </c>
      <c r="P12" s="64">
        <v>1.1299999999999999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1496</v>
      </c>
      <c r="B13" s="64">
        <v>17.010000000000002</v>
      </c>
      <c r="C13" s="64">
        <v>61.79</v>
      </c>
      <c r="D13" s="64">
        <v>44.54</v>
      </c>
      <c r="E13" s="64">
        <v>6.24</v>
      </c>
      <c r="F13" s="64">
        <v>2.13</v>
      </c>
      <c r="G13" s="64">
        <v>75.63</v>
      </c>
      <c r="H13" s="64">
        <v>47.62</v>
      </c>
      <c r="I13" s="210" t="s">
        <v>43</v>
      </c>
      <c r="J13" s="64">
        <v>1.02</v>
      </c>
      <c r="K13" s="64">
        <v>8.5399999999999991</v>
      </c>
      <c r="L13" s="64">
        <v>12.97</v>
      </c>
      <c r="M13" s="64">
        <v>88.29</v>
      </c>
      <c r="N13" s="64">
        <v>106.7</v>
      </c>
      <c r="O13" s="64">
        <v>0</v>
      </c>
      <c r="P13" s="64">
        <v>1.1200000000000001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1497</v>
      </c>
      <c r="B14" s="64">
        <v>15.98</v>
      </c>
      <c r="C14" s="64">
        <v>61.41</v>
      </c>
      <c r="D14" s="64">
        <v>43.53</v>
      </c>
      <c r="E14" s="64">
        <v>6.27</v>
      </c>
      <c r="F14" s="64">
        <v>2.13</v>
      </c>
      <c r="G14" s="64">
        <v>75.63</v>
      </c>
      <c r="H14" s="64">
        <v>47.62</v>
      </c>
      <c r="I14" s="210" t="s">
        <v>43</v>
      </c>
      <c r="J14" s="64">
        <v>1.32</v>
      </c>
      <c r="K14" s="64">
        <v>347.41</v>
      </c>
      <c r="L14" s="64">
        <v>12.79</v>
      </c>
      <c r="M14" s="64">
        <v>89.8</v>
      </c>
      <c r="N14" s="64">
        <v>106.6</v>
      </c>
      <c r="O14" s="64">
        <v>0</v>
      </c>
      <c r="P14" s="64">
        <v>1.1299999999999999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1498</v>
      </c>
      <c r="B15" s="64">
        <v>15.15</v>
      </c>
      <c r="C15" s="64">
        <v>60.63</v>
      </c>
      <c r="D15" s="64">
        <v>42.45</v>
      </c>
      <c r="E15" s="64">
        <v>6.35</v>
      </c>
      <c r="F15" s="64">
        <v>2.13</v>
      </c>
      <c r="G15" s="64">
        <v>68.84</v>
      </c>
      <c r="H15" s="64">
        <v>44.62</v>
      </c>
      <c r="I15" s="210" t="s">
        <v>43</v>
      </c>
      <c r="J15" s="64">
        <v>2.63</v>
      </c>
      <c r="K15" s="64">
        <v>352.41</v>
      </c>
      <c r="L15" s="64">
        <v>12.76</v>
      </c>
      <c r="M15" s="64">
        <v>90.4</v>
      </c>
      <c r="N15" s="64">
        <v>106</v>
      </c>
      <c r="O15" s="64">
        <v>0</v>
      </c>
      <c r="P15" s="64">
        <v>1.07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1499</v>
      </c>
      <c r="B16" s="64">
        <v>14.24</v>
      </c>
      <c r="C16" s="64">
        <v>59.05</v>
      </c>
      <c r="D16" s="64">
        <v>40.89</v>
      </c>
      <c r="E16" s="64">
        <v>6.24</v>
      </c>
      <c r="F16" s="64">
        <v>2.13</v>
      </c>
      <c r="G16" s="64">
        <v>65.930000000000007</v>
      </c>
      <c r="H16" s="64">
        <v>43.34</v>
      </c>
      <c r="I16" s="210" t="s">
        <v>43</v>
      </c>
      <c r="J16" s="64">
        <v>2.91</v>
      </c>
      <c r="K16" s="64">
        <v>348.18</v>
      </c>
      <c r="L16" s="64">
        <v>12.66</v>
      </c>
      <c r="M16" s="64">
        <v>91.02</v>
      </c>
      <c r="N16" s="64">
        <v>108</v>
      </c>
      <c r="O16" s="64">
        <v>0</v>
      </c>
      <c r="P16" s="64">
        <v>1.04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1500</v>
      </c>
      <c r="B17" s="64">
        <v>13.01</v>
      </c>
      <c r="C17" s="64">
        <v>58.11</v>
      </c>
      <c r="D17" s="64">
        <v>39.42</v>
      </c>
      <c r="E17" s="64">
        <v>6.74</v>
      </c>
      <c r="F17" s="64">
        <v>2.13</v>
      </c>
      <c r="G17" s="64">
        <v>65.930000000000007</v>
      </c>
      <c r="H17" s="64">
        <v>43.34</v>
      </c>
      <c r="I17" s="210" t="s">
        <v>43</v>
      </c>
      <c r="J17" s="64">
        <v>2.69</v>
      </c>
      <c r="K17" s="64">
        <v>353.19</v>
      </c>
      <c r="L17" s="64">
        <v>12.52</v>
      </c>
      <c r="M17" s="64">
        <v>91.74</v>
      </c>
      <c r="N17" s="64">
        <v>111.4</v>
      </c>
      <c r="O17" s="64">
        <v>0</v>
      </c>
      <c r="P17" s="64">
        <v>1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1501</v>
      </c>
      <c r="B18" s="64">
        <v>11.82</v>
      </c>
      <c r="C18" s="64">
        <v>57.56</v>
      </c>
      <c r="D18" s="64">
        <v>38.18</v>
      </c>
      <c r="E18" s="64">
        <v>6.37</v>
      </c>
      <c r="F18" s="64">
        <v>2.13</v>
      </c>
      <c r="G18" s="64">
        <v>65.930000000000007</v>
      </c>
      <c r="H18" s="64">
        <v>43.34</v>
      </c>
      <c r="I18" s="210" t="s">
        <v>43</v>
      </c>
      <c r="J18" s="64">
        <v>2.2000000000000002</v>
      </c>
      <c r="K18" s="64">
        <v>344.16</v>
      </c>
      <c r="L18" s="64">
        <v>12.39</v>
      </c>
      <c r="M18" s="64">
        <v>92.95</v>
      </c>
      <c r="N18" s="64">
        <v>114.2</v>
      </c>
      <c r="O18" s="64">
        <v>0</v>
      </c>
      <c r="P18" s="64">
        <v>0.97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1502</v>
      </c>
      <c r="B19" s="64">
        <v>11.08</v>
      </c>
      <c r="C19" s="64">
        <v>57.01</v>
      </c>
      <c r="D19" s="64">
        <v>37.29</v>
      </c>
      <c r="E19" s="64">
        <v>6.33</v>
      </c>
      <c r="F19" s="64">
        <v>2.13</v>
      </c>
      <c r="G19" s="64">
        <v>73.03</v>
      </c>
      <c r="H19" s="64">
        <v>40.700000000000003</v>
      </c>
      <c r="I19" s="210" t="s">
        <v>43</v>
      </c>
      <c r="J19" s="64">
        <v>1.37</v>
      </c>
      <c r="K19" s="64">
        <v>355.09</v>
      </c>
      <c r="L19" s="64">
        <v>12.2</v>
      </c>
      <c r="M19" s="64">
        <v>94.88</v>
      </c>
      <c r="N19" s="64">
        <v>115.9</v>
      </c>
      <c r="O19" s="64">
        <v>0</v>
      </c>
      <c r="P19" s="64">
        <v>0.94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1503</v>
      </c>
      <c r="B20" s="64">
        <v>10.68</v>
      </c>
      <c r="C20" s="64">
        <v>58.06</v>
      </c>
      <c r="D20" s="64">
        <v>37.520000000000003</v>
      </c>
      <c r="E20" s="64">
        <v>6.42</v>
      </c>
      <c r="F20" s="64">
        <v>2.13</v>
      </c>
      <c r="G20" s="64">
        <v>76.239999999999995</v>
      </c>
      <c r="H20" s="64">
        <v>39.56</v>
      </c>
      <c r="I20" s="210" t="s">
        <v>43</v>
      </c>
      <c r="J20" s="64">
        <v>0.72</v>
      </c>
      <c r="K20" s="64">
        <v>61.09</v>
      </c>
      <c r="L20" s="64">
        <v>12.02</v>
      </c>
      <c r="M20" s="64">
        <v>93.98</v>
      </c>
      <c r="N20" s="64">
        <v>112.3</v>
      </c>
      <c r="O20" s="64">
        <v>0</v>
      </c>
      <c r="P20" s="64">
        <v>0.92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1504</v>
      </c>
      <c r="B21" s="64">
        <v>10.15</v>
      </c>
      <c r="C21" s="64">
        <v>57.6</v>
      </c>
      <c r="D21" s="64">
        <v>36.85</v>
      </c>
      <c r="E21" s="64">
        <v>6.59</v>
      </c>
      <c r="F21" s="64">
        <v>2.13</v>
      </c>
      <c r="G21" s="64">
        <v>76.239999999999995</v>
      </c>
      <c r="H21" s="64">
        <v>39.56</v>
      </c>
      <c r="I21" s="210" t="s">
        <v>43</v>
      </c>
      <c r="J21" s="64">
        <v>0.8</v>
      </c>
      <c r="K21" s="64">
        <v>19.41</v>
      </c>
      <c r="L21" s="64">
        <v>11.95</v>
      </c>
      <c r="M21" s="64">
        <v>93.45</v>
      </c>
      <c r="N21" s="64">
        <v>104.8</v>
      </c>
      <c r="O21" s="64">
        <v>0</v>
      </c>
      <c r="P21" s="64">
        <v>0.91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1505</v>
      </c>
      <c r="B22" s="64">
        <v>9.6199999999999992</v>
      </c>
      <c r="C22" s="64">
        <v>56.22</v>
      </c>
      <c r="D22" s="64">
        <v>35.71</v>
      </c>
      <c r="E22" s="64">
        <v>6.24</v>
      </c>
      <c r="F22" s="64">
        <v>2.13</v>
      </c>
      <c r="G22" s="64">
        <v>76.239999999999995</v>
      </c>
      <c r="H22" s="64">
        <v>39.56</v>
      </c>
      <c r="I22" s="210" t="s">
        <v>43</v>
      </c>
      <c r="J22" s="64">
        <v>0.82</v>
      </c>
      <c r="K22" s="64">
        <v>1.77</v>
      </c>
      <c r="L22" s="64">
        <v>12.03</v>
      </c>
      <c r="M22" s="64">
        <v>93.33</v>
      </c>
      <c r="N22" s="64">
        <v>103.4</v>
      </c>
      <c r="O22" s="64">
        <v>0</v>
      </c>
      <c r="P22" s="64">
        <v>0.89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1506</v>
      </c>
      <c r="B23" s="64">
        <v>9.1199999999999992</v>
      </c>
      <c r="C23" s="64">
        <v>55.37</v>
      </c>
      <c r="D23" s="64">
        <v>34.869999999999997</v>
      </c>
      <c r="E23" s="64">
        <v>6.08</v>
      </c>
      <c r="F23" s="64">
        <v>2.13</v>
      </c>
      <c r="G23" s="64">
        <v>75.59</v>
      </c>
      <c r="H23" s="64">
        <v>38.94</v>
      </c>
      <c r="I23" s="210" t="s">
        <v>43</v>
      </c>
      <c r="J23" s="64">
        <v>1.88</v>
      </c>
      <c r="K23" s="64">
        <v>349.93</v>
      </c>
      <c r="L23" s="64">
        <v>12.17</v>
      </c>
      <c r="M23" s="64">
        <v>91.97</v>
      </c>
      <c r="N23" s="64">
        <v>104.1</v>
      </c>
      <c r="O23" s="64">
        <v>0</v>
      </c>
      <c r="P23" s="64">
        <v>0.87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1507</v>
      </c>
      <c r="B24" s="64">
        <v>8.66</v>
      </c>
      <c r="C24" s="64">
        <v>54.72</v>
      </c>
      <c r="D24" s="64">
        <v>34.159999999999997</v>
      </c>
      <c r="E24" s="64">
        <v>5.94</v>
      </c>
      <c r="F24" s="64">
        <v>2.13</v>
      </c>
      <c r="G24" s="64">
        <v>75.319999999999993</v>
      </c>
      <c r="H24" s="64">
        <v>38.67</v>
      </c>
      <c r="I24" s="210" t="s">
        <v>43</v>
      </c>
      <c r="J24" s="64">
        <v>1</v>
      </c>
      <c r="K24" s="64">
        <v>13.72</v>
      </c>
      <c r="L24" s="64">
        <v>12.04</v>
      </c>
      <c r="M24" s="64">
        <v>92</v>
      </c>
      <c r="N24" s="64">
        <v>101.6</v>
      </c>
      <c r="O24" s="64">
        <v>0</v>
      </c>
      <c r="P24" s="64">
        <v>0.84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1508</v>
      </c>
      <c r="B25" s="64">
        <v>8.3699999999999992</v>
      </c>
      <c r="C25" s="64">
        <v>53.94</v>
      </c>
      <c r="D25" s="64">
        <v>33.520000000000003</v>
      </c>
      <c r="E25" s="64">
        <v>5.74</v>
      </c>
      <c r="F25" s="64">
        <v>2.13</v>
      </c>
      <c r="G25" s="64">
        <v>75.319999999999993</v>
      </c>
      <c r="H25" s="64">
        <v>38.67</v>
      </c>
      <c r="I25" s="210" t="s">
        <v>43</v>
      </c>
      <c r="J25" s="64">
        <v>1.97</v>
      </c>
      <c r="K25" s="64">
        <v>349.24</v>
      </c>
      <c r="L25" s="64">
        <v>12.01</v>
      </c>
      <c r="M25" s="64">
        <v>91.94</v>
      </c>
      <c r="N25" s="64">
        <v>102.1</v>
      </c>
      <c r="O25" s="64">
        <v>0</v>
      </c>
      <c r="P25" s="64">
        <v>0.82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1509</v>
      </c>
      <c r="B26" s="64">
        <v>8.06</v>
      </c>
      <c r="C26" s="64">
        <v>53.51</v>
      </c>
      <c r="D26" s="64">
        <v>33.049999999999997</v>
      </c>
      <c r="E26" s="64">
        <v>6.05</v>
      </c>
      <c r="F26" s="64">
        <v>2.13</v>
      </c>
      <c r="G26" s="64">
        <v>75.319999999999993</v>
      </c>
      <c r="H26" s="64">
        <v>38.67</v>
      </c>
      <c r="I26" s="210" t="s">
        <v>43</v>
      </c>
      <c r="J26" s="64">
        <v>0.99</v>
      </c>
      <c r="K26" s="64">
        <v>3.11</v>
      </c>
      <c r="L26" s="64">
        <v>11.81</v>
      </c>
      <c r="M26" s="64">
        <v>92.34</v>
      </c>
      <c r="N26" s="64">
        <v>102.8</v>
      </c>
      <c r="O26" s="64">
        <v>0</v>
      </c>
      <c r="P26" s="64">
        <v>0.8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1510</v>
      </c>
      <c r="B27" s="64">
        <v>7.89</v>
      </c>
      <c r="C27" s="64">
        <v>53.19</v>
      </c>
      <c r="D27" s="64">
        <v>32.74</v>
      </c>
      <c r="E27" s="64">
        <v>6.27</v>
      </c>
      <c r="F27" s="64">
        <v>2.13</v>
      </c>
      <c r="G27" s="64">
        <v>71.14</v>
      </c>
      <c r="H27" s="64">
        <v>39.71</v>
      </c>
      <c r="I27" s="210" t="s">
        <v>43</v>
      </c>
      <c r="J27" s="64">
        <v>0.95</v>
      </c>
      <c r="K27" s="64">
        <v>351.4</v>
      </c>
      <c r="L27" s="64">
        <v>11.65</v>
      </c>
      <c r="M27" s="64">
        <v>93.37</v>
      </c>
      <c r="N27" s="64">
        <v>102.5</v>
      </c>
      <c r="O27" s="64">
        <v>0</v>
      </c>
      <c r="P27" s="64">
        <v>0.78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1511</v>
      </c>
      <c r="B28" s="64">
        <v>7.76</v>
      </c>
      <c r="C28" s="64">
        <v>52.07</v>
      </c>
      <c r="D28" s="64">
        <v>32.049999999999997</v>
      </c>
      <c r="E28" s="64">
        <v>6.16</v>
      </c>
      <c r="F28" s="64">
        <v>2.13</v>
      </c>
      <c r="G28" s="64">
        <v>69.349999999999994</v>
      </c>
      <c r="H28" s="64">
        <v>40.15</v>
      </c>
      <c r="I28" s="210" t="s">
        <v>43</v>
      </c>
      <c r="J28" s="64">
        <v>1.77</v>
      </c>
      <c r="K28" s="64">
        <v>349.75</v>
      </c>
      <c r="L28" s="64">
        <v>11.64</v>
      </c>
      <c r="M28" s="64">
        <v>92.74</v>
      </c>
      <c r="N28" s="64">
        <v>100.5</v>
      </c>
      <c r="O28" s="64">
        <v>0</v>
      </c>
      <c r="P28" s="64">
        <v>0.76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1512</v>
      </c>
      <c r="B29" s="64">
        <v>7.61</v>
      </c>
      <c r="C29" s="64">
        <v>48.42</v>
      </c>
      <c r="D29" s="64">
        <v>30.02</v>
      </c>
      <c r="E29" s="64">
        <v>6.11</v>
      </c>
      <c r="F29" s="64">
        <v>2.13</v>
      </c>
      <c r="G29" s="64">
        <v>69.349999999999994</v>
      </c>
      <c r="H29" s="64">
        <v>40.15</v>
      </c>
      <c r="I29" s="210" t="s">
        <v>43</v>
      </c>
      <c r="J29" s="64">
        <v>2</v>
      </c>
      <c r="K29" s="64">
        <v>350.08</v>
      </c>
      <c r="L29" s="64">
        <v>11.59</v>
      </c>
      <c r="M29" s="64">
        <v>91.99</v>
      </c>
      <c r="N29" s="64">
        <v>100.1</v>
      </c>
      <c r="O29" s="64">
        <v>0</v>
      </c>
      <c r="P29" s="64">
        <v>0.74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1513</v>
      </c>
      <c r="B30" s="64">
        <v>7.69</v>
      </c>
      <c r="C30" s="64">
        <v>49</v>
      </c>
      <c r="D30" s="64">
        <v>30.39</v>
      </c>
      <c r="E30" s="64">
        <v>5.44</v>
      </c>
      <c r="F30" s="64">
        <v>2.13</v>
      </c>
      <c r="G30" s="64">
        <v>69.349999999999994</v>
      </c>
      <c r="H30" s="64">
        <v>40.15</v>
      </c>
      <c r="I30" s="210" t="s">
        <v>43</v>
      </c>
      <c r="J30" s="64">
        <v>2.13</v>
      </c>
      <c r="K30" s="64">
        <v>349.53</v>
      </c>
      <c r="L30" s="64">
        <v>11.56</v>
      </c>
      <c r="M30" s="64">
        <v>90.84</v>
      </c>
      <c r="N30" s="64">
        <v>100.5</v>
      </c>
      <c r="O30" s="64">
        <v>0</v>
      </c>
      <c r="P30" s="64">
        <v>0.73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1514</v>
      </c>
      <c r="B31" s="64">
        <v>7.74</v>
      </c>
      <c r="C31" s="64">
        <v>50.08</v>
      </c>
      <c r="D31" s="64">
        <v>31</v>
      </c>
      <c r="E31" s="64">
        <v>5.55</v>
      </c>
      <c r="F31" s="64">
        <v>2.13</v>
      </c>
      <c r="G31" s="64">
        <v>73.61</v>
      </c>
      <c r="H31" s="64">
        <v>38.090000000000003</v>
      </c>
      <c r="I31" s="210" t="s">
        <v>43</v>
      </c>
      <c r="J31" s="64">
        <v>1.19</v>
      </c>
      <c r="K31" s="64">
        <v>347.25</v>
      </c>
      <c r="L31" s="64">
        <v>11.39</v>
      </c>
      <c r="M31" s="64">
        <v>91.56</v>
      </c>
      <c r="N31" s="64">
        <v>101.3</v>
      </c>
      <c r="O31" s="64">
        <v>0</v>
      </c>
      <c r="P31" s="64">
        <v>0.71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1515</v>
      </c>
      <c r="B32" s="64">
        <v>7.7</v>
      </c>
      <c r="C32" s="64">
        <v>50.22</v>
      </c>
      <c r="D32" s="64">
        <v>31.04</v>
      </c>
      <c r="E32" s="64">
        <v>5.92</v>
      </c>
      <c r="F32" s="64">
        <v>2.13</v>
      </c>
      <c r="G32" s="64">
        <v>75.430000000000007</v>
      </c>
      <c r="H32" s="64">
        <v>37.15</v>
      </c>
      <c r="I32" s="210" t="s">
        <v>43</v>
      </c>
      <c r="J32" s="64">
        <v>1.19</v>
      </c>
      <c r="K32" s="64">
        <v>335.76</v>
      </c>
      <c r="L32" s="64">
        <v>11.28</v>
      </c>
      <c r="M32" s="64">
        <v>91.74</v>
      </c>
      <c r="N32" s="64">
        <v>104</v>
      </c>
      <c r="O32" s="64">
        <v>0</v>
      </c>
      <c r="P32" s="64">
        <v>0.69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1516</v>
      </c>
      <c r="B33" s="64">
        <v>7.63</v>
      </c>
      <c r="C33" s="64">
        <v>49.71</v>
      </c>
      <c r="D33" s="64">
        <v>30.72</v>
      </c>
      <c r="E33" s="64">
        <v>5.91</v>
      </c>
      <c r="F33" s="64">
        <v>2.13</v>
      </c>
      <c r="G33" s="64">
        <v>75.430000000000007</v>
      </c>
      <c r="H33" s="64">
        <v>37.15</v>
      </c>
      <c r="I33" s="210" t="s">
        <v>43</v>
      </c>
      <c r="J33" s="64">
        <v>0.92</v>
      </c>
      <c r="K33" s="64">
        <v>86.45</v>
      </c>
      <c r="L33" s="64">
        <v>11.08</v>
      </c>
      <c r="M33" s="64">
        <v>92.68</v>
      </c>
      <c r="N33" s="64">
        <v>108.6</v>
      </c>
      <c r="O33" s="64">
        <v>0</v>
      </c>
      <c r="P33" s="64">
        <v>0.68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1517</v>
      </c>
      <c r="B34" s="64">
        <v>7.7</v>
      </c>
      <c r="C34" s="64">
        <v>49.26</v>
      </c>
      <c r="D34" s="64">
        <v>30.54</v>
      </c>
      <c r="E34" s="64">
        <v>5.88</v>
      </c>
      <c r="F34" s="64">
        <v>2.13</v>
      </c>
      <c r="G34" s="64">
        <v>75.430000000000007</v>
      </c>
      <c r="H34" s="64">
        <v>37.15</v>
      </c>
      <c r="I34" s="210" t="s">
        <v>43</v>
      </c>
      <c r="J34" s="64">
        <v>0.49</v>
      </c>
      <c r="K34" s="64">
        <v>61.31</v>
      </c>
      <c r="L34" s="64">
        <v>10.91</v>
      </c>
      <c r="M34" s="64">
        <v>93.67</v>
      </c>
      <c r="N34" s="64">
        <v>111.3</v>
      </c>
      <c r="O34" s="64">
        <v>0</v>
      </c>
      <c r="P34" s="64">
        <v>0.67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1518</v>
      </c>
      <c r="B35" s="64">
        <v>7.98</v>
      </c>
      <c r="C35" s="64">
        <v>49.7</v>
      </c>
      <c r="D35" s="64">
        <v>30.99</v>
      </c>
      <c r="E35" s="64">
        <v>6.08</v>
      </c>
      <c r="F35" s="64">
        <v>2.13</v>
      </c>
      <c r="G35" s="64">
        <v>66.31</v>
      </c>
      <c r="H35" s="64">
        <v>36.94</v>
      </c>
      <c r="I35" s="210" t="s">
        <v>43</v>
      </c>
      <c r="J35" s="64">
        <v>0.87</v>
      </c>
      <c r="K35" s="64">
        <v>90.57</v>
      </c>
      <c r="L35" s="64">
        <v>10.77</v>
      </c>
      <c r="M35" s="64">
        <v>95.28</v>
      </c>
      <c r="N35" s="64">
        <v>114.6</v>
      </c>
      <c r="O35" s="64">
        <v>0</v>
      </c>
      <c r="P35" s="64">
        <v>0.66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1519</v>
      </c>
      <c r="B36" s="64">
        <v>8.94</v>
      </c>
      <c r="C36" s="64">
        <v>51.02</v>
      </c>
      <c r="D36" s="64">
        <v>32.44</v>
      </c>
      <c r="E36" s="64">
        <v>6.51</v>
      </c>
      <c r="F36" s="64">
        <v>2.13</v>
      </c>
      <c r="G36" s="64">
        <v>62.4</v>
      </c>
      <c r="H36" s="64">
        <v>36.85</v>
      </c>
      <c r="I36" s="210" t="s">
        <v>43</v>
      </c>
      <c r="J36" s="64">
        <v>0.96</v>
      </c>
      <c r="K36" s="64">
        <v>80.44</v>
      </c>
      <c r="L36" s="64">
        <v>10.8</v>
      </c>
      <c r="M36" s="64">
        <v>96.04</v>
      </c>
      <c r="N36" s="64">
        <v>122.3</v>
      </c>
      <c r="O36" s="64">
        <v>0</v>
      </c>
      <c r="P36" s="64">
        <v>0.66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1520</v>
      </c>
      <c r="B37" s="64">
        <v>10.039999999999999</v>
      </c>
      <c r="C37" s="64">
        <v>52.29</v>
      </c>
      <c r="D37" s="64">
        <v>33.99</v>
      </c>
      <c r="E37" s="64">
        <v>6.47</v>
      </c>
      <c r="F37" s="64">
        <v>2.13</v>
      </c>
      <c r="G37" s="64">
        <v>62.4</v>
      </c>
      <c r="H37" s="64">
        <v>36.85</v>
      </c>
      <c r="I37" s="210" t="s">
        <v>43</v>
      </c>
      <c r="J37" s="64">
        <v>0.49</v>
      </c>
      <c r="K37" s="64">
        <v>346.2</v>
      </c>
      <c r="L37" s="64">
        <v>10.93</v>
      </c>
      <c r="M37" s="64">
        <v>96.33</v>
      </c>
      <c r="N37" s="64">
        <v>133.1</v>
      </c>
      <c r="O37" s="64">
        <v>0</v>
      </c>
      <c r="P37" s="64">
        <v>0.67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1521</v>
      </c>
      <c r="B38" s="64">
        <v>12.14</v>
      </c>
      <c r="C38" s="64">
        <v>52.97</v>
      </c>
      <c r="D38" s="64">
        <v>36.04</v>
      </c>
      <c r="E38" s="64">
        <v>6.29</v>
      </c>
      <c r="F38" s="64">
        <v>2.13</v>
      </c>
      <c r="G38" s="64">
        <v>62.4</v>
      </c>
      <c r="H38" s="64">
        <v>36.85</v>
      </c>
      <c r="I38" s="210" t="s">
        <v>43</v>
      </c>
      <c r="J38" s="64">
        <v>0.55000000000000004</v>
      </c>
      <c r="K38" s="64">
        <v>19.77</v>
      </c>
      <c r="L38" s="64">
        <v>11.22</v>
      </c>
      <c r="M38" s="64">
        <v>95.92</v>
      </c>
      <c r="N38" s="64">
        <v>149.5</v>
      </c>
      <c r="O38" s="64">
        <v>0</v>
      </c>
      <c r="P38" s="64">
        <v>0.7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1522</v>
      </c>
      <c r="B39" s="64">
        <v>14.06</v>
      </c>
      <c r="C39" s="64">
        <v>53.64</v>
      </c>
      <c r="D39" s="64">
        <v>37.92</v>
      </c>
      <c r="E39" s="64">
        <v>6.5</v>
      </c>
      <c r="F39" s="64">
        <v>2.13</v>
      </c>
      <c r="G39" s="64">
        <v>74.91</v>
      </c>
      <c r="H39" s="64">
        <v>35.39</v>
      </c>
      <c r="I39" s="210" t="s">
        <v>43</v>
      </c>
      <c r="J39" s="64">
        <v>0.45</v>
      </c>
      <c r="K39" s="64">
        <v>45.54</v>
      </c>
      <c r="L39" s="64">
        <v>11.58</v>
      </c>
      <c r="M39" s="64">
        <v>94.06</v>
      </c>
      <c r="N39" s="64">
        <v>163.30000000000001</v>
      </c>
      <c r="O39" s="64">
        <v>0</v>
      </c>
      <c r="P39" s="64">
        <v>0.7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1523</v>
      </c>
      <c r="B40" s="64">
        <v>16.38</v>
      </c>
      <c r="C40" s="64">
        <v>54.62</v>
      </c>
      <c r="D40" s="64">
        <v>40.29</v>
      </c>
      <c r="E40" s="64">
        <v>5.78</v>
      </c>
      <c r="F40" s="64">
        <v>2.13</v>
      </c>
      <c r="G40" s="64">
        <v>80.27</v>
      </c>
      <c r="H40" s="64">
        <v>34.76</v>
      </c>
      <c r="I40" s="210" t="s">
        <v>43</v>
      </c>
      <c r="J40" s="64">
        <v>1.33</v>
      </c>
      <c r="K40" s="64">
        <v>349.48</v>
      </c>
      <c r="L40" s="64">
        <v>12.22</v>
      </c>
      <c r="M40" s="64">
        <v>91</v>
      </c>
      <c r="N40" s="64">
        <v>193.2</v>
      </c>
      <c r="O40" s="64">
        <v>0</v>
      </c>
      <c r="P40" s="64">
        <v>0.7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1524</v>
      </c>
      <c r="B41" s="64">
        <v>19.48</v>
      </c>
      <c r="C41" s="64">
        <v>55.97</v>
      </c>
      <c r="D41" s="64">
        <v>43.49</v>
      </c>
      <c r="E41" s="64">
        <v>6.29</v>
      </c>
      <c r="F41" s="64">
        <v>2.13</v>
      </c>
      <c r="G41" s="64">
        <v>80.27</v>
      </c>
      <c r="H41" s="64">
        <v>34.76</v>
      </c>
      <c r="I41" s="210" t="s">
        <v>43</v>
      </c>
      <c r="J41" s="64">
        <v>0.97</v>
      </c>
      <c r="K41" s="64">
        <v>356.77</v>
      </c>
      <c r="L41" s="64">
        <v>12.95</v>
      </c>
      <c r="M41" s="64">
        <v>87.43</v>
      </c>
      <c r="N41" s="64">
        <v>228.6</v>
      </c>
      <c r="O41" s="64">
        <v>0</v>
      </c>
      <c r="P41" s="64">
        <v>0.71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1525</v>
      </c>
      <c r="B42" s="64">
        <v>22.26</v>
      </c>
      <c r="C42" s="64">
        <v>57.22</v>
      </c>
      <c r="D42" s="64">
        <v>46.36</v>
      </c>
      <c r="E42" s="64">
        <v>5.89</v>
      </c>
      <c r="F42" s="64">
        <v>2.13</v>
      </c>
      <c r="G42" s="64">
        <v>80.27</v>
      </c>
      <c r="H42" s="64">
        <v>34.76</v>
      </c>
      <c r="I42" s="210" t="s">
        <v>43</v>
      </c>
      <c r="J42" s="64">
        <v>1.89</v>
      </c>
      <c r="K42" s="64">
        <v>108.73</v>
      </c>
      <c r="L42" s="64">
        <v>13</v>
      </c>
      <c r="M42" s="64">
        <v>87.27</v>
      </c>
      <c r="N42" s="64">
        <v>269.3</v>
      </c>
      <c r="O42" s="64">
        <v>0</v>
      </c>
      <c r="P42" s="64">
        <v>0.71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1526</v>
      </c>
      <c r="B43" s="64">
        <v>23.57</v>
      </c>
      <c r="C43" s="64">
        <v>57.75</v>
      </c>
      <c r="D43" s="64">
        <v>47.7</v>
      </c>
      <c r="E43" s="64">
        <v>5.6</v>
      </c>
      <c r="F43" s="64">
        <v>2.13</v>
      </c>
      <c r="G43" s="64">
        <v>78.98</v>
      </c>
      <c r="H43" s="64">
        <v>36.28</v>
      </c>
      <c r="I43" s="210" t="s">
        <v>43</v>
      </c>
      <c r="J43" s="64">
        <v>2.2599999999999998</v>
      </c>
      <c r="K43" s="64">
        <v>110.29</v>
      </c>
      <c r="L43" s="64">
        <v>13.07</v>
      </c>
      <c r="M43" s="64">
        <v>87.06</v>
      </c>
      <c r="N43" s="64">
        <v>309.7</v>
      </c>
      <c r="O43" s="64">
        <v>0</v>
      </c>
      <c r="P43" s="64">
        <v>0.71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1527</v>
      </c>
      <c r="B44" s="64">
        <v>24.18</v>
      </c>
      <c r="C44" s="64">
        <v>58.11</v>
      </c>
      <c r="D44" s="64">
        <v>48.37</v>
      </c>
      <c r="E44" s="64">
        <v>5.59</v>
      </c>
      <c r="F44" s="64">
        <v>2.13</v>
      </c>
      <c r="G44" s="64">
        <v>78.400000000000006</v>
      </c>
      <c r="H44" s="64">
        <v>36.97</v>
      </c>
      <c r="I44" s="210" t="s">
        <v>43</v>
      </c>
      <c r="J44" s="64">
        <v>0.86</v>
      </c>
      <c r="K44" s="64">
        <v>57.14</v>
      </c>
      <c r="L44" s="64">
        <v>13.75</v>
      </c>
      <c r="M44" s="64">
        <v>84.03</v>
      </c>
      <c r="N44" s="64">
        <v>344.1</v>
      </c>
      <c r="O44" s="64">
        <v>0</v>
      </c>
      <c r="P44" s="64">
        <v>0.7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1528</v>
      </c>
      <c r="B45" s="64">
        <v>24.85</v>
      </c>
      <c r="C45" s="64">
        <v>56.83</v>
      </c>
      <c r="D45" s="64">
        <v>48.24</v>
      </c>
      <c r="E45" s="64">
        <v>6.03</v>
      </c>
      <c r="F45" s="64">
        <v>2.13</v>
      </c>
      <c r="G45" s="64">
        <v>78.400000000000006</v>
      </c>
      <c r="H45" s="64">
        <v>36.97</v>
      </c>
      <c r="I45" s="210" t="s">
        <v>43</v>
      </c>
      <c r="J45" s="64">
        <v>2.13</v>
      </c>
      <c r="K45" s="64">
        <v>111.99</v>
      </c>
      <c r="L45" s="64">
        <v>14.38</v>
      </c>
      <c r="M45" s="64">
        <v>81.510000000000005</v>
      </c>
      <c r="N45" s="64">
        <v>361.8</v>
      </c>
      <c r="O45" s="64">
        <v>0</v>
      </c>
      <c r="P45" s="64">
        <v>0.7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1529</v>
      </c>
      <c r="B46" s="64">
        <v>24.9</v>
      </c>
      <c r="C46" s="64">
        <v>55.25</v>
      </c>
      <c r="D46" s="64">
        <v>47.46</v>
      </c>
      <c r="E46" s="64">
        <v>5.39</v>
      </c>
      <c r="F46" s="64">
        <v>2.13</v>
      </c>
      <c r="G46" s="64">
        <v>78.400000000000006</v>
      </c>
      <c r="H46" s="64">
        <v>36.97</v>
      </c>
      <c r="I46" s="210" t="s">
        <v>43</v>
      </c>
      <c r="J46" s="64">
        <v>1.55</v>
      </c>
      <c r="K46" s="64">
        <v>105.95</v>
      </c>
      <c r="L46" s="64">
        <v>14.41</v>
      </c>
      <c r="M46" s="64">
        <v>81.400000000000006</v>
      </c>
      <c r="N46" s="64">
        <v>378</v>
      </c>
      <c r="O46" s="64">
        <v>0</v>
      </c>
      <c r="P46" s="64">
        <v>0.7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1530</v>
      </c>
      <c r="B47" s="64">
        <v>24.66</v>
      </c>
      <c r="C47" s="64">
        <v>56.72</v>
      </c>
      <c r="D47" s="64">
        <v>48.04</v>
      </c>
      <c r="E47" s="64">
        <v>5.31</v>
      </c>
      <c r="F47" s="64">
        <v>2.13</v>
      </c>
      <c r="G47" s="64">
        <v>77.319999999999993</v>
      </c>
      <c r="H47" s="64">
        <v>37.58</v>
      </c>
      <c r="I47" s="210" t="s">
        <v>43</v>
      </c>
      <c r="J47" s="64">
        <v>1.1299999999999999</v>
      </c>
      <c r="K47" s="64">
        <v>18.91</v>
      </c>
      <c r="L47" s="64">
        <v>15.95</v>
      </c>
      <c r="M47" s="64">
        <v>74.84</v>
      </c>
      <c r="N47" s="64">
        <v>402.6</v>
      </c>
      <c r="O47" s="64">
        <v>0</v>
      </c>
      <c r="P47" s="64">
        <v>0.71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1531</v>
      </c>
      <c r="B48" s="64">
        <v>24.53</v>
      </c>
      <c r="C48" s="64">
        <v>57.54</v>
      </c>
      <c r="D48" s="64">
        <v>48.35</v>
      </c>
      <c r="E48" s="64">
        <v>5.83</v>
      </c>
      <c r="F48" s="64">
        <v>2.13</v>
      </c>
      <c r="G48" s="64">
        <v>76.86</v>
      </c>
      <c r="H48" s="64">
        <v>37.840000000000003</v>
      </c>
      <c r="I48" s="210" t="s">
        <v>43</v>
      </c>
      <c r="J48" s="64">
        <v>1.68</v>
      </c>
      <c r="K48" s="64">
        <v>107.45</v>
      </c>
      <c r="L48" s="64">
        <v>15.86</v>
      </c>
      <c r="M48" s="64">
        <v>74.92</v>
      </c>
      <c r="N48" s="64">
        <v>398.2</v>
      </c>
      <c r="O48" s="64">
        <v>0</v>
      </c>
      <c r="P48" s="64">
        <v>0.71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1532</v>
      </c>
      <c r="B49" s="64">
        <v>23.5</v>
      </c>
      <c r="C49" s="64">
        <v>57.54</v>
      </c>
      <c r="D49" s="64">
        <v>47.53</v>
      </c>
      <c r="E49" s="64">
        <v>5.72</v>
      </c>
      <c r="F49" s="64">
        <v>2.13</v>
      </c>
      <c r="G49" s="64">
        <v>76.86</v>
      </c>
      <c r="H49" s="64">
        <v>37.840000000000003</v>
      </c>
      <c r="I49" s="210" t="s">
        <v>43</v>
      </c>
      <c r="J49" s="64">
        <v>3.33</v>
      </c>
      <c r="K49" s="64">
        <v>114.14</v>
      </c>
      <c r="L49" s="64">
        <v>15.75</v>
      </c>
      <c r="M49" s="64">
        <v>74.44</v>
      </c>
      <c r="N49" s="64">
        <v>450.8</v>
      </c>
      <c r="O49" s="64">
        <v>0</v>
      </c>
      <c r="P49" s="64">
        <v>0.7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1533</v>
      </c>
      <c r="B50" s="64">
        <v>21.64</v>
      </c>
      <c r="C50" s="64">
        <v>58.05</v>
      </c>
      <c r="D50" s="64">
        <v>46.31</v>
      </c>
      <c r="E50" s="64">
        <v>5.91</v>
      </c>
      <c r="F50" s="64">
        <v>2.13</v>
      </c>
      <c r="G50" s="64">
        <v>76.86</v>
      </c>
      <c r="H50" s="64">
        <v>37.840000000000003</v>
      </c>
      <c r="I50" s="210" t="s">
        <v>43</v>
      </c>
      <c r="J50" s="64">
        <v>1.99</v>
      </c>
      <c r="K50" s="64">
        <v>104.16</v>
      </c>
      <c r="L50" s="64">
        <v>16.22</v>
      </c>
      <c r="M50" s="64">
        <v>73.290000000000006</v>
      </c>
      <c r="N50" s="64">
        <v>476.2</v>
      </c>
      <c r="O50" s="64">
        <v>0</v>
      </c>
      <c r="P50" s="64">
        <v>0.69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1534</v>
      </c>
      <c r="B51" s="64">
        <v>19.989999999999998</v>
      </c>
      <c r="C51" s="64">
        <v>58.24</v>
      </c>
      <c r="D51" s="64">
        <v>45.08</v>
      </c>
      <c r="E51" s="64">
        <v>5.6</v>
      </c>
      <c r="F51" s="64">
        <v>2.13</v>
      </c>
      <c r="G51" s="64">
        <v>77.53</v>
      </c>
      <c r="H51" s="64">
        <v>37.61</v>
      </c>
      <c r="I51" s="210" t="s">
        <v>43</v>
      </c>
      <c r="J51" s="64">
        <v>0.98</v>
      </c>
      <c r="K51" s="64">
        <v>76.8</v>
      </c>
      <c r="L51" s="64">
        <v>17.55</v>
      </c>
      <c r="M51" s="64">
        <v>68.73</v>
      </c>
      <c r="N51" s="64">
        <v>461.6</v>
      </c>
      <c r="O51" s="64">
        <v>0</v>
      </c>
      <c r="P51" s="64">
        <v>0.69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1535</v>
      </c>
      <c r="B52" s="64">
        <v>19.16</v>
      </c>
      <c r="C52" s="64">
        <v>58.67</v>
      </c>
      <c r="D52" s="64">
        <v>44.64</v>
      </c>
      <c r="E52" s="64">
        <v>6.29</v>
      </c>
      <c r="F52" s="64">
        <v>2.13</v>
      </c>
      <c r="G52" s="64">
        <v>77.81</v>
      </c>
      <c r="H52" s="64">
        <v>37.51</v>
      </c>
      <c r="I52" s="210" t="s">
        <v>43</v>
      </c>
      <c r="J52" s="64">
        <v>0.9</v>
      </c>
      <c r="K52" s="64">
        <v>68.8</v>
      </c>
      <c r="L52" s="64">
        <v>19.149999999999999</v>
      </c>
      <c r="M52" s="64">
        <v>62.76</v>
      </c>
      <c r="N52" s="64">
        <v>505</v>
      </c>
      <c r="O52" s="64">
        <v>0</v>
      </c>
      <c r="P52" s="64">
        <v>0.69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1536</v>
      </c>
      <c r="B53" s="64">
        <v>18.25</v>
      </c>
      <c r="C53" s="64">
        <v>60.45</v>
      </c>
      <c r="D53" s="64">
        <v>44.84</v>
      </c>
      <c r="E53" s="64">
        <v>6.15</v>
      </c>
      <c r="F53" s="64">
        <v>2.13</v>
      </c>
      <c r="G53" s="64">
        <v>77.81</v>
      </c>
      <c r="H53" s="64">
        <v>37.51</v>
      </c>
      <c r="I53" s="210" t="s">
        <v>43</v>
      </c>
      <c r="J53" s="64">
        <v>2.7</v>
      </c>
      <c r="K53" s="64">
        <v>118.57</v>
      </c>
      <c r="L53" s="64">
        <v>17.96</v>
      </c>
      <c r="M53" s="64">
        <v>67.83</v>
      </c>
      <c r="N53" s="64">
        <v>516.4</v>
      </c>
      <c r="O53" s="64">
        <v>0</v>
      </c>
      <c r="P53" s="64">
        <v>0.7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1537</v>
      </c>
      <c r="B54" s="64">
        <v>16.71</v>
      </c>
      <c r="C54" s="64">
        <v>61.05</v>
      </c>
      <c r="D54" s="64">
        <v>43.92</v>
      </c>
      <c r="E54" s="64">
        <v>6.53</v>
      </c>
      <c r="F54" s="64">
        <v>2.13</v>
      </c>
      <c r="G54" s="64">
        <v>77.81</v>
      </c>
      <c r="H54" s="64">
        <v>37.51</v>
      </c>
      <c r="I54" s="210" t="s">
        <v>43</v>
      </c>
      <c r="J54" s="64">
        <v>2.44</v>
      </c>
      <c r="K54" s="64">
        <v>110.64</v>
      </c>
      <c r="L54" s="64">
        <v>18.43</v>
      </c>
      <c r="M54" s="64">
        <v>65.86</v>
      </c>
      <c r="N54" s="64">
        <v>534.29999999999995</v>
      </c>
      <c r="O54" s="64">
        <v>0</v>
      </c>
      <c r="P54" s="64">
        <v>0.69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1538</v>
      </c>
      <c r="B55" s="64">
        <v>14.84</v>
      </c>
      <c r="C55" s="64">
        <v>61.01</v>
      </c>
      <c r="D55" s="64">
        <v>42.39</v>
      </c>
      <c r="E55" s="64">
        <v>6.36</v>
      </c>
      <c r="F55" s="64">
        <v>2.13</v>
      </c>
      <c r="G55" s="64">
        <v>79.739999999999995</v>
      </c>
      <c r="H55" s="64">
        <v>37.85</v>
      </c>
      <c r="I55" s="210" t="s">
        <v>43</v>
      </c>
      <c r="J55" s="64">
        <v>3.18</v>
      </c>
      <c r="K55" s="64">
        <v>118.85</v>
      </c>
      <c r="L55" s="64">
        <v>18.48</v>
      </c>
      <c r="M55" s="64">
        <v>65.45</v>
      </c>
      <c r="N55" s="64">
        <v>532</v>
      </c>
      <c r="O55" s="64">
        <v>0</v>
      </c>
      <c r="P55" s="64">
        <v>0.69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1539</v>
      </c>
      <c r="B56" s="64">
        <v>13.04</v>
      </c>
      <c r="C56" s="64">
        <v>61.04</v>
      </c>
      <c r="D56" s="64">
        <v>40.97</v>
      </c>
      <c r="E56" s="64">
        <v>6.19</v>
      </c>
      <c r="F56" s="64">
        <v>2.13</v>
      </c>
      <c r="G56" s="64">
        <v>80.56</v>
      </c>
      <c r="H56" s="64">
        <v>38</v>
      </c>
      <c r="I56" s="210" t="s">
        <v>43</v>
      </c>
      <c r="J56" s="64">
        <v>2.39</v>
      </c>
      <c r="K56" s="64">
        <v>119.04</v>
      </c>
      <c r="L56" s="64">
        <v>19.04</v>
      </c>
      <c r="M56" s="64">
        <v>63.83</v>
      </c>
      <c r="N56" s="64">
        <v>526.5</v>
      </c>
      <c r="O56" s="64">
        <v>0</v>
      </c>
      <c r="P56" s="64">
        <v>0.68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1540</v>
      </c>
      <c r="B57" s="64">
        <v>12.02</v>
      </c>
      <c r="C57" s="64">
        <v>61.82</v>
      </c>
      <c r="D57" s="64">
        <v>40.56</v>
      </c>
      <c r="E57" s="64">
        <v>6.11</v>
      </c>
      <c r="F57" s="64">
        <v>2.13</v>
      </c>
      <c r="G57" s="64">
        <v>80.56</v>
      </c>
      <c r="H57" s="64">
        <v>38</v>
      </c>
      <c r="I57" s="210" t="s">
        <v>43</v>
      </c>
      <c r="J57" s="64">
        <v>0.99</v>
      </c>
      <c r="K57" s="64">
        <v>106.86</v>
      </c>
      <c r="L57" s="64">
        <v>20.329999999999998</v>
      </c>
      <c r="M57" s="64">
        <v>59.29</v>
      </c>
      <c r="N57" s="64">
        <v>534.9</v>
      </c>
      <c r="O57" s="64">
        <v>0</v>
      </c>
      <c r="P57" s="64">
        <v>0.68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1541</v>
      </c>
      <c r="B58" s="64">
        <v>11.12</v>
      </c>
      <c r="C58" s="64">
        <v>62.62</v>
      </c>
      <c r="D58" s="64">
        <v>40.26</v>
      </c>
      <c r="E58" s="64">
        <v>6.02</v>
      </c>
      <c r="F58" s="64">
        <v>2.13</v>
      </c>
      <c r="G58" s="64">
        <v>80.56</v>
      </c>
      <c r="H58" s="64">
        <v>38</v>
      </c>
      <c r="I58" s="210" t="s">
        <v>43</v>
      </c>
      <c r="J58" s="64">
        <v>1.64</v>
      </c>
      <c r="K58" s="64">
        <v>125.81</v>
      </c>
      <c r="L58" s="64">
        <v>20.77</v>
      </c>
      <c r="M58" s="64">
        <v>57.07</v>
      </c>
      <c r="N58" s="64">
        <v>521.70000000000005</v>
      </c>
      <c r="O58" s="64">
        <v>0</v>
      </c>
      <c r="P58" s="64">
        <v>0.69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1542</v>
      </c>
      <c r="B59" s="64">
        <v>9.9700000000000006</v>
      </c>
      <c r="C59" s="64">
        <v>63.14</v>
      </c>
      <c r="D59" s="64">
        <v>39.61</v>
      </c>
      <c r="E59" s="64">
        <v>5.93</v>
      </c>
      <c r="F59" s="64">
        <v>2.13</v>
      </c>
      <c r="G59" s="64">
        <v>79.37</v>
      </c>
      <c r="H59" s="64">
        <v>37.76</v>
      </c>
      <c r="I59" s="210" t="s">
        <v>43</v>
      </c>
      <c r="J59" s="64">
        <v>1.29</v>
      </c>
      <c r="K59" s="64">
        <v>6.24</v>
      </c>
      <c r="L59" s="64">
        <v>21.76</v>
      </c>
      <c r="M59" s="64">
        <v>53.67</v>
      </c>
      <c r="N59" s="64">
        <v>508.8</v>
      </c>
      <c r="O59" s="64">
        <v>0</v>
      </c>
      <c r="P59" s="64">
        <v>0.69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1543</v>
      </c>
      <c r="B60" s="64">
        <v>9.09</v>
      </c>
      <c r="C60" s="64">
        <v>64.06</v>
      </c>
      <c r="D60" s="64">
        <v>39.380000000000003</v>
      </c>
      <c r="E60" s="64">
        <v>6.49</v>
      </c>
      <c r="F60" s="64">
        <v>2.13</v>
      </c>
      <c r="G60" s="64">
        <v>78.86</v>
      </c>
      <c r="H60" s="64">
        <v>37.659999999999997</v>
      </c>
      <c r="I60" s="210" t="s">
        <v>43</v>
      </c>
      <c r="J60" s="64">
        <v>1.01</v>
      </c>
      <c r="K60" s="64">
        <v>348.37</v>
      </c>
      <c r="L60" s="64">
        <v>22.76</v>
      </c>
      <c r="M60" s="64">
        <v>50.47</v>
      </c>
      <c r="N60" s="64">
        <v>492.8</v>
      </c>
      <c r="O60" s="64">
        <v>0</v>
      </c>
      <c r="P60" s="64">
        <v>0.7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1544</v>
      </c>
      <c r="B61" s="64">
        <v>8.51</v>
      </c>
      <c r="C61" s="64">
        <v>65.38</v>
      </c>
      <c r="D61" s="64">
        <v>39.6</v>
      </c>
      <c r="E61" s="64">
        <v>6.28</v>
      </c>
      <c r="F61" s="64">
        <v>2.13</v>
      </c>
      <c r="G61" s="64">
        <v>78.86</v>
      </c>
      <c r="H61" s="64">
        <v>37.659999999999997</v>
      </c>
      <c r="I61" s="210" t="s">
        <v>43</v>
      </c>
      <c r="J61" s="64">
        <v>1.89</v>
      </c>
      <c r="K61" s="64">
        <v>326.91000000000003</v>
      </c>
      <c r="L61" s="64">
        <v>23.71</v>
      </c>
      <c r="M61" s="64">
        <v>47.98</v>
      </c>
      <c r="N61" s="64">
        <v>468.7</v>
      </c>
      <c r="O61" s="64">
        <v>0</v>
      </c>
      <c r="P61" s="64">
        <v>0.7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1545</v>
      </c>
      <c r="B62" s="64">
        <v>7.91</v>
      </c>
      <c r="C62" s="64">
        <v>63.92</v>
      </c>
      <c r="D62" s="64">
        <v>38.36</v>
      </c>
      <c r="E62" s="64">
        <v>6.33</v>
      </c>
      <c r="F62" s="64">
        <v>2.13</v>
      </c>
      <c r="G62" s="64">
        <v>78.86</v>
      </c>
      <c r="H62" s="64">
        <v>37.659999999999997</v>
      </c>
      <c r="I62" s="210" t="s">
        <v>43</v>
      </c>
      <c r="J62" s="64">
        <v>0.55000000000000004</v>
      </c>
      <c r="K62" s="64">
        <v>43.51</v>
      </c>
      <c r="L62" s="64">
        <v>23.24</v>
      </c>
      <c r="M62" s="64">
        <v>49.68</v>
      </c>
      <c r="N62" s="64">
        <v>448.6</v>
      </c>
      <c r="O62" s="64">
        <v>0</v>
      </c>
      <c r="P62" s="64">
        <v>0.73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1546</v>
      </c>
      <c r="B63" s="64">
        <v>7.42</v>
      </c>
      <c r="C63" s="64">
        <v>63.02</v>
      </c>
      <c r="D63" s="64">
        <v>37.5</v>
      </c>
      <c r="E63" s="64">
        <v>6.4</v>
      </c>
      <c r="F63" s="64">
        <v>2.13</v>
      </c>
      <c r="G63" s="64">
        <v>82.07</v>
      </c>
      <c r="H63" s="64">
        <v>36.56</v>
      </c>
      <c r="I63" s="210" t="s">
        <v>43</v>
      </c>
      <c r="J63" s="64">
        <v>0.65</v>
      </c>
      <c r="K63" s="64">
        <v>92.38</v>
      </c>
      <c r="L63" s="64">
        <v>22.05</v>
      </c>
      <c r="M63" s="64">
        <v>53.72</v>
      </c>
      <c r="N63" s="64">
        <v>436.1</v>
      </c>
      <c r="O63" s="64">
        <v>0</v>
      </c>
      <c r="P63" s="64">
        <v>0.73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1547</v>
      </c>
      <c r="B64" s="64">
        <v>6.92</v>
      </c>
      <c r="C64" s="64">
        <v>63.22</v>
      </c>
      <c r="D64" s="64">
        <v>37.21</v>
      </c>
      <c r="E64" s="64">
        <v>6.1</v>
      </c>
      <c r="F64" s="64">
        <v>2.13</v>
      </c>
      <c r="G64" s="64">
        <v>83.52</v>
      </c>
      <c r="H64" s="64">
        <v>36.090000000000003</v>
      </c>
      <c r="I64" s="210" t="s">
        <v>43</v>
      </c>
      <c r="J64" s="64">
        <v>2.91</v>
      </c>
      <c r="K64" s="64">
        <v>334.51</v>
      </c>
      <c r="L64" s="64">
        <v>23.62</v>
      </c>
      <c r="M64" s="64">
        <v>48</v>
      </c>
      <c r="N64" s="64">
        <v>413.7</v>
      </c>
      <c r="O64" s="64">
        <v>0</v>
      </c>
      <c r="P64" s="64">
        <v>0.74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1548</v>
      </c>
      <c r="B65" s="64">
        <v>6.48</v>
      </c>
      <c r="C65" s="64">
        <v>63.45</v>
      </c>
      <c r="D65" s="64">
        <v>36.97</v>
      </c>
      <c r="E65" s="64">
        <v>5.7</v>
      </c>
      <c r="F65" s="64">
        <v>2.13</v>
      </c>
      <c r="G65" s="64">
        <v>83.52</v>
      </c>
      <c r="H65" s="64">
        <v>36.090000000000003</v>
      </c>
      <c r="I65" s="210" t="s">
        <v>43</v>
      </c>
      <c r="J65" s="64">
        <v>0.46</v>
      </c>
      <c r="K65" s="64">
        <v>39.82</v>
      </c>
      <c r="L65" s="64">
        <v>23.41</v>
      </c>
      <c r="M65" s="64">
        <v>48.73</v>
      </c>
      <c r="N65" s="64">
        <v>379.2</v>
      </c>
      <c r="O65" s="64">
        <v>0</v>
      </c>
      <c r="P65" s="64">
        <v>0.74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1549</v>
      </c>
      <c r="B66" s="64">
        <v>6.07</v>
      </c>
      <c r="C66" s="64">
        <v>62.87</v>
      </c>
      <c r="D66" s="64">
        <v>36.340000000000003</v>
      </c>
      <c r="E66" s="64">
        <v>5.64</v>
      </c>
      <c r="F66" s="64">
        <v>2.13</v>
      </c>
      <c r="G66" s="64">
        <v>83.52</v>
      </c>
      <c r="H66" s="64">
        <v>36.090000000000003</v>
      </c>
      <c r="I66" s="210" t="s">
        <v>43</v>
      </c>
      <c r="J66" s="64">
        <v>1.87</v>
      </c>
      <c r="K66" s="64">
        <v>136.9</v>
      </c>
      <c r="L66" s="64">
        <v>22.06</v>
      </c>
      <c r="M66" s="64">
        <v>51.77</v>
      </c>
      <c r="N66" s="64">
        <v>303.89999999999998</v>
      </c>
      <c r="O66" s="64">
        <v>0</v>
      </c>
      <c r="P66" s="64">
        <v>0.73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1550</v>
      </c>
      <c r="B67" s="64">
        <v>5.72</v>
      </c>
      <c r="C67" s="64">
        <v>62.26</v>
      </c>
      <c r="D67" s="64">
        <v>35.74</v>
      </c>
      <c r="E67" s="64">
        <v>5.87</v>
      </c>
      <c r="F67" s="64">
        <v>2.13</v>
      </c>
      <c r="G67" s="64">
        <v>83.4</v>
      </c>
      <c r="H67" s="64">
        <v>37.85</v>
      </c>
      <c r="I67" s="210" t="s">
        <v>43</v>
      </c>
      <c r="J67" s="64">
        <v>2.4500000000000002</v>
      </c>
      <c r="K67" s="64">
        <v>340.01</v>
      </c>
      <c r="L67" s="64">
        <v>23.07</v>
      </c>
      <c r="M67" s="64">
        <v>48.73</v>
      </c>
      <c r="N67" s="64">
        <v>234.5</v>
      </c>
      <c r="O67" s="64">
        <v>0</v>
      </c>
      <c r="P67" s="64">
        <v>0.74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1551</v>
      </c>
      <c r="B68" s="64">
        <v>5.52</v>
      </c>
      <c r="C68" s="64">
        <v>62.12</v>
      </c>
      <c r="D68" s="64">
        <v>35.51</v>
      </c>
      <c r="E68" s="64">
        <v>6.17</v>
      </c>
      <c r="F68" s="64">
        <v>2.13</v>
      </c>
      <c r="G68" s="64">
        <v>83.34</v>
      </c>
      <c r="H68" s="64">
        <v>38.6</v>
      </c>
      <c r="I68" s="210" t="s">
        <v>43</v>
      </c>
      <c r="J68" s="64">
        <v>2.72</v>
      </c>
      <c r="K68" s="64">
        <v>328.05</v>
      </c>
      <c r="L68" s="64">
        <v>23.69</v>
      </c>
      <c r="M68" s="64">
        <v>46.9</v>
      </c>
      <c r="N68" s="64">
        <v>246.8</v>
      </c>
      <c r="O68" s="64">
        <v>0</v>
      </c>
      <c r="P68" s="64">
        <v>0.76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1552</v>
      </c>
      <c r="B69" s="64">
        <v>5.47</v>
      </c>
      <c r="C69" s="64">
        <v>62.96</v>
      </c>
      <c r="D69" s="64">
        <v>35.909999999999997</v>
      </c>
      <c r="E69" s="64">
        <v>6.07</v>
      </c>
      <c r="F69" s="64">
        <v>2.13</v>
      </c>
      <c r="G69" s="64">
        <v>83.34</v>
      </c>
      <c r="H69" s="64">
        <v>38.6</v>
      </c>
      <c r="I69" s="210" t="s">
        <v>43</v>
      </c>
      <c r="J69" s="64">
        <v>0.91</v>
      </c>
      <c r="K69" s="64">
        <v>39.97</v>
      </c>
      <c r="L69" s="64">
        <v>23.22</v>
      </c>
      <c r="M69" s="64">
        <v>47.48</v>
      </c>
      <c r="N69" s="64">
        <v>243.8</v>
      </c>
      <c r="O69" s="64">
        <v>0</v>
      </c>
      <c r="P69" s="64">
        <v>0.78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1553</v>
      </c>
      <c r="B70" s="64">
        <v>5.21</v>
      </c>
      <c r="C70" s="64">
        <v>63.64</v>
      </c>
      <c r="D70" s="64">
        <v>36.049999999999997</v>
      </c>
      <c r="E70" s="64">
        <v>6.33</v>
      </c>
      <c r="F70" s="64">
        <v>2.13</v>
      </c>
      <c r="G70" s="64">
        <v>83.34</v>
      </c>
      <c r="H70" s="64">
        <v>38.6</v>
      </c>
      <c r="I70" s="210" t="s">
        <v>43</v>
      </c>
      <c r="J70" s="64">
        <v>1.34</v>
      </c>
      <c r="K70" s="64">
        <v>349.57</v>
      </c>
      <c r="L70" s="64">
        <v>22.13</v>
      </c>
      <c r="M70" s="64">
        <v>49.75</v>
      </c>
      <c r="N70" s="64">
        <v>185.5</v>
      </c>
      <c r="O70" s="64">
        <v>0</v>
      </c>
      <c r="P70" s="64">
        <v>0.76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1554</v>
      </c>
      <c r="B71" s="64">
        <v>5.15</v>
      </c>
      <c r="C71" s="64">
        <v>65.3</v>
      </c>
      <c r="D71" s="64">
        <v>36.869999999999997</v>
      </c>
      <c r="E71" s="64">
        <v>6.15</v>
      </c>
      <c r="F71" s="64">
        <v>2.13</v>
      </c>
      <c r="G71" s="64">
        <v>83.07</v>
      </c>
      <c r="H71" s="64">
        <v>38.81</v>
      </c>
      <c r="I71" s="210" t="s">
        <v>43</v>
      </c>
      <c r="J71" s="64">
        <v>1.66</v>
      </c>
      <c r="K71" s="64">
        <v>330.36</v>
      </c>
      <c r="L71" s="64">
        <v>22.5</v>
      </c>
      <c r="M71" s="64">
        <v>48.24</v>
      </c>
      <c r="N71" s="64">
        <v>160.1</v>
      </c>
      <c r="O71" s="64">
        <v>0</v>
      </c>
      <c r="P71" s="64">
        <v>0.76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1555</v>
      </c>
      <c r="B72" s="64">
        <v>5.14</v>
      </c>
      <c r="C72" s="64">
        <v>66.55</v>
      </c>
      <c r="D72" s="64">
        <v>37.51</v>
      </c>
      <c r="E72" s="64">
        <v>5.79</v>
      </c>
      <c r="F72" s="64">
        <v>2.13</v>
      </c>
      <c r="G72" s="64">
        <v>82.95</v>
      </c>
      <c r="H72" s="64">
        <v>38.909999999999997</v>
      </c>
      <c r="I72" s="210" t="s">
        <v>43</v>
      </c>
      <c r="J72" s="64">
        <v>1.31</v>
      </c>
      <c r="K72" s="64">
        <v>9.0399999999999991</v>
      </c>
      <c r="L72" s="64">
        <v>22.57</v>
      </c>
      <c r="M72" s="64">
        <v>47.05</v>
      </c>
      <c r="N72" s="64">
        <v>145.6</v>
      </c>
      <c r="O72" s="64">
        <v>0</v>
      </c>
      <c r="P72" s="64">
        <v>0.77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1556</v>
      </c>
      <c r="B73" s="64">
        <v>5.04</v>
      </c>
      <c r="C73" s="64">
        <v>66.89</v>
      </c>
      <c r="D73" s="64">
        <v>37.61</v>
      </c>
      <c r="E73" s="64">
        <v>6.63</v>
      </c>
      <c r="F73" s="64">
        <v>2.13</v>
      </c>
      <c r="G73" s="64">
        <v>82.95</v>
      </c>
      <c r="H73" s="64">
        <v>38.909999999999997</v>
      </c>
      <c r="I73" s="210" t="s">
        <v>43</v>
      </c>
      <c r="J73" s="64">
        <v>0.47</v>
      </c>
      <c r="K73" s="64">
        <v>69.099999999999994</v>
      </c>
      <c r="L73" s="64">
        <v>21.88</v>
      </c>
      <c r="M73" s="64">
        <v>48.58</v>
      </c>
      <c r="N73" s="64">
        <v>133.5</v>
      </c>
      <c r="O73" s="64">
        <v>0</v>
      </c>
      <c r="P73" s="64">
        <v>0.78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1557</v>
      </c>
      <c r="B74" s="64">
        <v>5.14</v>
      </c>
      <c r="C74" s="64">
        <v>67.09</v>
      </c>
      <c r="D74" s="64">
        <v>37.799999999999997</v>
      </c>
      <c r="E74" s="64">
        <v>6.97</v>
      </c>
      <c r="F74" s="64">
        <v>2.13</v>
      </c>
      <c r="G74" s="64">
        <v>82.95</v>
      </c>
      <c r="H74" s="64">
        <v>38.909999999999997</v>
      </c>
      <c r="I74" s="210" t="s">
        <v>43</v>
      </c>
      <c r="J74" s="64">
        <v>1.85</v>
      </c>
      <c r="K74" s="64">
        <v>346.27</v>
      </c>
      <c r="L74" s="64">
        <v>21.92</v>
      </c>
      <c r="M74" s="64">
        <v>49.68</v>
      </c>
      <c r="N74" s="64">
        <v>121.9</v>
      </c>
      <c r="O74" s="64">
        <v>0</v>
      </c>
      <c r="P74" s="64">
        <v>0.79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1558</v>
      </c>
      <c r="B75" s="64">
        <v>5.91</v>
      </c>
      <c r="C75" s="64">
        <v>68.459999999999994</v>
      </c>
      <c r="D75" s="64">
        <v>39.130000000000003</v>
      </c>
      <c r="E75" s="64">
        <v>6.51</v>
      </c>
      <c r="F75" s="64">
        <v>2.13</v>
      </c>
      <c r="G75" s="64">
        <v>79.05</v>
      </c>
      <c r="H75" s="64">
        <v>37.479999999999997</v>
      </c>
      <c r="I75" s="210" t="s">
        <v>43</v>
      </c>
      <c r="J75" s="64">
        <v>1.87</v>
      </c>
      <c r="K75" s="64">
        <v>352.89</v>
      </c>
      <c r="L75" s="64">
        <v>21.56</v>
      </c>
      <c r="M75" s="64">
        <v>50.61</v>
      </c>
      <c r="N75" s="64">
        <v>109.4</v>
      </c>
      <c r="O75" s="64">
        <v>0</v>
      </c>
      <c r="P75" s="64">
        <v>0.82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1559</v>
      </c>
      <c r="B76" s="64">
        <v>7.02</v>
      </c>
      <c r="C76" s="64">
        <v>70.5</v>
      </c>
      <c r="D76" s="64">
        <v>41.09</v>
      </c>
      <c r="E76" s="64">
        <v>6.57</v>
      </c>
      <c r="F76" s="64">
        <v>2.13</v>
      </c>
      <c r="G76" s="64">
        <v>77.38</v>
      </c>
      <c r="H76" s="64">
        <v>36.86</v>
      </c>
      <c r="I76" s="210" t="s">
        <v>43</v>
      </c>
      <c r="J76" s="64">
        <v>0.41</v>
      </c>
      <c r="K76" s="64">
        <v>42.2</v>
      </c>
      <c r="L76" s="64">
        <v>20.98</v>
      </c>
      <c r="M76" s="64">
        <v>52.43</v>
      </c>
      <c r="N76" s="64">
        <v>97.4</v>
      </c>
      <c r="O76" s="64">
        <v>0</v>
      </c>
      <c r="P76" s="64">
        <v>0.85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1560</v>
      </c>
      <c r="B77" s="64">
        <v>7.47</v>
      </c>
      <c r="C77" s="64">
        <v>71.400000000000006</v>
      </c>
      <c r="D77" s="64">
        <v>41.92</v>
      </c>
      <c r="E77" s="64">
        <v>6.64</v>
      </c>
      <c r="F77" s="64">
        <v>2.13</v>
      </c>
      <c r="G77" s="64">
        <v>77.38</v>
      </c>
      <c r="H77" s="64">
        <v>36.86</v>
      </c>
      <c r="I77" s="210" t="s">
        <v>43</v>
      </c>
      <c r="J77" s="64">
        <v>1.64</v>
      </c>
      <c r="K77" s="64">
        <v>54.4</v>
      </c>
      <c r="L77" s="64">
        <v>20.25</v>
      </c>
      <c r="M77" s="64">
        <v>59.69</v>
      </c>
      <c r="N77" s="64">
        <v>88.6</v>
      </c>
      <c r="O77" s="64">
        <v>0</v>
      </c>
      <c r="P77" s="64">
        <v>0.86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1561</v>
      </c>
      <c r="B78" s="64">
        <v>7.94</v>
      </c>
      <c r="C78" s="64">
        <v>72.28</v>
      </c>
      <c r="D78" s="64">
        <v>42.75</v>
      </c>
      <c r="E78" s="64">
        <v>6.84</v>
      </c>
      <c r="F78" s="64">
        <v>2.13</v>
      </c>
      <c r="G78" s="64">
        <v>77.38</v>
      </c>
      <c r="H78" s="64">
        <v>36.86</v>
      </c>
      <c r="I78" s="210" t="s">
        <v>43</v>
      </c>
      <c r="J78" s="64">
        <v>1.34</v>
      </c>
      <c r="K78" s="64">
        <v>52.25</v>
      </c>
      <c r="L78" s="64">
        <v>19.579999999999998</v>
      </c>
      <c r="M78" s="64">
        <v>68.349999999999994</v>
      </c>
      <c r="N78" s="64">
        <v>81.3</v>
      </c>
      <c r="O78" s="64">
        <v>0</v>
      </c>
      <c r="P78" s="64">
        <v>0.96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1562</v>
      </c>
      <c r="B79" s="64">
        <v>8.65</v>
      </c>
      <c r="C79" s="64">
        <v>69.88</v>
      </c>
      <c r="D79" s="64">
        <v>42.07</v>
      </c>
      <c r="E79" s="64">
        <v>6.31</v>
      </c>
      <c r="F79" s="64">
        <v>2.13</v>
      </c>
      <c r="G79" s="64">
        <v>81.45</v>
      </c>
      <c r="H79" s="64">
        <v>36.35</v>
      </c>
      <c r="I79" s="210" t="s">
        <v>43</v>
      </c>
      <c r="J79" s="64">
        <v>1.89</v>
      </c>
      <c r="K79" s="64">
        <v>77.930000000000007</v>
      </c>
      <c r="L79" s="64">
        <v>19.059999999999999</v>
      </c>
      <c r="M79" s="64">
        <v>70.94</v>
      </c>
      <c r="N79" s="64">
        <v>76.7</v>
      </c>
      <c r="O79" s="64">
        <v>0</v>
      </c>
      <c r="P79" s="64">
        <v>1.1000000000000001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1563</v>
      </c>
      <c r="B80" s="64">
        <v>9.2799999999999994</v>
      </c>
      <c r="C80" s="64">
        <v>70.010000000000005</v>
      </c>
      <c r="D80" s="64">
        <v>42.64</v>
      </c>
      <c r="E80" s="64">
        <v>5.99</v>
      </c>
      <c r="F80" s="64">
        <v>2.13</v>
      </c>
      <c r="G80" s="64">
        <v>83.19</v>
      </c>
      <c r="H80" s="64">
        <v>36.14</v>
      </c>
      <c r="I80" s="210" t="s">
        <v>43</v>
      </c>
      <c r="J80" s="64">
        <v>1.86</v>
      </c>
      <c r="K80" s="64">
        <v>84.25</v>
      </c>
      <c r="L80" s="64">
        <v>18.72</v>
      </c>
      <c r="M80" s="64">
        <v>72.650000000000006</v>
      </c>
      <c r="N80" s="64">
        <v>75.099999999999994</v>
      </c>
      <c r="O80" s="64">
        <v>0</v>
      </c>
      <c r="P80" s="64">
        <v>1.08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1564</v>
      </c>
      <c r="B81" s="64">
        <v>10.130000000000001</v>
      </c>
      <c r="C81" s="64">
        <v>70.290000000000006</v>
      </c>
      <c r="D81" s="64">
        <v>43.47</v>
      </c>
      <c r="E81" s="64">
        <v>6.31</v>
      </c>
      <c r="F81" s="64">
        <v>2.13</v>
      </c>
      <c r="G81" s="64">
        <v>83.19</v>
      </c>
      <c r="H81" s="64">
        <v>36.14</v>
      </c>
      <c r="I81" s="210" t="s">
        <v>43</v>
      </c>
      <c r="J81" s="64">
        <v>0.65</v>
      </c>
      <c r="K81" s="64">
        <v>326.79000000000002</v>
      </c>
      <c r="L81" s="64">
        <v>18.27</v>
      </c>
      <c r="M81" s="64">
        <v>77.25</v>
      </c>
      <c r="N81" s="64">
        <v>74.900000000000006</v>
      </c>
      <c r="O81" s="64">
        <v>0</v>
      </c>
      <c r="P81" s="64">
        <v>1.1200000000000001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1565</v>
      </c>
      <c r="B82" s="64">
        <v>11.31</v>
      </c>
      <c r="C82" s="64">
        <v>70.16</v>
      </c>
      <c r="D82" s="64">
        <v>44.35</v>
      </c>
      <c r="E82" s="64">
        <v>6.63</v>
      </c>
      <c r="F82" s="64">
        <v>2.13</v>
      </c>
      <c r="G82" s="64">
        <v>83.19</v>
      </c>
      <c r="H82" s="64">
        <v>36.14</v>
      </c>
      <c r="I82" s="210" t="s">
        <v>43</v>
      </c>
      <c r="J82" s="64">
        <v>1.89</v>
      </c>
      <c r="K82" s="64">
        <v>282.33</v>
      </c>
      <c r="L82" s="64">
        <v>17.87</v>
      </c>
      <c r="M82" s="64">
        <v>78.650000000000006</v>
      </c>
      <c r="N82" s="64">
        <v>74.900000000000006</v>
      </c>
      <c r="O82" s="64">
        <v>0</v>
      </c>
      <c r="P82" s="64">
        <v>1.05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1566</v>
      </c>
      <c r="B83" s="64">
        <v>12.06</v>
      </c>
      <c r="C83" s="64">
        <v>69.97</v>
      </c>
      <c r="D83" s="64">
        <v>44.85</v>
      </c>
      <c r="E83" s="64">
        <v>6.58</v>
      </c>
      <c r="F83" s="64">
        <v>2.13</v>
      </c>
      <c r="G83" s="64">
        <v>89.04</v>
      </c>
      <c r="H83" s="64">
        <v>37.4</v>
      </c>
      <c r="I83" s="210" t="s">
        <v>43</v>
      </c>
      <c r="J83" s="64">
        <v>1.91</v>
      </c>
      <c r="K83" s="64">
        <v>283.3</v>
      </c>
      <c r="L83" s="64">
        <v>17.64</v>
      </c>
      <c r="M83" s="64">
        <v>79.91</v>
      </c>
      <c r="N83" s="64">
        <v>74.900000000000006</v>
      </c>
      <c r="O83" s="64">
        <v>0</v>
      </c>
      <c r="P83" s="64">
        <v>1.19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1567</v>
      </c>
      <c r="B84" s="64">
        <v>13.02</v>
      </c>
      <c r="C84" s="64">
        <v>69.91</v>
      </c>
      <c r="D84" s="64">
        <v>45.59</v>
      </c>
      <c r="E84" s="64">
        <v>6.33</v>
      </c>
      <c r="F84" s="64">
        <v>2.13</v>
      </c>
      <c r="G84" s="64">
        <v>91.54</v>
      </c>
      <c r="H84" s="64">
        <v>37.94</v>
      </c>
      <c r="I84" s="210" t="s">
        <v>43</v>
      </c>
      <c r="J84" s="64">
        <v>0.67</v>
      </c>
      <c r="K84" s="64">
        <v>127.71</v>
      </c>
      <c r="L84" s="64">
        <v>17.649999999999999</v>
      </c>
      <c r="M84" s="64">
        <v>74.47</v>
      </c>
      <c r="N84" s="64">
        <v>73.7</v>
      </c>
      <c r="O84" s="64">
        <v>0</v>
      </c>
      <c r="P84" s="64">
        <v>1.18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1568</v>
      </c>
      <c r="B85" s="64">
        <v>14.04</v>
      </c>
      <c r="C85" s="64">
        <v>69.569999999999993</v>
      </c>
      <c r="D85" s="64">
        <v>46.22</v>
      </c>
      <c r="E85" s="64">
        <v>6.56</v>
      </c>
      <c r="F85" s="64">
        <v>2.13</v>
      </c>
      <c r="G85" s="64">
        <v>91.54</v>
      </c>
      <c r="H85" s="64">
        <v>37.94</v>
      </c>
      <c r="I85" s="210" t="s">
        <v>43</v>
      </c>
      <c r="J85" s="64">
        <v>0.9</v>
      </c>
      <c r="K85" s="64">
        <v>310.48</v>
      </c>
      <c r="L85" s="64">
        <v>18</v>
      </c>
      <c r="M85" s="64">
        <v>74.819999999999993</v>
      </c>
      <c r="N85" s="64">
        <v>74.5</v>
      </c>
      <c r="O85" s="64">
        <v>0</v>
      </c>
      <c r="P85" s="64">
        <v>1.0900000000000001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1569</v>
      </c>
      <c r="B86" s="64">
        <v>14.46</v>
      </c>
      <c r="C86" s="64">
        <v>70.16</v>
      </c>
      <c r="D86" s="64">
        <v>46.87</v>
      </c>
      <c r="E86" s="64">
        <v>6.63</v>
      </c>
      <c r="F86" s="64">
        <v>2.13</v>
      </c>
      <c r="G86" s="64">
        <v>91.54</v>
      </c>
      <c r="H86" s="64">
        <v>37.94</v>
      </c>
      <c r="I86" s="210" t="s">
        <v>43</v>
      </c>
      <c r="J86" s="64">
        <v>1.68</v>
      </c>
      <c r="K86" s="64">
        <v>322.3</v>
      </c>
      <c r="L86" s="64">
        <v>17.690000000000001</v>
      </c>
      <c r="M86" s="64">
        <v>79.17</v>
      </c>
      <c r="N86" s="64">
        <v>74.8</v>
      </c>
      <c r="O86" s="64">
        <v>0</v>
      </c>
      <c r="P86" s="64">
        <v>1.0900000000000001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1570</v>
      </c>
      <c r="B87" s="64">
        <v>15.09</v>
      </c>
      <c r="C87" s="64">
        <v>70.95</v>
      </c>
      <c r="D87" s="64">
        <v>47.79</v>
      </c>
      <c r="E87" s="64">
        <v>6.9</v>
      </c>
      <c r="F87" s="64">
        <v>2.13</v>
      </c>
      <c r="G87" s="64">
        <v>103.47</v>
      </c>
      <c r="H87" s="64">
        <v>40.630000000000003</v>
      </c>
      <c r="I87" s="210" t="s">
        <v>43</v>
      </c>
      <c r="J87" s="64">
        <v>0.54</v>
      </c>
      <c r="K87" s="64">
        <v>51.72</v>
      </c>
      <c r="L87" s="64">
        <v>17.260000000000002</v>
      </c>
      <c r="M87" s="64">
        <v>73.8</v>
      </c>
      <c r="N87" s="64">
        <v>74.8</v>
      </c>
      <c r="O87" s="64">
        <v>0</v>
      </c>
      <c r="P87" s="64">
        <v>1.1200000000000001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1571</v>
      </c>
      <c r="B88" s="64">
        <v>14.83</v>
      </c>
      <c r="C88" s="64">
        <v>72.209999999999994</v>
      </c>
      <c r="D88" s="64">
        <v>48.24</v>
      </c>
      <c r="E88" s="64">
        <v>7.26</v>
      </c>
      <c r="F88" s="64">
        <v>2.13</v>
      </c>
      <c r="G88" s="64">
        <v>108.58</v>
      </c>
      <c r="H88" s="64">
        <v>41.79</v>
      </c>
      <c r="I88" s="210" t="s">
        <v>43</v>
      </c>
      <c r="J88" s="64">
        <v>0.37</v>
      </c>
      <c r="K88" s="64">
        <v>344.06</v>
      </c>
      <c r="L88" s="64">
        <v>17.059999999999999</v>
      </c>
      <c r="M88" s="64">
        <v>70.72</v>
      </c>
      <c r="N88" s="64">
        <v>75</v>
      </c>
      <c r="O88" s="64">
        <v>0</v>
      </c>
      <c r="P88" s="64">
        <v>1.1499999999999999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1572</v>
      </c>
      <c r="B89" s="64">
        <v>14.15</v>
      </c>
      <c r="C89" s="64">
        <v>72.47</v>
      </c>
      <c r="D89" s="64">
        <v>47.83</v>
      </c>
      <c r="E89" s="64">
        <v>7.22</v>
      </c>
      <c r="F89" s="64">
        <v>2.13</v>
      </c>
      <c r="G89" s="64">
        <v>108.58</v>
      </c>
      <c r="H89" s="64">
        <v>41.79</v>
      </c>
      <c r="I89" s="210" t="s">
        <v>43</v>
      </c>
      <c r="J89" s="64">
        <v>1.43</v>
      </c>
      <c r="K89" s="64">
        <v>125.76</v>
      </c>
      <c r="L89" s="64">
        <v>17.05</v>
      </c>
      <c r="M89" s="64">
        <v>68.67</v>
      </c>
      <c r="N89" s="64">
        <v>74.599999999999994</v>
      </c>
      <c r="O89" s="64">
        <v>0</v>
      </c>
      <c r="P89" s="64">
        <v>1.17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1573</v>
      </c>
      <c r="B90" s="64">
        <v>13.9</v>
      </c>
      <c r="C90" s="64">
        <v>72.75</v>
      </c>
      <c r="D90" s="64">
        <v>47.78</v>
      </c>
      <c r="E90" s="64">
        <v>7.63</v>
      </c>
      <c r="F90" s="64">
        <v>2.13</v>
      </c>
      <c r="G90" s="64">
        <v>108.58</v>
      </c>
      <c r="H90" s="64">
        <v>41.79</v>
      </c>
      <c r="I90" s="210" t="s">
        <v>43</v>
      </c>
      <c r="J90" s="64">
        <v>0.47</v>
      </c>
      <c r="K90" s="64">
        <v>272.64999999999998</v>
      </c>
      <c r="L90" s="64">
        <v>16.95</v>
      </c>
      <c r="M90" s="64">
        <v>69.17</v>
      </c>
      <c r="N90" s="64">
        <v>75.099999999999994</v>
      </c>
      <c r="O90" s="64">
        <v>0</v>
      </c>
      <c r="P90" s="64">
        <v>1.21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1574</v>
      </c>
      <c r="B91" s="64">
        <v>14.35</v>
      </c>
      <c r="C91" s="64">
        <v>73.69</v>
      </c>
      <c r="D91" s="64">
        <v>48.63</v>
      </c>
      <c r="E91" s="64">
        <v>7.48</v>
      </c>
      <c r="F91" s="64">
        <v>2.13</v>
      </c>
      <c r="G91" s="64">
        <v>112.32</v>
      </c>
      <c r="H91" s="64">
        <v>44.76</v>
      </c>
      <c r="I91" s="210" t="s">
        <v>43</v>
      </c>
      <c r="J91" s="64">
        <v>1.08</v>
      </c>
      <c r="K91" s="64">
        <v>107.5</v>
      </c>
      <c r="L91" s="64">
        <v>16.66</v>
      </c>
      <c r="M91" s="64">
        <v>70.98</v>
      </c>
      <c r="N91" s="64">
        <v>75.2</v>
      </c>
      <c r="O91" s="64">
        <v>0</v>
      </c>
      <c r="P91" s="64">
        <v>1.23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1575</v>
      </c>
      <c r="B92" s="64">
        <v>13.83</v>
      </c>
      <c r="C92" s="64">
        <v>73.34</v>
      </c>
      <c r="D92" s="64">
        <v>48.04</v>
      </c>
      <c r="E92" s="64">
        <v>7.04</v>
      </c>
      <c r="F92" s="64">
        <v>2.13</v>
      </c>
      <c r="G92" s="64">
        <v>113.93</v>
      </c>
      <c r="H92" s="64">
        <v>46.03</v>
      </c>
      <c r="I92" s="210" t="s">
        <v>43</v>
      </c>
      <c r="J92" s="64">
        <v>0.84</v>
      </c>
      <c r="K92" s="64">
        <v>144.88999999999999</v>
      </c>
      <c r="L92" s="64">
        <v>16.489999999999998</v>
      </c>
      <c r="M92" s="64">
        <v>72.59</v>
      </c>
      <c r="N92" s="64">
        <v>75</v>
      </c>
      <c r="O92" s="64">
        <v>0</v>
      </c>
      <c r="P92" s="64">
        <v>1.23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1576</v>
      </c>
      <c r="B93" s="64">
        <v>13.16</v>
      </c>
      <c r="C93" s="64">
        <v>73.23</v>
      </c>
      <c r="D93" s="64">
        <v>47.43</v>
      </c>
      <c r="E93" s="64">
        <v>7.39</v>
      </c>
      <c r="F93" s="64">
        <v>2.13</v>
      </c>
      <c r="G93" s="64">
        <v>113.93</v>
      </c>
      <c r="H93" s="64">
        <v>46.03</v>
      </c>
      <c r="I93" s="210" t="s">
        <v>43</v>
      </c>
      <c r="J93" s="64">
        <v>0.63</v>
      </c>
      <c r="K93" s="64">
        <v>72.41</v>
      </c>
      <c r="L93" s="64">
        <v>16.32</v>
      </c>
      <c r="M93" s="64">
        <v>73.959999999999994</v>
      </c>
      <c r="N93" s="64">
        <v>75.3</v>
      </c>
      <c r="O93" s="64">
        <v>0</v>
      </c>
      <c r="P93" s="64">
        <v>1.24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1577</v>
      </c>
      <c r="B94" s="64">
        <v>13.63</v>
      </c>
      <c r="C94" s="64">
        <v>73.599999999999994</v>
      </c>
      <c r="D94" s="64">
        <v>48.01</v>
      </c>
      <c r="E94" s="64">
        <v>7.49</v>
      </c>
      <c r="F94" s="64">
        <v>2.13</v>
      </c>
      <c r="G94" s="64">
        <v>113.93</v>
      </c>
      <c r="H94" s="64">
        <v>46.03</v>
      </c>
      <c r="I94" s="210" t="s">
        <v>43</v>
      </c>
      <c r="J94" s="64">
        <v>0.76</v>
      </c>
      <c r="K94" s="64">
        <v>319.33999999999997</v>
      </c>
      <c r="L94" s="64">
        <v>15.99</v>
      </c>
      <c r="M94" s="64">
        <v>75.75</v>
      </c>
      <c r="N94" s="64">
        <v>75.400000000000006</v>
      </c>
      <c r="O94" s="64">
        <v>0</v>
      </c>
      <c r="P94" s="64">
        <v>1.26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1578</v>
      </c>
      <c r="B95" s="64">
        <v>14.92</v>
      </c>
      <c r="C95" s="64">
        <v>72.86</v>
      </c>
      <c r="D95" s="64">
        <v>48.65</v>
      </c>
      <c r="E95" s="64">
        <v>6.95</v>
      </c>
      <c r="F95" s="64">
        <v>2.13</v>
      </c>
      <c r="G95" s="64">
        <v>115.95</v>
      </c>
      <c r="H95" s="64">
        <v>45.59</v>
      </c>
      <c r="I95" s="210" t="s">
        <v>43</v>
      </c>
      <c r="J95" s="64">
        <v>1.81</v>
      </c>
      <c r="K95" s="64">
        <v>292.73</v>
      </c>
      <c r="L95" s="64">
        <v>15.62</v>
      </c>
      <c r="M95" s="64">
        <v>78.28</v>
      </c>
      <c r="N95" s="64">
        <v>75.8</v>
      </c>
      <c r="O95" s="64">
        <v>0</v>
      </c>
      <c r="P95" s="64">
        <v>1.29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1579</v>
      </c>
      <c r="B96" s="64">
        <v>16.170000000000002</v>
      </c>
      <c r="C96" s="64">
        <v>71.319999999999993</v>
      </c>
      <c r="D96" s="64">
        <v>48.85</v>
      </c>
      <c r="E96" s="64">
        <v>7.13</v>
      </c>
      <c r="F96" s="64">
        <v>2.13</v>
      </c>
      <c r="G96" s="64">
        <v>116.82</v>
      </c>
      <c r="H96" s="64">
        <v>45.41</v>
      </c>
      <c r="I96" s="210" t="s">
        <v>43</v>
      </c>
      <c r="J96" s="64">
        <v>1.47</v>
      </c>
      <c r="K96" s="64">
        <v>311.77</v>
      </c>
      <c r="L96" s="64">
        <v>15.37</v>
      </c>
      <c r="M96" s="64">
        <v>80.73</v>
      </c>
      <c r="N96" s="64">
        <v>75.400000000000006</v>
      </c>
      <c r="O96" s="64">
        <v>0</v>
      </c>
      <c r="P96" s="64">
        <v>1.38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1580</v>
      </c>
      <c r="B97" s="64">
        <v>18.59</v>
      </c>
      <c r="C97" s="64">
        <v>72.31</v>
      </c>
      <c r="D97" s="64">
        <v>51.31</v>
      </c>
      <c r="E97" s="64">
        <v>7.37</v>
      </c>
      <c r="F97" s="64">
        <v>2.13</v>
      </c>
      <c r="G97" s="64">
        <v>116.82</v>
      </c>
      <c r="H97" s="64">
        <v>45.41</v>
      </c>
      <c r="I97" s="210" t="s">
        <v>43</v>
      </c>
      <c r="J97" s="64">
        <v>1.42</v>
      </c>
      <c r="K97" s="64">
        <v>325.29000000000002</v>
      </c>
      <c r="L97" s="64">
        <v>15.21</v>
      </c>
      <c r="M97" s="64">
        <v>81.430000000000007</v>
      </c>
      <c r="N97" s="64">
        <v>75.400000000000006</v>
      </c>
      <c r="O97" s="64">
        <v>0</v>
      </c>
      <c r="P97" s="64">
        <v>1.37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4" t="s">
        <v>1581</v>
      </c>
      <c r="B98" s="64">
        <v>20.21</v>
      </c>
      <c r="C98" s="64">
        <v>72.72</v>
      </c>
      <c r="D98" s="64">
        <v>52.83</v>
      </c>
      <c r="E98" s="64">
        <v>6.93</v>
      </c>
      <c r="F98" s="64">
        <v>2.13</v>
      </c>
      <c r="G98" s="64">
        <v>116.82</v>
      </c>
      <c r="H98" s="64">
        <v>45.41</v>
      </c>
      <c r="I98" s="210" t="s">
        <v>43</v>
      </c>
      <c r="J98" s="64">
        <v>1.4</v>
      </c>
      <c r="K98" s="64">
        <v>276.49</v>
      </c>
      <c r="L98" s="64">
        <v>14.86</v>
      </c>
      <c r="M98" s="64">
        <v>85.93</v>
      </c>
      <c r="N98" s="64">
        <v>75.8</v>
      </c>
      <c r="O98" s="64">
        <v>0</v>
      </c>
      <c r="P98" s="64">
        <v>1.36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4" t="s">
        <v>1582</v>
      </c>
      <c r="B99" s="64">
        <v>21.86</v>
      </c>
      <c r="C99" s="64">
        <v>72.180000000000007</v>
      </c>
      <c r="D99" s="64">
        <v>53.87</v>
      </c>
      <c r="E99" s="64">
        <v>6.75</v>
      </c>
      <c r="F99" s="64">
        <v>2.13</v>
      </c>
      <c r="G99" s="64">
        <v>118.81</v>
      </c>
      <c r="H99" s="64">
        <v>49.17</v>
      </c>
      <c r="I99" s="210" t="s">
        <v>43</v>
      </c>
      <c r="J99" s="64">
        <v>1.05</v>
      </c>
      <c r="K99" s="64">
        <v>272.63</v>
      </c>
      <c r="L99" s="64">
        <v>14.51</v>
      </c>
      <c r="M99" s="64">
        <v>86.94</v>
      </c>
      <c r="N99" s="64">
        <v>75.599999999999994</v>
      </c>
      <c r="O99" s="64">
        <v>0</v>
      </c>
      <c r="P99" s="64">
        <v>1.35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4" t="s">
        <v>1583</v>
      </c>
      <c r="B100" s="64">
        <v>23</v>
      </c>
      <c r="C100" s="64">
        <v>72.37</v>
      </c>
      <c r="D100" s="64">
        <v>54.88</v>
      </c>
      <c r="E100" s="64">
        <v>7.48</v>
      </c>
      <c r="F100" s="64">
        <v>2.13</v>
      </c>
      <c r="G100" s="64">
        <v>119.65</v>
      </c>
      <c r="H100" s="64">
        <v>50.79</v>
      </c>
      <c r="I100" s="210" t="s">
        <v>43</v>
      </c>
      <c r="J100" s="64">
        <v>1.65</v>
      </c>
      <c r="K100" s="64">
        <v>332.57</v>
      </c>
      <c r="L100" s="64">
        <v>14.59</v>
      </c>
      <c r="M100" s="64">
        <v>86.36</v>
      </c>
      <c r="N100" s="64">
        <v>75.5</v>
      </c>
      <c r="O100" s="64">
        <v>0</v>
      </c>
      <c r="P100" s="64">
        <v>1.33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1584</v>
      </c>
      <c r="B101" s="64">
        <v>24.39</v>
      </c>
      <c r="C101" s="64">
        <v>71.489999999999995</v>
      </c>
      <c r="D101" s="64">
        <v>55.53</v>
      </c>
      <c r="E101" s="64">
        <v>7.5</v>
      </c>
      <c r="F101" s="64">
        <v>2.13</v>
      </c>
      <c r="G101" s="64">
        <v>119.65</v>
      </c>
      <c r="H101" s="64">
        <v>50.79</v>
      </c>
      <c r="I101" s="210" t="s">
        <v>43</v>
      </c>
      <c r="J101" s="64">
        <v>1.49</v>
      </c>
      <c r="K101" s="64">
        <v>349.05</v>
      </c>
      <c r="L101" s="64">
        <v>14.38</v>
      </c>
      <c r="M101" s="64">
        <v>89.47</v>
      </c>
      <c r="N101" s="64">
        <v>75.5</v>
      </c>
      <c r="O101" s="64">
        <v>0</v>
      </c>
      <c r="P101" s="64">
        <v>1.31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4" t="s">
        <v>1585</v>
      </c>
      <c r="B102" s="64">
        <v>24.03</v>
      </c>
      <c r="C102" s="64">
        <v>71.33</v>
      </c>
      <c r="D102" s="64">
        <v>55.16</v>
      </c>
      <c r="E102" s="64">
        <v>7.39</v>
      </c>
      <c r="F102" s="64">
        <v>2.13</v>
      </c>
      <c r="G102" s="64">
        <v>119.65</v>
      </c>
      <c r="H102" s="64">
        <v>50.79</v>
      </c>
      <c r="I102" s="210" t="s">
        <v>43</v>
      </c>
      <c r="J102" s="64">
        <v>1.19</v>
      </c>
      <c r="K102" s="64">
        <v>0.98</v>
      </c>
      <c r="L102" s="64">
        <v>14.98</v>
      </c>
      <c r="M102" s="64">
        <v>81.78</v>
      </c>
      <c r="N102" s="64">
        <v>75.400000000000006</v>
      </c>
      <c r="O102" s="64">
        <v>0</v>
      </c>
      <c r="P102" s="64">
        <v>1.29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4" t="s">
        <v>1586</v>
      </c>
      <c r="B103" s="64">
        <v>23.13</v>
      </c>
      <c r="C103" s="64">
        <v>71.3</v>
      </c>
      <c r="D103" s="64">
        <v>54.42</v>
      </c>
      <c r="E103" s="64">
        <v>7.38</v>
      </c>
      <c r="F103" s="64">
        <v>2.13</v>
      </c>
      <c r="G103" s="64">
        <v>118.22</v>
      </c>
      <c r="H103" s="64">
        <v>50.4</v>
      </c>
      <c r="I103" s="210" t="s">
        <v>43</v>
      </c>
      <c r="J103" s="64">
        <v>1.46</v>
      </c>
      <c r="K103" s="64">
        <v>328.11</v>
      </c>
      <c r="L103" s="64">
        <v>14.66</v>
      </c>
      <c r="M103" s="64">
        <v>83.75</v>
      </c>
      <c r="N103" s="64">
        <v>76</v>
      </c>
      <c r="O103" s="64">
        <v>0</v>
      </c>
      <c r="P103" s="64">
        <v>1.32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4" t="s">
        <v>1587</v>
      </c>
      <c r="B104" s="64">
        <v>21.9</v>
      </c>
      <c r="C104" s="64">
        <v>71.48</v>
      </c>
      <c r="D104" s="64">
        <v>53.53</v>
      </c>
      <c r="E104" s="64">
        <v>7.17</v>
      </c>
      <c r="F104" s="64">
        <v>2.13</v>
      </c>
      <c r="G104" s="64">
        <v>117.6</v>
      </c>
      <c r="H104" s="64">
        <v>50.23</v>
      </c>
      <c r="I104" s="210" t="s">
        <v>43</v>
      </c>
      <c r="J104" s="64">
        <v>0.85</v>
      </c>
      <c r="K104" s="64">
        <v>327.23</v>
      </c>
      <c r="L104" s="64">
        <v>14.44</v>
      </c>
      <c r="M104" s="64">
        <v>84.32</v>
      </c>
      <c r="N104" s="64">
        <v>75.900000000000006</v>
      </c>
      <c r="O104" s="64">
        <v>0</v>
      </c>
      <c r="P104" s="64">
        <v>1.3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5.04</v>
      </c>
      <c r="C106" s="67">
        <f>MIN(C9:C104)</f>
        <v>48.42</v>
      </c>
      <c r="D106" s="67">
        <f t="shared" ref="D106:Q106" si="0">MIN(D9:D104)</f>
        <v>30.02</v>
      </c>
      <c r="E106" s="67">
        <f t="shared" si="0"/>
        <v>5.31</v>
      </c>
      <c r="F106" s="67">
        <f t="shared" si="0"/>
        <v>2.13</v>
      </c>
      <c r="G106" s="67">
        <f t="shared" si="0"/>
        <v>62.4</v>
      </c>
      <c r="H106" s="67">
        <f t="shared" si="0"/>
        <v>34.76</v>
      </c>
      <c r="I106" s="67">
        <f t="shared" si="0"/>
        <v>0</v>
      </c>
      <c r="J106" s="67">
        <f t="shared" si="0"/>
        <v>0.37</v>
      </c>
      <c r="K106" s="67">
        <f t="shared" si="0"/>
        <v>0.98</v>
      </c>
      <c r="L106" s="67">
        <f t="shared" si="0"/>
        <v>10.77</v>
      </c>
      <c r="M106" s="67">
        <f t="shared" si="0"/>
        <v>46.9</v>
      </c>
      <c r="N106" s="67">
        <f t="shared" si="0"/>
        <v>73.7</v>
      </c>
      <c r="O106" s="67">
        <f t="shared" si="0"/>
        <v>0</v>
      </c>
      <c r="P106" s="67">
        <f t="shared" si="0"/>
        <v>0.66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24.9</v>
      </c>
      <c r="C107" s="66">
        <f t="shared" ref="C107:Q107" si="1">MAX(C9:C104)</f>
        <v>73.69</v>
      </c>
      <c r="D107" s="66">
        <f t="shared" si="1"/>
        <v>55.53</v>
      </c>
      <c r="E107" s="66">
        <f t="shared" si="1"/>
        <v>7.63</v>
      </c>
      <c r="F107" s="66">
        <f t="shared" si="1"/>
        <v>2.13</v>
      </c>
      <c r="G107" s="66">
        <f t="shared" si="1"/>
        <v>119.65</v>
      </c>
      <c r="H107" s="66">
        <f t="shared" si="1"/>
        <v>51.4</v>
      </c>
      <c r="I107" s="66">
        <f t="shared" si="1"/>
        <v>0</v>
      </c>
      <c r="J107" s="66">
        <f t="shared" si="1"/>
        <v>3.33</v>
      </c>
      <c r="K107" s="66">
        <f t="shared" si="1"/>
        <v>356.77</v>
      </c>
      <c r="L107" s="66">
        <f t="shared" si="1"/>
        <v>23.71</v>
      </c>
      <c r="M107" s="66">
        <f t="shared" si="1"/>
        <v>96.33</v>
      </c>
      <c r="N107" s="66">
        <f t="shared" si="1"/>
        <v>534.9</v>
      </c>
      <c r="O107" s="66">
        <f t="shared" si="1"/>
        <v>0</v>
      </c>
      <c r="P107" s="66">
        <f t="shared" si="1"/>
        <v>1.38</v>
      </c>
      <c r="Q107" s="66">
        <f t="shared" si="1"/>
        <v>8.2100000000000009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13.368333333333334</v>
      </c>
      <c r="C108" s="67">
        <f t="shared" ref="C108:Q108" si="2">AVERAGE(C9:C104)</f>
        <v>62.639583333333327</v>
      </c>
      <c r="D108" s="67">
        <f t="shared" si="2"/>
        <v>42.0703125</v>
      </c>
      <c r="E108" s="67">
        <f t="shared" si="2"/>
        <v>6.3874999999999966</v>
      </c>
      <c r="F108" s="67">
        <f t="shared" si="2"/>
        <v>2.1299999999999972</v>
      </c>
      <c r="G108" s="67">
        <f t="shared" si="2"/>
        <v>84.968020833333327</v>
      </c>
      <c r="H108" s="67">
        <f t="shared" si="2"/>
        <v>40.230937499999996</v>
      </c>
      <c r="I108" s="67" t="e">
        <f t="shared" si="2"/>
        <v>#DIV/0!</v>
      </c>
      <c r="J108" s="67">
        <f t="shared" si="2"/>
        <v>1.4508333333333343</v>
      </c>
      <c r="K108" s="67">
        <f t="shared" si="2"/>
        <v>200.09593749999996</v>
      </c>
      <c r="L108" s="67">
        <f t="shared" si="2"/>
        <v>16.194374999999997</v>
      </c>
      <c r="M108" s="67">
        <f t="shared" si="2"/>
        <v>76.019895833333308</v>
      </c>
      <c r="N108" s="67">
        <f t="shared" si="2"/>
        <v>194.10312500000006</v>
      </c>
      <c r="O108" s="67">
        <f t="shared" si="2"/>
        <v>0</v>
      </c>
      <c r="P108" s="67">
        <f t="shared" si="2"/>
        <v>0.91437500000000005</v>
      </c>
      <c r="Q108" s="67">
        <f t="shared" si="2"/>
        <v>8.210000000000008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6.0941161729839459</v>
      </c>
      <c r="C109" s="67">
        <f t="shared" ref="C109:Q109" si="3">STDEV(C9:C104)</f>
        <v>7.4495511580323202</v>
      </c>
      <c r="D109" s="67">
        <f t="shared" si="3"/>
        <v>6.7257812620933652</v>
      </c>
      <c r="E109" s="67">
        <f t="shared" si="3"/>
        <v>0.54093486328373153</v>
      </c>
      <c r="F109" s="67">
        <f t="shared" si="3"/>
        <v>2.678522416932523E-15</v>
      </c>
      <c r="G109" s="67">
        <f t="shared" si="3"/>
        <v>15.714986117501127</v>
      </c>
      <c r="H109" s="67">
        <f t="shared" si="3"/>
        <v>4.5375660246030449</v>
      </c>
      <c r="I109" s="67" t="e">
        <f t="shared" si="3"/>
        <v>#DIV/0!</v>
      </c>
      <c r="J109" s="67">
        <f t="shared" si="3"/>
        <v>0.71179930149869763</v>
      </c>
      <c r="K109" s="67">
        <f t="shared" si="3"/>
        <v>135.28354199958676</v>
      </c>
      <c r="L109" s="67">
        <f t="shared" si="3"/>
        <v>3.9947496627975361</v>
      </c>
      <c r="M109" s="67">
        <f t="shared" si="3"/>
        <v>15.879811181085696</v>
      </c>
      <c r="N109" s="67">
        <f t="shared" si="3"/>
        <v>155.64198895855085</v>
      </c>
      <c r="O109" s="67">
        <f t="shared" si="3"/>
        <v>0</v>
      </c>
      <c r="P109" s="67">
        <f t="shared" si="3"/>
        <v>0.2357242479097803</v>
      </c>
      <c r="Q109" s="67">
        <f t="shared" si="3"/>
        <v>7.1427264451533946E-15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1588</v>
      </c>
      <c r="B9" s="64">
        <v>20.010000000000002</v>
      </c>
      <c r="C9" s="64">
        <v>70.84</v>
      </c>
      <c r="D9" s="64">
        <v>51.68</v>
      </c>
      <c r="E9" s="64">
        <v>7.08</v>
      </c>
      <c r="F9" s="64">
        <v>2.13</v>
      </c>
      <c r="G9" s="64">
        <v>117.6</v>
      </c>
      <c r="H9" s="64">
        <v>50.23</v>
      </c>
      <c r="I9" s="210" t="s">
        <v>43</v>
      </c>
      <c r="J9" s="64">
        <v>0.5</v>
      </c>
      <c r="K9" s="64">
        <v>5.34</v>
      </c>
      <c r="L9" s="64">
        <v>14.54</v>
      </c>
      <c r="M9" s="64">
        <v>82.44</v>
      </c>
      <c r="N9" s="64">
        <v>76</v>
      </c>
      <c r="O9" s="64">
        <v>0</v>
      </c>
      <c r="P9" s="64">
        <v>1.27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1589</v>
      </c>
      <c r="B10" s="64">
        <v>17.809999999999999</v>
      </c>
      <c r="C10" s="64">
        <v>69.73</v>
      </c>
      <c r="D10" s="64">
        <v>49.34</v>
      </c>
      <c r="E10" s="64">
        <v>7.17</v>
      </c>
      <c r="F10" s="64">
        <v>2.13</v>
      </c>
      <c r="G10" s="64">
        <v>117.6</v>
      </c>
      <c r="H10" s="64">
        <v>50.23</v>
      </c>
      <c r="I10" s="210" t="s">
        <v>43</v>
      </c>
      <c r="J10" s="64">
        <v>0.6</v>
      </c>
      <c r="K10" s="64">
        <v>128.13</v>
      </c>
      <c r="L10" s="64">
        <v>14.65</v>
      </c>
      <c r="M10" s="64">
        <v>78.78</v>
      </c>
      <c r="N10" s="64">
        <v>75.599999999999994</v>
      </c>
      <c r="O10" s="64">
        <v>0</v>
      </c>
      <c r="P10" s="64">
        <v>1.25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1590</v>
      </c>
      <c r="B11" s="64">
        <v>15.83</v>
      </c>
      <c r="C11" s="64">
        <v>68.75</v>
      </c>
      <c r="D11" s="64">
        <v>47.24</v>
      </c>
      <c r="E11" s="64">
        <v>6.48</v>
      </c>
      <c r="F11" s="64">
        <v>2.13</v>
      </c>
      <c r="G11" s="64">
        <v>109.04</v>
      </c>
      <c r="H11" s="64">
        <v>50.19</v>
      </c>
      <c r="I11" s="210" t="s">
        <v>43</v>
      </c>
      <c r="J11" s="64">
        <v>0.68</v>
      </c>
      <c r="K11" s="64">
        <v>341.01</v>
      </c>
      <c r="L11" s="64">
        <v>14.82</v>
      </c>
      <c r="M11" s="64">
        <v>74.430000000000007</v>
      </c>
      <c r="N11" s="64">
        <v>75.900000000000006</v>
      </c>
      <c r="O11" s="64">
        <v>0</v>
      </c>
      <c r="P11" s="64">
        <v>1.22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1591</v>
      </c>
      <c r="B12" s="64">
        <v>14.18</v>
      </c>
      <c r="C12" s="64">
        <v>67.5</v>
      </c>
      <c r="D12" s="64">
        <v>45.26</v>
      </c>
      <c r="E12" s="64">
        <v>6.63</v>
      </c>
      <c r="F12" s="64">
        <v>2.13</v>
      </c>
      <c r="G12" s="64">
        <v>105.37</v>
      </c>
      <c r="H12" s="64">
        <v>50.17</v>
      </c>
      <c r="I12" s="210" t="s">
        <v>43</v>
      </c>
      <c r="J12" s="64">
        <v>0.51</v>
      </c>
      <c r="K12" s="64">
        <v>0.51</v>
      </c>
      <c r="L12" s="64">
        <v>14.76</v>
      </c>
      <c r="M12" s="64">
        <v>73.84</v>
      </c>
      <c r="N12" s="64">
        <v>76.099999999999994</v>
      </c>
      <c r="O12" s="64">
        <v>0</v>
      </c>
      <c r="P12" s="64">
        <v>1.18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1592</v>
      </c>
      <c r="B13" s="64">
        <v>12.53</v>
      </c>
      <c r="C13" s="64">
        <v>66.03</v>
      </c>
      <c r="D13" s="64">
        <v>43.17</v>
      </c>
      <c r="E13" s="64">
        <v>6.45</v>
      </c>
      <c r="F13" s="64">
        <v>2.13</v>
      </c>
      <c r="G13" s="64">
        <v>105.37</v>
      </c>
      <c r="H13" s="64">
        <v>50.17</v>
      </c>
      <c r="I13" s="210" t="s">
        <v>43</v>
      </c>
      <c r="J13" s="64">
        <v>0.9</v>
      </c>
      <c r="K13" s="64">
        <v>322.64999999999998</v>
      </c>
      <c r="L13" s="64">
        <v>14.58</v>
      </c>
      <c r="M13" s="64">
        <v>73.44</v>
      </c>
      <c r="N13" s="64">
        <v>76.400000000000006</v>
      </c>
      <c r="O13" s="64">
        <v>0</v>
      </c>
      <c r="P13" s="64">
        <v>1.06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1593</v>
      </c>
      <c r="B14" s="64">
        <v>10.99</v>
      </c>
      <c r="C14" s="64">
        <v>64.760000000000005</v>
      </c>
      <c r="D14" s="64">
        <v>41.27</v>
      </c>
      <c r="E14" s="64">
        <v>5.77</v>
      </c>
      <c r="F14" s="64">
        <v>2.13</v>
      </c>
      <c r="G14" s="64">
        <v>105.37</v>
      </c>
      <c r="H14" s="64">
        <v>50.17</v>
      </c>
      <c r="I14" s="210" t="s">
        <v>43</v>
      </c>
      <c r="J14" s="64">
        <v>1.38</v>
      </c>
      <c r="K14" s="64">
        <v>321.10000000000002</v>
      </c>
      <c r="L14" s="64">
        <v>14.36</v>
      </c>
      <c r="M14" s="64">
        <v>73.12</v>
      </c>
      <c r="N14" s="64">
        <v>76.8</v>
      </c>
      <c r="O14" s="64">
        <v>0</v>
      </c>
      <c r="P14" s="64">
        <v>1.07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1594</v>
      </c>
      <c r="B15" s="64">
        <v>9.7100000000000009</v>
      </c>
      <c r="C15" s="64">
        <v>63.45</v>
      </c>
      <c r="D15" s="64">
        <v>39.56</v>
      </c>
      <c r="E15" s="64">
        <v>5.96</v>
      </c>
      <c r="F15" s="64">
        <v>2.13</v>
      </c>
      <c r="G15" s="64">
        <v>94.68</v>
      </c>
      <c r="H15" s="64">
        <v>45.77</v>
      </c>
      <c r="I15" s="210" t="s">
        <v>43</v>
      </c>
      <c r="J15" s="64">
        <v>1.39</v>
      </c>
      <c r="K15" s="64">
        <v>306.83999999999997</v>
      </c>
      <c r="L15" s="64">
        <v>14.23</v>
      </c>
      <c r="M15" s="64">
        <v>72.41</v>
      </c>
      <c r="N15" s="64">
        <v>76.400000000000006</v>
      </c>
      <c r="O15" s="64">
        <v>0</v>
      </c>
      <c r="P15" s="64">
        <v>1.04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1595</v>
      </c>
      <c r="B16" s="64">
        <v>8.75</v>
      </c>
      <c r="C16" s="64">
        <v>59.51</v>
      </c>
      <c r="D16" s="64">
        <v>36.729999999999997</v>
      </c>
      <c r="E16" s="64">
        <v>5.71</v>
      </c>
      <c r="F16" s="64">
        <v>2.13</v>
      </c>
      <c r="G16" s="64">
        <v>89.85</v>
      </c>
      <c r="H16" s="64">
        <v>43.79</v>
      </c>
      <c r="I16" s="210" t="s">
        <v>43</v>
      </c>
      <c r="J16" s="64">
        <v>1.19</v>
      </c>
      <c r="K16" s="64">
        <v>318.23</v>
      </c>
      <c r="L16" s="64">
        <v>14.17</v>
      </c>
      <c r="M16" s="64">
        <v>71.13</v>
      </c>
      <c r="N16" s="64">
        <v>76.099999999999994</v>
      </c>
      <c r="O16" s="64">
        <v>0</v>
      </c>
      <c r="P16" s="64">
        <v>0.99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1596</v>
      </c>
      <c r="B17" s="64">
        <v>8.2100000000000009</v>
      </c>
      <c r="C17" s="64">
        <v>57.36</v>
      </c>
      <c r="D17" s="64">
        <v>35.18</v>
      </c>
      <c r="E17" s="64">
        <v>5.79</v>
      </c>
      <c r="F17" s="64">
        <v>2.13</v>
      </c>
      <c r="G17" s="64">
        <v>89.85</v>
      </c>
      <c r="H17" s="64">
        <v>43.79</v>
      </c>
      <c r="I17" s="210" t="s">
        <v>43</v>
      </c>
      <c r="J17" s="64">
        <v>0.53</v>
      </c>
      <c r="K17" s="64">
        <v>329.8</v>
      </c>
      <c r="L17" s="64">
        <v>14.11</v>
      </c>
      <c r="M17" s="64">
        <v>71.209999999999994</v>
      </c>
      <c r="N17" s="64">
        <v>75.5</v>
      </c>
      <c r="O17" s="64">
        <v>0</v>
      </c>
      <c r="P17" s="64">
        <v>0.97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1597</v>
      </c>
      <c r="B18" s="64">
        <v>7.96</v>
      </c>
      <c r="C18" s="64">
        <v>56.77</v>
      </c>
      <c r="D18" s="64">
        <v>34.67</v>
      </c>
      <c r="E18" s="64">
        <v>5.62</v>
      </c>
      <c r="F18" s="64">
        <v>2.13</v>
      </c>
      <c r="G18" s="64">
        <v>89.85</v>
      </c>
      <c r="H18" s="64">
        <v>43.79</v>
      </c>
      <c r="I18" s="210" t="s">
        <v>43</v>
      </c>
      <c r="J18" s="64">
        <v>1.0900000000000001</v>
      </c>
      <c r="K18" s="64">
        <v>333.26</v>
      </c>
      <c r="L18" s="64">
        <v>13.98</v>
      </c>
      <c r="M18" s="64">
        <v>71.44</v>
      </c>
      <c r="N18" s="64">
        <v>75.3</v>
      </c>
      <c r="O18" s="64">
        <v>0</v>
      </c>
      <c r="P18" s="64">
        <v>0.95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1598</v>
      </c>
      <c r="B19" s="64">
        <v>7.82</v>
      </c>
      <c r="C19" s="64">
        <v>56.04</v>
      </c>
      <c r="D19" s="64">
        <v>34.18</v>
      </c>
      <c r="E19" s="64">
        <v>5.53</v>
      </c>
      <c r="F19" s="64">
        <v>2.13</v>
      </c>
      <c r="G19" s="64">
        <v>77.23</v>
      </c>
      <c r="H19" s="64">
        <v>42.15</v>
      </c>
      <c r="I19" s="210" t="s">
        <v>43</v>
      </c>
      <c r="J19" s="64">
        <v>1.2</v>
      </c>
      <c r="K19" s="64">
        <v>310.7</v>
      </c>
      <c r="L19" s="64">
        <v>13.77</v>
      </c>
      <c r="M19" s="64">
        <v>72.709999999999994</v>
      </c>
      <c r="N19" s="64">
        <v>75.400000000000006</v>
      </c>
      <c r="O19" s="64">
        <v>0</v>
      </c>
      <c r="P19" s="64">
        <v>0.92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1599</v>
      </c>
      <c r="B20" s="64">
        <v>7.63</v>
      </c>
      <c r="C20" s="64">
        <v>55.15</v>
      </c>
      <c r="D20" s="64">
        <v>33.56</v>
      </c>
      <c r="E20" s="64">
        <v>5.77</v>
      </c>
      <c r="F20" s="64">
        <v>2.13</v>
      </c>
      <c r="G20" s="64">
        <v>71.53</v>
      </c>
      <c r="H20" s="64">
        <v>41.45</v>
      </c>
      <c r="I20" s="210" t="s">
        <v>43</v>
      </c>
      <c r="J20" s="64">
        <v>1.51</v>
      </c>
      <c r="K20" s="64">
        <v>336.1</v>
      </c>
      <c r="L20" s="64">
        <v>13.65</v>
      </c>
      <c r="M20" s="64">
        <v>74.09</v>
      </c>
      <c r="N20" s="64">
        <v>75.099999999999994</v>
      </c>
      <c r="O20" s="64">
        <v>0</v>
      </c>
      <c r="P20" s="64">
        <v>0.9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1600</v>
      </c>
      <c r="B21" s="64">
        <v>7.48</v>
      </c>
      <c r="C21" s="64">
        <v>54.34</v>
      </c>
      <c r="D21" s="64">
        <v>33.01</v>
      </c>
      <c r="E21" s="64">
        <v>5.91</v>
      </c>
      <c r="F21" s="64">
        <v>2.13</v>
      </c>
      <c r="G21" s="64">
        <v>71.53</v>
      </c>
      <c r="H21" s="64">
        <v>41.45</v>
      </c>
      <c r="I21" s="210" t="s">
        <v>43</v>
      </c>
      <c r="J21" s="64">
        <v>1.44</v>
      </c>
      <c r="K21" s="64">
        <v>345.67</v>
      </c>
      <c r="L21" s="64">
        <v>13.52</v>
      </c>
      <c r="M21" s="64">
        <v>75.709999999999994</v>
      </c>
      <c r="N21" s="64">
        <v>75.3</v>
      </c>
      <c r="O21" s="64">
        <v>0</v>
      </c>
      <c r="P21" s="64">
        <v>0.88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1601</v>
      </c>
      <c r="B22" s="64">
        <v>7.35</v>
      </c>
      <c r="C22" s="64">
        <v>53.22</v>
      </c>
      <c r="D22" s="64">
        <v>32.32</v>
      </c>
      <c r="E22" s="64">
        <v>5.95</v>
      </c>
      <c r="F22" s="64">
        <v>2.13</v>
      </c>
      <c r="G22" s="64">
        <v>71.53</v>
      </c>
      <c r="H22" s="64">
        <v>41.45</v>
      </c>
      <c r="I22" s="210" t="s">
        <v>43</v>
      </c>
      <c r="J22" s="64">
        <v>1.94</v>
      </c>
      <c r="K22" s="64">
        <v>338.58</v>
      </c>
      <c r="L22" s="64">
        <v>13.33</v>
      </c>
      <c r="M22" s="64">
        <v>77.42</v>
      </c>
      <c r="N22" s="64">
        <v>75.7</v>
      </c>
      <c r="O22" s="64">
        <v>0</v>
      </c>
      <c r="P22" s="64">
        <v>0.86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1602</v>
      </c>
      <c r="B23" s="64">
        <v>7.23</v>
      </c>
      <c r="C23" s="64">
        <v>53.06</v>
      </c>
      <c r="D23" s="64">
        <v>32.14</v>
      </c>
      <c r="E23" s="64">
        <v>5.69</v>
      </c>
      <c r="F23" s="64">
        <v>2.13</v>
      </c>
      <c r="G23" s="64">
        <v>75.17</v>
      </c>
      <c r="H23" s="64">
        <v>39.47</v>
      </c>
      <c r="I23" s="210" t="s">
        <v>43</v>
      </c>
      <c r="J23" s="64">
        <v>2.04</v>
      </c>
      <c r="K23" s="64">
        <v>351.38</v>
      </c>
      <c r="L23" s="64">
        <v>13.16</v>
      </c>
      <c r="M23" s="64">
        <v>78.34</v>
      </c>
      <c r="N23" s="64">
        <v>75.7</v>
      </c>
      <c r="O23" s="64">
        <v>0</v>
      </c>
      <c r="P23" s="64">
        <v>0.83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1603</v>
      </c>
      <c r="B24" s="64">
        <v>7.18</v>
      </c>
      <c r="C24" s="64">
        <v>53.62</v>
      </c>
      <c r="D24" s="64">
        <v>32.4</v>
      </c>
      <c r="E24" s="64">
        <v>5.91</v>
      </c>
      <c r="F24" s="64">
        <v>2.13</v>
      </c>
      <c r="G24" s="64">
        <v>76.73</v>
      </c>
      <c r="H24" s="64">
        <v>38.57</v>
      </c>
      <c r="I24" s="210" t="s">
        <v>43</v>
      </c>
      <c r="J24" s="64">
        <v>2.5299999999999998</v>
      </c>
      <c r="K24" s="64">
        <v>352.28</v>
      </c>
      <c r="L24" s="64">
        <v>12.97</v>
      </c>
      <c r="M24" s="64">
        <v>79.08</v>
      </c>
      <c r="N24" s="64">
        <v>75.5</v>
      </c>
      <c r="O24" s="64">
        <v>0</v>
      </c>
      <c r="P24" s="64">
        <v>0.83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1604</v>
      </c>
      <c r="B25" s="64">
        <v>7.13</v>
      </c>
      <c r="C25" s="64">
        <v>53.92</v>
      </c>
      <c r="D25" s="64">
        <v>32.51</v>
      </c>
      <c r="E25" s="64">
        <v>6.12</v>
      </c>
      <c r="F25" s="64">
        <v>2.13</v>
      </c>
      <c r="G25" s="64">
        <v>76.73</v>
      </c>
      <c r="H25" s="64">
        <v>38.57</v>
      </c>
      <c r="I25" s="210" t="s">
        <v>43</v>
      </c>
      <c r="J25" s="64">
        <v>2.34</v>
      </c>
      <c r="K25" s="64">
        <v>350.97</v>
      </c>
      <c r="L25" s="64">
        <v>12.98</v>
      </c>
      <c r="M25" s="64">
        <v>79</v>
      </c>
      <c r="N25" s="64">
        <v>75.7</v>
      </c>
      <c r="O25" s="64">
        <v>0</v>
      </c>
      <c r="P25" s="64">
        <v>0.81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1605</v>
      </c>
      <c r="B26" s="64">
        <v>7.13</v>
      </c>
      <c r="C26" s="64">
        <v>54.13</v>
      </c>
      <c r="D26" s="64">
        <v>32.619999999999997</v>
      </c>
      <c r="E26" s="64">
        <v>6.24</v>
      </c>
      <c r="F26" s="64">
        <v>2.13</v>
      </c>
      <c r="G26" s="64">
        <v>76.73</v>
      </c>
      <c r="H26" s="64">
        <v>38.57</v>
      </c>
      <c r="I26" s="210" t="s">
        <v>43</v>
      </c>
      <c r="J26" s="64">
        <v>1.6</v>
      </c>
      <c r="K26" s="64">
        <v>353.47</v>
      </c>
      <c r="L26" s="64">
        <v>12.85</v>
      </c>
      <c r="M26" s="64">
        <v>81.11</v>
      </c>
      <c r="N26" s="64">
        <v>75.900000000000006</v>
      </c>
      <c r="O26" s="64">
        <v>0</v>
      </c>
      <c r="P26" s="64">
        <v>0.8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1606</v>
      </c>
      <c r="B27" s="64">
        <v>7.36</v>
      </c>
      <c r="C27" s="64">
        <v>54.67</v>
      </c>
      <c r="D27" s="64">
        <v>33.090000000000003</v>
      </c>
      <c r="E27" s="64">
        <v>6.21</v>
      </c>
      <c r="F27" s="64">
        <v>2.13</v>
      </c>
      <c r="G27" s="64">
        <v>79.31</v>
      </c>
      <c r="H27" s="64">
        <v>38.32</v>
      </c>
      <c r="I27" s="210" t="s">
        <v>43</v>
      </c>
      <c r="J27" s="64">
        <v>1.62</v>
      </c>
      <c r="K27" s="64">
        <v>337.63</v>
      </c>
      <c r="L27" s="64">
        <v>12.8</v>
      </c>
      <c r="M27" s="64">
        <v>81.209999999999994</v>
      </c>
      <c r="N27" s="64">
        <v>75.7</v>
      </c>
      <c r="O27" s="64">
        <v>0</v>
      </c>
      <c r="P27" s="64">
        <v>0.79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1607</v>
      </c>
      <c r="B28" s="64">
        <v>7.56</v>
      </c>
      <c r="C28" s="64">
        <v>54.91</v>
      </c>
      <c r="D28" s="64">
        <v>33.369999999999997</v>
      </c>
      <c r="E28" s="64">
        <v>6.11</v>
      </c>
      <c r="F28" s="64">
        <v>2.13</v>
      </c>
      <c r="G28" s="64">
        <v>80.42</v>
      </c>
      <c r="H28" s="64">
        <v>38.200000000000003</v>
      </c>
      <c r="I28" s="210" t="s">
        <v>43</v>
      </c>
      <c r="J28" s="64">
        <v>1.68</v>
      </c>
      <c r="K28" s="64">
        <v>329.46</v>
      </c>
      <c r="L28" s="64">
        <v>12.61</v>
      </c>
      <c r="M28" s="64">
        <v>83.08</v>
      </c>
      <c r="N28" s="64">
        <v>75.900000000000006</v>
      </c>
      <c r="O28" s="64">
        <v>0</v>
      </c>
      <c r="P28" s="64">
        <v>0.78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1608</v>
      </c>
      <c r="B29" s="64">
        <v>8.11</v>
      </c>
      <c r="C29" s="64">
        <v>55.2</v>
      </c>
      <c r="D29" s="64">
        <v>33.97</v>
      </c>
      <c r="E29" s="64">
        <v>6.12</v>
      </c>
      <c r="F29" s="64">
        <v>2.13</v>
      </c>
      <c r="G29" s="64">
        <v>80.42</v>
      </c>
      <c r="H29" s="64">
        <v>38.200000000000003</v>
      </c>
      <c r="I29" s="210" t="s">
        <v>43</v>
      </c>
      <c r="J29" s="64">
        <v>0.72</v>
      </c>
      <c r="K29" s="64">
        <v>17.760000000000002</v>
      </c>
      <c r="L29" s="64">
        <v>12.44</v>
      </c>
      <c r="M29" s="64">
        <v>85.06</v>
      </c>
      <c r="N29" s="64">
        <v>76.2</v>
      </c>
      <c r="O29" s="64">
        <v>0</v>
      </c>
      <c r="P29" s="64">
        <v>0.78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1609</v>
      </c>
      <c r="B30" s="64">
        <v>9.6</v>
      </c>
      <c r="C30" s="64">
        <v>55.72</v>
      </c>
      <c r="D30" s="64">
        <v>35.43</v>
      </c>
      <c r="E30" s="64">
        <v>6.58</v>
      </c>
      <c r="F30" s="64">
        <v>2.13</v>
      </c>
      <c r="G30" s="64">
        <v>80.42</v>
      </c>
      <c r="H30" s="64">
        <v>38.200000000000003</v>
      </c>
      <c r="I30" s="210" t="s">
        <v>43</v>
      </c>
      <c r="J30" s="64">
        <v>1.93</v>
      </c>
      <c r="K30" s="64">
        <v>355.47</v>
      </c>
      <c r="L30" s="64">
        <v>12.43</v>
      </c>
      <c r="M30" s="64">
        <v>85.92</v>
      </c>
      <c r="N30" s="64">
        <v>76</v>
      </c>
      <c r="O30" s="64">
        <v>0</v>
      </c>
      <c r="P30" s="64">
        <v>0.8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1610</v>
      </c>
      <c r="B31" s="64">
        <v>10.38</v>
      </c>
      <c r="C31" s="64">
        <v>56.21</v>
      </c>
      <c r="D31" s="64">
        <v>36.32</v>
      </c>
      <c r="E31" s="64">
        <v>6.7</v>
      </c>
      <c r="F31" s="64">
        <v>2.13</v>
      </c>
      <c r="G31" s="64">
        <v>91.12</v>
      </c>
      <c r="H31" s="64">
        <v>40.229999999999997</v>
      </c>
      <c r="I31" s="210" t="s">
        <v>43</v>
      </c>
      <c r="J31" s="64">
        <v>1.19</v>
      </c>
      <c r="K31" s="64">
        <v>34.28</v>
      </c>
      <c r="L31" s="64">
        <v>12.39</v>
      </c>
      <c r="M31" s="64">
        <v>85.68</v>
      </c>
      <c r="N31" s="64">
        <v>76.400000000000006</v>
      </c>
      <c r="O31" s="64">
        <v>0</v>
      </c>
      <c r="P31" s="64">
        <v>0.8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1611</v>
      </c>
      <c r="B32" s="64">
        <v>11.21</v>
      </c>
      <c r="C32" s="64">
        <v>56.8</v>
      </c>
      <c r="D32" s="64">
        <v>37.29</v>
      </c>
      <c r="E32" s="64">
        <v>6.44</v>
      </c>
      <c r="F32" s="64">
        <v>2.13</v>
      </c>
      <c r="G32" s="64">
        <v>95.7</v>
      </c>
      <c r="H32" s="64">
        <v>41.1</v>
      </c>
      <c r="I32" s="210" t="s">
        <v>43</v>
      </c>
      <c r="J32" s="64">
        <v>1</v>
      </c>
      <c r="K32" s="64">
        <v>216.03</v>
      </c>
      <c r="L32" s="64">
        <v>12.26</v>
      </c>
      <c r="M32" s="64">
        <v>86.48</v>
      </c>
      <c r="N32" s="64">
        <v>76.3</v>
      </c>
      <c r="O32" s="64">
        <v>0</v>
      </c>
      <c r="P32" s="64">
        <v>0.82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1612</v>
      </c>
      <c r="B33" s="64">
        <v>12.13</v>
      </c>
      <c r="C33" s="64">
        <v>53.65</v>
      </c>
      <c r="D33" s="64">
        <v>36.380000000000003</v>
      </c>
      <c r="E33" s="64">
        <v>6.77</v>
      </c>
      <c r="F33" s="64">
        <v>2.13</v>
      </c>
      <c r="G33" s="64">
        <v>95.7</v>
      </c>
      <c r="H33" s="64">
        <v>41.1</v>
      </c>
      <c r="I33" s="210" t="s">
        <v>43</v>
      </c>
      <c r="J33" s="64">
        <v>0.89</v>
      </c>
      <c r="K33" s="64">
        <v>341.86</v>
      </c>
      <c r="L33" s="64">
        <v>12.21</v>
      </c>
      <c r="M33" s="64">
        <v>87.15</v>
      </c>
      <c r="N33" s="64">
        <v>76.400000000000006</v>
      </c>
      <c r="O33" s="64">
        <v>0</v>
      </c>
      <c r="P33" s="64">
        <v>0.83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1613</v>
      </c>
      <c r="B34" s="64">
        <v>13.97</v>
      </c>
      <c r="C34" s="64">
        <v>54.62</v>
      </c>
      <c r="D34" s="64">
        <v>38.36</v>
      </c>
      <c r="E34" s="64">
        <v>6.42</v>
      </c>
      <c r="F34" s="64">
        <v>2.13</v>
      </c>
      <c r="G34" s="64">
        <v>95.7</v>
      </c>
      <c r="H34" s="64">
        <v>41.1</v>
      </c>
      <c r="I34" s="210" t="s">
        <v>43</v>
      </c>
      <c r="J34" s="64">
        <v>1.94</v>
      </c>
      <c r="K34" s="64">
        <v>310.37</v>
      </c>
      <c r="L34" s="64">
        <v>12.24</v>
      </c>
      <c r="M34" s="64">
        <v>86.63</v>
      </c>
      <c r="N34" s="64">
        <v>76.900000000000006</v>
      </c>
      <c r="O34" s="64">
        <v>0</v>
      </c>
      <c r="P34" s="64">
        <v>0.86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1614</v>
      </c>
      <c r="B35" s="64">
        <v>15.82</v>
      </c>
      <c r="C35" s="64">
        <v>55.93</v>
      </c>
      <c r="D35" s="64">
        <v>40.53</v>
      </c>
      <c r="E35" s="64">
        <v>6.12</v>
      </c>
      <c r="F35" s="64">
        <v>2.13</v>
      </c>
      <c r="G35" s="64">
        <v>104.45</v>
      </c>
      <c r="H35" s="64">
        <v>43.16</v>
      </c>
      <c r="I35" s="210" t="s">
        <v>43</v>
      </c>
      <c r="J35" s="64">
        <v>1.46</v>
      </c>
      <c r="K35" s="64">
        <v>347.06</v>
      </c>
      <c r="L35" s="64">
        <v>12.17</v>
      </c>
      <c r="M35" s="64">
        <v>87.81</v>
      </c>
      <c r="N35" s="64">
        <v>79.2</v>
      </c>
      <c r="O35" s="64">
        <v>0</v>
      </c>
      <c r="P35" s="64">
        <v>0.87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1615</v>
      </c>
      <c r="B36" s="64">
        <v>18.59</v>
      </c>
      <c r="C36" s="64">
        <v>56.17</v>
      </c>
      <c r="D36" s="64">
        <v>42.88</v>
      </c>
      <c r="E36" s="64">
        <v>6.48</v>
      </c>
      <c r="F36" s="64">
        <v>2.13</v>
      </c>
      <c r="G36" s="64">
        <v>108.2</v>
      </c>
      <c r="H36" s="64">
        <v>44.09</v>
      </c>
      <c r="I36" s="210" t="s">
        <v>43</v>
      </c>
      <c r="J36" s="64">
        <v>2.11</v>
      </c>
      <c r="K36" s="64">
        <v>349.99</v>
      </c>
      <c r="L36" s="64">
        <v>12.11</v>
      </c>
      <c r="M36" s="64">
        <v>88.5</v>
      </c>
      <c r="N36" s="64">
        <v>86.5</v>
      </c>
      <c r="O36" s="64">
        <v>0</v>
      </c>
      <c r="P36" s="64">
        <v>0.88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1616</v>
      </c>
      <c r="B37" s="64">
        <v>20.16</v>
      </c>
      <c r="C37" s="64">
        <v>56.74</v>
      </c>
      <c r="D37" s="64">
        <v>44.44</v>
      </c>
      <c r="E37" s="64">
        <v>6.71</v>
      </c>
      <c r="F37" s="64">
        <v>2.13</v>
      </c>
      <c r="G37" s="64">
        <v>108.2</v>
      </c>
      <c r="H37" s="64">
        <v>44.09</v>
      </c>
      <c r="I37" s="210" t="s">
        <v>43</v>
      </c>
      <c r="J37" s="64">
        <v>0.9</v>
      </c>
      <c r="K37" s="64">
        <v>348.87</v>
      </c>
      <c r="L37" s="64">
        <v>12.36</v>
      </c>
      <c r="M37" s="64">
        <v>88.57</v>
      </c>
      <c r="N37" s="64">
        <v>100.7</v>
      </c>
      <c r="O37" s="64">
        <v>0</v>
      </c>
      <c r="P37" s="64">
        <v>0.88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1617</v>
      </c>
      <c r="B38" s="64">
        <v>22.16</v>
      </c>
      <c r="C38" s="64">
        <v>57.02</v>
      </c>
      <c r="D38" s="64">
        <v>46.18</v>
      </c>
      <c r="E38" s="64">
        <v>7.03</v>
      </c>
      <c r="F38" s="64">
        <v>2.13</v>
      </c>
      <c r="G38" s="64">
        <v>108.2</v>
      </c>
      <c r="H38" s="64">
        <v>44.09</v>
      </c>
      <c r="I38" s="210" t="s">
        <v>43</v>
      </c>
      <c r="J38" s="64">
        <v>1.66</v>
      </c>
      <c r="K38" s="64">
        <v>355.04</v>
      </c>
      <c r="L38" s="64">
        <v>12.72</v>
      </c>
      <c r="M38" s="64">
        <v>87.32</v>
      </c>
      <c r="N38" s="64">
        <v>116.9</v>
      </c>
      <c r="O38" s="64">
        <v>0</v>
      </c>
      <c r="P38" s="64">
        <v>0.91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1618</v>
      </c>
      <c r="B39" s="64">
        <v>24.61</v>
      </c>
      <c r="C39" s="64">
        <v>56.98</v>
      </c>
      <c r="D39" s="64">
        <v>48.12</v>
      </c>
      <c r="E39" s="64">
        <v>7.41</v>
      </c>
      <c r="F39" s="64">
        <v>2.13</v>
      </c>
      <c r="G39" s="64">
        <v>120.18</v>
      </c>
      <c r="H39" s="64">
        <v>46.3</v>
      </c>
      <c r="I39" s="210" t="s">
        <v>43</v>
      </c>
      <c r="J39" s="64">
        <v>1.65</v>
      </c>
      <c r="K39" s="64">
        <v>113.42</v>
      </c>
      <c r="L39" s="64">
        <v>12.98</v>
      </c>
      <c r="M39" s="64">
        <v>84.61</v>
      </c>
      <c r="N39" s="64">
        <v>141</v>
      </c>
      <c r="O39" s="64">
        <v>0</v>
      </c>
      <c r="P39" s="64">
        <v>0.94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1619</v>
      </c>
      <c r="B40" s="64">
        <v>25.21</v>
      </c>
      <c r="C40" s="64">
        <v>57.3</v>
      </c>
      <c r="D40" s="64">
        <v>48.77</v>
      </c>
      <c r="E40" s="64">
        <v>7.71</v>
      </c>
      <c r="F40" s="64">
        <v>2.13</v>
      </c>
      <c r="G40" s="64">
        <v>125.32</v>
      </c>
      <c r="H40" s="64">
        <v>47.24</v>
      </c>
      <c r="I40" s="210" t="s">
        <v>43</v>
      </c>
      <c r="J40" s="64">
        <v>2.19</v>
      </c>
      <c r="K40" s="64">
        <v>116.54</v>
      </c>
      <c r="L40" s="64">
        <v>13.29</v>
      </c>
      <c r="M40" s="64">
        <v>81.19</v>
      </c>
      <c r="N40" s="64">
        <v>178.2</v>
      </c>
      <c r="O40" s="64">
        <v>0</v>
      </c>
      <c r="P40" s="64">
        <v>0.96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1620</v>
      </c>
      <c r="B41" s="64">
        <v>25.09</v>
      </c>
      <c r="C41" s="64">
        <v>58.19</v>
      </c>
      <c r="D41" s="64">
        <v>49.14</v>
      </c>
      <c r="E41" s="64">
        <v>7.43</v>
      </c>
      <c r="F41" s="64">
        <v>2.13</v>
      </c>
      <c r="G41" s="64">
        <v>125.32</v>
      </c>
      <c r="H41" s="64">
        <v>47.24</v>
      </c>
      <c r="I41" s="210" t="s">
        <v>43</v>
      </c>
      <c r="J41" s="64">
        <v>2.2799999999999998</v>
      </c>
      <c r="K41" s="64">
        <v>108.38</v>
      </c>
      <c r="L41" s="64">
        <v>14.07</v>
      </c>
      <c r="M41" s="64">
        <v>75.349999999999994</v>
      </c>
      <c r="N41" s="64">
        <v>230.1</v>
      </c>
      <c r="O41" s="64">
        <v>0</v>
      </c>
      <c r="P41" s="64">
        <v>0.97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1621</v>
      </c>
      <c r="B42" s="64">
        <v>24.84</v>
      </c>
      <c r="C42" s="64">
        <v>58.57</v>
      </c>
      <c r="D42" s="64">
        <v>49.14</v>
      </c>
      <c r="E42" s="64">
        <v>7.16</v>
      </c>
      <c r="F42" s="64">
        <v>2.13</v>
      </c>
      <c r="G42" s="64">
        <v>125.32</v>
      </c>
      <c r="H42" s="64">
        <v>47.24</v>
      </c>
      <c r="I42" s="210" t="s">
        <v>43</v>
      </c>
      <c r="J42" s="64">
        <v>2.21</v>
      </c>
      <c r="K42" s="64">
        <v>113.19</v>
      </c>
      <c r="L42" s="64">
        <v>14.61</v>
      </c>
      <c r="M42" s="64">
        <v>69.87</v>
      </c>
      <c r="N42" s="64">
        <v>269.5</v>
      </c>
      <c r="O42" s="64">
        <v>0</v>
      </c>
      <c r="P42" s="64">
        <v>0.98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1622</v>
      </c>
      <c r="B43" s="64">
        <v>23.97</v>
      </c>
      <c r="C43" s="64">
        <v>58.43</v>
      </c>
      <c r="D43" s="64">
        <v>48.38</v>
      </c>
      <c r="E43" s="64">
        <v>6.59</v>
      </c>
      <c r="F43" s="64">
        <v>2.13</v>
      </c>
      <c r="G43" s="64">
        <v>111.68</v>
      </c>
      <c r="H43" s="64">
        <v>45.39</v>
      </c>
      <c r="I43" s="210" t="s">
        <v>43</v>
      </c>
      <c r="J43" s="64">
        <v>1.64</v>
      </c>
      <c r="K43" s="64">
        <v>116.95</v>
      </c>
      <c r="L43" s="64">
        <v>15.35</v>
      </c>
      <c r="M43" s="64">
        <v>67.489999999999995</v>
      </c>
      <c r="N43" s="64">
        <v>310.5</v>
      </c>
      <c r="O43" s="64">
        <v>0</v>
      </c>
      <c r="P43" s="64">
        <v>0.97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1623</v>
      </c>
      <c r="B44" s="64">
        <v>23.41</v>
      </c>
      <c r="C44" s="64">
        <v>58.83</v>
      </c>
      <c r="D44" s="64">
        <v>48.13</v>
      </c>
      <c r="E44" s="64">
        <v>6.64</v>
      </c>
      <c r="F44" s="64">
        <v>2.13</v>
      </c>
      <c r="G44" s="64">
        <v>105.84</v>
      </c>
      <c r="H44" s="64">
        <v>44.55</v>
      </c>
      <c r="I44" s="210" t="s">
        <v>43</v>
      </c>
      <c r="J44" s="64">
        <v>1.07</v>
      </c>
      <c r="K44" s="64">
        <v>92.69</v>
      </c>
      <c r="L44" s="64">
        <v>16.64</v>
      </c>
      <c r="M44" s="64">
        <v>63.11</v>
      </c>
      <c r="N44" s="64">
        <v>336.8</v>
      </c>
      <c r="O44" s="64">
        <v>0</v>
      </c>
      <c r="P44" s="64">
        <v>0.96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1624</v>
      </c>
      <c r="B45" s="64">
        <v>22.95</v>
      </c>
      <c r="C45" s="64">
        <v>59.5</v>
      </c>
      <c r="D45" s="64">
        <v>48.11</v>
      </c>
      <c r="E45" s="64">
        <v>6.83</v>
      </c>
      <c r="F45" s="64">
        <v>2.13</v>
      </c>
      <c r="G45" s="64">
        <v>105.84</v>
      </c>
      <c r="H45" s="64">
        <v>44.55</v>
      </c>
      <c r="I45" s="210" t="s">
        <v>43</v>
      </c>
      <c r="J45" s="64">
        <v>1.98</v>
      </c>
      <c r="K45" s="64">
        <v>112.89</v>
      </c>
      <c r="L45" s="64">
        <v>16.75</v>
      </c>
      <c r="M45" s="64">
        <v>64.38</v>
      </c>
      <c r="N45" s="64">
        <v>372.2</v>
      </c>
      <c r="O45" s="64">
        <v>0</v>
      </c>
      <c r="P45" s="64">
        <v>0.96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1625</v>
      </c>
      <c r="B46" s="64">
        <v>22</v>
      </c>
      <c r="C46" s="64">
        <v>60.05</v>
      </c>
      <c r="D46" s="64">
        <v>47.61</v>
      </c>
      <c r="E46" s="64">
        <v>7.07</v>
      </c>
      <c r="F46" s="64">
        <v>2.13</v>
      </c>
      <c r="G46" s="64">
        <v>105.84</v>
      </c>
      <c r="H46" s="64">
        <v>44.55</v>
      </c>
      <c r="I46" s="210" t="s">
        <v>43</v>
      </c>
      <c r="J46" s="64">
        <v>3.26</v>
      </c>
      <c r="K46" s="64">
        <v>119.41</v>
      </c>
      <c r="L46" s="64">
        <v>16.690000000000001</v>
      </c>
      <c r="M46" s="64">
        <v>64.19</v>
      </c>
      <c r="N46" s="64">
        <v>418.2</v>
      </c>
      <c r="O46" s="64">
        <v>0</v>
      </c>
      <c r="P46" s="64">
        <v>0.94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1626</v>
      </c>
      <c r="B47" s="64">
        <v>20.420000000000002</v>
      </c>
      <c r="C47" s="64">
        <v>60.23</v>
      </c>
      <c r="D47" s="64">
        <v>46.47</v>
      </c>
      <c r="E47" s="64">
        <v>6.79</v>
      </c>
      <c r="F47" s="64">
        <v>2.13</v>
      </c>
      <c r="G47" s="64">
        <v>101.92</v>
      </c>
      <c r="H47" s="64">
        <v>41.98</v>
      </c>
      <c r="I47" s="210" t="s">
        <v>43</v>
      </c>
      <c r="J47" s="64">
        <v>1.86</v>
      </c>
      <c r="K47" s="64">
        <v>123.97</v>
      </c>
      <c r="L47" s="64">
        <v>17.170000000000002</v>
      </c>
      <c r="M47" s="64">
        <v>63.37</v>
      </c>
      <c r="N47" s="64">
        <v>399.6</v>
      </c>
      <c r="O47" s="64">
        <v>0</v>
      </c>
      <c r="P47" s="64">
        <v>0.93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1627</v>
      </c>
      <c r="B48" s="64">
        <v>19.260000000000002</v>
      </c>
      <c r="C48" s="64">
        <v>60.83</v>
      </c>
      <c r="D48" s="64">
        <v>45.85</v>
      </c>
      <c r="E48" s="64">
        <v>6.29</v>
      </c>
      <c r="F48" s="64">
        <v>2.13</v>
      </c>
      <c r="G48" s="64">
        <v>100.15</v>
      </c>
      <c r="H48" s="64">
        <v>40.869999999999997</v>
      </c>
      <c r="I48" s="210" t="s">
        <v>43</v>
      </c>
      <c r="J48" s="64">
        <v>2.84</v>
      </c>
      <c r="K48" s="64">
        <v>117.45</v>
      </c>
      <c r="L48" s="64">
        <v>18.47</v>
      </c>
      <c r="M48" s="64">
        <v>58.3</v>
      </c>
      <c r="N48" s="64">
        <v>461.4</v>
      </c>
      <c r="O48" s="64">
        <v>0</v>
      </c>
      <c r="P48" s="64">
        <v>0.93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1628</v>
      </c>
      <c r="B49" s="64">
        <v>17.82</v>
      </c>
      <c r="C49" s="64">
        <v>59.91</v>
      </c>
      <c r="D49" s="64">
        <v>44.22</v>
      </c>
      <c r="E49" s="64">
        <v>6.62</v>
      </c>
      <c r="F49" s="64">
        <v>2.13</v>
      </c>
      <c r="G49" s="64">
        <v>100.15</v>
      </c>
      <c r="H49" s="64">
        <v>40.869999999999997</v>
      </c>
      <c r="I49" s="210" t="s">
        <v>43</v>
      </c>
      <c r="J49" s="64">
        <v>2.37</v>
      </c>
      <c r="K49" s="64">
        <v>118.91</v>
      </c>
      <c r="L49" s="64">
        <v>18.559999999999999</v>
      </c>
      <c r="M49" s="64">
        <v>58.07</v>
      </c>
      <c r="N49" s="64">
        <v>449.5</v>
      </c>
      <c r="O49" s="64">
        <v>0</v>
      </c>
      <c r="P49" s="64">
        <v>0.91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1629</v>
      </c>
      <c r="B50" s="64">
        <v>16.18</v>
      </c>
      <c r="C50" s="64">
        <v>58.08</v>
      </c>
      <c r="D50" s="64">
        <v>41.94</v>
      </c>
      <c r="E50" s="64">
        <v>6.2</v>
      </c>
      <c r="F50" s="64">
        <v>2.13</v>
      </c>
      <c r="G50" s="64">
        <v>100.15</v>
      </c>
      <c r="H50" s="64">
        <v>40.869999999999997</v>
      </c>
      <c r="I50" s="210" t="s">
        <v>43</v>
      </c>
      <c r="J50" s="64">
        <v>2.4</v>
      </c>
      <c r="K50" s="64">
        <v>120.32</v>
      </c>
      <c r="L50" s="64">
        <v>18.93</v>
      </c>
      <c r="M50" s="64">
        <v>56.74</v>
      </c>
      <c r="N50" s="64">
        <v>428.1</v>
      </c>
      <c r="O50" s="64">
        <v>0</v>
      </c>
      <c r="P50" s="64">
        <v>0.89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1630</v>
      </c>
      <c r="B51" s="64">
        <v>14.78</v>
      </c>
      <c r="C51" s="64">
        <v>58.79</v>
      </c>
      <c r="D51" s="64">
        <v>41.2</v>
      </c>
      <c r="E51" s="64">
        <v>6.36</v>
      </c>
      <c r="F51" s="64">
        <v>2.13</v>
      </c>
      <c r="G51" s="64">
        <v>96.59</v>
      </c>
      <c r="H51" s="64">
        <v>40.130000000000003</v>
      </c>
      <c r="I51" s="210" t="s">
        <v>43</v>
      </c>
      <c r="J51" s="64">
        <v>2.7</v>
      </c>
      <c r="K51" s="64">
        <v>120.02</v>
      </c>
      <c r="L51" s="64">
        <v>19.579999999999998</v>
      </c>
      <c r="M51" s="64">
        <v>54.52</v>
      </c>
      <c r="N51" s="64">
        <v>495</v>
      </c>
      <c r="O51" s="64">
        <v>0</v>
      </c>
      <c r="P51" s="64">
        <v>0.88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1631</v>
      </c>
      <c r="B52" s="64">
        <v>13.47</v>
      </c>
      <c r="C52" s="64">
        <v>58.95</v>
      </c>
      <c r="D52" s="64">
        <v>40.22</v>
      </c>
      <c r="E52" s="64">
        <v>5.8</v>
      </c>
      <c r="F52" s="64">
        <v>2.13</v>
      </c>
      <c r="G52" s="64">
        <v>95.07</v>
      </c>
      <c r="H52" s="64">
        <v>39.82</v>
      </c>
      <c r="I52" s="210" t="s">
        <v>43</v>
      </c>
      <c r="J52" s="64">
        <v>2.76</v>
      </c>
      <c r="K52" s="64">
        <v>115.83</v>
      </c>
      <c r="L52" s="64">
        <v>19.899999999999999</v>
      </c>
      <c r="M52" s="64">
        <v>52.36</v>
      </c>
      <c r="N52" s="64">
        <v>493.6</v>
      </c>
      <c r="O52" s="64">
        <v>0</v>
      </c>
      <c r="P52" s="64">
        <v>0.87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1632</v>
      </c>
      <c r="B53" s="64">
        <v>11.86</v>
      </c>
      <c r="C53" s="64">
        <v>58.9</v>
      </c>
      <c r="D53" s="64">
        <v>38.9</v>
      </c>
      <c r="E53" s="64">
        <v>6.38</v>
      </c>
      <c r="F53" s="64">
        <v>2.13</v>
      </c>
      <c r="G53" s="64">
        <v>95.07</v>
      </c>
      <c r="H53" s="64">
        <v>39.82</v>
      </c>
      <c r="I53" s="210" t="s">
        <v>43</v>
      </c>
      <c r="J53" s="64">
        <v>1.84</v>
      </c>
      <c r="K53" s="64">
        <v>103.24</v>
      </c>
      <c r="L53" s="64">
        <v>20.55</v>
      </c>
      <c r="M53" s="64">
        <v>50.32</v>
      </c>
      <c r="N53" s="64">
        <v>445</v>
      </c>
      <c r="O53" s="64">
        <v>0</v>
      </c>
      <c r="P53" s="64">
        <v>0.85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1633</v>
      </c>
      <c r="B54" s="64">
        <v>10.51</v>
      </c>
      <c r="C54" s="64">
        <v>58.78</v>
      </c>
      <c r="D54" s="64">
        <v>37.76</v>
      </c>
      <c r="E54" s="64">
        <v>6.48</v>
      </c>
      <c r="F54" s="64">
        <v>2.13</v>
      </c>
      <c r="G54" s="64">
        <v>95.07</v>
      </c>
      <c r="H54" s="64">
        <v>39.82</v>
      </c>
      <c r="I54" s="210" t="s">
        <v>43</v>
      </c>
      <c r="J54" s="64">
        <v>3.19</v>
      </c>
      <c r="K54" s="64">
        <v>114.03</v>
      </c>
      <c r="L54" s="64">
        <v>20.14</v>
      </c>
      <c r="M54" s="64">
        <v>49.68</v>
      </c>
      <c r="N54" s="64">
        <v>484.6</v>
      </c>
      <c r="O54" s="64">
        <v>0</v>
      </c>
      <c r="P54" s="64">
        <v>0.83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1634</v>
      </c>
      <c r="B55" s="64">
        <v>9.1300000000000008</v>
      </c>
      <c r="C55" s="64">
        <v>58.77</v>
      </c>
      <c r="D55" s="64">
        <v>36.659999999999997</v>
      </c>
      <c r="E55" s="64">
        <v>6.31</v>
      </c>
      <c r="F55" s="64">
        <v>2.13</v>
      </c>
      <c r="G55" s="64">
        <v>86.63</v>
      </c>
      <c r="H55" s="64">
        <v>40.06</v>
      </c>
      <c r="I55" s="210" t="s">
        <v>43</v>
      </c>
      <c r="J55" s="64">
        <v>2.4500000000000002</v>
      </c>
      <c r="K55" s="64">
        <v>120.33</v>
      </c>
      <c r="L55" s="64">
        <v>20.93</v>
      </c>
      <c r="M55" s="64">
        <v>47.01</v>
      </c>
      <c r="N55" s="64">
        <v>554.4</v>
      </c>
      <c r="O55" s="64">
        <v>0</v>
      </c>
      <c r="P55" s="64">
        <v>0.81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1635</v>
      </c>
      <c r="B56" s="64">
        <v>8.09</v>
      </c>
      <c r="C56" s="64">
        <v>58.68</v>
      </c>
      <c r="D56" s="64">
        <v>35.770000000000003</v>
      </c>
      <c r="E56" s="64">
        <v>6.68</v>
      </c>
      <c r="F56" s="64">
        <v>2.13</v>
      </c>
      <c r="G56" s="64">
        <v>83.01</v>
      </c>
      <c r="H56" s="64">
        <v>40.159999999999997</v>
      </c>
      <c r="I56" s="210" t="s">
        <v>43</v>
      </c>
      <c r="J56" s="64">
        <v>1.46</v>
      </c>
      <c r="K56" s="64">
        <v>107.26</v>
      </c>
      <c r="L56" s="64">
        <v>22.08</v>
      </c>
      <c r="M56" s="64">
        <v>43.34</v>
      </c>
      <c r="N56" s="64">
        <v>578.20000000000005</v>
      </c>
      <c r="O56" s="64">
        <v>0</v>
      </c>
      <c r="P56" s="64">
        <v>0.79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1636</v>
      </c>
      <c r="B57" s="64">
        <v>7.3</v>
      </c>
      <c r="C57" s="64">
        <v>59.65</v>
      </c>
      <c r="D57" s="64">
        <v>35.64</v>
      </c>
      <c r="E57" s="64">
        <v>6.5</v>
      </c>
      <c r="F57" s="64">
        <v>2.13</v>
      </c>
      <c r="G57" s="64">
        <v>83.01</v>
      </c>
      <c r="H57" s="64">
        <v>40.159999999999997</v>
      </c>
      <c r="I57" s="210" t="s">
        <v>43</v>
      </c>
      <c r="J57" s="64">
        <v>0.92</v>
      </c>
      <c r="K57" s="64">
        <v>82.69</v>
      </c>
      <c r="L57" s="64">
        <v>22.95</v>
      </c>
      <c r="M57" s="64">
        <v>40.94</v>
      </c>
      <c r="N57" s="64">
        <v>555.20000000000005</v>
      </c>
      <c r="O57" s="64">
        <v>0</v>
      </c>
      <c r="P57" s="64">
        <v>0.78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1637</v>
      </c>
      <c r="B58" s="64">
        <v>6.37</v>
      </c>
      <c r="C58" s="64">
        <v>60.54</v>
      </c>
      <c r="D58" s="64">
        <v>35.36</v>
      </c>
      <c r="E58" s="64">
        <v>6.96</v>
      </c>
      <c r="F58" s="64">
        <v>2.13</v>
      </c>
      <c r="G58" s="64">
        <v>83.01</v>
      </c>
      <c r="H58" s="64">
        <v>40.159999999999997</v>
      </c>
      <c r="I58" s="210" t="s">
        <v>43</v>
      </c>
      <c r="J58" s="64">
        <v>2.81</v>
      </c>
      <c r="K58" s="64">
        <v>127.35</v>
      </c>
      <c r="L58" s="64">
        <v>21.9</v>
      </c>
      <c r="M58" s="64">
        <v>41.65</v>
      </c>
      <c r="N58" s="64">
        <v>574.29999999999995</v>
      </c>
      <c r="O58" s="64">
        <v>0</v>
      </c>
      <c r="P58" s="64">
        <v>0.77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1638</v>
      </c>
      <c r="B59" s="64">
        <v>5.36</v>
      </c>
      <c r="C59" s="64">
        <v>60.3</v>
      </c>
      <c r="D59" s="64">
        <v>34.43</v>
      </c>
      <c r="E59" s="64">
        <v>6.63</v>
      </c>
      <c r="F59" s="64">
        <v>2.13</v>
      </c>
      <c r="G59" s="64">
        <v>76.89</v>
      </c>
      <c r="H59" s="64">
        <v>37.64</v>
      </c>
      <c r="I59" s="210" t="s">
        <v>43</v>
      </c>
      <c r="J59" s="64">
        <v>1.55</v>
      </c>
      <c r="K59" s="64">
        <v>339.4</v>
      </c>
      <c r="L59" s="64">
        <v>23.52</v>
      </c>
      <c r="M59" s="64">
        <v>38.28</v>
      </c>
      <c r="N59" s="64">
        <v>458.1</v>
      </c>
      <c r="O59" s="64">
        <v>0</v>
      </c>
      <c r="P59" s="64">
        <v>0.75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1639</v>
      </c>
      <c r="B60" s="64">
        <v>5.16</v>
      </c>
      <c r="C60" s="64">
        <v>61.14</v>
      </c>
      <c r="D60" s="64">
        <v>34.71</v>
      </c>
      <c r="E60" s="64">
        <v>6.59</v>
      </c>
      <c r="F60" s="64">
        <v>2.13</v>
      </c>
      <c r="G60" s="64">
        <v>74.27</v>
      </c>
      <c r="H60" s="64">
        <v>36.5</v>
      </c>
      <c r="I60" s="210" t="s">
        <v>43</v>
      </c>
      <c r="J60" s="64">
        <v>1.22</v>
      </c>
      <c r="K60" s="64">
        <v>95.99</v>
      </c>
      <c r="L60" s="64">
        <v>23.31</v>
      </c>
      <c r="M60" s="64">
        <v>36.99</v>
      </c>
      <c r="N60" s="64">
        <v>488.2</v>
      </c>
      <c r="O60" s="64">
        <v>0</v>
      </c>
      <c r="P60" s="64">
        <v>0.74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1640</v>
      </c>
      <c r="B61" s="64">
        <v>5.04</v>
      </c>
      <c r="C61" s="64">
        <v>61.5</v>
      </c>
      <c r="D61" s="64">
        <v>34.799999999999997</v>
      </c>
      <c r="E61" s="64">
        <v>6.52</v>
      </c>
      <c r="F61" s="64">
        <v>2.13</v>
      </c>
      <c r="G61" s="64">
        <v>74.27</v>
      </c>
      <c r="H61" s="64">
        <v>36.5</v>
      </c>
      <c r="I61" s="210" t="s">
        <v>43</v>
      </c>
      <c r="J61" s="64">
        <v>1.63</v>
      </c>
      <c r="K61" s="64">
        <v>339.82</v>
      </c>
      <c r="L61" s="64">
        <v>23.95</v>
      </c>
      <c r="M61" s="64">
        <v>35.68</v>
      </c>
      <c r="N61" s="64">
        <v>488.8</v>
      </c>
      <c r="O61" s="64">
        <v>0</v>
      </c>
      <c r="P61" s="64">
        <v>0.74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1641</v>
      </c>
      <c r="B62" s="64">
        <v>4.74</v>
      </c>
      <c r="C62" s="64">
        <v>61.73</v>
      </c>
      <c r="D62" s="64">
        <v>34.68</v>
      </c>
      <c r="E62" s="64">
        <v>6.38</v>
      </c>
      <c r="F62" s="64">
        <v>2.13</v>
      </c>
      <c r="G62" s="64">
        <v>74.27</v>
      </c>
      <c r="H62" s="64">
        <v>36.5</v>
      </c>
      <c r="I62" s="210" t="s">
        <v>43</v>
      </c>
      <c r="J62" s="64">
        <v>0.18</v>
      </c>
      <c r="K62" s="64">
        <v>202.14</v>
      </c>
      <c r="L62" s="64">
        <v>23.89</v>
      </c>
      <c r="M62" s="64">
        <v>33.53</v>
      </c>
      <c r="N62" s="64">
        <v>527</v>
      </c>
      <c r="O62" s="64">
        <v>0</v>
      </c>
      <c r="P62" s="64">
        <v>0.76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1642</v>
      </c>
      <c r="B63" s="64">
        <v>4.24</v>
      </c>
      <c r="C63" s="64">
        <v>60.89</v>
      </c>
      <c r="D63" s="64">
        <v>33.840000000000003</v>
      </c>
      <c r="E63" s="64">
        <v>6.61</v>
      </c>
      <c r="F63" s="64">
        <v>2.13</v>
      </c>
      <c r="G63" s="64">
        <v>70.16</v>
      </c>
      <c r="H63" s="64">
        <v>33.880000000000003</v>
      </c>
      <c r="I63" s="210" t="s">
        <v>43</v>
      </c>
      <c r="J63" s="64">
        <v>1.25</v>
      </c>
      <c r="K63" s="64">
        <v>117.95</v>
      </c>
      <c r="L63" s="64">
        <v>23.25</v>
      </c>
      <c r="M63" s="64">
        <v>35.380000000000003</v>
      </c>
      <c r="N63" s="64">
        <v>471</v>
      </c>
      <c r="O63" s="64">
        <v>0</v>
      </c>
      <c r="P63" s="64">
        <v>0.74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1643</v>
      </c>
      <c r="B64" s="64">
        <v>3.91</v>
      </c>
      <c r="C64" s="64">
        <v>59.82</v>
      </c>
      <c r="D64" s="64">
        <v>33.01</v>
      </c>
      <c r="E64" s="64">
        <v>6.16</v>
      </c>
      <c r="F64" s="64">
        <v>2.13</v>
      </c>
      <c r="G64" s="64">
        <v>68.400000000000006</v>
      </c>
      <c r="H64" s="64">
        <v>32.75</v>
      </c>
      <c r="I64" s="210" t="s">
        <v>43</v>
      </c>
      <c r="J64" s="64">
        <v>1.69</v>
      </c>
      <c r="K64" s="64">
        <v>137.24</v>
      </c>
      <c r="L64" s="64">
        <v>22.76</v>
      </c>
      <c r="M64" s="64">
        <v>35.4</v>
      </c>
      <c r="N64" s="64">
        <v>374.8</v>
      </c>
      <c r="O64" s="64">
        <v>0</v>
      </c>
      <c r="P64" s="64">
        <v>0.71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1644</v>
      </c>
      <c r="B65" s="64">
        <v>3.68</v>
      </c>
      <c r="C65" s="64">
        <v>58.57</v>
      </c>
      <c r="D65" s="64">
        <v>32.18</v>
      </c>
      <c r="E65" s="64">
        <v>6.19</v>
      </c>
      <c r="F65" s="64">
        <v>2.13</v>
      </c>
      <c r="G65" s="64">
        <v>68.400000000000006</v>
      </c>
      <c r="H65" s="64">
        <v>32.75</v>
      </c>
      <c r="I65" s="210" t="s">
        <v>43</v>
      </c>
      <c r="J65" s="64">
        <v>0.53</v>
      </c>
      <c r="K65" s="64">
        <v>283.19</v>
      </c>
      <c r="L65" s="64">
        <v>23.67</v>
      </c>
      <c r="M65" s="64">
        <v>33.6</v>
      </c>
      <c r="N65" s="64">
        <v>314.8</v>
      </c>
      <c r="O65" s="64">
        <v>0</v>
      </c>
      <c r="P65" s="64">
        <v>0.7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1645</v>
      </c>
      <c r="B66" s="64">
        <v>3.56</v>
      </c>
      <c r="C66" s="64">
        <v>56.36</v>
      </c>
      <c r="D66" s="64">
        <v>30.93</v>
      </c>
      <c r="E66" s="64">
        <v>5.92</v>
      </c>
      <c r="F66" s="64">
        <v>2.13</v>
      </c>
      <c r="G66" s="64">
        <v>68.400000000000006</v>
      </c>
      <c r="H66" s="64">
        <v>32.75</v>
      </c>
      <c r="I66" s="210" t="s">
        <v>43</v>
      </c>
      <c r="J66" s="64">
        <v>0.77</v>
      </c>
      <c r="K66" s="64">
        <v>98.3</v>
      </c>
      <c r="L66" s="64">
        <v>22.72</v>
      </c>
      <c r="M66" s="64">
        <v>35.57</v>
      </c>
      <c r="N66" s="64">
        <v>283.8</v>
      </c>
      <c r="O66" s="64">
        <v>0</v>
      </c>
      <c r="P66" s="64">
        <v>0.69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1646</v>
      </c>
      <c r="B67" s="64">
        <v>3.73</v>
      </c>
      <c r="C67" s="64">
        <v>54.28</v>
      </c>
      <c r="D67" s="64">
        <v>29.97</v>
      </c>
      <c r="E67" s="64">
        <v>6.01</v>
      </c>
      <c r="F67" s="64">
        <v>2.13</v>
      </c>
      <c r="G67" s="64">
        <v>63.06</v>
      </c>
      <c r="H67" s="64">
        <v>31.07</v>
      </c>
      <c r="I67" s="210" t="s">
        <v>43</v>
      </c>
      <c r="J67" s="64">
        <v>2.0699999999999998</v>
      </c>
      <c r="K67" s="64">
        <v>113.73</v>
      </c>
      <c r="L67" s="64">
        <v>22.11</v>
      </c>
      <c r="M67" s="64">
        <v>35.869999999999997</v>
      </c>
      <c r="N67" s="64">
        <v>198.2</v>
      </c>
      <c r="O67" s="64">
        <v>0</v>
      </c>
      <c r="P67" s="64">
        <v>0.67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1647</v>
      </c>
      <c r="B68" s="64">
        <v>4.0999999999999996</v>
      </c>
      <c r="C68" s="64">
        <v>54.23</v>
      </c>
      <c r="D68" s="64">
        <v>30.24</v>
      </c>
      <c r="E68" s="64">
        <v>6.13</v>
      </c>
      <c r="F68" s="64">
        <v>2.13</v>
      </c>
      <c r="G68" s="64">
        <v>60.65</v>
      </c>
      <c r="H68" s="64">
        <v>30.35</v>
      </c>
      <c r="I68" s="210" t="s">
        <v>43</v>
      </c>
      <c r="J68" s="64">
        <v>2.13</v>
      </c>
      <c r="K68" s="64">
        <v>344.98</v>
      </c>
      <c r="L68" s="64">
        <v>22.63</v>
      </c>
      <c r="M68" s="64">
        <v>35.340000000000003</v>
      </c>
      <c r="N68" s="64">
        <v>237.4</v>
      </c>
      <c r="O68" s="64">
        <v>0</v>
      </c>
      <c r="P68" s="64">
        <v>0.68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1648</v>
      </c>
      <c r="B69" s="64">
        <v>4.5199999999999996</v>
      </c>
      <c r="C69" s="64">
        <v>54.69</v>
      </c>
      <c r="D69" s="64">
        <v>30.82</v>
      </c>
      <c r="E69" s="64">
        <v>5.47</v>
      </c>
      <c r="F69" s="64">
        <v>2.13</v>
      </c>
      <c r="G69" s="64">
        <v>60.65</v>
      </c>
      <c r="H69" s="64">
        <v>30.35</v>
      </c>
      <c r="I69" s="210" t="s">
        <v>43</v>
      </c>
      <c r="J69" s="64">
        <v>1.24</v>
      </c>
      <c r="K69" s="64">
        <v>98.29</v>
      </c>
      <c r="L69" s="64">
        <v>22.39</v>
      </c>
      <c r="M69" s="64">
        <v>35.19</v>
      </c>
      <c r="N69" s="64">
        <v>187.8</v>
      </c>
      <c r="O69" s="64">
        <v>0</v>
      </c>
      <c r="P69" s="64">
        <v>0.67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1649</v>
      </c>
      <c r="B70" s="64">
        <v>4.72</v>
      </c>
      <c r="C70" s="64">
        <v>54.4</v>
      </c>
      <c r="D70" s="64">
        <v>30.83</v>
      </c>
      <c r="E70" s="64">
        <v>5.74</v>
      </c>
      <c r="F70" s="64">
        <v>2.13</v>
      </c>
      <c r="G70" s="64">
        <v>60.65</v>
      </c>
      <c r="H70" s="64">
        <v>30.35</v>
      </c>
      <c r="I70" s="210" t="s">
        <v>43</v>
      </c>
      <c r="J70" s="64">
        <v>2.36</v>
      </c>
      <c r="K70" s="64">
        <v>115.87</v>
      </c>
      <c r="L70" s="64">
        <v>21.33</v>
      </c>
      <c r="M70" s="64">
        <v>37.17</v>
      </c>
      <c r="N70" s="64">
        <v>174</v>
      </c>
      <c r="O70" s="64">
        <v>0</v>
      </c>
      <c r="P70" s="64">
        <v>0.66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1650</v>
      </c>
      <c r="B71" s="64">
        <v>4.7</v>
      </c>
      <c r="C71" s="64">
        <v>54.18</v>
      </c>
      <c r="D71" s="64">
        <v>30.7</v>
      </c>
      <c r="E71" s="64">
        <v>6.05</v>
      </c>
      <c r="F71" s="64">
        <v>2.13</v>
      </c>
      <c r="G71" s="64">
        <v>58.24</v>
      </c>
      <c r="H71" s="64">
        <v>29.53</v>
      </c>
      <c r="I71" s="210" t="s">
        <v>43</v>
      </c>
      <c r="J71" s="64">
        <v>1.97</v>
      </c>
      <c r="K71" s="64">
        <v>342.73</v>
      </c>
      <c r="L71" s="64">
        <v>22.04</v>
      </c>
      <c r="M71" s="64">
        <v>36.97</v>
      </c>
      <c r="N71" s="64">
        <v>162.9</v>
      </c>
      <c r="O71" s="64">
        <v>0</v>
      </c>
      <c r="P71" s="64">
        <v>0.69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1651</v>
      </c>
      <c r="B72" s="64">
        <v>5.09</v>
      </c>
      <c r="C72" s="64">
        <v>55.23</v>
      </c>
      <c r="D72" s="64">
        <v>31.56</v>
      </c>
      <c r="E72" s="64">
        <v>5</v>
      </c>
      <c r="F72" s="64">
        <v>2.13</v>
      </c>
      <c r="G72" s="64">
        <v>57.21</v>
      </c>
      <c r="H72" s="64">
        <v>29.18</v>
      </c>
      <c r="I72" s="210" t="s">
        <v>43</v>
      </c>
      <c r="J72" s="64">
        <v>1.56</v>
      </c>
      <c r="K72" s="64">
        <v>344.93</v>
      </c>
      <c r="L72" s="64">
        <v>22.05</v>
      </c>
      <c r="M72" s="64">
        <v>37.65</v>
      </c>
      <c r="N72" s="64">
        <v>123.8</v>
      </c>
      <c r="O72" s="64">
        <v>0</v>
      </c>
      <c r="P72" s="64">
        <v>0.67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1652</v>
      </c>
      <c r="B73" s="64">
        <v>5.46</v>
      </c>
      <c r="C73" s="64">
        <v>56.15</v>
      </c>
      <c r="D73" s="64">
        <v>32.340000000000003</v>
      </c>
      <c r="E73" s="64">
        <v>5.36</v>
      </c>
      <c r="F73" s="64">
        <v>2.13</v>
      </c>
      <c r="G73" s="64">
        <v>57.21</v>
      </c>
      <c r="H73" s="64">
        <v>29.18</v>
      </c>
      <c r="I73" s="210" t="s">
        <v>43</v>
      </c>
      <c r="J73" s="64">
        <v>0.92</v>
      </c>
      <c r="K73" s="64">
        <v>6.12</v>
      </c>
      <c r="L73" s="64">
        <v>21.38</v>
      </c>
      <c r="M73" s="64">
        <v>39.28</v>
      </c>
      <c r="N73" s="64">
        <v>140.19999999999999</v>
      </c>
      <c r="O73" s="64">
        <v>0</v>
      </c>
      <c r="P73" s="64">
        <v>0.68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1653</v>
      </c>
      <c r="B74" s="64">
        <v>5.92</v>
      </c>
      <c r="C74" s="64">
        <v>58.1</v>
      </c>
      <c r="D74" s="64">
        <v>33.729999999999997</v>
      </c>
      <c r="E74" s="64">
        <v>5.77</v>
      </c>
      <c r="F74" s="64">
        <v>2.13</v>
      </c>
      <c r="G74" s="64">
        <v>57.21</v>
      </c>
      <c r="H74" s="64">
        <v>29.18</v>
      </c>
      <c r="I74" s="210" t="s">
        <v>43</v>
      </c>
      <c r="J74" s="64">
        <v>2.0299999999999998</v>
      </c>
      <c r="K74" s="64">
        <v>344.72</v>
      </c>
      <c r="L74" s="64">
        <v>21.56</v>
      </c>
      <c r="M74" s="64">
        <v>39.450000000000003</v>
      </c>
      <c r="N74" s="64">
        <v>119.9</v>
      </c>
      <c r="O74" s="64">
        <v>0</v>
      </c>
      <c r="P74" s="64">
        <v>0.68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1654</v>
      </c>
      <c r="B75" s="64">
        <v>6.61</v>
      </c>
      <c r="C75" s="64">
        <v>60.95</v>
      </c>
      <c r="D75" s="64">
        <v>35.770000000000003</v>
      </c>
      <c r="E75" s="64">
        <v>6.3</v>
      </c>
      <c r="F75" s="64">
        <v>2.13</v>
      </c>
      <c r="G75" s="64">
        <v>60.86</v>
      </c>
      <c r="H75" s="64">
        <v>28.17</v>
      </c>
      <c r="I75" s="210" t="s">
        <v>43</v>
      </c>
      <c r="J75" s="64">
        <v>1.99</v>
      </c>
      <c r="K75" s="64">
        <v>350.23</v>
      </c>
      <c r="L75" s="64">
        <v>21.18</v>
      </c>
      <c r="M75" s="64">
        <v>40.6</v>
      </c>
      <c r="N75" s="64">
        <v>95</v>
      </c>
      <c r="O75" s="64">
        <v>0</v>
      </c>
      <c r="P75" s="64">
        <v>0.7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1655</v>
      </c>
      <c r="B76" s="64">
        <v>7.58</v>
      </c>
      <c r="C76" s="64">
        <v>63.14</v>
      </c>
      <c r="D76" s="64">
        <v>37.69</v>
      </c>
      <c r="E76" s="64">
        <v>6.19</v>
      </c>
      <c r="F76" s="64">
        <v>2.13</v>
      </c>
      <c r="G76" s="64">
        <v>62.42</v>
      </c>
      <c r="H76" s="64">
        <v>27.71</v>
      </c>
      <c r="I76" s="210" t="s">
        <v>43</v>
      </c>
      <c r="J76" s="64">
        <v>2.06</v>
      </c>
      <c r="K76" s="64">
        <v>350.92</v>
      </c>
      <c r="L76" s="64">
        <v>20.67</v>
      </c>
      <c r="M76" s="64">
        <v>41.41</v>
      </c>
      <c r="N76" s="64">
        <v>95.3</v>
      </c>
      <c r="O76" s="64">
        <v>0</v>
      </c>
      <c r="P76" s="64">
        <v>0.71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1656</v>
      </c>
      <c r="B77" s="64">
        <v>8.5399999999999991</v>
      </c>
      <c r="C77" s="64">
        <v>65.34</v>
      </c>
      <c r="D77" s="64">
        <v>39.61</v>
      </c>
      <c r="E77" s="64">
        <v>6.11</v>
      </c>
      <c r="F77" s="64">
        <v>2.13</v>
      </c>
      <c r="G77" s="64">
        <v>62.42</v>
      </c>
      <c r="H77" s="64">
        <v>27.71</v>
      </c>
      <c r="I77" s="210" t="s">
        <v>43</v>
      </c>
      <c r="J77" s="64">
        <v>0.75</v>
      </c>
      <c r="K77" s="64">
        <v>76.17</v>
      </c>
      <c r="L77" s="64">
        <v>20.309999999999999</v>
      </c>
      <c r="M77" s="64">
        <v>42.82</v>
      </c>
      <c r="N77" s="64">
        <v>88.8</v>
      </c>
      <c r="O77" s="64">
        <v>0</v>
      </c>
      <c r="P77" s="64">
        <v>0.73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1657</v>
      </c>
      <c r="B78" s="64">
        <v>8.99</v>
      </c>
      <c r="C78" s="64">
        <v>66.33</v>
      </c>
      <c r="D78" s="64">
        <v>40.49</v>
      </c>
      <c r="E78" s="64">
        <v>6.13</v>
      </c>
      <c r="F78" s="64">
        <v>2.13</v>
      </c>
      <c r="G78" s="64">
        <v>62.42</v>
      </c>
      <c r="H78" s="64">
        <v>27.71</v>
      </c>
      <c r="I78" s="210" t="s">
        <v>43</v>
      </c>
      <c r="J78" s="64">
        <v>0.28000000000000003</v>
      </c>
      <c r="K78" s="64">
        <v>83.8</v>
      </c>
      <c r="L78" s="64">
        <v>19.739999999999998</v>
      </c>
      <c r="M78" s="64">
        <v>44.53</v>
      </c>
      <c r="N78" s="64">
        <v>74.599999999999994</v>
      </c>
      <c r="O78" s="64">
        <v>0</v>
      </c>
      <c r="P78" s="64">
        <v>0.74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1658</v>
      </c>
      <c r="B79" s="64">
        <v>9.31</v>
      </c>
      <c r="C79" s="64">
        <v>66.62</v>
      </c>
      <c r="D79" s="64">
        <v>40.89</v>
      </c>
      <c r="E79" s="64">
        <v>6.23</v>
      </c>
      <c r="F79" s="64">
        <v>2.13</v>
      </c>
      <c r="G79" s="64">
        <v>65.77</v>
      </c>
      <c r="H79" s="64">
        <v>27.21</v>
      </c>
      <c r="I79" s="210" t="s">
        <v>43</v>
      </c>
      <c r="J79" s="64">
        <v>1.19</v>
      </c>
      <c r="K79" s="64">
        <v>50.21</v>
      </c>
      <c r="L79" s="64">
        <v>19.18</v>
      </c>
      <c r="M79" s="64">
        <v>46.59</v>
      </c>
      <c r="N79" s="64">
        <v>65.400000000000006</v>
      </c>
      <c r="O79" s="64">
        <v>0</v>
      </c>
      <c r="P79" s="64">
        <v>0.75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1659</v>
      </c>
      <c r="B80" s="64">
        <v>9.52</v>
      </c>
      <c r="C80" s="64">
        <v>67.010000000000005</v>
      </c>
      <c r="D80" s="64">
        <v>41.27</v>
      </c>
      <c r="E80" s="64">
        <v>5.95</v>
      </c>
      <c r="F80" s="64">
        <v>2.13</v>
      </c>
      <c r="G80" s="64">
        <v>67.2</v>
      </c>
      <c r="H80" s="64">
        <v>27</v>
      </c>
      <c r="I80" s="210" t="s">
        <v>43</v>
      </c>
      <c r="J80" s="64">
        <v>7.0000000000000007E-2</v>
      </c>
      <c r="K80" s="64">
        <v>61.66</v>
      </c>
      <c r="L80" s="64">
        <v>18.559999999999999</v>
      </c>
      <c r="M80" s="64">
        <v>49.32</v>
      </c>
      <c r="N80" s="64">
        <v>62.5</v>
      </c>
      <c r="O80" s="64">
        <v>0</v>
      </c>
      <c r="P80" s="64">
        <v>0.77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1660</v>
      </c>
      <c r="B81" s="64">
        <v>9.89</v>
      </c>
      <c r="C81" s="64">
        <v>67.680000000000007</v>
      </c>
      <c r="D81" s="64">
        <v>41.91</v>
      </c>
      <c r="E81" s="64">
        <v>5.95</v>
      </c>
      <c r="F81" s="64">
        <v>2.13</v>
      </c>
      <c r="G81" s="64">
        <v>67.2</v>
      </c>
      <c r="H81" s="64">
        <v>27</v>
      </c>
      <c r="I81" s="210" t="s">
        <v>43</v>
      </c>
      <c r="J81" s="64">
        <v>1.38</v>
      </c>
      <c r="K81" s="64">
        <v>4.95</v>
      </c>
      <c r="L81" s="64">
        <v>17.71</v>
      </c>
      <c r="M81" s="64">
        <v>55</v>
      </c>
      <c r="N81" s="64">
        <v>62</v>
      </c>
      <c r="O81" s="64">
        <v>0</v>
      </c>
      <c r="P81" s="64">
        <v>0.79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1661</v>
      </c>
      <c r="B82" s="64">
        <v>12.04</v>
      </c>
      <c r="C82" s="64">
        <v>69.069999999999993</v>
      </c>
      <c r="D82" s="64">
        <v>44.37</v>
      </c>
      <c r="E82" s="64">
        <v>6.29</v>
      </c>
      <c r="F82" s="64">
        <v>2.13</v>
      </c>
      <c r="G82" s="64">
        <v>67.2</v>
      </c>
      <c r="H82" s="64">
        <v>27</v>
      </c>
      <c r="I82" s="210" t="s">
        <v>43</v>
      </c>
      <c r="J82" s="64">
        <v>1.81</v>
      </c>
      <c r="K82" s="64">
        <v>345.26</v>
      </c>
      <c r="L82" s="64">
        <v>17.190000000000001</v>
      </c>
      <c r="M82" s="64">
        <v>61.76</v>
      </c>
      <c r="N82" s="64">
        <v>61.7</v>
      </c>
      <c r="O82" s="64">
        <v>0</v>
      </c>
      <c r="P82" s="64">
        <v>0.93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1662</v>
      </c>
      <c r="B83" s="64">
        <v>18.21</v>
      </c>
      <c r="C83" s="64">
        <v>67.86</v>
      </c>
      <c r="D83" s="64">
        <v>48.68</v>
      </c>
      <c r="E83" s="64">
        <v>6.06</v>
      </c>
      <c r="F83" s="64">
        <v>2.13</v>
      </c>
      <c r="G83" s="64">
        <v>77.11</v>
      </c>
      <c r="H83" s="64">
        <v>28.63</v>
      </c>
      <c r="I83" s="210" t="s">
        <v>43</v>
      </c>
      <c r="J83" s="64">
        <v>1.47</v>
      </c>
      <c r="K83" s="64">
        <v>317.26</v>
      </c>
      <c r="L83" s="64">
        <v>16.57</v>
      </c>
      <c r="M83" s="64">
        <v>66.83</v>
      </c>
      <c r="N83" s="64">
        <v>61.5</v>
      </c>
      <c r="O83" s="64">
        <v>0</v>
      </c>
      <c r="P83" s="64">
        <v>1.41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1663</v>
      </c>
      <c r="B84" s="64">
        <v>24.77</v>
      </c>
      <c r="C84" s="64">
        <v>68.180000000000007</v>
      </c>
      <c r="D84" s="64">
        <v>54.11</v>
      </c>
      <c r="E84" s="64">
        <v>5.97</v>
      </c>
      <c r="F84" s="64">
        <v>2.13</v>
      </c>
      <c r="G84" s="64">
        <v>81.36</v>
      </c>
      <c r="H84" s="64">
        <v>29.33</v>
      </c>
      <c r="I84" s="210" t="s">
        <v>43</v>
      </c>
      <c r="J84" s="64">
        <v>1.81</v>
      </c>
      <c r="K84" s="64">
        <v>1.1100000000000001</v>
      </c>
      <c r="L84" s="64">
        <v>16.11</v>
      </c>
      <c r="M84" s="64">
        <v>70.17</v>
      </c>
      <c r="N84" s="64">
        <v>61.3</v>
      </c>
      <c r="O84" s="64">
        <v>0</v>
      </c>
      <c r="P84" s="64">
        <v>1.68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1664</v>
      </c>
      <c r="B85" s="64">
        <v>31.23</v>
      </c>
      <c r="C85" s="64">
        <v>68.739999999999995</v>
      </c>
      <c r="D85" s="64">
        <v>59.58</v>
      </c>
      <c r="E85" s="64">
        <v>6.34</v>
      </c>
      <c r="F85" s="64">
        <v>2.13</v>
      </c>
      <c r="G85" s="64">
        <v>81.36</v>
      </c>
      <c r="H85" s="64">
        <v>29.33</v>
      </c>
      <c r="I85" s="210" t="s">
        <v>43</v>
      </c>
      <c r="J85" s="64">
        <v>1.33</v>
      </c>
      <c r="K85" s="64">
        <v>313.66000000000003</v>
      </c>
      <c r="L85" s="64">
        <v>16.010000000000002</v>
      </c>
      <c r="M85" s="64">
        <v>68.430000000000007</v>
      </c>
      <c r="N85" s="64">
        <v>61</v>
      </c>
      <c r="O85" s="64">
        <v>0</v>
      </c>
      <c r="P85" s="64">
        <v>1.28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1665</v>
      </c>
      <c r="B86" s="64">
        <v>37.020000000000003</v>
      </c>
      <c r="C86" s="64">
        <v>69.11</v>
      </c>
      <c r="D86" s="64">
        <v>64.42</v>
      </c>
      <c r="E86" s="64">
        <v>6.79</v>
      </c>
      <c r="F86" s="64">
        <v>2.13</v>
      </c>
      <c r="G86" s="64">
        <v>81.36</v>
      </c>
      <c r="H86" s="64">
        <v>29.33</v>
      </c>
      <c r="I86" s="210" t="s">
        <v>43</v>
      </c>
      <c r="J86" s="64">
        <v>1.84</v>
      </c>
      <c r="K86" s="64">
        <v>340.38</v>
      </c>
      <c r="L86" s="64">
        <v>15.85</v>
      </c>
      <c r="M86" s="64">
        <v>71.64</v>
      </c>
      <c r="N86" s="64">
        <v>61</v>
      </c>
      <c r="O86" s="64">
        <v>0</v>
      </c>
      <c r="P86" s="64">
        <v>1.63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1666</v>
      </c>
      <c r="B87" s="64">
        <v>44.11</v>
      </c>
      <c r="C87" s="64">
        <v>69.650000000000006</v>
      </c>
      <c r="D87" s="64">
        <v>70.38</v>
      </c>
      <c r="E87" s="64">
        <v>6.98</v>
      </c>
      <c r="F87" s="64">
        <v>2.13</v>
      </c>
      <c r="G87" s="64">
        <v>103.24</v>
      </c>
      <c r="H87" s="64">
        <v>31.86</v>
      </c>
      <c r="I87" s="210" t="s">
        <v>43</v>
      </c>
      <c r="J87" s="64">
        <v>1.8</v>
      </c>
      <c r="K87" s="64">
        <v>338.76</v>
      </c>
      <c r="L87" s="64">
        <v>15.73</v>
      </c>
      <c r="M87" s="64">
        <v>69.19</v>
      </c>
      <c r="N87" s="64">
        <v>60.7</v>
      </c>
      <c r="O87" s="64">
        <v>0</v>
      </c>
      <c r="P87" s="64">
        <v>1.51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1667</v>
      </c>
      <c r="B88" s="64">
        <v>49.95</v>
      </c>
      <c r="C88" s="64">
        <v>69.61</v>
      </c>
      <c r="D88" s="64">
        <v>75.05</v>
      </c>
      <c r="E88" s="64">
        <v>7.13</v>
      </c>
      <c r="F88" s="64">
        <v>2.13</v>
      </c>
      <c r="G88" s="64">
        <v>112.61</v>
      </c>
      <c r="H88" s="64">
        <v>32.950000000000003</v>
      </c>
      <c r="I88" s="210" t="s">
        <v>43</v>
      </c>
      <c r="J88" s="64">
        <v>1.27</v>
      </c>
      <c r="K88" s="64">
        <v>242.25</v>
      </c>
      <c r="L88" s="64">
        <v>15.87</v>
      </c>
      <c r="M88" s="64">
        <v>67.290000000000006</v>
      </c>
      <c r="N88" s="64">
        <v>60.5</v>
      </c>
      <c r="O88" s="64">
        <v>0</v>
      </c>
      <c r="P88" s="64">
        <v>1.45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1668</v>
      </c>
      <c r="B89" s="64">
        <v>54.47</v>
      </c>
      <c r="C89" s="64">
        <v>69.72</v>
      </c>
      <c r="D89" s="64">
        <v>78.73</v>
      </c>
      <c r="E89" s="64">
        <v>7.36</v>
      </c>
      <c r="F89" s="64">
        <v>2.13</v>
      </c>
      <c r="G89" s="64">
        <v>112.61</v>
      </c>
      <c r="H89" s="64">
        <v>32.950000000000003</v>
      </c>
      <c r="I89" s="210" t="s">
        <v>43</v>
      </c>
      <c r="J89" s="64">
        <v>1.43</v>
      </c>
      <c r="K89" s="64">
        <v>334.65</v>
      </c>
      <c r="L89" s="64">
        <v>15.69</v>
      </c>
      <c r="M89" s="64">
        <v>64.06</v>
      </c>
      <c r="N89" s="64">
        <v>60.7</v>
      </c>
      <c r="O89" s="64">
        <v>0</v>
      </c>
      <c r="P89" s="64">
        <v>1.43</v>
      </c>
      <c r="Q89" s="64">
        <v>8.2799999999999994</v>
      </c>
      <c r="R89" s="198"/>
      <c r="S89" s="198"/>
      <c r="T89" s="198"/>
      <c r="U89" s="198"/>
    </row>
    <row r="90" spans="1:26" s="12" customFormat="1" x14ac:dyDescent="0.25">
      <c r="A90" s="214" t="s">
        <v>1669</v>
      </c>
      <c r="B90" s="64">
        <v>57.46</v>
      </c>
      <c r="C90" s="64">
        <v>70.400000000000006</v>
      </c>
      <c r="D90" s="64">
        <v>81.489999999999995</v>
      </c>
      <c r="E90" s="64">
        <v>7.27</v>
      </c>
      <c r="F90" s="64">
        <v>2.13</v>
      </c>
      <c r="G90" s="64">
        <v>112.61</v>
      </c>
      <c r="H90" s="64">
        <v>32.950000000000003</v>
      </c>
      <c r="I90" s="210" t="s">
        <v>43</v>
      </c>
      <c r="J90" s="64">
        <v>1.53</v>
      </c>
      <c r="K90" s="64">
        <v>13.5</v>
      </c>
      <c r="L90" s="64">
        <v>15.35</v>
      </c>
      <c r="M90" s="64">
        <v>65.900000000000006</v>
      </c>
      <c r="N90" s="64">
        <v>60.9</v>
      </c>
      <c r="O90" s="64">
        <v>0</v>
      </c>
      <c r="P90" s="64">
        <v>1.35</v>
      </c>
      <c r="Q90" s="64">
        <v>8.48</v>
      </c>
      <c r="R90" s="198"/>
      <c r="S90" s="198"/>
      <c r="T90" s="198"/>
      <c r="U90" s="198"/>
    </row>
    <row r="91" spans="1:26" s="12" customFormat="1" x14ac:dyDescent="0.25">
      <c r="A91" s="214" t="s">
        <v>1670</v>
      </c>
      <c r="B91" s="64">
        <v>60.43</v>
      </c>
      <c r="C91" s="64">
        <v>71.36</v>
      </c>
      <c r="D91" s="64">
        <v>84.36</v>
      </c>
      <c r="E91" s="64">
        <v>7.6</v>
      </c>
      <c r="F91" s="64">
        <v>2.13</v>
      </c>
      <c r="G91" s="64">
        <v>123.3</v>
      </c>
      <c r="H91" s="64">
        <v>36.76</v>
      </c>
      <c r="I91" s="210" t="s">
        <v>43</v>
      </c>
      <c r="J91" s="64">
        <v>1.36</v>
      </c>
      <c r="K91" s="64">
        <v>258.41000000000003</v>
      </c>
      <c r="L91" s="64">
        <v>15.23</v>
      </c>
      <c r="M91" s="64">
        <v>65.84</v>
      </c>
      <c r="N91" s="64">
        <v>60.4</v>
      </c>
      <c r="O91" s="64">
        <v>0</v>
      </c>
      <c r="P91" s="64">
        <v>1.37</v>
      </c>
      <c r="Q91" s="64">
        <v>8.64</v>
      </c>
      <c r="R91" s="198"/>
      <c r="S91" s="198"/>
      <c r="T91" s="198"/>
      <c r="U91" s="198"/>
    </row>
    <row r="92" spans="1:26" s="12" customFormat="1" x14ac:dyDescent="0.25">
      <c r="A92" s="214" t="s">
        <v>1671</v>
      </c>
      <c r="B92" s="64">
        <v>67.010000000000005</v>
      </c>
      <c r="C92" s="64">
        <v>71.739999999999995</v>
      </c>
      <c r="D92" s="64">
        <v>89.84</v>
      </c>
      <c r="E92" s="64">
        <v>7.69</v>
      </c>
      <c r="F92" s="64">
        <v>2.13</v>
      </c>
      <c r="G92" s="64">
        <v>127.88</v>
      </c>
      <c r="H92" s="64">
        <v>38.39</v>
      </c>
      <c r="I92" s="210" t="s">
        <v>43</v>
      </c>
      <c r="J92" s="64">
        <v>1.73</v>
      </c>
      <c r="K92" s="64">
        <v>325.14999999999998</v>
      </c>
      <c r="L92" s="64">
        <v>14.97</v>
      </c>
      <c r="M92" s="64">
        <v>74.12</v>
      </c>
      <c r="N92" s="64">
        <v>60.6</v>
      </c>
      <c r="O92" s="64">
        <v>0</v>
      </c>
      <c r="P92" s="64">
        <v>1.47</v>
      </c>
      <c r="Q92" s="64">
        <v>8.91</v>
      </c>
      <c r="R92" s="198"/>
      <c r="S92" s="198"/>
      <c r="T92" s="198"/>
      <c r="U92" s="198"/>
    </row>
    <row r="93" spans="1:26" s="12" customFormat="1" x14ac:dyDescent="0.25">
      <c r="A93" s="214" t="s">
        <v>1672</v>
      </c>
      <c r="B93" s="64">
        <v>78.010000000000005</v>
      </c>
      <c r="C93" s="64">
        <v>72.790000000000006</v>
      </c>
      <c r="D93" s="64">
        <v>99.21</v>
      </c>
      <c r="E93" s="64">
        <v>8.14</v>
      </c>
      <c r="F93" s="64">
        <v>2.13</v>
      </c>
      <c r="G93" s="64">
        <v>127.88</v>
      </c>
      <c r="H93" s="64">
        <v>38.39</v>
      </c>
      <c r="I93" s="210" t="s">
        <v>43</v>
      </c>
      <c r="J93" s="64">
        <v>0.38</v>
      </c>
      <c r="K93" s="64">
        <v>347.68</v>
      </c>
      <c r="L93" s="64">
        <v>14.42</v>
      </c>
      <c r="M93" s="64">
        <v>78.5</v>
      </c>
      <c r="N93" s="64">
        <v>60.5</v>
      </c>
      <c r="O93" s="64">
        <v>0</v>
      </c>
      <c r="P93" s="64">
        <v>1.58</v>
      </c>
      <c r="Q93" s="64">
        <v>9.3800000000000008</v>
      </c>
      <c r="R93" s="198"/>
      <c r="S93" s="198"/>
      <c r="T93" s="198"/>
      <c r="U93" s="198"/>
    </row>
    <row r="94" spans="1:26" s="12" customFormat="1" x14ac:dyDescent="0.25">
      <c r="A94" s="214" t="s">
        <v>1673</v>
      </c>
      <c r="B94" s="64">
        <v>89.88</v>
      </c>
      <c r="C94" s="64">
        <v>73.48</v>
      </c>
      <c r="D94" s="64">
        <v>109.09</v>
      </c>
      <c r="E94" s="64">
        <v>8.52</v>
      </c>
      <c r="F94" s="64">
        <v>2.13</v>
      </c>
      <c r="G94" s="64">
        <v>127.88</v>
      </c>
      <c r="H94" s="64">
        <v>38.39</v>
      </c>
      <c r="I94" s="210" t="s">
        <v>43</v>
      </c>
      <c r="J94" s="64">
        <v>1.55</v>
      </c>
      <c r="K94" s="64">
        <v>301.70999999999998</v>
      </c>
      <c r="L94" s="64">
        <v>14.55</v>
      </c>
      <c r="M94" s="64">
        <v>73.17</v>
      </c>
      <c r="N94" s="64">
        <v>59.9</v>
      </c>
      <c r="O94" s="64">
        <v>0</v>
      </c>
      <c r="P94" s="64">
        <v>1.69</v>
      </c>
      <c r="Q94" s="64">
        <v>9.58</v>
      </c>
      <c r="R94" s="198"/>
      <c r="S94" s="198"/>
      <c r="T94" s="198"/>
      <c r="U94" s="198"/>
    </row>
    <row r="95" spans="1:26" s="12" customFormat="1" x14ac:dyDescent="0.25">
      <c r="A95" s="214" t="s">
        <v>1674</v>
      </c>
      <c r="B95" s="64">
        <v>101.46</v>
      </c>
      <c r="C95" s="64">
        <v>74.41</v>
      </c>
      <c r="D95" s="64">
        <v>118.86</v>
      </c>
      <c r="E95" s="64">
        <v>8.56</v>
      </c>
      <c r="F95" s="64">
        <v>2.13</v>
      </c>
      <c r="G95" s="64">
        <v>144.19</v>
      </c>
      <c r="H95" s="64">
        <v>38.82</v>
      </c>
      <c r="I95" s="210" t="s">
        <v>43</v>
      </c>
      <c r="J95" s="64">
        <v>1.56</v>
      </c>
      <c r="K95" s="64">
        <v>325.04000000000002</v>
      </c>
      <c r="L95" s="64">
        <v>14.35</v>
      </c>
      <c r="M95" s="64">
        <v>79.13</v>
      </c>
      <c r="N95" s="64">
        <v>60.2</v>
      </c>
      <c r="O95" s="64">
        <v>0</v>
      </c>
      <c r="P95" s="64">
        <v>1.78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4" t="s">
        <v>1675</v>
      </c>
      <c r="B96" s="64">
        <v>108.59</v>
      </c>
      <c r="C96" s="64">
        <v>74.88</v>
      </c>
      <c r="D96" s="64">
        <v>124.83</v>
      </c>
      <c r="E96" s="64">
        <v>8.89</v>
      </c>
      <c r="F96" s="64">
        <v>2.13</v>
      </c>
      <c r="G96" s="64">
        <v>151.16999999999999</v>
      </c>
      <c r="H96" s="64">
        <v>39</v>
      </c>
      <c r="I96" s="210" t="s">
        <v>43</v>
      </c>
      <c r="J96" s="64">
        <v>1.83</v>
      </c>
      <c r="K96" s="64">
        <v>284.54000000000002</v>
      </c>
      <c r="L96" s="64">
        <v>13.97</v>
      </c>
      <c r="M96" s="64">
        <v>77.010000000000005</v>
      </c>
      <c r="N96" s="64">
        <v>60.1</v>
      </c>
      <c r="O96" s="64">
        <v>0</v>
      </c>
      <c r="P96" s="64">
        <v>1.83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1676</v>
      </c>
      <c r="B97" s="64">
        <v>112.39</v>
      </c>
      <c r="C97" s="64">
        <v>75.2</v>
      </c>
      <c r="D97" s="64">
        <v>128.04</v>
      </c>
      <c r="E97" s="64">
        <v>8.39</v>
      </c>
      <c r="F97" s="64">
        <v>2.13</v>
      </c>
      <c r="G97" s="64">
        <v>151.16999999999999</v>
      </c>
      <c r="H97" s="64">
        <v>39</v>
      </c>
      <c r="I97" s="210" t="s">
        <v>43</v>
      </c>
      <c r="J97" s="64">
        <v>1.85</v>
      </c>
      <c r="K97" s="64">
        <v>289.54000000000002</v>
      </c>
      <c r="L97" s="64">
        <v>13.87</v>
      </c>
      <c r="M97" s="64">
        <v>79.25</v>
      </c>
      <c r="N97" s="64">
        <v>59.8</v>
      </c>
      <c r="O97" s="64">
        <v>0</v>
      </c>
      <c r="P97" s="64">
        <v>1.88</v>
      </c>
      <c r="Q97" s="64">
        <v>9.74</v>
      </c>
      <c r="R97" s="198"/>
      <c r="S97" s="198"/>
      <c r="T97" s="198"/>
      <c r="U97" s="198"/>
    </row>
    <row r="98" spans="1:33" s="12" customFormat="1" x14ac:dyDescent="0.25">
      <c r="A98" s="214" t="s">
        <v>1677</v>
      </c>
      <c r="B98" s="64">
        <v>114.5</v>
      </c>
      <c r="C98" s="64">
        <v>75.2</v>
      </c>
      <c r="D98" s="64">
        <v>129.72999999999999</v>
      </c>
      <c r="E98" s="64">
        <v>8.61</v>
      </c>
      <c r="F98" s="64">
        <v>2.13</v>
      </c>
      <c r="G98" s="64">
        <v>151.16999999999999</v>
      </c>
      <c r="H98" s="64">
        <v>39</v>
      </c>
      <c r="I98" s="210" t="s">
        <v>43</v>
      </c>
      <c r="J98" s="64">
        <v>1.41</v>
      </c>
      <c r="K98" s="64">
        <v>320.2</v>
      </c>
      <c r="L98" s="64">
        <v>14.06</v>
      </c>
      <c r="M98" s="64">
        <v>77.62</v>
      </c>
      <c r="N98" s="64">
        <v>59.9</v>
      </c>
      <c r="O98" s="64">
        <v>0</v>
      </c>
      <c r="P98" s="64">
        <v>1.91</v>
      </c>
      <c r="Q98" s="64">
        <v>9.75</v>
      </c>
      <c r="R98" s="198"/>
      <c r="S98" s="198"/>
      <c r="T98" s="198"/>
      <c r="U98" s="198"/>
    </row>
    <row r="99" spans="1:33" s="12" customFormat="1" x14ac:dyDescent="0.25">
      <c r="A99" s="214" t="s">
        <v>1678</v>
      </c>
      <c r="B99" s="64">
        <v>116.12</v>
      </c>
      <c r="C99" s="64">
        <v>73.88</v>
      </c>
      <c r="D99" s="64">
        <v>130.34</v>
      </c>
      <c r="E99" s="64">
        <v>8.75</v>
      </c>
      <c r="F99" s="64">
        <v>2.13</v>
      </c>
      <c r="G99" s="64">
        <v>149.35</v>
      </c>
      <c r="H99" s="64">
        <v>38.979999999999997</v>
      </c>
      <c r="I99" s="210" t="s">
        <v>43</v>
      </c>
      <c r="J99" s="64">
        <v>1.76</v>
      </c>
      <c r="K99" s="64">
        <v>306.95</v>
      </c>
      <c r="L99" s="64">
        <v>14.07</v>
      </c>
      <c r="M99" s="64">
        <v>77.41</v>
      </c>
      <c r="N99" s="64">
        <v>59.8</v>
      </c>
      <c r="O99" s="64">
        <v>0</v>
      </c>
      <c r="P99" s="64">
        <v>1.99</v>
      </c>
      <c r="Q99" s="64">
        <v>9.81</v>
      </c>
      <c r="R99" s="198"/>
      <c r="S99" s="198"/>
      <c r="T99" s="198"/>
      <c r="U99" s="198"/>
    </row>
    <row r="100" spans="1:33" s="12" customFormat="1" x14ac:dyDescent="0.25">
      <c r="A100" s="214" t="s">
        <v>1679</v>
      </c>
      <c r="B100" s="64">
        <v>118.61</v>
      </c>
      <c r="C100" s="64">
        <v>71.52</v>
      </c>
      <c r="D100" s="64">
        <v>131.11000000000001</v>
      </c>
      <c r="E100" s="64">
        <v>8.42</v>
      </c>
      <c r="F100" s="64">
        <v>2.13</v>
      </c>
      <c r="G100" s="64">
        <v>148.52000000000001</v>
      </c>
      <c r="H100" s="64">
        <v>38.97</v>
      </c>
      <c r="I100" s="210" t="s">
        <v>43</v>
      </c>
      <c r="J100" s="64">
        <v>1.79</v>
      </c>
      <c r="K100" s="64">
        <v>291.3</v>
      </c>
      <c r="L100" s="64">
        <v>14.19</v>
      </c>
      <c r="M100" s="64">
        <v>81.03</v>
      </c>
      <c r="N100" s="64">
        <v>59.7</v>
      </c>
      <c r="O100" s="64">
        <v>0</v>
      </c>
      <c r="P100" s="64">
        <v>2.06</v>
      </c>
      <c r="Q100" s="64">
        <v>9.8000000000000007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1680</v>
      </c>
      <c r="B101" s="64">
        <v>119.56</v>
      </c>
      <c r="C101" s="64">
        <v>72.11</v>
      </c>
      <c r="D101" s="64">
        <v>132.16999999999999</v>
      </c>
      <c r="E101" s="64">
        <v>8.42</v>
      </c>
      <c r="F101" s="64">
        <v>2.13</v>
      </c>
      <c r="G101" s="64">
        <v>148.52000000000001</v>
      </c>
      <c r="H101" s="64">
        <v>38.97</v>
      </c>
      <c r="I101" s="210" t="s">
        <v>43</v>
      </c>
      <c r="J101" s="64">
        <v>1.76</v>
      </c>
      <c r="K101" s="64">
        <v>307.19</v>
      </c>
      <c r="L101" s="64">
        <v>14.22</v>
      </c>
      <c r="M101" s="64">
        <v>79.930000000000007</v>
      </c>
      <c r="N101" s="64">
        <v>59.8</v>
      </c>
      <c r="O101" s="64">
        <v>0</v>
      </c>
      <c r="P101" s="64">
        <v>2.0499999999999998</v>
      </c>
      <c r="Q101" s="64">
        <v>9.82</v>
      </c>
      <c r="R101" s="198"/>
      <c r="S101" s="198"/>
      <c r="T101" s="198"/>
      <c r="U101" s="198"/>
    </row>
    <row r="102" spans="1:33" s="12" customFormat="1" x14ac:dyDescent="0.25">
      <c r="A102" s="214" t="s">
        <v>1681</v>
      </c>
      <c r="B102" s="64">
        <v>119.3</v>
      </c>
      <c r="C102" s="64">
        <v>71.34</v>
      </c>
      <c r="D102" s="64">
        <v>131.56</v>
      </c>
      <c r="E102" s="64">
        <v>8.68</v>
      </c>
      <c r="F102" s="64">
        <v>2.13</v>
      </c>
      <c r="G102" s="64">
        <v>148.52000000000001</v>
      </c>
      <c r="H102" s="64">
        <v>38.97</v>
      </c>
      <c r="I102" s="210" t="s">
        <v>43</v>
      </c>
      <c r="J102" s="64">
        <v>1.62</v>
      </c>
      <c r="K102" s="64">
        <v>25.68</v>
      </c>
      <c r="L102" s="64">
        <v>14.34</v>
      </c>
      <c r="M102" s="64">
        <v>75.599999999999994</v>
      </c>
      <c r="N102" s="64">
        <v>59.6</v>
      </c>
      <c r="O102" s="64">
        <v>0</v>
      </c>
      <c r="P102" s="64">
        <v>2.08</v>
      </c>
      <c r="Q102" s="64">
        <v>9.77</v>
      </c>
      <c r="R102" s="198"/>
      <c r="S102" s="198"/>
      <c r="T102" s="198"/>
      <c r="U102" s="198"/>
    </row>
    <row r="103" spans="1:33" s="12" customFormat="1" x14ac:dyDescent="0.25">
      <c r="A103" s="214" t="s">
        <v>1682</v>
      </c>
      <c r="B103" s="64">
        <v>118.5</v>
      </c>
      <c r="C103" s="64">
        <v>71.08</v>
      </c>
      <c r="D103" s="64">
        <v>130.79</v>
      </c>
      <c r="E103" s="64">
        <v>8.7200000000000006</v>
      </c>
      <c r="F103" s="64">
        <v>2.13</v>
      </c>
      <c r="G103" s="64">
        <v>142.01</v>
      </c>
      <c r="H103" s="64">
        <v>43.42</v>
      </c>
      <c r="I103" s="210" t="s">
        <v>43</v>
      </c>
      <c r="J103" s="64">
        <v>1.86</v>
      </c>
      <c r="K103" s="64">
        <v>302.02999999999997</v>
      </c>
      <c r="L103" s="64">
        <v>14.42</v>
      </c>
      <c r="M103" s="64">
        <v>74.86</v>
      </c>
      <c r="N103" s="64">
        <v>59.4</v>
      </c>
      <c r="O103" s="64">
        <v>0</v>
      </c>
      <c r="P103" s="64">
        <v>2.17</v>
      </c>
      <c r="Q103" s="64">
        <v>9.82</v>
      </c>
      <c r="R103" s="198"/>
      <c r="S103" s="198"/>
      <c r="T103" s="198"/>
      <c r="U103" s="198"/>
    </row>
    <row r="104" spans="1:33" s="12" customFormat="1" x14ac:dyDescent="0.25">
      <c r="A104" s="214" t="s">
        <v>1683</v>
      </c>
      <c r="B104" s="64">
        <v>117.53</v>
      </c>
      <c r="C104" s="64">
        <v>70.09</v>
      </c>
      <c r="D104" s="64">
        <v>129.49</v>
      </c>
      <c r="E104" s="64">
        <v>6.14</v>
      </c>
      <c r="F104" s="64">
        <v>2.13</v>
      </c>
      <c r="G104" s="64">
        <v>139.22</v>
      </c>
      <c r="H104" s="64">
        <v>45.33</v>
      </c>
      <c r="I104" s="210" t="s">
        <v>43</v>
      </c>
      <c r="J104" s="64">
        <v>1.85</v>
      </c>
      <c r="K104" s="64">
        <v>291.77999999999997</v>
      </c>
      <c r="L104" s="64">
        <v>14.36</v>
      </c>
      <c r="M104" s="64">
        <v>77.13</v>
      </c>
      <c r="N104" s="64">
        <v>59.3</v>
      </c>
      <c r="O104" s="64">
        <v>0</v>
      </c>
      <c r="P104" s="64">
        <v>2.14</v>
      </c>
      <c r="Q104" s="64">
        <v>9.82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3.56</v>
      </c>
      <c r="C106" s="67">
        <f>MIN(C9:C104)</f>
        <v>53.06</v>
      </c>
      <c r="D106" s="67">
        <f t="shared" ref="D106:Q106" si="0">MIN(D9:D104)</f>
        <v>29.97</v>
      </c>
      <c r="E106" s="67">
        <f t="shared" si="0"/>
        <v>5</v>
      </c>
      <c r="F106" s="67">
        <f t="shared" si="0"/>
        <v>2.13</v>
      </c>
      <c r="G106" s="67">
        <f t="shared" si="0"/>
        <v>57.21</v>
      </c>
      <c r="H106" s="67">
        <f t="shared" si="0"/>
        <v>27</v>
      </c>
      <c r="I106" s="67">
        <f t="shared" si="0"/>
        <v>0</v>
      </c>
      <c r="J106" s="67">
        <f t="shared" si="0"/>
        <v>7.0000000000000007E-2</v>
      </c>
      <c r="K106" s="67">
        <f t="shared" si="0"/>
        <v>0.51</v>
      </c>
      <c r="L106" s="67">
        <f t="shared" si="0"/>
        <v>12.11</v>
      </c>
      <c r="M106" s="67">
        <f t="shared" si="0"/>
        <v>33.53</v>
      </c>
      <c r="N106" s="67">
        <f t="shared" si="0"/>
        <v>59.3</v>
      </c>
      <c r="O106" s="67">
        <f t="shared" si="0"/>
        <v>0</v>
      </c>
      <c r="P106" s="67">
        <f t="shared" si="0"/>
        <v>0.66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119.56</v>
      </c>
      <c r="C107" s="66">
        <f t="shared" ref="C107:Q107" si="1">MAX(C9:C104)</f>
        <v>75.2</v>
      </c>
      <c r="D107" s="66">
        <f t="shared" si="1"/>
        <v>132.16999999999999</v>
      </c>
      <c r="E107" s="66">
        <f t="shared" si="1"/>
        <v>8.89</v>
      </c>
      <c r="F107" s="66">
        <f t="shared" si="1"/>
        <v>2.13</v>
      </c>
      <c r="G107" s="66">
        <f t="shared" si="1"/>
        <v>151.16999999999999</v>
      </c>
      <c r="H107" s="66">
        <f t="shared" si="1"/>
        <v>50.23</v>
      </c>
      <c r="I107" s="66">
        <f t="shared" si="1"/>
        <v>0</v>
      </c>
      <c r="J107" s="66">
        <f t="shared" si="1"/>
        <v>3.26</v>
      </c>
      <c r="K107" s="66">
        <f t="shared" si="1"/>
        <v>355.47</v>
      </c>
      <c r="L107" s="66">
        <f t="shared" si="1"/>
        <v>23.95</v>
      </c>
      <c r="M107" s="66">
        <f t="shared" si="1"/>
        <v>88.57</v>
      </c>
      <c r="N107" s="66">
        <f t="shared" si="1"/>
        <v>578.20000000000005</v>
      </c>
      <c r="O107" s="66">
        <f t="shared" si="1"/>
        <v>0</v>
      </c>
      <c r="P107" s="66">
        <f t="shared" si="1"/>
        <v>2.17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27.028854166666672</v>
      </c>
      <c r="C108" s="67">
        <f t="shared" ref="C108:Q108" si="2">AVERAGE(C9:C104)</f>
        <v>61.935833333333314</v>
      </c>
      <c r="D108" s="67">
        <f t="shared" si="2"/>
        <v>52.657291666666673</v>
      </c>
      <c r="E108" s="67">
        <f t="shared" si="2"/>
        <v>6.6332291666666663</v>
      </c>
      <c r="F108" s="67">
        <f t="shared" si="2"/>
        <v>2.1299999999999972</v>
      </c>
      <c r="G108" s="67">
        <f t="shared" si="2"/>
        <v>94.825416666666641</v>
      </c>
      <c r="H108" s="67">
        <f t="shared" si="2"/>
        <v>38.347187499999983</v>
      </c>
      <c r="I108" s="67" t="e">
        <f t="shared" si="2"/>
        <v>#DIV/0!</v>
      </c>
      <c r="J108" s="67">
        <f t="shared" si="2"/>
        <v>1.5809374999999994</v>
      </c>
      <c r="K108" s="67">
        <f t="shared" si="2"/>
        <v>221.68833333333336</v>
      </c>
      <c r="L108" s="67">
        <f t="shared" si="2"/>
        <v>16.729270833333327</v>
      </c>
      <c r="M108" s="67">
        <f t="shared" si="2"/>
        <v>64.136354166666678</v>
      </c>
      <c r="N108" s="67">
        <f t="shared" si="2"/>
        <v>179.32812499999997</v>
      </c>
      <c r="O108" s="67">
        <f t="shared" si="2"/>
        <v>0</v>
      </c>
      <c r="P108" s="67">
        <f t="shared" si="2"/>
        <v>1.0504166666666668</v>
      </c>
      <c r="Q108" s="67">
        <f t="shared" si="2"/>
        <v>8.4143750000000015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34.08394753730672</v>
      </c>
      <c r="C109" s="67">
        <f t="shared" ref="C109:Q109" si="3">STDEV(C9:C104)</f>
        <v>6.6272136983433265</v>
      </c>
      <c r="D109" s="67">
        <f t="shared" si="3"/>
        <v>30.015691246559193</v>
      </c>
      <c r="E109" s="67">
        <f t="shared" si="3"/>
        <v>0.86725883320491581</v>
      </c>
      <c r="F109" s="67">
        <f t="shared" si="3"/>
        <v>2.678522416932523E-15</v>
      </c>
      <c r="G109" s="67">
        <f t="shared" si="3"/>
        <v>26.505303616909671</v>
      </c>
      <c r="H109" s="67">
        <f t="shared" si="3"/>
        <v>6.4072767354371845</v>
      </c>
      <c r="I109" s="67" t="e">
        <f t="shared" si="3"/>
        <v>#DIV/0!</v>
      </c>
      <c r="J109" s="67">
        <f t="shared" si="3"/>
        <v>0.64865379319098637</v>
      </c>
      <c r="K109" s="67">
        <f t="shared" si="3"/>
        <v>123.21502988179618</v>
      </c>
      <c r="L109" s="67">
        <f t="shared" si="3"/>
        <v>3.7161290682904462</v>
      </c>
      <c r="M109" s="67">
        <f t="shared" si="3"/>
        <v>17.539759112538494</v>
      </c>
      <c r="N109" s="67">
        <f t="shared" si="3"/>
        <v>166.42271397550795</v>
      </c>
      <c r="O109" s="67">
        <f t="shared" si="3"/>
        <v>0</v>
      </c>
      <c r="P109" s="67">
        <f t="shared" si="3"/>
        <v>0.40702752180752144</v>
      </c>
      <c r="Q109" s="67">
        <f t="shared" si="3"/>
        <v>0.5065960967705514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3" sqref="G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1684</v>
      </c>
      <c r="B9" s="64">
        <v>116.4</v>
      </c>
      <c r="C9" s="64">
        <v>69.39</v>
      </c>
      <c r="D9" s="64">
        <v>128.22</v>
      </c>
      <c r="E9" s="64">
        <v>7.6</v>
      </c>
      <c r="F9" s="64">
        <v>2.13</v>
      </c>
      <c r="G9" s="64">
        <v>139.22</v>
      </c>
      <c r="H9" s="64">
        <v>45.33</v>
      </c>
      <c r="I9" s="210" t="s">
        <v>43</v>
      </c>
      <c r="J9" s="64">
        <v>1.65</v>
      </c>
      <c r="K9" s="64">
        <v>308.24</v>
      </c>
      <c r="L9" s="64">
        <v>14.38</v>
      </c>
      <c r="M9" s="64">
        <v>75.53</v>
      </c>
      <c r="N9" s="64">
        <v>59.3</v>
      </c>
      <c r="O9" s="64">
        <v>0</v>
      </c>
      <c r="P9" s="64">
        <v>2.16</v>
      </c>
      <c r="Q9" s="64">
        <v>9.81</v>
      </c>
      <c r="R9" s="198"/>
      <c r="S9" s="198"/>
      <c r="T9" s="198"/>
      <c r="U9" s="198"/>
    </row>
    <row r="10" spans="1:21" s="12" customFormat="1" x14ac:dyDescent="0.25">
      <c r="A10" s="214" t="s">
        <v>1685</v>
      </c>
      <c r="B10" s="64">
        <v>114.5</v>
      </c>
      <c r="C10" s="64">
        <v>67.83</v>
      </c>
      <c r="D10" s="64">
        <v>125.88</v>
      </c>
      <c r="E10" s="64">
        <v>7.92</v>
      </c>
      <c r="F10" s="64">
        <v>2.13</v>
      </c>
      <c r="G10" s="64">
        <v>139.22</v>
      </c>
      <c r="H10" s="64">
        <v>45.33</v>
      </c>
      <c r="I10" s="210" t="s">
        <v>43</v>
      </c>
      <c r="J10" s="64">
        <v>1.84</v>
      </c>
      <c r="K10" s="64">
        <v>333.9</v>
      </c>
      <c r="L10" s="64">
        <v>14.31</v>
      </c>
      <c r="M10" s="64">
        <v>77.569999999999993</v>
      </c>
      <c r="N10" s="64">
        <v>59.3</v>
      </c>
      <c r="O10" s="64">
        <v>0</v>
      </c>
      <c r="P10" s="64">
        <v>2.13</v>
      </c>
      <c r="Q10" s="64">
        <v>9.84</v>
      </c>
      <c r="R10" s="198"/>
      <c r="S10" s="198"/>
      <c r="T10" s="198"/>
      <c r="U10" s="198"/>
    </row>
    <row r="11" spans="1:21" s="12" customFormat="1" x14ac:dyDescent="0.25">
      <c r="A11" s="214" t="s">
        <v>1686</v>
      </c>
      <c r="B11" s="64">
        <v>112.57</v>
      </c>
      <c r="C11" s="64">
        <v>68.62</v>
      </c>
      <c r="D11" s="64">
        <v>124.74</v>
      </c>
      <c r="E11" s="64">
        <v>8.02</v>
      </c>
      <c r="F11" s="64">
        <v>2.13</v>
      </c>
      <c r="G11" s="64">
        <v>142.96</v>
      </c>
      <c r="H11" s="64">
        <v>47.86</v>
      </c>
      <c r="I11" s="210" t="s">
        <v>43</v>
      </c>
      <c r="J11" s="64">
        <v>1.81</v>
      </c>
      <c r="K11" s="64">
        <v>326.06</v>
      </c>
      <c r="L11" s="64">
        <v>14.22</v>
      </c>
      <c r="M11" s="64">
        <v>83.13</v>
      </c>
      <c r="N11" s="64">
        <v>59.4</v>
      </c>
      <c r="O11" s="64">
        <v>0</v>
      </c>
      <c r="P11" s="64">
        <v>2.12</v>
      </c>
      <c r="Q11" s="64">
        <v>9.77</v>
      </c>
      <c r="R11" s="198"/>
      <c r="S11" s="198"/>
      <c r="T11" s="198"/>
      <c r="U11" s="198"/>
    </row>
    <row r="12" spans="1:21" s="12" customFormat="1" x14ac:dyDescent="0.25">
      <c r="A12" s="214" t="s">
        <v>1687</v>
      </c>
      <c r="B12" s="64">
        <v>110.85</v>
      </c>
      <c r="C12" s="64">
        <v>67.88</v>
      </c>
      <c r="D12" s="64">
        <v>122.98</v>
      </c>
      <c r="E12" s="64">
        <v>8.2799999999999994</v>
      </c>
      <c r="F12" s="64">
        <v>2.13</v>
      </c>
      <c r="G12" s="64">
        <v>144.56</v>
      </c>
      <c r="H12" s="64">
        <v>48.94</v>
      </c>
      <c r="I12" s="210" t="s">
        <v>43</v>
      </c>
      <c r="J12" s="64">
        <v>0.76</v>
      </c>
      <c r="K12" s="64">
        <v>10.77</v>
      </c>
      <c r="L12" s="64">
        <v>14.03</v>
      </c>
      <c r="M12" s="64">
        <v>79.55</v>
      </c>
      <c r="N12" s="64">
        <v>59.3</v>
      </c>
      <c r="O12" s="64">
        <v>0</v>
      </c>
      <c r="P12" s="64">
        <v>2.13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4" t="s">
        <v>1688</v>
      </c>
      <c r="B13" s="64">
        <v>108.54</v>
      </c>
      <c r="C13" s="64">
        <v>67.150000000000006</v>
      </c>
      <c r="D13" s="64">
        <v>120.75</v>
      </c>
      <c r="E13" s="64">
        <v>8.83</v>
      </c>
      <c r="F13" s="64">
        <v>2.13</v>
      </c>
      <c r="G13" s="64">
        <v>144.56</v>
      </c>
      <c r="H13" s="64">
        <v>48.94</v>
      </c>
      <c r="I13" s="210" t="s">
        <v>43</v>
      </c>
      <c r="J13" s="64">
        <v>1.49</v>
      </c>
      <c r="K13" s="64">
        <v>223.34</v>
      </c>
      <c r="L13" s="64">
        <v>14.19</v>
      </c>
      <c r="M13" s="64">
        <v>80.28</v>
      </c>
      <c r="N13" s="64">
        <v>59.4</v>
      </c>
      <c r="O13" s="64">
        <v>0</v>
      </c>
      <c r="P13" s="64">
        <v>1.9</v>
      </c>
      <c r="Q13" s="64">
        <v>9.75</v>
      </c>
      <c r="R13" s="198"/>
      <c r="S13" s="198"/>
      <c r="T13" s="198"/>
      <c r="U13" s="198"/>
    </row>
    <row r="14" spans="1:21" s="12" customFormat="1" x14ac:dyDescent="0.25">
      <c r="A14" s="214" t="s">
        <v>1689</v>
      </c>
      <c r="B14" s="64">
        <v>105.79</v>
      </c>
      <c r="C14" s="64">
        <v>66.349999999999994</v>
      </c>
      <c r="D14" s="64">
        <v>118.13</v>
      </c>
      <c r="E14" s="64">
        <v>9.14</v>
      </c>
      <c r="F14" s="64">
        <v>2.13</v>
      </c>
      <c r="G14" s="64">
        <v>144.56</v>
      </c>
      <c r="H14" s="64">
        <v>48.94</v>
      </c>
      <c r="I14" s="210" t="s">
        <v>43</v>
      </c>
      <c r="J14" s="64">
        <v>1.72</v>
      </c>
      <c r="K14" s="64">
        <v>272.07</v>
      </c>
      <c r="L14" s="64">
        <v>14.04</v>
      </c>
      <c r="M14" s="64">
        <v>78.709999999999994</v>
      </c>
      <c r="N14" s="64">
        <v>59.3</v>
      </c>
      <c r="O14" s="64">
        <v>0</v>
      </c>
      <c r="P14" s="64">
        <v>1.99</v>
      </c>
      <c r="Q14" s="64">
        <v>9.6999999999999993</v>
      </c>
      <c r="R14" s="198"/>
      <c r="S14" s="198"/>
      <c r="T14" s="198"/>
      <c r="U14" s="198"/>
    </row>
    <row r="15" spans="1:21" s="12" customFormat="1" x14ac:dyDescent="0.25">
      <c r="A15" s="214" t="s">
        <v>1690</v>
      </c>
      <c r="B15" s="64">
        <v>102.98</v>
      </c>
      <c r="C15" s="64">
        <v>65.42</v>
      </c>
      <c r="D15" s="64">
        <v>115.38</v>
      </c>
      <c r="E15" s="64">
        <v>8.84</v>
      </c>
      <c r="F15" s="64">
        <v>2.13</v>
      </c>
      <c r="G15" s="64">
        <v>157.41</v>
      </c>
      <c r="H15" s="64">
        <v>51.7</v>
      </c>
      <c r="I15" s="210" t="s">
        <v>43</v>
      </c>
      <c r="J15" s="64">
        <v>1.73</v>
      </c>
      <c r="K15" s="64">
        <v>301.48</v>
      </c>
      <c r="L15" s="64">
        <v>13.78</v>
      </c>
      <c r="M15" s="64">
        <v>83.81</v>
      </c>
      <c r="N15" s="64">
        <v>59.5</v>
      </c>
      <c r="O15" s="64">
        <v>0</v>
      </c>
      <c r="P15" s="64">
        <v>1.99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4" t="s">
        <v>1691</v>
      </c>
      <c r="B16" s="64">
        <v>100.58</v>
      </c>
      <c r="C16" s="64">
        <v>64.61</v>
      </c>
      <c r="D16" s="64">
        <v>113.03</v>
      </c>
      <c r="E16" s="64">
        <v>8.59</v>
      </c>
      <c r="F16" s="64">
        <v>2.13</v>
      </c>
      <c r="G16" s="64">
        <v>162.91999999999999</v>
      </c>
      <c r="H16" s="64">
        <v>52.95</v>
      </c>
      <c r="I16" s="210" t="s">
        <v>43</v>
      </c>
      <c r="J16" s="64">
        <v>1.86</v>
      </c>
      <c r="K16" s="64">
        <v>300.51</v>
      </c>
      <c r="L16" s="64">
        <v>13.51</v>
      </c>
      <c r="M16" s="64">
        <v>88.28</v>
      </c>
      <c r="N16" s="64">
        <v>59.4</v>
      </c>
      <c r="O16" s="64">
        <v>0</v>
      </c>
      <c r="P16" s="64">
        <v>1.99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14" t="s">
        <v>1692</v>
      </c>
      <c r="B17" s="64">
        <v>98.37</v>
      </c>
      <c r="C17" s="64">
        <v>64.08</v>
      </c>
      <c r="D17" s="64">
        <v>110.99</v>
      </c>
      <c r="E17" s="64">
        <v>8.6300000000000008</v>
      </c>
      <c r="F17" s="64">
        <v>2.13</v>
      </c>
      <c r="G17" s="64">
        <v>162.91999999999999</v>
      </c>
      <c r="H17" s="64">
        <v>52.95</v>
      </c>
      <c r="I17" s="210" t="s">
        <v>43</v>
      </c>
      <c r="J17" s="64">
        <v>1.35</v>
      </c>
      <c r="K17" s="64">
        <v>108.54</v>
      </c>
      <c r="L17" s="64">
        <v>13.38</v>
      </c>
      <c r="M17" s="64">
        <v>86.75</v>
      </c>
      <c r="N17" s="64">
        <v>59.4</v>
      </c>
      <c r="O17" s="64">
        <v>0</v>
      </c>
      <c r="P17" s="64">
        <v>1.99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1693</v>
      </c>
      <c r="B18" s="64">
        <v>96.55</v>
      </c>
      <c r="C18" s="64">
        <v>62.85</v>
      </c>
      <c r="D18" s="64">
        <v>108.89</v>
      </c>
      <c r="E18" s="64">
        <v>8.5500000000000007</v>
      </c>
      <c r="F18" s="64">
        <v>2.13</v>
      </c>
      <c r="G18" s="64">
        <v>162.91999999999999</v>
      </c>
      <c r="H18" s="64">
        <v>52.95</v>
      </c>
      <c r="I18" s="210" t="s">
        <v>43</v>
      </c>
      <c r="J18" s="64">
        <v>1.83</v>
      </c>
      <c r="K18" s="64">
        <v>123.12</v>
      </c>
      <c r="L18" s="64">
        <v>13.29</v>
      </c>
      <c r="M18" s="64">
        <v>88.34</v>
      </c>
      <c r="N18" s="64">
        <v>59.3</v>
      </c>
      <c r="O18" s="64">
        <v>0</v>
      </c>
      <c r="P18" s="64">
        <v>1.99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1694</v>
      </c>
      <c r="B19" s="64">
        <v>95.25</v>
      </c>
      <c r="C19" s="64">
        <v>61.95</v>
      </c>
      <c r="D19" s="64">
        <v>107.38</v>
      </c>
      <c r="E19" s="64">
        <v>8.83</v>
      </c>
      <c r="F19" s="64">
        <v>2.13</v>
      </c>
      <c r="G19" s="64">
        <v>177.27</v>
      </c>
      <c r="H19" s="64">
        <v>59.17</v>
      </c>
      <c r="I19" s="210" t="s">
        <v>43</v>
      </c>
      <c r="J19" s="64">
        <v>1.57</v>
      </c>
      <c r="K19" s="64">
        <v>325.58999999999997</v>
      </c>
      <c r="L19" s="64">
        <v>13.24</v>
      </c>
      <c r="M19" s="64">
        <v>91.04</v>
      </c>
      <c r="N19" s="64">
        <v>59.3</v>
      </c>
      <c r="O19" s="64">
        <v>0</v>
      </c>
      <c r="P19" s="64">
        <v>1.99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1695</v>
      </c>
      <c r="B20" s="64">
        <v>94.42</v>
      </c>
      <c r="C20" s="64">
        <v>59.13</v>
      </c>
      <c r="D20" s="64">
        <v>105.23</v>
      </c>
      <c r="E20" s="64">
        <v>9</v>
      </c>
      <c r="F20" s="64">
        <v>2.13</v>
      </c>
      <c r="G20" s="64">
        <v>183.42</v>
      </c>
      <c r="H20" s="64">
        <v>61.97</v>
      </c>
      <c r="I20" s="210" t="s">
        <v>43</v>
      </c>
      <c r="J20" s="64">
        <v>0.9</v>
      </c>
      <c r="K20" s="64">
        <v>330.7</v>
      </c>
      <c r="L20" s="64">
        <v>13.1</v>
      </c>
      <c r="M20" s="64">
        <v>93.15</v>
      </c>
      <c r="N20" s="64">
        <v>59.2</v>
      </c>
      <c r="O20" s="64">
        <v>0</v>
      </c>
      <c r="P20" s="64">
        <v>1.99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4" t="s">
        <v>1696</v>
      </c>
      <c r="B21" s="64">
        <v>93.45</v>
      </c>
      <c r="C21" s="64">
        <v>57</v>
      </c>
      <c r="D21" s="64">
        <v>103.35</v>
      </c>
      <c r="E21" s="64">
        <v>8.8800000000000008</v>
      </c>
      <c r="F21" s="64">
        <v>2.13</v>
      </c>
      <c r="G21" s="64">
        <v>183.42</v>
      </c>
      <c r="H21" s="64">
        <v>61.97</v>
      </c>
      <c r="I21" s="210" t="s">
        <v>43</v>
      </c>
      <c r="J21" s="64">
        <v>0.75</v>
      </c>
      <c r="K21" s="64">
        <v>7.86</v>
      </c>
      <c r="L21" s="64">
        <v>12.92</v>
      </c>
      <c r="M21" s="64">
        <v>92.7</v>
      </c>
      <c r="N21" s="64">
        <v>59.2</v>
      </c>
      <c r="O21" s="64">
        <v>0</v>
      </c>
      <c r="P21" s="64">
        <v>1.99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1697</v>
      </c>
      <c r="B22" s="64">
        <v>92.71</v>
      </c>
      <c r="C22" s="64">
        <v>56.73</v>
      </c>
      <c r="D22" s="64">
        <v>102.61</v>
      </c>
      <c r="E22" s="64">
        <v>8.5399999999999991</v>
      </c>
      <c r="F22" s="64">
        <v>2.13</v>
      </c>
      <c r="G22" s="64">
        <v>183.42</v>
      </c>
      <c r="H22" s="64">
        <v>61.97</v>
      </c>
      <c r="I22" s="210" t="s">
        <v>43</v>
      </c>
      <c r="J22" s="64">
        <v>1.86</v>
      </c>
      <c r="K22" s="64">
        <v>347.13</v>
      </c>
      <c r="L22" s="64">
        <v>12.81</v>
      </c>
      <c r="M22" s="64">
        <v>91.83</v>
      </c>
      <c r="N22" s="64">
        <v>59.1</v>
      </c>
      <c r="O22" s="64">
        <v>0</v>
      </c>
      <c r="P22" s="64">
        <v>1.99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1698</v>
      </c>
      <c r="B23" s="64">
        <v>91.66</v>
      </c>
      <c r="C23" s="64">
        <v>56.66</v>
      </c>
      <c r="D23" s="64">
        <v>101.73</v>
      </c>
      <c r="E23" s="64">
        <v>8.6</v>
      </c>
      <c r="F23" s="64">
        <v>2.13</v>
      </c>
      <c r="G23" s="64">
        <v>181.04</v>
      </c>
      <c r="H23" s="64">
        <v>63.86</v>
      </c>
      <c r="I23" s="210" t="s">
        <v>43</v>
      </c>
      <c r="J23" s="64">
        <v>1.85</v>
      </c>
      <c r="K23" s="64">
        <v>347.04</v>
      </c>
      <c r="L23" s="64">
        <v>12.83</v>
      </c>
      <c r="M23" s="64">
        <v>89.69</v>
      </c>
      <c r="N23" s="64">
        <v>59.1</v>
      </c>
      <c r="O23" s="64">
        <v>0</v>
      </c>
      <c r="P23" s="64">
        <v>1.94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4" t="s">
        <v>1699</v>
      </c>
      <c r="B24" s="64">
        <v>90.08</v>
      </c>
      <c r="C24" s="64">
        <v>55.96</v>
      </c>
      <c r="D24" s="64">
        <v>100.1</v>
      </c>
      <c r="E24" s="64">
        <v>8.2799999999999994</v>
      </c>
      <c r="F24" s="64">
        <v>2.13</v>
      </c>
      <c r="G24" s="64">
        <v>180.02</v>
      </c>
      <c r="H24" s="64">
        <v>64.67</v>
      </c>
      <c r="I24" s="210" t="s">
        <v>43</v>
      </c>
      <c r="J24" s="64">
        <v>1.75</v>
      </c>
      <c r="K24" s="64">
        <v>313.2</v>
      </c>
      <c r="L24" s="64">
        <v>12.77</v>
      </c>
      <c r="M24" s="64">
        <v>90.29</v>
      </c>
      <c r="N24" s="64">
        <v>59.3</v>
      </c>
      <c r="O24" s="64">
        <v>0</v>
      </c>
      <c r="P24" s="64">
        <v>1.94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1700</v>
      </c>
      <c r="B25" s="64">
        <v>88.55</v>
      </c>
      <c r="C25" s="64">
        <v>55.92</v>
      </c>
      <c r="D25" s="64">
        <v>98.85</v>
      </c>
      <c r="E25" s="64">
        <v>8.27</v>
      </c>
      <c r="F25" s="64">
        <v>2.13</v>
      </c>
      <c r="G25" s="64">
        <v>180.02</v>
      </c>
      <c r="H25" s="64">
        <v>64.67</v>
      </c>
      <c r="I25" s="210" t="s">
        <v>43</v>
      </c>
      <c r="J25" s="64">
        <v>1.85</v>
      </c>
      <c r="K25" s="64">
        <v>338.4</v>
      </c>
      <c r="L25" s="64">
        <v>12.59</v>
      </c>
      <c r="M25" s="64">
        <v>90.96</v>
      </c>
      <c r="N25" s="64">
        <v>59.3</v>
      </c>
      <c r="O25" s="64">
        <v>0</v>
      </c>
      <c r="P25" s="64">
        <v>1.91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1701</v>
      </c>
      <c r="B26" s="64">
        <v>87.33</v>
      </c>
      <c r="C26" s="64">
        <v>55.14</v>
      </c>
      <c r="D26" s="64">
        <v>97.46</v>
      </c>
      <c r="E26" s="64">
        <v>8.43</v>
      </c>
      <c r="F26" s="64">
        <v>2.13</v>
      </c>
      <c r="G26" s="64">
        <v>180.02</v>
      </c>
      <c r="H26" s="64">
        <v>64.67</v>
      </c>
      <c r="I26" s="210" t="s">
        <v>43</v>
      </c>
      <c r="J26" s="64">
        <v>0.87</v>
      </c>
      <c r="K26" s="64">
        <v>122.29</v>
      </c>
      <c r="L26" s="64">
        <v>12.59</v>
      </c>
      <c r="M26" s="64">
        <v>91.3</v>
      </c>
      <c r="N26" s="64">
        <v>59.3</v>
      </c>
      <c r="O26" s="64">
        <v>0</v>
      </c>
      <c r="P26" s="64">
        <v>1.88</v>
      </c>
      <c r="Q26" s="64">
        <v>9.6199999999999992</v>
      </c>
      <c r="R26" s="198"/>
      <c r="S26" s="198"/>
      <c r="T26" s="198"/>
      <c r="U26" s="198"/>
    </row>
    <row r="27" spans="1:21" s="12" customFormat="1" x14ac:dyDescent="0.25">
      <c r="A27" s="214" t="s">
        <v>1702</v>
      </c>
      <c r="B27" s="64">
        <v>86.93</v>
      </c>
      <c r="C27" s="64">
        <v>54.81</v>
      </c>
      <c r="D27" s="64">
        <v>96.97</v>
      </c>
      <c r="E27" s="64">
        <v>8.2799999999999994</v>
      </c>
      <c r="F27" s="64">
        <v>2.13</v>
      </c>
      <c r="G27" s="64">
        <v>170.55</v>
      </c>
      <c r="H27" s="64">
        <v>62.72</v>
      </c>
      <c r="I27" s="210" t="s">
        <v>43</v>
      </c>
      <c r="J27" s="64">
        <v>0.31</v>
      </c>
      <c r="K27" s="64">
        <v>195.88</v>
      </c>
      <c r="L27" s="64">
        <v>12.47</v>
      </c>
      <c r="M27" s="64">
        <v>91.66</v>
      </c>
      <c r="N27" s="64">
        <v>59.1</v>
      </c>
      <c r="O27" s="64">
        <v>0</v>
      </c>
      <c r="P27" s="64">
        <v>1.85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1703</v>
      </c>
      <c r="B28" s="64">
        <v>88.21</v>
      </c>
      <c r="C28" s="64">
        <v>51.82</v>
      </c>
      <c r="D28" s="64">
        <v>96.43</v>
      </c>
      <c r="E28" s="64">
        <v>8.08</v>
      </c>
      <c r="F28" s="64">
        <v>2.13</v>
      </c>
      <c r="G28" s="64">
        <v>166.49</v>
      </c>
      <c r="H28" s="64">
        <v>61.88</v>
      </c>
      <c r="I28" s="210" t="s">
        <v>43</v>
      </c>
      <c r="J28" s="64">
        <v>1.32</v>
      </c>
      <c r="K28" s="64">
        <v>167.96</v>
      </c>
      <c r="L28" s="64">
        <v>12.71</v>
      </c>
      <c r="M28" s="64">
        <v>88.37</v>
      </c>
      <c r="N28" s="64">
        <v>58.5</v>
      </c>
      <c r="O28" s="64">
        <v>0</v>
      </c>
      <c r="P28" s="64">
        <v>1.84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4" t="s">
        <v>1704</v>
      </c>
      <c r="B29" s="64">
        <v>88.71</v>
      </c>
      <c r="C29" s="64">
        <v>53.75</v>
      </c>
      <c r="D29" s="64">
        <v>97.84</v>
      </c>
      <c r="E29" s="64">
        <v>7.61</v>
      </c>
      <c r="F29" s="64">
        <v>2.13</v>
      </c>
      <c r="G29" s="64">
        <v>166.49</v>
      </c>
      <c r="H29" s="64">
        <v>61.88</v>
      </c>
      <c r="I29" s="210" t="s">
        <v>43</v>
      </c>
      <c r="J29" s="64">
        <v>1.84</v>
      </c>
      <c r="K29" s="64">
        <v>301.11</v>
      </c>
      <c r="L29" s="64">
        <v>13.15</v>
      </c>
      <c r="M29" s="64">
        <v>87.25</v>
      </c>
      <c r="N29" s="64">
        <v>59.4</v>
      </c>
      <c r="O29" s="64">
        <v>0</v>
      </c>
      <c r="P29" s="64">
        <v>1.81</v>
      </c>
      <c r="Q29" s="64">
        <v>9.6</v>
      </c>
      <c r="R29" s="198"/>
      <c r="S29" s="198"/>
      <c r="T29" s="198"/>
      <c r="U29" s="198"/>
    </row>
    <row r="30" spans="1:21" s="12" customFormat="1" x14ac:dyDescent="0.25">
      <c r="A30" s="214" t="s">
        <v>1705</v>
      </c>
      <c r="B30" s="64">
        <v>90.48</v>
      </c>
      <c r="C30" s="64">
        <v>56.05</v>
      </c>
      <c r="D30" s="64">
        <v>100.47</v>
      </c>
      <c r="E30" s="64">
        <v>7.52</v>
      </c>
      <c r="F30" s="64">
        <v>2.13</v>
      </c>
      <c r="G30" s="64">
        <v>166.49</v>
      </c>
      <c r="H30" s="64">
        <v>61.88</v>
      </c>
      <c r="I30" s="210" t="s">
        <v>43</v>
      </c>
      <c r="J30" s="64">
        <v>1.75</v>
      </c>
      <c r="K30" s="64">
        <v>341.06</v>
      </c>
      <c r="L30" s="64">
        <v>12.76</v>
      </c>
      <c r="M30" s="64">
        <v>93.28</v>
      </c>
      <c r="N30" s="64">
        <v>59.5</v>
      </c>
      <c r="O30" s="64">
        <v>0</v>
      </c>
      <c r="P30" s="64">
        <v>1.78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1706</v>
      </c>
      <c r="B31" s="64">
        <v>92.16</v>
      </c>
      <c r="C31" s="64">
        <v>56.64</v>
      </c>
      <c r="D31" s="64">
        <v>102.12</v>
      </c>
      <c r="E31" s="64">
        <v>7.87</v>
      </c>
      <c r="F31" s="64">
        <v>2.13</v>
      </c>
      <c r="G31" s="64">
        <v>162.16999999999999</v>
      </c>
      <c r="H31" s="64">
        <v>57.12</v>
      </c>
      <c r="I31" s="210" t="s">
        <v>43</v>
      </c>
      <c r="J31" s="64">
        <v>0.39</v>
      </c>
      <c r="K31" s="64">
        <v>59.89</v>
      </c>
      <c r="L31" s="64">
        <v>12.63</v>
      </c>
      <c r="M31" s="64">
        <v>90.38</v>
      </c>
      <c r="N31" s="64">
        <v>59.3</v>
      </c>
      <c r="O31" s="64">
        <v>0</v>
      </c>
      <c r="P31" s="64">
        <v>1.76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1707</v>
      </c>
      <c r="B32" s="64">
        <v>91.38</v>
      </c>
      <c r="C32" s="64">
        <v>57.03</v>
      </c>
      <c r="D32" s="64">
        <v>101.7</v>
      </c>
      <c r="E32" s="64">
        <v>7.75</v>
      </c>
      <c r="F32" s="64">
        <v>2.13</v>
      </c>
      <c r="G32" s="64">
        <v>160.22</v>
      </c>
      <c r="H32" s="64">
        <v>54.97</v>
      </c>
      <c r="I32" s="210" t="s">
        <v>43</v>
      </c>
      <c r="J32" s="64">
        <v>1.26</v>
      </c>
      <c r="K32" s="64">
        <v>265.58999999999997</v>
      </c>
      <c r="L32" s="64">
        <v>12.84</v>
      </c>
      <c r="M32" s="64">
        <v>86.04</v>
      </c>
      <c r="N32" s="64">
        <v>59.2</v>
      </c>
      <c r="O32" s="64">
        <v>0</v>
      </c>
      <c r="P32" s="64">
        <v>1.72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1708</v>
      </c>
      <c r="B33" s="64">
        <v>88.99</v>
      </c>
      <c r="C33" s="64">
        <v>57.68</v>
      </c>
      <c r="D33" s="64">
        <v>100.13</v>
      </c>
      <c r="E33" s="64">
        <v>7.36</v>
      </c>
      <c r="F33" s="64">
        <v>2.13</v>
      </c>
      <c r="G33" s="64">
        <v>160.22</v>
      </c>
      <c r="H33" s="64">
        <v>54.97</v>
      </c>
      <c r="I33" s="210" t="s">
        <v>43</v>
      </c>
      <c r="J33" s="64">
        <v>0.33</v>
      </c>
      <c r="K33" s="64">
        <v>51.87</v>
      </c>
      <c r="L33" s="64">
        <v>12.81</v>
      </c>
      <c r="M33" s="64">
        <v>82.08</v>
      </c>
      <c r="N33" s="64">
        <v>59</v>
      </c>
      <c r="O33" s="64">
        <v>0</v>
      </c>
      <c r="P33" s="64">
        <v>1.67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1709</v>
      </c>
      <c r="B34" s="64">
        <v>85.04</v>
      </c>
      <c r="C34" s="64">
        <v>57.77</v>
      </c>
      <c r="D34" s="64">
        <v>97</v>
      </c>
      <c r="E34" s="64">
        <v>7.24</v>
      </c>
      <c r="F34" s="64">
        <v>2.13</v>
      </c>
      <c r="G34" s="64">
        <v>160.22</v>
      </c>
      <c r="H34" s="64">
        <v>54.97</v>
      </c>
      <c r="I34" s="210" t="s">
        <v>43</v>
      </c>
      <c r="J34" s="64">
        <v>0.56999999999999995</v>
      </c>
      <c r="K34" s="64">
        <v>335.44</v>
      </c>
      <c r="L34" s="64">
        <v>12.85</v>
      </c>
      <c r="M34" s="64">
        <v>83.38</v>
      </c>
      <c r="N34" s="64">
        <v>59.7</v>
      </c>
      <c r="O34" s="64">
        <v>0</v>
      </c>
      <c r="P34" s="64">
        <v>1.62</v>
      </c>
      <c r="Q34" s="64">
        <v>9.6</v>
      </c>
      <c r="R34" s="198"/>
      <c r="S34" s="198"/>
      <c r="T34" s="198"/>
      <c r="U34" s="198"/>
    </row>
    <row r="35" spans="1:21" s="12" customFormat="1" x14ac:dyDescent="0.25">
      <c r="A35" s="214" t="s">
        <v>1710</v>
      </c>
      <c r="B35" s="64">
        <v>81.680000000000007</v>
      </c>
      <c r="C35" s="64">
        <v>57.99</v>
      </c>
      <c r="D35" s="64">
        <v>94.42</v>
      </c>
      <c r="E35" s="64">
        <v>7.1</v>
      </c>
      <c r="F35" s="64">
        <v>2.13</v>
      </c>
      <c r="G35" s="64">
        <v>146.66999999999999</v>
      </c>
      <c r="H35" s="64">
        <v>53.72</v>
      </c>
      <c r="I35" s="210" t="s">
        <v>43</v>
      </c>
      <c r="J35" s="64">
        <v>1.02</v>
      </c>
      <c r="K35" s="64">
        <v>128.93</v>
      </c>
      <c r="L35" s="64">
        <v>12.95</v>
      </c>
      <c r="M35" s="64">
        <v>81.62</v>
      </c>
      <c r="N35" s="64">
        <v>63.6</v>
      </c>
      <c r="O35" s="64">
        <v>0</v>
      </c>
      <c r="P35" s="64">
        <v>1.59</v>
      </c>
      <c r="Q35" s="64">
        <v>9.59</v>
      </c>
      <c r="R35" s="198"/>
      <c r="S35" s="198"/>
      <c r="T35" s="198"/>
      <c r="U35" s="198"/>
    </row>
    <row r="36" spans="1:21" s="12" customFormat="1" x14ac:dyDescent="0.25">
      <c r="A36" s="214" t="s">
        <v>1711</v>
      </c>
      <c r="B36" s="64">
        <v>78.010000000000005</v>
      </c>
      <c r="C36" s="64">
        <v>58.09</v>
      </c>
      <c r="D36" s="64">
        <v>91.53</v>
      </c>
      <c r="E36" s="64">
        <v>6.79</v>
      </c>
      <c r="F36" s="64">
        <v>2.13</v>
      </c>
      <c r="G36" s="64">
        <v>140.86000000000001</v>
      </c>
      <c r="H36" s="64">
        <v>53.15</v>
      </c>
      <c r="I36" s="210" t="s">
        <v>43</v>
      </c>
      <c r="J36" s="64">
        <v>1.36</v>
      </c>
      <c r="K36" s="64">
        <v>124.92</v>
      </c>
      <c r="L36" s="64">
        <v>13.27</v>
      </c>
      <c r="M36" s="64">
        <v>80.56</v>
      </c>
      <c r="N36" s="64">
        <v>72.900000000000006</v>
      </c>
      <c r="O36" s="64">
        <v>0</v>
      </c>
      <c r="P36" s="64">
        <v>1.54</v>
      </c>
      <c r="Q36" s="64">
        <v>9.49</v>
      </c>
      <c r="R36" s="198"/>
      <c r="S36" s="198"/>
      <c r="T36" s="198"/>
      <c r="U36" s="198"/>
    </row>
    <row r="37" spans="1:21" s="12" customFormat="1" x14ac:dyDescent="0.25">
      <c r="A37" s="214" t="s">
        <v>1712</v>
      </c>
      <c r="B37" s="64">
        <v>73.94</v>
      </c>
      <c r="C37" s="64">
        <v>55.34</v>
      </c>
      <c r="D37" s="64">
        <v>86.83</v>
      </c>
      <c r="E37" s="64">
        <v>7.02</v>
      </c>
      <c r="F37" s="64">
        <v>2.13</v>
      </c>
      <c r="G37" s="64">
        <v>140.86000000000001</v>
      </c>
      <c r="H37" s="64">
        <v>53.15</v>
      </c>
      <c r="I37" s="210" t="s">
        <v>43</v>
      </c>
      <c r="J37" s="64">
        <v>2.1800000000000002</v>
      </c>
      <c r="K37" s="64">
        <v>119.04</v>
      </c>
      <c r="L37" s="64">
        <v>13.57</v>
      </c>
      <c r="M37" s="64">
        <v>79.87</v>
      </c>
      <c r="N37" s="64">
        <v>79</v>
      </c>
      <c r="O37" s="64">
        <v>0</v>
      </c>
      <c r="P37" s="64">
        <v>1.5</v>
      </c>
      <c r="Q37" s="64">
        <v>9.24</v>
      </c>
      <c r="R37" s="198"/>
      <c r="S37" s="198"/>
      <c r="T37" s="198"/>
      <c r="U37" s="198"/>
    </row>
    <row r="38" spans="1:21" s="12" customFormat="1" x14ac:dyDescent="0.25">
      <c r="A38" s="214" t="s">
        <v>1713</v>
      </c>
      <c r="B38" s="64">
        <v>70.34</v>
      </c>
      <c r="C38" s="64">
        <v>55.88</v>
      </c>
      <c r="D38" s="64">
        <v>84.22</v>
      </c>
      <c r="E38" s="64">
        <v>6.53</v>
      </c>
      <c r="F38" s="64">
        <v>2.13</v>
      </c>
      <c r="G38" s="64">
        <v>140.86000000000001</v>
      </c>
      <c r="H38" s="64">
        <v>53.15</v>
      </c>
      <c r="I38" s="210" t="s">
        <v>43</v>
      </c>
      <c r="J38" s="64">
        <v>1.06</v>
      </c>
      <c r="K38" s="64">
        <v>96.59</v>
      </c>
      <c r="L38" s="64">
        <v>13.76</v>
      </c>
      <c r="M38" s="64">
        <v>78.78</v>
      </c>
      <c r="N38" s="64">
        <v>98</v>
      </c>
      <c r="O38" s="64">
        <v>0</v>
      </c>
      <c r="P38" s="64">
        <v>1.53</v>
      </c>
      <c r="Q38" s="64">
        <v>9.02</v>
      </c>
      <c r="R38" s="198"/>
      <c r="S38" s="198"/>
      <c r="T38" s="198"/>
      <c r="U38" s="198"/>
    </row>
    <row r="39" spans="1:21" s="12" customFormat="1" x14ac:dyDescent="0.25">
      <c r="A39" s="214" t="s">
        <v>1714</v>
      </c>
      <c r="B39" s="64">
        <v>67.3</v>
      </c>
      <c r="C39" s="64">
        <v>57.46</v>
      </c>
      <c r="D39" s="64">
        <v>82.61</v>
      </c>
      <c r="E39" s="64">
        <v>6.32</v>
      </c>
      <c r="F39" s="64">
        <v>2.13</v>
      </c>
      <c r="G39" s="64">
        <v>127.17</v>
      </c>
      <c r="H39" s="64">
        <v>51.22</v>
      </c>
      <c r="I39" s="210" t="s">
        <v>43</v>
      </c>
      <c r="J39" s="64">
        <v>2.25</v>
      </c>
      <c r="K39" s="64">
        <v>117.42</v>
      </c>
      <c r="L39" s="64">
        <v>14.07</v>
      </c>
      <c r="M39" s="64">
        <v>77.2</v>
      </c>
      <c r="N39" s="64">
        <v>134.69999999999999</v>
      </c>
      <c r="O39" s="64">
        <v>0</v>
      </c>
      <c r="P39" s="64">
        <v>1.49</v>
      </c>
      <c r="Q39" s="64">
        <v>8.86</v>
      </c>
      <c r="R39" s="198"/>
      <c r="S39" s="198"/>
      <c r="T39" s="198"/>
      <c r="U39" s="198"/>
    </row>
    <row r="40" spans="1:21" s="12" customFormat="1" x14ac:dyDescent="0.25">
      <c r="A40" s="214" t="s">
        <v>1715</v>
      </c>
      <c r="B40" s="64">
        <v>64.27</v>
      </c>
      <c r="C40" s="64">
        <v>57.18</v>
      </c>
      <c r="D40" s="64">
        <v>80.03</v>
      </c>
      <c r="E40" s="64">
        <v>6.85</v>
      </c>
      <c r="F40" s="64">
        <v>2.13</v>
      </c>
      <c r="G40" s="64">
        <v>121.31</v>
      </c>
      <c r="H40" s="64">
        <v>50.39</v>
      </c>
      <c r="I40" s="210" t="s">
        <v>43</v>
      </c>
      <c r="J40" s="64">
        <v>2.74</v>
      </c>
      <c r="K40" s="64">
        <v>119.33</v>
      </c>
      <c r="L40" s="64">
        <v>14.7</v>
      </c>
      <c r="M40" s="64">
        <v>74.790000000000006</v>
      </c>
      <c r="N40" s="64">
        <v>215.4</v>
      </c>
      <c r="O40" s="64">
        <v>0</v>
      </c>
      <c r="P40" s="64">
        <v>1.46</v>
      </c>
      <c r="Q40" s="64">
        <v>8.7100000000000009</v>
      </c>
      <c r="R40" s="198"/>
      <c r="S40" s="198"/>
      <c r="T40" s="198"/>
      <c r="U40" s="198"/>
    </row>
    <row r="41" spans="1:21" s="12" customFormat="1" x14ac:dyDescent="0.25">
      <c r="A41" s="214" t="s">
        <v>1716</v>
      </c>
      <c r="B41" s="64">
        <v>60.81</v>
      </c>
      <c r="C41" s="64">
        <v>57.91</v>
      </c>
      <c r="D41" s="64">
        <v>77.64</v>
      </c>
      <c r="E41" s="64">
        <v>7.33</v>
      </c>
      <c r="F41" s="64">
        <v>2.13</v>
      </c>
      <c r="G41" s="64">
        <v>121.31</v>
      </c>
      <c r="H41" s="64">
        <v>50.39</v>
      </c>
      <c r="I41" s="210" t="s">
        <v>43</v>
      </c>
      <c r="J41" s="64">
        <v>2.98</v>
      </c>
      <c r="K41" s="64">
        <v>114.58</v>
      </c>
      <c r="L41" s="64">
        <v>15.83</v>
      </c>
      <c r="M41" s="64">
        <v>68.8</v>
      </c>
      <c r="N41" s="64">
        <v>300.3</v>
      </c>
      <c r="O41" s="64">
        <v>0</v>
      </c>
      <c r="P41" s="64">
        <v>1.42</v>
      </c>
      <c r="Q41" s="64">
        <v>8.5399999999999991</v>
      </c>
      <c r="R41" s="198"/>
      <c r="S41" s="198"/>
      <c r="T41" s="198"/>
      <c r="U41" s="198"/>
    </row>
    <row r="42" spans="1:21" s="12" customFormat="1" x14ac:dyDescent="0.25">
      <c r="A42" s="214" t="s">
        <v>1717</v>
      </c>
      <c r="B42" s="64">
        <v>56.88</v>
      </c>
      <c r="C42" s="64">
        <v>57.92</v>
      </c>
      <c r="D42" s="64">
        <v>74.5</v>
      </c>
      <c r="E42" s="64">
        <v>7.73</v>
      </c>
      <c r="F42" s="64">
        <v>2.13</v>
      </c>
      <c r="G42" s="64">
        <v>121.31</v>
      </c>
      <c r="H42" s="64">
        <v>50.39</v>
      </c>
      <c r="I42" s="210" t="s">
        <v>43</v>
      </c>
      <c r="J42" s="64">
        <v>2.73</v>
      </c>
      <c r="K42" s="64">
        <v>120.28</v>
      </c>
      <c r="L42" s="64">
        <v>16.3</v>
      </c>
      <c r="M42" s="64">
        <v>67.3</v>
      </c>
      <c r="N42" s="64">
        <v>247.4</v>
      </c>
      <c r="O42" s="64">
        <v>0</v>
      </c>
      <c r="P42" s="64">
        <v>1.37</v>
      </c>
      <c r="Q42" s="64">
        <v>8.33</v>
      </c>
      <c r="R42" s="198"/>
      <c r="S42" s="198"/>
      <c r="T42" s="198"/>
      <c r="U42" s="198"/>
    </row>
    <row r="43" spans="1:21" s="12" customFormat="1" x14ac:dyDescent="0.25">
      <c r="A43" s="214" t="s">
        <v>1718</v>
      </c>
      <c r="B43" s="64">
        <v>53.22</v>
      </c>
      <c r="C43" s="64">
        <v>58.86</v>
      </c>
      <c r="D43" s="64">
        <v>72.05</v>
      </c>
      <c r="E43" s="64">
        <v>6.95</v>
      </c>
      <c r="F43" s="64">
        <v>2.13</v>
      </c>
      <c r="G43" s="64">
        <v>110.74</v>
      </c>
      <c r="H43" s="64">
        <v>48.37</v>
      </c>
      <c r="I43" s="210" t="s">
        <v>43</v>
      </c>
      <c r="J43" s="64">
        <v>3.11</v>
      </c>
      <c r="K43" s="64">
        <v>115.72</v>
      </c>
      <c r="L43" s="64">
        <v>16.64</v>
      </c>
      <c r="M43" s="64">
        <v>64.290000000000006</v>
      </c>
      <c r="N43" s="64">
        <v>266</v>
      </c>
      <c r="O43" s="64">
        <v>0</v>
      </c>
      <c r="P43" s="64">
        <v>1.34</v>
      </c>
      <c r="Q43" s="64">
        <v>8.2200000000000006</v>
      </c>
      <c r="R43" s="198"/>
      <c r="S43" s="198"/>
      <c r="T43" s="198"/>
      <c r="U43" s="198"/>
    </row>
    <row r="44" spans="1:21" s="12" customFormat="1" x14ac:dyDescent="0.25">
      <c r="A44" s="214" t="s">
        <v>1719</v>
      </c>
      <c r="B44" s="64">
        <v>49.6</v>
      </c>
      <c r="C44" s="64">
        <v>59.48</v>
      </c>
      <c r="D44" s="64">
        <v>69.47</v>
      </c>
      <c r="E44" s="64">
        <v>7.31</v>
      </c>
      <c r="F44" s="64">
        <v>2.13</v>
      </c>
      <c r="G44" s="64">
        <v>106.21</v>
      </c>
      <c r="H44" s="64">
        <v>47.5</v>
      </c>
      <c r="I44" s="210" t="s">
        <v>43</v>
      </c>
      <c r="J44" s="64">
        <v>1.93</v>
      </c>
      <c r="K44" s="64">
        <v>119.84</v>
      </c>
      <c r="L44" s="64">
        <v>17.2</v>
      </c>
      <c r="M44" s="64">
        <v>61.75</v>
      </c>
      <c r="N44" s="64">
        <v>302.10000000000002</v>
      </c>
      <c r="O44" s="64">
        <v>0</v>
      </c>
      <c r="P44" s="64">
        <v>1.29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1720</v>
      </c>
      <c r="B45" s="64">
        <v>46.1</v>
      </c>
      <c r="C45" s="64">
        <v>61.62</v>
      </c>
      <c r="D45" s="64">
        <v>67.790000000000006</v>
      </c>
      <c r="E45" s="64">
        <v>7.46</v>
      </c>
      <c r="F45" s="64">
        <v>2.13</v>
      </c>
      <c r="G45" s="64">
        <v>106.21</v>
      </c>
      <c r="H45" s="64">
        <v>47.5</v>
      </c>
      <c r="I45" s="210" t="s">
        <v>43</v>
      </c>
      <c r="J45" s="64">
        <v>2.44</v>
      </c>
      <c r="K45" s="64">
        <v>108.71</v>
      </c>
      <c r="L45" s="64">
        <v>17.48</v>
      </c>
      <c r="M45" s="64">
        <v>60.5</v>
      </c>
      <c r="N45" s="64">
        <v>325.10000000000002</v>
      </c>
      <c r="O45" s="64">
        <v>0</v>
      </c>
      <c r="P45" s="64">
        <v>1.25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1721</v>
      </c>
      <c r="B46" s="64">
        <v>42.2</v>
      </c>
      <c r="C46" s="64">
        <v>63.13</v>
      </c>
      <c r="D46" s="64">
        <v>65.44</v>
      </c>
      <c r="E46" s="64">
        <v>7.58</v>
      </c>
      <c r="F46" s="64">
        <v>2.13</v>
      </c>
      <c r="G46" s="64">
        <v>106.21</v>
      </c>
      <c r="H46" s="64">
        <v>47.5</v>
      </c>
      <c r="I46" s="210" t="s">
        <v>43</v>
      </c>
      <c r="J46" s="64">
        <v>1.94</v>
      </c>
      <c r="K46" s="64">
        <v>121.56</v>
      </c>
      <c r="L46" s="64">
        <v>18.73</v>
      </c>
      <c r="M46" s="64">
        <v>56.47</v>
      </c>
      <c r="N46" s="64">
        <v>400.5</v>
      </c>
      <c r="O46" s="64">
        <v>0</v>
      </c>
      <c r="P46" s="64">
        <v>1.22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1722</v>
      </c>
      <c r="B47" s="64">
        <v>38.130000000000003</v>
      </c>
      <c r="C47" s="64">
        <v>64.12</v>
      </c>
      <c r="D47" s="64">
        <v>62.7</v>
      </c>
      <c r="E47" s="64">
        <v>7.1</v>
      </c>
      <c r="F47" s="64">
        <v>2.13</v>
      </c>
      <c r="G47" s="64">
        <v>98.06</v>
      </c>
      <c r="H47" s="64">
        <v>43.46</v>
      </c>
      <c r="I47" s="210" t="s">
        <v>43</v>
      </c>
      <c r="J47" s="64">
        <v>1.06</v>
      </c>
      <c r="K47" s="64">
        <v>81</v>
      </c>
      <c r="L47" s="64">
        <v>19.18</v>
      </c>
      <c r="M47" s="64">
        <v>54.04</v>
      </c>
      <c r="N47" s="64">
        <v>253.7</v>
      </c>
      <c r="O47" s="64">
        <v>0</v>
      </c>
      <c r="P47" s="64">
        <v>1.18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1723</v>
      </c>
      <c r="B48" s="64">
        <v>34.85</v>
      </c>
      <c r="C48" s="64">
        <v>65.92</v>
      </c>
      <c r="D48" s="64">
        <v>61.01</v>
      </c>
      <c r="E48" s="64">
        <v>7.55</v>
      </c>
      <c r="F48" s="64">
        <v>2.13</v>
      </c>
      <c r="G48" s="64">
        <v>94.56</v>
      </c>
      <c r="H48" s="64">
        <v>41.72</v>
      </c>
      <c r="I48" s="210" t="s">
        <v>43</v>
      </c>
      <c r="J48" s="64">
        <v>2.2200000000000002</v>
      </c>
      <c r="K48" s="64">
        <v>110.98</v>
      </c>
      <c r="L48" s="64">
        <v>18.86</v>
      </c>
      <c r="M48" s="64">
        <v>53.93</v>
      </c>
      <c r="N48" s="64">
        <v>228.6</v>
      </c>
      <c r="O48" s="64">
        <v>0</v>
      </c>
      <c r="P48" s="64">
        <v>1.1499999999999999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1724</v>
      </c>
      <c r="B49" s="64">
        <v>31.14</v>
      </c>
      <c r="C49" s="64">
        <v>67.260000000000005</v>
      </c>
      <c r="D49" s="64">
        <v>58.74</v>
      </c>
      <c r="E49" s="64">
        <v>7.47</v>
      </c>
      <c r="F49" s="64">
        <v>2.13</v>
      </c>
      <c r="G49" s="64">
        <v>94.56</v>
      </c>
      <c r="H49" s="64">
        <v>41.72</v>
      </c>
      <c r="I49" s="210" t="s">
        <v>43</v>
      </c>
      <c r="J49" s="64">
        <v>2.0299999999999998</v>
      </c>
      <c r="K49" s="64">
        <v>133.53</v>
      </c>
      <c r="L49" s="64">
        <v>19.66</v>
      </c>
      <c r="M49" s="64">
        <v>51.82</v>
      </c>
      <c r="N49" s="64">
        <v>379.7</v>
      </c>
      <c r="O49" s="64">
        <v>0</v>
      </c>
      <c r="P49" s="64">
        <v>1.1200000000000001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1725</v>
      </c>
      <c r="B50" s="64">
        <v>27.43</v>
      </c>
      <c r="C50" s="64">
        <v>68.180000000000007</v>
      </c>
      <c r="D50" s="64">
        <v>56.25</v>
      </c>
      <c r="E50" s="64">
        <v>7.2</v>
      </c>
      <c r="F50" s="64">
        <v>2.13</v>
      </c>
      <c r="G50" s="64">
        <v>94.56</v>
      </c>
      <c r="H50" s="64">
        <v>41.72</v>
      </c>
      <c r="I50" s="210" t="s">
        <v>43</v>
      </c>
      <c r="J50" s="64">
        <v>0.22</v>
      </c>
      <c r="K50" s="64">
        <v>248.58</v>
      </c>
      <c r="L50" s="64">
        <v>20.89</v>
      </c>
      <c r="M50" s="64">
        <v>47.25</v>
      </c>
      <c r="N50" s="64">
        <v>395.5</v>
      </c>
      <c r="O50" s="64">
        <v>0</v>
      </c>
      <c r="P50" s="64">
        <v>1.08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1726</v>
      </c>
      <c r="B51" s="64">
        <v>24.76</v>
      </c>
      <c r="C51" s="64">
        <v>69.47</v>
      </c>
      <c r="D51" s="64">
        <v>54.78</v>
      </c>
      <c r="E51" s="64">
        <v>6.86</v>
      </c>
      <c r="F51" s="64">
        <v>2.13</v>
      </c>
      <c r="G51" s="64">
        <v>91.57</v>
      </c>
      <c r="H51" s="64">
        <v>40.61</v>
      </c>
      <c r="I51" s="210" t="s">
        <v>43</v>
      </c>
      <c r="J51" s="64">
        <v>0.38</v>
      </c>
      <c r="K51" s="64">
        <v>141.68</v>
      </c>
      <c r="L51" s="64">
        <v>22.68</v>
      </c>
      <c r="M51" s="64">
        <v>43.31</v>
      </c>
      <c r="N51" s="64">
        <v>564</v>
      </c>
      <c r="O51" s="64">
        <v>0</v>
      </c>
      <c r="P51" s="64">
        <v>1.06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1727</v>
      </c>
      <c r="B52" s="64">
        <v>22.12</v>
      </c>
      <c r="C52" s="64">
        <v>70.89</v>
      </c>
      <c r="D52" s="64">
        <v>53.4</v>
      </c>
      <c r="E52" s="64">
        <v>7.2</v>
      </c>
      <c r="F52" s="64">
        <v>2.13</v>
      </c>
      <c r="G52" s="64">
        <v>90.29</v>
      </c>
      <c r="H52" s="64">
        <v>40.130000000000003</v>
      </c>
      <c r="I52" s="210" t="s">
        <v>43</v>
      </c>
      <c r="J52" s="64">
        <v>1.01</v>
      </c>
      <c r="K52" s="64">
        <v>29.88</v>
      </c>
      <c r="L52" s="64">
        <v>24.14</v>
      </c>
      <c r="M52" s="64">
        <v>40.200000000000003</v>
      </c>
      <c r="N52" s="64">
        <v>587.70000000000005</v>
      </c>
      <c r="O52" s="64">
        <v>0</v>
      </c>
      <c r="P52" s="64">
        <v>1.04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1728</v>
      </c>
      <c r="B53" s="64">
        <v>19.43</v>
      </c>
      <c r="C53" s="64">
        <v>71.650000000000006</v>
      </c>
      <c r="D53" s="64">
        <v>51.64</v>
      </c>
      <c r="E53" s="64">
        <v>7.33</v>
      </c>
      <c r="F53" s="64">
        <v>2.13</v>
      </c>
      <c r="G53" s="64">
        <v>90.29</v>
      </c>
      <c r="H53" s="64">
        <v>40.130000000000003</v>
      </c>
      <c r="I53" s="210" t="s">
        <v>43</v>
      </c>
      <c r="J53" s="64">
        <v>0.36</v>
      </c>
      <c r="K53" s="64">
        <v>2.63</v>
      </c>
      <c r="L53" s="64">
        <v>23.44</v>
      </c>
      <c r="M53" s="64">
        <v>41.14</v>
      </c>
      <c r="N53" s="64">
        <v>601.29999999999995</v>
      </c>
      <c r="O53" s="64">
        <v>0</v>
      </c>
      <c r="P53" s="64">
        <v>0.99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1729</v>
      </c>
      <c r="B54" s="64">
        <v>16.82</v>
      </c>
      <c r="C54" s="64">
        <v>69.94</v>
      </c>
      <c r="D54" s="64">
        <v>48.65</v>
      </c>
      <c r="E54" s="64">
        <v>6.82</v>
      </c>
      <c r="F54" s="64">
        <v>2.13</v>
      </c>
      <c r="G54" s="64">
        <v>90.29</v>
      </c>
      <c r="H54" s="64">
        <v>40.130000000000003</v>
      </c>
      <c r="I54" s="210" t="s">
        <v>43</v>
      </c>
      <c r="J54" s="64">
        <v>0.63</v>
      </c>
      <c r="K54" s="64">
        <v>3.01</v>
      </c>
      <c r="L54" s="64">
        <v>25.1</v>
      </c>
      <c r="M54" s="64">
        <v>35.869999999999997</v>
      </c>
      <c r="N54" s="64">
        <v>602.79999999999995</v>
      </c>
      <c r="O54" s="64">
        <v>0</v>
      </c>
      <c r="P54" s="64">
        <v>0.98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1730</v>
      </c>
      <c r="B55" s="64">
        <v>14.88</v>
      </c>
      <c r="C55" s="64">
        <v>71.2</v>
      </c>
      <c r="D55" s="64">
        <v>47.76</v>
      </c>
      <c r="E55" s="64">
        <v>6.57</v>
      </c>
      <c r="F55" s="64">
        <v>2.13</v>
      </c>
      <c r="G55" s="64">
        <v>87.72</v>
      </c>
      <c r="H55" s="64">
        <v>38.07</v>
      </c>
      <c r="I55" s="210" t="s">
        <v>43</v>
      </c>
      <c r="J55" s="64">
        <v>2.19</v>
      </c>
      <c r="K55" s="64">
        <v>340.4</v>
      </c>
      <c r="L55" s="64">
        <v>27.38</v>
      </c>
      <c r="M55" s="64">
        <v>30.81</v>
      </c>
      <c r="N55" s="64">
        <v>622.9</v>
      </c>
      <c r="O55" s="64">
        <v>0</v>
      </c>
      <c r="P55" s="64">
        <v>0.96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1731</v>
      </c>
      <c r="B56" s="64">
        <v>13.48</v>
      </c>
      <c r="C56" s="64">
        <v>72.19</v>
      </c>
      <c r="D56" s="64">
        <v>47.15</v>
      </c>
      <c r="E56" s="64">
        <v>6.45</v>
      </c>
      <c r="F56" s="64">
        <v>2.13</v>
      </c>
      <c r="G56" s="64">
        <v>86.62</v>
      </c>
      <c r="H56" s="64">
        <v>37.18</v>
      </c>
      <c r="I56" s="210" t="s">
        <v>43</v>
      </c>
      <c r="J56" s="64">
        <v>2.37</v>
      </c>
      <c r="K56" s="64">
        <v>339.08</v>
      </c>
      <c r="L56" s="64">
        <v>27.61</v>
      </c>
      <c r="M56" s="64">
        <v>30.29</v>
      </c>
      <c r="N56" s="64">
        <v>650.5</v>
      </c>
      <c r="O56" s="64">
        <v>0</v>
      </c>
      <c r="P56" s="64">
        <v>0.95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1732</v>
      </c>
      <c r="B57" s="64">
        <v>12.22</v>
      </c>
      <c r="C57" s="64">
        <v>73.040000000000006</v>
      </c>
      <c r="D57" s="64">
        <v>46.59</v>
      </c>
      <c r="E57" s="64">
        <v>6.64</v>
      </c>
      <c r="F57" s="64">
        <v>2.56</v>
      </c>
      <c r="G57" s="64">
        <v>86.62</v>
      </c>
      <c r="H57" s="64">
        <v>37.18</v>
      </c>
      <c r="I57" s="210" t="s">
        <v>43</v>
      </c>
      <c r="J57" s="64">
        <v>2.4500000000000002</v>
      </c>
      <c r="K57" s="64">
        <v>339.22</v>
      </c>
      <c r="L57" s="64">
        <v>28.48</v>
      </c>
      <c r="M57" s="64">
        <v>28.72</v>
      </c>
      <c r="N57" s="64">
        <v>639.20000000000005</v>
      </c>
      <c r="O57" s="64">
        <v>0</v>
      </c>
      <c r="P57" s="64">
        <v>0.92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1733</v>
      </c>
      <c r="B58" s="64">
        <v>7.8</v>
      </c>
      <c r="C58" s="64">
        <v>80.36</v>
      </c>
      <c r="D58" s="64">
        <v>46.86</v>
      </c>
      <c r="E58" s="64">
        <v>9.6</v>
      </c>
      <c r="F58" s="64">
        <v>6.46</v>
      </c>
      <c r="G58" s="64">
        <v>86.62</v>
      </c>
      <c r="H58" s="64">
        <v>37.18</v>
      </c>
      <c r="I58" s="210" t="s">
        <v>43</v>
      </c>
      <c r="J58" s="64">
        <v>2.5099999999999998</v>
      </c>
      <c r="K58" s="64">
        <v>340.31</v>
      </c>
      <c r="L58" s="64">
        <v>27.9</v>
      </c>
      <c r="M58" s="64">
        <v>29.69</v>
      </c>
      <c r="N58" s="64">
        <v>505.9</v>
      </c>
      <c r="O58" s="64">
        <v>0</v>
      </c>
      <c r="P58" s="64">
        <v>0.84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1734</v>
      </c>
      <c r="B59" s="64">
        <v>4.0999999999999996</v>
      </c>
      <c r="C59" s="64">
        <v>82.88</v>
      </c>
      <c r="D59" s="64">
        <v>45.21</v>
      </c>
      <c r="E59" s="64">
        <v>9.5</v>
      </c>
      <c r="F59" s="64">
        <v>9.18</v>
      </c>
      <c r="G59" s="64">
        <v>73.5</v>
      </c>
      <c r="H59" s="64">
        <v>36.94</v>
      </c>
      <c r="I59" s="210" t="s">
        <v>43</v>
      </c>
      <c r="J59" s="64">
        <v>1.98</v>
      </c>
      <c r="K59" s="64">
        <v>150.91</v>
      </c>
      <c r="L59" s="64">
        <v>25.51</v>
      </c>
      <c r="M59" s="64">
        <v>33.630000000000003</v>
      </c>
      <c r="N59" s="64">
        <v>599.79999999999995</v>
      </c>
      <c r="O59" s="64">
        <v>0</v>
      </c>
      <c r="P59" s="64">
        <v>0.78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1735</v>
      </c>
      <c r="B60" s="64">
        <v>2.33</v>
      </c>
      <c r="C60" s="64">
        <v>68.41</v>
      </c>
      <c r="D60" s="64">
        <v>36.229999999999997</v>
      </c>
      <c r="E60" s="64">
        <v>10.85</v>
      </c>
      <c r="F60" s="64">
        <v>22.22</v>
      </c>
      <c r="G60" s="64">
        <v>67.88</v>
      </c>
      <c r="H60" s="64">
        <v>36.840000000000003</v>
      </c>
      <c r="I60" s="210" t="s">
        <v>43</v>
      </c>
      <c r="J60" s="64">
        <v>0.62</v>
      </c>
      <c r="K60" s="64">
        <v>340.7</v>
      </c>
      <c r="L60" s="64">
        <v>24.87</v>
      </c>
      <c r="M60" s="64">
        <v>34.5</v>
      </c>
      <c r="N60" s="64">
        <v>602.20000000000005</v>
      </c>
      <c r="O60" s="64">
        <v>0</v>
      </c>
      <c r="P60" s="64">
        <v>0.61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1736</v>
      </c>
      <c r="B61" s="64">
        <v>2.2799999999999998</v>
      </c>
      <c r="C61" s="64">
        <v>66.08</v>
      </c>
      <c r="D61" s="64">
        <v>34.979999999999997</v>
      </c>
      <c r="E61" s="64">
        <v>10.029999999999999</v>
      </c>
      <c r="F61" s="64">
        <v>9.08</v>
      </c>
      <c r="G61" s="64">
        <v>67.88</v>
      </c>
      <c r="H61" s="64">
        <v>36.840000000000003</v>
      </c>
      <c r="I61" s="210" t="s">
        <v>43</v>
      </c>
      <c r="J61" s="64">
        <v>0.57999999999999996</v>
      </c>
      <c r="K61" s="64">
        <v>77.19</v>
      </c>
      <c r="L61" s="64">
        <v>25.21</v>
      </c>
      <c r="M61" s="64">
        <v>33.090000000000003</v>
      </c>
      <c r="N61" s="64">
        <v>548.29999999999995</v>
      </c>
      <c r="O61" s="64">
        <v>0</v>
      </c>
      <c r="P61" s="64">
        <v>0.69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1737</v>
      </c>
      <c r="B62" s="64">
        <v>2.41</v>
      </c>
      <c r="C62" s="64">
        <v>69.2</v>
      </c>
      <c r="D62" s="64">
        <v>36.71</v>
      </c>
      <c r="E62" s="64">
        <v>11.22</v>
      </c>
      <c r="F62" s="64">
        <v>7.84</v>
      </c>
      <c r="G62" s="64">
        <v>67.88</v>
      </c>
      <c r="H62" s="64">
        <v>36.840000000000003</v>
      </c>
      <c r="I62" s="210" t="s">
        <v>43</v>
      </c>
      <c r="J62" s="64">
        <v>1.28</v>
      </c>
      <c r="K62" s="64">
        <v>112.48</v>
      </c>
      <c r="L62" s="64">
        <v>23.75</v>
      </c>
      <c r="M62" s="64">
        <v>35.299999999999997</v>
      </c>
      <c r="N62" s="64">
        <v>559.79999999999995</v>
      </c>
      <c r="O62" s="64">
        <v>0</v>
      </c>
      <c r="P62" s="64">
        <v>0.7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1738</v>
      </c>
      <c r="B63" s="64">
        <v>2.59</v>
      </c>
      <c r="C63" s="64">
        <v>69.27</v>
      </c>
      <c r="D63" s="64">
        <v>36.89</v>
      </c>
      <c r="E63" s="64">
        <v>9.42</v>
      </c>
      <c r="F63" s="64">
        <v>4.63</v>
      </c>
      <c r="G63" s="64">
        <v>76.56</v>
      </c>
      <c r="H63" s="64">
        <v>35.86</v>
      </c>
      <c r="I63" s="210" t="s">
        <v>43</v>
      </c>
      <c r="J63" s="64">
        <v>0.6</v>
      </c>
      <c r="K63" s="64">
        <v>62.29</v>
      </c>
      <c r="L63" s="64">
        <v>24</v>
      </c>
      <c r="M63" s="64">
        <v>33.29</v>
      </c>
      <c r="N63" s="64">
        <v>526.5</v>
      </c>
      <c r="O63" s="64">
        <v>0</v>
      </c>
      <c r="P63" s="64">
        <v>0.69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1739</v>
      </c>
      <c r="B64" s="64">
        <v>2.65</v>
      </c>
      <c r="C64" s="64">
        <v>67.77</v>
      </c>
      <c r="D64" s="64">
        <v>36.159999999999997</v>
      </c>
      <c r="E64" s="64">
        <v>9.33</v>
      </c>
      <c r="F64" s="64">
        <v>5.47</v>
      </c>
      <c r="G64" s="64">
        <v>80.28</v>
      </c>
      <c r="H64" s="64">
        <v>35.44</v>
      </c>
      <c r="I64" s="210" t="s">
        <v>43</v>
      </c>
      <c r="J64" s="64">
        <v>0.49</v>
      </c>
      <c r="K64" s="64">
        <v>119.02</v>
      </c>
      <c r="L64" s="64">
        <v>24.86</v>
      </c>
      <c r="M64" s="64">
        <v>32.19</v>
      </c>
      <c r="N64" s="64">
        <v>497.6</v>
      </c>
      <c r="O64" s="64">
        <v>0</v>
      </c>
      <c r="P64" s="64">
        <v>0.67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1740</v>
      </c>
      <c r="B65" s="64">
        <v>2.4300000000000002</v>
      </c>
      <c r="C65" s="64">
        <v>65.430000000000007</v>
      </c>
      <c r="D65" s="64">
        <v>34.76</v>
      </c>
      <c r="E65" s="64">
        <v>8.64</v>
      </c>
      <c r="F65" s="64">
        <v>4.26</v>
      </c>
      <c r="G65" s="64">
        <v>80.28</v>
      </c>
      <c r="H65" s="64">
        <v>35.44</v>
      </c>
      <c r="I65" s="210" t="s">
        <v>43</v>
      </c>
      <c r="J65" s="64">
        <v>2.73</v>
      </c>
      <c r="K65" s="64">
        <v>116.53</v>
      </c>
      <c r="L65" s="64">
        <v>22.87</v>
      </c>
      <c r="M65" s="64">
        <v>36.770000000000003</v>
      </c>
      <c r="N65" s="64">
        <v>417.8</v>
      </c>
      <c r="O65" s="64">
        <v>0</v>
      </c>
      <c r="P65" s="64">
        <v>0.66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1741</v>
      </c>
      <c r="B66" s="64">
        <v>2.4500000000000002</v>
      </c>
      <c r="C66" s="64">
        <v>61.99</v>
      </c>
      <c r="D66" s="64">
        <v>32.979999999999997</v>
      </c>
      <c r="E66" s="64">
        <v>8.6999999999999993</v>
      </c>
      <c r="F66" s="64">
        <v>4.18</v>
      </c>
      <c r="G66" s="64">
        <v>80.28</v>
      </c>
      <c r="H66" s="64">
        <v>35.44</v>
      </c>
      <c r="I66" s="210" t="s">
        <v>43</v>
      </c>
      <c r="J66" s="64">
        <v>2.19</v>
      </c>
      <c r="K66" s="64">
        <v>123.99</v>
      </c>
      <c r="L66" s="64">
        <v>22.72</v>
      </c>
      <c r="M66" s="64">
        <v>36.64</v>
      </c>
      <c r="N66" s="64">
        <v>326.3</v>
      </c>
      <c r="O66" s="64">
        <v>0</v>
      </c>
      <c r="P66" s="64">
        <v>0.65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1742</v>
      </c>
      <c r="B67" s="64">
        <v>2.39</v>
      </c>
      <c r="C67" s="64">
        <v>59.62</v>
      </c>
      <c r="D67" s="64">
        <v>31.69</v>
      </c>
      <c r="E67" s="64">
        <v>8.2200000000000006</v>
      </c>
      <c r="F67" s="64">
        <v>4.33</v>
      </c>
      <c r="G67" s="64">
        <v>64.59</v>
      </c>
      <c r="H67" s="64">
        <v>33.15</v>
      </c>
      <c r="I67" s="210" t="s">
        <v>43</v>
      </c>
      <c r="J67" s="64">
        <v>1.83</v>
      </c>
      <c r="K67" s="64">
        <v>343.88</v>
      </c>
      <c r="L67" s="64">
        <v>23.7</v>
      </c>
      <c r="M67" s="64">
        <v>35.270000000000003</v>
      </c>
      <c r="N67" s="64">
        <v>201.8</v>
      </c>
      <c r="O67" s="64">
        <v>0</v>
      </c>
      <c r="P67" s="64">
        <v>0.64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1743</v>
      </c>
      <c r="B68" s="64">
        <v>5.12</v>
      </c>
      <c r="C68" s="64">
        <v>70.89</v>
      </c>
      <c r="D68" s="64">
        <v>39.770000000000003</v>
      </c>
      <c r="E68" s="64">
        <v>9.51</v>
      </c>
      <c r="F68" s="64">
        <v>3.47</v>
      </c>
      <c r="G68" s="64">
        <v>57.86</v>
      </c>
      <c r="H68" s="64">
        <v>32.17</v>
      </c>
      <c r="I68" s="210" t="s">
        <v>43</v>
      </c>
      <c r="J68" s="64">
        <v>1.81</v>
      </c>
      <c r="K68" s="64">
        <v>338.29</v>
      </c>
      <c r="L68" s="64">
        <v>24.5</v>
      </c>
      <c r="M68" s="64">
        <v>33.659999999999997</v>
      </c>
      <c r="N68" s="64">
        <v>200.2</v>
      </c>
      <c r="O68" s="64">
        <v>0</v>
      </c>
      <c r="P68" s="64">
        <v>0.68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1744</v>
      </c>
      <c r="B69" s="64">
        <v>6.68</v>
      </c>
      <c r="C69" s="64">
        <v>97.43</v>
      </c>
      <c r="D69" s="64">
        <v>54.88</v>
      </c>
      <c r="E69" s="64">
        <v>12.54</v>
      </c>
      <c r="F69" s="64">
        <v>4.8</v>
      </c>
      <c r="G69" s="64">
        <v>57.86</v>
      </c>
      <c r="H69" s="64">
        <v>32.17</v>
      </c>
      <c r="I69" s="210" t="s">
        <v>43</v>
      </c>
      <c r="J69" s="64">
        <v>1.41</v>
      </c>
      <c r="K69" s="64">
        <v>96.16</v>
      </c>
      <c r="L69" s="64">
        <v>23.33</v>
      </c>
      <c r="M69" s="64">
        <v>35.520000000000003</v>
      </c>
      <c r="N69" s="64">
        <v>162.80000000000001</v>
      </c>
      <c r="O69" s="64">
        <v>0</v>
      </c>
      <c r="P69" s="64">
        <v>0.76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1745</v>
      </c>
      <c r="B70" s="64">
        <v>4.2</v>
      </c>
      <c r="C70" s="64">
        <v>95.49</v>
      </c>
      <c r="D70" s="64">
        <v>51.88</v>
      </c>
      <c r="E70" s="64">
        <v>10.39</v>
      </c>
      <c r="F70" s="64">
        <v>3.36</v>
      </c>
      <c r="G70" s="64">
        <v>57.86</v>
      </c>
      <c r="H70" s="64">
        <v>32.17</v>
      </c>
      <c r="I70" s="210" t="s">
        <v>43</v>
      </c>
      <c r="J70" s="64">
        <v>1.21</v>
      </c>
      <c r="K70" s="64">
        <v>0.16</v>
      </c>
      <c r="L70" s="64">
        <v>22.85</v>
      </c>
      <c r="M70" s="64">
        <v>36.049999999999997</v>
      </c>
      <c r="N70" s="64">
        <v>164.7</v>
      </c>
      <c r="O70" s="64">
        <v>0</v>
      </c>
      <c r="P70" s="64">
        <v>0.75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1746</v>
      </c>
      <c r="B71" s="64">
        <v>4.1500000000000004</v>
      </c>
      <c r="C71" s="64">
        <v>89.55</v>
      </c>
      <c r="D71" s="64">
        <v>48.74</v>
      </c>
      <c r="E71" s="64">
        <v>9.16</v>
      </c>
      <c r="F71" s="64">
        <v>2.2200000000000002</v>
      </c>
      <c r="G71" s="64">
        <v>79.52</v>
      </c>
      <c r="H71" s="64">
        <v>34.18</v>
      </c>
      <c r="I71" s="210" t="s">
        <v>43</v>
      </c>
      <c r="J71" s="64">
        <v>2.42</v>
      </c>
      <c r="K71" s="64">
        <v>353.59</v>
      </c>
      <c r="L71" s="64">
        <v>22.92</v>
      </c>
      <c r="M71" s="64">
        <v>36.659999999999997</v>
      </c>
      <c r="N71" s="64">
        <v>136.80000000000001</v>
      </c>
      <c r="O71" s="64">
        <v>0</v>
      </c>
      <c r="P71" s="64">
        <v>0.75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1747</v>
      </c>
      <c r="B72" s="64">
        <v>4.6900000000000004</v>
      </c>
      <c r="C72" s="64">
        <v>86.58</v>
      </c>
      <c r="D72" s="64">
        <v>47.62</v>
      </c>
      <c r="E72" s="64">
        <v>6.91</v>
      </c>
      <c r="F72" s="64">
        <v>3.71</v>
      </c>
      <c r="G72" s="64">
        <v>88.8</v>
      </c>
      <c r="H72" s="64">
        <v>35.04</v>
      </c>
      <c r="I72" s="210" t="s">
        <v>43</v>
      </c>
      <c r="J72" s="64">
        <v>3.11</v>
      </c>
      <c r="K72" s="64">
        <v>350.09</v>
      </c>
      <c r="L72" s="64">
        <v>22.61</v>
      </c>
      <c r="M72" s="64">
        <v>37.76</v>
      </c>
      <c r="N72" s="64">
        <v>129.5</v>
      </c>
      <c r="O72" s="64">
        <v>0</v>
      </c>
      <c r="P72" s="64">
        <v>0.72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1748</v>
      </c>
      <c r="B73" s="64">
        <v>4.08</v>
      </c>
      <c r="C73" s="64">
        <v>85.68</v>
      </c>
      <c r="D73" s="64">
        <v>46.66</v>
      </c>
      <c r="E73" s="64">
        <v>7.89</v>
      </c>
      <c r="F73" s="64">
        <v>5.88</v>
      </c>
      <c r="G73" s="64">
        <v>88.8</v>
      </c>
      <c r="H73" s="64">
        <v>35.04</v>
      </c>
      <c r="I73" s="210" t="s">
        <v>43</v>
      </c>
      <c r="J73" s="64">
        <v>2.86</v>
      </c>
      <c r="K73" s="64">
        <v>349.5</v>
      </c>
      <c r="L73" s="64">
        <v>22.23</v>
      </c>
      <c r="M73" s="64">
        <v>38.72</v>
      </c>
      <c r="N73" s="64">
        <v>120.2</v>
      </c>
      <c r="O73" s="64">
        <v>0</v>
      </c>
      <c r="P73" s="64">
        <v>0.76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1749</v>
      </c>
      <c r="B74" s="64">
        <v>3.5</v>
      </c>
      <c r="C74" s="64">
        <v>85.37</v>
      </c>
      <c r="D74" s="64">
        <v>46.03</v>
      </c>
      <c r="E74" s="64">
        <v>7.64</v>
      </c>
      <c r="F74" s="64">
        <v>5.61</v>
      </c>
      <c r="G74" s="64">
        <v>88.8</v>
      </c>
      <c r="H74" s="64">
        <v>35.04</v>
      </c>
      <c r="I74" s="210" t="s">
        <v>43</v>
      </c>
      <c r="J74" s="64">
        <v>3.41</v>
      </c>
      <c r="K74" s="64">
        <v>346.93</v>
      </c>
      <c r="L74" s="64">
        <v>21.81</v>
      </c>
      <c r="M74" s="64">
        <v>40.08</v>
      </c>
      <c r="N74" s="64">
        <v>112.8</v>
      </c>
      <c r="O74" s="64">
        <v>0</v>
      </c>
      <c r="P74" s="64">
        <v>0.75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1750</v>
      </c>
      <c r="B75" s="64">
        <v>3.69</v>
      </c>
      <c r="C75" s="64">
        <v>83.72</v>
      </c>
      <c r="D75" s="64">
        <v>45.32</v>
      </c>
      <c r="E75" s="64">
        <v>7.47</v>
      </c>
      <c r="F75" s="64">
        <v>4.22</v>
      </c>
      <c r="G75" s="64">
        <v>79.75</v>
      </c>
      <c r="H75" s="64">
        <v>35.57</v>
      </c>
      <c r="I75" s="210" t="s">
        <v>43</v>
      </c>
      <c r="J75" s="64">
        <v>3.01</v>
      </c>
      <c r="K75" s="64">
        <v>347.94</v>
      </c>
      <c r="L75" s="64">
        <v>21.57</v>
      </c>
      <c r="M75" s="64">
        <v>40.76</v>
      </c>
      <c r="N75" s="64">
        <v>107.3</v>
      </c>
      <c r="O75" s="64">
        <v>0</v>
      </c>
      <c r="P75" s="64">
        <v>0.76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1751</v>
      </c>
      <c r="B76" s="64">
        <v>3.99</v>
      </c>
      <c r="C76" s="64">
        <v>83.06</v>
      </c>
      <c r="D76" s="64">
        <v>45.22</v>
      </c>
      <c r="E76" s="64">
        <v>8.07</v>
      </c>
      <c r="F76" s="64">
        <v>3.09</v>
      </c>
      <c r="G76" s="64">
        <v>75.87</v>
      </c>
      <c r="H76" s="64">
        <v>35.79</v>
      </c>
      <c r="I76" s="210" t="s">
        <v>43</v>
      </c>
      <c r="J76" s="64">
        <v>2.96</v>
      </c>
      <c r="K76" s="64">
        <v>346.2</v>
      </c>
      <c r="L76" s="64">
        <v>21.25</v>
      </c>
      <c r="M76" s="64">
        <v>44.22</v>
      </c>
      <c r="N76" s="64">
        <v>96.9</v>
      </c>
      <c r="O76" s="64">
        <v>0</v>
      </c>
      <c r="P76" s="64">
        <v>0.8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1752</v>
      </c>
      <c r="B77" s="64">
        <v>4.3099999999999996</v>
      </c>
      <c r="C77" s="64">
        <v>81.42</v>
      </c>
      <c r="D77" s="64">
        <v>44.62</v>
      </c>
      <c r="E77" s="64">
        <v>7.03</v>
      </c>
      <c r="F77" s="64">
        <v>2.13</v>
      </c>
      <c r="G77" s="64">
        <v>0</v>
      </c>
      <c r="H77" s="64">
        <v>35.79</v>
      </c>
      <c r="I77" s="210" t="s">
        <v>43</v>
      </c>
      <c r="J77" s="64">
        <v>3.65</v>
      </c>
      <c r="K77" s="64">
        <v>341.1</v>
      </c>
      <c r="L77" s="64">
        <v>49.06</v>
      </c>
      <c r="M77" s="64">
        <v>46.7</v>
      </c>
      <c r="N77" s="64">
        <v>89.3</v>
      </c>
      <c r="O77" s="64">
        <v>0</v>
      </c>
      <c r="P77" s="64">
        <v>0.79</v>
      </c>
      <c r="Q77" s="64">
        <v>0</v>
      </c>
      <c r="R77" s="198"/>
      <c r="S77" s="198"/>
      <c r="T77" s="198"/>
      <c r="U77" s="198"/>
    </row>
    <row r="78" spans="1:21" s="12" customFormat="1" x14ac:dyDescent="0.25">
      <c r="A78" s="214" t="s">
        <v>1753</v>
      </c>
      <c r="B78" s="64">
        <v>4.55</v>
      </c>
      <c r="C78" s="64">
        <v>83.26</v>
      </c>
      <c r="D78" s="64">
        <v>45.77</v>
      </c>
      <c r="E78" s="64">
        <v>6.89</v>
      </c>
      <c r="F78" s="64">
        <v>2.13</v>
      </c>
      <c r="G78" s="64">
        <v>75.87</v>
      </c>
      <c r="H78" s="64">
        <v>35.79</v>
      </c>
      <c r="I78" s="210" t="s">
        <v>43</v>
      </c>
      <c r="J78" s="64">
        <v>2.94</v>
      </c>
      <c r="K78" s="64">
        <v>349.61</v>
      </c>
      <c r="L78" s="64">
        <v>19.940000000000001</v>
      </c>
      <c r="M78" s="64">
        <v>49.69</v>
      </c>
      <c r="N78" s="64">
        <v>75.3</v>
      </c>
      <c r="O78" s="64">
        <v>0</v>
      </c>
      <c r="P78" s="64">
        <v>0.81</v>
      </c>
      <c r="Q78" s="64">
        <v>0</v>
      </c>
      <c r="R78" s="198"/>
      <c r="S78" s="198"/>
      <c r="T78" s="198"/>
      <c r="U78" s="198"/>
    </row>
    <row r="79" spans="1:21" s="12" customFormat="1" x14ac:dyDescent="0.25">
      <c r="A79" s="214" t="s">
        <v>1754</v>
      </c>
      <c r="B79" s="64">
        <v>4.72</v>
      </c>
      <c r="C79" s="64">
        <v>83.02</v>
      </c>
      <c r="D79" s="64">
        <v>45.78</v>
      </c>
      <c r="E79" s="64">
        <v>6.58</v>
      </c>
      <c r="F79" s="64">
        <v>2.13</v>
      </c>
      <c r="G79" s="64">
        <v>87.3</v>
      </c>
      <c r="H79" s="64">
        <v>35.119999999999997</v>
      </c>
      <c r="I79" s="210" t="s">
        <v>43</v>
      </c>
      <c r="J79" s="64">
        <v>3.48</v>
      </c>
      <c r="K79" s="64">
        <v>347.4</v>
      </c>
      <c r="L79" s="64">
        <v>19.899999999999999</v>
      </c>
      <c r="M79" s="64">
        <v>51.46</v>
      </c>
      <c r="N79" s="64">
        <v>72.3</v>
      </c>
      <c r="O79" s="64">
        <v>0</v>
      </c>
      <c r="P79" s="64">
        <v>0.82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1755</v>
      </c>
      <c r="B80" s="64">
        <v>4.66</v>
      </c>
      <c r="C80" s="64">
        <v>81.209999999999994</v>
      </c>
      <c r="D80" s="64">
        <v>44.78</v>
      </c>
      <c r="E80" s="64">
        <v>6.13</v>
      </c>
      <c r="F80" s="64">
        <v>2.13</v>
      </c>
      <c r="G80" s="64">
        <v>92.2</v>
      </c>
      <c r="H80" s="64">
        <v>34.82</v>
      </c>
      <c r="I80" s="210" t="s">
        <v>43</v>
      </c>
      <c r="J80" s="64">
        <v>3.07</v>
      </c>
      <c r="K80" s="64">
        <v>347.88</v>
      </c>
      <c r="L80" s="64">
        <v>19.54</v>
      </c>
      <c r="M80" s="64">
        <v>52.16</v>
      </c>
      <c r="N80" s="64">
        <v>70.8</v>
      </c>
      <c r="O80" s="64">
        <v>0</v>
      </c>
      <c r="P80" s="64">
        <v>0.84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1756</v>
      </c>
      <c r="B81" s="64">
        <v>4.67</v>
      </c>
      <c r="C81" s="64">
        <v>79.73</v>
      </c>
      <c r="D81" s="64">
        <v>44.03</v>
      </c>
      <c r="E81" s="64">
        <v>5.99</v>
      </c>
      <c r="F81" s="64">
        <v>2.13</v>
      </c>
      <c r="G81" s="64">
        <v>92.2</v>
      </c>
      <c r="H81" s="64">
        <v>34.82</v>
      </c>
      <c r="I81" s="210" t="s">
        <v>43</v>
      </c>
      <c r="J81" s="64">
        <v>3.18</v>
      </c>
      <c r="K81" s="64">
        <v>348.32</v>
      </c>
      <c r="L81" s="64">
        <v>19.27</v>
      </c>
      <c r="M81" s="64">
        <v>53.09</v>
      </c>
      <c r="N81" s="64">
        <v>70.3</v>
      </c>
      <c r="O81" s="64">
        <v>0</v>
      </c>
      <c r="P81" s="64">
        <v>0.85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1757</v>
      </c>
      <c r="B82" s="64">
        <v>5.03</v>
      </c>
      <c r="C82" s="64">
        <v>78.95</v>
      </c>
      <c r="D82" s="64">
        <v>43.91</v>
      </c>
      <c r="E82" s="64">
        <v>5.68</v>
      </c>
      <c r="F82" s="64">
        <v>2.13</v>
      </c>
      <c r="G82" s="64">
        <v>92.2</v>
      </c>
      <c r="H82" s="64">
        <v>34.82</v>
      </c>
      <c r="I82" s="210" t="s">
        <v>43</v>
      </c>
      <c r="J82" s="64">
        <v>2.89</v>
      </c>
      <c r="K82" s="64">
        <v>348.99</v>
      </c>
      <c r="L82" s="64">
        <v>19.03</v>
      </c>
      <c r="M82" s="64">
        <v>53.27</v>
      </c>
      <c r="N82" s="64">
        <v>70.400000000000006</v>
      </c>
      <c r="O82" s="64">
        <v>0</v>
      </c>
      <c r="P82" s="64">
        <v>0.86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1758</v>
      </c>
      <c r="B83" s="64">
        <v>5.45</v>
      </c>
      <c r="C83" s="64">
        <v>78.36</v>
      </c>
      <c r="D83" s="64">
        <v>43.93</v>
      </c>
      <c r="E83" s="64">
        <v>5.24</v>
      </c>
      <c r="F83" s="64">
        <v>2.13</v>
      </c>
      <c r="G83" s="64">
        <v>91.44</v>
      </c>
      <c r="H83" s="64">
        <v>36.130000000000003</v>
      </c>
      <c r="I83" s="210" t="s">
        <v>43</v>
      </c>
      <c r="J83" s="64">
        <v>2.63</v>
      </c>
      <c r="K83" s="64">
        <v>348.84</v>
      </c>
      <c r="L83" s="64">
        <v>18.91</v>
      </c>
      <c r="M83" s="64">
        <v>54.53</v>
      </c>
      <c r="N83" s="64">
        <v>70.5</v>
      </c>
      <c r="O83" s="64">
        <v>0</v>
      </c>
      <c r="P83" s="64">
        <v>0.88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1759</v>
      </c>
      <c r="B84" s="64">
        <v>6.41</v>
      </c>
      <c r="C84" s="64">
        <v>78.28</v>
      </c>
      <c r="D84" s="64">
        <v>44.66</v>
      </c>
      <c r="E84" s="64">
        <v>5.5</v>
      </c>
      <c r="F84" s="64">
        <v>2.13</v>
      </c>
      <c r="G84" s="64">
        <v>91.11</v>
      </c>
      <c r="H84" s="64">
        <v>36.72</v>
      </c>
      <c r="I84" s="210" t="s">
        <v>43</v>
      </c>
      <c r="J84" s="64">
        <v>2.74</v>
      </c>
      <c r="K84" s="64">
        <v>350.75</v>
      </c>
      <c r="L84" s="64">
        <v>18.71</v>
      </c>
      <c r="M84" s="64">
        <v>54.94</v>
      </c>
      <c r="N84" s="64">
        <v>70.400000000000006</v>
      </c>
      <c r="O84" s="64">
        <v>0</v>
      </c>
      <c r="P84" s="64">
        <v>0.91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1760</v>
      </c>
      <c r="B85" s="64">
        <v>7.2</v>
      </c>
      <c r="C85" s="64">
        <v>78.11</v>
      </c>
      <c r="D85" s="64">
        <v>45.2</v>
      </c>
      <c r="E85" s="64">
        <v>5.36</v>
      </c>
      <c r="F85" s="64">
        <v>2.13</v>
      </c>
      <c r="G85" s="64">
        <v>91.11</v>
      </c>
      <c r="H85" s="64">
        <v>36.72</v>
      </c>
      <c r="I85" s="210" t="s">
        <v>43</v>
      </c>
      <c r="J85" s="64">
        <v>2.37</v>
      </c>
      <c r="K85" s="64">
        <v>351.47</v>
      </c>
      <c r="L85" s="64">
        <v>18.579999999999998</v>
      </c>
      <c r="M85" s="64">
        <v>54.98</v>
      </c>
      <c r="N85" s="64">
        <v>70.5</v>
      </c>
      <c r="O85" s="64">
        <v>0</v>
      </c>
      <c r="P85" s="64">
        <v>0.83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1761</v>
      </c>
      <c r="B86" s="64">
        <v>7.81</v>
      </c>
      <c r="C86" s="64">
        <v>77.78</v>
      </c>
      <c r="D86" s="64">
        <v>45.52</v>
      </c>
      <c r="E86" s="64">
        <v>5.19</v>
      </c>
      <c r="F86" s="64">
        <v>2.13</v>
      </c>
      <c r="G86" s="64">
        <v>91.11</v>
      </c>
      <c r="H86" s="64">
        <v>36.72</v>
      </c>
      <c r="I86" s="210" t="s">
        <v>43</v>
      </c>
      <c r="J86" s="64">
        <v>2.95</v>
      </c>
      <c r="K86" s="64">
        <v>348.93</v>
      </c>
      <c r="L86" s="64">
        <v>18.45</v>
      </c>
      <c r="M86" s="64">
        <v>55.98</v>
      </c>
      <c r="N86" s="64">
        <v>70.400000000000006</v>
      </c>
      <c r="O86" s="64">
        <v>0</v>
      </c>
      <c r="P86" s="64">
        <v>0.89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1762</v>
      </c>
      <c r="B87" s="64">
        <v>8.35</v>
      </c>
      <c r="C87" s="64">
        <v>75.17</v>
      </c>
      <c r="D87" s="64">
        <v>44.6</v>
      </c>
      <c r="E87" s="64">
        <v>5.34</v>
      </c>
      <c r="F87" s="64">
        <v>2.13</v>
      </c>
      <c r="G87" s="64">
        <v>98.88</v>
      </c>
      <c r="H87" s="64">
        <v>36.06</v>
      </c>
      <c r="I87" s="210" t="s">
        <v>43</v>
      </c>
      <c r="J87" s="64">
        <v>2.56</v>
      </c>
      <c r="K87" s="64">
        <v>349.25</v>
      </c>
      <c r="L87" s="64">
        <v>18.32</v>
      </c>
      <c r="M87" s="64">
        <v>57.99</v>
      </c>
      <c r="N87" s="64">
        <v>70.599999999999994</v>
      </c>
      <c r="O87" s="64">
        <v>0</v>
      </c>
      <c r="P87" s="64">
        <v>0.96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1763</v>
      </c>
      <c r="B88" s="64">
        <v>8.82</v>
      </c>
      <c r="C88" s="64">
        <v>74.5</v>
      </c>
      <c r="D88" s="64">
        <v>44.62</v>
      </c>
      <c r="E88" s="64">
        <v>5.16</v>
      </c>
      <c r="F88" s="64">
        <v>2.13</v>
      </c>
      <c r="G88" s="64">
        <v>102.21</v>
      </c>
      <c r="H88" s="64">
        <v>35.78</v>
      </c>
      <c r="I88" s="210" t="s">
        <v>43</v>
      </c>
      <c r="J88" s="64">
        <v>1.45</v>
      </c>
      <c r="K88" s="64">
        <v>337.59</v>
      </c>
      <c r="L88" s="64">
        <v>18.010000000000002</v>
      </c>
      <c r="M88" s="64">
        <v>59.67</v>
      </c>
      <c r="N88" s="64">
        <v>70.599999999999994</v>
      </c>
      <c r="O88" s="64">
        <v>0</v>
      </c>
      <c r="P88" s="64">
        <v>1.04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1764</v>
      </c>
      <c r="B89" s="64">
        <v>9.85</v>
      </c>
      <c r="C89" s="64">
        <v>74.69</v>
      </c>
      <c r="D89" s="64">
        <v>45.54</v>
      </c>
      <c r="E89" s="64">
        <v>5.0599999999999996</v>
      </c>
      <c r="F89" s="64">
        <v>2.13</v>
      </c>
      <c r="G89" s="64">
        <v>102.21</v>
      </c>
      <c r="H89" s="64">
        <v>35.78</v>
      </c>
      <c r="I89" s="210" t="s">
        <v>43</v>
      </c>
      <c r="J89" s="64">
        <v>2.2599999999999998</v>
      </c>
      <c r="K89" s="64">
        <v>350.51</v>
      </c>
      <c r="L89" s="64">
        <v>17.760000000000002</v>
      </c>
      <c r="M89" s="64">
        <v>62.17</v>
      </c>
      <c r="N89" s="64">
        <v>70.400000000000006</v>
      </c>
      <c r="O89" s="64">
        <v>0</v>
      </c>
      <c r="P89" s="64">
        <v>1.1299999999999999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1765</v>
      </c>
      <c r="B90" s="64">
        <v>11.75</v>
      </c>
      <c r="C90" s="64">
        <v>74.760000000000005</v>
      </c>
      <c r="D90" s="64">
        <v>47.11</v>
      </c>
      <c r="E90" s="64">
        <v>5.21</v>
      </c>
      <c r="F90" s="64">
        <v>2.13</v>
      </c>
      <c r="G90" s="64">
        <v>102.21</v>
      </c>
      <c r="H90" s="64">
        <v>35.78</v>
      </c>
      <c r="I90" s="210" t="s">
        <v>43</v>
      </c>
      <c r="J90" s="64">
        <v>2.17</v>
      </c>
      <c r="K90" s="64">
        <v>349.14</v>
      </c>
      <c r="L90" s="64">
        <v>17.62</v>
      </c>
      <c r="M90" s="64">
        <v>64.010000000000005</v>
      </c>
      <c r="N90" s="64">
        <v>70.5</v>
      </c>
      <c r="O90" s="64">
        <v>0</v>
      </c>
      <c r="P90" s="64">
        <v>1.18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1766</v>
      </c>
      <c r="B91" s="64">
        <v>13.83</v>
      </c>
      <c r="C91" s="64">
        <v>74.06</v>
      </c>
      <c r="D91" s="64">
        <v>48.41</v>
      </c>
      <c r="E91" s="64">
        <v>5.21</v>
      </c>
      <c r="F91" s="64">
        <v>2.13</v>
      </c>
      <c r="G91" s="64">
        <v>118.81</v>
      </c>
      <c r="H91" s="64">
        <v>38.28</v>
      </c>
      <c r="I91" s="210" t="s">
        <v>43</v>
      </c>
      <c r="J91" s="64">
        <v>2.4</v>
      </c>
      <c r="K91" s="64">
        <v>349.67</v>
      </c>
      <c r="L91" s="64">
        <v>17.649999999999999</v>
      </c>
      <c r="M91" s="64">
        <v>63.56</v>
      </c>
      <c r="N91" s="64">
        <v>70.2</v>
      </c>
      <c r="O91" s="64">
        <v>0</v>
      </c>
      <c r="P91" s="64">
        <v>1.1200000000000001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1767</v>
      </c>
      <c r="B92" s="64">
        <v>15.13</v>
      </c>
      <c r="C92" s="64">
        <v>73.790000000000006</v>
      </c>
      <c r="D92" s="64">
        <v>49.31</v>
      </c>
      <c r="E92" s="64">
        <v>6.14</v>
      </c>
      <c r="F92" s="64">
        <v>2.13</v>
      </c>
      <c r="G92" s="64">
        <v>125.92</v>
      </c>
      <c r="H92" s="64">
        <v>39.35</v>
      </c>
      <c r="I92" s="210" t="s">
        <v>43</v>
      </c>
      <c r="J92" s="64">
        <v>2.7</v>
      </c>
      <c r="K92" s="64">
        <v>348.94</v>
      </c>
      <c r="L92" s="64">
        <v>17.62</v>
      </c>
      <c r="M92" s="64">
        <v>60.61</v>
      </c>
      <c r="N92" s="64">
        <v>70.3</v>
      </c>
      <c r="O92" s="64">
        <v>0</v>
      </c>
      <c r="P92" s="64">
        <v>1.1100000000000001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1768</v>
      </c>
      <c r="B93" s="64">
        <v>15.38</v>
      </c>
      <c r="C93" s="64">
        <v>73.319999999999993</v>
      </c>
      <c r="D93" s="64">
        <v>49.27</v>
      </c>
      <c r="E93" s="64">
        <v>5.42</v>
      </c>
      <c r="F93" s="64">
        <v>2.13</v>
      </c>
      <c r="G93" s="64">
        <v>125.92</v>
      </c>
      <c r="H93" s="64">
        <v>39.35</v>
      </c>
      <c r="I93" s="210" t="s">
        <v>43</v>
      </c>
      <c r="J93" s="64">
        <v>2.52</v>
      </c>
      <c r="K93" s="64">
        <v>350.69</v>
      </c>
      <c r="L93" s="64">
        <v>17.510000000000002</v>
      </c>
      <c r="M93" s="64">
        <v>60.51</v>
      </c>
      <c r="N93" s="64">
        <v>70.5</v>
      </c>
      <c r="O93" s="64">
        <v>0</v>
      </c>
      <c r="P93" s="64">
        <v>1.1200000000000001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1769</v>
      </c>
      <c r="B94" s="64">
        <v>15.8</v>
      </c>
      <c r="C94" s="64">
        <v>73.42</v>
      </c>
      <c r="D94" s="64">
        <v>49.65</v>
      </c>
      <c r="E94" s="64">
        <v>5.41</v>
      </c>
      <c r="F94" s="64">
        <v>2.13</v>
      </c>
      <c r="G94" s="64">
        <v>125.92</v>
      </c>
      <c r="H94" s="64">
        <v>39.35</v>
      </c>
      <c r="I94" s="210" t="s">
        <v>43</v>
      </c>
      <c r="J94" s="64">
        <v>2.3199999999999998</v>
      </c>
      <c r="K94" s="64">
        <v>349.83</v>
      </c>
      <c r="L94" s="64">
        <v>17.47</v>
      </c>
      <c r="M94" s="64">
        <v>61.44</v>
      </c>
      <c r="N94" s="64">
        <v>70.5</v>
      </c>
      <c r="O94" s="64">
        <v>0</v>
      </c>
      <c r="P94" s="64">
        <v>1.1100000000000001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1770</v>
      </c>
      <c r="B95" s="64">
        <v>16.5</v>
      </c>
      <c r="C95" s="64">
        <v>74.25</v>
      </c>
      <c r="D95" s="64">
        <v>50.65</v>
      </c>
      <c r="E95" s="64">
        <v>5.44</v>
      </c>
      <c r="F95" s="64">
        <v>2.13</v>
      </c>
      <c r="G95" s="64">
        <v>119.78</v>
      </c>
      <c r="H95" s="64">
        <v>38.35</v>
      </c>
      <c r="I95" s="210" t="s">
        <v>43</v>
      </c>
      <c r="J95" s="64">
        <v>2.12</v>
      </c>
      <c r="K95" s="64">
        <v>350.71</v>
      </c>
      <c r="L95" s="64">
        <v>17.329999999999998</v>
      </c>
      <c r="M95" s="64">
        <v>61.85</v>
      </c>
      <c r="N95" s="64">
        <v>70.400000000000006</v>
      </c>
      <c r="O95" s="64">
        <v>0</v>
      </c>
      <c r="P95" s="64">
        <v>1.1100000000000001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1771</v>
      </c>
      <c r="B96" s="64">
        <v>17.27</v>
      </c>
      <c r="C96" s="64">
        <v>73.540000000000006</v>
      </c>
      <c r="D96" s="64">
        <v>50.9</v>
      </c>
      <c r="E96" s="64">
        <v>5.14</v>
      </c>
      <c r="F96" s="64">
        <v>2.25</v>
      </c>
      <c r="G96" s="64">
        <v>117.15</v>
      </c>
      <c r="H96" s="64">
        <v>37.92</v>
      </c>
      <c r="I96" s="210" t="s">
        <v>43</v>
      </c>
      <c r="J96" s="64">
        <v>2.0499999999999998</v>
      </c>
      <c r="K96" s="64">
        <v>355.02</v>
      </c>
      <c r="L96" s="64">
        <v>17.21</v>
      </c>
      <c r="M96" s="64">
        <v>62.56</v>
      </c>
      <c r="N96" s="64">
        <v>70.400000000000006</v>
      </c>
      <c r="O96" s="64">
        <v>0</v>
      </c>
      <c r="P96" s="64">
        <v>1.1200000000000001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1772</v>
      </c>
      <c r="B97" s="64">
        <v>18.97</v>
      </c>
      <c r="C97" s="64">
        <v>73.05</v>
      </c>
      <c r="D97" s="64">
        <v>52.01</v>
      </c>
      <c r="E97" s="64">
        <v>5.55</v>
      </c>
      <c r="F97" s="64">
        <v>2.13</v>
      </c>
      <c r="G97" s="64">
        <v>117.15</v>
      </c>
      <c r="H97" s="64">
        <v>37.92</v>
      </c>
      <c r="I97" s="210" t="s">
        <v>43</v>
      </c>
      <c r="J97" s="64">
        <v>2.02</v>
      </c>
      <c r="K97" s="64">
        <v>353.26</v>
      </c>
      <c r="L97" s="64">
        <v>17.13</v>
      </c>
      <c r="M97" s="64">
        <v>62.06</v>
      </c>
      <c r="N97" s="64">
        <v>70.3</v>
      </c>
      <c r="O97" s="64">
        <v>0</v>
      </c>
      <c r="P97" s="64">
        <v>1.1499999999999999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4" t="s">
        <v>1773</v>
      </c>
      <c r="B98" s="64">
        <v>20.37</v>
      </c>
      <c r="C98" s="64">
        <v>72.489999999999995</v>
      </c>
      <c r="D98" s="64">
        <v>52.84</v>
      </c>
      <c r="E98" s="64">
        <v>5.3</v>
      </c>
      <c r="F98" s="64">
        <v>2.13</v>
      </c>
      <c r="G98" s="64">
        <v>117.15</v>
      </c>
      <c r="H98" s="64">
        <v>37.92</v>
      </c>
      <c r="I98" s="210" t="s">
        <v>43</v>
      </c>
      <c r="J98" s="64">
        <v>1.95</v>
      </c>
      <c r="K98" s="64">
        <v>347.73</v>
      </c>
      <c r="L98" s="64">
        <v>16.940000000000001</v>
      </c>
      <c r="M98" s="64">
        <v>61.99</v>
      </c>
      <c r="N98" s="64">
        <v>70.3</v>
      </c>
      <c r="O98" s="64">
        <v>0</v>
      </c>
      <c r="P98" s="64">
        <v>1.18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4" t="s">
        <v>1774</v>
      </c>
      <c r="B99" s="64">
        <v>21.23</v>
      </c>
      <c r="C99" s="64">
        <v>71.92</v>
      </c>
      <c r="D99" s="64">
        <v>53.23</v>
      </c>
      <c r="E99" s="64">
        <v>5.4</v>
      </c>
      <c r="F99" s="64">
        <v>2.13</v>
      </c>
      <c r="G99" s="64">
        <v>125.64</v>
      </c>
      <c r="H99" s="64">
        <v>38.56</v>
      </c>
      <c r="I99" s="210" t="s">
        <v>43</v>
      </c>
      <c r="J99" s="64">
        <v>2.38</v>
      </c>
      <c r="K99" s="64">
        <v>346.71</v>
      </c>
      <c r="L99" s="64">
        <v>16.829999999999998</v>
      </c>
      <c r="M99" s="64">
        <v>59.77</v>
      </c>
      <c r="N99" s="64">
        <v>70</v>
      </c>
      <c r="O99" s="64">
        <v>0</v>
      </c>
      <c r="P99" s="64">
        <v>1.19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4" t="s">
        <v>1775</v>
      </c>
      <c r="B100" s="64">
        <v>21.44</v>
      </c>
      <c r="C100" s="64">
        <v>71.13</v>
      </c>
      <c r="D100" s="64">
        <v>52.98</v>
      </c>
      <c r="E100" s="64">
        <v>5.4</v>
      </c>
      <c r="F100" s="64">
        <v>2.13</v>
      </c>
      <c r="G100" s="64">
        <v>129.28</v>
      </c>
      <c r="H100" s="64">
        <v>38.83</v>
      </c>
      <c r="I100" s="210" t="s">
        <v>43</v>
      </c>
      <c r="J100" s="64">
        <v>2.2999999999999998</v>
      </c>
      <c r="K100" s="64">
        <v>348.22</v>
      </c>
      <c r="L100" s="64">
        <v>16.77</v>
      </c>
      <c r="M100" s="64">
        <v>56.56</v>
      </c>
      <c r="N100" s="64">
        <v>70.3</v>
      </c>
      <c r="O100" s="64">
        <v>0</v>
      </c>
      <c r="P100" s="64">
        <v>1.1599999999999999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1776</v>
      </c>
      <c r="B101" s="64">
        <v>20.74</v>
      </c>
      <c r="C101" s="64">
        <v>70.06</v>
      </c>
      <c r="D101" s="64">
        <v>51.86</v>
      </c>
      <c r="E101" s="64">
        <v>5.27</v>
      </c>
      <c r="F101" s="64">
        <v>2.13</v>
      </c>
      <c r="G101" s="64">
        <v>129.28</v>
      </c>
      <c r="H101" s="64">
        <v>38.83</v>
      </c>
      <c r="I101" s="210" t="s">
        <v>43</v>
      </c>
      <c r="J101" s="64">
        <v>1.8</v>
      </c>
      <c r="K101" s="64">
        <v>342.56</v>
      </c>
      <c r="L101" s="64">
        <v>16.57</v>
      </c>
      <c r="M101" s="64">
        <v>56.14</v>
      </c>
      <c r="N101" s="64">
        <v>70.5</v>
      </c>
      <c r="O101" s="64">
        <v>0</v>
      </c>
      <c r="P101" s="64">
        <v>1.1399999999999999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4" t="s">
        <v>1777</v>
      </c>
      <c r="B102" s="64">
        <v>19.920000000000002</v>
      </c>
      <c r="C102" s="64">
        <v>68.680000000000007</v>
      </c>
      <c r="D102" s="64">
        <v>50.48</v>
      </c>
      <c r="E102" s="64">
        <v>4.51</v>
      </c>
      <c r="F102" s="64">
        <v>2.13</v>
      </c>
      <c r="G102" s="64">
        <v>129.28</v>
      </c>
      <c r="H102" s="64">
        <v>38.83</v>
      </c>
      <c r="I102" s="210" t="s">
        <v>43</v>
      </c>
      <c r="J102" s="64">
        <v>1.99</v>
      </c>
      <c r="K102" s="64">
        <v>341.93</v>
      </c>
      <c r="L102" s="64">
        <v>16.420000000000002</v>
      </c>
      <c r="M102" s="64">
        <v>55.22</v>
      </c>
      <c r="N102" s="64">
        <v>70.400000000000006</v>
      </c>
      <c r="O102" s="64">
        <v>0</v>
      </c>
      <c r="P102" s="64">
        <v>1.1100000000000001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4" t="s">
        <v>1778</v>
      </c>
      <c r="B103" s="64">
        <v>19.25</v>
      </c>
      <c r="C103" s="64">
        <v>67.03</v>
      </c>
      <c r="D103" s="64">
        <v>49.08</v>
      </c>
      <c r="E103" s="64">
        <v>4.2699999999999996</v>
      </c>
      <c r="F103" s="64">
        <v>2.13</v>
      </c>
      <c r="G103" s="64">
        <v>106.79</v>
      </c>
      <c r="H103" s="64">
        <v>37.020000000000003</v>
      </c>
      <c r="I103" s="210" t="s">
        <v>43</v>
      </c>
      <c r="J103" s="64">
        <v>1.4</v>
      </c>
      <c r="K103" s="64">
        <v>344.75</v>
      </c>
      <c r="L103" s="64">
        <v>16.27</v>
      </c>
      <c r="M103" s="64">
        <v>55.51</v>
      </c>
      <c r="N103" s="64">
        <v>70.400000000000006</v>
      </c>
      <c r="O103" s="64">
        <v>0</v>
      </c>
      <c r="P103" s="64">
        <v>1.05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4" t="s">
        <v>1779</v>
      </c>
      <c r="B104" s="64">
        <v>18.649999999999999</v>
      </c>
      <c r="C104" s="64">
        <v>62.79</v>
      </c>
      <c r="D104" s="64">
        <v>46.38</v>
      </c>
      <c r="E104" s="64">
        <v>6.68</v>
      </c>
      <c r="F104" s="64">
        <v>2.13</v>
      </c>
      <c r="G104" s="64">
        <v>97.15</v>
      </c>
      <c r="H104" s="64">
        <v>36.25</v>
      </c>
      <c r="I104" s="210" t="s">
        <v>43</v>
      </c>
      <c r="J104" s="64">
        <v>1</v>
      </c>
      <c r="K104" s="64">
        <v>342.04</v>
      </c>
      <c r="L104" s="64">
        <v>16.13</v>
      </c>
      <c r="M104" s="64">
        <v>54.72</v>
      </c>
      <c r="N104" s="64">
        <v>70.400000000000006</v>
      </c>
      <c r="O104" s="64">
        <v>0</v>
      </c>
      <c r="P104" s="64">
        <v>0.99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2.2799999999999998</v>
      </c>
      <c r="C106" s="67">
        <f>MIN(C9:C104)</f>
        <v>51.82</v>
      </c>
      <c r="D106" s="67">
        <f t="shared" ref="D106:Q106" si="0">MIN(D9:D104)</f>
        <v>31.69</v>
      </c>
      <c r="E106" s="67">
        <f t="shared" si="0"/>
        <v>4.2699999999999996</v>
      </c>
      <c r="F106" s="67">
        <f t="shared" si="0"/>
        <v>2.13</v>
      </c>
      <c r="G106" s="67">
        <f t="shared" si="0"/>
        <v>0</v>
      </c>
      <c r="H106" s="67">
        <f t="shared" si="0"/>
        <v>32.17</v>
      </c>
      <c r="I106" s="67">
        <f t="shared" si="0"/>
        <v>0</v>
      </c>
      <c r="J106" s="67">
        <f t="shared" si="0"/>
        <v>0.22</v>
      </c>
      <c r="K106" s="67">
        <f t="shared" si="0"/>
        <v>0.16</v>
      </c>
      <c r="L106" s="67">
        <f t="shared" si="0"/>
        <v>12.47</v>
      </c>
      <c r="M106" s="67">
        <f t="shared" si="0"/>
        <v>28.72</v>
      </c>
      <c r="N106" s="67">
        <f t="shared" si="0"/>
        <v>58.5</v>
      </c>
      <c r="O106" s="67">
        <f t="shared" si="0"/>
        <v>0</v>
      </c>
      <c r="P106" s="67">
        <f t="shared" si="0"/>
        <v>0.61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116.4</v>
      </c>
      <c r="C107" s="66">
        <f t="shared" ref="C107:Q107" si="1">MAX(C9:C104)</f>
        <v>97.43</v>
      </c>
      <c r="D107" s="66">
        <f t="shared" si="1"/>
        <v>128.22</v>
      </c>
      <c r="E107" s="66">
        <f t="shared" si="1"/>
        <v>12.54</v>
      </c>
      <c r="F107" s="66">
        <f t="shared" si="1"/>
        <v>22.22</v>
      </c>
      <c r="G107" s="66">
        <f t="shared" si="1"/>
        <v>183.42</v>
      </c>
      <c r="H107" s="66">
        <f t="shared" si="1"/>
        <v>64.67</v>
      </c>
      <c r="I107" s="66">
        <f t="shared" si="1"/>
        <v>0</v>
      </c>
      <c r="J107" s="66">
        <f t="shared" si="1"/>
        <v>3.65</v>
      </c>
      <c r="K107" s="66">
        <f t="shared" si="1"/>
        <v>355.02</v>
      </c>
      <c r="L107" s="66">
        <f t="shared" si="1"/>
        <v>49.06</v>
      </c>
      <c r="M107" s="66">
        <f t="shared" si="1"/>
        <v>93.28</v>
      </c>
      <c r="N107" s="66">
        <f t="shared" si="1"/>
        <v>650.5</v>
      </c>
      <c r="O107" s="66">
        <f t="shared" si="1"/>
        <v>0</v>
      </c>
      <c r="P107" s="66">
        <f t="shared" si="1"/>
        <v>2.16</v>
      </c>
      <c r="Q107" s="66">
        <f t="shared" si="1"/>
        <v>9.84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40.954999999999984</v>
      </c>
      <c r="C108" s="67">
        <f t="shared" ref="C108:Q108" si="2">AVERAGE(C9:C104)</f>
        <v>68.755104166666669</v>
      </c>
      <c r="D108" s="67">
        <f t="shared" si="2"/>
        <v>67.388229166666619</v>
      </c>
      <c r="E108" s="67">
        <f t="shared" si="2"/>
        <v>7.3717708333333318</v>
      </c>
      <c r="F108" s="67">
        <f t="shared" si="2"/>
        <v>2.9017708333333321</v>
      </c>
      <c r="G108" s="67">
        <f t="shared" si="2"/>
        <v>115.3513541666667</v>
      </c>
      <c r="H108" s="67">
        <f t="shared" si="2"/>
        <v>43.983958333333355</v>
      </c>
      <c r="I108" s="67" t="e">
        <f t="shared" si="2"/>
        <v>#DIV/0!</v>
      </c>
      <c r="J108" s="67">
        <f t="shared" si="2"/>
        <v>1.8767708333333333</v>
      </c>
      <c r="K108" s="67">
        <f t="shared" si="2"/>
        <v>243.68697916666665</v>
      </c>
      <c r="L108" s="67">
        <f t="shared" si="2"/>
        <v>18.390937499999996</v>
      </c>
      <c r="M108" s="67">
        <f t="shared" si="2"/>
        <v>60.95416666666668</v>
      </c>
      <c r="N108" s="67">
        <f t="shared" si="2"/>
        <v>183.19166666666663</v>
      </c>
      <c r="O108" s="67">
        <f t="shared" si="2"/>
        <v>0</v>
      </c>
      <c r="P108" s="67">
        <f t="shared" si="2"/>
        <v>1.2563541666666673</v>
      </c>
      <c r="Q108" s="67">
        <f t="shared" si="2"/>
        <v>8.4977083333333425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38.982090057655455</v>
      </c>
      <c r="C109" s="67">
        <f t="shared" ref="C109:Q109" si="3">STDEV(C9:C104)</f>
        <v>9.9730471503307712</v>
      </c>
      <c r="D109" s="67">
        <f t="shared" si="3"/>
        <v>27.879822169439439</v>
      </c>
      <c r="E109" s="67">
        <f t="shared" si="3"/>
        <v>1.5820592808053977</v>
      </c>
      <c r="F109" s="67">
        <f t="shared" si="3"/>
        <v>2.4524411017303085</v>
      </c>
      <c r="G109" s="67">
        <f t="shared" si="3"/>
        <v>37.240450549023748</v>
      </c>
      <c r="H109" s="67">
        <f t="shared" si="3"/>
        <v>9.6503365067224305</v>
      </c>
      <c r="I109" s="67" t="e">
        <f t="shared" si="3"/>
        <v>#DIV/0!</v>
      </c>
      <c r="J109" s="67">
        <f t="shared" si="3"/>
        <v>0.836551184191338</v>
      </c>
      <c r="K109" s="67">
        <f t="shared" si="3"/>
        <v>121.61817030205901</v>
      </c>
      <c r="L109" s="67">
        <f t="shared" si="3"/>
        <v>5.4197795795391572</v>
      </c>
      <c r="M109" s="67">
        <f t="shared" si="3"/>
        <v>20.016440646137585</v>
      </c>
      <c r="N109" s="67">
        <f t="shared" si="3"/>
        <v>187.03409521242335</v>
      </c>
      <c r="O109" s="67">
        <f t="shared" si="3"/>
        <v>0</v>
      </c>
      <c r="P109" s="67">
        <f t="shared" si="3"/>
        <v>0.46902164643496003</v>
      </c>
      <c r="Q109" s="67">
        <f t="shared" si="3"/>
        <v>1.4080875265607202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1780</v>
      </c>
      <c r="B9" s="64">
        <v>17.91</v>
      </c>
      <c r="C9" s="64">
        <v>61.88</v>
      </c>
      <c r="D9" s="64">
        <v>45.31</v>
      </c>
      <c r="E9" s="64">
        <v>6.69</v>
      </c>
      <c r="F9" s="64">
        <v>2.13</v>
      </c>
      <c r="G9" s="64">
        <v>97.15</v>
      </c>
      <c r="H9" s="64">
        <v>36.25</v>
      </c>
      <c r="I9" s="210" t="s">
        <v>43</v>
      </c>
      <c r="J9" s="64">
        <v>1.21</v>
      </c>
      <c r="K9" s="64">
        <v>346.08</v>
      </c>
      <c r="L9" s="64">
        <v>16.04</v>
      </c>
      <c r="M9" s="64">
        <v>53.44</v>
      </c>
      <c r="N9" s="64">
        <v>70.400000000000006</v>
      </c>
      <c r="O9" s="64">
        <v>0</v>
      </c>
      <c r="P9" s="64">
        <v>0.98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1781</v>
      </c>
      <c r="B10" s="64">
        <v>17.09</v>
      </c>
      <c r="C10" s="64">
        <v>60.88</v>
      </c>
      <c r="D10" s="64">
        <v>44.14</v>
      </c>
      <c r="E10" s="64">
        <v>6.77</v>
      </c>
      <c r="F10" s="64">
        <v>2.13</v>
      </c>
      <c r="G10" s="64">
        <v>97.15</v>
      </c>
      <c r="H10" s="64">
        <v>36.25</v>
      </c>
      <c r="I10" s="210" t="s">
        <v>43</v>
      </c>
      <c r="J10" s="64">
        <v>0.69</v>
      </c>
      <c r="K10" s="64">
        <v>347.35</v>
      </c>
      <c r="L10" s="64">
        <v>15.91</v>
      </c>
      <c r="M10" s="64">
        <v>53.18</v>
      </c>
      <c r="N10" s="64">
        <v>70.3</v>
      </c>
      <c r="O10" s="64">
        <v>0</v>
      </c>
      <c r="P10" s="64">
        <v>0.96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1782</v>
      </c>
      <c r="B11" s="64">
        <v>16.329999999999998</v>
      </c>
      <c r="C11" s="64">
        <v>60.4</v>
      </c>
      <c r="D11" s="64">
        <v>43.27</v>
      </c>
      <c r="E11" s="64">
        <v>5.78</v>
      </c>
      <c r="F11" s="64">
        <v>2.13</v>
      </c>
      <c r="G11" s="64">
        <v>75.83</v>
      </c>
      <c r="H11" s="64">
        <v>34.61</v>
      </c>
      <c r="I11" s="210" t="s">
        <v>43</v>
      </c>
      <c r="J11" s="64">
        <v>0.91</v>
      </c>
      <c r="K11" s="64">
        <v>329.91</v>
      </c>
      <c r="L11" s="64">
        <v>15.76</v>
      </c>
      <c r="M11" s="64">
        <v>53.08</v>
      </c>
      <c r="N11" s="64">
        <v>70.400000000000006</v>
      </c>
      <c r="O11" s="64">
        <v>0</v>
      </c>
      <c r="P11" s="64">
        <v>0.89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1783</v>
      </c>
      <c r="B12" s="64">
        <v>15.6</v>
      </c>
      <c r="C12" s="64">
        <v>58.76</v>
      </c>
      <c r="D12" s="64">
        <v>41.84</v>
      </c>
      <c r="E12" s="64">
        <v>5.93</v>
      </c>
      <c r="F12" s="64">
        <v>2.13</v>
      </c>
      <c r="G12" s="64">
        <v>66.7</v>
      </c>
      <c r="H12" s="64">
        <v>33.869999999999997</v>
      </c>
      <c r="I12" s="210" t="s">
        <v>43</v>
      </c>
      <c r="J12" s="64">
        <v>0.73</v>
      </c>
      <c r="K12" s="64">
        <v>348.69</v>
      </c>
      <c r="L12" s="64">
        <v>15.58</v>
      </c>
      <c r="M12" s="64">
        <v>53.89</v>
      </c>
      <c r="N12" s="64">
        <v>70.5</v>
      </c>
      <c r="O12" s="64">
        <v>0</v>
      </c>
      <c r="P12" s="64">
        <v>0.89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1784</v>
      </c>
      <c r="B13" s="64">
        <v>14.75</v>
      </c>
      <c r="C13" s="64">
        <v>57.79</v>
      </c>
      <c r="D13" s="64">
        <v>40.64</v>
      </c>
      <c r="E13" s="64">
        <v>6.55</v>
      </c>
      <c r="F13" s="64">
        <v>2.13</v>
      </c>
      <c r="G13" s="64">
        <v>66.7</v>
      </c>
      <c r="H13" s="64">
        <v>33.869999999999997</v>
      </c>
      <c r="I13" s="210" t="s">
        <v>43</v>
      </c>
      <c r="J13" s="64">
        <v>1.19</v>
      </c>
      <c r="K13" s="64">
        <v>342.06</v>
      </c>
      <c r="L13" s="64">
        <v>15.57</v>
      </c>
      <c r="M13" s="64">
        <v>53.55</v>
      </c>
      <c r="N13" s="64">
        <v>70.2</v>
      </c>
      <c r="O13" s="64">
        <v>0</v>
      </c>
      <c r="P13" s="64">
        <v>0.84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1785</v>
      </c>
      <c r="B14" s="64">
        <v>13.78</v>
      </c>
      <c r="C14" s="64">
        <v>56.28</v>
      </c>
      <c r="D14" s="64">
        <v>39.08</v>
      </c>
      <c r="E14" s="64">
        <v>6.32</v>
      </c>
      <c r="F14" s="64">
        <v>2.13</v>
      </c>
      <c r="G14" s="64">
        <v>66.7</v>
      </c>
      <c r="H14" s="64">
        <v>33.869999999999997</v>
      </c>
      <c r="I14" s="210" t="s">
        <v>43</v>
      </c>
      <c r="J14" s="64">
        <v>1.25</v>
      </c>
      <c r="K14" s="64">
        <v>346.26</v>
      </c>
      <c r="L14" s="64">
        <v>15.53</v>
      </c>
      <c r="M14" s="64">
        <v>53.02</v>
      </c>
      <c r="N14" s="64">
        <v>70.3</v>
      </c>
      <c r="O14" s="64">
        <v>0</v>
      </c>
      <c r="P14" s="64">
        <v>0.84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1786</v>
      </c>
      <c r="B15" s="64">
        <v>12.87</v>
      </c>
      <c r="C15" s="64">
        <v>56.53</v>
      </c>
      <c r="D15" s="64">
        <v>38.479999999999997</v>
      </c>
      <c r="E15" s="64">
        <v>6.19</v>
      </c>
      <c r="F15" s="64">
        <v>2.13</v>
      </c>
      <c r="G15" s="64">
        <v>58.75</v>
      </c>
      <c r="H15" s="64">
        <v>29.14</v>
      </c>
      <c r="I15" s="210" t="s">
        <v>43</v>
      </c>
      <c r="J15" s="64">
        <v>1.34</v>
      </c>
      <c r="K15" s="64">
        <v>345.62</v>
      </c>
      <c r="L15" s="64">
        <v>15.4</v>
      </c>
      <c r="M15" s="64">
        <v>52.86</v>
      </c>
      <c r="N15" s="64">
        <v>70.400000000000006</v>
      </c>
      <c r="O15" s="64">
        <v>0</v>
      </c>
      <c r="P15" s="64">
        <v>0.84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1787</v>
      </c>
      <c r="B16" s="64">
        <v>12.04</v>
      </c>
      <c r="C16" s="64">
        <v>56.13</v>
      </c>
      <c r="D16" s="64">
        <v>37.61</v>
      </c>
      <c r="E16" s="64">
        <v>6.07</v>
      </c>
      <c r="F16" s="64">
        <v>2.13</v>
      </c>
      <c r="G16" s="64">
        <v>55.35</v>
      </c>
      <c r="H16" s="64">
        <v>27.12</v>
      </c>
      <c r="I16" s="210" t="s">
        <v>43</v>
      </c>
      <c r="J16" s="64">
        <v>0.69</v>
      </c>
      <c r="K16" s="64">
        <v>319.02999999999997</v>
      </c>
      <c r="L16" s="64">
        <v>15.24</v>
      </c>
      <c r="M16" s="64">
        <v>53.03</v>
      </c>
      <c r="N16" s="64">
        <v>70.400000000000006</v>
      </c>
      <c r="O16" s="64">
        <v>0</v>
      </c>
      <c r="P16" s="64">
        <v>0.82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1788</v>
      </c>
      <c r="B17" s="64">
        <v>11.26</v>
      </c>
      <c r="C17" s="64">
        <v>55.04</v>
      </c>
      <c r="D17" s="64">
        <v>36.409999999999997</v>
      </c>
      <c r="E17" s="64">
        <v>5.87</v>
      </c>
      <c r="F17" s="64">
        <v>2.13</v>
      </c>
      <c r="G17" s="64">
        <v>55.35</v>
      </c>
      <c r="H17" s="64">
        <v>27.12</v>
      </c>
      <c r="I17" s="210" t="s">
        <v>43</v>
      </c>
      <c r="J17" s="64">
        <v>0.21</v>
      </c>
      <c r="K17" s="64">
        <v>30.51</v>
      </c>
      <c r="L17" s="64">
        <v>15.05</v>
      </c>
      <c r="M17" s="64">
        <v>53.76</v>
      </c>
      <c r="N17" s="64">
        <v>70.3</v>
      </c>
      <c r="O17" s="64">
        <v>0</v>
      </c>
      <c r="P17" s="64">
        <v>0.79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1789</v>
      </c>
      <c r="B18" s="64">
        <v>10.49</v>
      </c>
      <c r="C18" s="64">
        <v>54</v>
      </c>
      <c r="D18" s="64">
        <v>35.24</v>
      </c>
      <c r="E18" s="64">
        <v>5.57</v>
      </c>
      <c r="F18" s="64">
        <v>2.13</v>
      </c>
      <c r="G18" s="64">
        <v>55.35</v>
      </c>
      <c r="H18" s="64">
        <v>27.12</v>
      </c>
      <c r="I18" s="210" t="s">
        <v>43</v>
      </c>
      <c r="J18" s="64">
        <v>0.36</v>
      </c>
      <c r="K18" s="64">
        <v>1.35</v>
      </c>
      <c r="L18" s="64">
        <v>14.92</v>
      </c>
      <c r="M18" s="64">
        <v>54.79</v>
      </c>
      <c r="N18" s="64">
        <v>70.3</v>
      </c>
      <c r="O18" s="64">
        <v>0</v>
      </c>
      <c r="P18" s="64">
        <v>0.77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1790</v>
      </c>
      <c r="B19" s="64">
        <v>9.7799999999999994</v>
      </c>
      <c r="C19" s="64">
        <v>52.99</v>
      </c>
      <c r="D19" s="64">
        <v>34.15</v>
      </c>
      <c r="E19" s="64">
        <v>5.43</v>
      </c>
      <c r="F19" s="64">
        <v>2.13</v>
      </c>
      <c r="G19" s="64">
        <v>40.78</v>
      </c>
      <c r="H19" s="64">
        <v>25.04</v>
      </c>
      <c r="I19" s="210" t="s">
        <v>43</v>
      </c>
      <c r="J19" s="64">
        <v>0.49</v>
      </c>
      <c r="K19" s="64">
        <v>6.38</v>
      </c>
      <c r="L19" s="64">
        <v>14.77</v>
      </c>
      <c r="M19" s="64">
        <v>54.96</v>
      </c>
      <c r="N19" s="64">
        <v>70.3</v>
      </c>
      <c r="O19" s="64">
        <v>0</v>
      </c>
      <c r="P19" s="64">
        <v>0.74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1791</v>
      </c>
      <c r="B20" s="64">
        <v>9.17</v>
      </c>
      <c r="C20" s="64">
        <v>52.07</v>
      </c>
      <c r="D20" s="64">
        <v>33.18</v>
      </c>
      <c r="E20" s="64">
        <v>5.66</v>
      </c>
      <c r="F20" s="64">
        <v>2.13</v>
      </c>
      <c r="G20" s="64">
        <v>34.54</v>
      </c>
      <c r="H20" s="64">
        <v>24.15</v>
      </c>
      <c r="I20" s="210" t="s">
        <v>43</v>
      </c>
      <c r="J20" s="64">
        <v>0.73</v>
      </c>
      <c r="K20" s="64">
        <v>11.83</v>
      </c>
      <c r="L20" s="64">
        <v>14.68</v>
      </c>
      <c r="M20" s="64">
        <v>55.05</v>
      </c>
      <c r="N20" s="64">
        <v>70.099999999999994</v>
      </c>
      <c r="O20" s="64">
        <v>0</v>
      </c>
      <c r="P20" s="64">
        <v>0.72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1792</v>
      </c>
      <c r="B21" s="64">
        <v>8.6</v>
      </c>
      <c r="C21" s="64">
        <v>51.36</v>
      </c>
      <c r="D21" s="64">
        <v>32.36</v>
      </c>
      <c r="E21" s="64">
        <v>5.47</v>
      </c>
      <c r="F21" s="64">
        <v>2.13</v>
      </c>
      <c r="G21" s="64">
        <v>34.54</v>
      </c>
      <c r="H21" s="64">
        <v>24.15</v>
      </c>
      <c r="I21" s="210" t="s">
        <v>43</v>
      </c>
      <c r="J21" s="64">
        <v>1.91</v>
      </c>
      <c r="K21" s="64">
        <v>345.61</v>
      </c>
      <c r="L21" s="64">
        <v>14.69</v>
      </c>
      <c r="M21" s="64">
        <v>54.95</v>
      </c>
      <c r="N21" s="64">
        <v>70</v>
      </c>
      <c r="O21" s="64">
        <v>0</v>
      </c>
      <c r="P21" s="64">
        <v>0.7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1793</v>
      </c>
      <c r="B22" s="64">
        <v>8.1</v>
      </c>
      <c r="C22" s="64">
        <v>50.71</v>
      </c>
      <c r="D22" s="64">
        <v>31.61</v>
      </c>
      <c r="E22" s="64">
        <v>5.4</v>
      </c>
      <c r="F22" s="64">
        <v>2.13</v>
      </c>
      <c r="G22" s="64">
        <v>34.54</v>
      </c>
      <c r="H22" s="64">
        <v>24.15</v>
      </c>
      <c r="I22" s="210" t="s">
        <v>43</v>
      </c>
      <c r="J22" s="64">
        <v>1.43</v>
      </c>
      <c r="K22" s="64">
        <v>345.56</v>
      </c>
      <c r="L22" s="64">
        <v>14.6</v>
      </c>
      <c r="M22" s="64">
        <v>55.8</v>
      </c>
      <c r="N22" s="64">
        <v>70.099999999999994</v>
      </c>
      <c r="O22" s="64">
        <v>0</v>
      </c>
      <c r="P22" s="64">
        <v>0.68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1794</v>
      </c>
      <c r="B23" s="64">
        <v>7.78</v>
      </c>
      <c r="C23" s="64">
        <v>50.42</v>
      </c>
      <c r="D23" s="64">
        <v>31.21</v>
      </c>
      <c r="E23" s="64">
        <v>5.79</v>
      </c>
      <c r="F23" s="64">
        <v>2.13</v>
      </c>
      <c r="G23" s="64">
        <v>41.85</v>
      </c>
      <c r="H23" s="64">
        <v>21.86</v>
      </c>
      <c r="I23" s="210" t="s">
        <v>43</v>
      </c>
      <c r="J23" s="64">
        <v>0.73</v>
      </c>
      <c r="K23" s="64">
        <v>0.62</v>
      </c>
      <c r="L23" s="64">
        <v>14.39</v>
      </c>
      <c r="M23" s="64">
        <v>56.49</v>
      </c>
      <c r="N23" s="64">
        <v>70.3</v>
      </c>
      <c r="O23" s="64">
        <v>0</v>
      </c>
      <c r="P23" s="64">
        <v>0.65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1795</v>
      </c>
      <c r="B24" s="64">
        <v>7.65</v>
      </c>
      <c r="C24" s="64">
        <v>49.06</v>
      </c>
      <c r="D24" s="64">
        <v>30.39</v>
      </c>
      <c r="E24" s="64">
        <v>5.54</v>
      </c>
      <c r="F24" s="64">
        <v>2.13</v>
      </c>
      <c r="G24" s="64">
        <v>44.99</v>
      </c>
      <c r="H24" s="64">
        <v>20.87</v>
      </c>
      <c r="I24" s="210" t="s">
        <v>43</v>
      </c>
      <c r="J24" s="64">
        <v>1.61</v>
      </c>
      <c r="K24" s="64">
        <v>341.7</v>
      </c>
      <c r="L24" s="64">
        <v>14.33</v>
      </c>
      <c r="M24" s="64">
        <v>56.94</v>
      </c>
      <c r="N24" s="64">
        <v>70.099999999999994</v>
      </c>
      <c r="O24" s="64">
        <v>0</v>
      </c>
      <c r="P24" s="64">
        <v>0.64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1796</v>
      </c>
      <c r="B25" s="64">
        <v>7.8</v>
      </c>
      <c r="C25" s="64">
        <v>47.59</v>
      </c>
      <c r="D25" s="64">
        <v>29.74</v>
      </c>
      <c r="E25" s="64">
        <v>5.68</v>
      </c>
      <c r="F25" s="64">
        <v>2.13</v>
      </c>
      <c r="G25" s="64">
        <v>44.99</v>
      </c>
      <c r="H25" s="64">
        <v>20.87</v>
      </c>
      <c r="I25" s="210" t="s">
        <v>43</v>
      </c>
      <c r="J25" s="64">
        <v>2.16</v>
      </c>
      <c r="K25" s="64">
        <v>354.16</v>
      </c>
      <c r="L25" s="64">
        <v>14.26</v>
      </c>
      <c r="M25" s="64">
        <v>57.97</v>
      </c>
      <c r="N25" s="64">
        <v>70.3</v>
      </c>
      <c r="O25" s="64">
        <v>0</v>
      </c>
      <c r="P25" s="64">
        <v>0.62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1797</v>
      </c>
      <c r="B26" s="64">
        <v>8.11</v>
      </c>
      <c r="C26" s="64">
        <v>48.28</v>
      </c>
      <c r="D26" s="64">
        <v>30.35</v>
      </c>
      <c r="E26" s="64">
        <v>5.73</v>
      </c>
      <c r="F26" s="64">
        <v>2.13</v>
      </c>
      <c r="G26" s="64">
        <v>44.99</v>
      </c>
      <c r="H26" s="64">
        <v>20.87</v>
      </c>
      <c r="I26" s="210" t="s">
        <v>43</v>
      </c>
      <c r="J26" s="64">
        <v>1.69</v>
      </c>
      <c r="K26" s="64">
        <v>349.96</v>
      </c>
      <c r="L26" s="64">
        <v>14.1</v>
      </c>
      <c r="M26" s="64">
        <v>59</v>
      </c>
      <c r="N26" s="64">
        <v>70.400000000000006</v>
      </c>
      <c r="O26" s="64">
        <v>0</v>
      </c>
      <c r="P26" s="64">
        <v>0.6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1798</v>
      </c>
      <c r="B27" s="64">
        <v>8.43</v>
      </c>
      <c r="C27" s="64">
        <v>49.02</v>
      </c>
      <c r="D27" s="64">
        <v>30.99</v>
      </c>
      <c r="E27" s="64">
        <v>5.41</v>
      </c>
      <c r="F27" s="64">
        <v>2.13</v>
      </c>
      <c r="G27" s="64">
        <v>40.36</v>
      </c>
      <c r="H27" s="64">
        <v>20.36</v>
      </c>
      <c r="I27" s="210" t="s">
        <v>43</v>
      </c>
      <c r="J27" s="64">
        <v>0.77</v>
      </c>
      <c r="K27" s="64">
        <v>347.77</v>
      </c>
      <c r="L27" s="64">
        <v>13.94</v>
      </c>
      <c r="M27" s="64">
        <v>59.35</v>
      </c>
      <c r="N27" s="64">
        <v>70.400000000000006</v>
      </c>
      <c r="O27" s="64">
        <v>0</v>
      </c>
      <c r="P27" s="64">
        <v>0.57999999999999996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1799</v>
      </c>
      <c r="B28" s="64">
        <v>8.91</v>
      </c>
      <c r="C28" s="64">
        <v>48.92</v>
      </c>
      <c r="D28" s="64">
        <v>31.33</v>
      </c>
      <c r="E28" s="64">
        <v>5.89</v>
      </c>
      <c r="F28" s="64">
        <v>2.13</v>
      </c>
      <c r="G28" s="64">
        <v>38.369999999999997</v>
      </c>
      <c r="H28" s="64">
        <v>20.149999999999999</v>
      </c>
      <c r="I28" s="210" t="s">
        <v>43</v>
      </c>
      <c r="J28" s="64">
        <v>1.17</v>
      </c>
      <c r="K28" s="64">
        <v>340.41</v>
      </c>
      <c r="L28" s="64">
        <v>13.79</v>
      </c>
      <c r="M28" s="64">
        <v>59.26</v>
      </c>
      <c r="N28" s="64">
        <v>70.400000000000006</v>
      </c>
      <c r="O28" s="64">
        <v>0</v>
      </c>
      <c r="P28" s="64">
        <v>0.59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1800</v>
      </c>
      <c r="B29" s="64">
        <v>9.23</v>
      </c>
      <c r="C29" s="64">
        <v>48.43</v>
      </c>
      <c r="D29" s="64">
        <v>31.33</v>
      </c>
      <c r="E29" s="64">
        <v>5.82</v>
      </c>
      <c r="F29" s="64">
        <v>2.13</v>
      </c>
      <c r="G29" s="64">
        <v>38.369999999999997</v>
      </c>
      <c r="H29" s="64">
        <v>20.149999999999999</v>
      </c>
      <c r="I29" s="210" t="s">
        <v>43</v>
      </c>
      <c r="J29" s="64">
        <v>1.47</v>
      </c>
      <c r="K29" s="64">
        <v>347.47</v>
      </c>
      <c r="L29" s="64">
        <v>13.77</v>
      </c>
      <c r="M29" s="64">
        <v>58.82</v>
      </c>
      <c r="N29" s="64">
        <v>70.2</v>
      </c>
      <c r="O29" s="64">
        <v>0</v>
      </c>
      <c r="P29" s="64">
        <v>0.56999999999999995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1801</v>
      </c>
      <c r="B30" s="64">
        <v>9.6300000000000008</v>
      </c>
      <c r="C30" s="64">
        <v>48.33</v>
      </c>
      <c r="D30" s="64">
        <v>31.6</v>
      </c>
      <c r="E30" s="64">
        <v>5.92</v>
      </c>
      <c r="F30" s="64">
        <v>2.13</v>
      </c>
      <c r="G30" s="64">
        <v>38.369999999999997</v>
      </c>
      <c r="H30" s="64">
        <v>20.149999999999999</v>
      </c>
      <c r="I30" s="210" t="s">
        <v>43</v>
      </c>
      <c r="J30" s="64">
        <v>1.75</v>
      </c>
      <c r="K30" s="64">
        <v>353.47</v>
      </c>
      <c r="L30" s="64">
        <v>13.72</v>
      </c>
      <c r="M30" s="64">
        <v>56.31</v>
      </c>
      <c r="N30" s="64">
        <v>70</v>
      </c>
      <c r="O30" s="64">
        <v>0</v>
      </c>
      <c r="P30" s="64">
        <v>0.56000000000000005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1802</v>
      </c>
      <c r="B31" s="64">
        <v>9.8699999999999992</v>
      </c>
      <c r="C31" s="64">
        <v>47.92</v>
      </c>
      <c r="D31" s="64">
        <v>31.58</v>
      </c>
      <c r="E31" s="64">
        <v>5.88</v>
      </c>
      <c r="F31" s="64">
        <v>2.13</v>
      </c>
      <c r="G31" s="64">
        <v>34.340000000000003</v>
      </c>
      <c r="H31" s="64">
        <v>19.190000000000001</v>
      </c>
      <c r="I31" s="210" t="s">
        <v>43</v>
      </c>
      <c r="J31" s="64">
        <v>2.14</v>
      </c>
      <c r="K31" s="64">
        <v>347.66</v>
      </c>
      <c r="L31" s="64">
        <v>13.64</v>
      </c>
      <c r="M31" s="64">
        <v>55.92</v>
      </c>
      <c r="N31" s="64">
        <v>70</v>
      </c>
      <c r="O31" s="64">
        <v>0</v>
      </c>
      <c r="P31" s="64">
        <v>0.54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1803</v>
      </c>
      <c r="B32" s="64">
        <v>10.130000000000001</v>
      </c>
      <c r="C32" s="64">
        <v>47.04</v>
      </c>
      <c r="D32" s="64">
        <v>31.32</v>
      </c>
      <c r="E32" s="64">
        <v>6.08</v>
      </c>
      <c r="F32" s="64">
        <v>2.13</v>
      </c>
      <c r="G32" s="64">
        <v>32.61</v>
      </c>
      <c r="H32" s="64">
        <v>18.760000000000002</v>
      </c>
      <c r="I32" s="210" t="s">
        <v>43</v>
      </c>
      <c r="J32" s="64">
        <v>2.29</v>
      </c>
      <c r="K32" s="64">
        <v>349.7</v>
      </c>
      <c r="L32" s="64">
        <v>13.54</v>
      </c>
      <c r="M32" s="64">
        <v>56.21</v>
      </c>
      <c r="N32" s="64">
        <v>70</v>
      </c>
      <c r="O32" s="64">
        <v>0</v>
      </c>
      <c r="P32" s="64">
        <v>0.55000000000000004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1804</v>
      </c>
      <c r="B33" s="64">
        <v>11.08</v>
      </c>
      <c r="C33" s="64">
        <v>48.81</v>
      </c>
      <c r="D33" s="64">
        <v>33.01</v>
      </c>
      <c r="E33" s="64">
        <v>6.67</v>
      </c>
      <c r="F33" s="64">
        <v>2.13</v>
      </c>
      <c r="G33" s="64">
        <v>32.61</v>
      </c>
      <c r="H33" s="64">
        <v>18.760000000000002</v>
      </c>
      <c r="I33" s="210" t="s">
        <v>43</v>
      </c>
      <c r="J33" s="64">
        <v>0.36</v>
      </c>
      <c r="K33" s="64">
        <v>350.71</v>
      </c>
      <c r="L33" s="64">
        <v>13.37</v>
      </c>
      <c r="M33" s="64">
        <v>56.43</v>
      </c>
      <c r="N33" s="64">
        <v>70.099999999999994</v>
      </c>
      <c r="O33" s="64">
        <v>0</v>
      </c>
      <c r="P33" s="64">
        <v>0.55000000000000004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1805</v>
      </c>
      <c r="B34" s="64">
        <v>11.97</v>
      </c>
      <c r="C34" s="64">
        <v>49.75</v>
      </c>
      <c r="D34" s="64">
        <v>34.22</v>
      </c>
      <c r="E34" s="64">
        <v>6.36</v>
      </c>
      <c r="F34" s="64">
        <v>2.13</v>
      </c>
      <c r="G34" s="64">
        <v>32.61</v>
      </c>
      <c r="H34" s="64">
        <v>18.760000000000002</v>
      </c>
      <c r="I34" s="210" t="s">
        <v>43</v>
      </c>
      <c r="J34" s="64">
        <v>1.17</v>
      </c>
      <c r="K34" s="64">
        <v>322.64999999999998</v>
      </c>
      <c r="L34" s="64">
        <v>13.18</v>
      </c>
      <c r="M34" s="64">
        <v>56.54</v>
      </c>
      <c r="N34" s="64">
        <v>70.2</v>
      </c>
      <c r="O34" s="64">
        <v>0</v>
      </c>
      <c r="P34" s="64">
        <v>0.54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1806</v>
      </c>
      <c r="B35" s="64">
        <v>12.85</v>
      </c>
      <c r="C35" s="64">
        <v>50.31</v>
      </c>
      <c r="D35" s="64">
        <v>35.22</v>
      </c>
      <c r="E35" s="64">
        <v>6.13</v>
      </c>
      <c r="F35" s="64">
        <v>2.13</v>
      </c>
      <c r="G35" s="64">
        <v>38.81</v>
      </c>
      <c r="H35" s="64">
        <v>20.190000000000001</v>
      </c>
      <c r="I35" s="210" t="s">
        <v>43</v>
      </c>
      <c r="J35" s="64">
        <v>1.82</v>
      </c>
      <c r="K35" s="64">
        <v>350.7</v>
      </c>
      <c r="L35" s="64">
        <v>13.14</v>
      </c>
      <c r="M35" s="64">
        <v>55.56</v>
      </c>
      <c r="N35" s="64">
        <v>73.099999999999994</v>
      </c>
      <c r="O35" s="64">
        <v>0</v>
      </c>
      <c r="P35" s="64">
        <v>0.54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1807</v>
      </c>
      <c r="B36" s="64">
        <v>14.23</v>
      </c>
      <c r="C36" s="64">
        <v>50.85</v>
      </c>
      <c r="D36" s="64">
        <v>36.61</v>
      </c>
      <c r="E36" s="64">
        <v>6.49</v>
      </c>
      <c r="F36" s="64">
        <v>2.13</v>
      </c>
      <c r="G36" s="64">
        <v>41.46</v>
      </c>
      <c r="H36" s="64">
        <v>20.8</v>
      </c>
      <c r="I36" s="210" t="s">
        <v>43</v>
      </c>
      <c r="J36" s="64">
        <v>2.17</v>
      </c>
      <c r="K36" s="64">
        <v>347.9</v>
      </c>
      <c r="L36" s="64">
        <v>13.29</v>
      </c>
      <c r="M36" s="64">
        <v>50.69</v>
      </c>
      <c r="N36" s="64">
        <v>83.5</v>
      </c>
      <c r="O36" s="64">
        <v>0</v>
      </c>
      <c r="P36" s="64">
        <v>0.55000000000000004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1808</v>
      </c>
      <c r="B37" s="64">
        <v>15.79</v>
      </c>
      <c r="C37" s="64">
        <v>51.56</v>
      </c>
      <c r="D37" s="64">
        <v>38.229999999999997</v>
      </c>
      <c r="E37" s="64">
        <v>6.71</v>
      </c>
      <c r="F37" s="64">
        <v>2.13</v>
      </c>
      <c r="G37" s="64">
        <v>41.46</v>
      </c>
      <c r="H37" s="64">
        <v>20.8</v>
      </c>
      <c r="I37" s="210" t="s">
        <v>43</v>
      </c>
      <c r="J37" s="64">
        <v>2.1800000000000002</v>
      </c>
      <c r="K37" s="64">
        <v>352.16</v>
      </c>
      <c r="L37" s="64">
        <v>13.48</v>
      </c>
      <c r="M37" s="64">
        <v>50.32</v>
      </c>
      <c r="N37" s="64">
        <v>86.6</v>
      </c>
      <c r="O37" s="64">
        <v>0</v>
      </c>
      <c r="P37" s="64">
        <v>0.59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1809</v>
      </c>
      <c r="B38" s="64">
        <v>17.32</v>
      </c>
      <c r="C38" s="64">
        <v>51.99</v>
      </c>
      <c r="D38" s="64">
        <v>39.68</v>
      </c>
      <c r="E38" s="64">
        <v>6.41</v>
      </c>
      <c r="F38" s="64">
        <v>2.13</v>
      </c>
      <c r="G38" s="64">
        <v>41.46</v>
      </c>
      <c r="H38" s="64">
        <v>20.8</v>
      </c>
      <c r="I38" s="210" t="s">
        <v>43</v>
      </c>
      <c r="J38" s="64">
        <v>1.99</v>
      </c>
      <c r="K38" s="64">
        <v>352.29</v>
      </c>
      <c r="L38" s="64">
        <v>13.62</v>
      </c>
      <c r="M38" s="64">
        <v>49.69</v>
      </c>
      <c r="N38" s="64">
        <v>100.6</v>
      </c>
      <c r="O38" s="64">
        <v>0</v>
      </c>
      <c r="P38" s="64">
        <v>0.62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1810</v>
      </c>
      <c r="B39" s="64">
        <v>18.690000000000001</v>
      </c>
      <c r="C39" s="64">
        <v>52.42</v>
      </c>
      <c r="D39" s="64">
        <v>41</v>
      </c>
      <c r="E39" s="64">
        <v>6.56</v>
      </c>
      <c r="F39" s="64">
        <v>2.13</v>
      </c>
      <c r="G39" s="64">
        <v>51.84</v>
      </c>
      <c r="H39" s="64">
        <v>20.62</v>
      </c>
      <c r="I39" s="210" t="s">
        <v>43</v>
      </c>
      <c r="J39" s="64">
        <v>1.46</v>
      </c>
      <c r="K39" s="64">
        <v>355.81</v>
      </c>
      <c r="L39" s="64">
        <v>13.82</v>
      </c>
      <c r="M39" s="64">
        <v>47.29</v>
      </c>
      <c r="N39" s="64">
        <v>113.3</v>
      </c>
      <c r="O39" s="64">
        <v>0</v>
      </c>
      <c r="P39" s="64">
        <v>0.63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1811</v>
      </c>
      <c r="B40" s="64">
        <v>20.02</v>
      </c>
      <c r="C40" s="64">
        <v>53.07</v>
      </c>
      <c r="D40" s="64">
        <v>42.41</v>
      </c>
      <c r="E40" s="64">
        <v>5.45</v>
      </c>
      <c r="F40" s="64">
        <v>2.13</v>
      </c>
      <c r="G40" s="64">
        <v>56.29</v>
      </c>
      <c r="H40" s="64">
        <v>20.54</v>
      </c>
      <c r="I40" s="210" t="s">
        <v>43</v>
      </c>
      <c r="J40" s="64">
        <v>2.33</v>
      </c>
      <c r="K40" s="64">
        <v>347.06</v>
      </c>
      <c r="L40" s="64">
        <v>14.14</v>
      </c>
      <c r="M40" s="64">
        <v>46.04</v>
      </c>
      <c r="N40" s="64">
        <v>133.69999999999999</v>
      </c>
      <c r="O40" s="64">
        <v>0</v>
      </c>
      <c r="P40" s="64">
        <v>0.64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1812</v>
      </c>
      <c r="B41" s="64">
        <v>21.68</v>
      </c>
      <c r="C41" s="64">
        <v>52.57</v>
      </c>
      <c r="D41" s="64">
        <v>43.47</v>
      </c>
      <c r="E41" s="64">
        <v>5.78</v>
      </c>
      <c r="F41" s="64">
        <v>2.13</v>
      </c>
      <c r="G41" s="64">
        <v>56.29</v>
      </c>
      <c r="H41" s="64">
        <v>20.54</v>
      </c>
      <c r="I41" s="210" t="s">
        <v>43</v>
      </c>
      <c r="J41" s="64">
        <v>2.65</v>
      </c>
      <c r="K41" s="64">
        <v>351.01</v>
      </c>
      <c r="L41" s="64">
        <v>14.78</v>
      </c>
      <c r="M41" s="64">
        <v>43.24</v>
      </c>
      <c r="N41" s="64">
        <v>166.5</v>
      </c>
      <c r="O41" s="64">
        <v>0</v>
      </c>
      <c r="P41" s="64">
        <v>0.64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1813</v>
      </c>
      <c r="B42" s="64">
        <v>22.56</v>
      </c>
      <c r="C42" s="64">
        <v>52.98</v>
      </c>
      <c r="D42" s="64">
        <v>44.39</v>
      </c>
      <c r="E42" s="64">
        <v>6.06</v>
      </c>
      <c r="F42" s="64">
        <v>2.13</v>
      </c>
      <c r="G42" s="64">
        <v>56.29</v>
      </c>
      <c r="H42" s="64">
        <v>20.54</v>
      </c>
      <c r="I42" s="210" t="s">
        <v>43</v>
      </c>
      <c r="J42" s="64">
        <v>1.63</v>
      </c>
      <c r="K42" s="64">
        <v>1.1100000000000001</v>
      </c>
      <c r="L42" s="64">
        <v>15.22</v>
      </c>
      <c r="M42" s="64">
        <v>40.98</v>
      </c>
      <c r="N42" s="64">
        <v>208.7</v>
      </c>
      <c r="O42" s="64">
        <v>0</v>
      </c>
      <c r="P42" s="64">
        <v>0.65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1814</v>
      </c>
      <c r="B43" s="64">
        <v>23.25</v>
      </c>
      <c r="C43" s="64">
        <v>53.85</v>
      </c>
      <c r="D43" s="64">
        <v>45.4</v>
      </c>
      <c r="E43" s="64">
        <v>5.7</v>
      </c>
      <c r="F43" s="64">
        <v>2.13</v>
      </c>
      <c r="G43" s="64">
        <v>53.22</v>
      </c>
      <c r="H43" s="64">
        <v>21.89</v>
      </c>
      <c r="I43" s="210" t="s">
        <v>43</v>
      </c>
      <c r="J43" s="64">
        <v>0.9</v>
      </c>
      <c r="K43" s="64">
        <v>359.39</v>
      </c>
      <c r="L43" s="64">
        <v>15.39</v>
      </c>
      <c r="M43" s="64">
        <v>39.99</v>
      </c>
      <c r="N43" s="64">
        <v>213.4</v>
      </c>
      <c r="O43" s="64">
        <v>0</v>
      </c>
      <c r="P43" s="64">
        <v>0.65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1815</v>
      </c>
      <c r="B44" s="64">
        <v>24.31</v>
      </c>
      <c r="C44" s="64">
        <v>54.44</v>
      </c>
      <c r="D44" s="64">
        <v>46.56</v>
      </c>
      <c r="E44" s="64">
        <v>6.21</v>
      </c>
      <c r="F44" s="64">
        <v>2.13</v>
      </c>
      <c r="G44" s="64">
        <v>51.9</v>
      </c>
      <c r="H44" s="64">
        <v>22.46</v>
      </c>
      <c r="I44" s="210" t="s">
        <v>43</v>
      </c>
      <c r="J44" s="64">
        <v>1.3</v>
      </c>
      <c r="K44" s="64">
        <v>5.05</v>
      </c>
      <c r="L44" s="64">
        <v>15.99</v>
      </c>
      <c r="M44" s="64">
        <v>38.01</v>
      </c>
      <c r="N44" s="64">
        <v>235.2</v>
      </c>
      <c r="O44" s="64">
        <v>0</v>
      </c>
      <c r="P44" s="64">
        <v>0.66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1816</v>
      </c>
      <c r="B45" s="64">
        <v>25.91</v>
      </c>
      <c r="C45" s="64">
        <v>54.67</v>
      </c>
      <c r="D45" s="64">
        <v>47.96</v>
      </c>
      <c r="E45" s="64">
        <v>5.96</v>
      </c>
      <c r="F45" s="64">
        <v>2.13</v>
      </c>
      <c r="G45" s="64">
        <v>51.9</v>
      </c>
      <c r="H45" s="64">
        <v>22.46</v>
      </c>
      <c r="I45" s="210" t="s">
        <v>43</v>
      </c>
      <c r="J45" s="64">
        <v>0.66</v>
      </c>
      <c r="K45" s="64">
        <v>44.15</v>
      </c>
      <c r="L45" s="64">
        <v>17.059999999999999</v>
      </c>
      <c r="M45" s="64">
        <v>36.4</v>
      </c>
      <c r="N45" s="64">
        <v>402</v>
      </c>
      <c r="O45" s="64">
        <v>0</v>
      </c>
      <c r="P45" s="64">
        <v>0.65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1817</v>
      </c>
      <c r="B46" s="64">
        <v>27.34</v>
      </c>
      <c r="C46" s="64">
        <v>55.02</v>
      </c>
      <c r="D46" s="64">
        <v>49.29</v>
      </c>
      <c r="E46" s="64">
        <v>6.1</v>
      </c>
      <c r="F46" s="64">
        <v>2.13</v>
      </c>
      <c r="G46" s="64">
        <v>51.9</v>
      </c>
      <c r="H46" s="64">
        <v>22.46</v>
      </c>
      <c r="I46" s="210" t="s">
        <v>43</v>
      </c>
      <c r="J46" s="64">
        <v>1.07</v>
      </c>
      <c r="K46" s="64">
        <v>109.02</v>
      </c>
      <c r="L46" s="64">
        <v>17.54</v>
      </c>
      <c r="M46" s="64">
        <v>36.35</v>
      </c>
      <c r="N46" s="64">
        <v>428</v>
      </c>
      <c r="O46" s="64">
        <v>0</v>
      </c>
      <c r="P46" s="64">
        <v>0.65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1818</v>
      </c>
      <c r="B47" s="64">
        <v>27.91</v>
      </c>
      <c r="C47" s="64">
        <v>55.29</v>
      </c>
      <c r="D47" s="64">
        <v>49.89</v>
      </c>
      <c r="E47" s="64">
        <v>5.97</v>
      </c>
      <c r="F47" s="64">
        <v>2.13</v>
      </c>
      <c r="G47" s="64">
        <v>50.75</v>
      </c>
      <c r="H47" s="64">
        <v>22.11</v>
      </c>
      <c r="I47" s="210" t="s">
        <v>43</v>
      </c>
      <c r="J47" s="64">
        <v>0.79</v>
      </c>
      <c r="K47" s="64">
        <v>42.44</v>
      </c>
      <c r="L47" s="64">
        <v>18.64</v>
      </c>
      <c r="M47" s="64">
        <v>34.450000000000003</v>
      </c>
      <c r="N47" s="64">
        <v>516</v>
      </c>
      <c r="O47" s="64">
        <v>0</v>
      </c>
      <c r="P47" s="64">
        <v>0.65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1819</v>
      </c>
      <c r="B48" s="64">
        <v>28.68</v>
      </c>
      <c r="C48" s="64">
        <v>55.63</v>
      </c>
      <c r="D48" s="64">
        <v>50.69</v>
      </c>
      <c r="E48" s="64">
        <v>6.01</v>
      </c>
      <c r="F48" s="64">
        <v>2.13</v>
      </c>
      <c r="G48" s="64">
        <v>50.26</v>
      </c>
      <c r="H48" s="64">
        <v>21.95</v>
      </c>
      <c r="I48" s="210" t="s">
        <v>43</v>
      </c>
      <c r="J48" s="64">
        <v>1.63</v>
      </c>
      <c r="K48" s="64">
        <v>347.35</v>
      </c>
      <c r="L48" s="64">
        <v>21.8</v>
      </c>
      <c r="M48" s="64">
        <v>30.06</v>
      </c>
      <c r="N48" s="64">
        <v>537</v>
      </c>
      <c r="O48" s="64">
        <v>0</v>
      </c>
      <c r="P48" s="64">
        <v>0.65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1820</v>
      </c>
      <c r="B49" s="64">
        <v>29.94</v>
      </c>
      <c r="C49" s="64">
        <v>56.51</v>
      </c>
      <c r="D49" s="64">
        <v>52.16</v>
      </c>
      <c r="E49" s="64">
        <v>5.99</v>
      </c>
      <c r="F49" s="64">
        <v>2.13</v>
      </c>
      <c r="G49" s="64">
        <v>50.26</v>
      </c>
      <c r="H49" s="64">
        <v>21.95</v>
      </c>
      <c r="I49" s="210" t="s">
        <v>43</v>
      </c>
      <c r="J49" s="64">
        <v>0.97</v>
      </c>
      <c r="K49" s="64">
        <v>75.459999999999994</v>
      </c>
      <c r="L49" s="64">
        <v>21.75</v>
      </c>
      <c r="M49" s="64">
        <v>31.23</v>
      </c>
      <c r="N49" s="64">
        <v>551.1</v>
      </c>
      <c r="O49" s="64">
        <v>0</v>
      </c>
      <c r="P49" s="64">
        <v>0.66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1821</v>
      </c>
      <c r="B50" s="64">
        <v>30.46</v>
      </c>
      <c r="C50" s="64">
        <v>57.03</v>
      </c>
      <c r="D50" s="64">
        <v>52.84</v>
      </c>
      <c r="E50" s="64">
        <v>6.26</v>
      </c>
      <c r="F50" s="64">
        <v>2.13</v>
      </c>
      <c r="G50" s="64">
        <v>50.26</v>
      </c>
      <c r="H50" s="64">
        <v>21.95</v>
      </c>
      <c r="I50" s="210" t="s">
        <v>43</v>
      </c>
      <c r="J50" s="64">
        <v>2.4500000000000002</v>
      </c>
      <c r="K50" s="64">
        <v>114.37</v>
      </c>
      <c r="L50" s="64">
        <v>20.14</v>
      </c>
      <c r="M50" s="64">
        <v>34.64</v>
      </c>
      <c r="N50" s="64">
        <v>565.1</v>
      </c>
      <c r="O50" s="64">
        <v>0</v>
      </c>
      <c r="P50" s="64">
        <v>0.66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1822</v>
      </c>
      <c r="B51" s="64">
        <v>29.95</v>
      </c>
      <c r="C51" s="64">
        <v>57.63</v>
      </c>
      <c r="D51" s="64">
        <v>52.76</v>
      </c>
      <c r="E51" s="64">
        <v>6.08</v>
      </c>
      <c r="F51" s="64">
        <v>2.13</v>
      </c>
      <c r="G51" s="64">
        <v>54.84</v>
      </c>
      <c r="H51" s="64">
        <v>22.07</v>
      </c>
      <c r="I51" s="210" t="s">
        <v>43</v>
      </c>
      <c r="J51" s="64">
        <v>0.87</v>
      </c>
      <c r="K51" s="64">
        <v>350.64</v>
      </c>
      <c r="L51" s="64">
        <v>21.86</v>
      </c>
      <c r="M51" s="64">
        <v>32.47</v>
      </c>
      <c r="N51" s="64">
        <v>570.79999999999995</v>
      </c>
      <c r="O51" s="64">
        <v>0</v>
      </c>
      <c r="P51" s="64">
        <v>0.65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1823</v>
      </c>
      <c r="B52" s="64">
        <v>30.17</v>
      </c>
      <c r="C52" s="64">
        <v>58.28</v>
      </c>
      <c r="D52" s="64">
        <v>53.27</v>
      </c>
      <c r="E52" s="64">
        <v>5.81</v>
      </c>
      <c r="F52" s="64">
        <v>2.13</v>
      </c>
      <c r="G52" s="64">
        <v>56.8</v>
      </c>
      <c r="H52" s="64">
        <v>22.13</v>
      </c>
      <c r="I52" s="210" t="s">
        <v>43</v>
      </c>
      <c r="J52" s="64">
        <v>1.1499999999999999</v>
      </c>
      <c r="K52" s="64">
        <v>4.07</v>
      </c>
      <c r="L52" s="64">
        <v>24.03</v>
      </c>
      <c r="M52" s="64">
        <v>28.74</v>
      </c>
      <c r="N52" s="64">
        <v>596.29999999999995</v>
      </c>
      <c r="O52" s="64">
        <v>0</v>
      </c>
      <c r="P52" s="64">
        <v>0.66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1824</v>
      </c>
      <c r="B53" s="64">
        <v>29.8</v>
      </c>
      <c r="C53" s="64">
        <v>59.5</v>
      </c>
      <c r="D53" s="64">
        <v>53.61</v>
      </c>
      <c r="E53" s="64">
        <v>6.21</v>
      </c>
      <c r="F53" s="64">
        <v>2.13</v>
      </c>
      <c r="G53" s="64">
        <v>56.8</v>
      </c>
      <c r="H53" s="64">
        <v>22.13</v>
      </c>
      <c r="I53" s="210" t="s">
        <v>43</v>
      </c>
      <c r="J53" s="64">
        <v>2.37</v>
      </c>
      <c r="K53" s="64">
        <v>353.02</v>
      </c>
      <c r="L53" s="64">
        <v>23.38</v>
      </c>
      <c r="M53" s="64">
        <v>29.45</v>
      </c>
      <c r="N53" s="64">
        <v>592.9</v>
      </c>
      <c r="O53" s="64">
        <v>0</v>
      </c>
      <c r="P53" s="64">
        <v>0.66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1825</v>
      </c>
      <c r="B54" s="64">
        <v>29.39</v>
      </c>
      <c r="C54" s="64">
        <v>61.38</v>
      </c>
      <c r="D54" s="64">
        <v>54.26</v>
      </c>
      <c r="E54" s="64">
        <v>5.96</v>
      </c>
      <c r="F54" s="64">
        <v>2.13</v>
      </c>
      <c r="G54" s="64">
        <v>56.8</v>
      </c>
      <c r="H54" s="64">
        <v>22.13</v>
      </c>
      <c r="I54" s="210" t="s">
        <v>43</v>
      </c>
      <c r="J54" s="64">
        <v>1.23</v>
      </c>
      <c r="K54" s="64">
        <v>356.16</v>
      </c>
      <c r="L54" s="64">
        <v>24.5</v>
      </c>
      <c r="M54" s="64">
        <v>28.01</v>
      </c>
      <c r="N54" s="64">
        <v>574.70000000000005</v>
      </c>
      <c r="O54" s="64">
        <v>0</v>
      </c>
      <c r="P54" s="64">
        <v>0.66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1826</v>
      </c>
      <c r="B55" s="64">
        <v>29.01</v>
      </c>
      <c r="C55" s="64">
        <v>62.72</v>
      </c>
      <c r="D55" s="64">
        <v>54.66</v>
      </c>
      <c r="E55" s="64">
        <v>6.13</v>
      </c>
      <c r="F55" s="64">
        <v>2.13</v>
      </c>
      <c r="G55" s="64">
        <v>63.84</v>
      </c>
      <c r="H55" s="64">
        <v>21.64</v>
      </c>
      <c r="I55" s="210" t="s">
        <v>43</v>
      </c>
      <c r="J55" s="64">
        <v>1.93</v>
      </c>
      <c r="K55" s="64">
        <v>349.21</v>
      </c>
      <c r="L55" s="64">
        <v>24.86</v>
      </c>
      <c r="M55" s="64">
        <v>27.86</v>
      </c>
      <c r="N55" s="64">
        <v>586.79999999999995</v>
      </c>
      <c r="O55" s="64">
        <v>0</v>
      </c>
      <c r="P55" s="64">
        <v>0.67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1827</v>
      </c>
      <c r="B56" s="64">
        <v>29.58</v>
      </c>
      <c r="C56" s="64">
        <v>64.209999999999994</v>
      </c>
      <c r="D56" s="64">
        <v>55.89</v>
      </c>
      <c r="E56" s="64">
        <v>6.86</v>
      </c>
      <c r="F56" s="64">
        <v>2.13</v>
      </c>
      <c r="G56" s="64">
        <v>66.849999999999994</v>
      </c>
      <c r="H56" s="64">
        <v>21.44</v>
      </c>
      <c r="I56" s="210" t="s">
        <v>43</v>
      </c>
      <c r="J56" s="64">
        <v>3.3</v>
      </c>
      <c r="K56" s="64">
        <v>344.27</v>
      </c>
      <c r="L56" s="64">
        <v>26.3</v>
      </c>
      <c r="M56" s="64">
        <v>25.35</v>
      </c>
      <c r="N56" s="64">
        <v>603.6</v>
      </c>
      <c r="O56" s="64">
        <v>0</v>
      </c>
      <c r="P56" s="64">
        <v>0.68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1828</v>
      </c>
      <c r="B57" s="64">
        <v>29.78</v>
      </c>
      <c r="C57" s="64">
        <v>66.42</v>
      </c>
      <c r="D57" s="64">
        <v>57.2</v>
      </c>
      <c r="E57" s="64">
        <v>6.88</v>
      </c>
      <c r="F57" s="64">
        <v>2.13</v>
      </c>
      <c r="G57" s="64">
        <v>66.849999999999994</v>
      </c>
      <c r="H57" s="64">
        <v>21.44</v>
      </c>
      <c r="I57" s="210" t="s">
        <v>43</v>
      </c>
      <c r="J57" s="64">
        <v>2.95</v>
      </c>
      <c r="K57" s="64">
        <v>346.29</v>
      </c>
      <c r="L57" s="64">
        <v>26.46</v>
      </c>
      <c r="M57" s="64">
        <v>24.6</v>
      </c>
      <c r="N57" s="64">
        <v>612.4</v>
      </c>
      <c r="O57" s="64">
        <v>0</v>
      </c>
      <c r="P57" s="64">
        <v>0.68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1829</v>
      </c>
      <c r="B58" s="64">
        <v>28.75</v>
      </c>
      <c r="C58" s="64">
        <v>66.900000000000006</v>
      </c>
      <c r="D58" s="64">
        <v>56.63</v>
      </c>
      <c r="E58" s="64">
        <v>6.6</v>
      </c>
      <c r="F58" s="64">
        <v>2.13</v>
      </c>
      <c r="G58" s="64">
        <v>66.849999999999994</v>
      </c>
      <c r="H58" s="64">
        <v>21.44</v>
      </c>
      <c r="I58" s="210" t="s">
        <v>43</v>
      </c>
      <c r="J58" s="64">
        <v>1.56</v>
      </c>
      <c r="K58" s="64">
        <v>356.87</v>
      </c>
      <c r="L58" s="64">
        <v>25.37</v>
      </c>
      <c r="M58" s="64">
        <v>23.49</v>
      </c>
      <c r="N58" s="64">
        <v>656.5</v>
      </c>
      <c r="O58" s="64">
        <v>0</v>
      </c>
      <c r="P58" s="64">
        <v>0.69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1830</v>
      </c>
      <c r="B59" s="64">
        <v>26.89</v>
      </c>
      <c r="C59" s="64">
        <v>67.92</v>
      </c>
      <c r="D59" s="64">
        <v>55.67</v>
      </c>
      <c r="E59" s="64">
        <v>6.24</v>
      </c>
      <c r="F59" s="64">
        <v>2.13</v>
      </c>
      <c r="G59" s="64">
        <v>71.53</v>
      </c>
      <c r="H59" s="64">
        <v>24.29</v>
      </c>
      <c r="I59" s="210" t="s">
        <v>43</v>
      </c>
      <c r="J59" s="64">
        <v>1.59</v>
      </c>
      <c r="K59" s="64">
        <v>352.18</v>
      </c>
      <c r="L59" s="64">
        <v>25.16</v>
      </c>
      <c r="M59" s="64">
        <v>21.5</v>
      </c>
      <c r="N59" s="64">
        <v>648.1</v>
      </c>
      <c r="O59" s="64">
        <v>0</v>
      </c>
      <c r="P59" s="64">
        <v>0.69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1831</v>
      </c>
      <c r="B60" s="64">
        <v>25</v>
      </c>
      <c r="C60" s="64">
        <v>68.459999999999994</v>
      </c>
      <c r="D60" s="64">
        <v>54.44</v>
      </c>
      <c r="E60" s="64">
        <v>6.09</v>
      </c>
      <c r="F60" s="64">
        <v>2.13</v>
      </c>
      <c r="G60" s="64">
        <v>73.53</v>
      </c>
      <c r="H60" s="64">
        <v>25.52</v>
      </c>
      <c r="I60" s="210" t="s">
        <v>43</v>
      </c>
      <c r="J60" s="64">
        <v>2.14</v>
      </c>
      <c r="K60" s="64">
        <v>347.27</v>
      </c>
      <c r="L60" s="64">
        <v>24.77</v>
      </c>
      <c r="M60" s="64">
        <v>21.78</v>
      </c>
      <c r="N60" s="64">
        <v>624.70000000000005</v>
      </c>
      <c r="O60" s="64">
        <v>0</v>
      </c>
      <c r="P60" s="64">
        <v>0.68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1832</v>
      </c>
      <c r="B61" s="64">
        <v>23.53</v>
      </c>
      <c r="C61" s="64">
        <v>69.11</v>
      </c>
      <c r="D61" s="64">
        <v>53.6</v>
      </c>
      <c r="E61" s="64">
        <v>6.42</v>
      </c>
      <c r="F61" s="64">
        <v>2.13</v>
      </c>
      <c r="G61" s="64">
        <v>73.53</v>
      </c>
      <c r="H61" s="64">
        <v>25.52</v>
      </c>
      <c r="I61" s="210" t="s">
        <v>43</v>
      </c>
      <c r="J61" s="64">
        <v>2.3199999999999998</v>
      </c>
      <c r="K61" s="64">
        <v>347.64</v>
      </c>
      <c r="L61" s="64">
        <v>25.42</v>
      </c>
      <c r="M61" s="64">
        <v>20.85</v>
      </c>
      <c r="N61" s="64">
        <v>607.4</v>
      </c>
      <c r="O61" s="64">
        <v>0</v>
      </c>
      <c r="P61" s="64">
        <v>0.67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1833</v>
      </c>
      <c r="B62" s="64">
        <v>22.02</v>
      </c>
      <c r="C62" s="64">
        <v>70.03</v>
      </c>
      <c r="D62" s="64">
        <v>52.87</v>
      </c>
      <c r="E62" s="64">
        <v>6.59</v>
      </c>
      <c r="F62" s="64">
        <v>2.13</v>
      </c>
      <c r="G62" s="64">
        <v>73.53</v>
      </c>
      <c r="H62" s="64">
        <v>25.52</v>
      </c>
      <c r="I62" s="210" t="s">
        <v>43</v>
      </c>
      <c r="J62" s="64">
        <v>2.14</v>
      </c>
      <c r="K62" s="64">
        <v>351.17</v>
      </c>
      <c r="L62" s="64">
        <v>25.29</v>
      </c>
      <c r="M62" s="64">
        <v>21.3</v>
      </c>
      <c r="N62" s="64">
        <v>591.70000000000005</v>
      </c>
      <c r="O62" s="64">
        <v>0</v>
      </c>
      <c r="P62" s="64">
        <v>0.68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1834</v>
      </c>
      <c r="B63" s="64">
        <v>20.89</v>
      </c>
      <c r="C63" s="64">
        <v>70.67</v>
      </c>
      <c r="D63" s="64">
        <v>52.29</v>
      </c>
      <c r="E63" s="64">
        <v>6.79</v>
      </c>
      <c r="F63" s="64">
        <v>2.13</v>
      </c>
      <c r="G63" s="64">
        <v>70.760000000000005</v>
      </c>
      <c r="H63" s="64">
        <v>27.24</v>
      </c>
      <c r="I63" s="210" t="s">
        <v>43</v>
      </c>
      <c r="J63" s="64">
        <v>2.59</v>
      </c>
      <c r="K63" s="64">
        <v>344.1</v>
      </c>
      <c r="L63" s="64">
        <v>25.34</v>
      </c>
      <c r="M63" s="64">
        <v>22.01</v>
      </c>
      <c r="N63" s="64">
        <v>468.2</v>
      </c>
      <c r="O63" s="64">
        <v>0</v>
      </c>
      <c r="P63" s="64">
        <v>0.67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1835</v>
      </c>
      <c r="B64" s="64">
        <v>19.43</v>
      </c>
      <c r="C64" s="64">
        <v>70.989999999999995</v>
      </c>
      <c r="D64" s="64">
        <v>51.3</v>
      </c>
      <c r="E64" s="64">
        <v>6.23</v>
      </c>
      <c r="F64" s="64">
        <v>2.13</v>
      </c>
      <c r="G64" s="64">
        <v>69.569999999999993</v>
      </c>
      <c r="H64" s="64">
        <v>27.98</v>
      </c>
      <c r="I64" s="210" t="s">
        <v>43</v>
      </c>
      <c r="J64" s="64">
        <v>1.29</v>
      </c>
      <c r="K64" s="64">
        <v>10.16</v>
      </c>
      <c r="L64" s="64">
        <v>24.3</v>
      </c>
      <c r="M64" s="64">
        <v>24.26</v>
      </c>
      <c r="N64" s="64">
        <v>495.3</v>
      </c>
      <c r="O64" s="64">
        <v>0</v>
      </c>
      <c r="P64" s="64">
        <v>0.67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1836</v>
      </c>
      <c r="B65" s="64">
        <v>17.649999999999999</v>
      </c>
      <c r="C65" s="64">
        <v>70.2</v>
      </c>
      <c r="D65" s="64">
        <v>49.46</v>
      </c>
      <c r="E65" s="64">
        <v>6.13</v>
      </c>
      <c r="F65" s="64">
        <v>2.13</v>
      </c>
      <c r="G65" s="64">
        <v>69.569999999999993</v>
      </c>
      <c r="H65" s="64">
        <v>27.98</v>
      </c>
      <c r="I65" s="210" t="s">
        <v>43</v>
      </c>
      <c r="J65" s="64">
        <v>1</v>
      </c>
      <c r="K65" s="64">
        <v>47.55</v>
      </c>
      <c r="L65" s="64">
        <v>23.1</v>
      </c>
      <c r="M65" s="64">
        <v>25.93</v>
      </c>
      <c r="N65" s="64">
        <v>406.1</v>
      </c>
      <c r="O65" s="64">
        <v>0</v>
      </c>
      <c r="P65" s="64">
        <v>0.66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1837</v>
      </c>
      <c r="B66" s="64">
        <v>15.95</v>
      </c>
      <c r="C66" s="64">
        <v>69.84</v>
      </c>
      <c r="D66" s="64">
        <v>47.91</v>
      </c>
      <c r="E66" s="64">
        <v>6.39</v>
      </c>
      <c r="F66" s="64">
        <v>2.13</v>
      </c>
      <c r="G66" s="64">
        <v>69.569999999999993</v>
      </c>
      <c r="H66" s="64">
        <v>27.98</v>
      </c>
      <c r="I66" s="210" t="s">
        <v>43</v>
      </c>
      <c r="J66" s="64">
        <v>1.71</v>
      </c>
      <c r="K66" s="64">
        <v>352.34</v>
      </c>
      <c r="L66" s="64">
        <v>23.53</v>
      </c>
      <c r="M66" s="64">
        <v>25.75</v>
      </c>
      <c r="N66" s="64">
        <v>224.5</v>
      </c>
      <c r="O66" s="64">
        <v>0</v>
      </c>
      <c r="P66" s="64">
        <v>0.67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1838</v>
      </c>
      <c r="B67" s="64">
        <v>14.28</v>
      </c>
      <c r="C67" s="64">
        <v>70.66</v>
      </c>
      <c r="D67" s="64">
        <v>46.99</v>
      </c>
      <c r="E67" s="64">
        <v>6.35</v>
      </c>
      <c r="F67" s="64">
        <v>2.13</v>
      </c>
      <c r="G67" s="64">
        <v>66.930000000000007</v>
      </c>
      <c r="H67" s="64">
        <v>23.32</v>
      </c>
      <c r="I67" s="210" t="s">
        <v>43</v>
      </c>
      <c r="J67" s="64">
        <v>1.36</v>
      </c>
      <c r="K67" s="64">
        <v>13.07</v>
      </c>
      <c r="L67" s="64">
        <v>23.31</v>
      </c>
      <c r="M67" s="64">
        <v>26.89</v>
      </c>
      <c r="N67" s="64">
        <v>194.4</v>
      </c>
      <c r="O67" s="64">
        <v>0</v>
      </c>
      <c r="P67" s="64">
        <v>0.67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1839</v>
      </c>
      <c r="B68" s="64">
        <v>12.75</v>
      </c>
      <c r="C68" s="64">
        <v>70.989999999999995</v>
      </c>
      <c r="D68" s="64">
        <v>45.94</v>
      </c>
      <c r="E68" s="64">
        <v>6.07</v>
      </c>
      <c r="F68" s="64">
        <v>2.13</v>
      </c>
      <c r="G68" s="64">
        <v>65.8</v>
      </c>
      <c r="H68" s="64">
        <v>21.32</v>
      </c>
      <c r="I68" s="210" t="s">
        <v>43</v>
      </c>
      <c r="J68" s="64">
        <v>2.12</v>
      </c>
      <c r="K68" s="64">
        <v>351.91</v>
      </c>
      <c r="L68" s="64">
        <v>23.3</v>
      </c>
      <c r="M68" s="64">
        <v>27.6</v>
      </c>
      <c r="N68" s="64">
        <v>214.1</v>
      </c>
      <c r="O68" s="64">
        <v>0</v>
      </c>
      <c r="P68" s="64">
        <v>0.67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1840</v>
      </c>
      <c r="B69" s="64">
        <v>11.72</v>
      </c>
      <c r="C69" s="64">
        <v>71.11</v>
      </c>
      <c r="D69" s="64">
        <v>45.17</v>
      </c>
      <c r="E69" s="64">
        <v>6.48</v>
      </c>
      <c r="F69" s="64">
        <v>2.13</v>
      </c>
      <c r="G69" s="64">
        <v>65.8</v>
      </c>
      <c r="H69" s="64">
        <v>21.32</v>
      </c>
      <c r="I69" s="210" t="s">
        <v>43</v>
      </c>
      <c r="J69" s="64">
        <v>1.93</v>
      </c>
      <c r="K69" s="64">
        <v>346.93</v>
      </c>
      <c r="L69" s="64">
        <v>23.11</v>
      </c>
      <c r="M69" s="64">
        <v>28.78</v>
      </c>
      <c r="N69" s="64">
        <v>198.6</v>
      </c>
      <c r="O69" s="64">
        <v>0</v>
      </c>
      <c r="P69" s="64">
        <v>0.67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1841</v>
      </c>
      <c r="B70" s="64">
        <v>11.34</v>
      </c>
      <c r="C70" s="64">
        <v>71.38</v>
      </c>
      <c r="D70" s="64">
        <v>45.01</v>
      </c>
      <c r="E70" s="64">
        <v>6.32</v>
      </c>
      <c r="F70" s="64">
        <v>2.13</v>
      </c>
      <c r="G70" s="64">
        <v>65.8</v>
      </c>
      <c r="H70" s="64">
        <v>21.32</v>
      </c>
      <c r="I70" s="210" t="s">
        <v>43</v>
      </c>
      <c r="J70" s="64">
        <v>2.11</v>
      </c>
      <c r="K70" s="64">
        <v>346.81</v>
      </c>
      <c r="L70" s="64">
        <v>23</v>
      </c>
      <c r="M70" s="64">
        <v>29.33</v>
      </c>
      <c r="N70" s="64">
        <v>161.19999999999999</v>
      </c>
      <c r="O70" s="64">
        <v>0</v>
      </c>
      <c r="P70" s="64">
        <v>0.68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1842</v>
      </c>
      <c r="B71" s="64">
        <v>11.03</v>
      </c>
      <c r="C71" s="64">
        <v>71.66</v>
      </c>
      <c r="D71" s="64">
        <v>44.91</v>
      </c>
      <c r="E71" s="64">
        <v>6.06</v>
      </c>
      <c r="F71" s="64">
        <v>2.13</v>
      </c>
      <c r="G71" s="64">
        <v>65.290000000000006</v>
      </c>
      <c r="H71" s="64">
        <v>25.69</v>
      </c>
      <c r="I71" s="210" t="s">
        <v>43</v>
      </c>
      <c r="J71" s="64">
        <v>1.64</v>
      </c>
      <c r="K71" s="64">
        <v>358.99</v>
      </c>
      <c r="L71" s="64">
        <v>22.51</v>
      </c>
      <c r="M71" s="64">
        <v>30.35</v>
      </c>
      <c r="N71" s="64">
        <v>144</v>
      </c>
      <c r="O71" s="64">
        <v>0</v>
      </c>
      <c r="P71" s="64">
        <v>0.68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1843</v>
      </c>
      <c r="B72" s="64">
        <v>10.71</v>
      </c>
      <c r="C72" s="64">
        <v>71.83</v>
      </c>
      <c r="D72" s="64">
        <v>44.74</v>
      </c>
      <c r="E72" s="64">
        <v>5.43</v>
      </c>
      <c r="F72" s="64">
        <v>2.13</v>
      </c>
      <c r="G72" s="64">
        <v>65.069999999999993</v>
      </c>
      <c r="H72" s="64">
        <v>27.56</v>
      </c>
      <c r="I72" s="210" t="s">
        <v>43</v>
      </c>
      <c r="J72" s="64">
        <v>2.2599999999999998</v>
      </c>
      <c r="K72" s="64">
        <v>347.27</v>
      </c>
      <c r="L72" s="64">
        <v>22.41</v>
      </c>
      <c r="M72" s="64">
        <v>30.82</v>
      </c>
      <c r="N72" s="64">
        <v>134.5</v>
      </c>
      <c r="O72" s="64">
        <v>0</v>
      </c>
      <c r="P72" s="64">
        <v>0.68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1844</v>
      </c>
      <c r="B73" s="64">
        <v>10.72</v>
      </c>
      <c r="C73" s="64">
        <v>72.19</v>
      </c>
      <c r="D73" s="64">
        <v>44.93</v>
      </c>
      <c r="E73" s="64">
        <v>6.55</v>
      </c>
      <c r="F73" s="64">
        <v>2.13</v>
      </c>
      <c r="G73" s="64">
        <v>65.069999999999993</v>
      </c>
      <c r="H73" s="64">
        <v>27.56</v>
      </c>
      <c r="I73" s="210" t="s">
        <v>43</v>
      </c>
      <c r="J73" s="64">
        <v>2.09</v>
      </c>
      <c r="K73" s="64">
        <v>349.73</v>
      </c>
      <c r="L73" s="64">
        <v>22.19</v>
      </c>
      <c r="M73" s="64">
        <v>31.5</v>
      </c>
      <c r="N73" s="64">
        <v>125.6</v>
      </c>
      <c r="O73" s="64">
        <v>0</v>
      </c>
      <c r="P73" s="64">
        <v>0.68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1845</v>
      </c>
      <c r="B74" s="64">
        <v>10.98</v>
      </c>
      <c r="C74" s="64">
        <v>72.75</v>
      </c>
      <c r="D74" s="64">
        <v>45.43</v>
      </c>
      <c r="E74" s="64">
        <v>6.42</v>
      </c>
      <c r="F74" s="64">
        <v>2.13</v>
      </c>
      <c r="G74" s="64">
        <v>65.069999999999993</v>
      </c>
      <c r="H74" s="64">
        <v>27.56</v>
      </c>
      <c r="I74" s="210" t="s">
        <v>43</v>
      </c>
      <c r="J74" s="64">
        <v>2.2799999999999998</v>
      </c>
      <c r="K74" s="64">
        <v>350.75</v>
      </c>
      <c r="L74" s="64">
        <v>22.04</v>
      </c>
      <c r="M74" s="64">
        <v>31.75</v>
      </c>
      <c r="N74" s="64">
        <v>117.1</v>
      </c>
      <c r="O74" s="64">
        <v>0</v>
      </c>
      <c r="P74" s="64">
        <v>0.68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1846</v>
      </c>
      <c r="B75" s="64">
        <v>11.1</v>
      </c>
      <c r="C75" s="64">
        <v>72.47</v>
      </c>
      <c r="D75" s="64">
        <v>45.39</v>
      </c>
      <c r="E75" s="64">
        <v>5.58</v>
      </c>
      <c r="F75" s="64">
        <v>2.13</v>
      </c>
      <c r="G75" s="64">
        <v>62.47</v>
      </c>
      <c r="H75" s="64">
        <v>27.13</v>
      </c>
      <c r="I75" s="210" t="s">
        <v>43</v>
      </c>
      <c r="J75" s="64">
        <v>1.66</v>
      </c>
      <c r="K75" s="64">
        <v>345.55</v>
      </c>
      <c r="L75" s="64">
        <v>21.75</v>
      </c>
      <c r="M75" s="64">
        <v>32.409999999999997</v>
      </c>
      <c r="N75" s="64">
        <v>108.3</v>
      </c>
      <c r="O75" s="64">
        <v>0</v>
      </c>
      <c r="P75" s="64">
        <v>0.72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1847</v>
      </c>
      <c r="B76" s="64">
        <v>11.46</v>
      </c>
      <c r="C76" s="64">
        <v>72.36</v>
      </c>
      <c r="D76" s="64">
        <v>45.62</v>
      </c>
      <c r="E76" s="64">
        <v>5.26</v>
      </c>
      <c r="F76" s="64">
        <v>2.13</v>
      </c>
      <c r="G76" s="64">
        <v>61.36</v>
      </c>
      <c r="H76" s="64">
        <v>26.94</v>
      </c>
      <c r="I76" s="210" t="s">
        <v>43</v>
      </c>
      <c r="J76" s="64">
        <v>2.11</v>
      </c>
      <c r="K76" s="64">
        <v>348.34</v>
      </c>
      <c r="L76" s="64">
        <v>21.41</v>
      </c>
      <c r="M76" s="64">
        <v>33.24</v>
      </c>
      <c r="N76" s="64">
        <v>100</v>
      </c>
      <c r="O76" s="64">
        <v>0</v>
      </c>
      <c r="P76" s="64">
        <v>0.74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1848</v>
      </c>
      <c r="B77" s="64">
        <v>11.91</v>
      </c>
      <c r="C77" s="64">
        <v>72.8</v>
      </c>
      <c r="D77" s="64">
        <v>46.21</v>
      </c>
      <c r="E77" s="64">
        <v>5.23</v>
      </c>
      <c r="F77" s="64">
        <v>2.13</v>
      </c>
      <c r="G77" s="64">
        <v>61.36</v>
      </c>
      <c r="H77" s="64">
        <v>26.94</v>
      </c>
      <c r="I77" s="210" t="s">
        <v>43</v>
      </c>
      <c r="J77" s="64">
        <v>2.25</v>
      </c>
      <c r="K77" s="64">
        <v>350.68</v>
      </c>
      <c r="L77" s="64">
        <v>21.06</v>
      </c>
      <c r="M77" s="64">
        <v>34</v>
      </c>
      <c r="N77" s="64">
        <v>91.5</v>
      </c>
      <c r="O77" s="64">
        <v>0</v>
      </c>
      <c r="P77" s="64">
        <v>0.74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1849</v>
      </c>
      <c r="B78" s="64">
        <v>12.87</v>
      </c>
      <c r="C78" s="64">
        <v>73.31</v>
      </c>
      <c r="D78" s="64">
        <v>47.25</v>
      </c>
      <c r="E78" s="64">
        <v>5.59</v>
      </c>
      <c r="F78" s="64">
        <v>2.13</v>
      </c>
      <c r="G78" s="64">
        <v>61.36</v>
      </c>
      <c r="H78" s="64">
        <v>26.94</v>
      </c>
      <c r="I78" s="210" t="s">
        <v>43</v>
      </c>
      <c r="J78" s="64">
        <v>1.81</v>
      </c>
      <c r="K78" s="64">
        <v>340.7</v>
      </c>
      <c r="L78" s="64">
        <v>20.56</v>
      </c>
      <c r="M78" s="64">
        <v>35.159999999999997</v>
      </c>
      <c r="N78" s="64">
        <v>83.2</v>
      </c>
      <c r="O78" s="64">
        <v>0</v>
      </c>
      <c r="P78" s="64">
        <v>0.78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1850</v>
      </c>
      <c r="B79" s="64">
        <v>14.62</v>
      </c>
      <c r="C79" s="64">
        <v>73.540000000000006</v>
      </c>
      <c r="D79" s="64">
        <v>48.77</v>
      </c>
      <c r="E79" s="64">
        <v>5.49</v>
      </c>
      <c r="F79" s="64">
        <v>2.13</v>
      </c>
      <c r="G79" s="64">
        <v>67.430000000000007</v>
      </c>
      <c r="H79" s="64">
        <v>27.68</v>
      </c>
      <c r="I79" s="210" t="s">
        <v>43</v>
      </c>
      <c r="J79" s="64">
        <v>1.99</v>
      </c>
      <c r="K79" s="64">
        <v>354.32</v>
      </c>
      <c r="L79" s="64">
        <v>19.920000000000002</v>
      </c>
      <c r="M79" s="64">
        <v>36.72</v>
      </c>
      <c r="N79" s="64">
        <v>77.400000000000006</v>
      </c>
      <c r="O79" s="64">
        <v>0</v>
      </c>
      <c r="P79" s="64">
        <v>0.89</v>
      </c>
      <c r="Q79" s="64">
        <v>8.2200000000000006</v>
      </c>
      <c r="R79" s="198"/>
      <c r="S79" s="198"/>
      <c r="T79" s="198"/>
      <c r="U79" s="198"/>
    </row>
    <row r="80" spans="1:21" s="12" customFormat="1" x14ac:dyDescent="0.25">
      <c r="A80" s="214" t="s">
        <v>1851</v>
      </c>
      <c r="B80" s="64">
        <v>16.170000000000002</v>
      </c>
      <c r="C80" s="64">
        <v>73.34</v>
      </c>
      <c r="D80" s="64">
        <v>49.91</v>
      </c>
      <c r="E80" s="64">
        <v>5.68</v>
      </c>
      <c r="F80" s="64">
        <v>2.13</v>
      </c>
      <c r="G80" s="64">
        <v>70.03</v>
      </c>
      <c r="H80" s="64">
        <v>28</v>
      </c>
      <c r="I80" s="210" t="s">
        <v>43</v>
      </c>
      <c r="J80" s="64">
        <v>2.23</v>
      </c>
      <c r="K80" s="64">
        <v>353.54</v>
      </c>
      <c r="L80" s="64">
        <v>19.420000000000002</v>
      </c>
      <c r="M80" s="64">
        <v>36.700000000000003</v>
      </c>
      <c r="N80" s="64">
        <v>75.099999999999994</v>
      </c>
      <c r="O80" s="64">
        <v>0</v>
      </c>
      <c r="P80" s="64">
        <v>0.9</v>
      </c>
      <c r="Q80" s="64">
        <v>8.3000000000000007</v>
      </c>
      <c r="R80" s="198"/>
      <c r="S80" s="198"/>
      <c r="T80" s="198"/>
      <c r="U80" s="198"/>
    </row>
    <row r="81" spans="1:26" s="12" customFormat="1" x14ac:dyDescent="0.25">
      <c r="A81" s="214" t="s">
        <v>1852</v>
      </c>
      <c r="B81" s="64">
        <v>17.36</v>
      </c>
      <c r="C81" s="64">
        <v>73.17</v>
      </c>
      <c r="D81" s="64">
        <v>50.78</v>
      </c>
      <c r="E81" s="64">
        <v>5.8</v>
      </c>
      <c r="F81" s="64">
        <v>2.13</v>
      </c>
      <c r="G81" s="64">
        <v>70.03</v>
      </c>
      <c r="H81" s="64">
        <v>28</v>
      </c>
      <c r="I81" s="210" t="s">
        <v>43</v>
      </c>
      <c r="J81" s="64">
        <v>2.17</v>
      </c>
      <c r="K81" s="64">
        <v>352.32</v>
      </c>
      <c r="L81" s="64">
        <v>18.87</v>
      </c>
      <c r="M81" s="64">
        <v>39.369999999999997</v>
      </c>
      <c r="N81" s="64">
        <v>74.8</v>
      </c>
      <c r="O81" s="64">
        <v>0</v>
      </c>
      <c r="P81" s="64">
        <v>1.04</v>
      </c>
      <c r="Q81" s="64">
        <v>8.4</v>
      </c>
      <c r="R81" s="198"/>
      <c r="S81" s="198"/>
      <c r="T81" s="198"/>
      <c r="U81" s="198"/>
    </row>
    <row r="82" spans="1:26" s="12" customFormat="1" x14ac:dyDescent="0.25">
      <c r="A82" s="214" t="s">
        <v>1853</v>
      </c>
      <c r="B82" s="64">
        <v>19.63</v>
      </c>
      <c r="C82" s="64">
        <v>72.489999999999995</v>
      </c>
      <c r="D82" s="64">
        <v>52.24</v>
      </c>
      <c r="E82" s="64">
        <v>6.09</v>
      </c>
      <c r="F82" s="64">
        <v>2.13</v>
      </c>
      <c r="G82" s="64">
        <v>70.03</v>
      </c>
      <c r="H82" s="64">
        <v>28</v>
      </c>
      <c r="I82" s="210" t="s">
        <v>43</v>
      </c>
      <c r="J82" s="64">
        <v>2.46</v>
      </c>
      <c r="K82" s="64">
        <v>350.07</v>
      </c>
      <c r="L82" s="64">
        <v>18.52</v>
      </c>
      <c r="M82" s="64">
        <v>39.4</v>
      </c>
      <c r="N82" s="64">
        <v>74.5</v>
      </c>
      <c r="O82" s="64">
        <v>0</v>
      </c>
      <c r="P82" s="64">
        <v>0.87</v>
      </c>
      <c r="Q82" s="64">
        <v>8.51</v>
      </c>
      <c r="R82" s="198"/>
      <c r="S82" s="198"/>
      <c r="T82" s="198"/>
      <c r="U82" s="198"/>
    </row>
    <row r="83" spans="1:26" s="12" customFormat="1" x14ac:dyDescent="0.25">
      <c r="A83" s="214" t="s">
        <v>1854</v>
      </c>
      <c r="B83" s="64">
        <v>21.4</v>
      </c>
      <c r="C83" s="64">
        <v>72.540000000000006</v>
      </c>
      <c r="D83" s="64">
        <v>53.69</v>
      </c>
      <c r="E83" s="64">
        <v>6.79</v>
      </c>
      <c r="F83" s="64">
        <v>2.13</v>
      </c>
      <c r="G83" s="64">
        <v>82.56</v>
      </c>
      <c r="H83" s="64">
        <v>28.24</v>
      </c>
      <c r="I83" s="210" t="s">
        <v>43</v>
      </c>
      <c r="J83" s="64">
        <v>2.25</v>
      </c>
      <c r="K83" s="64">
        <v>353.44</v>
      </c>
      <c r="L83" s="64">
        <v>18.32</v>
      </c>
      <c r="M83" s="64">
        <v>39.840000000000003</v>
      </c>
      <c r="N83" s="64">
        <v>74.599999999999994</v>
      </c>
      <c r="O83" s="64">
        <v>0</v>
      </c>
      <c r="P83" s="64">
        <v>0.93</v>
      </c>
      <c r="Q83" s="64">
        <v>8.6300000000000008</v>
      </c>
      <c r="R83" s="198"/>
      <c r="S83" s="198"/>
      <c r="T83" s="198"/>
      <c r="U83" s="198"/>
    </row>
    <row r="84" spans="1:26" s="12" customFormat="1" x14ac:dyDescent="0.25">
      <c r="A84" s="214" t="s">
        <v>1855</v>
      </c>
      <c r="B84" s="64">
        <v>22.94</v>
      </c>
      <c r="C84" s="64">
        <v>72.78</v>
      </c>
      <c r="D84" s="64">
        <v>55.05</v>
      </c>
      <c r="E84" s="64">
        <v>7.2</v>
      </c>
      <c r="F84" s="64">
        <v>2.13</v>
      </c>
      <c r="G84" s="64">
        <v>88.21</v>
      </c>
      <c r="H84" s="64">
        <v>28.35</v>
      </c>
      <c r="I84" s="210" t="s">
        <v>43</v>
      </c>
      <c r="J84" s="64">
        <v>2.67</v>
      </c>
      <c r="K84" s="64">
        <v>352.06</v>
      </c>
      <c r="L84" s="64">
        <v>18.12</v>
      </c>
      <c r="M84" s="64">
        <v>40.659999999999997</v>
      </c>
      <c r="N84" s="64">
        <v>74.3</v>
      </c>
      <c r="O84" s="64">
        <v>0</v>
      </c>
      <c r="P84" s="64">
        <v>0.96</v>
      </c>
      <c r="Q84" s="64">
        <v>8.73</v>
      </c>
      <c r="R84" s="198"/>
      <c r="S84" s="198"/>
      <c r="T84" s="198"/>
      <c r="U84" s="198"/>
    </row>
    <row r="85" spans="1:26" s="12" customFormat="1" x14ac:dyDescent="0.25">
      <c r="A85" s="214" t="s">
        <v>1856</v>
      </c>
      <c r="B85" s="64">
        <v>24.54</v>
      </c>
      <c r="C85" s="64">
        <v>72.95</v>
      </c>
      <c r="D85" s="64">
        <v>56.42</v>
      </c>
      <c r="E85" s="64">
        <v>8.1300000000000008</v>
      </c>
      <c r="F85" s="64">
        <v>2.14</v>
      </c>
      <c r="G85" s="64">
        <v>88.21</v>
      </c>
      <c r="H85" s="64">
        <v>28.35</v>
      </c>
      <c r="I85" s="210" t="s">
        <v>43</v>
      </c>
      <c r="J85" s="64">
        <v>2.73</v>
      </c>
      <c r="K85" s="64">
        <v>350.21</v>
      </c>
      <c r="L85" s="64">
        <v>18.04</v>
      </c>
      <c r="M85" s="64">
        <v>40.18</v>
      </c>
      <c r="N85" s="64">
        <v>74.7</v>
      </c>
      <c r="O85" s="64">
        <v>0</v>
      </c>
      <c r="P85" s="64">
        <v>0.97</v>
      </c>
      <c r="Q85" s="64">
        <v>8.82</v>
      </c>
      <c r="R85" s="198"/>
      <c r="S85" s="198"/>
      <c r="T85" s="198"/>
      <c r="U85" s="198"/>
    </row>
    <row r="86" spans="1:26" s="12" customFormat="1" x14ac:dyDescent="0.25">
      <c r="A86" s="214" t="s">
        <v>1857</v>
      </c>
      <c r="B86" s="64">
        <v>26.54</v>
      </c>
      <c r="C86" s="64">
        <v>72.819999999999993</v>
      </c>
      <c r="D86" s="64">
        <v>57.95</v>
      </c>
      <c r="E86" s="64">
        <v>8.02</v>
      </c>
      <c r="F86" s="64">
        <v>2.13</v>
      </c>
      <c r="G86" s="64">
        <v>88.21</v>
      </c>
      <c r="H86" s="64">
        <v>28.35</v>
      </c>
      <c r="I86" s="210" t="s">
        <v>43</v>
      </c>
      <c r="J86" s="64">
        <v>2.0099999999999998</v>
      </c>
      <c r="K86" s="64">
        <v>347.78</v>
      </c>
      <c r="L86" s="64">
        <v>17.77</v>
      </c>
      <c r="M86" s="64">
        <v>41.51</v>
      </c>
      <c r="N86" s="64">
        <v>74.900000000000006</v>
      </c>
      <c r="O86" s="64">
        <v>0</v>
      </c>
      <c r="P86" s="64">
        <v>1.02</v>
      </c>
      <c r="Q86" s="64">
        <v>8.9</v>
      </c>
      <c r="R86" s="198"/>
      <c r="S86" s="198"/>
      <c r="T86" s="198"/>
      <c r="U86" s="198"/>
    </row>
    <row r="87" spans="1:26" s="12" customFormat="1" x14ac:dyDescent="0.25">
      <c r="A87" s="214" t="s">
        <v>1858</v>
      </c>
      <c r="B87" s="64">
        <v>29.38</v>
      </c>
      <c r="C87" s="64">
        <v>72.010000000000005</v>
      </c>
      <c r="D87" s="64">
        <v>59.8</v>
      </c>
      <c r="E87" s="64">
        <v>7.58</v>
      </c>
      <c r="F87" s="64">
        <v>2.13</v>
      </c>
      <c r="G87" s="64">
        <v>103.04</v>
      </c>
      <c r="H87" s="64">
        <v>33.26</v>
      </c>
      <c r="I87" s="210" t="s">
        <v>43</v>
      </c>
      <c r="J87" s="64">
        <v>1.76</v>
      </c>
      <c r="K87" s="64">
        <v>352.41</v>
      </c>
      <c r="L87" s="64">
        <v>17.41</v>
      </c>
      <c r="M87" s="64">
        <v>42.81</v>
      </c>
      <c r="N87" s="64">
        <v>75</v>
      </c>
      <c r="O87" s="64">
        <v>0</v>
      </c>
      <c r="P87" s="64">
        <v>1.08</v>
      </c>
      <c r="Q87" s="64">
        <v>8.99</v>
      </c>
      <c r="R87" s="198"/>
      <c r="S87" s="198"/>
      <c r="T87" s="198"/>
      <c r="U87" s="198"/>
    </row>
    <row r="88" spans="1:26" s="12" customFormat="1" x14ac:dyDescent="0.25">
      <c r="A88" s="214" t="s">
        <v>1859</v>
      </c>
      <c r="B88" s="64">
        <v>32.369999999999997</v>
      </c>
      <c r="C88" s="64">
        <v>71.180000000000007</v>
      </c>
      <c r="D88" s="64">
        <v>61.77</v>
      </c>
      <c r="E88" s="64">
        <v>7.69</v>
      </c>
      <c r="F88" s="64">
        <v>2.13</v>
      </c>
      <c r="G88" s="64">
        <v>109.39</v>
      </c>
      <c r="H88" s="64">
        <v>35.369999999999997</v>
      </c>
      <c r="I88" s="210" t="s">
        <v>43</v>
      </c>
      <c r="J88" s="64">
        <v>1.53</v>
      </c>
      <c r="K88" s="64">
        <v>348.36</v>
      </c>
      <c r="L88" s="64">
        <v>17.18</v>
      </c>
      <c r="M88" s="64">
        <v>42.69</v>
      </c>
      <c r="N88" s="64">
        <v>74.7</v>
      </c>
      <c r="O88" s="64">
        <v>0</v>
      </c>
      <c r="P88" s="64">
        <v>1.1200000000000001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4" t="s">
        <v>1860</v>
      </c>
      <c r="B89" s="64">
        <v>35.07</v>
      </c>
      <c r="C89" s="64">
        <v>70.430000000000007</v>
      </c>
      <c r="D89" s="64">
        <v>63.54</v>
      </c>
      <c r="E89" s="64">
        <v>7.7</v>
      </c>
      <c r="F89" s="64">
        <v>2.13</v>
      </c>
      <c r="G89" s="64">
        <v>109.39</v>
      </c>
      <c r="H89" s="64">
        <v>35.369999999999997</v>
      </c>
      <c r="I89" s="210" t="s">
        <v>43</v>
      </c>
      <c r="J89" s="64">
        <v>1.51</v>
      </c>
      <c r="K89" s="64">
        <v>346.97</v>
      </c>
      <c r="L89" s="64">
        <v>17.05</v>
      </c>
      <c r="M89" s="64">
        <v>42.11</v>
      </c>
      <c r="N89" s="64">
        <v>74.599999999999994</v>
      </c>
      <c r="O89" s="64">
        <v>0</v>
      </c>
      <c r="P89" s="64">
        <v>1.1599999999999999</v>
      </c>
      <c r="Q89" s="64">
        <v>9.2100000000000009</v>
      </c>
      <c r="R89" s="198"/>
      <c r="S89" s="198"/>
      <c r="T89" s="198"/>
      <c r="U89" s="198"/>
    </row>
    <row r="90" spans="1:26" s="12" customFormat="1" x14ac:dyDescent="0.25">
      <c r="A90" s="214" t="s">
        <v>1861</v>
      </c>
      <c r="B90" s="64">
        <v>37.61</v>
      </c>
      <c r="C90" s="64">
        <v>69.349999999999994</v>
      </c>
      <c r="D90" s="64">
        <v>65.02</v>
      </c>
      <c r="E90" s="64">
        <v>7.33</v>
      </c>
      <c r="F90" s="64">
        <v>2.13</v>
      </c>
      <c r="G90" s="64">
        <v>109.39</v>
      </c>
      <c r="H90" s="64">
        <v>35.369999999999997</v>
      </c>
      <c r="I90" s="210" t="s">
        <v>43</v>
      </c>
      <c r="J90" s="64">
        <v>2.19</v>
      </c>
      <c r="K90" s="64">
        <v>350.02</v>
      </c>
      <c r="L90" s="64">
        <v>16.96</v>
      </c>
      <c r="M90" s="64">
        <v>42.59</v>
      </c>
      <c r="N90" s="64">
        <v>74.7</v>
      </c>
      <c r="O90" s="64">
        <v>0</v>
      </c>
      <c r="P90" s="64">
        <v>1.18</v>
      </c>
      <c r="Q90" s="64">
        <v>9.3000000000000007</v>
      </c>
      <c r="R90" s="198"/>
      <c r="S90" s="198"/>
      <c r="T90" s="198"/>
      <c r="U90" s="198"/>
    </row>
    <row r="91" spans="1:26" s="12" customFormat="1" x14ac:dyDescent="0.25">
      <c r="A91" s="214" t="s">
        <v>1862</v>
      </c>
      <c r="B91" s="64">
        <v>39.42</v>
      </c>
      <c r="C91" s="64">
        <v>67.5</v>
      </c>
      <c r="D91" s="64">
        <v>65.5</v>
      </c>
      <c r="E91" s="64">
        <v>7.11</v>
      </c>
      <c r="F91" s="64">
        <v>2.13</v>
      </c>
      <c r="G91" s="64">
        <v>102.89</v>
      </c>
      <c r="H91" s="64">
        <v>33.49</v>
      </c>
      <c r="I91" s="210" t="s">
        <v>43</v>
      </c>
      <c r="J91" s="64">
        <v>2.2200000000000002</v>
      </c>
      <c r="K91" s="64">
        <v>348.65</v>
      </c>
      <c r="L91" s="64">
        <v>16.87</v>
      </c>
      <c r="M91" s="64">
        <v>42.78</v>
      </c>
      <c r="N91" s="64">
        <v>74.5</v>
      </c>
      <c r="O91" s="64">
        <v>0</v>
      </c>
      <c r="P91" s="64">
        <v>1.17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14" t="s">
        <v>1863</v>
      </c>
      <c r="B92" s="64">
        <v>40.78</v>
      </c>
      <c r="C92" s="64">
        <v>66.41</v>
      </c>
      <c r="D92" s="64">
        <v>66.02</v>
      </c>
      <c r="E92" s="64">
        <v>6.74</v>
      </c>
      <c r="F92" s="64">
        <v>2.13</v>
      </c>
      <c r="G92" s="64">
        <v>100.1</v>
      </c>
      <c r="H92" s="64">
        <v>32.68</v>
      </c>
      <c r="I92" s="210" t="s">
        <v>43</v>
      </c>
      <c r="J92" s="64">
        <v>1.9</v>
      </c>
      <c r="K92" s="64">
        <v>352.35</v>
      </c>
      <c r="L92" s="64">
        <v>16.68</v>
      </c>
      <c r="M92" s="64">
        <v>43.67</v>
      </c>
      <c r="N92" s="64">
        <v>75</v>
      </c>
      <c r="O92" s="64">
        <v>0</v>
      </c>
      <c r="P92" s="64">
        <v>1.18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4" t="s">
        <v>1864</v>
      </c>
      <c r="B93" s="64">
        <v>42.2</v>
      </c>
      <c r="C93" s="64">
        <v>65.67</v>
      </c>
      <c r="D93" s="64">
        <v>66.78</v>
      </c>
      <c r="E93" s="64">
        <v>6.23</v>
      </c>
      <c r="F93" s="64">
        <v>2.13</v>
      </c>
      <c r="G93" s="64">
        <v>100.1</v>
      </c>
      <c r="H93" s="64">
        <v>32.68</v>
      </c>
      <c r="I93" s="210" t="s">
        <v>43</v>
      </c>
      <c r="J93" s="64">
        <v>0.66</v>
      </c>
      <c r="K93" s="64">
        <v>335.87</v>
      </c>
      <c r="L93" s="64">
        <v>16.3</v>
      </c>
      <c r="M93" s="64">
        <v>45.4</v>
      </c>
      <c r="N93" s="64">
        <v>75</v>
      </c>
      <c r="O93" s="64">
        <v>0</v>
      </c>
      <c r="P93" s="64">
        <v>1.18</v>
      </c>
      <c r="Q93" s="64">
        <v>9.36</v>
      </c>
      <c r="R93" s="198"/>
      <c r="S93" s="198"/>
      <c r="T93" s="198"/>
      <c r="U93" s="198"/>
    </row>
    <row r="94" spans="1:26" s="12" customFormat="1" x14ac:dyDescent="0.25">
      <c r="A94" s="214" t="s">
        <v>1865</v>
      </c>
      <c r="B94" s="64">
        <v>44.24</v>
      </c>
      <c r="C94" s="64">
        <v>64.62</v>
      </c>
      <c r="D94" s="64">
        <v>67.86</v>
      </c>
      <c r="E94" s="64">
        <v>6.51</v>
      </c>
      <c r="F94" s="64">
        <v>2.13</v>
      </c>
      <c r="G94" s="64">
        <v>100.1</v>
      </c>
      <c r="H94" s="64">
        <v>32.68</v>
      </c>
      <c r="I94" s="210" t="s">
        <v>43</v>
      </c>
      <c r="J94" s="64">
        <v>0.82</v>
      </c>
      <c r="K94" s="64">
        <v>319.16000000000003</v>
      </c>
      <c r="L94" s="64">
        <v>16.07</v>
      </c>
      <c r="M94" s="64">
        <v>46.52</v>
      </c>
      <c r="N94" s="64">
        <v>74.900000000000006</v>
      </c>
      <c r="O94" s="64">
        <v>0</v>
      </c>
      <c r="P94" s="64">
        <v>1.19</v>
      </c>
      <c r="Q94" s="64">
        <v>9.44</v>
      </c>
      <c r="R94" s="198"/>
      <c r="S94" s="198"/>
      <c r="T94" s="198"/>
      <c r="U94" s="198"/>
    </row>
    <row r="95" spans="1:26" s="12" customFormat="1" x14ac:dyDescent="0.25">
      <c r="A95" s="214" t="s">
        <v>1866</v>
      </c>
      <c r="B95" s="64">
        <v>46.49</v>
      </c>
      <c r="C95" s="64">
        <v>63.65</v>
      </c>
      <c r="D95" s="64">
        <v>69.16</v>
      </c>
      <c r="E95" s="64">
        <v>5.93</v>
      </c>
      <c r="F95" s="64">
        <v>2.13</v>
      </c>
      <c r="G95" s="64">
        <v>96.12</v>
      </c>
      <c r="H95" s="64">
        <v>30.82</v>
      </c>
      <c r="I95" s="210" t="s">
        <v>43</v>
      </c>
      <c r="J95" s="64">
        <v>1.39</v>
      </c>
      <c r="K95" s="64">
        <v>346.64</v>
      </c>
      <c r="L95" s="64">
        <v>16</v>
      </c>
      <c r="M95" s="64">
        <v>46.24</v>
      </c>
      <c r="N95" s="64">
        <v>74.8</v>
      </c>
      <c r="O95" s="64">
        <v>0</v>
      </c>
      <c r="P95" s="64">
        <v>1.1200000000000001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1867</v>
      </c>
      <c r="B96" s="64">
        <v>47.24</v>
      </c>
      <c r="C96" s="64">
        <v>62.62</v>
      </c>
      <c r="D96" s="64">
        <v>69.22</v>
      </c>
      <c r="E96" s="64">
        <v>6.47</v>
      </c>
      <c r="F96" s="64">
        <v>2.13</v>
      </c>
      <c r="G96" s="64">
        <v>94.41</v>
      </c>
      <c r="H96" s="64">
        <v>30.03</v>
      </c>
      <c r="I96" s="210" t="s">
        <v>43</v>
      </c>
      <c r="J96" s="64">
        <v>1.79</v>
      </c>
      <c r="K96" s="64">
        <v>348.44</v>
      </c>
      <c r="L96" s="64">
        <v>15.92</v>
      </c>
      <c r="M96" s="64">
        <v>46.44</v>
      </c>
      <c r="N96" s="64">
        <v>74.900000000000006</v>
      </c>
      <c r="O96" s="64">
        <v>0</v>
      </c>
      <c r="P96" s="64">
        <v>1.1399999999999999</v>
      </c>
      <c r="Q96" s="64">
        <v>9.59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1868</v>
      </c>
      <c r="B97" s="64">
        <v>47.7</v>
      </c>
      <c r="C97" s="64">
        <v>62.09</v>
      </c>
      <c r="D97" s="64">
        <v>69.31</v>
      </c>
      <c r="E97" s="64">
        <v>6.57</v>
      </c>
      <c r="F97" s="64">
        <v>2.13</v>
      </c>
      <c r="G97" s="64">
        <v>94.41</v>
      </c>
      <c r="H97" s="64">
        <v>30.03</v>
      </c>
      <c r="I97" s="210" t="s">
        <v>43</v>
      </c>
      <c r="J97" s="64">
        <v>2</v>
      </c>
      <c r="K97" s="64">
        <v>350.02</v>
      </c>
      <c r="L97" s="64">
        <v>15.68</v>
      </c>
      <c r="M97" s="64">
        <v>47.72</v>
      </c>
      <c r="N97" s="64">
        <v>75.2</v>
      </c>
      <c r="O97" s="64">
        <v>0</v>
      </c>
      <c r="P97" s="64">
        <v>1.1200000000000001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1869</v>
      </c>
      <c r="B98" s="64">
        <v>47.79</v>
      </c>
      <c r="C98" s="64">
        <v>61.34</v>
      </c>
      <c r="D98" s="64">
        <v>68.989999999999995</v>
      </c>
      <c r="E98" s="64">
        <v>6.44</v>
      </c>
      <c r="F98" s="64">
        <v>2.13</v>
      </c>
      <c r="G98" s="64">
        <v>94.41</v>
      </c>
      <c r="H98" s="64">
        <v>30.03</v>
      </c>
      <c r="I98" s="210" t="s">
        <v>43</v>
      </c>
      <c r="J98" s="64">
        <v>1.61</v>
      </c>
      <c r="K98" s="64">
        <v>343.71</v>
      </c>
      <c r="L98" s="64">
        <v>15.42</v>
      </c>
      <c r="M98" s="64">
        <v>48.94</v>
      </c>
      <c r="N98" s="64">
        <v>75.099999999999994</v>
      </c>
      <c r="O98" s="64">
        <v>0</v>
      </c>
      <c r="P98" s="64">
        <v>1.1399999999999999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4" t="s">
        <v>1870</v>
      </c>
      <c r="B99" s="64">
        <v>48.79</v>
      </c>
      <c r="C99" s="64">
        <v>60.87</v>
      </c>
      <c r="D99" s="64">
        <v>69.55</v>
      </c>
      <c r="E99" s="64">
        <v>7.02</v>
      </c>
      <c r="F99" s="64">
        <v>2.13</v>
      </c>
      <c r="G99" s="64">
        <v>87.62</v>
      </c>
      <c r="H99" s="64">
        <v>30.24</v>
      </c>
      <c r="I99" s="210" t="s">
        <v>43</v>
      </c>
      <c r="J99" s="64">
        <v>1.92</v>
      </c>
      <c r="K99" s="64">
        <v>341.83</v>
      </c>
      <c r="L99" s="64">
        <v>15.17</v>
      </c>
      <c r="M99" s="64">
        <v>50.05</v>
      </c>
      <c r="N99" s="64">
        <v>75.099999999999994</v>
      </c>
      <c r="O99" s="64">
        <v>0</v>
      </c>
      <c r="P99" s="64">
        <v>1.1399999999999999</v>
      </c>
      <c r="Q99" s="64">
        <v>9.61</v>
      </c>
      <c r="R99" s="198"/>
      <c r="S99" s="198"/>
      <c r="T99" s="198"/>
      <c r="U99" s="198"/>
    </row>
    <row r="100" spans="1:33" s="12" customFormat="1" x14ac:dyDescent="0.25">
      <c r="A100" s="214" t="s">
        <v>1871</v>
      </c>
      <c r="B100" s="64">
        <v>50.12</v>
      </c>
      <c r="C100" s="64">
        <v>60.27</v>
      </c>
      <c r="D100" s="64">
        <v>70.3</v>
      </c>
      <c r="E100" s="64">
        <v>8.02</v>
      </c>
      <c r="F100" s="64">
        <v>2.13</v>
      </c>
      <c r="G100" s="64">
        <v>84.71</v>
      </c>
      <c r="H100" s="64">
        <v>30.33</v>
      </c>
      <c r="I100" s="210" t="s">
        <v>43</v>
      </c>
      <c r="J100" s="64">
        <v>2.0299999999999998</v>
      </c>
      <c r="K100" s="64">
        <v>349.49</v>
      </c>
      <c r="L100" s="64">
        <v>15.02</v>
      </c>
      <c r="M100" s="64">
        <v>50.42</v>
      </c>
      <c r="N100" s="64">
        <v>75.099999999999994</v>
      </c>
      <c r="O100" s="64">
        <v>0</v>
      </c>
      <c r="P100" s="64">
        <v>1.1299999999999999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1872</v>
      </c>
      <c r="B101" s="64">
        <v>50.48</v>
      </c>
      <c r="C101" s="64">
        <v>60.03</v>
      </c>
      <c r="D101" s="64">
        <v>70.47</v>
      </c>
      <c r="E101" s="64">
        <v>7.76</v>
      </c>
      <c r="F101" s="64">
        <v>2.13</v>
      </c>
      <c r="G101" s="64">
        <v>84.71</v>
      </c>
      <c r="H101" s="64">
        <v>30.33</v>
      </c>
      <c r="I101" s="210" t="s">
        <v>43</v>
      </c>
      <c r="J101" s="64">
        <v>1.91</v>
      </c>
      <c r="K101" s="64">
        <v>345.85</v>
      </c>
      <c r="L101" s="64">
        <v>14.87</v>
      </c>
      <c r="M101" s="64">
        <v>50.72</v>
      </c>
      <c r="N101" s="64">
        <v>75</v>
      </c>
      <c r="O101" s="64">
        <v>0</v>
      </c>
      <c r="P101" s="64">
        <v>1.1100000000000001</v>
      </c>
      <c r="Q101" s="64">
        <v>9.68</v>
      </c>
      <c r="R101" s="198"/>
      <c r="S101" s="198"/>
      <c r="T101" s="198"/>
      <c r="U101" s="198"/>
    </row>
    <row r="102" spans="1:33" s="12" customFormat="1" x14ac:dyDescent="0.25">
      <c r="A102" s="214" t="s">
        <v>1873</v>
      </c>
      <c r="B102" s="64">
        <v>50.31</v>
      </c>
      <c r="C102" s="64">
        <v>59.84</v>
      </c>
      <c r="D102" s="64">
        <v>70.23</v>
      </c>
      <c r="E102" s="64">
        <v>7.24</v>
      </c>
      <c r="F102" s="64">
        <v>2.13</v>
      </c>
      <c r="G102" s="64">
        <v>84.71</v>
      </c>
      <c r="H102" s="64">
        <v>30.33</v>
      </c>
      <c r="I102" s="210" t="s">
        <v>43</v>
      </c>
      <c r="J102" s="64">
        <v>2.0299999999999998</v>
      </c>
      <c r="K102" s="64">
        <v>349.21</v>
      </c>
      <c r="L102" s="64">
        <v>14.79</v>
      </c>
      <c r="M102" s="64">
        <v>50.43</v>
      </c>
      <c r="N102" s="64">
        <v>75.099999999999994</v>
      </c>
      <c r="O102" s="64">
        <v>0</v>
      </c>
      <c r="P102" s="64">
        <v>1.1000000000000001</v>
      </c>
      <c r="Q102" s="64">
        <v>9.65</v>
      </c>
      <c r="R102" s="198"/>
      <c r="S102" s="198"/>
      <c r="T102" s="198"/>
      <c r="U102" s="198"/>
    </row>
    <row r="103" spans="1:33" s="12" customFormat="1" x14ac:dyDescent="0.25">
      <c r="A103" s="214" t="s">
        <v>1874</v>
      </c>
      <c r="B103" s="64">
        <v>49.61</v>
      </c>
      <c r="C103" s="64">
        <v>59.46</v>
      </c>
      <c r="D103" s="64">
        <v>69.47</v>
      </c>
      <c r="E103" s="64">
        <v>6.58</v>
      </c>
      <c r="F103" s="64">
        <v>2.13</v>
      </c>
      <c r="G103" s="64">
        <v>81.180000000000007</v>
      </c>
      <c r="H103" s="64">
        <v>28.75</v>
      </c>
      <c r="I103" s="210" t="s">
        <v>43</v>
      </c>
      <c r="J103" s="64">
        <v>2.31</v>
      </c>
      <c r="K103" s="64">
        <v>350.32</v>
      </c>
      <c r="L103" s="64">
        <v>14.75</v>
      </c>
      <c r="M103" s="64">
        <v>49.89</v>
      </c>
      <c r="N103" s="64">
        <v>75</v>
      </c>
      <c r="O103" s="64">
        <v>0</v>
      </c>
      <c r="P103" s="64">
        <v>1.08</v>
      </c>
      <c r="Q103" s="64">
        <v>9.59</v>
      </c>
      <c r="R103" s="198"/>
      <c r="S103" s="198"/>
      <c r="T103" s="198"/>
      <c r="U103" s="198"/>
    </row>
    <row r="104" spans="1:33" s="12" customFormat="1" x14ac:dyDescent="0.25">
      <c r="A104" s="214" t="s">
        <v>1875</v>
      </c>
      <c r="B104" s="64">
        <v>48.64</v>
      </c>
      <c r="C104" s="64">
        <v>59.41</v>
      </c>
      <c r="D104" s="64">
        <v>68.67</v>
      </c>
      <c r="E104" s="64">
        <v>6.42</v>
      </c>
      <c r="F104" s="64">
        <v>2.13</v>
      </c>
      <c r="G104" s="64">
        <v>79.66</v>
      </c>
      <c r="H104" s="64">
        <v>28.07</v>
      </c>
      <c r="I104" s="210" t="s">
        <v>43</v>
      </c>
      <c r="J104" s="64">
        <v>2.2200000000000002</v>
      </c>
      <c r="K104" s="64">
        <v>351.76</v>
      </c>
      <c r="L104" s="64">
        <v>14.58</v>
      </c>
      <c r="M104" s="64">
        <v>51.01</v>
      </c>
      <c r="N104" s="64">
        <v>75.400000000000006</v>
      </c>
      <c r="O104" s="64">
        <v>0</v>
      </c>
      <c r="P104" s="64">
        <v>1.06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7.65</v>
      </c>
      <c r="C106" s="67">
        <f>MIN(C9:C104)</f>
        <v>47.04</v>
      </c>
      <c r="D106" s="67">
        <f t="shared" ref="D106:Q106" si="0">MIN(D9:D104)</f>
        <v>29.74</v>
      </c>
      <c r="E106" s="67">
        <f t="shared" si="0"/>
        <v>5.23</v>
      </c>
      <c r="F106" s="67">
        <f t="shared" si="0"/>
        <v>2.13</v>
      </c>
      <c r="G106" s="67">
        <f t="shared" si="0"/>
        <v>32.61</v>
      </c>
      <c r="H106" s="67">
        <f t="shared" si="0"/>
        <v>18.760000000000002</v>
      </c>
      <c r="I106" s="67">
        <f t="shared" si="0"/>
        <v>0</v>
      </c>
      <c r="J106" s="67">
        <f t="shared" si="0"/>
        <v>0.21</v>
      </c>
      <c r="K106" s="67">
        <f t="shared" si="0"/>
        <v>0.62</v>
      </c>
      <c r="L106" s="67">
        <f t="shared" si="0"/>
        <v>13.14</v>
      </c>
      <c r="M106" s="67">
        <f t="shared" si="0"/>
        <v>20.85</v>
      </c>
      <c r="N106" s="67">
        <f t="shared" si="0"/>
        <v>70</v>
      </c>
      <c r="O106" s="67">
        <f t="shared" si="0"/>
        <v>0</v>
      </c>
      <c r="P106" s="67">
        <f t="shared" si="0"/>
        <v>0.54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50.48</v>
      </c>
      <c r="C107" s="66">
        <f t="shared" ref="C107:Q107" si="1">MAX(C9:C104)</f>
        <v>73.540000000000006</v>
      </c>
      <c r="D107" s="66">
        <f t="shared" si="1"/>
        <v>70.47</v>
      </c>
      <c r="E107" s="66">
        <f t="shared" si="1"/>
        <v>8.1300000000000008</v>
      </c>
      <c r="F107" s="66">
        <f t="shared" si="1"/>
        <v>2.14</v>
      </c>
      <c r="G107" s="66">
        <f t="shared" si="1"/>
        <v>109.39</v>
      </c>
      <c r="H107" s="66">
        <f t="shared" si="1"/>
        <v>36.25</v>
      </c>
      <c r="I107" s="66">
        <f t="shared" si="1"/>
        <v>0</v>
      </c>
      <c r="J107" s="66">
        <f t="shared" si="1"/>
        <v>3.3</v>
      </c>
      <c r="K107" s="66">
        <f t="shared" si="1"/>
        <v>359.39</v>
      </c>
      <c r="L107" s="66">
        <f t="shared" si="1"/>
        <v>26.46</v>
      </c>
      <c r="M107" s="66">
        <f t="shared" si="1"/>
        <v>59.35</v>
      </c>
      <c r="N107" s="66">
        <f t="shared" si="1"/>
        <v>656.5</v>
      </c>
      <c r="O107" s="66">
        <f t="shared" si="1"/>
        <v>0</v>
      </c>
      <c r="P107" s="66">
        <f t="shared" si="1"/>
        <v>1.19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22.389583333333331</v>
      </c>
      <c r="C108" s="67">
        <f t="shared" ref="C108:Q108" si="2">AVERAGE(C9:C104)</f>
        <v>61.299270833333345</v>
      </c>
      <c r="D108" s="67">
        <f t="shared" si="2"/>
        <v>48.604895833333337</v>
      </c>
      <c r="E108" s="67">
        <f t="shared" si="2"/>
        <v>6.2869791666666659</v>
      </c>
      <c r="F108" s="67">
        <f t="shared" si="2"/>
        <v>2.1301041666666638</v>
      </c>
      <c r="G108" s="67">
        <f t="shared" si="2"/>
        <v>65.332187500000046</v>
      </c>
      <c r="H108" s="67">
        <f t="shared" si="2"/>
        <v>25.879166666666663</v>
      </c>
      <c r="I108" s="67" t="e">
        <f t="shared" si="2"/>
        <v>#DIV/0!</v>
      </c>
      <c r="J108" s="67">
        <f t="shared" si="2"/>
        <v>1.6720833333333331</v>
      </c>
      <c r="K108" s="67">
        <f t="shared" si="2"/>
        <v>295.169375</v>
      </c>
      <c r="L108" s="67">
        <f t="shared" si="2"/>
        <v>18.079062499999996</v>
      </c>
      <c r="M108" s="67">
        <f t="shared" si="2"/>
        <v>42.078437499999986</v>
      </c>
      <c r="N108" s="67">
        <f t="shared" si="2"/>
        <v>195.02187500000002</v>
      </c>
      <c r="O108" s="67">
        <f t="shared" si="2"/>
        <v>0</v>
      </c>
      <c r="P108" s="67">
        <f t="shared" si="2"/>
        <v>0.78802083333333328</v>
      </c>
      <c r="Q108" s="67">
        <f t="shared" si="2"/>
        <v>8.4720833333333321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12.595264683846086</v>
      </c>
      <c r="C109" s="67">
        <f t="shared" ref="C109:Q109" si="3">STDEV(C9:C104)</f>
        <v>8.6329137905663185</v>
      </c>
      <c r="D109" s="67">
        <f t="shared" si="3"/>
        <v>11.858179144397075</v>
      </c>
      <c r="E109" s="67">
        <f t="shared" si="3"/>
        <v>0.63712531989054788</v>
      </c>
      <c r="F109" s="67">
        <f t="shared" si="3"/>
        <v>1.0206207261596806E-3</v>
      </c>
      <c r="G109" s="67">
        <f t="shared" si="3"/>
        <v>20.423535453677637</v>
      </c>
      <c r="H109" s="67">
        <f t="shared" si="3"/>
        <v>4.837518212486712</v>
      </c>
      <c r="I109" s="67" t="e">
        <f t="shared" si="3"/>
        <v>#DIV/0!</v>
      </c>
      <c r="J109" s="67">
        <f t="shared" si="3"/>
        <v>0.64143247036230433</v>
      </c>
      <c r="K109" s="67">
        <f t="shared" si="3"/>
        <v>119.29261975506384</v>
      </c>
      <c r="L109" s="67">
        <f t="shared" si="3"/>
        <v>4.0257288527734802</v>
      </c>
      <c r="M109" s="67">
        <f t="shared" si="3"/>
        <v>11.539713152334389</v>
      </c>
      <c r="N109" s="67">
        <f t="shared" si="3"/>
        <v>197.88239686776473</v>
      </c>
      <c r="O109" s="67">
        <f t="shared" si="3"/>
        <v>0</v>
      </c>
      <c r="P109" s="67">
        <f t="shared" si="3"/>
        <v>0.19986110857117317</v>
      </c>
      <c r="Q109" s="67">
        <f t="shared" si="3"/>
        <v>0.49456395822171423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1876</v>
      </c>
      <c r="B9" s="64">
        <v>47.99</v>
      </c>
      <c r="C9" s="64">
        <v>59.3</v>
      </c>
      <c r="D9" s="64">
        <v>68.09</v>
      </c>
      <c r="E9" s="64">
        <v>7.7</v>
      </c>
      <c r="F9" s="64">
        <v>2.13</v>
      </c>
      <c r="G9" s="64">
        <v>79.66</v>
      </c>
      <c r="H9" s="64">
        <v>28.07</v>
      </c>
      <c r="I9" s="210" t="s">
        <v>43</v>
      </c>
      <c r="J9" s="64">
        <v>1.42</v>
      </c>
      <c r="K9" s="64">
        <v>358.07</v>
      </c>
      <c r="L9" s="64">
        <v>14.26</v>
      </c>
      <c r="M9" s="64">
        <v>53.32</v>
      </c>
      <c r="N9" s="64">
        <v>75.599999999999994</v>
      </c>
      <c r="O9" s="64">
        <v>0</v>
      </c>
      <c r="P9" s="64">
        <v>1.05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4" t="s">
        <v>1877</v>
      </c>
      <c r="B10" s="64">
        <v>47.46</v>
      </c>
      <c r="C10" s="64">
        <v>58.87</v>
      </c>
      <c r="D10" s="64">
        <v>67.44</v>
      </c>
      <c r="E10" s="64">
        <v>7.34</v>
      </c>
      <c r="F10" s="64">
        <v>2.13</v>
      </c>
      <c r="G10" s="64">
        <v>79.66</v>
      </c>
      <c r="H10" s="64">
        <v>28.07</v>
      </c>
      <c r="I10" s="210" t="s">
        <v>43</v>
      </c>
      <c r="J10" s="64">
        <v>1.9</v>
      </c>
      <c r="K10" s="64">
        <v>351.56</v>
      </c>
      <c r="L10" s="64">
        <v>14</v>
      </c>
      <c r="M10" s="64">
        <v>53.93</v>
      </c>
      <c r="N10" s="64">
        <v>75.3</v>
      </c>
      <c r="O10" s="64">
        <v>0</v>
      </c>
      <c r="P10" s="64">
        <v>1.06</v>
      </c>
      <c r="Q10" s="64">
        <v>9.27</v>
      </c>
      <c r="R10" s="198"/>
      <c r="S10" s="198"/>
      <c r="T10" s="198"/>
      <c r="U10" s="198"/>
    </row>
    <row r="11" spans="1:21" s="12" customFormat="1" x14ac:dyDescent="0.25">
      <c r="A11" s="214" t="s">
        <v>1878</v>
      </c>
      <c r="B11" s="64">
        <v>46.95</v>
      </c>
      <c r="C11" s="64">
        <v>58.5</v>
      </c>
      <c r="D11" s="64">
        <v>66.84</v>
      </c>
      <c r="E11" s="64">
        <v>6.93</v>
      </c>
      <c r="F11" s="64">
        <v>2.13</v>
      </c>
      <c r="G11" s="64">
        <v>83.07</v>
      </c>
      <c r="H11" s="64">
        <v>27.53</v>
      </c>
      <c r="I11" s="210" t="s">
        <v>43</v>
      </c>
      <c r="J11" s="64">
        <v>1.21</v>
      </c>
      <c r="K11" s="64">
        <v>356.92</v>
      </c>
      <c r="L11" s="64">
        <v>14.07</v>
      </c>
      <c r="M11" s="64">
        <v>52.56</v>
      </c>
      <c r="N11" s="64">
        <v>75</v>
      </c>
      <c r="O11" s="64">
        <v>0</v>
      </c>
      <c r="P11" s="64">
        <v>1.05</v>
      </c>
      <c r="Q11" s="64">
        <v>9.2100000000000009</v>
      </c>
      <c r="R11" s="198"/>
      <c r="S11" s="198"/>
      <c r="T11" s="198"/>
      <c r="U11" s="198"/>
    </row>
    <row r="12" spans="1:21" s="12" customFormat="1" x14ac:dyDescent="0.25">
      <c r="A12" s="214" t="s">
        <v>1879</v>
      </c>
      <c r="B12" s="64">
        <v>45.88</v>
      </c>
      <c r="C12" s="64">
        <v>56.54</v>
      </c>
      <c r="D12" s="64">
        <v>64.959999999999994</v>
      </c>
      <c r="E12" s="64">
        <v>6.48</v>
      </c>
      <c r="F12" s="64">
        <v>2.13</v>
      </c>
      <c r="G12" s="64">
        <v>84.54</v>
      </c>
      <c r="H12" s="64">
        <v>27.3</v>
      </c>
      <c r="I12" s="210" t="s">
        <v>43</v>
      </c>
      <c r="J12" s="64">
        <v>1.58</v>
      </c>
      <c r="K12" s="64">
        <v>349.96</v>
      </c>
      <c r="L12" s="64">
        <v>13.99</v>
      </c>
      <c r="M12" s="64">
        <v>53.33</v>
      </c>
      <c r="N12" s="64">
        <v>75.3</v>
      </c>
      <c r="O12" s="64">
        <v>0</v>
      </c>
      <c r="P12" s="64">
        <v>1.01</v>
      </c>
      <c r="Q12" s="64">
        <v>9.1</v>
      </c>
      <c r="R12" s="198"/>
      <c r="S12" s="198"/>
      <c r="T12" s="198"/>
      <c r="U12" s="198"/>
    </row>
    <row r="13" spans="1:21" s="12" customFormat="1" x14ac:dyDescent="0.25">
      <c r="A13" s="214" t="s">
        <v>1880</v>
      </c>
      <c r="B13" s="64">
        <v>44.34</v>
      </c>
      <c r="C13" s="64">
        <v>55.9</v>
      </c>
      <c r="D13" s="64">
        <v>63.38</v>
      </c>
      <c r="E13" s="64">
        <v>6.5</v>
      </c>
      <c r="F13" s="64">
        <v>2.13</v>
      </c>
      <c r="G13" s="64">
        <v>84.54</v>
      </c>
      <c r="H13" s="64">
        <v>27.3</v>
      </c>
      <c r="I13" s="210" t="s">
        <v>43</v>
      </c>
      <c r="J13" s="64">
        <v>1.83</v>
      </c>
      <c r="K13" s="64">
        <v>347.7</v>
      </c>
      <c r="L13" s="64">
        <v>13.88</v>
      </c>
      <c r="M13" s="64">
        <v>54.25</v>
      </c>
      <c r="N13" s="64">
        <v>75.400000000000006</v>
      </c>
      <c r="O13" s="64">
        <v>0</v>
      </c>
      <c r="P13" s="64">
        <v>0.89</v>
      </c>
      <c r="Q13" s="64">
        <v>8.93</v>
      </c>
      <c r="R13" s="198"/>
      <c r="S13" s="198"/>
      <c r="T13" s="198"/>
      <c r="U13" s="198"/>
    </row>
    <row r="14" spans="1:21" s="12" customFormat="1" x14ac:dyDescent="0.25">
      <c r="A14" s="214" t="s">
        <v>1881</v>
      </c>
      <c r="B14" s="64">
        <v>42.61</v>
      </c>
      <c r="C14" s="64">
        <v>55.72</v>
      </c>
      <c r="D14" s="64">
        <v>61.91</v>
      </c>
      <c r="E14" s="64">
        <v>6.45</v>
      </c>
      <c r="F14" s="64">
        <v>2.13</v>
      </c>
      <c r="G14" s="64">
        <v>84.54</v>
      </c>
      <c r="H14" s="64">
        <v>27.3</v>
      </c>
      <c r="I14" s="210" t="s">
        <v>43</v>
      </c>
      <c r="J14" s="64">
        <v>1.72</v>
      </c>
      <c r="K14" s="64">
        <v>347.32</v>
      </c>
      <c r="L14" s="64">
        <v>13.68</v>
      </c>
      <c r="M14" s="64">
        <v>55.17</v>
      </c>
      <c r="N14" s="64">
        <v>75.599999999999994</v>
      </c>
      <c r="O14" s="64">
        <v>0</v>
      </c>
      <c r="P14" s="64">
        <v>0.9</v>
      </c>
      <c r="Q14" s="64">
        <v>8.8000000000000007</v>
      </c>
      <c r="R14" s="198"/>
      <c r="S14" s="198"/>
      <c r="T14" s="198"/>
      <c r="U14" s="198"/>
    </row>
    <row r="15" spans="1:21" s="12" customFormat="1" x14ac:dyDescent="0.25">
      <c r="A15" s="214" t="s">
        <v>1882</v>
      </c>
      <c r="B15" s="64">
        <v>40.869999999999997</v>
      </c>
      <c r="C15" s="64">
        <v>54.93</v>
      </c>
      <c r="D15" s="64">
        <v>60.1</v>
      </c>
      <c r="E15" s="64">
        <v>6.03</v>
      </c>
      <c r="F15" s="64">
        <v>2.13</v>
      </c>
      <c r="G15" s="64">
        <v>76.5</v>
      </c>
      <c r="H15" s="64">
        <v>27.16</v>
      </c>
      <c r="I15" s="210" t="s">
        <v>43</v>
      </c>
      <c r="J15" s="64">
        <v>2.08</v>
      </c>
      <c r="K15" s="64">
        <v>344.97</v>
      </c>
      <c r="L15" s="64">
        <v>13.58</v>
      </c>
      <c r="M15" s="64">
        <v>55.49</v>
      </c>
      <c r="N15" s="64">
        <v>75.599999999999994</v>
      </c>
      <c r="O15" s="64">
        <v>0</v>
      </c>
      <c r="P15" s="64">
        <v>0.87</v>
      </c>
      <c r="Q15" s="64">
        <v>8.6999999999999993</v>
      </c>
      <c r="R15" s="198"/>
      <c r="S15" s="198"/>
      <c r="T15" s="198"/>
      <c r="U15" s="198"/>
    </row>
    <row r="16" spans="1:21" s="12" customFormat="1" x14ac:dyDescent="0.25">
      <c r="A16" s="214" t="s">
        <v>1883</v>
      </c>
      <c r="B16" s="64">
        <v>39.270000000000003</v>
      </c>
      <c r="C16" s="64">
        <v>54.34</v>
      </c>
      <c r="D16" s="64">
        <v>58.5</v>
      </c>
      <c r="E16" s="64">
        <v>6.47</v>
      </c>
      <c r="F16" s="64">
        <v>2.13</v>
      </c>
      <c r="G16" s="64">
        <v>72.87</v>
      </c>
      <c r="H16" s="64">
        <v>27.1</v>
      </c>
      <c r="I16" s="210" t="s">
        <v>43</v>
      </c>
      <c r="J16" s="64">
        <v>1.7</v>
      </c>
      <c r="K16" s="64">
        <v>345.75</v>
      </c>
      <c r="L16" s="64">
        <v>13.42</v>
      </c>
      <c r="M16" s="64">
        <v>55.87</v>
      </c>
      <c r="N16" s="64">
        <v>75.599999999999994</v>
      </c>
      <c r="O16" s="64">
        <v>0</v>
      </c>
      <c r="P16" s="64">
        <v>0.86</v>
      </c>
      <c r="Q16" s="64">
        <v>8.6</v>
      </c>
      <c r="R16" s="198"/>
      <c r="S16" s="198"/>
      <c r="T16" s="198"/>
      <c r="U16" s="198"/>
    </row>
    <row r="17" spans="1:21" s="12" customFormat="1" x14ac:dyDescent="0.25">
      <c r="A17" s="214" t="s">
        <v>1884</v>
      </c>
      <c r="B17" s="64">
        <v>37.78</v>
      </c>
      <c r="C17" s="64">
        <v>54.01</v>
      </c>
      <c r="D17" s="64">
        <v>57.14</v>
      </c>
      <c r="E17" s="64">
        <v>6.43</v>
      </c>
      <c r="F17" s="64">
        <v>2.13</v>
      </c>
      <c r="G17" s="64">
        <v>72.87</v>
      </c>
      <c r="H17" s="64">
        <v>27.1</v>
      </c>
      <c r="I17" s="210" t="s">
        <v>43</v>
      </c>
      <c r="J17" s="64">
        <v>1.59</v>
      </c>
      <c r="K17" s="64">
        <v>345.17</v>
      </c>
      <c r="L17" s="64">
        <v>13.33</v>
      </c>
      <c r="M17" s="64">
        <v>55.72</v>
      </c>
      <c r="N17" s="64">
        <v>75.599999999999994</v>
      </c>
      <c r="O17" s="64">
        <v>0</v>
      </c>
      <c r="P17" s="64">
        <v>0.82</v>
      </c>
      <c r="Q17" s="64">
        <v>8.5</v>
      </c>
      <c r="R17" s="198"/>
      <c r="S17" s="198"/>
      <c r="T17" s="198"/>
      <c r="U17" s="198"/>
    </row>
    <row r="18" spans="1:21" s="12" customFormat="1" x14ac:dyDescent="0.25">
      <c r="A18" s="214" t="s">
        <v>1885</v>
      </c>
      <c r="B18" s="64">
        <v>36.25</v>
      </c>
      <c r="C18" s="64">
        <v>53.28</v>
      </c>
      <c r="D18" s="64">
        <v>55.53</v>
      </c>
      <c r="E18" s="64">
        <v>6.15</v>
      </c>
      <c r="F18" s="64">
        <v>2.13</v>
      </c>
      <c r="G18" s="64">
        <v>72.87</v>
      </c>
      <c r="H18" s="64">
        <v>27.1</v>
      </c>
      <c r="I18" s="210" t="s">
        <v>43</v>
      </c>
      <c r="J18" s="64">
        <v>1.53</v>
      </c>
      <c r="K18" s="64">
        <v>349.55</v>
      </c>
      <c r="L18" s="64">
        <v>13.26</v>
      </c>
      <c r="M18" s="64">
        <v>55.71</v>
      </c>
      <c r="N18" s="64">
        <v>75.7</v>
      </c>
      <c r="O18" s="64">
        <v>0</v>
      </c>
      <c r="P18" s="64">
        <v>0.79</v>
      </c>
      <c r="Q18" s="64">
        <v>8.3800000000000008</v>
      </c>
      <c r="R18" s="198"/>
      <c r="S18" s="198"/>
      <c r="T18" s="198"/>
      <c r="U18" s="198"/>
    </row>
    <row r="19" spans="1:21" s="12" customFormat="1" x14ac:dyDescent="0.25">
      <c r="A19" s="214" t="s">
        <v>1886</v>
      </c>
      <c r="B19" s="64">
        <v>34.869999999999997</v>
      </c>
      <c r="C19" s="64">
        <v>53.17</v>
      </c>
      <c r="D19" s="64">
        <v>54.36</v>
      </c>
      <c r="E19" s="64">
        <v>5.93</v>
      </c>
      <c r="F19" s="64">
        <v>2.13</v>
      </c>
      <c r="G19" s="64">
        <v>69.73</v>
      </c>
      <c r="H19" s="64">
        <v>26.65</v>
      </c>
      <c r="I19" s="210" t="s">
        <v>43</v>
      </c>
      <c r="J19" s="64">
        <v>0.94</v>
      </c>
      <c r="K19" s="64">
        <v>345.51</v>
      </c>
      <c r="L19" s="64">
        <v>13.08</v>
      </c>
      <c r="M19" s="64">
        <v>56.83</v>
      </c>
      <c r="N19" s="64">
        <v>76.099999999999994</v>
      </c>
      <c r="O19" s="64">
        <v>0</v>
      </c>
      <c r="P19" s="64">
        <v>0.81</v>
      </c>
      <c r="Q19" s="64">
        <v>8.2799999999999994</v>
      </c>
      <c r="R19" s="198"/>
      <c r="S19" s="198"/>
      <c r="T19" s="198"/>
      <c r="U19" s="198"/>
    </row>
    <row r="20" spans="1:21" s="12" customFormat="1" x14ac:dyDescent="0.25">
      <c r="A20" s="214" t="s">
        <v>1887</v>
      </c>
      <c r="B20" s="64">
        <v>33.71</v>
      </c>
      <c r="C20" s="64">
        <v>52.74</v>
      </c>
      <c r="D20" s="64">
        <v>53.22</v>
      </c>
      <c r="E20" s="64">
        <v>6.71</v>
      </c>
      <c r="F20" s="64">
        <v>2.13</v>
      </c>
      <c r="G20" s="64">
        <v>68.38</v>
      </c>
      <c r="H20" s="64">
        <v>26.45</v>
      </c>
      <c r="I20" s="210" t="s">
        <v>43</v>
      </c>
      <c r="J20" s="64">
        <v>0.28000000000000003</v>
      </c>
      <c r="K20" s="64">
        <v>33.94</v>
      </c>
      <c r="L20" s="64">
        <v>12.89</v>
      </c>
      <c r="M20" s="64">
        <v>57.48</v>
      </c>
      <c r="N20" s="64">
        <v>76.099999999999994</v>
      </c>
      <c r="O20" s="64">
        <v>0</v>
      </c>
      <c r="P20" s="64">
        <v>0.79</v>
      </c>
      <c r="Q20" s="64">
        <v>8.2200000000000006</v>
      </c>
      <c r="R20" s="198"/>
      <c r="S20" s="198"/>
      <c r="T20" s="198"/>
      <c r="U20" s="198"/>
    </row>
    <row r="21" spans="1:21" s="12" customFormat="1" x14ac:dyDescent="0.25">
      <c r="A21" s="214" t="s">
        <v>1888</v>
      </c>
      <c r="B21" s="64">
        <v>32.43</v>
      </c>
      <c r="C21" s="64">
        <v>52.81</v>
      </c>
      <c r="D21" s="64">
        <v>52.22</v>
      </c>
      <c r="E21" s="64">
        <v>6.68</v>
      </c>
      <c r="F21" s="64">
        <v>2.13</v>
      </c>
      <c r="G21" s="64">
        <v>68.38</v>
      </c>
      <c r="H21" s="64">
        <v>26.45</v>
      </c>
      <c r="I21" s="210" t="s">
        <v>43</v>
      </c>
      <c r="J21" s="64">
        <v>0.53</v>
      </c>
      <c r="K21" s="64">
        <v>310.92</v>
      </c>
      <c r="L21" s="64">
        <v>12.67</v>
      </c>
      <c r="M21" s="64">
        <v>58.44</v>
      </c>
      <c r="N21" s="64">
        <v>76.3</v>
      </c>
      <c r="O21" s="64">
        <v>0</v>
      </c>
      <c r="P21" s="64">
        <v>0.77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1889</v>
      </c>
      <c r="B22" s="64">
        <v>31.22</v>
      </c>
      <c r="C22" s="64">
        <v>52.63</v>
      </c>
      <c r="D22" s="64">
        <v>51.16</v>
      </c>
      <c r="E22" s="64">
        <v>7.14</v>
      </c>
      <c r="F22" s="64">
        <v>2.13</v>
      </c>
      <c r="G22" s="64">
        <v>68.38</v>
      </c>
      <c r="H22" s="64">
        <v>26.45</v>
      </c>
      <c r="I22" s="210" t="s">
        <v>43</v>
      </c>
      <c r="J22" s="64">
        <v>1.91</v>
      </c>
      <c r="K22" s="64">
        <v>348.02</v>
      </c>
      <c r="L22" s="64">
        <v>12.64</v>
      </c>
      <c r="M22" s="64">
        <v>59.23</v>
      </c>
      <c r="N22" s="64">
        <v>76.2</v>
      </c>
      <c r="O22" s="64">
        <v>0</v>
      </c>
      <c r="P22" s="64">
        <v>0.76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1890</v>
      </c>
      <c r="B23" s="64">
        <v>30.04</v>
      </c>
      <c r="C23" s="64">
        <v>52.59</v>
      </c>
      <c r="D23" s="64">
        <v>50.19</v>
      </c>
      <c r="E23" s="64">
        <v>6.68</v>
      </c>
      <c r="F23" s="64">
        <v>2.13</v>
      </c>
      <c r="G23" s="64">
        <v>65.67</v>
      </c>
      <c r="H23" s="64">
        <v>24.26</v>
      </c>
      <c r="I23" s="210" t="s">
        <v>43</v>
      </c>
      <c r="J23" s="64">
        <v>2.09</v>
      </c>
      <c r="K23" s="64">
        <v>348.86</v>
      </c>
      <c r="L23" s="64">
        <v>12.61</v>
      </c>
      <c r="M23" s="64">
        <v>59.03</v>
      </c>
      <c r="N23" s="64">
        <v>76.3</v>
      </c>
      <c r="O23" s="64">
        <v>0</v>
      </c>
      <c r="P23" s="64">
        <v>0.74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1891</v>
      </c>
      <c r="B24" s="64">
        <v>29.2</v>
      </c>
      <c r="C24" s="64">
        <v>52.33</v>
      </c>
      <c r="D24" s="64">
        <v>49.38</v>
      </c>
      <c r="E24" s="64">
        <v>5.96</v>
      </c>
      <c r="F24" s="64">
        <v>2.13</v>
      </c>
      <c r="G24" s="64">
        <v>64.5</v>
      </c>
      <c r="H24" s="64">
        <v>23.32</v>
      </c>
      <c r="I24" s="210" t="s">
        <v>43</v>
      </c>
      <c r="J24" s="64">
        <v>0.74</v>
      </c>
      <c r="K24" s="64">
        <v>346.76</v>
      </c>
      <c r="L24" s="64">
        <v>12.39</v>
      </c>
      <c r="M24" s="64">
        <v>60.42</v>
      </c>
      <c r="N24" s="64">
        <v>76.599999999999994</v>
      </c>
      <c r="O24" s="64">
        <v>0</v>
      </c>
      <c r="P24" s="64">
        <v>0.73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1892</v>
      </c>
      <c r="B25" s="64">
        <v>28.45</v>
      </c>
      <c r="C25" s="64">
        <v>52.19</v>
      </c>
      <c r="D25" s="64">
        <v>48.71</v>
      </c>
      <c r="E25" s="64">
        <v>6.04</v>
      </c>
      <c r="F25" s="64">
        <v>2.13</v>
      </c>
      <c r="G25" s="64">
        <v>64.5</v>
      </c>
      <c r="H25" s="64">
        <v>23.32</v>
      </c>
      <c r="I25" s="210" t="s">
        <v>43</v>
      </c>
      <c r="J25" s="64">
        <v>0.74</v>
      </c>
      <c r="K25" s="64">
        <v>342.04</v>
      </c>
      <c r="L25" s="64">
        <v>12</v>
      </c>
      <c r="M25" s="64">
        <v>61.73</v>
      </c>
      <c r="N25" s="64">
        <v>76.599999999999994</v>
      </c>
      <c r="O25" s="64">
        <v>0</v>
      </c>
      <c r="P25" s="64">
        <v>0.71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1893</v>
      </c>
      <c r="B26" s="64">
        <v>27.81</v>
      </c>
      <c r="C26" s="64">
        <v>52.07</v>
      </c>
      <c r="D26" s="64">
        <v>48.13</v>
      </c>
      <c r="E26" s="64">
        <v>5.93</v>
      </c>
      <c r="F26" s="64">
        <v>2.13</v>
      </c>
      <c r="G26" s="64">
        <v>64.5</v>
      </c>
      <c r="H26" s="64">
        <v>23.32</v>
      </c>
      <c r="I26" s="210" t="s">
        <v>43</v>
      </c>
      <c r="J26" s="64">
        <v>0.31</v>
      </c>
      <c r="K26" s="64">
        <v>34.799999999999997</v>
      </c>
      <c r="L26" s="64">
        <v>11.84</v>
      </c>
      <c r="M26" s="64">
        <v>62.18</v>
      </c>
      <c r="N26" s="64">
        <v>76.599999999999994</v>
      </c>
      <c r="O26" s="64">
        <v>0</v>
      </c>
      <c r="P26" s="64">
        <v>0.7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1894</v>
      </c>
      <c r="B27" s="64">
        <v>27.9</v>
      </c>
      <c r="C27" s="64">
        <v>51.98</v>
      </c>
      <c r="D27" s="64">
        <v>48.15</v>
      </c>
      <c r="E27" s="64">
        <v>6.22</v>
      </c>
      <c r="F27" s="64">
        <v>2.13</v>
      </c>
      <c r="G27" s="64">
        <v>62.18</v>
      </c>
      <c r="H27" s="64">
        <v>22.91</v>
      </c>
      <c r="I27" s="210" t="s">
        <v>43</v>
      </c>
      <c r="J27" s="64">
        <v>0.73</v>
      </c>
      <c r="K27" s="64">
        <v>33.979999999999997</v>
      </c>
      <c r="L27" s="64">
        <v>11.61</v>
      </c>
      <c r="M27" s="64">
        <v>63.31</v>
      </c>
      <c r="N27" s="64">
        <v>76.7</v>
      </c>
      <c r="O27" s="64">
        <v>0</v>
      </c>
      <c r="P27" s="64">
        <v>0.69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1895</v>
      </c>
      <c r="B28" s="64">
        <v>28.41</v>
      </c>
      <c r="C28" s="64">
        <v>51.28</v>
      </c>
      <c r="D28" s="64">
        <v>48.2</v>
      </c>
      <c r="E28" s="64">
        <v>6.03</v>
      </c>
      <c r="F28" s="64">
        <v>2.13</v>
      </c>
      <c r="G28" s="64">
        <v>61.19</v>
      </c>
      <c r="H28" s="64">
        <v>22.74</v>
      </c>
      <c r="I28" s="210" t="s">
        <v>43</v>
      </c>
      <c r="J28" s="64">
        <v>1.03</v>
      </c>
      <c r="K28" s="64">
        <v>57.22</v>
      </c>
      <c r="L28" s="64">
        <v>11.51</v>
      </c>
      <c r="M28" s="64">
        <v>63.32</v>
      </c>
      <c r="N28" s="64">
        <v>76.7</v>
      </c>
      <c r="O28" s="64">
        <v>0</v>
      </c>
      <c r="P28" s="64">
        <v>0.67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1896</v>
      </c>
      <c r="B29" s="64">
        <v>28.34</v>
      </c>
      <c r="C29" s="64">
        <v>50.11</v>
      </c>
      <c r="D29" s="64">
        <v>47.53</v>
      </c>
      <c r="E29" s="64">
        <v>5.81</v>
      </c>
      <c r="F29" s="64">
        <v>2.13</v>
      </c>
      <c r="G29" s="64">
        <v>61.19</v>
      </c>
      <c r="H29" s="64">
        <v>22.74</v>
      </c>
      <c r="I29" s="210" t="s">
        <v>43</v>
      </c>
      <c r="J29" s="64">
        <v>1.95</v>
      </c>
      <c r="K29" s="64">
        <v>348.32</v>
      </c>
      <c r="L29" s="64">
        <v>11.4</v>
      </c>
      <c r="M29" s="64">
        <v>65.13</v>
      </c>
      <c r="N29" s="64">
        <v>76.5</v>
      </c>
      <c r="O29" s="64">
        <v>0</v>
      </c>
      <c r="P29" s="64">
        <v>0.67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1897</v>
      </c>
      <c r="B30" s="64">
        <v>28.72</v>
      </c>
      <c r="C30" s="64">
        <v>50.51</v>
      </c>
      <c r="D30" s="64">
        <v>48.05</v>
      </c>
      <c r="E30" s="64">
        <v>5.89</v>
      </c>
      <c r="F30" s="64">
        <v>2.13</v>
      </c>
      <c r="G30" s="64">
        <v>61.19</v>
      </c>
      <c r="H30" s="64">
        <v>22.74</v>
      </c>
      <c r="I30" s="210" t="s">
        <v>43</v>
      </c>
      <c r="J30" s="64">
        <v>1.69</v>
      </c>
      <c r="K30" s="64">
        <v>349.32</v>
      </c>
      <c r="L30" s="64">
        <v>11.31</v>
      </c>
      <c r="M30" s="64">
        <v>65.72</v>
      </c>
      <c r="N30" s="64">
        <v>76.7</v>
      </c>
      <c r="O30" s="64">
        <v>0</v>
      </c>
      <c r="P30" s="64">
        <v>0.66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1898</v>
      </c>
      <c r="B31" s="64">
        <v>29.33</v>
      </c>
      <c r="C31" s="64">
        <v>50.43</v>
      </c>
      <c r="D31" s="64">
        <v>48.49</v>
      </c>
      <c r="E31" s="64">
        <v>5.62</v>
      </c>
      <c r="F31" s="64">
        <v>2.13</v>
      </c>
      <c r="G31" s="64">
        <v>55.88</v>
      </c>
      <c r="H31" s="64">
        <v>22.98</v>
      </c>
      <c r="I31" s="210" t="s">
        <v>43</v>
      </c>
      <c r="J31" s="64">
        <v>1.17</v>
      </c>
      <c r="K31" s="64">
        <v>339.12</v>
      </c>
      <c r="L31" s="64">
        <v>11.09</v>
      </c>
      <c r="M31" s="64">
        <v>66.349999999999994</v>
      </c>
      <c r="N31" s="64">
        <v>76.900000000000006</v>
      </c>
      <c r="O31" s="64">
        <v>0</v>
      </c>
      <c r="P31" s="64">
        <v>0.66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1899</v>
      </c>
      <c r="B32" s="64">
        <v>30</v>
      </c>
      <c r="C32" s="64">
        <v>50.36</v>
      </c>
      <c r="D32" s="64">
        <v>48.99</v>
      </c>
      <c r="E32" s="64">
        <v>5.78</v>
      </c>
      <c r="F32" s="64">
        <v>2.13</v>
      </c>
      <c r="G32" s="64">
        <v>53.61</v>
      </c>
      <c r="H32" s="64">
        <v>23.08</v>
      </c>
      <c r="I32" s="210" t="s">
        <v>43</v>
      </c>
      <c r="J32" s="64">
        <v>2.14</v>
      </c>
      <c r="K32" s="64">
        <v>356.52</v>
      </c>
      <c r="L32" s="64">
        <v>11</v>
      </c>
      <c r="M32" s="64">
        <v>67.150000000000006</v>
      </c>
      <c r="N32" s="64">
        <v>76.400000000000006</v>
      </c>
      <c r="O32" s="64">
        <v>0</v>
      </c>
      <c r="P32" s="64">
        <v>0.65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1900</v>
      </c>
      <c r="B33" s="64">
        <v>30.35</v>
      </c>
      <c r="C33" s="64">
        <v>50.26</v>
      </c>
      <c r="D33" s="64">
        <v>49.22</v>
      </c>
      <c r="E33" s="64">
        <v>5.95</v>
      </c>
      <c r="F33" s="64">
        <v>2.13</v>
      </c>
      <c r="G33" s="64">
        <v>53.61</v>
      </c>
      <c r="H33" s="64">
        <v>23.08</v>
      </c>
      <c r="I33" s="210" t="s">
        <v>43</v>
      </c>
      <c r="J33" s="64">
        <v>1.99</v>
      </c>
      <c r="K33" s="64">
        <v>344.67</v>
      </c>
      <c r="L33" s="64">
        <v>11.08</v>
      </c>
      <c r="M33" s="64">
        <v>65.849999999999994</v>
      </c>
      <c r="N33" s="64">
        <v>76.599999999999994</v>
      </c>
      <c r="O33" s="64">
        <v>0</v>
      </c>
      <c r="P33" s="64">
        <v>0.65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1901</v>
      </c>
      <c r="B34" s="64">
        <v>31.27</v>
      </c>
      <c r="C34" s="64">
        <v>50.06</v>
      </c>
      <c r="D34" s="64">
        <v>49.85</v>
      </c>
      <c r="E34" s="64">
        <v>5.91</v>
      </c>
      <c r="F34" s="64">
        <v>2.13</v>
      </c>
      <c r="G34" s="64">
        <v>53.61</v>
      </c>
      <c r="H34" s="64">
        <v>23.08</v>
      </c>
      <c r="I34" s="210" t="s">
        <v>43</v>
      </c>
      <c r="J34" s="64">
        <v>1.75</v>
      </c>
      <c r="K34" s="64">
        <v>353.4</v>
      </c>
      <c r="L34" s="64">
        <v>11.17</v>
      </c>
      <c r="M34" s="64">
        <v>64.09</v>
      </c>
      <c r="N34" s="64">
        <v>76.900000000000006</v>
      </c>
      <c r="O34" s="64">
        <v>0</v>
      </c>
      <c r="P34" s="64">
        <v>0.64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1902</v>
      </c>
      <c r="B35" s="64">
        <v>31.76</v>
      </c>
      <c r="C35" s="64">
        <v>50.16</v>
      </c>
      <c r="D35" s="64">
        <v>50.3</v>
      </c>
      <c r="E35" s="64">
        <v>5.66</v>
      </c>
      <c r="F35" s="64">
        <v>2.13</v>
      </c>
      <c r="G35" s="64">
        <v>57.69</v>
      </c>
      <c r="H35" s="64">
        <v>23.53</v>
      </c>
      <c r="I35" s="210" t="s">
        <v>43</v>
      </c>
      <c r="J35" s="64">
        <v>1.74</v>
      </c>
      <c r="K35" s="64">
        <v>358.16</v>
      </c>
      <c r="L35" s="64">
        <v>11.21</v>
      </c>
      <c r="M35" s="64">
        <v>63.47</v>
      </c>
      <c r="N35" s="64">
        <v>79</v>
      </c>
      <c r="O35" s="64">
        <v>0</v>
      </c>
      <c r="P35" s="64">
        <v>0.64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1903</v>
      </c>
      <c r="B36" s="64">
        <v>32.67</v>
      </c>
      <c r="C36" s="64">
        <v>50.08</v>
      </c>
      <c r="D36" s="64">
        <v>50.99</v>
      </c>
      <c r="E36" s="64">
        <v>6.11</v>
      </c>
      <c r="F36" s="64">
        <v>2.13</v>
      </c>
      <c r="G36" s="64">
        <v>59.43</v>
      </c>
      <c r="H36" s="64">
        <v>23.73</v>
      </c>
      <c r="I36" s="210" t="s">
        <v>43</v>
      </c>
      <c r="J36" s="64">
        <v>0.82</v>
      </c>
      <c r="K36" s="64">
        <v>339.54</v>
      </c>
      <c r="L36" s="64">
        <v>11.01</v>
      </c>
      <c r="M36" s="64">
        <v>64.02</v>
      </c>
      <c r="N36" s="64">
        <v>87.7</v>
      </c>
      <c r="O36" s="64">
        <v>0</v>
      </c>
      <c r="P36" s="64">
        <v>0.64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1904</v>
      </c>
      <c r="B37" s="64">
        <v>33.54</v>
      </c>
      <c r="C37" s="64">
        <v>50.33</v>
      </c>
      <c r="D37" s="64">
        <v>51.81</v>
      </c>
      <c r="E37" s="64">
        <v>6.2</v>
      </c>
      <c r="F37" s="64">
        <v>2.13</v>
      </c>
      <c r="G37" s="64">
        <v>59.43</v>
      </c>
      <c r="H37" s="64">
        <v>23.73</v>
      </c>
      <c r="I37" s="210" t="s">
        <v>43</v>
      </c>
      <c r="J37" s="64">
        <v>0.42</v>
      </c>
      <c r="K37" s="64">
        <v>13.86</v>
      </c>
      <c r="L37" s="64">
        <v>11.1</v>
      </c>
      <c r="M37" s="64">
        <v>63.6</v>
      </c>
      <c r="N37" s="64">
        <v>102.7</v>
      </c>
      <c r="O37" s="64">
        <v>0</v>
      </c>
      <c r="P37" s="64">
        <v>0.63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1905</v>
      </c>
      <c r="B38" s="64">
        <v>34.33</v>
      </c>
      <c r="C38" s="64">
        <v>50.5</v>
      </c>
      <c r="D38" s="64">
        <v>52.53</v>
      </c>
      <c r="E38" s="64">
        <v>6.16</v>
      </c>
      <c r="F38" s="64">
        <v>2.13</v>
      </c>
      <c r="G38" s="64">
        <v>59.43</v>
      </c>
      <c r="H38" s="64">
        <v>23.73</v>
      </c>
      <c r="I38" s="210" t="s">
        <v>43</v>
      </c>
      <c r="J38" s="64">
        <v>1.85</v>
      </c>
      <c r="K38" s="64">
        <v>354.91</v>
      </c>
      <c r="L38" s="64">
        <v>11.63</v>
      </c>
      <c r="M38" s="64">
        <v>62.17</v>
      </c>
      <c r="N38" s="64">
        <v>120.3</v>
      </c>
      <c r="O38" s="64">
        <v>0</v>
      </c>
      <c r="P38" s="64">
        <v>0.65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1906</v>
      </c>
      <c r="B39" s="64">
        <v>35.85</v>
      </c>
      <c r="C39" s="64">
        <v>50.79</v>
      </c>
      <c r="D39" s="64">
        <v>53.91</v>
      </c>
      <c r="E39" s="64">
        <v>6.16</v>
      </c>
      <c r="F39" s="64">
        <v>2.13</v>
      </c>
      <c r="G39" s="64">
        <v>62.22</v>
      </c>
      <c r="H39" s="64">
        <v>22.7</v>
      </c>
      <c r="I39" s="210" t="s">
        <v>43</v>
      </c>
      <c r="J39" s="64">
        <v>1.65</v>
      </c>
      <c r="K39" s="64">
        <v>356.3</v>
      </c>
      <c r="L39" s="64">
        <v>12.42</v>
      </c>
      <c r="M39" s="64">
        <v>58.18</v>
      </c>
      <c r="N39" s="64">
        <v>145.19999999999999</v>
      </c>
      <c r="O39" s="64">
        <v>0</v>
      </c>
      <c r="P39" s="64">
        <v>0.66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1907</v>
      </c>
      <c r="B40" s="64">
        <v>37.58</v>
      </c>
      <c r="C40" s="64">
        <v>51.43</v>
      </c>
      <c r="D40" s="64">
        <v>55.63</v>
      </c>
      <c r="E40" s="64">
        <v>6.25</v>
      </c>
      <c r="F40" s="64">
        <v>2.13</v>
      </c>
      <c r="G40" s="64">
        <v>63.42</v>
      </c>
      <c r="H40" s="64">
        <v>22.26</v>
      </c>
      <c r="I40" s="210" t="s">
        <v>43</v>
      </c>
      <c r="J40" s="64">
        <v>2.77</v>
      </c>
      <c r="K40" s="64">
        <v>350.44</v>
      </c>
      <c r="L40" s="64">
        <v>13.59</v>
      </c>
      <c r="M40" s="64">
        <v>52.94</v>
      </c>
      <c r="N40" s="64">
        <v>210.8</v>
      </c>
      <c r="O40" s="64">
        <v>0</v>
      </c>
      <c r="P40" s="64">
        <v>0.67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1908</v>
      </c>
      <c r="B41" s="64">
        <v>38.44</v>
      </c>
      <c r="C41" s="64">
        <v>52.18</v>
      </c>
      <c r="D41" s="64">
        <v>56.71</v>
      </c>
      <c r="E41" s="64">
        <v>7.31</v>
      </c>
      <c r="F41" s="64">
        <v>2.13</v>
      </c>
      <c r="G41" s="64">
        <v>63.42</v>
      </c>
      <c r="H41" s="64">
        <v>22.26</v>
      </c>
      <c r="I41" s="210" t="s">
        <v>43</v>
      </c>
      <c r="J41" s="64">
        <v>2.0499999999999998</v>
      </c>
      <c r="K41" s="64">
        <v>349.47</v>
      </c>
      <c r="L41" s="64">
        <v>15.2</v>
      </c>
      <c r="M41" s="64">
        <v>47.19</v>
      </c>
      <c r="N41" s="64">
        <v>264.60000000000002</v>
      </c>
      <c r="O41" s="64">
        <v>0</v>
      </c>
      <c r="P41" s="64">
        <v>0.68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1909</v>
      </c>
      <c r="B42" s="64">
        <v>38.909999999999997</v>
      </c>
      <c r="C42" s="64">
        <v>52.64</v>
      </c>
      <c r="D42" s="64">
        <v>57.33</v>
      </c>
      <c r="E42" s="64">
        <v>7.24</v>
      </c>
      <c r="F42" s="64">
        <v>2.13</v>
      </c>
      <c r="G42" s="64">
        <v>63.42</v>
      </c>
      <c r="H42" s="64">
        <v>22.26</v>
      </c>
      <c r="I42" s="210" t="s">
        <v>43</v>
      </c>
      <c r="J42" s="64">
        <v>1.76</v>
      </c>
      <c r="K42" s="64">
        <v>349.07</v>
      </c>
      <c r="L42" s="64">
        <v>16.34</v>
      </c>
      <c r="M42" s="64">
        <v>44.21</v>
      </c>
      <c r="N42" s="64">
        <v>314.3</v>
      </c>
      <c r="O42" s="64">
        <v>0</v>
      </c>
      <c r="P42" s="64">
        <v>0.69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1910</v>
      </c>
      <c r="B43" s="64">
        <v>39.229999999999997</v>
      </c>
      <c r="C43" s="64">
        <v>53.31</v>
      </c>
      <c r="D43" s="64">
        <v>57.94</v>
      </c>
      <c r="E43" s="64">
        <v>7.31</v>
      </c>
      <c r="F43" s="64">
        <v>2.13</v>
      </c>
      <c r="G43" s="64">
        <v>72.2</v>
      </c>
      <c r="H43" s="64">
        <v>25.33</v>
      </c>
      <c r="I43" s="210" t="s">
        <v>43</v>
      </c>
      <c r="J43" s="64">
        <v>2.27</v>
      </c>
      <c r="K43" s="64">
        <v>348.43</v>
      </c>
      <c r="L43" s="64">
        <v>17.600000000000001</v>
      </c>
      <c r="M43" s="64">
        <v>41.8</v>
      </c>
      <c r="N43" s="64">
        <v>360.3</v>
      </c>
      <c r="O43" s="64">
        <v>0</v>
      </c>
      <c r="P43" s="64">
        <v>0.7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1911</v>
      </c>
      <c r="B44" s="64">
        <v>39.799999999999997</v>
      </c>
      <c r="C44" s="64">
        <v>54.11</v>
      </c>
      <c r="D44" s="64">
        <v>58.81</v>
      </c>
      <c r="E44" s="64">
        <v>7.45</v>
      </c>
      <c r="F44" s="64">
        <v>2.13</v>
      </c>
      <c r="G44" s="64">
        <v>75.97</v>
      </c>
      <c r="H44" s="64">
        <v>26.64</v>
      </c>
      <c r="I44" s="210" t="s">
        <v>43</v>
      </c>
      <c r="J44" s="64">
        <v>1.92</v>
      </c>
      <c r="K44" s="64">
        <v>345.31</v>
      </c>
      <c r="L44" s="64">
        <v>18.68</v>
      </c>
      <c r="M44" s="64">
        <v>40.090000000000003</v>
      </c>
      <c r="N44" s="64">
        <v>399.3</v>
      </c>
      <c r="O44" s="64">
        <v>0</v>
      </c>
      <c r="P44" s="64">
        <v>0.71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1912</v>
      </c>
      <c r="B45" s="64">
        <v>41.04</v>
      </c>
      <c r="C45" s="64">
        <v>54.46</v>
      </c>
      <c r="D45" s="64">
        <v>59.99</v>
      </c>
      <c r="E45" s="64">
        <v>6.95</v>
      </c>
      <c r="F45" s="64">
        <v>2.13</v>
      </c>
      <c r="G45" s="64">
        <v>75.97</v>
      </c>
      <c r="H45" s="64">
        <v>26.64</v>
      </c>
      <c r="I45" s="210" t="s">
        <v>43</v>
      </c>
      <c r="J45" s="64">
        <v>0.74</v>
      </c>
      <c r="K45" s="64">
        <v>27.88</v>
      </c>
      <c r="L45" s="64">
        <v>18.07</v>
      </c>
      <c r="M45" s="64">
        <v>43.09</v>
      </c>
      <c r="N45" s="64">
        <v>443.8</v>
      </c>
      <c r="O45" s="64">
        <v>0</v>
      </c>
      <c r="P45" s="64">
        <v>0.71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1913</v>
      </c>
      <c r="B46" s="64">
        <v>42</v>
      </c>
      <c r="C46" s="64">
        <v>54.83</v>
      </c>
      <c r="D46" s="64">
        <v>60.95</v>
      </c>
      <c r="E46" s="64">
        <v>6.63</v>
      </c>
      <c r="F46" s="64">
        <v>2.13</v>
      </c>
      <c r="G46" s="64">
        <v>75.97</v>
      </c>
      <c r="H46" s="64">
        <v>26.64</v>
      </c>
      <c r="I46" s="210" t="s">
        <v>43</v>
      </c>
      <c r="J46" s="64">
        <v>1.01</v>
      </c>
      <c r="K46" s="64">
        <v>348.95</v>
      </c>
      <c r="L46" s="64">
        <v>18.54</v>
      </c>
      <c r="M46" s="64">
        <v>42.13</v>
      </c>
      <c r="N46" s="64">
        <v>481.7</v>
      </c>
      <c r="O46" s="64">
        <v>0</v>
      </c>
      <c r="P46" s="64">
        <v>0.72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1914</v>
      </c>
      <c r="B47" s="64">
        <v>42.43</v>
      </c>
      <c r="C47" s="64">
        <v>55.9</v>
      </c>
      <c r="D47" s="64">
        <v>61.86</v>
      </c>
      <c r="E47" s="64">
        <v>6.63</v>
      </c>
      <c r="F47" s="64">
        <v>2.13</v>
      </c>
      <c r="G47" s="64">
        <v>83.96</v>
      </c>
      <c r="H47" s="64">
        <v>26.99</v>
      </c>
      <c r="I47" s="210" t="s">
        <v>43</v>
      </c>
      <c r="J47" s="64">
        <v>1.04</v>
      </c>
      <c r="K47" s="64">
        <v>354.2</v>
      </c>
      <c r="L47" s="64">
        <v>19.399999999999999</v>
      </c>
      <c r="M47" s="64">
        <v>40.43</v>
      </c>
      <c r="N47" s="64">
        <v>514.70000000000005</v>
      </c>
      <c r="O47" s="64">
        <v>0</v>
      </c>
      <c r="P47" s="64">
        <v>0.72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1915</v>
      </c>
      <c r="B48" s="64">
        <v>42.53</v>
      </c>
      <c r="C48" s="64">
        <v>57.04</v>
      </c>
      <c r="D48" s="64">
        <v>62.53</v>
      </c>
      <c r="E48" s="64">
        <v>6.68</v>
      </c>
      <c r="F48" s="64">
        <v>2.13</v>
      </c>
      <c r="G48" s="64">
        <v>87.39</v>
      </c>
      <c r="H48" s="64">
        <v>27.13</v>
      </c>
      <c r="I48" s="210" t="s">
        <v>43</v>
      </c>
      <c r="J48" s="64">
        <v>1.87</v>
      </c>
      <c r="K48" s="64">
        <v>345.78</v>
      </c>
      <c r="L48" s="64">
        <v>20.39</v>
      </c>
      <c r="M48" s="64">
        <v>38.590000000000003</v>
      </c>
      <c r="N48" s="64">
        <v>539.5</v>
      </c>
      <c r="O48" s="64">
        <v>0</v>
      </c>
      <c r="P48" s="64">
        <v>0.73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1916</v>
      </c>
      <c r="B49" s="64">
        <v>42.53</v>
      </c>
      <c r="C49" s="64">
        <v>58.25</v>
      </c>
      <c r="D49" s="64">
        <v>63.16</v>
      </c>
      <c r="E49" s="64">
        <v>7.15</v>
      </c>
      <c r="F49" s="64">
        <v>2.13</v>
      </c>
      <c r="G49" s="64">
        <v>87.39</v>
      </c>
      <c r="H49" s="64">
        <v>27.13</v>
      </c>
      <c r="I49" s="210" t="s">
        <v>43</v>
      </c>
      <c r="J49" s="64">
        <v>1.3</v>
      </c>
      <c r="K49" s="64">
        <v>356.32</v>
      </c>
      <c r="L49" s="64">
        <v>22.28</v>
      </c>
      <c r="M49" s="64">
        <v>35.200000000000003</v>
      </c>
      <c r="N49" s="64">
        <v>558.6</v>
      </c>
      <c r="O49" s="64">
        <v>0</v>
      </c>
      <c r="P49" s="64">
        <v>0.74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1917</v>
      </c>
      <c r="B50" s="64">
        <v>42.22</v>
      </c>
      <c r="C50" s="64">
        <v>59.18</v>
      </c>
      <c r="D50" s="64">
        <v>63.4</v>
      </c>
      <c r="E50" s="64">
        <v>6.91</v>
      </c>
      <c r="F50" s="64">
        <v>2.13</v>
      </c>
      <c r="G50" s="64">
        <v>87.39</v>
      </c>
      <c r="H50" s="64">
        <v>27.13</v>
      </c>
      <c r="I50" s="210" t="s">
        <v>43</v>
      </c>
      <c r="J50" s="64">
        <v>1.33</v>
      </c>
      <c r="K50" s="64">
        <v>351.46</v>
      </c>
      <c r="L50" s="64">
        <v>21.18</v>
      </c>
      <c r="M50" s="64">
        <v>37.9</v>
      </c>
      <c r="N50" s="64">
        <v>581.20000000000005</v>
      </c>
      <c r="O50" s="64">
        <v>0</v>
      </c>
      <c r="P50" s="64">
        <v>0.75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1918</v>
      </c>
      <c r="B51" s="64">
        <v>41.45</v>
      </c>
      <c r="C51" s="64">
        <v>60.42</v>
      </c>
      <c r="D51" s="64">
        <v>63.43</v>
      </c>
      <c r="E51" s="64">
        <v>7.14</v>
      </c>
      <c r="F51" s="64">
        <v>2.13</v>
      </c>
      <c r="G51" s="64">
        <v>85.33</v>
      </c>
      <c r="H51" s="64">
        <v>29.21</v>
      </c>
      <c r="I51" s="210" t="s">
        <v>43</v>
      </c>
      <c r="J51" s="64">
        <v>1.78</v>
      </c>
      <c r="K51" s="64">
        <v>343.98</v>
      </c>
      <c r="L51" s="64">
        <v>23.09</v>
      </c>
      <c r="M51" s="64">
        <v>34.6</v>
      </c>
      <c r="N51" s="64">
        <v>599.29999999999995</v>
      </c>
      <c r="O51" s="64">
        <v>0</v>
      </c>
      <c r="P51" s="64">
        <v>0.75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1919</v>
      </c>
      <c r="B52" s="64">
        <v>40.369999999999997</v>
      </c>
      <c r="C52" s="64">
        <v>61.49</v>
      </c>
      <c r="D52" s="64">
        <v>63.12</v>
      </c>
      <c r="E52" s="64">
        <v>6.62</v>
      </c>
      <c r="F52" s="64">
        <v>2.13</v>
      </c>
      <c r="G52" s="64">
        <v>84.44</v>
      </c>
      <c r="H52" s="64">
        <v>30.1</v>
      </c>
      <c r="I52" s="210" t="s">
        <v>43</v>
      </c>
      <c r="J52" s="64">
        <v>1.58</v>
      </c>
      <c r="K52" s="64">
        <v>350.29</v>
      </c>
      <c r="L52" s="64">
        <v>23.91</v>
      </c>
      <c r="M52" s="64">
        <v>32.97</v>
      </c>
      <c r="N52" s="64">
        <v>608.29999999999995</v>
      </c>
      <c r="O52" s="64">
        <v>0</v>
      </c>
      <c r="P52" s="64">
        <v>0.76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1920</v>
      </c>
      <c r="B53" s="64">
        <v>38.96</v>
      </c>
      <c r="C53" s="64">
        <v>63.14</v>
      </c>
      <c r="D53" s="64">
        <v>62.86</v>
      </c>
      <c r="E53" s="64">
        <v>7.35</v>
      </c>
      <c r="F53" s="64">
        <v>2.13</v>
      </c>
      <c r="G53" s="64">
        <v>84.44</v>
      </c>
      <c r="H53" s="64">
        <v>30.1</v>
      </c>
      <c r="I53" s="210" t="s">
        <v>43</v>
      </c>
      <c r="J53" s="64">
        <v>1.4</v>
      </c>
      <c r="K53" s="64">
        <v>352.98</v>
      </c>
      <c r="L53" s="64">
        <v>25.11</v>
      </c>
      <c r="M53" s="64">
        <v>29.9</v>
      </c>
      <c r="N53" s="64">
        <v>629</v>
      </c>
      <c r="O53" s="64">
        <v>0</v>
      </c>
      <c r="P53" s="64">
        <v>0.76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1921</v>
      </c>
      <c r="B54" s="64">
        <v>37.35</v>
      </c>
      <c r="C54" s="64">
        <v>64.599999999999994</v>
      </c>
      <c r="D54" s="64">
        <v>62.33</v>
      </c>
      <c r="E54" s="64">
        <v>7.53</v>
      </c>
      <c r="F54" s="64">
        <v>2.13</v>
      </c>
      <c r="G54" s="64">
        <v>84.44</v>
      </c>
      <c r="H54" s="64">
        <v>30.1</v>
      </c>
      <c r="I54" s="210" t="s">
        <v>43</v>
      </c>
      <c r="J54" s="64">
        <v>0.59</v>
      </c>
      <c r="K54" s="64">
        <v>39.020000000000003</v>
      </c>
      <c r="L54" s="64">
        <v>22.82</v>
      </c>
      <c r="M54" s="64">
        <v>33.21</v>
      </c>
      <c r="N54" s="64">
        <v>615.79999999999995</v>
      </c>
      <c r="O54" s="64">
        <v>0</v>
      </c>
      <c r="P54" s="64">
        <v>0.77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1922</v>
      </c>
      <c r="B55" s="64">
        <v>35.32</v>
      </c>
      <c r="C55" s="64">
        <v>65.72</v>
      </c>
      <c r="D55" s="64">
        <v>61.29</v>
      </c>
      <c r="E55" s="64">
        <v>6.81</v>
      </c>
      <c r="F55" s="64">
        <v>2.13</v>
      </c>
      <c r="G55" s="64">
        <v>81.760000000000005</v>
      </c>
      <c r="H55" s="64">
        <v>29.23</v>
      </c>
      <c r="I55" s="210" t="s">
        <v>43</v>
      </c>
      <c r="J55" s="64">
        <v>1.24</v>
      </c>
      <c r="K55" s="64">
        <v>99.01</v>
      </c>
      <c r="L55" s="64">
        <v>22.6</v>
      </c>
      <c r="M55" s="64">
        <v>32.68</v>
      </c>
      <c r="N55" s="64">
        <v>624.70000000000005</v>
      </c>
      <c r="O55" s="64">
        <v>0</v>
      </c>
      <c r="P55" s="64">
        <v>0.77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1923</v>
      </c>
      <c r="B56" s="64">
        <v>33.22</v>
      </c>
      <c r="C56" s="64">
        <v>66.78</v>
      </c>
      <c r="D56" s="64">
        <v>60.15</v>
      </c>
      <c r="E56" s="64">
        <v>6.85</v>
      </c>
      <c r="F56" s="64">
        <v>2.13</v>
      </c>
      <c r="G56" s="64">
        <v>80.55</v>
      </c>
      <c r="H56" s="64">
        <v>28.86</v>
      </c>
      <c r="I56" s="210" t="s">
        <v>43</v>
      </c>
      <c r="J56" s="64">
        <v>1.1200000000000001</v>
      </c>
      <c r="K56" s="64">
        <v>102.9</v>
      </c>
      <c r="L56" s="64">
        <v>22.66</v>
      </c>
      <c r="M56" s="64">
        <v>32.5</v>
      </c>
      <c r="N56" s="64">
        <v>613.70000000000005</v>
      </c>
      <c r="O56" s="64">
        <v>0</v>
      </c>
      <c r="P56" s="64">
        <v>0.76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1924</v>
      </c>
      <c r="B57" s="64">
        <v>30.69</v>
      </c>
      <c r="C57" s="64">
        <v>67.67</v>
      </c>
      <c r="D57" s="64">
        <v>58.59</v>
      </c>
      <c r="E57" s="64">
        <v>7.02</v>
      </c>
      <c r="F57" s="64">
        <v>2.13</v>
      </c>
      <c r="G57" s="64">
        <v>80.55</v>
      </c>
      <c r="H57" s="64">
        <v>28.86</v>
      </c>
      <c r="I57" s="210" t="s">
        <v>43</v>
      </c>
      <c r="J57" s="64">
        <v>1.5</v>
      </c>
      <c r="K57" s="64">
        <v>117.81</v>
      </c>
      <c r="L57" s="64">
        <v>22.51</v>
      </c>
      <c r="M57" s="64">
        <v>32.26</v>
      </c>
      <c r="N57" s="64">
        <v>620.6</v>
      </c>
      <c r="O57" s="64">
        <v>0</v>
      </c>
      <c r="P57" s="64">
        <v>0.76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1925</v>
      </c>
      <c r="B58" s="64">
        <v>28.25</v>
      </c>
      <c r="C58" s="64">
        <v>68.569999999999993</v>
      </c>
      <c r="D58" s="64">
        <v>57.1</v>
      </c>
      <c r="E58" s="64">
        <v>6.71</v>
      </c>
      <c r="F58" s="64">
        <v>2.13</v>
      </c>
      <c r="G58" s="64">
        <v>80.55</v>
      </c>
      <c r="H58" s="64">
        <v>28.86</v>
      </c>
      <c r="I58" s="210" t="s">
        <v>43</v>
      </c>
      <c r="J58" s="64">
        <v>1.94</v>
      </c>
      <c r="K58" s="64">
        <v>348.7</v>
      </c>
      <c r="L58" s="64">
        <v>24.59</v>
      </c>
      <c r="M58" s="64">
        <v>27.85</v>
      </c>
      <c r="N58" s="64">
        <v>614.5</v>
      </c>
      <c r="O58" s="64">
        <v>0</v>
      </c>
      <c r="P58" s="64">
        <v>0.75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1926</v>
      </c>
      <c r="B59" s="64">
        <v>26.34</v>
      </c>
      <c r="C59" s="64">
        <v>69.81</v>
      </c>
      <c r="D59" s="64">
        <v>56.22</v>
      </c>
      <c r="E59" s="64">
        <v>7.17</v>
      </c>
      <c r="F59" s="64">
        <v>2.13</v>
      </c>
      <c r="G59" s="64">
        <v>78.86</v>
      </c>
      <c r="H59" s="64">
        <v>27.74</v>
      </c>
      <c r="I59" s="210" t="s">
        <v>43</v>
      </c>
      <c r="J59" s="64">
        <v>0.84</v>
      </c>
      <c r="K59" s="64">
        <v>54.41</v>
      </c>
      <c r="L59" s="64">
        <v>25.26</v>
      </c>
      <c r="M59" s="64">
        <v>27.84</v>
      </c>
      <c r="N59" s="64">
        <v>618.4</v>
      </c>
      <c r="O59" s="64">
        <v>0</v>
      </c>
      <c r="P59" s="64">
        <v>0.75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1927</v>
      </c>
      <c r="B60" s="64">
        <v>25.4</v>
      </c>
      <c r="C60" s="64">
        <v>70.900000000000006</v>
      </c>
      <c r="D60" s="64">
        <v>56.03</v>
      </c>
      <c r="E60" s="64">
        <v>7.27</v>
      </c>
      <c r="F60" s="64">
        <v>2.13</v>
      </c>
      <c r="G60" s="64">
        <v>78.13</v>
      </c>
      <c r="H60" s="64">
        <v>27.25</v>
      </c>
      <c r="I60" s="210" t="s">
        <v>43</v>
      </c>
      <c r="J60" s="64">
        <v>1.04</v>
      </c>
      <c r="K60" s="64">
        <v>17.63</v>
      </c>
      <c r="L60" s="64">
        <v>24.17</v>
      </c>
      <c r="M60" s="64">
        <v>29.49</v>
      </c>
      <c r="N60" s="64">
        <v>598.29999999999995</v>
      </c>
      <c r="O60" s="64">
        <v>0</v>
      </c>
      <c r="P60" s="64">
        <v>0.75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1928</v>
      </c>
      <c r="B61" s="64">
        <v>24.3</v>
      </c>
      <c r="C61" s="64">
        <v>71.91</v>
      </c>
      <c r="D61" s="64">
        <v>55.68</v>
      </c>
      <c r="E61" s="64">
        <v>7.56</v>
      </c>
      <c r="F61" s="64">
        <v>2.13</v>
      </c>
      <c r="G61" s="64">
        <v>78.13</v>
      </c>
      <c r="H61" s="64">
        <v>27.25</v>
      </c>
      <c r="I61" s="210" t="s">
        <v>43</v>
      </c>
      <c r="J61" s="64">
        <v>1.06</v>
      </c>
      <c r="K61" s="64">
        <v>75.77</v>
      </c>
      <c r="L61" s="64">
        <v>23.96</v>
      </c>
      <c r="M61" s="64">
        <v>29.73</v>
      </c>
      <c r="N61" s="64">
        <v>586.1</v>
      </c>
      <c r="O61" s="64">
        <v>0</v>
      </c>
      <c r="P61" s="64">
        <v>0.72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1929</v>
      </c>
      <c r="B62" s="64">
        <v>23.06</v>
      </c>
      <c r="C62" s="64">
        <v>71.63</v>
      </c>
      <c r="D62" s="64">
        <v>54.54</v>
      </c>
      <c r="E62" s="64">
        <v>7.13</v>
      </c>
      <c r="F62" s="64">
        <v>2.13</v>
      </c>
      <c r="G62" s="64">
        <v>78.13</v>
      </c>
      <c r="H62" s="64">
        <v>27.25</v>
      </c>
      <c r="I62" s="210" t="s">
        <v>43</v>
      </c>
      <c r="J62" s="64">
        <v>0.73</v>
      </c>
      <c r="K62" s="64">
        <v>35.64</v>
      </c>
      <c r="L62" s="64">
        <v>24.43</v>
      </c>
      <c r="M62" s="64">
        <v>29.32</v>
      </c>
      <c r="N62" s="64">
        <v>561.70000000000005</v>
      </c>
      <c r="O62" s="64">
        <v>0</v>
      </c>
      <c r="P62" s="64">
        <v>0.74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1930</v>
      </c>
      <c r="B63" s="64">
        <v>22.15</v>
      </c>
      <c r="C63" s="64">
        <v>71.33</v>
      </c>
      <c r="D63" s="64">
        <v>53.65</v>
      </c>
      <c r="E63" s="64">
        <v>6.39</v>
      </c>
      <c r="F63" s="64">
        <v>2.13</v>
      </c>
      <c r="G63" s="64">
        <v>77.349999999999994</v>
      </c>
      <c r="H63" s="64">
        <v>25.37</v>
      </c>
      <c r="I63" s="210" t="s">
        <v>43</v>
      </c>
      <c r="J63" s="64">
        <v>0.71</v>
      </c>
      <c r="K63" s="64">
        <v>357.71</v>
      </c>
      <c r="L63" s="64">
        <v>24.72</v>
      </c>
      <c r="M63" s="64">
        <v>28.55</v>
      </c>
      <c r="N63" s="64">
        <v>536.20000000000005</v>
      </c>
      <c r="O63" s="64">
        <v>0</v>
      </c>
      <c r="P63" s="64">
        <v>0.73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1931</v>
      </c>
      <c r="B64" s="64">
        <v>21.74</v>
      </c>
      <c r="C64" s="64">
        <v>70.98</v>
      </c>
      <c r="D64" s="64">
        <v>53.14</v>
      </c>
      <c r="E64" s="64">
        <v>6.53</v>
      </c>
      <c r="F64" s="64">
        <v>2.13</v>
      </c>
      <c r="G64" s="64">
        <v>77.02</v>
      </c>
      <c r="H64" s="64">
        <v>24.57</v>
      </c>
      <c r="I64" s="210" t="s">
        <v>43</v>
      </c>
      <c r="J64" s="64">
        <v>1.21</v>
      </c>
      <c r="K64" s="64">
        <v>331.18</v>
      </c>
      <c r="L64" s="64">
        <v>25.43</v>
      </c>
      <c r="M64" s="64">
        <v>27.21</v>
      </c>
      <c r="N64" s="64">
        <v>505.6</v>
      </c>
      <c r="O64" s="64">
        <v>0</v>
      </c>
      <c r="P64" s="64">
        <v>0.73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1932</v>
      </c>
      <c r="B65" s="64">
        <v>21.5</v>
      </c>
      <c r="C65" s="64">
        <v>70.78</v>
      </c>
      <c r="D65" s="64">
        <v>52.84</v>
      </c>
      <c r="E65" s="64">
        <v>6.5</v>
      </c>
      <c r="F65" s="64">
        <v>2.13</v>
      </c>
      <c r="G65" s="64">
        <v>77.02</v>
      </c>
      <c r="H65" s="64">
        <v>24.57</v>
      </c>
      <c r="I65" s="210" t="s">
        <v>43</v>
      </c>
      <c r="J65" s="64">
        <v>0.99</v>
      </c>
      <c r="K65" s="64">
        <v>72.989999999999995</v>
      </c>
      <c r="L65" s="64">
        <v>24.62</v>
      </c>
      <c r="M65" s="64">
        <v>28.3</v>
      </c>
      <c r="N65" s="64">
        <v>443.7</v>
      </c>
      <c r="O65" s="64">
        <v>0</v>
      </c>
      <c r="P65" s="64">
        <v>0.72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1933</v>
      </c>
      <c r="B66" s="64">
        <v>20.8</v>
      </c>
      <c r="C66" s="64">
        <v>70.28</v>
      </c>
      <c r="D66" s="64">
        <v>52.02</v>
      </c>
      <c r="E66" s="64">
        <v>6.44</v>
      </c>
      <c r="F66" s="64">
        <v>2.13</v>
      </c>
      <c r="G66" s="64">
        <v>77.02</v>
      </c>
      <c r="H66" s="64">
        <v>24.57</v>
      </c>
      <c r="I66" s="210" t="s">
        <v>43</v>
      </c>
      <c r="J66" s="64">
        <v>1.23</v>
      </c>
      <c r="K66" s="64">
        <v>85.47</v>
      </c>
      <c r="L66" s="64">
        <v>23.43</v>
      </c>
      <c r="M66" s="64">
        <v>29.68</v>
      </c>
      <c r="N66" s="64">
        <v>208</v>
      </c>
      <c r="O66" s="64">
        <v>0</v>
      </c>
      <c r="P66" s="64">
        <v>0.71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1934</v>
      </c>
      <c r="B67" s="64">
        <v>19.690000000000001</v>
      </c>
      <c r="C67" s="64">
        <v>70.11</v>
      </c>
      <c r="D67" s="64">
        <v>51.05</v>
      </c>
      <c r="E67" s="64">
        <v>6.5</v>
      </c>
      <c r="F67" s="64">
        <v>2.13</v>
      </c>
      <c r="G67" s="64">
        <v>72.81</v>
      </c>
      <c r="H67" s="64">
        <v>24.46</v>
      </c>
      <c r="I67" s="210" t="s">
        <v>43</v>
      </c>
      <c r="J67" s="64">
        <v>1.33</v>
      </c>
      <c r="K67" s="64">
        <v>3.05</v>
      </c>
      <c r="L67" s="64">
        <v>23.4</v>
      </c>
      <c r="M67" s="64">
        <v>29.3</v>
      </c>
      <c r="N67" s="64">
        <v>161</v>
      </c>
      <c r="O67" s="64">
        <v>0</v>
      </c>
      <c r="P67" s="64">
        <v>0.7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1935</v>
      </c>
      <c r="B68" s="64">
        <v>18.55</v>
      </c>
      <c r="C68" s="64">
        <v>70.22</v>
      </c>
      <c r="D68" s="64">
        <v>50.19</v>
      </c>
      <c r="E68" s="64">
        <v>6.41</v>
      </c>
      <c r="F68" s="64">
        <v>2.13</v>
      </c>
      <c r="G68" s="64">
        <v>71</v>
      </c>
      <c r="H68" s="64">
        <v>24.42</v>
      </c>
      <c r="I68" s="210" t="s">
        <v>43</v>
      </c>
      <c r="J68" s="64">
        <v>2.0699999999999998</v>
      </c>
      <c r="K68" s="64">
        <v>353.39</v>
      </c>
      <c r="L68" s="64">
        <v>23.95</v>
      </c>
      <c r="M68" s="64">
        <v>28.2</v>
      </c>
      <c r="N68" s="64">
        <v>202.2</v>
      </c>
      <c r="O68" s="64">
        <v>0</v>
      </c>
      <c r="P68" s="64">
        <v>0.7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1936</v>
      </c>
      <c r="B69" s="64">
        <v>17.72</v>
      </c>
      <c r="C69" s="64">
        <v>70.3</v>
      </c>
      <c r="D69" s="64">
        <v>49.56</v>
      </c>
      <c r="E69" s="64">
        <v>6.19</v>
      </c>
      <c r="F69" s="64">
        <v>2.13</v>
      </c>
      <c r="G69" s="64">
        <v>71</v>
      </c>
      <c r="H69" s="64">
        <v>24.42</v>
      </c>
      <c r="I69" s="210" t="s">
        <v>43</v>
      </c>
      <c r="J69" s="64">
        <v>1.76</v>
      </c>
      <c r="K69" s="64">
        <v>107.54</v>
      </c>
      <c r="L69" s="64">
        <v>23.03</v>
      </c>
      <c r="M69" s="64">
        <v>29.63</v>
      </c>
      <c r="N69" s="64">
        <v>170.4</v>
      </c>
      <c r="O69" s="64">
        <v>0</v>
      </c>
      <c r="P69" s="64">
        <v>0.7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1937</v>
      </c>
      <c r="B70" s="64">
        <v>16.22</v>
      </c>
      <c r="C70" s="64">
        <v>70.36</v>
      </c>
      <c r="D70" s="64">
        <v>48.39</v>
      </c>
      <c r="E70" s="64">
        <v>6.43</v>
      </c>
      <c r="F70" s="64">
        <v>2.13</v>
      </c>
      <c r="G70" s="64">
        <v>71</v>
      </c>
      <c r="H70" s="64">
        <v>24.42</v>
      </c>
      <c r="I70" s="210" t="s">
        <v>43</v>
      </c>
      <c r="J70" s="64">
        <v>0.82</v>
      </c>
      <c r="K70" s="64">
        <v>37.590000000000003</v>
      </c>
      <c r="L70" s="64">
        <v>22.7</v>
      </c>
      <c r="M70" s="64">
        <v>30.17</v>
      </c>
      <c r="N70" s="64">
        <v>130</v>
      </c>
      <c r="O70" s="64">
        <v>0</v>
      </c>
      <c r="P70" s="64">
        <v>0.69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1938</v>
      </c>
      <c r="B71" s="64">
        <v>14.72</v>
      </c>
      <c r="C71" s="64">
        <v>70.47</v>
      </c>
      <c r="D71" s="64">
        <v>47.25</v>
      </c>
      <c r="E71" s="64">
        <v>6.33</v>
      </c>
      <c r="F71" s="64">
        <v>2.13</v>
      </c>
      <c r="G71" s="64">
        <v>67</v>
      </c>
      <c r="H71" s="64">
        <v>23.55</v>
      </c>
      <c r="I71" s="210" t="s">
        <v>43</v>
      </c>
      <c r="J71" s="64">
        <v>1.1200000000000001</v>
      </c>
      <c r="K71" s="64">
        <v>110.84</v>
      </c>
      <c r="L71" s="64">
        <v>22.66</v>
      </c>
      <c r="M71" s="64">
        <v>30.59</v>
      </c>
      <c r="N71" s="64">
        <v>116.2</v>
      </c>
      <c r="O71" s="64">
        <v>0</v>
      </c>
      <c r="P71" s="64">
        <v>0.69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1939</v>
      </c>
      <c r="B72" s="64">
        <v>13.26</v>
      </c>
      <c r="C72" s="64">
        <v>70.37</v>
      </c>
      <c r="D72" s="64">
        <v>46.02</v>
      </c>
      <c r="E72" s="64">
        <v>6.07</v>
      </c>
      <c r="F72" s="64">
        <v>2.13</v>
      </c>
      <c r="G72" s="64">
        <v>65.28</v>
      </c>
      <c r="H72" s="64">
        <v>23.18</v>
      </c>
      <c r="I72" s="210" t="s">
        <v>43</v>
      </c>
      <c r="J72" s="64">
        <v>1.37</v>
      </c>
      <c r="K72" s="64">
        <v>355.51</v>
      </c>
      <c r="L72" s="64">
        <v>22.5</v>
      </c>
      <c r="M72" s="64">
        <v>30.47</v>
      </c>
      <c r="N72" s="64">
        <v>107.2</v>
      </c>
      <c r="O72" s="64">
        <v>0</v>
      </c>
      <c r="P72" s="64">
        <v>0.7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1940</v>
      </c>
      <c r="B73" s="64">
        <v>12.49</v>
      </c>
      <c r="C73" s="64">
        <v>71.010000000000005</v>
      </c>
      <c r="D73" s="64">
        <v>45.74</v>
      </c>
      <c r="E73" s="64">
        <v>7.13</v>
      </c>
      <c r="F73" s="64">
        <v>2.13</v>
      </c>
      <c r="G73" s="64">
        <v>65.28</v>
      </c>
      <c r="H73" s="64">
        <v>23.18</v>
      </c>
      <c r="I73" s="210" t="s">
        <v>43</v>
      </c>
      <c r="J73" s="64">
        <v>0.85</v>
      </c>
      <c r="K73" s="64">
        <v>47.69</v>
      </c>
      <c r="L73" s="64">
        <v>22.31</v>
      </c>
      <c r="M73" s="64">
        <v>30.63</v>
      </c>
      <c r="N73" s="64">
        <v>100</v>
      </c>
      <c r="O73" s="64">
        <v>0</v>
      </c>
      <c r="P73" s="64">
        <v>0.7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1941</v>
      </c>
      <c r="B74" s="64">
        <v>12.1</v>
      </c>
      <c r="C74" s="64">
        <v>71.650000000000006</v>
      </c>
      <c r="D74" s="64">
        <v>45.76</v>
      </c>
      <c r="E74" s="64">
        <v>7.45</v>
      </c>
      <c r="F74" s="64">
        <v>2.13</v>
      </c>
      <c r="G74" s="64">
        <v>65.28</v>
      </c>
      <c r="H74" s="64">
        <v>23.18</v>
      </c>
      <c r="I74" s="210" t="s">
        <v>43</v>
      </c>
      <c r="J74" s="64">
        <v>1.88</v>
      </c>
      <c r="K74" s="64">
        <v>354.5</v>
      </c>
      <c r="L74" s="64">
        <v>22.18</v>
      </c>
      <c r="M74" s="64">
        <v>30.85</v>
      </c>
      <c r="N74" s="64">
        <v>93.2</v>
      </c>
      <c r="O74" s="64">
        <v>0</v>
      </c>
      <c r="P74" s="64">
        <v>0.71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1942</v>
      </c>
      <c r="B75" s="64">
        <v>12.49</v>
      </c>
      <c r="C75" s="64">
        <v>72.489999999999995</v>
      </c>
      <c r="D75" s="64">
        <v>46.52</v>
      </c>
      <c r="E75" s="64">
        <v>7.08</v>
      </c>
      <c r="F75" s="64">
        <v>2.13</v>
      </c>
      <c r="G75" s="64">
        <v>65.459999999999994</v>
      </c>
      <c r="H75" s="64">
        <v>24.09</v>
      </c>
      <c r="I75" s="210" t="s">
        <v>43</v>
      </c>
      <c r="J75" s="64">
        <v>1.7</v>
      </c>
      <c r="K75" s="64">
        <v>346.35</v>
      </c>
      <c r="L75" s="64">
        <v>22.04</v>
      </c>
      <c r="M75" s="64">
        <v>31.57</v>
      </c>
      <c r="N75" s="64">
        <v>85.9</v>
      </c>
      <c r="O75" s="64">
        <v>0</v>
      </c>
      <c r="P75" s="64">
        <v>0.72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1943</v>
      </c>
      <c r="B76" s="64">
        <v>12.91</v>
      </c>
      <c r="C76" s="64">
        <v>72.900000000000006</v>
      </c>
      <c r="D76" s="64">
        <v>47.07</v>
      </c>
      <c r="E76" s="64">
        <v>7.32</v>
      </c>
      <c r="F76" s="64">
        <v>2.13</v>
      </c>
      <c r="G76" s="64">
        <v>65.53</v>
      </c>
      <c r="H76" s="64">
        <v>24.48</v>
      </c>
      <c r="I76" s="210" t="s">
        <v>43</v>
      </c>
      <c r="J76" s="64">
        <v>2.56</v>
      </c>
      <c r="K76" s="64">
        <v>350.76</v>
      </c>
      <c r="L76" s="64">
        <v>21.68</v>
      </c>
      <c r="M76" s="64">
        <v>32.619999999999997</v>
      </c>
      <c r="N76" s="64">
        <v>78.7</v>
      </c>
      <c r="O76" s="64">
        <v>0</v>
      </c>
      <c r="P76" s="64">
        <v>0.74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1944</v>
      </c>
      <c r="B77" s="64">
        <v>13.52</v>
      </c>
      <c r="C77" s="64">
        <v>73.34</v>
      </c>
      <c r="D77" s="64">
        <v>47.78</v>
      </c>
      <c r="E77" s="64">
        <v>7.42</v>
      </c>
      <c r="F77" s="64">
        <v>2.13</v>
      </c>
      <c r="G77" s="64">
        <v>65.53</v>
      </c>
      <c r="H77" s="64">
        <v>24.48</v>
      </c>
      <c r="I77" s="210" t="s">
        <v>43</v>
      </c>
      <c r="J77" s="64">
        <v>2.63</v>
      </c>
      <c r="K77" s="64">
        <v>350.75</v>
      </c>
      <c r="L77" s="64">
        <v>21.18</v>
      </c>
      <c r="M77" s="64">
        <v>33.21</v>
      </c>
      <c r="N77" s="64">
        <v>71.099999999999994</v>
      </c>
      <c r="O77" s="64">
        <v>0</v>
      </c>
      <c r="P77" s="64">
        <v>0.75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1945</v>
      </c>
      <c r="B78" s="64">
        <v>14.66</v>
      </c>
      <c r="C78" s="64">
        <v>73.67</v>
      </c>
      <c r="D78" s="64">
        <v>48.87</v>
      </c>
      <c r="E78" s="64">
        <v>7.32</v>
      </c>
      <c r="F78" s="64">
        <v>2.13</v>
      </c>
      <c r="G78" s="64">
        <v>65.53</v>
      </c>
      <c r="H78" s="64">
        <v>24.48</v>
      </c>
      <c r="I78" s="210" t="s">
        <v>43</v>
      </c>
      <c r="J78" s="64">
        <v>2.4700000000000002</v>
      </c>
      <c r="K78" s="64">
        <v>349.25</v>
      </c>
      <c r="L78" s="64">
        <v>20.58</v>
      </c>
      <c r="M78" s="64">
        <v>35.590000000000003</v>
      </c>
      <c r="N78" s="64">
        <v>63.2</v>
      </c>
      <c r="O78" s="64">
        <v>0</v>
      </c>
      <c r="P78" s="64">
        <v>0.81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1946</v>
      </c>
      <c r="B79" s="64">
        <v>16.78</v>
      </c>
      <c r="C79" s="64">
        <v>72.81</v>
      </c>
      <c r="D79" s="64">
        <v>50.12</v>
      </c>
      <c r="E79" s="64">
        <v>6.5</v>
      </c>
      <c r="F79" s="64">
        <v>2.13</v>
      </c>
      <c r="G79" s="64">
        <v>71.58</v>
      </c>
      <c r="H79" s="64">
        <v>24.81</v>
      </c>
      <c r="I79" s="210" t="s">
        <v>43</v>
      </c>
      <c r="J79" s="64">
        <v>2.0699999999999998</v>
      </c>
      <c r="K79" s="64">
        <v>352.32</v>
      </c>
      <c r="L79" s="64">
        <v>19.850000000000001</v>
      </c>
      <c r="M79" s="64">
        <v>38.39</v>
      </c>
      <c r="N79" s="64">
        <v>57.3</v>
      </c>
      <c r="O79" s="64">
        <v>0</v>
      </c>
      <c r="P79" s="64">
        <v>1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1947</v>
      </c>
      <c r="B80" s="64">
        <v>19.41</v>
      </c>
      <c r="C80" s="64">
        <v>72.56</v>
      </c>
      <c r="D80" s="64">
        <v>52.1</v>
      </c>
      <c r="E80" s="64">
        <v>6.84</v>
      </c>
      <c r="F80" s="64">
        <v>2.13</v>
      </c>
      <c r="G80" s="64">
        <v>74.17</v>
      </c>
      <c r="H80" s="64">
        <v>24.94</v>
      </c>
      <c r="I80" s="210" t="s">
        <v>43</v>
      </c>
      <c r="J80" s="64">
        <v>1.34</v>
      </c>
      <c r="K80" s="64">
        <v>347.75</v>
      </c>
      <c r="L80" s="64">
        <v>19.14</v>
      </c>
      <c r="M80" s="64">
        <v>40.659999999999997</v>
      </c>
      <c r="N80" s="64">
        <v>55.3</v>
      </c>
      <c r="O80" s="64">
        <v>0</v>
      </c>
      <c r="P80" s="64">
        <v>1.1299999999999999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1948</v>
      </c>
      <c r="B81" s="64">
        <v>22.31</v>
      </c>
      <c r="C81" s="64">
        <v>72.36</v>
      </c>
      <c r="D81" s="64">
        <v>54.32</v>
      </c>
      <c r="E81" s="64">
        <v>7.04</v>
      </c>
      <c r="F81" s="64">
        <v>2.13</v>
      </c>
      <c r="G81" s="64">
        <v>74.17</v>
      </c>
      <c r="H81" s="64">
        <v>24.94</v>
      </c>
      <c r="I81" s="210" t="s">
        <v>43</v>
      </c>
      <c r="J81" s="64">
        <v>1.78</v>
      </c>
      <c r="K81" s="64">
        <v>342.15</v>
      </c>
      <c r="L81" s="64">
        <v>18.57</v>
      </c>
      <c r="M81" s="64">
        <v>40.590000000000003</v>
      </c>
      <c r="N81" s="64">
        <v>54.8</v>
      </c>
      <c r="O81" s="64">
        <v>0</v>
      </c>
      <c r="P81" s="64">
        <v>1.0900000000000001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1949</v>
      </c>
      <c r="B82" s="64">
        <v>25.15</v>
      </c>
      <c r="C82" s="64">
        <v>72.239999999999995</v>
      </c>
      <c r="D82" s="64">
        <v>56.54</v>
      </c>
      <c r="E82" s="64">
        <v>7.13</v>
      </c>
      <c r="F82" s="64">
        <v>2.13</v>
      </c>
      <c r="G82" s="64">
        <v>74.17</v>
      </c>
      <c r="H82" s="64">
        <v>24.94</v>
      </c>
      <c r="I82" s="210" t="s">
        <v>43</v>
      </c>
      <c r="J82" s="64">
        <v>1.62</v>
      </c>
      <c r="K82" s="64">
        <v>341.34</v>
      </c>
      <c r="L82" s="64">
        <v>17.8</v>
      </c>
      <c r="M82" s="64">
        <v>44.97</v>
      </c>
      <c r="N82" s="64">
        <v>54.9</v>
      </c>
      <c r="O82" s="64">
        <v>0</v>
      </c>
      <c r="P82" s="64">
        <v>1.27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1950</v>
      </c>
      <c r="B83" s="64">
        <v>28.56</v>
      </c>
      <c r="C83" s="64">
        <v>71.87</v>
      </c>
      <c r="D83" s="64">
        <v>59.08</v>
      </c>
      <c r="E83" s="64">
        <v>7.3</v>
      </c>
      <c r="F83" s="64">
        <v>2.13</v>
      </c>
      <c r="G83" s="64">
        <v>90.97</v>
      </c>
      <c r="H83" s="64">
        <v>28.15</v>
      </c>
      <c r="I83" s="210" t="s">
        <v>43</v>
      </c>
      <c r="J83" s="64">
        <v>1.59</v>
      </c>
      <c r="K83" s="64">
        <v>329.36</v>
      </c>
      <c r="L83" s="64">
        <v>17.27</v>
      </c>
      <c r="M83" s="64">
        <v>47.02</v>
      </c>
      <c r="N83" s="64">
        <v>54.7</v>
      </c>
      <c r="O83" s="64">
        <v>0</v>
      </c>
      <c r="P83" s="64">
        <v>1.1200000000000001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1951</v>
      </c>
      <c r="B84" s="64">
        <v>30.36</v>
      </c>
      <c r="C84" s="64">
        <v>71.37</v>
      </c>
      <c r="D84" s="64">
        <v>60.26</v>
      </c>
      <c r="E84" s="64">
        <v>7.3</v>
      </c>
      <c r="F84" s="64">
        <v>2.13</v>
      </c>
      <c r="G84" s="64">
        <v>98.17</v>
      </c>
      <c r="H84" s="64">
        <v>29.52</v>
      </c>
      <c r="I84" s="210" t="s">
        <v>43</v>
      </c>
      <c r="J84" s="64">
        <v>0.78</v>
      </c>
      <c r="K84" s="64">
        <v>60.83</v>
      </c>
      <c r="L84" s="64">
        <v>17.170000000000002</v>
      </c>
      <c r="M84" s="64">
        <v>45.94</v>
      </c>
      <c r="N84" s="64">
        <v>54.6</v>
      </c>
      <c r="O84" s="64">
        <v>0</v>
      </c>
      <c r="P84" s="64">
        <v>1.29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1952</v>
      </c>
      <c r="B85" s="64">
        <v>31.91</v>
      </c>
      <c r="C85" s="64">
        <v>71.13</v>
      </c>
      <c r="D85" s="64">
        <v>61.38</v>
      </c>
      <c r="E85" s="64">
        <v>7.23</v>
      </c>
      <c r="F85" s="64">
        <v>2.13</v>
      </c>
      <c r="G85" s="64">
        <v>98.17</v>
      </c>
      <c r="H85" s="64">
        <v>29.52</v>
      </c>
      <c r="I85" s="210" t="s">
        <v>43</v>
      </c>
      <c r="J85" s="64">
        <v>1.1399999999999999</v>
      </c>
      <c r="K85" s="64">
        <v>60.18</v>
      </c>
      <c r="L85" s="64">
        <v>17.100000000000001</v>
      </c>
      <c r="M85" s="64">
        <v>47.09</v>
      </c>
      <c r="N85" s="64">
        <v>54.5</v>
      </c>
      <c r="O85" s="64">
        <v>0</v>
      </c>
      <c r="P85" s="64">
        <v>1.38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1953</v>
      </c>
      <c r="B86" s="64">
        <v>33.43</v>
      </c>
      <c r="C86" s="64">
        <v>71.319999999999993</v>
      </c>
      <c r="D86" s="64">
        <v>62.69</v>
      </c>
      <c r="E86" s="64">
        <v>7.43</v>
      </c>
      <c r="F86" s="64">
        <v>2.13</v>
      </c>
      <c r="G86" s="64">
        <v>98.17</v>
      </c>
      <c r="H86" s="64">
        <v>29.52</v>
      </c>
      <c r="I86" s="210" t="s">
        <v>43</v>
      </c>
      <c r="J86" s="64">
        <v>1.73</v>
      </c>
      <c r="K86" s="64">
        <v>7.68</v>
      </c>
      <c r="L86" s="64">
        <v>16.79</v>
      </c>
      <c r="M86" s="64">
        <v>48.53</v>
      </c>
      <c r="N86" s="64">
        <v>54.9</v>
      </c>
      <c r="O86" s="64">
        <v>0</v>
      </c>
      <c r="P86" s="64">
        <v>1.0900000000000001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1954</v>
      </c>
      <c r="B87" s="64">
        <v>34.47</v>
      </c>
      <c r="C87" s="64">
        <v>71.94</v>
      </c>
      <c r="D87" s="64">
        <v>63.86</v>
      </c>
      <c r="E87" s="64">
        <v>7.36</v>
      </c>
      <c r="F87" s="64">
        <v>2.13</v>
      </c>
      <c r="G87" s="64">
        <v>105.66</v>
      </c>
      <c r="H87" s="64">
        <v>31.88</v>
      </c>
      <c r="I87" s="210" t="s">
        <v>43</v>
      </c>
      <c r="J87" s="64">
        <v>1.74</v>
      </c>
      <c r="K87" s="64">
        <v>56.6</v>
      </c>
      <c r="L87" s="64">
        <v>16.27</v>
      </c>
      <c r="M87" s="64">
        <v>53.05</v>
      </c>
      <c r="N87" s="64">
        <v>55.1</v>
      </c>
      <c r="O87" s="64">
        <v>0</v>
      </c>
      <c r="P87" s="64">
        <v>1.1499999999999999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1955</v>
      </c>
      <c r="B88" s="64">
        <v>37.130000000000003</v>
      </c>
      <c r="C88" s="64">
        <v>72.760000000000005</v>
      </c>
      <c r="D88" s="64">
        <v>66.42</v>
      </c>
      <c r="E88" s="64">
        <v>8.49</v>
      </c>
      <c r="F88" s="64">
        <v>2.13</v>
      </c>
      <c r="G88" s="64">
        <v>108.87</v>
      </c>
      <c r="H88" s="64">
        <v>32.9</v>
      </c>
      <c r="I88" s="210" t="s">
        <v>43</v>
      </c>
      <c r="J88" s="64">
        <v>1.31</v>
      </c>
      <c r="K88" s="64">
        <v>30.14</v>
      </c>
      <c r="L88" s="64">
        <v>15.96</v>
      </c>
      <c r="M88" s="64">
        <v>56.09</v>
      </c>
      <c r="N88" s="64">
        <v>55.3</v>
      </c>
      <c r="O88" s="64">
        <v>0</v>
      </c>
      <c r="P88" s="64">
        <v>1.23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1956</v>
      </c>
      <c r="B89" s="64">
        <v>40.950000000000003</v>
      </c>
      <c r="C89" s="64">
        <v>73.959999999999994</v>
      </c>
      <c r="D89" s="64">
        <v>70.099999999999994</v>
      </c>
      <c r="E89" s="64">
        <v>8.76</v>
      </c>
      <c r="F89" s="64">
        <v>2.13</v>
      </c>
      <c r="G89" s="64">
        <v>108.87</v>
      </c>
      <c r="H89" s="64">
        <v>32.9</v>
      </c>
      <c r="I89" s="210" t="s">
        <v>43</v>
      </c>
      <c r="J89" s="64">
        <v>0.82</v>
      </c>
      <c r="K89" s="64">
        <v>326.67</v>
      </c>
      <c r="L89" s="64">
        <v>15.94</v>
      </c>
      <c r="M89" s="64">
        <v>55.76</v>
      </c>
      <c r="N89" s="64">
        <v>55.2</v>
      </c>
      <c r="O89" s="64">
        <v>0</v>
      </c>
      <c r="P89" s="64">
        <v>1.33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1957</v>
      </c>
      <c r="B90" s="64">
        <v>46</v>
      </c>
      <c r="C90" s="64">
        <v>74.88</v>
      </c>
      <c r="D90" s="64">
        <v>74.63</v>
      </c>
      <c r="E90" s="64">
        <v>8.98</v>
      </c>
      <c r="F90" s="64">
        <v>2.13</v>
      </c>
      <c r="G90" s="64">
        <v>108.87</v>
      </c>
      <c r="H90" s="64">
        <v>32.9</v>
      </c>
      <c r="I90" s="210" t="s">
        <v>43</v>
      </c>
      <c r="J90" s="64">
        <v>1.06</v>
      </c>
      <c r="K90" s="64">
        <v>353.82</v>
      </c>
      <c r="L90" s="64">
        <v>16.16</v>
      </c>
      <c r="M90" s="64">
        <v>51.01</v>
      </c>
      <c r="N90" s="64">
        <v>55.4</v>
      </c>
      <c r="O90" s="64">
        <v>0</v>
      </c>
      <c r="P90" s="64">
        <v>1.39</v>
      </c>
      <c r="Q90" s="64">
        <v>8.2200000000000006</v>
      </c>
      <c r="R90" s="198"/>
      <c r="S90" s="198"/>
      <c r="T90" s="198"/>
      <c r="U90" s="198"/>
    </row>
    <row r="91" spans="1:26" s="12" customFormat="1" x14ac:dyDescent="0.25">
      <c r="A91" s="214" t="s">
        <v>1958</v>
      </c>
      <c r="B91" s="64">
        <v>48.59</v>
      </c>
      <c r="C91" s="64">
        <v>75.430000000000007</v>
      </c>
      <c r="D91" s="64">
        <v>77</v>
      </c>
      <c r="E91" s="64">
        <v>8.48</v>
      </c>
      <c r="F91" s="64">
        <v>2.13</v>
      </c>
      <c r="G91" s="64">
        <v>118.97</v>
      </c>
      <c r="H91" s="64">
        <v>37.97</v>
      </c>
      <c r="I91" s="210" t="s">
        <v>43</v>
      </c>
      <c r="J91" s="64">
        <v>1.42</v>
      </c>
      <c r="K91" s="64">
        <v>329.62</v>
      </c>
      <c r="L91" s="64">
        <v>16.190000000000001</v>
      </c>
      <c r="M91" s="64">
        <v>49.19</v>
      </c>
      <c r="N91" s="64">
        <v>57.6</v>
      </c>
      <c r="O91" s="64">
        <v>0</v>
      </c>
      <c r="P91" s="64">
        <v>1.43</v>
      </c>
      <c r="Q91" s="64">
        <v>8.32</v>
      </c>
      <c r="R91" s="198"/>
      <c r="S91" s="198"/>
      <c r="T91" s="198"/>
      <c r="U91" s="198"/>
    </row>
    <row r="92" spans="1:26" s="12" customFormat="1" x14ac:dyDescent="0.25">
      <c r="A92" s="214" t="s">
        <v>1959</v>
      </c>
      <c r="B92" s="64">
        <v>51.06</v>
      </c>
      <c r="C92" s="64">
        <v>76.03</v>
      </c>
      <c r="D92" s="64">
        <v>79.290000000000006</v>
      </c>
      <c r="E92" s="64">
        <v>8.1999999999999993</v>
      </c>
      <c r="F92" s="64">
        <v>2.13</v>
      </c>
      <c r="G92" s="64">
        <v>123.3</v>
      </c>
      <c r="H92" s="64">
        <v>40.14</v>
      </c>
      <c r="I92" s="210" t="s">
        <v>43</v>
      </c>
      <c r="J92" s="64">
        <v>1.23</v>
      </c>
      <c r="K92" s="64">
        <v>45.83</v>
      </c>
      <c r="L92" s="64">
        <v>15.89</v>
      </c>
      <c r="M92" s="64">
        <v>51.48</v>
      </c>
      <c r="N92" s="64">
        <v>63.9</v>
      </c>
      <c r="O92" s="64">
        <v>0</v>
      </c>
      <c r="P92" s="64">
        <v>1.47</v>
      </c>
      <c r="Q92" s="64">
        <v>8.4499999999999993</v>
      </c>
      <c r="R92" s="198"/>
      <c r="S92" s="198"/>
      <c r="T92" s="198"/>
      <c r="U92" s="198"/>
    </row>
    <row r="93" spans="1:26" s="12" customFormat="1" x14ac:dyDescent="0.25">
      <c r="A93" s="214" t="s">
        <v>1960</v>
      </c>
      <c r="B93" s="64">
        <v>51.58</v>
      </c>
      <c r="C93" s="64">
        <v>76.319999999999993</v>
      </c>
      <c r="D93" s="64">
        <v>79.86</v>
      </c>
      <c r="E93" s="64">
        <v>8.24</v>
      </c>
      <c r="F93" s="64">
        <v>2.13</v>
      </c>
      <c r="G93" s="64">
        <v>123.3</v>
      </c>
      <c r="H93" s="64">
        <v>40.14</v>
      </c>
      <c r="I93" s="210" t="s">
        <v>43</v>
      </c>
      <c r="J93" s="64">
        <v>0.88</v>
      </c>
      <c r="K93" s="64">
        <v>320.45</v>
      </c>
      <c r="L93" s="64">
        <v>15.98</v>
      </c>
      <c r="M93" s="64">
        <v>52</v>
      </c>
      <c r="N93" s="64">
        <v>64</v>
      </c>
      <c r="O93" s="64">
        <v>0</v>
      </c>
      <c r="P93" s="64">
        <v>1.5</v>
      </c>
      <c r="Q93" s="64">
        <v>8.52</v>
      </c>
      <c r="R93" s="198"/>
      <c r="S93" s="198"/>
      <c r="T93" s="198"/>
      <c r="U93" s="198"/>
    </row>
    <row r="94" spans="1:26" s="12" customFormat="1" x14ac:dyDescent="0.25">
      <c r="A94" s="214" t="s">
        <v>1961</v>
      </c>
      <c r="B94" s="64">
        <v>53.34</v>
      </c>
      <c r="C94" s="64">
        <v>76.319999999999993</v>
      </c>
      <c r="D94" s="64">
        <v>81.27</v>
      </c>
      <c r="E94" s="64">
        <v>8.23</v>
      </c>
      <c r="F94" s="64">
        <v>2.13</v>
      </c>
      <c r="G94" s="64">
        <v>123.3</v>
      </c>
      <c r="H94" s="64">
        <v>40.14</v>
      </c>
      <c r="I94" s="210" t="s">
        <v>43</v>
      </c>
      <c r="J94" s="64">
        <v>1.53</v>
      </c>
      <c r="K94" s="64">
        <v>250.22</v>
      </c>
      <c r="L94" s="64">
        <v>15.56</v>
      </c>
      <c r="M94" s="64">
        <v>55.58</v>
      </c>
      <c r="N94" s="64">
        <v>64.599999999999994</v>
      </c>
      <c r="O94" s="64">
        <v>0</v>
      </c>
      <c r="P94" s="64">
        <v>1.53</v>
      </c>
      <c r="Q94" s="64">
        <v>8.5500000000000007</v>
      </c>
      <c r="R94" s="198"/>
      <c r="S94" s="198"/>
      <c r="T94" s="198"/>
      <c r="U94" s="198"/>
    </row>
    <row r="95" spans="1:26" s="12" customFormat="1" x14ac:dyDescent="0.25">
      <c r="A95" s="214" t="s">
        <v>1962</v>
      </c>
      <c r="B95" s="64">
        <v>57.36</v>
      </c>
      <c r="C95" s="64">
        <v>75.92</v>
      </c>
      <c r="D95" s="64">
        <v>84.29</v>
      </c>
      <c r="E95" s="64">
        <v>7.8</v>
      </c>
      <c r="F95" s="64">
        <v>2.13</v>
      </c>
      <c r="G95" s="64">
        <v>122.05</v>
      </c>
      <c r="H95" s="64">
        <v>39.049999999999997</v>
      </c>
      <c r="I95" s="210" t="s">
        <v>43</v>
      </c>
      <c r="J95" s="64">
        <v>1.0900000000000001</v>
      </c>
      <c r="K95" s="64">
        <v>199.69</v>
      </c>
      <c r="L95" s="64">
        <v>15.74</v>
      </c>
      <c r="M95" s="64">
        <v>53.03</v>
      </c>
      <c r="N95" s="64">
        <v>66.2</v>
      </c>
      <c r="O95" s="64">
        <v>0</v>
      </c>
      <c r="P95" s="64">
        <v>1.55</v>
      </c>
      <c r="Q95" s="64">
        <v>8.73</v>
      </c>
      <c r="R95" s="198"/>
      <c r="S95" s="198"/>
      <c r="T95" s="198"/>
      <c r="U95" s="198"/>
    </row>
    <row r="96" spans="1:26" s="12" customFormat="1" x14ac:dyDescent="0.25">
      <c r="A96" s="214" t="s">
        <v>1963</v>
      </c>
      <c r="B96" s="64">
        <v>58.98</v>
      </c>
      <c r="C96" s="64">
        <v>74.41</v>
      </c>
      <c r="D96" s="64">
        <v>84.79</v>
      </c>
      <c r="E96" s="64">
        <v>7.85</v>
      </c>
      <c r="F96" s="64">
        <v>2.13</v>
      </c>
      <c r="G96" s="64">
        <v>121.52</v>
      </c>
      <c r="H96" s="64">
        <v>38.58</v>
      </c>
      <c r="I96" s="210" t="s">
        <v>43</v>
      </c>
      <c r="J96" s="64">
        <v>1.19</v>
      </c>
      <c r="K96" s="64">
        <v>241.73</v>
      </c>
      <c r="L96" s="64">
        <v>15.38</v>
      </c>
      <c r="M96" s="64">
        <v>55.54</v>
      </c>
      <c r="N96" s="64">
        <v>68.5</v>
      </c>
      <c r="O96" s="64">
        <v>0</v>
      </c>
      <c r="P96" s="64">
        <v>1.58</v>
      </c>
      <c r="Q96" s="64">
        <v>8.83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1964</v>
      </c>
      <c r="B97" s="64">
        <v>60.7</v>
      </c>
      <c r="C97" s="64">
        <v>74.23</v>
      </c>
      <c r="D97" s="64">
        <v>86.08</v>
      </c>
      <c r="E97" s="64">
        <v>7.66</v>
      </c>
      <c r="F97" s="64">
        <v>2.13</v>
      </c>
      <c r="G97" s="64">
        <v>121.52</v>
      </c>
      <c r="H97" s="64">
        <v>38.58</v>
      </c>
      <c r="I97" s="210" t="s">
        <v>43</v>
      </c>
      <c r="J97" s="64">
        <v>1.74</v>
      </c>
      <c r="K97" s="64">
        <v>265.02</v>
      </c>
      <c r="L97" s="64">
        <v>15.06</v>
      </c>
      <c r="M97" s="64">
        <v>56.66</v>
      </c>
      <c r="N97" s="64">
        <v>68.5</v>
      </c>
      <c r="O97" s="64">
        <v>0</v>
      </c>
      <c r="P97" s="64">
        <v>1.68</v>
      </c>
      <c r="Q97" s="64">
        <v>8.9</v>
      </c>
      <c r="R97" s="198"/>
      <c r="S97" s="198"/>
      <c r="T97" s="198"/>
      <c r="U97" s="198"/>
    </row>
    <row r="98" spans="1:33" s="12" customFormat="1" x14ac:dyDescent="0.25">
      <c r="A98" s="214" t="s">
        <v>1965</v>
      </c>
      <c r="B98" s="64">
        <v>64.540000000000006</v>
      </c>
      <c r="C98" s="64">
        <v>73.86</v>
      </c>
      <c r="D98" s="64">
        <v>88.97</v>
      </c>
      <c r="E98" s="64">
        <v>8.69</v>
      </c>
      <c r="F98" s="64">
        <v>2.13</v>
      </c>
      <c r="G98" s="64">
        <v>121.52</v>
      </c>
      <c r="H98" s="64">
        <v>38.58</v>
      </c>
      <c r="I98" s="210" t="s">
        <v>43</v>
      </c>
      <c r="J98" s="64">
        <v>1.7</v>
      </c>
      <c r="K98" s="64">
        <v>309.10000000000002</v>
      </c>
      <c r="L98" s="64">
        <v>14.62</v>
      </c>
      <c r="M98" s="64">
        <v>60.06</v>
      </c>
      <c r="N98" s="64">
        <v>68.599999999999994</v>
      </c>
      <c r="O98" s="64">
        <v>0</v>
      </c>
      <c r="P98" s="64">
        <v>1.73</v>
      </c>
      <c r="Q98" s="64">
        <v>9.0500000000000007</v>
      </c>
      <c r="R98" s="198"/>
      <c r="S98" s="198"/>
      <c r="T98" s="198"/>
      <c r="U98" s="198"/>
    </row>
    <row r="99" spans="1:33" s="12" customFormat="1" x14ac:dyDescent="0.25">
      <c r="A99" s="214" t="s">
        <v>1966</v>
      </c>
      <c r="B99" s="64">
        <v>69.239999999999995</v>
      </c>
      <c r="C99" s="64">
        <v>73.290000000000006</v>
      </c>
      <c r="D99" s="64">
        <v>92.44</v>
      </c>
      <c r="E99" s="64">
        <v>8.1199999999999992</v>
      </c>
      <c r="F99" s="64">
        <v>2.13</v>
      </c>
      <c r="G99" s="64">
        <v>130.54</v>
      </c>
      <c r="H99" s="64">
        <v>42.58</v>
      </c>
      <c r="I99" s="210" t="s">
        <v>43</v>
      </c>
      <c r="J99" s="64">
        <v>1.65</v>
      </c>
      <c r="K99" s="64">
        <v>315.18</v>
      </c>
      <c r="L99" s="64">
        <v>13.86</v>
      </c>
      <c r="M99" s="64">
        <v>66.180000000000007</v>
      </c>
      <c r="N99" s="64">
        <v>68.7</v>
      </c>
      <c r="O99" s="64">
        <v>0</v>
      </c>
      <c r="P99" s="64">
        <v>1.67</v>
      </c>
      <c r="Q99" s="64">
        <v>9.2899999999999991</v>
      </c>
      <c r="R99" s="198"/>
      <c r="S99" s="198"/>
      <c r="T99" s="198"/>
      <c r="U99" s="198"/>
    </row>
    <row r="100" spans="1:33" s="12" customFormat="1" x14ac:dyDescent="0.25">
      <c r="A100" s="214" t="s">
        <v>1967</v>
      </c>
      <c r="B100" s="64">
        <v>73.33</v>
      </c>
      <c r="C100" s="64">
        <v>73.09</v>
      </c>
      <c r="D100" s="64">
        <v>95.62</v>
      </c>
      <c r="E100" s="64">
        <v>8.1999999999999993</v>
      </c>
      <c r="F100" s="64">
        <v>2.13</v>
      </c>
      <c r="G100" s="64">
        <v>134.4</v>
      </c>
      <c r="H100" s="64">
        <v>44.3</v>
      </c>
      <c r="I100" s="210" t="s">
        <v>43</v>
      </c>
      <c r="J100" s="64">
        <v>1.65</v>
      </c>
      <c r="K100" s="64">
        <v>318.45999999999998</v>
      </c>
      <c r="L100" s="64">
        <v>13.35</v>
      </c>
      <c r="M100" s="64">
        <v>69.099999999999994</v>
      </c>
      <c r="N100" s="64">
        <v>68.400000000000006</v>
      </c>
      <c r="O100" s="64">
        <v>0</v>
      </c>
      <c r="P100" s="64">
        <v>1.65</v>
      </c>
      <c r="Q100" s="64">
        <v>9.5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1968</v>
      </c>
      <c r="B101" s="64">
        <v>78.61</v>
      </c>
      <c r="C101" s="64">
        <v>72.849999999999994</v>
      </c>
      <c r="D101" s="64">
        <v>99.72</v>
      </c>
      <c r="E101" s="64">
        <v>8.68</v>
      </c>
      <c r="F101" s="64">
        <v>2.13</v>
      </c>
      <c r="G101" s="64">
        <v>134.4</v>
      </c>
      <c r="H101" s="64">
        <v>44.3</v>
      </c>
      <c r="I101" s="210" t="s">
        <v>43</v>
      </c>
      <c r="J101" s="64">
        <v>1.63</v>
      </c>
      <c r="K101" s="64">
        <v>286.08999999999997</v>
      </c>
      <c r="L101" s="64">
        <v>12.93</v>
      </c>
      <c r="M101" s="64">
        <v>73.430000000000007</v>
      </c>
      <c r="N101" s="64">
        <v>67.599999999999994</v>
      </c>
      <c r="O101" s="64">
        <v>0</v>
      </c>
      <c r="P101" s="64">
        <v>1.69</v>
      </c>
      <c r="Q101" s="64">
        <v>9.64</v>
      </c>
      <c r="R101" s="198"/>
      <c r="S101" s="198"/>
      <c r="T101" s="198"/>
      <c r="U101" s="198"/>
    </row>
    <row r="102" spans="1:33" s="12" customFormat="1" x14ac:dyDescent="0.25">
      <c r="A102" s="214" t="s">
        <v>1969</v>
      </c>
      <c r="B102" s="64">
        <v>85.66</v>
      </c>
      <c r="C102" s="64">
        <v>73.27</v>
      </c>
      <c r="D102" s="64">
        <v>105.6</v>
      </c>
      <c r="E102" s="64">
        <v>8.31</v>
      </c>
      <c r="F102" s="64">
        <v>2.13</v>
      </c>
      <c r="G102" s="64">
        <v>134.4</v>
      </c>
      <c r="H102" s="64">
        <v>44.3</v>
      </c>
      <c r="I102" s="210" t="s">
        <v>43</v>
      </c>
      <c r="J102" s="64">
        <v>1.73</v>
      </c>
      <c r="K102" s="64">
        <v>285.99</v>
      </c>
      <c r="L102" s="64">
        <v>12.66</v>
      </c>
      <c r="M102" s="64">
        <v>77.900000000000006</v>
      </c>
      <c r="N102" s="64">
        <v>65.900000000000006</v>
      </c>
      <c r="O102" s="64">
        <v>0</v>
      </c>
      <c r="P102" s="64">
        <v>1.72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4" t="s">
        <v>1970</v>
      </c>
      <c r="B103" s="64">
        <v>89.26</v>
      </c>
      <c r="C103" s="64">
        <v>73.739999999999995</v>
      </c>
      <c r="D103" s="64">
        <v>108.73</v>
      </c>
      <c r="E103" s="64">
        <v>8.5399999999999991</v>
      </c>
      <c r="F103" s="64">
        <v>2.13</v>
      </c>
      <c r="G103" s="64">
        <v>135.74</v>
      </c>
      <c r="H103" s="64">
        <v>44.18</v>
      </c>
      <c r="I103" s="210" t="s">
        <v>43</v>
      </c>
      <c r="J103" s="64">
        <v>1.54</v>
      </c>
      <c r="K103" s="64">
        <v>301.93</v>
      </c>
      <c r="L103" s="64">
        <v>12.66</v>
      </c>
      <c r="M103" s="64">
        <v>76.400000000000006</v>
      </c>
      <c r="N103" s="64">
        <v>65.400000000000006</v>
      </c>
      <c r="O103" s="64">
        <v>0</v>
      </c>
      <c r="P103" s="64">
        <v>1.68</v>
      </c>
      <c r="Q103" s="64">
        <v>9.73</v>
      </c>
      <c r="R103" s="198"/>
      <c r="S103" s="198"/>
      <c r="T103" s="198"/>
      <c r="U103" s="198"/>
    </row>
    <row r="104" spans="1:33" s="12" customFormat="1" x14ac:dyDescent="0.25">
      <c r="A104" s="214" t="s">
        <v>1971</v>
      </c>
      <c r="B104" s="64">
        <v>90.96</v>
      </c>
      <c r="C104" s="64">
        <v>73.650000000000006</v>
      </c>
      <c r="D104" s="64">
        <v>110.04</v>
      </c>
      <c r="E104" s="64">
        <v>7.81</v>
      </c>
      <c r="F104" s="64">
        <v>2.13</v>
      </c>
      <c r="G104" s="64">
        <v>136.32</v>
      </c>
      <c r="H104" s="64">
        <v>44.13</v>
      </c>
      <c r="I104" s="210" t="s">
        <v>43</v>
      </c>
      <c r="J104" s="64">
        <v>1.72</v>
      </c>
      <c r="K104" s="64">
        <v>311.95999999999998</v>
      </c>
      <c r="L104" s="64">
        <v>12.44</v>
      </c>
      <c r="M104" s="64">
        <v>82.57</v>
      </c>
      <c r="N104" s="64">
        <v>64</v>
      </c>
      <c r="O104" s="64">
        <v>0</v>
      </c>
      <c r="P104" s="64">
        <v>1.69</v>
      </c>
      <c r="Q104" s="64">
        <v>9.73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12.1</v>
      </c>
      <c r="C106" s="67">
        <f>MIN(C9:C104)</f>
        <v>50.06</v>
      </c>
      <c r="D106" s="67">
        <f t="shared" ref="D106:Q106" si="0">MIN(D9:D104)</f>
        <v>45.74</v>
      </c>
      <c r="E106" s="67">
        <f t="shared" si="0"/>
        <v>5.62</v>
      </c>
      <c r="F106" s="67">
        <f t="shared" si="0"/>
        <v>2.13</v>
      </c>
      <c r="G106" s="67">
        <f t="shared" si="0"/>
        <v>53.61</v>
      </c>
      <c r="H106" s="67">
        <f t="shared" si="0"/>
        <v>22.26</v>
      </c>
      <c r="I106" s="67">
        <f t="shared" si="0"/>
        <v>0</v>
      </c>
      <c r="J106" s="67">
        <f t="shared" si="0"/>
        <v>0.28000000000000003</v>
      </c>
      <c r="K106" s="67">
        <f t="shared" si="0"/>
        <v>3.05</v>
      </c>
      <c r="L106" s="67">
        <f t="shared" si="0"/>
        <v>11</v>
      </c>
      <c r="M106" s="67">
        <f t="shared" si="0"/>
        <v>27.21</v>
      </c>
      <c r="N106" s="67">
        <f t="shared" si="0"/>
        <v>54.5</v>
      </c>
      <c r="O106" s="67">
        <f t="shared" si="0"/>
        <v>0</v>
      </c>
      <c r="P106" s="67">
        <f t="shared" si="0"/>
        <v>0.63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90.96</v>
      </c>
      <c r="C107" s="66">
        <f t="shared" ref="C107:Q107" si="1">MAX(C9:C104)</f>
        <v>76.319999999999993</v>
      </c>
      <c r="D107" s="66">
        <f t="shared" si="1"/>
        <v>110.04</v>
      </c>
      <c r="E107" s="66">
        <f t="shared" si="1"/>
        <v>8.98</v>
      </c>
      <c r="F107" s="66">
        <f t="shared" si="1"/>
        <v>2.13</v>
      </c>
      <c r="G107" s="66">
        <f t="shared" si="1"/>
        <v>136.32</v>
      </c>
      <c r="H107" s="66">
        <f t="shared" si="1"/>
        <v>44.3</v>
      </c>
      <c r="I107" s="66">
        <f t="shared" si="1"/>
        <v>0</v>
      </c>
      <c r="J107" s="66">
        <f t="shared" si="1"/>
        <v>2.77</v>
      </c>
      <c r="K107" s="66">
        <f t="shared" si="1"/>
        <v>358.16</v>
      </c>
      <c r="L107" s="66">
        <f t="shared" si="1"/>
        <v>25.43</v>
      </c>
      <c r="M107" s="66">
        <f t="shared" si="1"/>
        <v>82.57</v>
      </c>
      <c r="N107" s="66">
        <f t="shared" si="1"/>
        <v>629</v>
      </c>
      <c r="O107" s="66">
        <f t="shared" si="1"/>
        <v>0</v>
      </c>
      <c r="P107" s="66">
        <f t="shared" si="1"/>
        <v>1.73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36.200104166666648</v>
      </c>
      <c r="C108" s="67">
        <f t="shared" ref="C108:Q108" si="2">AVERAGE(C9:C104)</f>
        <v>63.506354166666654</v>
      </c>
      <c r="D108" s="67">
        <f t="shared" si="2"/>
        <v>60.833125000000003</v>
      </c>
      <c r="E108" s="67">
        <f t="shared" si="2"/>
        <v>6.9729166666666638</v>
      </c>
      <c r="F108" s="67">
        <f t="shared" si="2"/>
        <v>2.1299999999999972</v>
      </c>
      <c r="G108" s="67">
        <f t="shared" si="2"/>
        <v>82.394375000000011</v>
      </c>
      <c r="H108" s="67">
        <f t="shared" si="2"/>
        <v>28.245312500000001</v>
      </c>
      <c r="I108" s="67" t="e">
        <f t="shared" si="2"/>
        <v>#DIV/0!</v>
      </c>
      <c r="J108" s="67">
        <f t="shared" si="2"/>
        <v>1.4405208333333333</v>
      </c>
      <c r="K108" s="67">
        <f t="shared" si="2"/>
        <v>257.11739583333326</v>
      </c>
      <c r="L108" s="67">
        <f t="shared" si="2"/>
        <v>17.169375000000002</v>
      </c>
      <c r="M108" s="67">
        <f t="shared" si="2"/>
        <v>48.164166666666688</v>
      </c>
      <c r="N108" s="67">
        <f t="shared" si="2"/>
        <v>199.26562500000011</v>
      </c>
      <c r="O108" s="67">
        <f t="shared" si="2"/>
        <v>0</v>
      </c>
      <c r="P108" s="67">
        <f t="shared" si="2"/>
        <v>0.9293750000000004</v>
      </c>
      <c r="Q108" s="67">
        <f t="shared" si="2"/>
        <v>8.4062500000000036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16.436765368481421</v>
      </c>
      <c r="C109" s="67">
        <f t="shared" ref="C109:Q109" si="3">STDEV(C9:C104)</f>
        <v>9.5048823044062232</v>
      </c>
      <c r="D109" s="67">
        <f t="shared" si="3"/>
        <v>14.558632187956745</v>
      </c>
      <c r="E109" s="67">
        <f t="shared" si="3"/>
        <v>0.80558696046871592</v>
      </c>
      <c r="F109" s="67">
        <f t="shared" si="3"/>
        <v>2.678522416932523E-15</v>
      </c>
      <c r="G109" s="67">
        <f t="shared" si="3"/>
        <v>22.170854163565867</v>
      </c>
      <c r="H109" s="67">
        <f t="shared" si="3"/>
        <v>6.009466033399228</v>
      </c>
      <c r="I109" s="67" t="e">
        <f t="shared" si="3"/>
        <v>#DIV/0!</v>
      </c>
      <c r="J109" s="67">
        <f t="shared" si="3"/>
        <v>0.51984485497657273</v>
      </c>
      <c r="K109" s="67">
        <f t="shared" si="3"/>
        <v>131.00145354954776</v>
      </c>
      <c r="L109" s="67">
        <f t="shared" si="3"/>
        <v>4.6411173365450411</v>
      </c>
      <c r="M109" s="67">
        <f t="shared" si="3"/>
        <v>14.191046745018346</v>
      </c>
      <c r="N109" s="67">
        <f t="shared" si="3"/>
        <v>205.9341554596235</v>
      </c>
      <c r="O109" s="67">
        <f t="shared" si="3"/>
        <v>0</v>
      </c>
      <c r="P109" s="67">
        <f t="shared" si="3"/>
        <v>0.33594427012761841</v>
      </c>
      <c r="Q109" s="67">
        <f t="shared" si="3"/>
        <v>0.40711113185985243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1972</v>
      </c>
      <c r="B9" s="64">
        <v>90.03</v>
      </c>
      <c r="C9" s="64">
        <v>73.19</v>
      </c>
      <c r="D9" s="64">
        <v>109.06</v>
      </c>
      <c r="E9" s="64">
        <v>8.19</v>
      </c>
      <c r="F9" s="64">
        <v>2.13</v>
      </c>
      <c r="G9" s="64">
        <v>136.32</v>
      </c>
      <c r="H9" s="64">
        <v>44.13</v>
      </c>
      <c r="I9" s="210" t="s">
        <v>43</v>
      </c>
      <c r="J9" s="64">
        <v>0.97</v>
      </c>
      <c r="K9" s="64">
        <v>243.15</v>
      </c>
      <c r="L9" s="64">
        <v>12.45</v>
      </c>
      <c r="M9" s="64">
        <v>81.16</v>
      </c>
      <c r="N9" s="64">
        <v>60.4</v>
      </c>
      <c r="O9" s="64">
        <v>0</v>
      </c>
      <c r="P9" s="64">
        <v>1.69</v>
      </c>
      <c r="Q9" s="64">
        <v>9.76</v>
      </c>
      <c r="R9" s="198"/>
      <c r="S9" s="198"/>
      <c r="T9" s="198"/>
      <c r="U9" s="198"/>
    </row>
    <row r="10" spans="1:21" s="12" customFormat="1" x14ac:dyDescent="0.25">
      <c r="A10" s="214" t="s">
        <v>1973</v>
      </c>
      <c r="B10" s="64">
        <v>86.65</v>
      </c>
      <c r="C10" s="64">
        <v>72.7</v>
      </c>
      <c r="D10" s="64">
        <v>106.09</v>
      </c>
      <c r="E10" s="64">
        <v>8.5399999999999991</v>
      </c>
      <c r="F10" s="64">
        <v>2.13</v>
      </c>
      <c r="G10" s="64">
        <v>136.32</v>
      </c>
      <c r="H10" s="64">
        <v>44.13</v>
      </c>
      <c r="I10" s="210" t="s">
        <v>43</v>
      </c>
      <c r="J10" s="64">
        <v>1.74</v>
      </c>
      <c r="K10" s="64">
        <v>270.72000000000003</v>
      </c>
      <c r="L10" s="64">
        <v>12.44</v>
      </c>
      <c r="M10" s="64">
        <v>81.64</v>
      </c>
      <c r="N10" s="64">
        <v>59.1</v>
      </c>
      <c r="O10" s="64">
        <v>0</v>
      </c>
      <c r="P10" s="64">
        <v>1.7</v>
      </c>
      <c r="Q10" s="64">
        <v>9.73</v>
      </c>
      <c r="R10" s="198"/>
      <c r="S10" s="198"/>
      <c r="T10" s="198"/>
      <c r="U10" s="198"/>
    </row>
    <row r="11" spans="1:21" s="12" customFormat="1" x14ac:dyDescent="0.25">
      <c r="A11" s="214" t="s">
        <v>1974</v>
      </c>
      <c r="B11" s="64">
        <v>83.82</v>
      </c>
      <c r="C11" s="64">
        <v>72.239999999999995</v>
      </c>
      <c r="D11" s="64">
        <v>103.58</v>
      </c>
      <c r="E11" s="64">
        <v>8.74</v>
      </c>
      <c r="F11" s="64">
        <v>2.13</v>
      </c>
      <c r="G11" s="64">
        <v>138.47</v>
      </c>
      <c r="H11" s="64">
        <v>44.29</v>
      </c>
      <c r="I11" s="210" t="s">
        <v>43</v>
      </c>
      <c r="J11" s="64">
        <v>1.64</v>
      </c>
      <c r="K11" s="64">
        <v>288.05</v>
      </c>
      <c r="L11" s="64">
        <v>12.3</v>
      </c>
      <c r="M11" s="64">
        <v>81.599999999999994</v>
      </c>
      <c r="N11" s="64">
        <v>58.3</v>
      </c>
      <c r="O11" s="64">
        <v>0</v>
      </c>
      <c r="P11" s="64">
        <v>1.71</v>
      </c>
      <c r="Q11" s="64">
        <v>9.7100000000000009</v>
      </c>
      <c r="R11" s="198"/>
      <c r="S11" s="198"/>
      <c r="T11" s="198"/>
      <c r="U11" s="198"/>
    </row>
    <row r="12" spans="1:21" s="12" customFormat="1" x14ac:dyDescent="0.25">
      <c r="A12" s="214" t="s">
        <v>1975</v>
      </c>
      <c r="B12" s="64">
        <v>82.51</v>
      </c>
      <c r="C12" s="64">
        <v>71.5</v>
      </c>
      <c r="D12" s="64">
        <v>102.14</v>
      </c>
      <c r="E12" s="64">
        <v>8.3699999999999992</v>
      </c>
      <c r="F12" s="64">
        <v>2.13</v>
      </c>
      <c r="G12" s="64">
        <v>139.38999999999999</v>
      </c>
      <c r="H12" s="64">
        <v>44.35</v>
      </c>
      <c r="I12" s="210" t="s">
        <v>43</v>
      </c>
      <c r="J12" s="64">
        <v>1.96</v>
      </c>
      <c r="K12" s="64">
        <v>327.08999999999997</v>
      </c>
      <c r="L12" s="64">
        <v>11.98</v>
      </c>
      <c r="M12" s="64">
        <v>86.51</v>
      </c>
      <c r="N12" s="64">
        <v>57.5</v>
      </c>
      <c r="O12" s="64">
        <v>0</v>
      </c>
      <c r="P12" s="64">
        <v>1.72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14" t="s">
        <v>1976</v>
      </c>
      <c r="B13" s="64">
        <v>80.42</v>
      </c>
      <c r="C13" s="64">
        <v>71.48</v>
      </c>
      <c r="D13" s="64">
        <v>100.46</v>
      </c>
      <c r="E13" s="64">
        <v>8.77</v>
      </c>
      <c r="F13" s="64">
        <v>2.13</v>
      </c>
      <c r="G13" s="64">
        <v>139.38999999999999</v>
      </c>
      <c r="H13" s="64">
        <v>44.35</v>
      </c>
      <c r="I13" s="210" t="s">
        <v>43</v>
      </c>
      <c r="J13" s="64">
        <v>1.58</v>
      </c>
      <c r="K13" s="64">
        <v>1.1499999999999999</v>
      </c>
      <c r="L13" s="64">
        <v>12.11</v>
      </c>
      <c r="M13" s="64">
        <v>80.540000000000006</v>
      </c>
      <c r="N13" s="64">
        <v>56</v>
      </c>
      <c r="O13" s="64">
        <v>0</v>
      </c>
      <c r="P13" s="64">
        <v>1.58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4" t="s">
        <v>1977</v>
      </c>
      <c r="B14" s="64">
        <v>77.58</v>
      </c>
      <c r="C14" s="64">
        <v>70.95</v>
      </c>
      <c r="D14" s="64">
        <v>97.91</v>
      </c>
      <c r="E14" s="64">
        <v>8.86</v>
      </c>
      <c r="F14" s="64">
        <v>2.13</v>
      </c>
      <c r="G14" s="64">
        <v>139.38999999999999</v>
      </c>
      <c r="H14" s="64">
        <v>44.35</v>
      </c>
      <c r="I14" s="210" t="s">
        <v>43</v>
      </c>
      <c r="J14" s="64">
        <v>1.74</v>
      </c>
      <c r="K14" s="64">
        <v>345.48</v>
      </c>
      <c r="L14" s="64">
        <v>12.18</v>
      </c>
      <c r="M14" s="64">
        <v>79.510000000000005</v>
      </c>
      <c r="N14" s="64">
        <v>56.6</v>
      </c>
      <c r="O14" s="64">
        <v>0</v>
      </c>
      <c r="P14" s="64">
        <v>1.66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4" t="s">
        <v>1978</v>
      </c>
      <c r="B15" s="64">
        <v>75.34</v>
      </c>
      <c r="C15" s="64">
        <v>70.290000000000006</v>
      </c>
      <c r="D15" s="64">
        <v>95.76</v>
      </c>
      <c r="E15" s="64">
        <v>9.41</v>
      </c>
      <c r="F15" s="64">
        <v>2.13</v>
      </c>
      <c r="G15" s="64">
        <v>197.36</v>
      </c>
      <c r="H15" s="64">
        <v>51.47</v>
      </c>
      <c r="I15" s="210" t="s">
        <v>43</v>
      </c>
      <c r="J15" s="64">
        <v>0.84</v>
      </c>
      <c r="K15" s="64">
        <v>342.49</v>
      </c>
      <c r="L15" s="64">
        <v>11.96</v>
      </c>
      <c r="M15" s="64">
        <v>81.11</v>
      </c>
      <c r="N15" s="64">
        <v>56.2</v>
      </c>
      <c r="O15" s="64">
        <v>0</v>
      </c>
      <c r="P15" s="64">
        <v>1.67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4" t="s">
        <v>1979</v>
      </c>
      <c r="B16" s="64">
        <v>73.5</v>
      </c>
      <c r="C16" s="64">
        <v>67.400000000000006</v>
      </c>
      <c r="D16" s="64">
        <v>92.78</v>
      </c>
      <c r="E16" s="64">
        <v>9.44</v>
      </c>
      <c r="F16" s="64">
        <v>2.13</v>
      </c>
      <c r="G16" s="64">
        <v>222.2</v>
      </c>
      <c r="H16" s="64">
        <v>54.52</v>
      </c>
      <c r="I16" s="210" t="s">
        <v>43</v>
      </c>
      <c r="J16" s="64">
        <v>0.95</v>
      </c>
      <c r="K16" s="64">
        <v>287.19</v>
      </c>
      <c r="L16" s="64">
        <v>11.75</v>
      </c>
      <c r="M16" s="64">
        <v>81.22</v>
      </c>
      <c r="N16" s="64">
        <v>55.4</v>
      </c>
      <c r="O16" s="64">
        <v>0</v>
      </c>
      <c r="P16" s="64">
        <v>1.68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4" t="s">
        <v>1980</v>
      </c>
      <c r="B17" s="64">
        <v>71.510000000000005</v>
      </c>
      <c r="C17" s="64">
        <v>65.81</v>
      </c>
      <c r="D17" s="64">
        <v>90.35</v>
      </c>
      <c r="E17" s="64">
        <v>9.39</v>
      </c>
      <c r="F17" s="64">
        <v>2.13</v>
      </c>
      <c r="G17" s="64">
        <v>222.2</v>
      </c>
      <c r="H17" s="64">
        <v>54.52</v>
      </c>
      <c r="I17" s="210" t="s">
        <v>43</v>
      </c>
      <c r="J17" s="64">
        <v>1.67</v>
      </c>
      <c r="K17" s="64">
        <v>286.01</v>
      </c>
      <c r="L17" s="64">
        <v>11.65</v>
      </c>
      <c r="M17" s="64">
        <v>79.69</v>
      </c>
      <c r="N17" s="64">
        <v>55</v>
      </c>
      <c r="O17" s="64">
        <v>0</v>
      </c>
      <c r="P17" s="64">
        <v>1.64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4" t="s">
        <v>1981</v>
      </c>
      <c r="B18" s="64">
        <v>69.39</v>
      </c>
      <c r="C18" s="64">
        <v>64.959999999999994</v>
      </c>
      <c r="D18" s="64">
        <v>88.21</v>
      </c>
      <c r="E18" s="64">
        <v>8.89</v>
      </c>
      <c r="F18" s="64">
        <v>2.13</v>
      </c>
      <c r="G18" s="64">
        <v>222.2</v>
      </c>
      <c r="H18" s="64">
        <v>54.52</v>
      </c>
      <c r="I18" s="210" t="s">
        <v>43</v>
      </c>
      <c r="J18" s="64">
        <v>1.73</v>
      </c>
      <c r="K18" s="64">
        <v>302.22000000000003</v>
      </c>
      <c r="L18" s="64">
        <v>11.54</v>
      </c>
      <c r="M18" s="64">
        <v>79.63</v>
      </c>
      <c r="N18" s="64">
        <v>55</v>
      </c>
      <c r="O18" s="64">
        <v>0</v>
      </c>
      <c r="P18" s="64">
        <v>1.63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14" t="s">
        <v>1982</v>
      </c>
      <c r="B19" s="64">
        <v>67.349999999999994</v>
      </c>
      <c r="C19" s="64">
        <v>63.84</v>
      </c>
      <c r="D19" s="64">
        <v>85.99</v>
      </c>
      <c r="E19" s="64">
        <v>9.07</v>
      </c>
      <c r="F19" s="64">
        <v>2.13</v>
      </c>
      <c r="G19" s="64">
        <v>213.74</v>
      </c>
      <c r="H19" s="64">
        <v>64.39</v>
      </c>
      <c r="I19" s="210" t="s">
        <v>43</v>
      </c>
      <c r="J19" s="64">
        <v>1.1100000000000001</v>
      </c>
      <c r="K19" s="64">
        <v>294.73</v>
      </c>
      <c r="L19" s="64">
        <v>11.5</v>
      </c>
      <c r="M19" s="64">
        <v>81</v>
      </c>
      <c r="N19" s="64">
        <v>54.8</v>
      </c>
      <c r="O19" s="64">
        <v>0</v>
      </c>
      <c r="P19" s="64">
        <v>1.6</v>
      </c>
      <c r="Q19" s="64">
        <v>9.27</v>
      </c>
      <c r="R19" s="198"/>
      <c r="S19" s="198"/>
      <c r="T19" s="198"/>
      <c r="U19" s="198"/>
    </row>
    <row r="20" spans="1:21" s="12" customFormat="1" x14ac:dyDescent="0.25">
      <c r="A20" s="214" t="s">
        <v>1983</v>
      </c>
      <c r="B20" s="64">
        <v>65.33</v>
      </c>
      <c r="C20" s="64">
        <v>62.45</v>
      </c>
      <c r="D20" s="64">
        <v>83.64</v>
      </c>
      <c r="E20" s="64">
        <v>9.06</v>
      </c>
      <c r="F20" s="64">
        <v>2.13</v>
      </c>
      <c r="G20" s="64">
        <v>210.12</v>
      </c>
      <c r="H20" s="64">
        <v>68.62</v>
      </c>
      <c r="I20" s="210" t="s">
        <v>43</v>
      </c>
      <c r="J20" s="64">
        <v>1.7</v>
      </c>
      <c r="K20" s="64">
        <v>336.86</v>
      </c>
      <c r="L20" s="64">
        <v>11.09</v>
      </c>
      <c r="M20" s="64">
        <v>83.86</v>
      </c>
      <c r="N20" s="64">
        <v>55</v>
      </c>
      <c r="O20" s="64">
        <v>0</v>
      </c>
      <c r="P20" s="64">
        <v>1.58</v>
      </c>
      <c r="Q20" s="64">
        <v>9.15</v>
      </c>
      <c r="R20" s="198"/>
      <c r="S20" s="198"/>
      <c r="T20" s="198"/>
      <c r="U20" s="198"/>
    </row>
    <row r="21" spans="1:21" s="12" customFormat="1" x14ac:dyDescent="0.25">
      <c r="A21" s="214" t="s">
        <v>1984</v>
      </c>
      <c r="B21" s="64">
        <v>63.2</v>
      </c>
      <c r="C21" s="64">
        <v>61.37</v>
      </c>
      <c r="D21" s="64">
        <v>81.37</v>
      </c>
      <c r="E21" s="64">
        <v>8.89</v>
      </c>
      <c r="F21" s="64">
        <v>2.13</v>
      </c>
      <c r="G21" s="64">
        <v>210.12</v>
      </c>
      <c r="H21" s="64">
        <v>68.62</v>
      </c>
      <c r="I21" s="210" t="s">
        <v>43</v>
      </c>
      <c r="J21" s="64">
        <v>1.0900000000000001</v>
      </c>
      <c r="K21" s="64">
        <v>336.9</v>
      </c>
      <c r="L21" s="64">
        <v>10.91</v>
      </c>
      <c r="M21" s="64">
        <v>85.48</v>
      </c>
      <c r="N21" s="64">
        <v>54.5</v>
      </c>
      <c r="O21" s="64">
        <v>0</v>
      </c>
      <c r="P21" s="64">
        <v>1.55</v>
      </c>
      <c r="Q21" s="64">
        <v>9.0299999999999994</v>
      </c>
      <c r="R21" s="198"/>
      <c r="S21" s="198"/>
      <c r="T21" s="198"/>
      <c r="U21" s="198"/>
    </row>
    <row r="22" spans="1:21" s="12" customFormat="1" x14ac:dyDescent="0.25">
      <c r="A22" s="214" t="s">
        <v>1985</v>
      </c>
      <c r="B22" s="64">
        <v>61.3</v>
      </c>
      <c r="C22" s="64">
        <v>60.07</v>
      </c>
      <c r="D22" s="64">
        <v>79.17</v>
      </c>
      <c r="E22" s="64">
        <v>7.95</v>
      </c>
      <c r="F22" s="64">
        <v>2.13</v>
      </c>
      <c r="G22" s="64">
        <v>210.12</v>
      </c>
      <c r="H22" s="64">
        <v>68.62</v>
      </c>
      <c r="I22" s="210" t="s">
        <v>43</v>
      </c>
      <c r="J22" s="64">
        <v>1.47</v>
      </c>
      <c r="K22" s="64">
        <v>320.70999999999998</v>
      </c>
      <c r="L22" s="64">
        <v>10.69</v>
      </c>
      <c r="M22" s="64">
        <v>88.16</v>
      </c>
      <c r="N22" s="64">
        <v>54.6</v>
      </c>
      <c r="O22" s="64">
        <v>0</v>
      </c>
      <c r="P22" s="64">
        <v>1.53</v>
      </c>
      <c r="Q22" s="64">
        <v>8.9</v>
      </c>
      <c r="R22" s="198"/>
      <c r="S22" s="198"/>
      <c r="T22" s="198"/>
      <c r="U22" s="198"/>
    </row>
    <row r="23" spans="1:21" s="12" customFormat="1" x14ac:dyDescent="0.25">
      <c r="A23" s="214" t="s">
        <v>1986</v>
      </c>
      <c r="B23" s="64">
        <v>59.83</v>
      </c>
      <c r="C23" s="64">
        <v>58.81</v>
      </c>
      <c r="D23" s="64">
        <v>77.33</v>
      </c>
      <c r="E23" s="64">
        <v>8.51</v>
      </c>
      <c r="F23" s="64">
        <v>2.13</v>
      </c>
      <c r="G23" s="64">
        <v>168.49</v>
      </c>
      <c r="H23" s="64">
        <v>66.56</v>
      </c>
      <c r="I23" s="210" t="s">
        <v>43</v>
      </c>
      <c r="J23" s="64">
        <v>1.59</v>
      </c>
      <c r="K23" s="64">
        <v>301.02</v>
      </c>
      <c r="L23" s="64">
        <v>10.5</v>
      </c>
      <c r="M23" s="64">
        <v>89.78</v>
      </c>
      <c r="N23" s="64">
        <v>54.3</v>
      </c>
      <c r="O23" s="64">
        <v>0</v>
      </c>
      <c r="P23" s="64">
        <v>1.52</v>
      </c>
      <c r="Q23" s="64">
        <v>8.76</v>
      </c>
      <c r="R23" s="198"/>
      <c r="S23" s="198"/>
      <c r="T23" s="198"/>
      <c r="U23" s="198"/>
    </row>
    <row r="24" spans="1:21" s="12" customFormat="1" x14ac:dyDescent="0.25">
      <c r="A24" s="214" t="s">
        <v>1987</v>
      </c>
      <c r="B24" s="64">
        <v>59.87</v>
      </c>
      <c r="C24" s="64">
        <v>58.89</v>
      </c>
      <c r="D24" s="64">
        <v>77.400000000000006</v>
      </c>
      <c r="E24" s="64">
        <v>8.6300000000000008</v>
      </c>
      <c r="F24" s="64">
        <v>2.13</v>
      </c>
      <c r="G24" s="64">
        <v>150.65</v>
      </c>
      <c r="H24" s="64">
        <v>65.680000000000007</v>
      </c>
      <c r="I24" s="210" t="s">
        <v>43</v>
      </c>
      <c r="J24" s="64">
        <v>1.1299999999999999</v>
      </c>
      <c r="K24" s="64">
        <v>267.67</v>
      </c>
      <c r="L24" s="64">
        <v>10.43</v>
      </c>
      <c r="M24" s="64">
        <v>91.86</v>
      </c>
      <c r="N24" s="64">
        <v>54.2</v>
      </c>
      <c r="O24" s="64">
        <v>0</v>
      </c>
      <c r="P24" s="64">
        <v>1.5</v>
      </c>
      <c r="Q24" s="64">
        <v>8.73</v>
      </c>
      <c r="R24" s="198"/>
      <c r="S24" s="198"/>
      <c r="T24" s="198"/>
      <c r="U24" s="198"/>
    </row>
    <row r="25" spans="1:21" s="12" customFormat="1" x14ac:dyDescent="0.25">
      <c r="A25" s="214" t="s">
        <v>1988</v>
      </c>
      <c r="B25" s="64">
        <v>61.02</v>
      </c>
      <c r="C25" s="64">
        <v>58.26</v>
      </c>
      <c r="D25" s="64">
        <v>78</v>
      </c>
      <c r="E25" s="64">
        <v>8.8800000000000008</v>
      </c>
      <c r="F25" s="64">
        <v>2.13</v>
      </c>
      <c r="G25" s="64">
        <v>150.65</v>
      </c>
      <c r="H25" s="64">
        <v>65.680000000000007</v>
      </c>
      <c r="I25" s="210" t="s">
        <v>43</v>
      </c>
      <c r="J25" s="64">
        <v>1.52</v>
      </c>
      <c r="K25" s="64">
        <v>339.64</v>
      </c>
      <c r="L25" s="64">
        <v>10.19</v>
      </c>
      <c r="M25" s="64">
        <v>93.4</v>
      </c>
      <c r="N25" s="64">
        <v>54.3</v>
      </c>
      <c r="O25" s="64">
        <v>0</v>
      </c>
      <c r="P25" s="64">
        <v>1.48</v>
      </c>
      <c r="Q25" s="64">
        <v>8.7200000000000006</v>
      </c>
      <c r="R25" s="198"/>
      <c r="S25" s="198"/>
      <c r="T25" s="198"/>
      <c r="U25" s="198"/>
    </row>
    <row r="26" spans="1:21" s="12" customFormat="1" x14ac:dyDescent="0.25">
      <c r="A26" s="214" t="s">
        <v>1989</v>
      </c>
      <c r="B26" s="64">
        <v>63.34</v>
      </c>
      <c r="C26" s="64">
        <v>57.9</v>
      </c>
      <c r="D26" s="64">
        <v>79.67</v>
      </c>
      <c r="E26" s="64">
        <v>8.5299999999999994</v>
      </c>
      <c r="F26" s="64">
        <v>2.13</v>
      </c>
      <c r="G26" s="64">
        <v>150.65</v>
      </c>
      <c r="H26" s="64">
        <v>65.680000000000007</v>
      </c>
      <c r="I26" s="210" t="s">
        <v>43</v>
      </c>
      <c r="J26" s="64">
        <v>1.81</v>
      </c>
      <c r="K26" s="64">
        <v>306.79000000000002</v>
      </c>
      <c r="L26" s="64">
        <v>9.89</v>
      </c>
      <c r="M26" s="64">
        <v>94.65</v>
      </c>
      <c r="N26" s="64">
        <v>54.1</v>
      </c>
      <c r="O26" s="64">
        <v>0</v>
      </c>
      <c r="P26" s="64">
        <v>1.47</v>
      </c>
      <c r="Q26" s="64">
        <v>8.8000000000000007</v>
      </c>
      <c r="R26" s="198"/>
      <c r="S26" s="198"/>
      <c r="T26" s="198"/>
      <c r="U26" s="198"/>
    </row>
    <row r="27" spans="1:21" s="12" customFormat="1" x14ac:dyDescent="0.25">
      <c r="A27" s="214" t="s">
        <v>1990</v>
      </c>
      <c r="B27" s="64">
        <v>64.319999999999993</v>
      </c>
      <c r="C27" s="64">
        <v>57.39</v>
      </c>
      <c r="D27" s="64">
        <v>80.19</v>
      </c>
      <c r="E27" s="64">
        <v>8.7799999999999994</v>
      </c>
      <c r="F27" s="64">
        <v>2.13</v>
      </c>
      <c r="G27" s="64">
        <v>157.76</v>
      </c>
      <c r="H27" s="64">
        <v>63.54</v>
      </c>
      <c r="I27" s="210" t="s">
        <v>43</v>
      </c>
      <c r="J27" s="64">
        <v>1.74</v>
      </c>
      <c r="K27" s="64">
        <v>306.14999999999998</v>
      </c>
      <c r="L27" s="64">
        <v>9.85</v>
      </c>
      <c r="M27" s="64">
        <v>92.34</v>
      </c>
      <c r="N27" s="64">
        <v>54.1</v>
      </c>
      <c r="O27" s="64">
        <v>0</v>
      </c>
      <c r="P27" s="64">
        <v>1.46</v>
      </c>
      <c r="Q27" s="64">
        <v>8.86</v>
      </c>
      <c r="R27" s="198"/>
      <c r="S27" s="198"/>
      <c r="T27" s="198"/>
      <c r="U27" s="198"/>
    </row>
    <row r="28" spans="1:21" s="12" customFormat="1" x14ac:dyDescent="0.25">
      <c r="A28" s="214" t="s">
        <v>1991</v>
      </c>
      <c r="B28" s="64">
        <v>64.099999999999994</v>
      </c>
      <c r="C28" s="64">
        <v>57.24</v>
      </c>
      <c r="D28" s="64">
        <v>79.930000000000007</v>
      </c>
      <c r="E28" s="64">
        <v>8.5299999999999994</v>
      </c>
      <c r="F28" s="64">
        <v>2.13</v>
      </c>
      <c r="G28" s="64">
        <v>160.80000000000001</v>
      </c>
      <c r="H28" s="64">
        <v>62.62</v>
      </c>
      <c r="I28" s="210" t="s">
        <v>43</v>
      </c>
      <c r="J28" s="64">
        <v>1.64</v>
      </c>
      <c r="K28" s="64">
        <v>325.44</v>
      </c>
      <c r="L28" s="64">
        <v>10.039999999999999</v>
      </c>
      <c r="M28" s="64">
        <v>92.68</v>
      </c>
      <c r="N28" s="64">
        <v>54</v>
      </c>
      <c r="O28" s="64">
        <v>0</v>
      </c>
      <c r="P28" s="64">
        <v>1.45</v>
      </c>
      <c r="Q28" s="64">
        <v>8.83</v>
      </c>
      <c r="R28" s="198"/>
      <c r="S28" s="198"/>
      <c r="T28" s="198"/>
      <c r="U28" s="198"/>
    </row>
    <row r="29" spans="1:21" s="12" customFormat="1" x14ac:dyDescent="0.25">
      <c r="A29" s="214" t="s">
        <v>1992</v>
      </c>
      <c r="B29" s="64">
        <v>65.12</v>
      </c>
      <c r="C29" s="64">
        <v>57.28</v>
      </c>
      <c r="D29" s="64">
        <v>80.77</v>
      </c>
      <c r="E29" s="64">
        <v>8.0399999999999991</v>
      </c>
      <c r="F29" s="64">
        <v>2.13</v>
      </c>
      <c r="G29" s="64">
        <v>160.80000000000001</v>
      </c>
      <c r="H29" s="64">
        <v>62.62</v>
      </c>
      <c r="I29" s="210" t="s">
        <v>43</v>
      </c>
      <c r="J29" s="64">
        <v>1.63</v>
      </c>
      <c r="K29" s="64">
        <v>339.53</v>
      </c>
      <c r="L29" s="64">
        <v>9.94</v>
      </c>
      <c r="M29" s="64">
        <v>92.97</v>
      </c>
      <c r="N29" s="64">
        <v>53.9</v>
      </c>
      <c r="O29" s="64">
        <v>0</v>
      </c>
      <c r="P29" s="64">
        <v>1.44</v>
      </c>
      <c r="Q29" s="64">
        <v>8.81</v>
      </c>
      <c r="R29" s="198"/>
      <c r="S29" s="198"/>
      <c r="T29" s="198"/>
      <c r="U29" s="198"/>
    </row>
    <row r="30" spans="1:21" s="12" customFormat="1" x14ac:dyDescent="0.25">
      <c r="A30" s="214" t="s">
        <v>1993</v>
      </c>
      <c r="B30" s="64">
        <v>67.39</v>
      </c>
      <c r="C30" s="64">
        <v>57.35</v>
      </c>
      <c r="D30" s="64">
        <v>82.63</v>
      </c>
      <c r="E30" s="64">
        <v>8.76</v>
      </c>
      <c r="F30" s="64">
        <v>2.13</v>
      </c>
      <c r="G30" s="64">
        <v>160.80000000000001</v>
      </c>
      <c r="H30" s="64">
        <v>62.62</v>
      </c>
      <c r="I30" s="210" t="s">
        <v>43</v>
      </c>
      <c r="J30" s="64">
        <v>1.75</v>
      </c>
      <c r="K30" s="64">
        <v>311.55</v>
      </c>
      <c r="L30" s="64">
        <v>9.85</v>
      </c>
      <c r="M30" s="64">
        <v>92.64</v>
      </c>
      <c r="N30" s="64">
        <v>53.8</v>
      </c>
      <c r="O30" s="64">
        <v>0</v>
      </c>
      <c r="P30" s="64">
        <v>1.44</v>
      </c>
      <c r="Q30" s="64">
        <v>8.8800000000000008</v>
      </c>
      <c r="R30" s="198"/>
      <c r="S30" s="198"/>
      <c r="T30" s="198"/>
      <c r="U30" s="198"/>
    </row>
    <row r="31" spans="1:21" s="12" customFormat="1" x14ac:dyDescent="0.25">
      <c r="A31" s="214" t="s">
        <v>1994</v>
      </c>
      <c r="B31" s="64">
        <v>68.849999999999994</v>
      </c>
      <c r="C31" s="64">
        <v>57.59</v>
      </c>
      <c r="D31" s="64">
        <v>83.92</v>
      </c>
      <c r="E31" s="64">
        <v>8.42</v>
      </c>
      <c r="F31" s="64">
        <v>2.13</v>
      </c>
      <c r="G31" s="64">
        <v>164.09</v>
      </c>
      <c r="H31" s="64">
        <v>60.34</v>
      </c>
      <c r="I31" s="210" t="s">
        <v>43</v>
      </c>
      <c r="J31" s="64">
        <v>1.42</v>
      </c>
      <c r="K31" s="64">
        <v>266.58</v>
      </c>
      <c r="L31" s="64">
        <v>10.029999999999999</v>
      </c>
      <c r="M31" s="64">
        <v>91.72</v>
      </c>
      <c r="N31" s="64">
        <v>53.6</v>
      </c>
      <c r="O31" s="64">
        <v>0</v>
      </c>
      <c r="P31" s="64">
        <v>1.44</v>
      </c>
      <c r="Q31" s="64">
        <v>8.9700000000000006</v>
      </c>
      <c r="R31" s="198"/>
      <c r="S31" s="198"/>
      <c r="T31" s="198"/>
      <c r="U31" s="198"/>
    </row>
    <row r="32" spans="1:21" s="12" customFormat="1" x14ac:dyDescent="0.25">
      <c r="A32" s="214" t="s">
        <v>1995</v>
      </c>
      <c r="B32" s="64">
        <v>69.91</v>
      </c>
      <c r="C32" s="64">
        <v>57.42</v>
      </c>
      <c r="D32" s="64">
        <v>84.68</v>
      </c>
      <c r="E32" s="64">
        <v>8.6300000000000008</v>
      </c>
      <c r="F32" s="64">
        <v>2.13</v>
      </c>
      <c r="G32" s="64">
        <v>165.5</v>
      </c>
      <c r="H32" s="64">
        <v>59.36</v>
      </c>
      <c r="I32" s="210" t="s">
        <v>43</v>
      </c>
      <c r="J32" s="64">
        <v>1.39</v>
      </c>
      <c r="K32" s="64">
        <v>308.08999999999997</v>
      </c>
      <c r="L32" s="64">
        <v>10.07</v>
      </c>
      <c r="M32" s="64">
        <v>89.14</v>
      </c>
      <c r="N32" s="64">
        <v>53.5</v>
      </c>
      <c r="O32" s="64">
        <v>0</v>
      </c>
      <c r="P32" s="64">
        <v>1.43</v>
      </c>
      <c r="Q32" s="64">
        <v>9.0299999999999994</v>
      </c>
      <c r="R32" s="198"/>
      <c r="S32" s="198"/>
      <c r="T32" s="198"/>
      <c r="U32" s="198"/>
    </row>
    <row r="33" spans="1:21" s="12" customFormat="1" x14ac:dyDescent="0.25">
      <c r="A33" s="214" t="s">
        <v>1996</v>
      </c>
      <c r="B33" s="64">
        <v>70.930000000000007</v>
      </c>
      <c r="C33" s="64">
        <v>55.53</v>
      </c>
      <c r="D33" s="64">
        <v>84.52</v>
      </c>
      <c r="E33" s="64">
        <v>8.2100000000000009</v>
      </c>
      <c r="F33" s="64">
        <v>2.13</v>
      </c>
      <c r="G33" s="64">
        <v>165.5</v>
      </c>
      <c r="H33" s="64">
        <v>59.36</v>
      </c>
      <c r="I33" s="210" t="s">
        <v>43</v>
      </c>
      <c r="J33" s="64">
        <v>0.83</v>
      </c>
      <c r="K33" s="64">
        <v>307.32</v>
      </c>
      <c r="L33" s="64">
        <v>10.07</v>
      </c>
      <c r="M33" s="64">
        <v>87.9</v>
      </c>
      <c r="N33" s="64">
        <v>53.3</v>
      </c>
      <c r="O33" s="64">
        <v>0</v>
      </c>
      <c r="P33" s="64">
        <v>1.43</v>
      </c>
      <c r="Q33" s="64">
        <v>9.0500000000000007</v>
      </c>
      <c r="R33" s="198"/>
      <c r="S33" s="198"/>
      <c r="T33" s="198"/>
      <c r="U33" s="198"/>
    </row>
    <row r="34" spans="1:21" s="12" customFormat="1" x14ac:dyDescent="0.25">
      <c r="A34" s="214" t="s">
        <v>1997</v>
      </c>
      <c r="B34" s="64">
        <v>70.64</v>
      </c>
      <c r="C34" s="64">
        <v>55.73</v>
      </c>
      <c r="D34" s="64">
        <v>84.39</v>
      </c>
      <c r="E34" s="64">
        <v>8.2799999999999994</v>
      </c>
      <c r="F34" s="64">
        <v>2.13</v>
      </c>
      <c r="G34" s="64">
        <v>165.5</v>
      </c>
      <c r="H34" s="64">
        <v>59.36</v>
      </c>
      <c r="I34" s="210" t="s">
        <v>43</v>
      </c>
      <c r="J34" s="64">
        <v>1.41</v>
      </c>
      <c r="K34" s="64">
        <v>275.44</v>
      </c>
      <c r="L34" s="64">
        <v>10.29</v>
      </c>
      <c r="M34" s="64">
        <v>86.74</v>
      </c>
      <c r="N34" s="64">
        <v>54</v>
      </c>
      <c r="O34" s="64">
        <v>0</v>
      </c>
      <c r="P34" s="64">
        <v>1.42</v>
      </c>
      <c r="Q34" s="64">
        <v>9.0500000000000007</v>
      </c>
      <c r="R34" s="198"/>
      <c r="S34" s="198"/>
      <c r="T34" s="198"/>
      <c r="U34" s="198"/>
    </row>
    <row r="35" spans="1:21" s="12" customFormat="1" x14ac:dyDescent="0.25">
      <c r="A35" s="214" t="s">
        <v>1998</v>
      </c>
      <c r="B35" s="64">
        <v>70.75</v>
      </c>
      <c r="C35" s="64">
        <v>56.41</v>
      </c>
      <c r="D35" s="64">
        <v>84.83</v>
      </c>
      <c r="E35" s="64">
        <v>8.19</v>
      </c>
      <c r="F35" s="64">
        <v>2.13</v>
      </c>
      <c r="G35" s="64">
        <v>140.85</v>
      </c>
      <c r="H35" s="64">
        <v>56.08</v>
      </c>
      <c r="I35" s="210" t="s">
        <v>43</v>
      </c>
      <c r="J35" s="64">
        <v>1.55</v>
      </c>
      <c r="K35" s="64">
        <v>300.45</v>
      </c>
      <c r="L35" s="64">
        <v>10.1</v>
      </c>
      <c r="M35" s="64">
        <v>86.49</v>
      </c>
      <c r="N35" s="64">
        <v>56</v>
      </c>
      <c r="O35" s="64">
        <v>0</v>
      </c>
      <c r="P35" s="64">
        <v>1.42</v>
      </c>
      <c r="Q35" s="64">
        <v>9.07</v>
      </c>
      <c r="R35" s="198"/>
      <c r="S35" s="198"/>
      <c r="T35" s="198"/>
      <c r="U35" s="198"/>
    </row>
    <row r="36" spans="1:21" s="12" customFormat="1" x14ac:dyDescent="0.25">
      <c r="A36" s="214" t="s">
        <v>1999</v>
      </c>
      <c r="B36" s="64">
        <v>71.17</v>
      </c>
      <c r="C36" s="64">
        <v>56.41</v>
      </c>
      <c r="D36" s="64">
        <v>85.17</v>
      </c>
      <c r="E36" s="64">
        <v>8.3699999999999992</v>
      </c>
      <c r="F36" s="64">
        <v>2.13</v>
      </c>
      <c r="G36" s="64">
        <v>130.28</v>
      </c>
      <c r="H36" s="64">
        <v>54.67</v>
      </c>
      <c r="I36" s="210" t="s">
        <v>43</v>
      </c>
      <c r="J36" s="64">
        <v>0.96</v>
      </c>
      <c r="K36" s="64">
        <v>273.02999999999997</v>
      </c>
      <c r="L36" s="64">
        <v>10.31</v>
      </c>
      <c r="M36" s="64">
        <v>84.51</v>
      </c>
      <c r="N36" s="64">
        <v>64.3</v>
      </c>
      <c r="O36" s="64">
        <v>0</v>
      </c>
      <c r="P36" s="64">
        <v>1.41</v>
      </c>
      <c r="Q36" s="64">
        <v>9.1</v>
      </c>
      <c r="R36" s="198"/>
      <c r="S36" s="198"/>
      <c r="T36" s="198"/>
      <c r="U36" s="198"/>
    </row>
    <row r="37" spans="1:21" s="12" customFormat="1" x14ac:dyDescent="0.25">
      <c r="A37" s="214" t="s">
        <v>2000</v>
      </c>
      <c r="B37" s="64">
        <v>70.89</v>
      </c>
      <c r="C37" s="64">
        <v>55.99</v>
      </c>
      <c r="D37" s="64">
        <v>84.72</v>
      </c>
      <c r="E37" s="64">
        <v>8.16</v>
      </c>
      <c r="F37" s="64">
        <v>2.13</v>
      </c>
      <c r="G37" s="64">
        <v>130.28</v>
      </c>
      <c r="H37" s="64">
        <v>54.67</v>
      </c>
      <c r="I37" s="210" t="s">
        <v>43</v>
      </c>
      <c r="J37" s="64">
        <v>0.66</v>
      </c>
      <c r="K37" s="64">
        <v>151.56</v>
      </c>
      <c r="L37" s="64">
        <v>10.7</v>
      </c>
      <c r="M37" s="64">
        <v>80.95</v>
      </c>
      <c r="N37" s="64">
        <v>77.099999999999994</v>
      </c>
      <c r="O37" s="64">
        <v>0</v>
      </c>
      <c r="P37" s="64">
        <v>1.37</v>
      </c>
      <c r="Q37" s="64">
        <v>9.1</v>
      </c>
      <c r="R37" s="198"/>
      <c r="S37" s="198"/>
      <c r="T37" s="198"/>
      <c r="U37" s="198"/>
    </row>
    <row r="38" spans="1:21" s="12" customFormat="1" x14ac:dyDescent="0.25">
      <c r="A38" s="214" t="s">
        <v>2001</v>
      </c>
      <c r="B38" s="64">
        <v>69.95</v>
      </c>
      <c r="C38" s="64">
        <v>56</v>
      </c>
      <c r="D38" s="64">
        <v>83.97</v>
      </c>
      <c r="E38" s="64">
        <v>7.99</v>
      </c>
      <c r="F38" s="64">
        <v>2.13</v>
      </c>
      <c r="G38" s="64">
        <v>130.28</v>
      </c>
      <c r="H38" s="64">
        <v>54.67</v>
      </c>
      <c r="I38" s="210" t="s">
        <v>43</v>
      </c>
      <c r="J38" s="64">
        <v>0.28999999999999998</v>
      </c>
      <c r="K38" s="64">
        <v>336.56</v>
      </c>
      <c r="L38" s="64">
        <v>11.33</v>
      </c>
      <c r="M38" s="64">
        <v>77.53</v>
      </c>
      <c r="N38" s="64">
        <v>90.9</v>
      </c>
      <c r="O38" s="64">
        <v>0</v>
      </c>
      <c r="P38" s="64">
        <v>1.38</v>
      </c>
      <c r="Q38" s="64">
        <v>9.08</v>
      </c>
      <c r="R38" s="198"/>
      <c r="S38" s="198"/>
      <c r="T38" s="198"/>
      <c r="U38" s="198"/>
    </row>
    <row r="39" spans="1:21" s="12" customFormat="1" x14ac:dyDescent="0.25">
      <c r="A39" s="214" t="s">
        <v>2002</v>
      </c>
      <c r="B39" s="64">
        <v>68.91</v>
      </c>
      <c r="C39" s="64">
        <v>56.02</v>
      </c>
      <c r="D39" s="64">
        <v>83.15</v>
      </c>
      <c r="E39" s="64">
        <v>8.0299999999999994</v>
      </c>
      <c r="F39" s="64">
        <v>2.13</v>
      </c>
      <c r="G39" s="64">
        <v>128.21</v>
      </c>
      <c r="H39" s="64">
        <v>53.55</v>
      </c>
      <c r="I39" s="210" t="s">
        <v>43</v>
      </c>
      <c r="J39" s="64">
        <v>0.97</v>
      </c>
      <c r="K39" s="64">
        <v>132.4</v>
      </c>
      <c r="L39" s="64">
        <v>12.04</v>
      </c>
      <c r="M39" s="64">
        <v>72.11</v>
      </c>
      <c r="N39" s="64">
        <v>118.3</v>
      </c>
      <c r="O39" s="64">
        <v>0</v>
      </c>
      <c r="P39" s="64">
        <v>1.36</v>
      </c>
      <c r="Q39" s="64">
        <v>9.0500000000000007</v>
      </c>
      <c r="R39" s="198"/>
      <c r="S39" s="198"/>
      <c r="T39" s="198"/>
      <c r="U39" s="198"/>
    </row>
    <row r="40" spans="1:21" s="12" customFormat="1" x14ac:dyDescent="0.25">
      <c r="A40" s="214" t="s">
        <v>2003</v>
      </c>
      <c r="B40" s="64">
        <v>67.52</v>
      </c>
      <c r="C40" s="64">
        <v>55.57</v>
      </c>
      <c r="D40" s="64">
        <v>81.81</v>
      </c>
      <c r="E40" s="64">
        <v>5.27</v>
      </c>
      <c r="F40" s="64">
        <v>2.13</v>
      </c>
      <c r="G40" s="64">
        <v>127.32</v>
      </c>
      <c r="H40" s="64">
        <v>53.06</v>
      </c>
      <c r="I40" s="210" t="s">
        <v>43</v>
      </c>
      <c r="J40" s="64">
        <v>1.19</v>
      </c>
      <c r="K40" s="64">
        <v>125.46</v>
      </c>
      <c r="L40" s="64">
        <v>13.52</v>
      </c>
      <c r="M40" s="64">
        <v>63.42</v>
      </c>
      <c r="N40" s="64">
        <v>210.2</v>
      </c>
      <c r="O40" s="64">
        <v>0</v>
      </c>
      <c r="P40" s="64">
        <v>1.34</v>
      </c>
      <c r="Q40" s="64">
        <v>8.98</v>
      </c>
      <c r="R40" s="198"/>
      <c r="S40" s="198"/>
      <c r="T40" s="198"/>
      <c r="U40" s="198"/>
    </row>
    <row r="41" spans="1:21" s="12" customFormat="1" x14ac:dyDescent="0.25">
      <c r="A41" s="214" t="s">
        <v>2004</v>
      </c>
      <c r="B41" s="64">
        <v>65.760000000000005</v>
      </c>
      <c r="C41" s="64">
        <v>55.64</v>
      </c>
      <c r="D41" s="64">
        <v>80.430000000000007</v>
      </c>
      <c r="E41" s="64">
        <v>6.36</v>
      </c>
      <c r="F41" s="64">
        <v>2.13</v>
      </c>
      <c r="G41" s="64">
        <v>127.32</v>
      </c>
      <c r="H41" s="64">
        <v>53.06</v>
      </c>
      <c r="I41" s="210" t="s">
        <v>43</v>
      </c>
      <c r="J41" s="64">
        <v>0.61</v>
      </c>
      <c r="K41" s="64">
        <v>111.3</v>
      </c>
      <c r="L41" s="64">
        <v>15.57</v>
      </c>
      <c r="M41" s="64">
        <v>54.31</v>
      </c>
      <c r="N41" s="64">
        <v>276.8</v>
      </c>
      <c r="O41" s="64">
        <v>0</v>
      </c>
      <c r="P41" s="64">
        <v>1.32</v>
      </c>
      <c r="Q41" s="64">
        <v>8.8699999999999992</v>
      </c>
      <c r="R41" s="198"/>
      <c r="S41" s="198"/>
      <c r="T41" s="198"/>
      <c r="U41" s="198"/>
    </row>
    <row r="42" spans="1:21" s="12" customFormat="1" x14ac:dyDescent="0.25">
      <c r="A42" s="214" t="s">
        <v>2005</v>
      </c>
      <c r="B42" s="64">
        <v>63.62</v>
      </c>
      <c r="C42" s="64">
        <v>56.7</v>
      </c>
      <c r="D42" s="64">
        <v>79.27</v>
      </c>
      <c r="E42" s="64">
        <v>6.3</v>
      </c>
      <c r="F42" s="64">
        <v>2.13</v>
      </c>
      <c r="G42" s="64">
        <v>127.32</v>
      </c>
      <c r="H42" s="64">
        <v>53.06</v>
      </c>
      <c r="I42" s="210" t="s">
        <v>43</v>
      </c>
      <c r="J42" s="64">
        <v>0.74</v>
      </c>
      <c r="K42" s="64">
        <v>93.03</v>
      </c>
      <c r="L42" s="64">
        <v>16.39</v>
      </c>
      <c r="M42" s="64">
        <v>51.19</v>
      </c>
      <c r="N42" s="64">
        <v>332.3</v>
      </c>
      <c r="O42" s="64">
        <v>0</v>
      </c>
      <c r="P42" s="64">
        <v>1.29</v>
      </c>
      <c r="Q42" s="64">
        <v>8.76</v>
      </c>
      <c r="R42" s="198"/>
      <c r="S42" s="198"/>
      <c r="T42" s="198"/>
      <c r="U42" s="198"/>
    </row>
    <row r="43" spans="1:21" s="12" customFormat="1" x14ac:dyDescent="0.25">
      <c r="A43" s="214" t="s">
        <v>2006</v>
      </c>
      <c r="B43" s="64">
        <v>61.29</v>
      </c>
      <c r="C43" s="64">
        <v>57.54</v>
      </c>
      <c r="D43" s="64">
        <v>77.84</v>
      </c>
      <c r="E43" s="64">
        <v>6.54</v>
      </c>
      <c r="F43" s="64">
        <v>2.13</v>
      </c>
      <c r="G43" s="64">
        <v>98.85</v>
      </c>
      <c r="H43" s="64">
        <v>48.72</v>
      </c>
      <c r="I43" s="210" t="s">
        <v>43</v>
      </c>
      <c r="J43" s="64">
        <v>1.4</v>
      </c>
      <c r="K43" s="64">
        <v>97.31</v>
      </c>
      <c r="L43" s="64">
        <v>18.16</v>
      </c>
      <c r="M43" s="64">
        <v>44.79</v>
      </c>
      <c r="N43" s="64">
        <v>391.2</v>
      </c>
      <c r="O43" s="64">
        <v>0</v>
      </c>
      <c r="P43" s="64">
        <v>1.26</v>
      </c>
      <c r="Q43" s="64">
        <v>8.61</v>
      </c>
      <c r="R43" s="198"/>
      <c r="S43" s="198"/>
      <c r="T43" s="198"/>
      <c r="U43" s="198"/>
    </row>
    <row r="44" spans="1:21" s="12" customFormat="1" x14ac:dyDescent="0.25">
      <c r="A44" s="214" t="s">
        <v>2007</v>
      </c>
      <c r="B44" s="64">
        <v>58.64</v>
      </c>
      <c r="C44" s="64">
        <v>58.1</v>
      </c>
      <c r="D44" s="64">
        <v>76</v>
      </c>
      <c r="E44" s="64">
        <v>6.36</v>
      </c>
      <c r="F44" s="64">
        <v>2.13</v>
      </c>
      <c r="G44" s="64">
        <v>86.66</v>
      </c>
      <c r="H44" s="64">
        <v>46.86</v>
      </c>
      <c r="I44" s="210" t="s">
        <v>43</v>
      </c>
      <c r="J44" s="64">
        <v>1.03</v>
      </c>
      <c r="K44" s="64">
        <v>85.95</v>
      </c>
      <c r="L44" s="64">
        <v>17.32</v>
      </c>
      <c r="M44" s="64">
        <v>46.23</v>
      </c>
      <c r="N44" s="64">
        <v>436.4</v>
      </c>
      <c r="O44" s="64">
        <v>0</v>
      </c>
      <c r="P44" s="64">
        <v>1.23</v>
      </c>
      <c r="Q44" s="64">
        <v>8.4600000000000009</v>
      </c>
      <c r="R44" s="198"/>
      <c r="S44" s="198"/>
      <c r="T44" s="198"/>
      <c r="U44" s="198"/>
    </row>
    <row r="45" spans="1:21" s="12" customFormat="1" x14ac:dyDescent="0.25">
      <c r="A45" s="214" t="s">
        <v>2008</v>
      </c>
      <c r="B45" s="64">
        <v>56.21</v>
      </c>
      <c r="C45" s="64">
        <v>58.85</v>
      </c>
      <c r="D45" s="64">
        <v>74.45</v>
      </c>
      <c r="E45" s="64">
        <v>5.78</v>
      </c>
      <c r="F45" s="64">
        <v>2.13</v>
      </c>
      <c r="G45" s="64">
        <v>86.66</v>
      </c>
      <c r="H45" s="64">
        <v>46.86</v>
      </c>
      <c r="I45" s="210" t="s">
        <v>43</v>
      </c>
      <c r="J45" s="64">
        <v>0.66</v>
      </c>
      <c r="K45" s="64">
        <v>91.74</v>
      </c>
      <c r="L45" s="64">
        <v>19.25</v>
      </c>
      <c r="M45" s="64">
        <v>42.01</v>
      </c>
      <c r="N45" s="64">
        <v>473.7</v>
      </c>
      <c r="O45" s="64">
        <v>0</v>
      </c>
      <c r="P45" s="64">
        <v>1.19</v>
      </c>
      <c r="Q45" s="64">
        <v>8.33</v>
      </c>
      <c r="R45" s="198"/>
      <c r="S45" s="198"/>
      <c r="T45" s="198"/>
      <c r="U45" s="198"/>
    </row>
    <row r="46" spans="1:21" s="12" customFormat="1" x14ac:dyDescent="0.25">
      <c r="A46" s="214" t="s">
        <v>2009</v>
      </c>
      <c r="B46" s="64">
        <v>54.27</v>
      </c>
      <c r="C46" s="64">
        <v>59.77</v>
      </c>
      <c r="D46" s="64">
        <v>73.37</v>
      </c>
      <c r="E46" s="64">
        <v>5.42</v>
      </c>
      <c r="F46" s="64">
        <v>2.13</v>
      </c>
      <c r="G46" s="64">
        <v>86.66</v>
      </c>
      <c r="H46" s="64">
        <v>46.86</v>
      </c>
      <c r="I46" s="210" t="s">
        <v>43</v>
      </c>
      <c r="J46" s="64">
        <v>0.54</v>
      </c>
      <c r="K46" s="64">
        <v>87.23</v>
      </c>
      <c r="L46" s="64">
        <v>20.72</v>
      </c>
      <c r="M46" s="64">
        <v>39.6</v>
      </c>
      <c r="N46" s="64">
        <v>518.4</v>
      </c>
      <c r="O46" s="64">
        <v>0</v>
      </c>
      <c r="P46" s="64">
        <v>1.1599999999999999</v>
      </c>
      <c r="Q46" s="64">
        <v>8.2200000000000006</v>
      </c>
      <c r="R46" s="198"/>
      <c r="S46" s="198"/>
      <c r="T46" s="198"/>
      <c r="U46" s="198"/>
    </row>
    <row r="47" spans="1:21" s="12" customFormat="1" x14ac:dyDescent="0.25">
      <c r="A47" s="214" t="s">
        <v>2010</v>
      </c>
      <c r="B47" s="64">
        <v>52.41</v>
      </c>
      <c r="C47" s="64">
        <v>61.15</v>
      </c>
      <c r="D47" s="64">
        <v>72.599999999999994</v>
      </c>
      <c r="E47" s="64">
        <v>5.32</v>
      </c>
      <c r="F47" s="64">
        <v>2.13</v>
      </c>
      <c r="G47" s="64">
        <v>82.81</v>
      </c>
      <c r="H47" s="64">
        <v>40.159999999999997</v>
      </c>
      <c r="I47" s="210" t="s">
        <v>43</v>
      </c>
      <c r="J47" s="64">
        <v>0.98</v>
      </c>
      <c r="K47" s="64">
        <v>10.53</v>
      </c>
      <c r="L47" s="64">
        <v>22.7</v>
      </c>
      <c r="M47" s="64">
        <v>34.840000000000003</v>
      </c>
      <c r="N47" s="64">
        <v>570.29999999999995</v>
      </c>
      <c r="O47" s="64">
        <v>0</v>
      </c>
      <c r="P47" s="64">
        <v>1.1499999999999999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2011</v>
      </c>
      <c r="B48" s="64">
        <v>50.93</v>
      </c>
      <c r="C48" s="64">
        <v>62.63</v>
      </c>
      <c r="D48" s="64">
        <v>72.19</v>
      </c>
      <c r="E48" s="64">
        <v>5.8</v>
      </c>
      <c r="F48" s="64">
        <v>2.13</v>
      </c>
      <c r="G48" s="64">
        <v>81.16</v>
      </c>
      <c r="H48" s="64">
        <v>37.28</v>
      </c>
      <c r="I48" s="210" t="s">
        <v>43</v>
      </c>
      <c r="J48" s="64">
        <v>2.0699999999999998</v>
      </c>
      <c r="K48" s="64">
        <v>117</v>
      </c>
      <c r="L48" s="64">
        <v>20.82</v>
      </c>
      <c r="M48" s="64">
        <v>38.299999999999997</v>
      </c>
      <c r="N48" s="64">
        <v>613.20000000000005</v>
      </c>
      <c r="O48" s="64">
        <v>0</v>
      </c>
      <c r="P48" s="64">
        <v>1.1299999999999999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2012</v>
      </c>
      <c r="B49" s="64">
        <v>48.61</v>
      </c>
      <c r="C49" s="64">
        <v>63.07</v>
      </c>
      <c r="D49" s="64">
        <v>70.56</v>
      </c>
      <c r="E49" s="64">
        <v>5.72</v>
      </c>
      <c r="F49" s="64">
        <v>2.13</v>
      </c>
      <c r="G49" s="64">
        <v>81.16</v>
      </c>
      <c r="H49" s="64">
        <v>37.28</v>
      </c>
      <c r="I49" s="210" t="s">
        <v>43</v>
      </c>
      <c r="J49" s="64">
        <v>2.16</v>
      </c>
      <c r="K49" s="64">
        <v>121.69</v>
      </c>
      <c r="L49" s="64">
        <v>19.86</v>
      </c>
      <c r="M49" s="64">
        <v>40.56</v>
      </c>
      <c r="N49" s="64">
        <v>618.70000000000005</v>
      </c>
      <c r="O49" s="64">
        <v>0</v>
      </c>
      <c r="P49" s="64">
        <v>1.1000000000000001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2013</v>
      </c>
      <c r="B50" s="64">
        <v>46.2</v>
      </c>
      <c r="C50" s="64">
        <v>62.91</v>
      </c>
      <c r="D50" s="64">
        <v>68.540000000000006</v>
      </c>
      <c r="E50" s="64">
        <v>5.28</v>
      </c>
      <c r="F50" s="64">
        <v>2.13</v>
      </c>
      <c r="G50" s="64">
        <v>81.16</v>
      </c>
      <c r="H50" s="64">
        <v>37.28</v>
      </c>
      <c r="I50" s="210" t="s">
        <v>43</v>
      </c>
      <c r="J50" s="64">
        <v>2.2599999999999998</v>
      </c>
      <c r="K50" s="64">
        <v>116.1</v>
      </c>
      <c r="L50" s="64">
        <v>21.01</v>
      </c>
      <c r="M50" s="64">
        <v>37.950000000000003</v>
      </c>
      <c r="N50" s="64">
        <v>632.9</v>
      </c>
      <c r="O50" s="64">
        <v>0</v>
      </c>
      <c r="P50" s="64">
        <v>1.07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2014</v>
      </c>
      <c r="B51" s="64">
        <v>44.52</v>
      </c>
      <c r="C51" s="64">
        <v>63.94</v>
      </c>
      <c r="D51" s="64">
        <v>67.73</v>
      </c>
      <c r="E51" s="64">
        <v>4.7699999999999996</v>
      </c>
      <c r="F51" s="64">
        <v>2.13</v>
      </c>
      <c r="G51" s="64">
        <v>76.709999999999994</v>
      </c>
      <c r="H51" s="64">
        <v>36.03</v>
      </c>
      <c r="I51" s="210" t="s">
        <v>43</v>
      </c>
      <c r="J51" s="64">
        <v>2.91</v>
      </c>
      <c r="K51" s="64">
        <v>123.66</v>
      </c>
      <c r="L51" s="64">
        <v>20.52</v>
      </c>
      <c r="M51" s="64">
        <v>39.06</v>
      </c>
      <c r="N51" s="64">
        <v>651.79999999999995</v>
      </c>
      <c r="O51" s="64">
        <v>0</v>
      </c>
      <c r="P51" s="64">
        <v>1.04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2015</v>
      </c>
      <c r="B52" s="64">
        <v>43.14</v>
      </c>
      <c r="C52" s="64">
        <v>64.739999999999995</v>
      </c>
      <c r="D52" s="64">
        <v>67.040000000000006</v>
      </c>
      <c r="E52" s="64">
        <v>5.15</v>
      </c>
      <c r="F52" s="64">
        <v>2.13</v>
      </c>
      <c r="G52" s="64">
        <v>74.8</v>
      </c>
      <c r="H52" s="64">
        <v>35.47</v>
      </c>
      <c r="I52" s="210" t="s">
        <v>43</v>
      </c>
      <c r="J52" s="64">
        <v>2.37</v>
      </c>
      <c r="K52" s="64">
        <v>123.87</v>
      </c>
      <c r="L52" s="64">
        <v>21.35</v>
      </c>
      <c r="M52" s="64">
        <v>37.049999999999997</v>
      </c>
      <c r="N52" s="64">
        <v>663.3</v>
      </c>
      <c r="O52" s="64">
        <v>0</v>
      </c>
      <c r="P52" s="64">
        <v>1.01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2016</v>
      </c>
      <c r="B53" s="64">
        <v>41.86</v>
      </c>
      <c r="C53" s="64">
        <v>65.62</v>
      </c>
      <c r="D53" s="64">
        <v>66.48</v>
      </c>
      <c r="E53" s="64">
        <v>4.8899999999999997</v>
      </c>
      <c r="F53" s="64">
        <v>2.13</v>
      </c>
      <c r="G53" s="64">
        <v>74.8</v>
      </c>
      <c r="H53" s="64">
        <v>35.47</v>
      </c>
      <c r="I53" s="210" t="s">
        <v>43</v>
      </c>
      <c r="J53" s="64">
        <v>0.81</v>
      </c>
      <c r="K53" s="64">
        <v>82.63</v>
      </c>
      <c r="L53" s="64">
        <v>22.78</v>
      </c>
      <c r="M53" s="64">
        <v>33.86</v>
      </c>
      <c r="N53" s="64">
        <v>669</v>
      </c>
      <c r="O53" s="64">
        <v>0</v>
      </c>
      <c r="P53" s="64">
        <v>0.97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2017</v>
      </c>
      <c r="B54" s="64">
        <v>41.05</v>
      </c>
      <c r="C54" s="64">
        <v>66.959999999999994</v>
      </c>
      <c r="D54" s="64">
        <v>66.52</v>
      </c>
      <c r="E54" s="64">
        <v>5.57</v>
      </c>
      <c r="F54" s="64">
        <v>2.13</v>
      </c>
      <c r="G54" s="64">
        <v>74.8</v>
      </c>
      <c r="H54" s="64">
        <v>35.47</v>
      </c>
      <c r="I54" s="210" t="s">
        <v>43</v>
      </c>
      <c r="J54" s="64">
        <v>0.96</v>
      </c>
      <c r="K54" s="64">
        <v>10.25</v>
      </c>
      <c r="L54" s="64">
        <v>26.12</v>
      </c>
      <c r="M54" s="64">
        <v>28.17</v>
      </c>
      <c r="N54" s="64">
        <v>673.8</v>
      </c>
      <c r="O54" s="64">
        <v>0</v>
      </c>
      <c r="P54" s="64">
        <v>0.94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2018</v>
      </c>
      <c r="B55" s="64">
        <v>39.85</v>
      </c>
      <c r="C55" s="64">
        <v>67.790000000000006</v>
      </c>
      <c r="D55" s="64">
        <v>66</v>
      </c>
      <c r="E55" s="64">
        <v>5.04</v>
      </c>
      <c r="F55" s="64">
        <v>2.13</v>
      </c>
      <c r="G55" s="64">
        <v>77.53</v>
      </c>
      <c r="H55" s="64">
        <v>31.6</v>
      </c>
      <c r="I55" s="210" t="s">
        <v>43</v>
      </c>
      <c r="J55" s="64">
        <v>0.71</v>
      </c>
      <c r="K55" s="64">
        <v>342.55</v>
      </c>
      <c r="L55" s="64">
        <v>25.43</v>
      </c>
      <c r="M55" s="64">
        <v>27.98</v>
      </c>
      <c r="N55" s="64">
        <v>715.5</v>
      </c>
      <c r="O55" s="64">
        <v>0</v>
      </c>
      <c r="P55" s="64">
        <v>0.93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2019</v>
      </c>
      <c r="B56" s="64">
        <v>37.74</v>
      </c>
      <c r="C56" s="64">
        <v>68.64</v>
      </c>
      <c r="D56" s="64">
        <v>64.75</v>
      </c>
      <c r="E56" s="64">
        <v>5.15</v>
      </c>
      <c r="F56" s="64">
        <v>2.13</v>
      </c>
      <c r="G56" s="64">
        <v>78.7</v>
      </c>
      <c r="H56" s="64">
        <v>29.94</v>
      </c>
      <c r="I56" s="210" t="s">
        <v>43</v>
      </c>
      <c r="J56" s="64">
        <v>1.23</v>
      </c>
      <c r="K56" s="64">
        <v>324.33</v>
      </c>
      <c r="L56" s="64">
        <v>25.68</v>
      </c>
      <c r="M56" s="64">
        <v>26.29</v>
      </c>
      <c r="N56" s="64">
        <v>725.4</v>
      </c>
      <c r="O56" s="64">
        <v>0</v>
      </c>
      <c r="P56" s="64">
        <v>0.91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2020</v>
      </c>
      <c r="B57" s="64">
        <v>35.659999999999997</v>
      </c>
      <c r="C57" s="64">
        <v>67.88</v>
      </c>
      <c r="D57" s="64">
        <v>62.68</v>
      </c>
      <c r="E57" s="64">
        <v>5.64</v>
      </c>
      <c r="F57" s="64">
        <v>2.13</v>
      </c>
      <c r="G57" s="64">
        <v>78.7</v>
      </c>
      <c r="H57" s="64">
        <v>29.94</v>
      </c>
      <c r="I57" s="210" t="s">
        <v>43</v>
      </c>
      <c r="J57" s="64">
        <v>0.67</v>
      </c>
      <c r="K57" s="64">
        <v>333.82</v>
      </c>
      <c r="L57" s="64">
        <v>27.33</v>
      </c>
      <c r="M57" s="64">
        <v>23.97</v>
      </c>
      <c r="N57" s="64">
        <v>727.8</v>
      </c>
      <c r="O57" s="64">
        <v>0</v>
      </c>
      <c r="P57" s="64">
        <v>0.89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2021</v>
      </c>
      <c r="B58" s="64">
        <v>33.17</v>
      </c>
      <c r="C58" s="64">
        <v>69.16</v>
      </c>
      <c r="D58" s="64">
        <v>61.35</v>
      </c>
      <c r="E58" s="64">
        <v>5.13</v>
      </c>
      <c r="F58" s="64">
        <v>2.13</v>
      </c>
      <c r="G58" s="64">
        <v>78.7</v>
      </c>
      <c r="H58" s="64">
        <v>29.94</v>
      </c>
      <c r="I58" s="210" t="s">
        <v>43</v>
      </c>
      <c r="J58" s="64">
        <v>0.8</v>
      </c>
      <c r="K58" s="64">
        <v>332.95</v>
      </c>
      <c r="L58" s="64">
        <v>25.24</v>
      </c>
      <c r="M58" s="64">
        <v>27.46</v>
      </c>
      <c r="N58" s="64">
        <v>719.1</v>
      </c>
      <c r="O58" s="64">
        <v>0</v>
      </c>
      <c r="P58" s="64">
        <v>0.88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2022</v>
      </c>
      <c r="B59" s="64">
        <v>29.94</v>
      </c>
      <c r="C59" s="64">
        <v>71.42</v>
      </c>
      <c r="D59" s="64">
        <v>59.95</v>
      </c>
      <c r="E59" s="64">
        <v>5.1100000000000003</v>
      </c>
      <c r="F59" s="64">
        <v>2.13</v>
      </c>
      <c r="G59" s="64">
        <v>64.52</v>
      </c>
      <c r="H59" s="64">
        <v>29.17</v>
      </c>
      <c r="I59" s="210" t="s">
        <v>43</v>
      </c>
      <c r="J59" s="64">
        <v>0.8</v>
      </c>
      <c r="K59" s="64">
        <v>247.1</v>
      </c>
      <c r="L59" s="64">
        <v>25.62</v>
      </c>
      <c r="M59" s="64">
        <v>26.06</v>
      </c>
      <c r="N59" s="64">
        <v>704.9</v>
      </c>
      <c r="O59" s="64">
        <v>0</v>
      </c>
      <c r="P59" s="64">
        <v>0.86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2023</v>
      </c>
      <c r="B60" s="64">
        <v>26.61</v>
      </c>
      <c r="C60" s="64">
        <v>72.59</v>
      </c>
      <c r="D60" s="64">
        <v>57.89</v>
      </c>
      <c r="E60" s="64">
        <v>5.08</v>
      </c>
      <c r="F60" s="64">
        <v>2.13</v>
      </c>
      <c r="G60" s="64">
        <v>58.44</v>
      </c>
      <c r="H60" s="64">
        <v>28.84</v>
      </c>
      <c r="I60" s="210" t="s">
        <v>43</v>
      </c>
      <c r="J60" s="64">
        <v>0.91</v>
      </c>
      <c r="K60" s="64">
        <v>3.06</v>
      </c>
      <c r="L60" s="64">
        <v>25.37</v>
      </c>
      <c r="M60" s="64">
        <v>25.74</v>
      </c>
      <c r="N60" s="64">
        <v>690.1</v>
      </c>
      <c r="O60" s="64">
        <v>0</v>
      </c>
      <c r="P60" s="64">
        <v>0.83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2024</v>
      </c>
      <c r="B61" s="64">
        <v>24.07</v>
      </c>
      <c r="C61" s="64">
        <v>73.819999999999993</v>
      </c>
      <c r="D61" s="64">
        <v>56.49</v>
      </c>
      <c r="E61" s="64">
        <v>5.22</v>
      </c>
      <c r="F61" s="64">
        <v>2.13</v>
      </c>
      <c r="G61" s="64">
        <v>58.44</v>
      </c>
      <c r="H61" s="64">
        <v>28.84</v>
      </c>
      <c r="I61" s="210" t="s">
        <v>43</v>
      </c>
      <c r="J61" s="64">
        <v>1.68</v>
      </c>
      <c r="K61" s="64">
        <v>310.66000000000003</v>
      </c>
      <c r="L61" s="64">
        <v>27.26</v>
      </c>
      <c r="M61" s="64">
        <v>23.2</v>
      </c>
      <c r="N61" s="64">
        <v>649.79999999999995</v>
      </c>
      <c r="O61" s="64">
        <v>0</v>
      </c>
      <c r="P61" s="64">
        <v>0.86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2025</v>
      </c>
      <c r="B62" s="64">
        <v>21.52</v>
      </c>
      <c r="C62" s="64">
        <v>74.73</v>
      </c>
      <c r="D62" s="64">
        <v>54.92</v>
      </c>
      <c r="E62" s="64">
        <v>5.45</v>
      </c>
      <c r="F62" s="64">
        <v>2.13</v>
      </c>
      <c r="G62" s="64">
        <v>58.44</v>
      </c>
      <c r="H62" s="64">
        <v>28.84</v>
      </c>
      <c r="I62" s="210" t="s">
        <v>43</v>
      </c>
      <c r="J62" s="64">
        <v>0.37</v>
      </c>
      <c r="K62" s="64">
        <v>230.52</v>
      </c>
      <c r="L62" s="64">
        <v>25.6</v>
      </c>
      <c r="M62" s="64">
        <v>25.3</v>
      </c>
      <c r="N62" s="64">
        <v>610.20000000000005</v>
      </c>
      <c r="O62" s="64">
        <v>0</v>
      </c>
      <c r="P62" s="64">
        <v>0.88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2026</v>
      </c>
      <c r="B63" s="64">
        <v>19.010000000000002</v>
      </c>
      <c r="C63" s="64">
        <v>75.36</v>
      </c>
      <c r="D63" s="64">
        <v>53.24</v>
      </c>
      <c r="E63" s="64">
        <v>5.44</v>
      </c>
      <c r="F63" s="64">
        <v>2.13</v>
      </c>
      <c r="G63" s="64">
        <v>65.94</v>
      </c>
      <c r="H63" s="64">
        <v>28.46</v>
      </c>
      <c r="I63" s="210" t="s">
        <v>43</v>
      </c>
      <c r="J63" s="64">
        <v>0.75</v>
      </c>
      <c r="K63" s="64">
        <v>48.38</v>
      </c>
      <c r="L63" s="64">
        <v>25.36</v>
      </c>
      <c r="M63" s="64">
        <v>25.69</v>
      </c>
      <c r="N63" s="64">
        <v>585.9</v>
      </c>
      <c r="O63" s="64">
        <v>0</v>
      </c>
      <c r="P63" s="64">
        <v>0.86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2027</v>
      </c>
      <c r="B64" s="64">
        <v>16.78</v>
      </c>
      <c r="C64" s="64">
        <v>75.28</v>
      </c>
      <c r="D64" s="64">
        <v>51.41</v>
      </c>
      <c r="E64" s="64">
        <v>5.37</v>
      </c>
      <c r="F64" s="64">
        <v>2.13</v>
      </c>
      <c r="G64" s="64">
        <v>69.16</v>
      </c>
      <c r="H64" s="64">
        <v>28.29</v>
      </c>
      <c r="I64" s="210" t="s">
        <v>43</v>
      </c>
      <c r="J64" s="64">
        <v>1.29</v>
      </c>
      <c r="K64" s="64">
        <v>146.83000000000001</v>
      </c>
      <c r="L64" s="64">
        <v>23.6</v>
      </c>
      <c r="M64" s="64">
        <v>28.23</v>
      </c>
      <c r="N64" s="64">
        <v>547.29999999999995</v>
      </c>
      <c r="O64" s="64">
        <v>0</v>
      </c>
      <c r="P64" s="64">
        <v>0.85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2028</v>
      </c>
      <c r="B65" s="64">
        <v>14.55</v>
      </c>
      <c r="C65" s="64">
        <v>75.31</v>
      </c>
      <c r="D65" s="64">
        <v>49.64</v>
      </c>
      <c r="E65" s="64">
        <v>5.7</v>
      </c>
      <c r="F65" s="64">
        <v>2.13</v>
      </c>
      <c r="G65" s="64">
        <v>69.16</v>
      </c>
      <c r="H65" s="64">
        <v>28.29</v>
      </c>
      <c r="I65" s="210" t="s">
        <v>43</v>
      </c>
      <c r="J65" s="64">
        <v>0.34</v>
      </c>
      <c r="K65" s="64">
        <v>116.81</v>
      </c>
      <c r="L65" s="64">
        <v>24.05</v>
      </c>
      <c r="M65" s="64">
        <v>27.43</v>
      </c>
      <c r="N65" s="64">
        <v>445.9</v>
      </c>
      <c r="O65" s="64">
        <v>0</v>
      </c>
      <c r="P65" s="64">
        <v>0.83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2029</v>
      </c>
      <c r="B66" s="64">
        <v>13.08</v>
      </c>
      <c r="C66" s="64">
        <v>74.84</v>
      </c>
      <c r="D66" s="64">
        <v>48.21</v>
      </c>
      <c r="E66" s="64">
        <v>5.09</v>
      </c>
      <c r="F66" s="64">
        <v>2.13</v>
      </c>
      <c r="G66" s="64">
        <v>69.16</v>
      </c>
      <c r="H66" s="64">
        <v>28.29</v>
      </c>
      <c r="I66" s="210" t="s">
        <v>43</v>
      </c>
      <c r="J66" s="64">
        <v>1.1200000000000001</v>
      </c>
      <c r="K66" s="64">
        <v>97.09</v>
      </c>
      <c r="L66" s="64">
        <v>23.89</v>
      </c>
      <c r="M66" s="64">
        <v>27.66</v>
      </c>
      <c r="N66" s="64">
        <v>222.5</v>
      </c>
      <c r="O66" s="64">
        <v>0</v>
      </c>
      <c r="P66" s="64">
        <v>0.82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2030</v>
      </c>
      <c r="B67" s="64">
        <v>12.42</v>
      </c>
      <c r="C67" s="64">
        <v>73.75</v>
      </c>
      <c r="D67" s="64">
        <v>47.12</v>
      </c>
      <c r="E67" s="64">
        <v>4.74</v>
      </c>
      <c r="F67" s="64">
        <v>2.13</v>
      </c>
      <c r="G67" s="64">
        <v>75.930000000000007</v>
      </c>
      <c r="H67" s="64">
        <v>29.18</v>
      </c>
      <c r="I67" s="210" t="s">
        <v>43</v>
      </c>
      <c r="J67" s="64">
        <v>1.59</v>
      </c>
      <c r="K67" s="64">
        <v>316.14999999999998</v>
      </c>
      <c r="L67" s="64">
        <v>24.04</v>
      </c>
      <c r="M67" s="64">
        <v>27.75</v>
      </c>
      <c r="N67" s="64">
        <v>183.8</v>
      </c>
      <c r="O67" s="64">
        <v>0</v>
      </c>
      <c r="P67" s="64">
        <v>0.8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2031</v>
      </c>
      <c r="B68" s="64">
        <v>12.29</v>
      </c>
      <c r="C68" s="64">
        <v>73.09</v>
      </c>
      <c r="D68" s="64">
        <v>46.66</v>
      </c>
      <c r="E68" s="64">
        <v>4.92</v>
      </c>
      <c r="F68" s="64">
        <v>2.13</v>
      </c>
      <c r="G68" s="64">
        <v>78.84</v>
      </c>
      <c r="H68" s="64">
        <v>29.55</v>
      </c>
      <c r="I68" s="210" t="s">
        <v>43</v>
      </c>
      <c r="J68" s="64">
        <v>1.52</v>
      </c>
      <c r="K68" s="64">
        <v>326.89</v>
      </c>
      <c r="L68" s="64">
        <v>24.74</v>
      </c>
      <c r="M68" s="64">
        <v>26.22</v>
      </c>
      <c r="N68" s="64">
        <v>231.2</v>
      </c>
      <c r="O68" s="64">
        <v>0</v>
      </c>
      <c r="P68" s="64">
        <v>0.8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2032</v>
      </c>
      <c r="B69" s="64">
        <v>12.26</v>
      </c>
      <c r="C69" s="64">
        <v>72.38</v>
      </c>
      <c r="D69" s="64">
        <v>46.27</v>
      </c>
      <c r="E69" s="64">
        <v>4.84</v>
      </c>
      <c r="F69" s="64">
        <v>2.13</v>
      </c>
      <c r="G69" s="64">
        <v>78.84</v>
      </c>
      <c r="H69" s="64">
        <v>29.55</v>
      </c>
      <c r="I69" s="210" t="s">
        <v>43</v>
      </c>
      <c r="J69" s="64">
        <v>1.93</v>
      </c>
      <c r="K69" s="64">
        <v>333.76</v>
      </c>
      <c r="L69" s="64">
        <v>24.66</v>
      </c>
      <c r="M69" s="64">
        <v>26.49</v>
      </c>
      <c r="N69" s="64">
        <v>173</v>
      </c>
      <c r="O69" s="64">
        <v>0</v>
      </c>
      <c r="P69" s="64">
        <v>0.79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2033</v>
      </c>
      <c r="B70" s="64">
        <v>12.43</v>
      </c>
      <c r="C70" s="64">
        <v>71.69</v>
      </c>
      <c r="D70" s="64">
        <v>46.05</v>
      </c>
      <c r="E70" s="64">
        <v>4.7300000000000004</v>
      </c>
      <c r="F70" s="64">
        <v>2.13</v>
      </c>
      <c r="G70" s="64">
        <v>78.84</v>
      </c>
      <c r="H70" s="64">
        <v>29.55</v>
      </c>
      <c r="I70" s="210" t="s">
        <v>43</v>
      </c>
      <c r="J70" s="64">
        <v>1.19</v>
      </c>
      <c r="K70" s="64">
        <v>109.89</v>
      </c>
      <c r="L70" s="64">
        <v>24.07</v>
      </c>
      <c r="M70" s="64">
        <v>26.73</v>
      </c>
      <c r="N70" s="64">
        <v>153.9</v>
      </c>
      <c r="O70" s="64">
        <v>0</v>
      </c>
      <c r="P70" s="64">
        <v>0.77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2034</v>
      </c>
      <c r="B71" s="64">
        <v>12.39</v>
      </c>
      <c r="C71" s="64">
        <v>70.989999999999995</v>
      </c>
      <c r="D71" s="64">
        <v>45.65</v>
      </c>
      <c r="E71" s="64">
        <v>4.9800000000000004</v>
      </c>
      <c r="F71" s="64">
        <v>2.13</v>
      </c>
      <c r="G71" s="64">
        <v>82.82</v>
      </c>
      <c r="H71" s="64">
        <v>29.33</v>
      </c>
      <c r="I71" s="210" t="s">
        <v>43</v>
      </c>
      <c r="J71" s="64">
        <v>2.2000000000000002</v>
      </c>
      <c r="K71" s="64">
        <v>331.72</v>
      </c>
      <c r="L71" s="64">
        <v>23.78</v>
      </c>
      <c r="M71" s="64">
        <v>26.44</v>
      </c>
      <c r="N71" s="64">
        <v>143.1</v>
      </c>
      <c r="O71" s="64">
        <v>0</v>
      </c>
      <c r="P71" s="64">
        <v>0.81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2035</v>
      </c>
      <c r="B72" s="64">
        <v>12.21</v>
      </c>
      <c r="C72" s="64">
        <v>70.78</v>
      </c>
      <c r="D72" s="64">
        <v>45.4</v>
      </c>
      <c r="E72" s="64">
        <v>6.29</v>
      </c>
      <c r="F72" s="64">
        <v>2.13</v>
      </c>
      <c r="G72" s="64">
        <v>84.53</v>
      </c>
      <c r="H72" s="64">
        <v>29.23</v>
      </c>
      <c r="I72" s="210" t="s">
        <v>43</v>
      </c>
      <c r="J72" s="64">
        <v>2.86</v>
      </c>
      <c r="K72" s="64">
        <v>344.4</v>
      </c>
      <c r="L72" s="64">
        <v>23.7</v>
      </c>
      <c r="M72" s="64">
        <v>25.54</v>
      </c>
      <c r="N72" s="64">
        <v>134.1</v>
      </c>
      <c r="O72" s="64">
        <v>0</v>
      </c>
      <c r="P72" s="64">
        <v>0.78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2036</v>
      </c>
      <c r="B73" s="64">
        <v>11.97</v>
      </c>
      <c r="C73" s="64">
        <v>71.150000000000006</v>
      </c>
      <c r="D73" s="64">
        <v>45.4</v>
      </c>
      <c r="E73" s="64">
        <v>6.59</v>
      </c>
      <c r="F73" s="64">
        <v>2.13</v>
      </c>
      <c r="G73" s="64">
        <v>84.53</v>
      </c>
      <c r="H73" s="64">
        <v>29.23</v>
      </c>
      <c r="I73" s="210" t="s">
        <v>43</v>
      </c>
      <c r="J73" s="64">
        <v>2.72</v>
      </c>
      <c r="K73" s="64">
        <v>346.52</v>
      </c>
      <c r="L73" s="64">
        <v>23.36</v>
      </c>
      <c r="M73" s="64">
        <v>25.08</v>
      </c>
      <c r="N73" s="64">
        <v>126.3</v>
      </c>
      <c r="O73" s="64">
        <v>0</v>
      </c>
      <c r="P73" s="64">
        <v>0.78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2037</v>
      </c>
      <c r="B74" s="64">
        <v>11.99</v>
      </c>
      <c r="C74" s="64">
        <v>71.98</v>
      </c>
      <c r="D74" s="64">
        <v>45.85</v>
      </c>
      <c r="E74" s="64">
        <v>6.62</v>
      </c>
      <c r="F74" s="64">
        <v>2.13</v>
      </c>
      <c r="G74" s="64">
        <v>84.53</v>
      </c>
      <c r="H74" s="64">
        <v>29.23</v>
      </c>
      <c r="I74" s="210" t="s">
        <v>43</v>
      </c>
      <c r="J74" s="64">
        <v>2.77</v>
      </c>
      <c r="K74" s="64">
        <v>346.04</v>
      </c>
      <c r="L74" s="64">
        <v>22.99</v>
      </c>
      <c r="M74" s="64">
        <v>25.75</v>
      </c>
      <c r="N74" s="64">
        <v>118.7</v>
      </c>
      <c r="O74" s="64">
        <v>0</v>
      </c>
      <c r="P74" s="64">
        <v>0.8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2038</v>
      </c>
      <c r="B75" s="64">
        <v>12.59</v>
      </c>
      <c r="C75" s="64">
        <v>72.64</v>
      </c>
      <c r="D75" s="64">
        <v>46.67</v>
      </c>
      <c r="E75" s="64">
        <v>6.67</v>
      </c>
      <c r="F75" s="64">
        <v>2.13</v>
      </c>
      <c r="G75" s="64">
        <v>90.17</v>
      </c>
      <c r="H75" s="64">
        <v>29.36</v>
      </c>
      <c r="I75" s="210" t="s">
        <v>43</v>
      </c>
      <c r="J75" s="64">
        <v>2.4900000000000002</v>
      </c>
      <c r="K75" s="64">
        <v>351.18</v>
      </c>
      <c r="L75" s="64">
        <v>22.58</v>
      </c>
      <c r="M75" s="64">
        <v>25.67</v>
      </c>
      <c r="N75" s="64">
        <v>111.9</v>
      </c>
      <c r="O75" s="64">
        <v>0</v>
      </c>
      <c r="P75" s="64">
        <v>0.8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2039</v>
      </c>
      <c r="B76" s="64">
        <v>12.75</v>
      </c>
      <c r="C76" s="64">
        <v>72.760000000000005</v>
      </c>
      <c r="D76" s="64">
        <v>46.86</v>
      </c>
      <c r="E76" s="64">
        <v>6.52</v>
      </c>
      <c r="F76" s="64">
        <v>2.13</v>
      </c>
      <c r="G76" s="64">
        <v>92.59</v>
      </c>
      <c r="H76" s="64">
        <v>29.41</v>
      </c>
      <c r="I76" s="210" t="s">
        <v>43</v>
      </c>
      <c r="J76" s="64">
        <v>2.57</v>
      </c>
      <c r="K76" s="64">
        <v>351.09</v>
      </c>
      <c r="L76" s="64">
        <v>22.14</v>
      </c>
      <c r="M76" s="64">
        <v>24.88</v>
      </c>
      <c r="N76" s="64">
        <v>105.3</v>
      </c>
      <c r="O76" s="64">
        <v>0</v>
      </c>
      <c r="P76" s="64">
        <v>0.81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2040</v>
      </c>
      <c r="B77" s="64">
        <v>12.97</v>
      </c>
      <c r="C77" s="64">
        <v>72.63</v>
      </c>
      <c r="D77" s="64">
        <v>46.97</v>
      </c>
      <c r="E77" s="64">
        <v>5.94</v>
      </c>
      <c r="F77" s="64">
        <v>2.13</v>
      </c>
      <c r="G77" s="64">
        <v>92.59</v>
      </c>
      <c r="H77" s="64">
        <v>29.41</v>
      </c>
      <c r="I77" s="210" t="s">
        <v>43</v>
      </c>
      <c r="J77" s="64">
        <v>2.0499999999999998</v>
      </c>
      <c r="K77" s="64">
        <v>353.83</v>
      </c>
      <c r="L77" s="64">
        <v>21.59</v>
      </c>
      <c r="M77" s="64">
        <v>24.85</v>
      </c>
      <c r="N77" s="64">
        <v>98.1</v>
      </c>
      <c r="O77" s="64">
        <v>0</v>
      </c>
      <c r="P77" s="64">
        <v>0.82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2041</v>
      </c>
      <c r="B78" s="64">
        <v>14.05</v>
      </c>
      <c r="C78" s="64">
        <v>72.739999999999995</v>
      </c>
      <c r="D78" s="64">
        <v>47.89</v>
      </c>
      <c r="E78" s="64">
        <v>6.18</v>
      </c>
      <c r="F78" s="64">
        <v>2.13</v>
      </c>
      <c r="G78" s="64">
        <v>92.59</v>
      </c>
      <c r="H78" s="64">
        <v>29.41</v>
      </c>
      <c r="I78" s="210" t="s">
        <v>43</v>
      </c>
      <c r="J78" s="64">
        <v>1.99</v>
      </c>
      <c r="K78" s="64">
        <v>356.12</v>
      </c>
      <c r="L78" s="64">
        <v>20.85</v>
      </c>
      <c r="M78" s="64">
        <v>25.56</v>
      </c>
      <c r="N78" s="64">
        <v>90.5</v>
      </c>
      <c r="O78" s="64">
        <v>0</v>
      </c>
      <c r="P78" s="64">
        <v>0.83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2042</v>
      </c>
      <c r="B79" s="64">
        <v>15.07</v>
      </c>
      <c r="C79" s="64">
        <v>72.86</v>
      </c>
      <c r="D79" s="64">
        <v>48.77</v>
      </c>
      <c r="E79" s="64">
        <v>6</v>
      </c>
      <c r="F79" s="64">
        <v>2.13</v>
      </c>
      <c r="G79" s="64">
        <v>92.22</v>
      </c>
      <c r="H79" s="64">
        <v>28.41</v>
      </c>
      <c r="I79" s="210" t="s">
        <v>43</v>
      </c>
      <c r="J79" s="64">
        <v>1.74</v>
      </c>
      <c r="K79" s="64">
        <v>18.87</v>
      </c>
      <c r="L79" s="64">
        <v>19.97</v>
      </c>
      <c r="M79" s="64">
        <v>28.55</v>
      </c>
      <c r="N79" s="64">
        <v>84.4</v>
      </c>
      <c r="O79" s="64">
        <v>0</v>
      </c>
      <c r="P79" s="64">
        <v>0.89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2043</v>
      </c>
      <c r="B80" s="64">
        <v>17.46</v>
      </c>
      <c r="C80" s="64">
        <v>73.28</v>
      </c>
      <c r="D80" s="64">
        <v>50.91</v>
      </c>
      <c r="E80" s="64">
        <v>6.15</v>
      </c>
      <c r="F80" s="64">
        <v>2.13</v>
      </c>
      <c r="G80" s="64">
        <v>92.06</v>
      </c>
      <c r="H80" s="64">
        <v>27.98</v>
      </c>
      <c r="I80" s="210" t="s">
        <v>43</v>
      </c>
      <c r="J80" s="64">
        <v>1.58</v>
      </c>
      <c r="K80" s="64">
        <v>50.16</v>
      </c>
      <c r="L80" s="64">
        <v>18.91</v>
      </c>
      <c r="M80" s="64">
        <v>36.85</v>
      </c>
      <c r="N80" s="64">
        <v>81.8</v>
      </c>
      <c r="O80" s="64">
        <v>0</v>
      </c>
      <c r="P80" s="64">
        <v>0.92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2044</v>
      </c>
      <c r="B81" s="64">
        <v>20.04</v>
      </c>
      <c r="C81" s="64">
        <v>73.64</v>
      </c>
      <c r="D81" s="64">
        <v>53.16</v>
      </c>
      <c r="E81" s="64">
        <v>6.22</v>
      </c>
      <c r="F81" s="64">
        <v>2.13</v>
      </c>
      <c r="G81" s="64">
        <v>92.06</v>
      </c>
      <c r="H81" s="64">
        <v>27.98</v>
      </c>
      <c r="I81" s="210" t="s">
        <v>43</v>
      </c>
      <c r="J81" s="64">
        <v>1.7</v>
      </c>
      <c r="K81" s="64">
        <v>102.19</v>
      </c>
      <c r="L81" s="64">
        <v>18.53</v>
      </c>
      <c r="M81" s="64">
        <v>34.17</v>
      </c>
      <c r="N81" s="64">
        <v>81</v>
      </c>
      <c r="O81" s="64">
        <v>0</v>
      </c>
      <c r="P81" s="64">
        <v>0.92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2045</v>
      </c>
      <c r="B82" s="64">
        <v>21.26</v>
      </c>
      <c r="C82" s="64">
        <v>73.95</v>
      </c>
      <c r="D82" s="64">
        <v>54.3</v>
      </c>
      <c r="E82" s="64">
        <v>6.02</v>
      </c>
      <c r="F82" s="64">
        <v>2.13</v>
      </c>
      <c r="G82" s="64">
        <v>92.06</v>
      </c>
      <c r="H82" s="64">
        <v>27.98</v>
      </c>
      <c r="I82" s="210" t="s">
        <v>43</v>
      </c>
      <c r="J82" s="64">
        <v>1.64</v>
      </c>
      <c r="K82" s="64">
        <v>35.520000000000003</v>
      </c>
      <c r="L82" s="64">
        <v>17.84</v>
      </c>
      <c r="M82" s="64">
        <v>38.340000000000003</v>
      </c>
      <c r="N82" s="64">
        <v>81.3</v>
      </c>
      <c r="O82" s="64">
        <v>0</v>
      </c>
      <c r="P82" s="64">
        <v>1.01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2046</v>
      </c>
      <c r="B83" s="64">
        <v>23.57</v>
      </c>
      <c r="C83" s="64">
        <v>73.150000000000006</v>
      </c>
      <c r="D83" s="64">
        <v>55.75</v>
      </c>
      <c r="E83" s="64">
        <v>5.77</v>
      </c>
      <c r="F83" s="64">
        <v>2.13</v>
      </c>
      <c r="G83" s="64">
        <v>94.45</v>
      </c>
      <c r="H83" s="64">
        <v>27.79</v>
      </c>
      <c r="I83" s="210" t="s">
        <v>43</v>
      </c>
      <c r="J83" s="64">
        <v>1.76</v>
      </c>
      <c r="K83" s="64">
        <v>336.44</v>
      </c>
      <c r="L83" s="64">
        <v>16.77</v>
      </c>
      <c r="M83" s="64">
        <v>47.55</v>
      </c>
      <c r="N83" s="64">
        <v>81.3</v>
      </c>
      <c r="O83" s="64">
        <v>0</v>
      </c>
      <c r="P83" s="64">
        <v>1.52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2047</v>
      </c>
      <c r="B84" s="64">
        <v>27.4</v>
      </c>
      <c r="C84" s="64">
        <v>72.760000000000005</v>
      </c>
      <c r="D84" s="64">
        <v>58.61</v>
      </c>
      <c r="E84" s="64">
        <v>5.87</v>
      </c>
      <c r="F84" s="64">
        <v>2.13</v>
      </c>
      <c r="G84" s="64">
        <v>95.48</v>
      </c>
      <c r="H84" s="64">
        <v>27.71</v>
      </c>
      <c r="I84" s="210" t="s">
        <v>43</v>
      </c>
      <c r="J84" s="64">
        <v>1.28</v>
      </c>
      <c r="K84" s="64">
        <v>128.80000000000001</v>
      </c>
      <c r="L84" s="64">
        <v>16.02</v>
      </c>
      <c r="M84" s="64">
        <v>48.75</v>
      </c>
      <c r="N84" s="64">
        <v>80.900000000000006</v>
      </c>
      <c r="O84" s="64">
        <v>0</v>
      </c>
      <c r="P84" s="64">
        <v>1.31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2048</v>
      </c>
      <c r="B85" s="64">
        <v>32.630000000000003</v>
      </c>
      <c r="C85" s="64">
        <v>72.98</v>
      </c>
      <c r="D85" s="64">
        <v>62.91</v>
      </c>
      <c r="E85" s="64">
        <v>6.14</v>
      </c>
      <c r="F85" s="64">
        <v>2.13</v>
      </c>
      <c r="G85" s="64">
        <v>95.48</v>
      </c>
      <c r="H85" s="64">
        <v>27.71</v>
      </c>
      <c r="I85" s="210" t="s">
        <v>43</v>
      </c>
      <c r="J85" s="64">
        <v>1.1399999999999999</v>
      </c>
      <c r="K85" s="64">
        <v>286.56</v>
      </c>
      <c r="L85" s="64">
        <v>15.63</v>
      </c>
      <c r="M85" s="64">
        <v>52.95</v>
      </c>
      <c r="N85" s="64">
        <v>81.099999999999994</v>
      </c>
      <c r="O85" s="64">
        <v>0</v>
      </c>
      <c r="P85" s="64">
        <v>1.39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2049</v>
      </c>
      <c r="B86" s="64">
        <v>40.18</v>
      </c>
      <c r="C86" s="64">
        <v>73.010000000000005</v>
      </c>
      <c r="D86" s="64">
        <v>68.989999999999995</v>
      </c>
      <c r="E86" s="64">
        <v>6.45</v>
      </c>
      <c r="F86" s="64">
        <v>2.13</v>
      </c>
      <c r="G86" s="64">
        <v>95.48</v>
      </c>
      <c r="H86" s="64">
        <v>27.71</v>
      </c>
      <c r="I86" s="210" t="s">
        <v>43</v>
      </c>
      <c r="J86" s="64">
        <v>1.76</v>
      </c>
      <c r="K86" s="64">
        <v>219.98</v>
      </c>
      <c r="L86" s="64">
        <v>15.11</v>
      </c>
      <c r="M86" s="64">
        <v>52.2</v>
      </c>
      <c r="N86" s="64">
        <v>81</v>
      </c>
      <c r="O86" s="64">
        <v>0</v>
      </c>
      <c r="P86" s="64">
        <v>1.43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2050</v>
      </c>
      <c r="B87" s="64">
        <v>46.04</v>
      </c>
      <c r="C87" s="64">
        <v>73.25</v>
      </c>
      <c r="D87" s="64">
        <v>73.81</v>
      </c>
      <c r="E87" s="64">
        <v>6.25</v>
      </c>
      <c r="F87" s="64">
        <v>2.13</v>
      </c>
      <c r="G87" s="64">
        <v>120.5</v>
      </c>
      <c r="H87" s="64">
        <v>30.06</v>
      </c>
      <c r="I87" s="210" t="s">
        <v>43</v>
      </c>
      <c r="J87" s="64">
        <v>1.36</v>
      </c>
      <c r="K87" s="64">
        <v>266.36</v>
      </c>
      <c r="L87" s="64">
        <v>14.87</v>
      </c>
      <c r="M87" s="64">
        <v>54.34</v>
      </c>
      <c r="N87" s="64">
        <v>80.900000000000006</v>
      </c>
      <c r="O87" s="64">
        <v>0</v>
      </c>
      <c r="P87" s="64">
        <v>1.46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2051</v>
      </c>
      <c r="B88" s="64">
        <v>55.47</v>
      </c>
      <c r="C88" s="64">
        <v>73.02</v>
      </c>
      <c r="D88" s="64">
        <v>81.260000000000005</v>
      </c>
      <c r="E88" s="64">
        <v>6.42</v>
      </c>
      <c r="F88" s="64">
        <v>2.13</v>
      </c>
      <c r="G88" s="64">
        <v>131.22</v>
      </c>
      <c r="H88" s="64">
        <v>31.06</v>
      </c>
      <c r="I88" s="210" t="s">
        <v>43</v>
      </c>
      <c r="J88" s="64">
        <v>0.88</v>
      </c>
      <c r="K88" s="64">
        <v>157.46</v>
      </c>
      <c r="L88" s="64">
        <v>14.53</v>
      </c>
      <c r="M88" s="64">
        <v>57.31</v>
      </c>
      <c r="N88" s="64">
        <v>80.900000000000006</v>
      </c>
      <c r="O88" s="64">
        <v>0</v>
      </c>
      <c r="P88" s="64">
        <v>1.47</v>
      </c>
      <c r="Q88" s="64">
        <v>8.25</v>
      </c>
      <c r="R88" s="198"/>
      <c r="S88" s="198"/>
      <c r="T88" s="198"/>
      <c r="U88" s="198"/>
    </row>
    <row r="89" spans="1:26" s="12" customFormat="1" x14ac:dyDescent="0.25">
      <c r="A89" s="214" t="s">
        <v>2052</v>
      </c>
      <c r="B89" s="64">
        <v>66.209999999999994</v>
      </c>
      <c r="C89" s="64">
        <v>73.27</v>
      </c>
      <c r="D89" s="64">
        <v>90</v>
      </c>
      <c r="E89" s="64">
        <v>6.96</v>
      </c>
      <c r="F89" s="64">
        <v>2.13</v>
      </c>
      <c r="G89" s="64">
        <v>131.22</v>
      </c>
      <c r="H89" s="64">
        <v>31.06</v>
      </c>
      <c r="I89" s="210" t="s">
        <v>43</v>
      </c>
      <c r="J89" s="64">
        <v>1.54</v>
      </c>
      <c r="K89" s="64">
        <v>315.08</v>
      </c>
      <c r="L89" s="64">
        <v>14.19</v>
      </c>
      <c r="M89" s="64">
        <v>58.73</v>
      </c>
      <c r="N89" s="64">
        <v>80.900000000000006</v>
      </c>
      <c r="O89" s="64">
        <v>0</v>
      </c>
      <c r="P89" s="64">
        <v>1.64</v>
      </c>
      <c r="Q89" s="64">
        <v>8.7100000000000009</v>
      </c>
      <c r="R89" s="198"/>
      <c r="S89" s="198"/>
      <c r="T89" s="198"/>
      <c r="U89" s="198"/>
    </row>
    <row r="90" spans="1:26" s="12" customFormat="1" x14ac:dyDescent="0.25">
      <c r="A90" s="214" t="s">
        <v>2053</v>
      </c>
      <c r="B90" s="64">
        <v>74.72</v>
      </c>
      <c r="C90" s="64">
        <v>73.67</v>
      </c>
      <c r="D90" s="64">
        <v>97.03</v>
      </c>
      <c r="E90" s="64">
        <v>7.4</v>
      </c>
      <c r="F90" s="64">
        <v>2.13</v>
      </c>
      <c r="G90" s="64">
        <v>131.22</v>
      </c>
      <c r="H90" s="64">
        <v>31.06</v>
      </c>
      <c r="I90" s="210" t="s">
        <v>43</v>
      </c>
      <c r="J90" s="64">
        <v>1.74</v>
      </c>
      <c r="K90" s="64">
        <v>299.22000000000003</v>
      </c>
      <c r="L90" s="64">
        <v>14.11</v>
      </c>
      <c r="M90" s="64">
        <v>62.76</v>
      </c>
      <c r="N90" s="64">
        <v>80.8</v>
      </c>
      <c r="O90" s="64">
        <v>0</v>
      </c>
      <c r="P90" s="64">
        <v>1.4</v>
      </c>
      <c r="Q90" s="64">
        <v>9.26</v>
      </c>
      <c r="R90" s="198"/>
      <c r="S90" s="198"/>
      <c r="T90" s="198"/>
      <c r="U90" s="198"/>
    </row>
    <row r="91" spans="1:26" s="12" customFormat="1" x14ac:dyDescent="0.25">
      <c r="A91" s="214" t="s">
        <v>2054</v>
      </c>
      <c r="B91" s="64">
        <v>84.3</v>
      </c>
      <c r="C91" s="64">
        <v>73.59</v>
      </c>
      <c r="D91" s="64">
        <v>104.68</v>
      </c>
      <c r="E91" s="64">
        <v>8.01</v>
      </c>
      <c r="F91" s="64">
        <v>2.13</v>
      </c>
      <c r="G91" s="64">
        <v>155.84</v>
      </c>
      <c r="H91" s="64">
        <v>37.450000000000003</v>
      </c>
      <c r="I91" s="210" t="s">
        <v>43</v>
      </c>
      <c r="J91" s="64">
        <v>1.64</v>
      </c>
      <c r="K91" s="64">
        <v>292.73</v>
      </c>
      <c r="L91" s="64">
        <v>13.7</v>
      </c>
      <c r="M91" s="64">
        <v>68.739999999999995</v>
      </c>
      <c r="N91" s="64">
        <v>80.900000000000006</v>
      </c>
      <c r="O91" s="64">
        <v>0</v>
      </c>
      <c r="P91" s="64">
        <v>1.5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4" t="s">
        <v>2055</v>
      </c>
      <c r="B92" s="64">
        <v>93.35</v>
      </c>
      <c r="C92" s="64">
        <v>73.66</v>
      </c>
      <c r="D92" s="64">
        <v>111.97</v>
      </c>
      <c r="E92" s="64">
        <v>8.49</v>
      </c>
      <c r="F92" s="64">
        <v>2.13</v>
      </c>
      <c r="G92" s="64">
        <v>166.39</v>
      </c>
      <c r="H92" s="64">
        <v>40.18</v>
      </c>
      <c r="I92" s="210" t="s">
        <v>43</v>
      </c>
      <c r="J92" s="64">
        <v>1.69</v>
      </c>
      <c r="K92" s="64">
        <v>292.10000000000002</v>
      </c>
      <c r="L92" s="64">
        <v>13.52</v>
      </c>
      <c r="M92" s="64">
        <v>63.94</v>
      </c>
      <c r="N92" s="64">
        <v>80.900000000000006</v>
      </c>
      <c r="O92" s="64">
        <v>0</v>
      </c>
      <c r="P92" s="64">
        <v>1.66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4" t="s">
        <v>2056</v>
      </c>
      <c r="B93" s="64">
        <v>106.38</v>
      </c>
      <c r="C93" s="64">
        <v>74.72</v>
      </c>
      <c r="D93" s="64">
        <v>122.97</v>
      </c>
      <c r="E93" s="64">
        <v>8.8800000000000008</v>
      </c>
      <c r="F93" s="64">
        <v>2.13</v>
      </c>
      <c r="G93" s="64">
        <v>166.39</v>
      </c>
      <c r="H93" s="64">
        <v>40.18</v>
      </c>
      <c r="I93" s="210" t="s">
        <v>43</v>
      </c>
      <c r="J93" s="64">
        <v>1.71</v>
      </c>
      <c r="K93" s="64">
        <v>294.27</v>
      </c>
      <c r="L93" s="64">
        <v>13.35</v>
      </c>
      <c r="M93" s="64">
        <v>68.459999999999994</v>
      </c>
      <c r="N93" s="64">
        <v>80.8</v>
      </c>
      <c r="O93" s="64">
        <v>0</v>
      </c>
      <c r="P93" s="64">
        <v>1.75</v>
      </c>
      <c r="Q93" s="64">
        <v>9.7899999999999991</v>
      </c>
      <c r="R93" s="198"/>
      <c r="S93" s="198"/>
      <c r="T93" s="198"/>
      <c r="U93" s="198"/>
    </row>
    <row r="94" spans="1:26" s="12" customFormat="1" x14ac:dyDescent="0.25">
      <c r="A94" s="214" t="s">
        <v>2057</v>
      </c>
      <c r="B94" s="64">
        <v>117.87</v>
      </c>
      <c r="C94" s="64">
        <v>75.36</v>
      </c>
      <c r="D94" s="64">
        <v>132.52000000000001</v>
      </c>
      <c r="E94" s="64">
        <v>9.1999999999999993</v>
      </c>
      <c r="F94" s="64">
        <v>2.13</v>
      </c>
      <c r="G94" s="64">
        <v>166.39</v>
      </c>
      <c r="H94" s="64">
        <v>40.18</v>
      </c>
      <c r="I94" s="210" t="s">
        <v>43</v>
      </c>
      <c r="J94" s="64">
        <v>1.67</v>
      </c>
      <c r="K94" s="64">
        <v>276.31</v>
      </c>
      <c r="L94" s="64">
        <v>13.38</v>
      </c>
      <c r="M94" s="64">
        <v>63.18</v>
      </c>
      <c r="N94" s="64">
        <v>80.900000000000006</v>
      </c>
      <c r="O94" s="64">
        <v>0</v>
      </c>
      <c r="P94" s="64">
        <v>1.85</v>
      </c>
      <c r="Q94" s="64">
        <v>9.8699999999999992</v>
      </c>
      <c r="R94" s="198"/>
      <c r="S94" s="198"/>
      <c r="T94" s="198"/>
      <c r="U94" s="198"/>
    </row>
    <row r="95" spans="1:26" s="12" customFormat="1" x14ac:dyDescent="0.25">
      <c r="A95" s="214" t="s">
        <v>2058</v>
      </c>
      <c r="B95" s="64">
        <v>126.05</v>
      </c>
      <c r="C95" s="64">
        <v>75.72</v>
      </c>
      <c r="D95" s="64">
        <v>139.26</v>
      </c>
      <c r="E95" s="64">
        <v>9.6999999999999993</v>
      </c>
      <c r="F95" s="64">
        <v>2.13</v>
      </c>
      <c r="G95" s="64">
        <v>182.06</v>
      </c>
      <c r="H95" s="64">
        <v>46.74</v>
      </c>
      <c r="I95" s="210" t="s">
        <v>43</v>
      </c>
      <c r="J95" s="64">
        <v>1.5</v>
      </c>
      <c r="K95" s="64">
        <v>290.38</v>
      </c>
      <c r="L95" s="64">
        <v>13.27</v>
      </c>
      <c r="M95" s="64">
        <v>69.02</v>
      </c>
      <c r="N95" s="64">
        <v>80.599999999999994</v>
      </c>
      <c r="O95" s="64">
        <v>0</v>
      </c>
      <c r="P95" s="64">
        <v>1.95</v>
      </c>
      <c r="Q95" s="64">
        <v>9.92</v>
      </c>
      <c r="R95" s="198"/>
      <c r="S95" s="198"/>
      <c r="T95" s="198"/>
      <c r="U95" s="198"/>
    </row>
    <row r="96" spans="1:26" s="12" customFormat="1" x14ac:dyDescent="0.25">
      <c r="A96" s="214" t="s">
        <v>2059</v>
      </c>
      <c r="B96" s="64">
        <v>135.87</v>
      </c>
      <c r="C96" s="64">
        <v>76.3</v>
      </c>
      <c r="D96" s="64">
        <v>147.44999999999999</v>
      </c>
      <c r="E96" s="64">
        <v>10.029999999999999</v>
      </c>
      <c r="F96" s="64">
        <v>2.13</v>
      </c>
      <c r="G96" s="64">
        <v>188.78</v>
      </c>
      <c r="H96" s="64">
        <v>49.7</v>
      </c>
      <c r="I96" s="210" t="s">
        <v>43</v>
      </c>
      <c r="J96" s="64">
        <v>1.73</v>
      </c>
      <c r="K96" s="64">
        <v>289.61</v>
      </c>
      <c r="L96" s="64">
        <v>13.21</v>
      </c>
      <c r="M96" s="64">
        <v>64.680000000000007</v>
      </c>
      <c r="N96" s="64">
        <v>80.8</v>
      </c>
      <c r="O96" s="64">
        <v>0</v>
      </c>
      <c r="P96" s="64">
        <v>2.04</v>
      </c>
      <c r="Q96" s="64">
        <v>9.9700000000000006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2060</v>
      </c>
      <c r="B97" s="64">
        <v>142.91999999999999</v>
      </c>
      <c r="C97" s="64">
        <v>75.66</v>
      </c>
      <c r="D97" s="64">
        <v>152.77000000000001</v>
      </c>
      <c r="E97" s="64">
        <v>10.32</v>
      </c>
      <c r="F97" s="64">
        <v>2.13</v>
      </c>
      <c r="G97" s="64">
        <v>188.78</v>
      </c>
      <c r="H97" s="64">
        <v>49.7</v>
      </c>
      <c r="I97" s="210" t="s">
        <v>43</v>
      </c>
      <c r="J97" s="64">
        <v>1.75</v>
      </c>
      <c r="K97" s="64">
        <v>314.5</v>
      </c>
      <c r="L97" s="64">
        <v>12.92</v>
      </c>
      <c r="M97" s="64">
        <v>65.61</v>
      </c>
      <c r="N97" s="64">
        <v>80.8</v>
      </c>
      <c r="O97" s="64">
        <v>0</v>
      </c>
      <c r="P97" s="64">
        <v>2.08</v>
      </c>
      <c r="Q97" s="64">
        <v>10</v>
      </c>
      <c r="R97" s="198"/>
      <c r="S97" s="198"/>
      <c r="T97" s="198"/>
      <c r="U97" s="198"/>
    </row>
    <row r="98" spans="1:33" s="12" customFormat="1" x14ac:dyDescent="0.25">
      <c r="A98" s="214" t="s">
        <v>2061</v>
      </c>
      <c r="B98" s="64">
        <v>150.66999999999999</v>
      </c>
      <c r="C98" s="64">
        <v>75.349999999999994</v>
      </c>
      <c r="D98" s="64">
        <v>158.81</v>
      </c>
      <c r="E98" s="64">
        <v>10.61</v>
      </c>
      <c r="F98" s="64">
        <v>2.13</v>
      </c>
      <c r="G98" s="64">
        <v>188.78</v>
      </c>
      <c r="H98" s="64">
        <v>49.7</v>
      </c>
      <c r="I98" s="210" t="s">
        <v>43</v>
      </c>
      <c r="J98" s="64">
        <v>1.75</v>
      </c>
      <c r="K98" s="64">
        <v>278.5</v>
      </c>
      <c r="L98" s="64">
        <v>12.44</v>
      </c>
      <c r="M98" s="64">
        <v>63.57</v>
      </c>
      <c r="N98" s="64">
        <v>80.900000000000006</v>
      </c>
      <c r="O98" s="64">
        <v>0</v>
      </c>
      <c r="P98" s="64">
        <v>2.15</v>
      </c>
      <c r="Q98" s="64">
        <v>10.07</v>
      </c>
      <c r="R98" s="198"/>
      <c r="S98" s="198"/>
      <c r="T98" s="198"/>
      <c r="U98" s="198"/>
    </row>
    <row r="99" spans="1:33" s="12" customFormat="1" x14ac:dyDescent="0.25">
      <c r="A99" s="214" t="s">
        <v>2062</v>
      </c>
      <c r="B99" s="64">
        <v>158.11000000000001</v>
      </c>
      <c r="C99" s="64">
        <v>73.819999999999993</v>
      </c>
      <c r="D99" s="64">
        <v>163.99</v>
      </c>
      <c r="E99" s="64">
        <v>10.25</v>
      </c>
      <c r="F99" s="64">
        <v>2.13</v>
      </c>
      <c r="G99" s="64">
        <v>203.84</v>
      </c>
      <c r="H99" s="64">
        <v>56.07</v>
      </c>
      <c r="I99" s="210" t="s">
        <v>43</v>
      </c>
      <c r="J99" s="64">
        <v>1.73</v>
      </c>
      <c r="K99" s="64">
        <v>293.55</v>
      </c>
      <c r="L99" s="64">
        <v>12.24</v>
      </c>
      <c r="M99" s="64">
        <v>70.25</v>
      </c>
      <c r="N99" s="64">
        <v>80.8</v>
      </c>
      <c r="O99" s="64">
        <v>0</v>
      </c>
      <c r="P99" s="64">
        <v>2.25</v>
      </c>
      <c r="Q99" s="64">
        <v>10.09</v>
      </c>
      <c r="R99" s="198"/>
      <c r="S99" s="198"/>
      <c r="T99" s="198"/>
      <c r="U99" s="198"/>
    </row>
    <row r="100" spans="1:33" s="12" customFormat="1" x14ac:dyDescent="0.25">
      <c r="A100" s="214" t="s">
        <v>2063</v>
      </c>
      <c r="B100" s="64">
        <v>179.31</v>
      </c>
      <c r="C100" s="64">
        <v>73.62</v>
      </c>
      <c r="D100" s="64">
        <v>180.88</v>
      </c>
      <c r="E100" s="64">
        <v>10.44</v>
      </c>
      <c r="F100" s="64">
        <v>2.13</v>
      </c>
      <c r="G100" s="64">
        <v>210.29</v>
      </c>
      <c r="H100" s="64">
        <v>58.8</v>
      </c>
      <c r="I100" s="210" t="s">
        <v>43</v>
      </c>
      <c r="J100" s="64">
        <v>1.7</v>
      </c>
      <c r="K100" s="64">
        <v>293.70999999999998</v>
      </c>
      <c r="L100" s="64">
        <v>11.85</v>
      </c>
      <c r="M100" s="64">
        <v>76.52</v>
      </c>
      <c r="N100" s="64">
        <v>80.8</v>
      </c>
      <c r="O100" s="64">
        <v>0</v>
      </c>
      <c r="P100" s="64">
        <v>2.39</v>
      </c>
      <c r="Q100" s="64">
        <v>10.16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2064</v>
      </c>
      <c r="B101" s="64">
        <v>195.69</v>
      </c>
      <c r="C101" s="64">
        <v>75.42</v>
      </c>
      <c r="D101" s="64">
        <v>194.95</v>
      </c>
      <c r="E101" s="64">
        <v>10.65</v>
      </c>
      <c r="F101" s="64">
        <v>2.13</v>
      </c>
      <c r="G101" s="64">
        <v>210.29</v>
      </c>
      <c r="H101" s="64">
        <v>58.8</v>
      </c>
      <c r="I101" s="210" t="s">
        <v>43</v>
      </c>
      <c r="J101" s="64">
        <v>1.71</v>
      </c>
      <c r="K101" s="64">
        <v>298</v>
      </c>
      <c r="L101" s="64">
        <v>11.84</v>
      </c>
      <c r="M101" s="64">
        <v>73.09</v>
      </c>
      <c r="N101" s="64">
        <v>80.8</v>
      </c>
      <c r="O101" s="64">
        <v>0</v>
      </c>
      <c r="P101" s="64">
        <v>2.34</v>
      </c>
      <c r="Q101" s="64">
        <v>10.28</v>
      </c>
      <c r="R101" s="198"/>
      <c r="S101" s="198"/>
      <c r="T101" s="198"/>
      <c r="U101" s="198"/>
    </row>
    <row r="102" spans="1:33" s="12" customFormat="1" x14ac:dyDescent="0.25">
      <c r="A102" s="214" t="s">
        <v>2065</v>
      </c>
      <c r="B102" s="64">
        <v>202.84</v>
      </c>
      <c r="C102" s="64">
        <v>75.75</v>
      </c>
      <c r="D102" s="64">
        <v>200.86</v>
      </c>
      <c r="E102" s="64">
        <v>10.26</v>
      </c>
      <c r="F102" s="64">
        <v>2.13</v>
      </c>
      <c r="G102" s="64">
        <v>210.29</v>
      </c>
      <c r="H102" s="64">
        <v>58.8</v>
      </c>
      <c r="I102" s="210" t="s">
        <v>43</v>
      </c>
      <c r="J102" s="64">
        <v>1.66</v>
      </c>
      <c r="K102" s="64">
        <v>299.06</v>
      </c>
      <c r="L102" s="64">
        <v>11.74</v>
      </c>
      <c r="M102" s="64">
        <v>72.5</v>
      </c>
      <c r="N102" s="64">
        <v>81</v>
      </c>
      <c r="O102" s="64">
        <v>0</v>
      </c>
      <c r="P102" s="64">
        <v>2.33</v>
      </c>
      <c r="Q102" s="64">
        <v>10.35</v>
      </c>
      <c r="R102" s="198"/>
      <c r="S102" s="198"/>
      <c r="T102" s="198"/>
      <c r="U102" s="198"/>
    </row>
    <row r="103" spans="1:33" s="12" customFormat="1" x14ac:dyDescent="0.25">
      <c r="A103" s="214" t="s">
        <v>2066</v>
      </c>
      <c r="B103" s="64">
        <v>208.78</v>
      </c>
      <c r="C103" s="64">
        <v>74.95</v>
      </c>
      <c r="D103" s="64">
        <v>205.21</v>
      </c>
      <c r="E103" s="64">
        <v>11.1</v>
      </c>
      <c r="F103" s="64">
        <v>2.13</v>
      </c>
      <c r="G103" s="64">
        <v>210.76</v>
      </c>
      <c r="H103" s="64">
        <v>60.5</v>
      </c>
      <c r="I103" s="210" t="s">
        <v>43</v>
      </c>
      <c r="J103" s="64">
        <v>1.65</v>
      </c>
      <c r="K103" s="64">
        <v>135.6</v>
      </c>
      <c r="L103" s="64">
        <v>11.45</v>
      </c>
      <c r="M103" s="64">
        <v>77.099999999999994</v>
      </c>
      <c r="N103" s="64">
        <v>80.599999999999994</v>
      </c>
      <c r="O103" s="64">
        <v>0</v>
      </c>
      <c r="P103" s="64">
        <v>2.2599999999999998</v>
      </c>
      <c r="Q103" s="64">
        <v>10.36</v>
      </c>
      <c r="R103" s="198"/>
      <c r="S103" s="198"/>
      <c r="T103" s="198"/>
      <c r="U103" s="198"/>
    </row>
    <row r="104" spans="1:33" s="12" customFormat="1" x14ac:dyDescent="0.25">
      <c r="A104" s="214" t="s">
        <v>2067</v>
      </c>
      <c r="B104" s="64">
        <v>212.16</v>
      </c>
      <c r="C104" s="64">
        <v>74.09</v>
      </c>
      <c r="D104" s="64">
        <v>207.47</v>
      </c>
      <c r="E104" s="64">
        <v>9.7100000000000009</v>
      </c>
      <c r="F104" s="64">
        <v>2.13</v>
      </c>
      <c r="G104" s="64">
        <v>210.96</v>
      </c>
      <c r="H104" s="64">
        <v>61.24</v>
      </c>
      <c r="I104" s="210" t="s">
        <v>43</v>
      </c>
      <c r="J104" s="64">
        <v>1.77</v>
      </c>
      <c r="K104" s="64">
        <v>303.58</v>
      </c>
      <c r="L104" s="64">
        <v>11.32</v>
      </c>
      <c r="M104" s="64">
        <v>80.14</v>
      </c>
      <c r="N104" s="64">
        <v>80.8</v>
      </c>
      <c r="O104" s="64">
        <v>0</v>
      </c>
      <c r="P104" s="64">
        <v>2.2400000000000002</v>
      </c>
      <c r="Q104" s="64">
        <v>10.41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11.97</v>
      </c>
      <c r="C106" s="67">
        <f>MIN(C9:C104)</f>
        <v>55.53</v>
      </c>
      <c r="D106" s="67">
        <f t="shared" ref="D106:Q106" si="0">MIN(D9:D104)</f>
        <v>45.4</v>
      </c>
      <c r="E106" s="67">
        <f t="shared" si="0"/>
        <v>4.7300000000000004</v>
      </c>
      <c r="F106" s="67">
        <f t="shared" si="0"/>
        <v>2.13</v>
      </c>
      <c r="G106" s="67">
        <f t="shared" si="0"/>
        <v>58.44</v>
      </c>
      <c r="H106" s="67">
        <f t="shared" si="0"/>
        <v>27.71</v>
      </c>
      <c r="I106" s="67">
        <f t="shared" si="0"/>
        <v>0</v>
      </c>
      <c r="J106" s="67">
        <f t="shared" si="0"/>
        <v>0.28999999999999998</v>
      </c>
      <c r="K106" s="67">
        <f t="shared" si="0"/>
        <v>1.1499999999999999</v>
      </c>
      <c r="L106" s="67">
        <f t="shared" si="0"/>
        <v>9.85</v>
      </c>
      <c r="M106" s="67">
        <f t="shared" si="0"/>
        <v>23.2</v>
      </c>
      <c r="N106" s="67">
        <f t="shared" si="0"/>
        <v>53.3</v>
      </c>
      <c r="O106" s="67">
        <f t="shared" si="0"/>
        <v>0</v>
      </c>
      <c r="P106" s="67">
        <f t="shared" si="0"/>
        <v>0.77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212.16</v>
      </c>
      <c r="C107" s="66">
        <f t="shared" ref="C107:Q107" si="1">MAX(C9:C104)</f>
        <v>76.3</v>
      </c>
      <c r="D107" s="66">
        <f t="shared" si="1"/>
        <v>207.47</v>
      </c>
      <c r="E107" s="66">
        <f t="shared" si="1"/>
        <v>11.1</v>
      </c>
      <c r="F107" s="66">
        <f t="shared" si="1"/>
        <v>2.13</v>
      </c>
      <c r="G107" s="66">
        <f t="shared" si="1"/>
        <v>222.2</v>
      </c>
      <c r="H107" s="66">
        <f t="shared" si="1"/>
        <v>68.62</v>
      </c>
      <c r="I107" s="66">
        <f t="shared" si="1"/>
        <v>0</v>
      </c>
      <c r="J107" s="66">
        <f t="shared" si="1"/>
        <v>2.91</v>
      </c>
      <c r="K107" s="66">
        <f t="shared" si="1"/>
        <v>356.12</v>
      </c>
      <c r="L107" s="66">
        <f t="shared" si="1"/>
        <v>27.33</v>
      </c>
      <c r="M107" s="66">
        <f t="shared" si="1"/>
        <v>94.65</v>
      </c>
      <c r="N107" s="66">
        <f t="shared" si="1"/>
        <v>727.8</v>
      </c>
      <c r="O107" s="66">
        <f t="shared" si="1"/>
        <v>0</v>
      </c>
      <c r="P107" s="66">
        <f t="shared" si="1"/>
        <v>2.39</v>
      </c>
      <c r="Q107" s="66">
        <f t="shared" si="1"/>
        <v>10.41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62.474999999999994</v>
      </c>
      <c r="C108" s="67">
        <f t="shared" ref="C108:Q108" si="2">AVERAGE(C9:C104)</f>
        <v>67.624062500000008</v>
      </c>
      <c r="D108" s="67">
        <f t="shared" si="2"/>
        <v>84.054375000000007</v>
      </c>
      <c r="E108" s="67">
        <f t="shared" si="2"/>
        <v>7.2581250000000006</v>
      </c>
      <c r="F108" s="67">
        <f t="shared" si="2"/>
        <v>2.1299999999999972</v>
      </c>
      <c r="G108" s="67">
        <f t="shared" si="2"/>
        <v>127.64166666666661</v>
      </c>
      <c r="H108" s="67">
        <f t="shared" si="2"/>
        <v>43.523854166666659</v>
      </c>
      <c r="I108" s="67" t="e">
        <f t="shared" si="2"/>
        <v>#DIV/0!</v>
      </c>
      <c r="J108" s="67">
        <f t="shared" si="2"/>
        <v>1.473958333333333</v>
      </c>
      <c r="K108" s="67">
        <f t="shared" si="2"/>
        <v>237.49947916666665</v>
      </c>
      <c r="L108" s="67">
        <f t="shared" si="2"/>
        <v>16.582395833333326</v>
      </c>
      <c r="M108" s="67">
        <f t="shared" si="2"/>
        <v>56.824270833333351</v>
      </c>
      <c r="N108" s="67">
        <f t="shared" si="2"/>
        <v>215.58437499999994</v>
      </c>
      <c r="O108" s="67">
        <f t="shared" si="2"/>
        <v>0</v>
      </c>
      <c r="P108" s="67">
        <f t="shared" si="2"/>
        <v>1.340625</v>
      </c>
      <c r="Q108" s="67">
        <f t="shared" si="2"/>
        <v>8.8366666666666713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45.841283691955198</v>
      </c>
      <c r="C109" s="67">
        <f t="shared" ref="C109:Q109" si="3">STDEV(C9:C104)</f>
        <v>7.112790936145676</v>
      </c>
      <c r="D109" s="67">
        <f t="shared" si="3"/>
        <v>37.23778298597437</v>
      </c>
      <c r="E109" s="67">
        <f t="shared" si="3"/>
        <v>1.7862665048406925</v>
      </c>
      <c r="F109" s="67">
        <f t="shared" si="3"/>
        <v>2.678522416932523E-15</v>
      </c>
      <c r="G109" s="67">
        <f t="shared" si="3"/>
        <v>49.458469843882689</v>
      </c>
      <c r="H109" s="67">
        <f t="shared" si="3"/>
        <v>13.672634164236058</v>
      </c>
      <c r="I109" s="67" t="e">
        <f t="shared" si="3"/>
        <v>#DIV/0!</v>
      </c>
      <c r="J109" s="67">
        <f t="shared" si="3"/>
        <v>0.56003285461266861</v>
      </c>
      <c r="K109" s="67">
        <f t="shared" si="3"/>
        <v>107.77274673926576</v>
      </c>
      <c r="L109" s="67">
        <f t="shared" si="3"/>
        <v>5.6686173464623861</v>
      </c>
      <c r="M109" s="67">
        <f t="shared" si="3"/>
        <v>24.80555832214311</v>
      </c>
      <c r="N109" s="67">
        <f t="shared" si="3"/>
        <v>232.54491420306442</v>
      </c>
      <c r="O109" s="67">
        <f t="shared" si="3"/>
        <v>0</v>
      </c>
      <c r="P109" s="67">
        <f t="shared" si="3"/>
        <v>0.429246126181827</v>
      </c>
      <c r="Q109" s="67">
        <f t="shared" si="3"/>
        <v>0.6966365308683935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2068</v>
      </c>
      <c r="B9" s="64">
        <v>213.64</v>
      </c>
      <c r="C9" s="64">
        <v>73.08</v>
      </c>
      <c r="D9" s="64">
        <v>208.13</v>
      </c>
      <c r="E9" s="64">
        <v>10.130000000000001</v>
      </c>
      <c r="F9" s="64">
        <v>2.13</v>
      </c>
      <c r="G9" s="64">
        <v>210.96</v>
      </c>
      <c r="H9" s="64">
        <v>61.24</v>
      </c>
      <c r="I9" s="210" t="s">
        <v>43</v>
      </c>
      <c r="J9" s="64">
        <v>1.74</v>
      </c>
      <c r="K9" s="64">
        <v>298.13</v>
      </c>
      <c r="L9" s="64">
        <v>11.15</v>
      </c>
      <c r="M9" s="64">
        <v>81.599999999999994</v>
      </c>
      <c r="N9" s="64">
        <v>81</v>
      </c>
      <c r="O9" s="64">
        <v>0</v>
      </c>
      <c r="P9" s="64">
        <v>2.2200000000000002</v>
      </c>
      <c r="Q9" s="64">
        <v>10.44</v>
      </c>
      <c r="R9" s="198"/>
      <c r="S9" s="198"/>
      <c r="T9" s="198"/>
      <c r="U9" s="198"/>
    </row>
    <row r="10" spans="1:21" s="12" customFormat="1" x14ac:dyDescent="0.25">
      <c r="A10" s="214" t="s">
        <v>2069</v>
      </c>
      <c r="B10" s="64">
        <v>214.26</v>
      </c>
      <c r="C10" s="64">
        <v>71.63</v>
      </c>
      <c r="D10" s="64">
        <v>207.87</v>
      </c>
      <c r="E10" s="64">
        <v>10.24</v>
      </c>
      <c r="F10" s="64">
        <v>2.13</v>
      </c>
      <c r="G10" s="64">
        <v>210.96</v>
      </c>
      <c r="H10" s="64">
        <v>61.24</v>
      </c>
      <c r="I10" s="210" t="s">
        <v>43</v>
      </c>
      <c r="J10" s="64">
        <v>1.5</v>
      </c>
      <c r="K10" s="64">
        <v>330.9</v>
      </c>
      <c r="L10" s="64">
        <v>10.9</v>
      </c>
      <c r="M10" s="64">
        <v>82.64</v>
      </c>
      <c r="N10" s="64">
        <v>80.900000000000006</v>
      </c>
      <c r="O10" s="64">
        <v>0</v>
      </c>
      <c r="P10" s="64">
        <v>2.17</v>
      </c>
      <c r="Q10" s="64">
        <v>10.43</v>
      </c>
      <c r="R10" s="198"/>
      <c r="S10" s="198"/>
      <c r="T10" s="198"/>
      <c r="U10" s="198"/>
    </row>
    <row r="11" spans="1:21" s="12" customFormat="1" x14ac:dyDescent="0.25">
      <c r="A11" s="214" t="s">
        <v>2070</v>
      </c>
      <c r="B11" s="64">
        <v>214.23</v>
      </c>
      <c r="C11" s="64">
        <v>68.53</v>
      </c>
      <c r="D11" s="64">
        <v>206.23</v>
      </c>
      <c r="E11" s="64">
        <v>10.119999999999999</v>
      </c>
      <c r="F11" s="64">
        <v>2.13</v>
      </c>
      <c r="G11" s="64">
        <v>196.7</v>
      </c>
      <c r="H11" s="64">
        <v>59.06</v>
      </c>
      <c r="I11" s="210" t="s">
        <v>43</v>
      </c>
      <c r="J11" s="64">
        <v>1.35</v>
      </c>
      <c r="K11" s="64">
        <v>331.62</v>
      </c>
      <c r="L11" s="64">
        <v>10.91</v>
      </c>
      <c r="M11" s="64">
        <v>83.93</v>
      </c>
      <c r="N11" s="64">
        <v>80.5</v>
      </c>
      <c r="O11" s="64">
        <v>0</v>
      </c>
      <c r="P11" s="64">
        <v>2.2000000000000002</v>
      </c>
      <c r="Q11" s="64">
        <v>10.41</v>
      </c>
      <c r="R11" s="198"/>
      <c r="S11" s="198"/>
      <c r="T11" s="198"/>
      <c r="U11" s="198"/>
    </row>
    <row r="12" spans="1:21" s="12" customFormat="1" x14ac:dyDescent="0.25">
      <c r="A12" s="214" t="s">
        <v>2071</v>
      </c>
      <c r="B12" s="64">
        <v>216.81</v>
      </c>
      <c r="C12" s="64">
        <v>68.81</v>
      </c>
      <c r="D12" s="64">
        <v>208.44</v>
      </c>
      <c r="E12" s="64">
        <v>10.55</v>
      </c>
      <c r="F12" s="64">
        <v>2.13</v>
      </c>
      <c r="G12" s="64">
        <v>190.58</v>
      </c>
      <c r="H12" s="64">
        <v>58.13</v>
      </c>
      <c r="I12" s="210" t="s">
        <v>43</v>
      </c>
      <c r="J12" s="64">
        <v>1.1499999999999999</v>
      </c>
      <c r="K12" s="64">
        <v>313.64999999999998</v>
      </c>
      <c r="L12" s="64">
        <v>11.01</v>
      </c>
      <c r="M12" s="64">
        <v>83.85</v>
      </c>
      <c r="N12" s="64">
        <v>80.2</v>
      </c>
      <c r="O12" s="64">
        <v>0</v>
      </c>
      <c r="P12" s="64">
        <v>2.2000000000000002</v>
      </c>
      <c r="Q12" s="64">
        <v>10.41</v>
      </c>
      <c r="R12" s="198"/>
      <c r="S12" s="198"/>
      <c r="T12" s="198"/>
      <c r="U12" s="198"/>
    </row>
    <row r="13" spans="1:21" s="12" customFormat="1" x14ac:dyDescent="0.25">
      <c r="A13" s="214" t="s">
        <v>2072</v>
      </c>
      <c r="B13" s="64">
        <v>215.47</v>
      </c>
      <c r="C13" s="64">
        <v>69.19</v>
      </c>
      <c r="D13" s="64">
        <v>207.57</v>
      </c>
      <c r="E13" s="64">
        <v>10.09</v>
      </c>
      <c r="F13" s="64">
        <v>2.13</v>
      </c>
      <c r="G13" s="64">
        <v>190.58</v>
      </c>
      <c r="H13" s="64">
        <v>58.13</v>
      </c>
      <c r="I13" s="210" t="s">
        <v>43</v>
      </c>
      <c r="J13" s="64">
        <v>0.78</v>
      </c>
      <c r="K13" s="64">
        <v>5.0999999999999996</v>
      </c>
      <c r="L13" s="64">
        <v>11.31</v>
      </c>
      <c r="M13" s="64">
        <v>80.52</v>
      </c>
      <c r="N13" s="64">
        <v>79.8</v>
      </c>
      <c r="O13" s="64">
        <v>0</v>
      </c>
      <c r="P13" s="64">
        <v>1.96</v>
      </c>
      <c r="Q13" s="64">
        <v>10.4</v>
      </c>
      <c r="R13" s="198"/>
      <c r="S13" s="198"/>
      <c r="T13" s="198"/>
      <c r="U13" s="198"/>
    </row>
    <row r="14" spans="1:21" s="12" customFormat="1" x14ac:dyDescent="0.25">
      <c r="A14" s="214" t="s">
        <v>2073</v>
      </c>
      <c r="B14" s="64">
        <v>208.47</v>
      </c>
      <c r="C14" s="64">
        <v>68.55</v>
      </c>
      <c r="D14" s="64">
        <v>201.61</v>
      </c>
      <c r="E14" s="64">
        <v>10.11</v>
      </c>
      <c r="F14" s="64">
        <v>2.13</v>
      </c>
      <c r="G14" s="64">
        <v>190.58</v>
      </c>
      <c r="H14" s="64">
        <v>58.13</v>
      </c>
      <c r="I14" s="210" t="s">
        <v>43</v>
      </c>
      <c r="J14" s="64">
        <v>1.58</v>
      </c>
      <c r="K14" s="64">
        <v>9.1999999999999993</v>
      </c>
      <c r="L14" s="64">
        <v>12.08</v>
      </c>
      <c r="M14" s="64">
        <v>71.03</v>
      </c>
      <c r="N14" s="64">
        <v>79.400000000000006</v>
      </c>
      <c r="O14" s="64">
        <v>0</v>
      </c>
      <c r="P14" s="64">
        <v>2</v>
      </c>
      <c r="Q14" s="64">
        <v>10.4</v>
      </c>
      <c r="R14" s="198"/>
      <c r="S14" s="198"/>
      <c r="T14" s="198"/>
      <c r="U14" s="198"/>
    </row>
    <row r="15" spans="1:21" s="12" customFormat="1" x14ac:dyDescent="0.25">
      <c r="A15" s="214" t="s">
        <v>2074</v>
      </c>
      <c r="B15" s="64">
        <v>200.64</v>
      </c>
      <c r="C15" s="64">
        <v>67.44</v>
      </c>
      <c r="D15" s="64">
        <v>194.76</v>
      </c>
      <c r="E15" s="64">
        <v>9.7100000000000009</v>
      </c>
      <c r="F15" s="64">
        <v>2.13</v>
      </c>
      <c r="G15" s="64">
        <v>175.07</v>
      </c>
      <c r="H15" s="64">
        <v>54.19</v>
      </c>
      <c r="I15" s="210" t="s">
        <v>43</v>
      </c>
      <c r="J15" s="64">
        <v>0.82</v>
      </c>
      <c r="K15" s="64">
        <v>307.68</v>
      </c>
      <c r="L15" s="64">
        <v>12.02</v>
      </c>
      <c r="M15" s="64">
        <v>70.97</v>
      </c>
      <c r="N15" s="64">
        <v>80.599999999999994</v>
      </c>
      <c r="O15" s="64">
        <v>0</v>
      </c>
      <c r="P15" s="64">
        <v>2</v>
      </c>
      <c r="Q15" s="64">
        <v>10.38</v>
      </c>
      <c r="R15" s="198"/>
      <c r="S15" s="198"/>
      <c r="T15" s="198"/>
      <c r="U15" s="198"/>
    </row>
    <row r="16" spans="1:21" s="12" customFormat="1" x14ac:dyDescent="0.25">
      <c r="A16" s="214" t="s">
        <v>2075</v>
      </c>
      <c r="B16" s="64">
        <v>193.27</v>
      </c>
      <c r="C16" s="64">
        <v>66.540000000000006</v>
      </c>
      <c r="D16" s="64">
        <v>188.38</v>
      </c>
      <c r="E16" s="64">
        <v>9.52</v>
      </c>
      <c r="F16" s="64">
        <v>2.13</v>
      </c>
      <c r="G16" s="64">
        <v>168.42</v>
      </c>
      <c r="H16" s="64">
        <v>52.5</v>
      </c>
      <c r="I16" s="210" t="s">
        <v>43</v>
      </c>
      <c r="J16" s="64">
        <v>0.17</v>
      </c>
      <c r="K16" s="64">
        <v>266.97000000000003</v>
      </c>
      <c r="L16" s="64">
        <v>11.75</v>
      </c>
      <c r="M16" s="64">
        <v>73.319999999999993</v>
      </c>
      <c r="N16" s="64">
        <v>80.5</v>
      </c>
      <c r="O16" s="64">
        <v>0</v>
      </c>
      <c r="P16" s="64">
        <v>2</v>
      </c>
      <c r="Q16" s="64">
        <v>10.32</v>
      </c>
      <c r="R16" s="198"/>
      <c r="S16" s="198"/>
      <c r="T16" s="198"/>
      <c r="U16" s="198"/>
    </row>
    <row r="17" spans="1:21" s="12" customFormat="1" x14ac:dyDescent="0.25">
      <c r="A17" s="214" t="s">
        <v>2076</v>
      </c>
      <c r="B17" s="64">
        <v>186.75</v>
      </c>
      <c r="C17" s="64">
        <v>65.13</v>
      </c>
      <c r="D17" s="64">
        <v>182.41</v>
      </c>
      <c r="E17" s="64">
        <v>9.85</v>
      </c>
      <c r="F17" s="64">
        <v>2.13</v>
      </c>
      <c r="G17" s="64">
        <v>168.42</v>
      </c>
      <c r="H17" s="64">
        <v>52.5</v>
      </c>
      <c r="I17" s="210" t="s">
        <v>43</v>
      </c>
      <c r="J17" s="64">
        <v>0.77</v>
      </c>
      <c r="K17" s="64">
        <v>322.45</v>
      </c>
      <c r="L17" s="64">
        <v>11.48</v>
      </c>
      <c r="M17" s="64">
        <v>74.77</v>
      </c>
      <c r="N17" s="64">
        <v>81.099999999999994</v>
      </c>
      <c r="O17" s="64">
        <v>0</v>
      </c>
      <c r="P17" s="64">
        <v>2.0099999999999998</v>
      </c>
      <c r="Q17" s="64">
        <v>10.29</v>
      </c>
      <c r="R17" s="198"/>
      <c r="S17" s="198"/>
      <c r="T17" s="198"/>
      <c r="U17" s="198"/>
    </row>
    <row r="18" spans="1:21" s="12" customFormat="1" x14ac:dyDescent="0.25">
      <c r="A18" s="214" t="s">
        <v>2077</v>
      </c>
      <c r="B18" s="64">
        <v>180.52</v>
      </c>
      <c r="C18" s="64">
        <v>64.17</v>
      </c>
      <c r="D18" s="64">
        <v>176.91</v>
      </c>
      <c r="E18" s="64">
        <v>9.89</v>
      </c>
      <c r="F18" s="64">
        <v>2.13</v>
      </c>
      <c r="G18" s="64">
        <v>168.42</v>
      </c>
      <c r="H18" s="64">
        <v>52.5</v>
      </c>
      <c r="I18" s="210" t="s">
        <v>43</v>
      </c>
      <c r="J18" s="64">
        <v>1.47</v>
      </c>
      <c r="K18" s="64">
        <v>307.85000000000002</v>
      </c>
      <c r="L18" s="64">
        <v>11</v>
      </c>
      <c r="M18" s="64">
        <v>79.34</v>
      </c>
      <c r="N18" s="64">
        <v>81.099999999999994</v>
      </c>
      <c r="O18" s="64">
        <v>0</v>
      </c>
      <c r="P18" s="64">
        <v>2.0099999999999998</v>
      </c>
      <c r="Q18" s="64">
        <v>10.25</v>
      </c>
      <c r="R18" s="198"/>
      <c r="S18" s="198"/>
      <c r="T18" s="198"/>
      <c r="U18" s="198"/>
    </row>
    <row r="19" spans="1:21" s="12" customFormat="1" x14ac:dyDescent="0.25">
      <c r="A19" s="214" t="s">
        <v>2078</v>
      </c>
      <c r="B19" s="64">
        <v>174.48</v>
      </c>
      <c r="C19" s="64">
        <v>63.16</v>
      </c>
      <c r="D19" s="64">
        <v>171.54</v>
      </c>
      <c r="E19" s="64">
        <v>9.61</v>
      </c>
      <c r="F19" s="64">
        <v>2.13</v>
      </c>
      <c r="G19" s="64">
        <v>192.29</v>
      </c>
      <c r="H19" s="64">
        <v>60.52</v>
      </c>
      <c r="I19" s="210" t="s">
        <v>43</v>
      </c>
      <c r="J19" s="64">
        <v>1.55</v>
      </c>
      <c r="K19" s="64">
        <v>291.27</v>
      </c>
      <c r="L19" s="64">
        <v>10.87</v>
      </c>
      <c r="M19" s="64">
        <v>79.59</v>
      </c>
      <c r="N19" s="64">
        <v>80.8</v>
      </c>
      <c r="O19" s="64">
        <v>0</v>
      </c>
      <c r="P19" s="64">
        <v>2.0099999999999998</v>
      </c>
      <c r="Q19" s="64">
        <v>10.220000000000001</v>
      </c>
      <c r="R19" s="198"/>
      <c r="S19" s="198"/>
      <c r="T19" s="198"/>
      <c r="U19" s="198"/>
    </row>
    <row r="20" spans="1:21" s="12" customFormat="1" x14ac:dyDescent="0.25">
      <c r="A20" s="214" t="s">
        <v>2079</v>
      </c>
      <c r="B20" s="64">
        <v>167.97</v>
      </c>
      <c r="C20" s="64">
        <v>61.74</v>
      </c>
      <c r="D20" s="64">
        <v>165.58</v>
      </c>
      <c r="E20" s="64">
        <v>9.91</v>
      </c>
      <c r="F20" s="64">
        <v>2.13</v>
      </c>
      <c r="G20" s="64">
        <v>203.08</v>
      </c>
      <c r="H20" s="64">
        <v>64.14</v>
      </c>
      <c r="I20" s="210" t="s">
        <v>43</v>
      </c>
      <c r="J20" s="64">
        <v>1.76</v>
      </c>
      <c r="K20" s="64">
        <v>280.52999999999997</v>
      </c>
      <c r="L20" s="64">
        <v>10.66</v>
      </c>
      <c r="M20" s="64">
        <v>79.41</v>
      </c>
      <c r="N20" s="64">
        <v>81.099999999999994</v>
      </c>
      <c r="O20" s="64">
        <v>0</v>
      </c>
      <c r="P20" s="64">
        <v>1.96</v>
      </c>
      <c r="Q20" s="64">
        <v>10.19</v>
      </c>
      <c r="R20" s="198"/>
      <c r="S20" s="198"/>
      <c r="T20" s="198"/>
      <c r="U20" s="198"/>
    </row>
    <row r="21" spans="1:21" s="12" customFormat="1" x14ac:dyDescent="0.25">
      <c r="A21" s="214" t="s">
        <v>2080</v>
      </c>
      <c r="B21" s="64">
        <v>161.16</v>
      </c>
      <c r="C21" s="64">
        <v>60.57</v>
      </c>
      <c r="D21" s="64">
        <v>159.51</v>
      </c>
      <c r="E21" s="64">
        <v>9.4600000000000009</v>
      </c>
      <c r="F21" s="64">
        <v>2.13</v>
      </c>
      <c r="G21" s="64">
        <v>203.08</v>
      </c>
      <c r="H21" s="64">
        <v>64.14</v>
      </c>
      <c r="I21" s="210" t="s">
        <v>43</v>
      </c>
      <c r="J21" s="64">
        <v>1.71</v>
      </c>
      <c r="K21" s="64">
        <v>280.52999999999997</v>
      </c>
      <c r="L21" s="64">
        <v>10.44</v>
      </c>
      <c r="M21" s="64">
        <v>82.21</v>
      </c>
      <c r="N21" s="64">
        <v>81.3</v>
      </c>
      <c r="O21" s="64">
        <v>0</v>
      </c>
      <c r="P21" s="64">
        <v>1.94</v>
      </c>
      <c r="Q21" s="64">
        <v>10.130000000000001</v>
      </c>
      <c r="R21" s="198"/>
      <c r="S21" s="198"/>
      <c r="T21" s="198"/>
      <c r="U21" s="198"/>
    </row>
    <row r="22" spans="1:21" s="12" customFormat="1" x14ac:dyDescent="0.25">
      <c r="A22" s="214" t="s">
        <v>2081</v>
      </c>
      <c r="B22" s="64">
        <v>154.66999999999999</v>
      </c>
      <c r="C22" s="64">
        <v>60.16</v>
      </c>
      <c r="D22" s="64">
        <v>154.09</v>
      </c>
      <c r="E22" s="64">
        <v>9.0500000000000007</v>
      </c>
      <c r="F22" s="64">
        <v>2.13</v>
      </c>
      <c r="G22" s="64">
        <v>203.08</v>
      </c>
      <c r="H22" s="64">
        <v>64.14</v>
      </c>
      <c r="I22" s="210" t="s">
        <v>43</v>
      </c>
      <c r="J22" s="64">
        <v>1.51</v>
      </c>
      <c r="K22" s="64">
        <v>332.12</v>
      </c>
      <c r="L22" s="64">
        <v>10.17</v>
      </c>
      <c r="M22" s="64">
        <v>85.96</v>
      </c>
      <c r="N22" s="64">
        <v>81.3</v>
      </c>
      <c r="O22" s="64">
        <v>0</v>
      </c>
      <c r="P22" s="64">
        <v>1.9</v>
      </c>
      <c r="Q22" s="64">
        <v>10.1</v>
      </c>
      <c r="R22" s="198"/>
      <c r="S22" s="198"/>
      <c r="T22" s="198"/>
      <c r="U22" s="198"/>
    </row>
    <row r="23" spans="1:21" s="12" customFormat="1" x14ac:dyDescent="0.25">
      <c r="A23" s="214" t="s">
        <v>2082</v>
      </c>
      <c r="B23" s="64">
        <v>148.59</v>
      </c>
      <c r="C23" s="64">
        <v>60.07</v>
      </c>
      <c r="D23" s="64">
        <v>149.16</v>
      </c>
      <c r="E23" s="64">
        <v>9.25</v>
      </c>
      <c r="F23" s="64">
        <v>2.13</v>
      </c>
      <c r="G23" s="64">
        <v>180.64</v>
      </c>
      <c r="H23" s="64">
        <v>64.72</v>
      </c>
      <c r="I23" s="210" t="s">
        <v>43</v>
      </c>
      <c r="J23" s="64">
        <v>0.8</v>
      </c>
      <c r="K23" s="64">
        <v>333.88</v>
      </c>
      <c r="L23" s="64">
        <v>9.91</v>
      </c>
      <c r="M23" s="64">
        <v>88.8</v>
      </c>
      <c r="N23" s="64">
        <v>81.2</v>
      </c>
      <c r="O23" s="64">
        <v>0</v>
      </c>
      <c r="P23" s="64">
        <v>1.87</v>
      </c>
      <c r="Q23" s="64">
        <v>10.050000000000001</v>
      </c>
      <c r="R23" s="198"/>
      <c r="S23" s="198"/>
      <c r="T23" s="198"/>
      <c r="U23" s="198"/>
    </row>
    <row r="24" spans="1:21" s="12" customFormat="1" x14ac:dyDescent="0.25">
      <c r="A24" s="214" t="s">
        <v>2083</v>
      </c>
      <c r="B24" s="64">
        <v>142.47999999999999</v>
      </c>
      <c r="C24" s="64">
        <v>59.69</v>
      </c>
      <c r="D24" s="64">
        <v>144.07</v>
      </c>
      <c r="E24" s="64">
        <v>8.84</v>
      </c>
      <c r="F24" s="64">
        <v>2.13</v>
      </c>
      <c r="G24" s="64">
        <v>171.02</v>
      </c>
      <c r="H24" s="64">
        <v>64.97</v>
      </c>
      <c r="I24" s="210" t="s">
        <v>43</v>
      </c>
      <c r="J24" s="64">
        <v>0.69</v>
      </c>
      <c r="K24" s="64">
        <v>163.57</v>
      </c>
      <c r="L24" s="64">
        <v>9.91</v>
      </c>
      <c r="M24" s="64">
        <v>91.01</v>
      </c>
      <c r="N24" s="64">
        <v>81.099999999999994</v>
      </c>
      <c r="O24" s="64">
        <v>0</v>
      </c>
      <c r="P24" s="64">
        <v>1.83</v>
      </c>
      <c r="Q24" s="64">
        <v>10.02</v>
      </c>
      <c r="R24" s="198"/>
      <c r="S24" s="198"/>
      <c r="T24" s="198"/>
      <c r="U24" s="198"/>
    </row>
    <row r="25" spans="1:21" s="12" customFormat="1" x14ac:dyDescent="0.25">
      <c r="A25" s="214" t="s">
        <v>2084</v>
      </c>
      <c r="B25" s="64">
        <v>137.36000000000001</v>
      </c>
      <c r="C25" s="64">
        <v>58.47</v>
      </c>
      <c r="D25" s="64">
        <v>139.33000000000001</v>
      </c>
      <c r="E25" s="64">
        <v>9.34</v>
      </c>
      <c r="F25" s="64">
        <v>2.13</v>
      </c>
      <c r="G25" s="64">
        <v>171.02</v>
      </c>
      <c r="H25" s="64">
        <v>64.97</v>
      </c>
      <c r="I25" s="210" t="s">
        <v>43</v>
      </c>
      <c r="J25" s="64">
        <v>0.75</v>
      </c>
      <c r="K25" s="64">
        <v>7.01</v>
      </c>
      <c r="L25" s="64">
        <v>9.94</v>
      </c>
      <c r="M25" s="64">
        <v>91.33</v>
      </c>
      <c r="N25" s="64">
        <v>80.900000000000006</v>
      </c>
      <c r="O25" s="64">
        <v>0</v>
      </c>
      <c r="P25" s="64">
        <v>1.79</v>
      </c>
      <c r="Q25" s="64">
        <v>9.9700000000000006</v>
      </c>
      <c r="R25" s="198"/>
      <c r="S25" s="198"/>
      <c r="T25" s="198"/>
      <c r="U25" s="198"/>
    </row>
    <row r="26" spans="1:21" s="12" customFormat="1" x14ac:dyDescent="0.25">
      <c r="A26" s="214" t="s">
        <v>2085</v>
      </c>
      <c r="B26" s="64">
        <v>132.63</v>
      </c>
      <c r="C26" s="64">
        <v>57.81</v>
      </c>
      <c r="D26" s="64">
        <v>135.19</v>
      </c>
      <c r="E26" s="64">
        <v>9.08</v>
      </c>
      <c r="F26" s="64">
        <v>2.13</v>
      </c>
      <c r="G26" s="64">
        <v>171.02</v>
      </c>
      <c r="H26" s="64">
        <v>64.97</v>
      </c>
      <c r="I26" s="210" t="s">
        <v>43</v>
      </c>
      <c r="J26" s="64">
        <v>1.76</v>
      </c>
      <c r="K26" s="64">
        <v>359.31</v>
      </c>
      <c r="L26" s="64">
        <v>10.06</v>
      </c>
      <c r="M26" s="64">
        <v>88.5</v>
      </c>
      <c r="N26" s="64">
        <v>81.2</v>
      </c>
      <c r="O26" s="64">
        <v>0</v>
      </c>
      <c r="P26" s="64">
        <v>1.77</v>
      </c>
      <c r="Q26" s="64">
        <v>9.9499999999999993</v>
      </c>
      <c r="R26" s="198"/>
      <c r="S26" s="198"/>
      <c r="T26" s="198"/>
      <c r="U26" s="198"/>
    </row>
    <row r="27" spans="1:21" s="12" customFormat="1" x14ac:dyDescent="0.25">
      <c r="A27" s="214" t="s">
        <v>2086</v>
      </c>
      <c r="B27" s="64">
        <v>129.13999999999999</v>
      </c>
      <c r="C27" s="64">
        <v>57.47</v>
      </c>
      <c r="D27" s="64">
        <v>132.21</v>
      </c>
      <c r="E27" s="64">
        <v>9.19</v>
      </c>
      <c r="F27" s="64">
        <v>2.13</v>
      </c>
      <c r="G27" s="64">
        <v>166.1</v>
      </c>
      <c r="H27" s="64">
        <v>65.28</v>
      </c>
      <c r="I27" s="210" t="s">
        <v>43</v>
      </c>
      <c r="J27" s="64">
        <v>1.79</v>
      </c>
      <c r="K27" s="64">
        <v>337.73</v>
      </c>
      <c r="L27" s="64">
        <v>9.6</v>
      </c>
      <c r="M27" s="64">
        <v>89.99</v>
      </c>
      <c r="N27" s="64">
        <v>81.2</v>
      </c>
      <c r="O27" s="64">
        <v>0</v>
      </c>
      <c r="P27" s="64">
        <v>1.76</v>
      </c>
      <c r="Q27" s="64">
        <v>9.92</v>
      </c>
      <c r="R27" s="198"/>
      <c r="S27" s="198"/>
      <c r="T27" s="198"/>
      <c r="U27" s="198"/>
    </row>
    <row r="28" spans="1:21" s="12" customFormat="1" x14ac:dyDescent="0.25">
      <c r="A28" s="214" t="s">
        <v>2087</v>
      </c>
      <c r="B28" s="64">
        <v>127.07</v>
      </c>
      <c r="C28" s="64">
        <v>57.47</v>
      </c>
      <c r="D28" s="64">
        <v>130.55000000000001</v>
      </c>
      <c r="E28" s="64">
        <v>9.34</v>
      </c>
      <c r="F28" s="64">
        <v>2.13</v>
      </c>
      <c r="G28" s="64">
        <v>163.99</v>
      </c>
      <c r="H28" s="64">
        <v>65.400000000000006</v>
      </c>
      <c r="I28" s="210" t="s">
        <v>43</v>
      </c>
      <c r="J28" s="64">
        <v>1.4</v>
      </c>
      <c r="K28" s="64">
        <v>342.02</v>
      </c>
      <c r="L28" s="64">
        <v>9.4700000000000006</v>
      </c>
      <c r="M28" s="64">
        <v>85.97</v>
      </c>
      <c r="N28" s="64">
        <v>81.2</v>
      </c>
      <c r="O28" s="64">
        <v>0</v>
      </c>
      <c r="P28" s="64">
        <v>1.73</v>
      </c>
      <c r="Q28" s="64">
        <v>9.8800000000000008</v>
      </c>
      <c r="R28" s="198"/>
      <c r="S28" s="198"/>
      <c r="T28" s="198"/>
      <c r="U28" s="198"/>
    </row>
    <row r="29" spans="1:21" s="12" customFormat="1" x14ac:dyDescent="0.25">
      <c r="A29" s="214" t="s">
        <v>2088</v>
      </c>
      <c r="B29" s="64">
        <v>124.43</v>
      </c>
      <c r="C29" s="64">
        <v>57.18</v>
      </c>
      <c r="D29" s="64">
        <v>128.28</v>
      </c>
      <c r="E29" s="64">
        <v>9.43</v>
      </c>
      <c r="F29" s="64">
        <v>2.13</v>
      </c>
      <c r="G29" s="64">
        <v>163.99</v>
      </c>
      <c r="H29" s="64">
        <v>65.400000000000006</v>
      </c>
      <c r="I29" s="210" t="s">
        <v>43</v>
      </c>
      <c r="J29" s="64">
        <v>0.32</v>
      </c>
      <c r="K29" s="64">
        <v>325.33999999999997</v>
      </c>
      <c r="L29" s="64">
        <v>9.6</v>
      </c>
      <c r="M29" s="64">
        <v>85.42</v>
      </c>
      <c r="N29" s="64">
        <v>80.900000000000006</v>
      </c>
      <c r="O29" s="64">
        <v>0</v>
      </c>
      <c r="P29" s="64">
        <v>1.7</v>
      </c>
      <c r="Q29" s="64">
        <v>9.8800000000000008</v>
      </c>
      <c r="R29" s="198"/>
      <c r="S29" s="198"/>
      <c r="T29" s="198"/>
      <c r="U29" s="198"/>
    </row>
    <row r="30" spans="1:21" s="12" customFormat="1" x14ac:dyDescent="0.25">
      <c r="A30" s="214" t="s">
        <v>2089</v>
      </c>
      <c r="B30" s="64">
        <v>123.48</v>
      </c>
      <c r="C30" s="64">
        <v>57.38</v>
      </c>
      <c r="D30" s="64">
        <v>127.63</v>
      </c>
      <c r="E30" s="64">
        <v>9.0500000000000007</v>
      </c>
      <c r="F30" s="64">
        <v>2.13</v>
      </c>
      <c r="G30" s="64">
        <v>163.99</v>
      </c>
      <c r="H30" s="64">
        <v>65.400000000000006</v>
      </c>
      <c r="I30" s="210" t="s">
        <v>43</v>
      </c>
      <c r="J30" s="64">
        <v>1.76</v>
      </c>
      <c r="K30" s="64">
        <v>308.88</v>
      </c>
      <c r="L30" s="64">
        <v>9.7100000000000009</v>
      </c>
      <c r="M30" s="64">
        <v>82.97</v>
      </c>
      <c r="N30" s="64">
        <v>81.3</v>
      </c>
      <c r="O30" s="64">
        <v>0</v>
      </c>
      <c r="P30" s="64">
        <v>1.67</v>
      </c>
      <c r="Q30" s="64">
        <v>9.91</v>
      </c>
      <c r="R30" s="198"/>
      <c r="S30" s="198"/>
      <c r="T30" s="198"/>
      <c r="U30" s="198"/>
    </row>
    <row r="31" spans="1:21" s="12" customFormat="1" x14ac:dyDescent="0.25">
      <c r="A31" s="214" t="s">
        <v>2090</v>
      </c>
      <c r="B31" s="64">
        <v>123.83</v>
      </c>
      <c r="C31" s="64">
        <v>57.55</v>
      </c>
      <c r="D31" s="64">
        <v>127.99</v>
      </c>
      <c r="E31" s="64">
        <v>8.5299999999999994</v>
      </c>
      <c r="F31" s="64">
        <v>2.13</v>
      </c>
      <c r="G31" s="64">
        <v>153.84</v>
      </c>
      <c r="H31" s="64">
        <v>61.6</v>
      </c>
      <c r="I31" s="210" t="s">
        <v>43</v>
      </c>
      <c r="J31" s="64">
        <v>0.89</v>
      </c>
      <c r="K31" s="64">
        <v>124.87</v>
      </c>
      <c r="L31" s="64">
        <v>9.36</v>
      </c>
      <c r="M31" s="64">
        <v>83.28</v>
      </c>
      <c r="N31" s="64">
        <v>81.400000000000006</v>
      </c>
      <c r="O31" s="64">
        <v>0</v>
      </c>
      <c r="P31" s="64">
        <v>1.65</v>
      </c>
      <c r="Q31" s="64">
        <v>9.93</v>
      </c>
      <c r="R31" s="198"/>
      <c r="S31" s="198"/>
      <c r="T31" s="198"/>
      <c r="U31" s="198"/>
    </row>
    <row r="32" spans="1:21" s="12" customFormat="1" x14ac:dyDescent="0.25">
      <c r="A32" s="214" t="s">
        <v>2091</v>
      </c>
      <c r="B32" s="64">
        <v>124.81</v>
      </c>
      <c r="C32" s="64">
        <v>58.25</v>
      </c>
      <c r="D32" s="64">
        <v>129.15</v>
      </c>
      <c r="E32" s="64">
        <v>8.48</v>
      </c>
      <c r="F32" s="64">
        <v>2.13</v>
      </c>
      <c r="G32" s="64">
        <v>149.47999999999999</v>
      </c>
      <c r="H32" s="64">
        <v>59.96</v>
      </c>
      <c r="I32" s="210" t="s">
        <v>43</v>
      </c>
      <c r="J32" s="64">
        <v>0.9</v>
      </c>
      <c r="K32" s="64">
        <v>121.9</v>
      </c>
      <c r="L32" s="64">
        <v>9.0399999999999991</v>
      </c>
      <c r="M32" s="64">
        <v>84.95</v>
      </c>
      <c r="N32" s="64">
        <v>81.599999999999994</v>
      </c>
      <c r="O32" s="64">
        <v>0</v>
      </c>
      <c r="P32" s="64">
        <v>1.62</v>
      </c>
      <c r="Q32" s="64">
        <v>9.89</v>
      </c>
      <c r="R32" s="198"/>
      <c r="S32" s="198"/>
      <c r="T32" s="198"/>
      <c r="U32" s="198"/>
    </row>
    <row r="33" spans="1:21" s="12" customFormat="1" x14ac:dyDescent="0.25">
      <c r="A33" s="214" t="s">
        <v>2092</v>
      </c>
      <c r="B33" s="64">
        <v>126.23</v>
      </c>
      <c r="C33" s="64">
        <v>59.03</v>
      </c>
      <c r="D33" s="64">
        <v>130.69</v>
      </c>
      <c r="E33" s="64">
        <v>7.89</v>
      </c>
      <c r="F33" s="64">
        <v>2.13</v>
      </c>
      <c r="G33" s="64">
        <v>149.47999999999999</v>
      </c>
      <c r="H33" s="64">
        <v>59.96</v>
      </c>
      <c r="I33" s="210" t="s">
        <v>43</v>
      </c>
      <c r="J33" s="64">
        <v>1.75</v>
      </c>
      <c r="K33" s="64">
        <v>309.14999999999998</v>
      </c>
      <c r="L33" s="64">
        <v>8.9700000000000006</v>
      </c>
      <c r="M33" s="64">
        <v>84.84</v>
      </c>
      <c r="N33" s="64">
        <v>81.3</v>
      </c>
      <c r="O33" s="64">
        <v>0</v>
      </c>
      <c r="P33" s="64">
        <v>1.61</v>
      </c>
      <c r="Q33" s="64">
        <v>9.9</v>
      </c>
      <c r="R33" s="198"/>
      <c r="S33" s="198"/>
      <c r="T33" s="198"/>
      <c r="U33" s="198"/>
    </row>
    <row r="34" spans="1:21" s="12" customFormat="1" x14ac:dyDescent="0.25">
      <c r="A34" s="214" t="s">
        <v>2093</v>
      </c>
      <c r="B34" s="64">
        <v>125.86</v>
      </c>
      <c r="C34" s="64">
        <v>59.22</v>
      </c>
      <c r="D34" s="64">
        <v>130.49</v>
      </c>
      <c r="E34" s="64">
        <v>7.93</v>
      </c>
      <c r="F34" s="64">
        <v>2.13</v>
      </c>
      <c r="G34" s="64">
        <v>149.47999999999999</v>
      </c>
      <c r="H34" s="64">
        <v>59.96</v>
      </c>
      <c r="I34" s="210" t="s">
        <v>43</v>
      </c>
      <c r="J34" s="64">
        <v>1.74</v>
      </c>
      <c r="K34" s="64">
        <v>309.14999999999998</v>
      </c>
      <c r="L34" s="64">
        <v>9.02</v>
      </c>
      <c r="M34" s="64">
        <v>84.52</v>
      </c>
      <c r="N34" s="64">
        <v>81.900000000000006</v>
      </c>
      <c r="O34" s="64">
        <v>0</v>
      </c>
      <c r="P34" s="64">
        <v>1.62</v>
      </c>
      <c r="Q34" s="64">
        <v>9.9</v>
      </c>
      <c r="R34" s="198"/>
      <c r="S34" s="198"/>
      <c r="T34" s="198"/>
      <c r="U34" s="198"/>
    </row>
    <row r="35" spans="1:21" s="12" customFormat="1" x14ac:dyDescent="0.25">
      <c r="A35" s="214" t="s">
        <v>2094</v>
      </c>
      <c r="B35" s="64">
        <v>125.62</v>
      </c>
      <c r="C35" s="64">
        <v>59.1</v>
      </c>
      <c r="D35" s="64">
        <v>130.24</v>
      </c>
      <c r="E35" s="64">
        <v>7.69</v>
      </c>
      <c r="F35" s="64">
        <v>2.13</v>
      </c>
      <c r="G35" s="64">
        <v>150.35</v>
      </c>
      <c r="H35" s="64">
        <v>57.09</v>
      </c>
      <c r="I35" s="210" t="s">
        <v>43</v>
      </c>
      <c r="J35" s="64">
        <v>1.59</v>
      </c>
      <c r="K35" s="64">
        <v>324.14999999999998</v>
      </c>
      <c r="L35" s="64">
        <v>9.0500000000000007</v>
      </c>
      <c r="M35" s="64">
        <v>85.55</v>
      </c>
      <c r="N35" s="64">
        <v>84.3</v>
      </c>
      <c r="O35" s="64">
        <v>0</v>
      </c>
      <c r="P35" s="64">
        <v>1.64</v>
      </c>
      <c r="Q35" s="64">
        <v>9.89</v>
      </c>
      <c r="R35" s="198"/>
      <c r="S35" s="198"/>
      <c r="T35" s="198"/>
      <c r="U35" s="198"/>
    </row>
    <row r="36" spans="1:21" s="12" customFormat="1" x14ac:dyDescent="0.25">
      <c r="A36" s="214" t="s">
        <v>2095</v>
      </c>
      <c r="B36" s="64">
        <v>127.76</v>
      </c>
      <c r="C36" s="64">
        <v>59.52</v>
      </c>
      <c r="D36" s="64">
        <v>132.16999999999999</v>
      </c>
      <c r="E36" s="64">
        <v>8.1</v>
      </c>
      <c r="F36" s="64">
        <v>2.13</v>
      </c>
      <c r="G36" s="64">
        <v>150.72</v>
      </c>
      <c r="H36" s="64">
        <v>55.86</v>
      </c>
      <c r="I36" s="210" t="s">
        <v>43</v>
      </c>
      <c r="J36" s="64">
        <v>1.38</v>
      </c>
      <c r="K36" s="64">
        <v>281.20999999999998</v>
      </c>
      <c r="L36" s="64">
        <v>9.0299999999999994</v>
      </c>
      <c r="M36" s="64">
        <v>85.92</v>
      </c>
      <c r="N36" s="64">
        <v>92.1</v>
      </c>
      <c r="O36" s="64">
        <v>0</v>
      </c>
      <c r="P36" s="64">
        <v>1.67</v>
      </c>
      <c r="Q36" s="64">
        <v>9.8800000000000008</v>
      </c>
      <c r="R36" s="198"/>
      <c r="S36" s="198"/>
      <c r="T36" s="198"/>
      <c r="U36" s="198"/>
    </row>
    <row r="37" spans="1:21" s="12" customFormat="1" x14ac:dyDescent="0.25">
      <c r="A37" s="214" t="s">
        <v>2096</v>
      </c>
      <c r="B37" s="64">
        <v>129.4</v>
      </c>
      <c r="C37" s="64">
        <v>57.89</v>
      </c>
      <c r="D37" s="64">
        <v>132.63</v>
      </c>
      <c r="E37" s="64">
        <v>8.1999999999999993</v>
      </c>
      <c r="F37" s="64">
        <v>2.13</v>
      </c>
      <c r="G37" s="64">
        <v>150.72</v>
      </c>
      <c r="H37" s="64">
        <v>55.86</v>
      </c>
      <c r="I37" s="210" t="s">
        <v>43</v>
      </c>
      <c r="J37" s="64">
        <v>1.75</v>
      </c>
      <c r="K37" s="64">
        <v>266.12</v>
      </c>
      <c r="L37" s="64">
        <v>9.3699999999999992</v>
      </c>
      <c r="M37" s="64">
        <v>90.06</v>
      </c>
      <c r="N37" s="64">
        <v>102.3</v>
      </c>
      <c r="O37" s="64">
        <v>0</v>
      </c>
      <c r="P37" s="64">
        <v>1.67</v>
      </c>
      <c r="Q37" s="64">
        <v>9.9</v>
      </c>
      <c r="R37" s="198"/>
      <c r="S37" s="198"/>
      <c r="T37" s="198"/>
      <c r="U37" s="198"/>
    </row>
    <row r="38" spans="1:21" s="12" customFormat="1" x14ac:dyDescent="0.25">
      <c r="A38" s="214" t="s">
        <v>2097</v>
      </c>
      <c r="B38" s="64">
        <v>130.1</v>
      </c>
      <c r="C38" s="64">
        <v>57.79</v>
      </c>
      <c r="D38" s="64">
        <v>133.15</v>
      </c>
      <c r="E38" s="64">
        <v>8.0299999999999994</v>
      </c>
      <c r="F38" s="64">
        <v>2.13</v>
      </c>
      <c r="G38" s="64">
        <v>150.72</v>
      </c>
      <c r="H38" s="64">
        <v>55.86</v>
      </c>
      <c r="I38" s="210" t="s">
        <v>43</v>
      </c>
      <c r="J38" s="64">
        <v>1.56</v>
      </c>
      <c r="K38" s="64">
        <v>187.61</v>
      </c>
      <c r="L38" s="64">
        <v>9.86</v>
      </c>
      <c r="M38" s="64">
        <v>93.82</v>
      </c>
      <c r="N38" s="64">
        <v>113.4</v>
      </c>
      <c r="O38" s="64">
        <v>0</v>
      </c>
      <c r="P38" s="64">
        <v>1.73</v>
      </c>
      <c r="Q38" s="64">
        <v>9.89</v>
      </c>
      <c r="R38" s="198"/>
      <c r="S38" s="198"/>
      <c r="T38" s="198"/>
      <c r="U38" s="198"/>
    </row>
    <row r="39" spans="1:21" s="12" customFormat="1" x14ac:dyDescent="0.25">
      <c r="A39" s="214" t="s">
        <v>2098</v>
      </c>
      <c r="B39" s="64">
        <v>128.52000000000001</v>
      </c>
      <c r="C39" s="64">
        <v>57.85</v>
      </c>
      <c r="D39" s="64">
        <v>131.91</v>
      </c>
      <c r="E39" s="64">
        <v>8.1</v>
      </c>
      <c r="F39" s="64">
        <v>2.13</v>
      </c>
      <c r="G39" s="64">
        <v>152.07</v>
      </c>
      <c r="H39" s="64">
        <v>53.68</v>
      </c>
      <c r="I39" s="210" t="s">
        <v>43</v>
      </c>
      <c r="J39" s="64">
        <v>1.96</v>
      </c>
      <c r="K39" s="64">
        <v>191.35</v>
      </c>
      <c r="L39" s="64">
        <v>10.41</v>
      </c>
      <c r="M39" s="64">
        <v>91.77</v>
      </c>
      <c r="N39" s="64">
        <v>144.69999999999999</v>
      </c>
      <c r="O39" s="64">
        <v>0</v>
      </c>
      <c r="P39" s="64">
        <v>1.71</v>
      </c>
      <c r="Q39" s="64">
        <v>9.9499999999999993</v>
      </c>
      <c r="R39" s="198"/>
      <c r="S39" s="198"/>
      <c r="T39" s="198"/>
      <c r="U39" s="198"/>
    </row>
    <row r="40" spans="1:21" s="12" customFormat="1" x14ac:dyDescent="0.25">
      <c r="A40" s="214" t="s">
        <v>2099</v>
      </c>
      <c r="B40" s="64">
        <v>124.47</v>
      </c>
      <c r="C40" s="64">
        <v>57.62</v>
      </c>
      <c r="D40" s="64">
        <v>128.54</v>
      </c>
      <c r="E40" s="64">
        <v>8.98</v>
      </c>
      <c r="F40" s="64">
        <v>2.13</v>
      </c>
      <c r="G40" s="64">
        <v>152.65</v>
      </c>
      <c r="H40" s="64">
        <v>52.74</v>
      </c>
      <c r="I40" s="210" t="s">
        <v>43</v>
      </c>
      <c r="J40" s="64">
        <v>1.17</v>
      </c>
      <c r="K40" s="64">
        <v>210.1</v>
      </c>
      <c r="L40" s="64">
        <v>11.54</v>
      </c>
      <c r="M40" s="64">
        <v>86.32</v>
      </c>
      <c r="N40" s="64">
        <v>261.2</v>
      </c>
      <c r="O40" s="64">
        <v>0</v>
      </c>
      <c r="P40" s="64">
        <v>1.68</v>
      </c>
      <c r="Q40" s="64">
        <v>9.8800000000000008</v>
      </c>
      <c r="R40" s="198"/>
      <c r="S40" s="198"/>
      <c r="T40" s="198"/>
      <c r="U40" s="198"/>
    </row>
    <row r="41" spans="1:21" s="12" customFormat="1" x14ac:dyDescent="0.25">
      <c r="A41" s="214" t="s">
        <v>2100</v>
      </c>
      <c r="B41" s="64">
        <v>120.94</v>
      </c>
      <c r="C41" s="64">
        <v>57.52</v>
      </c>
      <c r="D41" s="64">
        <v>125.66</v>
      </c>
      <c r="E41" s="64">
        <v>8.5500000000000007</v>
      </c>
      <c r="F41" s="64">
        <v>2.13</v>
      </c>
      <c r="G41" s="64">
        <v>152.65</v>
      </c>
      <c r="H41" s="64">
        <v>52.74</v>
      </c>
      <c r="I41" s="210" t="s">
        <v>43</v>
      </c>
      <c r="J41" s="64">
        <v>0.28999999999999998</v>
      </c>
      <c r="K41" s="64">
        <v>7.58</v>
      </c>
      <c r="L41" s="64">
        <v>14.61</v>
      </c>
      <c r="M41" s="64">
        <v>70.510000000000005</v>
      </c>
      <c r="N41" s="64">
        <v>332.2</v>
      </c>
      <c r="O41" s="64">
        <v>0</v>
      </c>
      <c r="P41" s="64">
        <v>1.66</v>
      </c>
      <c r="Q41" s="64">
        <v>9.8800000000000008</v>
      </c>
      <c r="R41" s="198"/>
      <c r="S41" s="198"/>
      <c r="T41" s="198"/>
      <c r="U41" s="198"/>
    </row>
    <row r="42" spans="1:21" s="12" customFormat="1" x14ac:dyDescent="0.25">
      <c r="A42" s="214" t="s">
        <v>2101</v>
      </c>
      <c r="B42" s="64">
        <v>119.29</v>
      </c>
      <c r="C42" s="64">
        <v>58.26</v>
      </c>
      <c r="D42" s="64">
        <v>124.72</v>
      </c>
      <c r="E42" s="64">
        <v>8.6</v>
      </c>
      <c r="F42" s="64">
        <v>2.13</v>
      </c>
      <c r="G42" s="64">
        <v>152.65</v>
      </c>
      <c r="H42" s="64">
        <v>52.74</v>
      </c>
      <c r="I42" s="210" t="s">
        <v>43</v>
      </c>
      <c r="J42" s="64">
        <v>0.56999999999999995</v>
      </c>
      <c r="K42" s="64">
        <v>246.07</v>
      </c>
      <c r="L42" s="64">
        <v>17.010000000000002</v>
      </c>
      <c r="M42" s="64">
        <v>61.22</v>
      </c>
      <c r="N42" s="64">
        <v>387.9</v>
      </c>
      <c r="O42" s="64">
        <v>0</v>
      </c>
      <c r="P42" s="64">
        <v>1.66</v>
      </c>
      <c r="Q42" s="64">
        <v>9.8699999999999992</v>
      </c>
      <c r="R42" s="198"/>
      <c r="S42" s="198"/>
      <c r="T42" s="198"/>
      <c r="U42" s="198"/>
    </row>
    <row r="43" spans="1:21" s="12" customFormat="1" x14ac:dyDescent="0.25">
      <c r="A43" s="214" t="s">
        <v>2102</v>
      </c>
      <c r="B43" s="64">
        <v>117.2</v>
      </c>
      <c r="C43" s="64">
        <v>59.52</v>
      </c>
      <c r="D43" s="64">
        <v>123.71</v>
      </c>
      <c r="E43" s="64">
        <v>8.16</v>
      </c>
      <c r="F43" s="64">
        <v>2.13</v>
      </c>
      <c r="G43" s="64">
        <v>146.03</v>
      </c>
      <c r="H43" s="64">
        <v>53.32</v>
      </c>
      <c r="I43" s="210" t="s">
        <v>43</v>
      </c>
      <c r="J43" s="64">
        <v>1.57</v>
      </c>
      <c r="K43" s="64">
        <v>332.21</v>
      </c>
      <c r="L43" s="64">
        <v>18.350000000000001</v>
      </c>
      <c r="M43" s="64">
        <v>57.4</v>
      </c>
      <c r="N43" s="64">
        <v>436</v>
      </c>
      <c r="O43" s="64">
        <v>0</v>
      </c>
      <c r="P43" s="64">
        <v>1.65</v>
      </c>
      <c r="Q43" s="64">
        <v>9.86</v>
      </c>
      <c r="R43" s="198"/>
      <c r="S43" s="198"/>
      <c r="T43" s="198"/>
      <c r="U43" s="198"/>
    </row>
    <row r="44" spans="1:21" s="12" customFormat="1" x14ac:dyDescent="0.25">
      <c r="A44" s="214" t="s">
        <v>2103</v>
      </c>
      <c r="B44" s="64">
        <v>114.59</v>
      </c>
      <c r="C44" s="64">
        <v>60.81</v>
      </c>
      <c r="D44" s="64">
        <v>122.29</v>
      </c>
      <c r="E44" s="64">
        <v>8.15</v>
      </c>
      <c r="F44" s="64">
        <v>2.13</v>
      </c>
      <c r="G44" s="64">
        <v>143.19</v>
      </c>
      <c r="H44" s="64">
        <v>53.59</v>
      </c>
      <c r="I44" s="210" t="s">
        <v>43</v>
      </c>
      <c r="J44" s="64">
        <v>1.01</v>
      </c>
      <c r="K44" s="64">
        <v>321.58999999999997</v>
      </c>
      <c r="L44" s="64">
        <v>20.329999999999998</v>
      </c>
      <c r="M44" s="64">
        <v>49.27</v>
      </c>
      <c r="N44" s="64">
        <v>481.9</v>
      </c>
      <c r="O44" s="64">
        <v>0</v>
      </c>
      <c r="P44" s="64">
        <v>1.66</v>
      </c>
      <c r="Q44" s="64">
        <v>9.84</v>
      </c>
      <c r="R44" s="198"/>
      <c r="S44" s="198"/>
      <c r="T44" s="198"/>
      <c r="U44" s="198"/>
    </row>
    <row r="45" spans="1:21" s="12" customFormat="1" x14ac:dyDescent="0.25">
      <c r="A45" s="214" t="s">
        <v>2104</v>
      </c>
      <c r="B45" s="64">
        <v>112.06</v>
      </c>
      <c r="C45" s="64">
        <v>63.02</v>
      </c>
      <c r="D45" s="64">
        <v>121.42</v>
      </c>
      <c r="E45" s="64">
        <v>8.64</v>
      </c>
      <c r="F45" s="64">
        <v>2.13</v>
      </c>
      <c r="G45" s="64">
        <v>143.19</v>
      </c>
      <c r="H45" s="64">
        <v>53.59</v>
      </c>
      <c r="I45" s="210" t="s">
        <v>43</v>
      </c>
      <c r="J45" s="64">
        <v>1.36</v>
      </c>
      <c r="K45" s="64">
        <v>353</v>
      </c>
      <c r="L45" s="64">
        <v>21.67</v>
      </c>
      <c r="M45" s="64">
        <v>41.12</v>
      </c>
      <c r="N45" s="64">
        <v>524.1</v>
      </c>
      <c r="O45" s="64">
        <v>0</v>
      </c>
      <c r="P45" s="64">
        <v>1.66</v>
      </c>
      <c r="Q45" s="64">
        <v>9.81</v>
      </c>
      <c r="R45" s="198"/>
      <c r="S45" s="198"/>
      <c r="T45" s="198"/>
      <c r="U45" s="198"/>
    </row>
    <row r="46" spans="1:21" s="12" customFormat="1" x14ac:dyDescent="0.25">
      <c r="A46" s="214" t="s">
        <v>2105</v>
      </c>
      <c r="B46" s="64">
        <v>108.1</v>
      </c>
      <c r="C46" s="64">
        <v>65.08</v>
      </c>
      <c r="D46" s="64">
        <v>119.31</v>
      </c>
      <c r="E46" s="64">
        <v>9.1999999999999993</v>
      </c>
      <c r="F46" s="64">
        <v>2.13</v>
      </c>
      <c r="G46" s="64">
        <v>143.19</v>
      </c>
      <c r="H46" s="64">
        <v>53.59</v>
      </c>
      <c r="I46" s="210" t="s">
        <v>43</v>
      </c>
      <c r="J46" s="64">
        <v>2.0699999999999998</v>
      </c>
      <c r="K46" s="64">
        <v>343.02</v>
      </c>
      <c r="L46" s="64">
        <v>23.76</v>
      </c>
      <c r="M46" s="64">
        <v>29.01</v>
      </c>
      <c r="N46" s="64">
        <v>560.20000000000005</v>
      </c>
      <c r="O46" s="64">
        <v>0</v>
      </c>
      <c r="P46" s="64">
        <v>1.63</v>
      </c>
      <c r="Q46" s="64">
        <v>9.82</v>
      </c>
      <c r="R46" s="198"/>
      <c r="S46" s="198"/>
      <c r="T46" s="198"/>
      <c r="U46" s="198"/>
    </row>
    <row r="47" spans="1:21" s="12" customFormat="1" x14ac:dyDescent="0.25">
      <c r="A47" s="214" t="s">
        <v>2106</v>
      </c>
      <c r="B47" s="64">
        <v>103.05</v>
      </c>
      <c r="C47" s="64">
        <v>66.760000000000005</v>
      </c>
      <c r="D47" s="64">
        <v>116.14</v>
      </c>
      <c r="E47" s="64">
        <v>8.9700000000000006</v>
      </c>
      <c r="F47" s="64">
        <v>2.13</v>
      </c>
      <c r="G47" s="64">
        <v>144.02000000000001</v>
      </c>
      <c r="H47" s="64">
        <v>51.02</v>
      </c>
      <c r="I47" s="210" t="s">
        <v>43</v>
      </c>
      <c r="J47" s="64">
        <v>2.73</v>
      </c>
      <c r="K47" s="64">
        <v>346.31</v>
      </c>
      <c r="L47" s="64">
        <v>26.05</v>
      </c>
      <c r="M47" s="64">
        <v>25.8</v>
      </c>
      <c r="N47" s="64">
        <v>569.9</v>
      </c>
      <c r="O47" s="64">
        <v>0</v>
      </c>
      <c r="P47" s="64">
        <v>1.61</v>
      </c>
      <c r="Q47" s="64">
        <v>9.7899999999999991</v>
      </c>
      <c r="R47" s="198"/>
      <c r="S47" s="198"/>
      <c r="T47" s="198"/>
      <c r="U47" s="198"/>
    </row>
    <row r="48" spans="1:21" s="12" customFormat="1" x14ac:dyDescent="0.25">
      <c r="A48" s="214" t="s">
        <v>2107</v>
      </c>
      <c r="B48" s="64">
        <v>97.69</v>
      </c>
      <c r="C48" s="64">
        <v>68.599999999999994</v>
      </c>
      <c r="D48" s="64">
        <v>112.8</v>
      </c>
      <c r="E48" s="64">
        <v>8.85</v>
      </c>
      <c r="F48" s="64">
        <v>2.13</v>
      </c>
      <c r="G48" s="64">
        <v>144.38</v>
      </c>
      <c r="H48" s="64">
        <v>49.92</v>
      </c>
      <c r="I48" s="210" t="s">
        <v>43</v>
      </c>
      <c r="J48" s="64">
        <v>2.64</v>
      </c>
      <c r="K48" s="64">
        <v>341.68</v>
      </c>
      <c r="L48" s="64">
        <v>26.94</v>
      </c>
      <c r="M48" s="64">
        <v>25.5</v>
      </c>
      <c r="N48" s="64">
        <v>582.20000000000005</v>
      </c>
      <c r="O48" s="64">
        <v>0</v>
      </c>
      <c r="P48" s="64">
        <v>1.6</v>
      </c>
      <c r="Q48" s="64">
        <v>9.7799999999999994</v>
      </c>
      <c r="R48" s="198"/>
      <c r="S48" s="198"/>
      <c r="T48" s="198"/>
      <c r="U48" s="198"/>
    </row>
    <row r="49" spans="1:21" s="12" customFormat="1" x14ac:dyDescent="0.25">
      <c r="A49" s="214" t="s">
        <v>2108</v>
      </c>
      <c r="B49" s="211" t="s">
        <v>40</v>
      </c>
      <c r="C49" s="211" t="s">
        <v>40</v>
      </c>
      <c r="D49" s="211" t="s">
        <v>40</v>
      </c>
      <c r="E49" s="64">
        <v>8.77</v>
      </c>
      <c r="F49" s="64">
        <v>2.13</v>
      </c>
      <c r="G49" s="64">
        <v>144.38</v>
      </c>
      <c r="H49" s="64">
        <v>49.92</v>
      </c>
      <c r="I49" s="210" t="s">
        <v>43</v>
      </c>
      <c r="J49" s="64">
        <v>2.4500000000000002</v>
      </c>
      <c r="K49" s="64">
        <v>334.6</v>
      </c>
      <c r="L49" s="64">
        <v>27.26</v>
      </c>
      <c r="M49" s="64">
        <v>26.14</v>
      </c>
      <c r="N49" s="64">
        <v>604</v>
      </c>
      <c r="O49" s="64">
        <v>0</v>
      </c>
      <c r="P49" s="64">
        <v>1.61</v>
      </c>
      <c r="Q49" s="64">
        <v>9.7899999999999991</v>
      </c>
      <c r="R49" s="198"/>
      <c r="S49" s="198"/>
      <c r="T49" s="198"/>
      <c r="U49" s="198"/>
    </row>
    <row r="50" spans="1:21" s="12" customFormat="1" x14ac:dyDescent="0.25">
      <c r="A50" s="214" t="s">
        <v>2109</v>
      </c>
      <c r="B50" s="211" t="s">
        <v>40</v>
      </c>
      <c r="C50" s="211" t="s">
        <v>40</v>
      </c>
      <c r="D50" s="211" t="s">
        <v>40</v>
      </c>
      <c r="E50" s="64">
        <v>8.11</v>
      </c>
      <c r="F50" s="64">
        <v>2.13</v>
      </c>
      <c r="G50" s="64">
        <v>144.38</v>
      </c>
      <c r="H50" s="64">
        <v>49.92</v>
      </c>
      <c r="I50" s="210" t="s">
        <v>43</v>
      </c>
      <c r="J50" s="64">
        <v>1.95</v>
      </c>
      <c r="K50" s="64">
        <v>110.27</v>
      </c>
      <c r="L50" s="64">
        <v>22.83</v>
      </c>
      <c r="M50" s="64">
        <v>33.71</v>
      </c>
      <c r="N50" s="64">
        <v>633.70000000000005</v>
      </c>
      <c r="O50" s="64">
        <v>0</v>
      </c>
      <c r="P50" s="64">
        <v>1.6</v>
      </c>
      <c r="Q50" s="64">
        <v>9.75</v>
      </c>
      <c r="R50" s="198"/>
      <c r="S50" s="198"/>
      <c r="T50" s="198"/>
      <c r="U50" s="198"/>
    </row>
    <row r="51" spans="1:21" s="12" customFormat="1" x14ac:dyDescent="0.25">
      <c r="A51" s="214" t="s">
        <v>2110</v>
      </c>
      <c r="B51" s="211" t="s">
        <v>40</v>
      </c>
      <c r="C51" s="211" t="s">
        <v>40</v>
      </c>
      <c r="D51" s="211" t="s">
        <v>40</v>
      </c>
      <c r="E51" s="64">
        <v>7.5</v>
      </c>
      <c r="F51" s="64">
        <v>2.13</v>
      </c>
      <c r="G51" s="64">
        <v>133.44999999999999</v>
      </c>
      <c r="H51" s="64">
        <v>48.63</v>
      </c>
      <c r="I51" s="210" t="s">
        <v>43</v>
      </c>
      <c r="J51" s="64">
        <v>0.88</v>
      </c>
      <c r="K51" s="64">
        <v>32.78</v>
      </c>
      <c r="L51" s="64">
        <v>23.11</v>
      </c>
      <c r="M51" s="64">
        <v>31.66</v>
      </c>
      <c r="N51" s="64">
        <v>661</v>
      </c>
      <c r="O51" s="64">
        <v>0</v>
      </c>
      <c r="P51" s="64">
        <v>1.55</v>
      </c>
      <c r="Q51" s="64">
        <v>9.6999999999999993</v>
      </c>
      <c r="R51" s="198"/>
      <c r="S51" s="198"/>
      <c r="T51" s="198"/>
      <c r="U51" s="198"/>
    </row>
    <row r="52" spans="1:21" s="12" customFormat="1" x14ac:dyDescent="0.25">
      <c r="A52" s="214" t="s">
        <v>2111</v>
      </c>
      <c r="B52" s="64">
        <v>55.28</v>
      </c>
      <c r="C52" s="64">
        <v>81.25</v>
      </c>
      <c r="D52" s="64">
        <v>85.4</v>
      </c>
      <c r="E52" s="64">
        <v>8.6999999999999993</v>
      </c>
      <c r="F52" s="64">
        <v>2.44</v>
      </c>
      <c r="G52" s="64">
        <v>128.77000000000001</v>
      </c>
      <c r="H52" s="64">
        <v>48.05</v>
      </c>
      <c r="I52" s="210" t="s">
        <v>43</v>
      </c>
      <c r="J52" s="64">
        <v>1.57</v>
      </c>
      <c r="K52" s="64">
        <v>342.08</v>
      </c>
      <c r="L52" s="64">
        <v>25.72</v>
      </c>
      <c r="M52" s="64">
        <v>26.92</v>
      </c>
      <c r="N52" s="64">
        <v>678.8</v>
      </c>
      <c r="O52" s="64">
        <v>0</v>
      </c>
      <c r="P52" s="64">
        <v>1.29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4" t="s">
        <v>2112</v>
      </c>
      <c r="B53" s="64">
        <v>19.420000000000002</v>
      </c>
      <c r="C53" s="64">
        <v>98.36</v>
      </c>
      <c r="D53" s="64">
        <v>65.59</v>
      </c>
      <c r="E53" s="64">
        <v>3.79</v>
      </c>
      <c r="F53" s="64">
        <v>2.5299999999999998</v>
      </c>
      <c r="G53" s="64">
        <v>128.77000000000001</v>
      </c>
      <c r="H53" s="64">
        <v>48.05</v>
      </c>
      <c r="I53" s="210" t="s">
        <v>43</v>
      </c>
      <c r="J53" s="64">
        <v>2.1800000000000002</v>
      </c>
      <c r="K53" s="64">
        <v>343.75</v>
      </c>
      <c r="L53" s="64">
        <v>26.65</v>
      </c>
      <c r="M53" s="64">
        <v>25.78</v>
      </c>
      <c r="N53" s="64">
        <v>691.4</v>
      </c>
      <c r="O53" s="64">
        <v>0</v>
      </c>
      <c r="P53" s="64">
        <v>0.89</v>
      </c>
      <c r="Q53" s="64">
        <v>8.35</v>
      </c>
      <c r="R53" s="198"/>
      <c r="S53" s="198"/>
      <c r="T53" s="198"/>
      <c r="U53" s="198"/>
    </row>
    <row r="54" spans="1:21" s="12" customFormat="1" x14ac:dyDescent="0.25">
      <c r="A54" s="214" t="s">
        <v>2113</v>
      </c>
      <c r="B54" s="64">
        <v>14.54</v>
      </c>
      <c r="C54" s="64">
        <v>99.05</v>
      </c>
      <c r="D54" s="64">
        <v>62.04</v>
      </c>
      <c r="E54" s="64">
        <v>4.62</v>
      </c>
      <c r="F54" s="64">
        <v>2.13</v>
      </c>
      <c r="G54" s="64">
        <v>128.77000000000001</v>
      </c>
      <c r="H54" s="64">
        <v>48.05</v>
      </c>
      <c r="I54" s="210" t="s">
        <v>43</v>
      </c>
      <c r="J54" s="64">
        <v>1.23</v>
      </c>
      <c r="K54" s="64">
        <v>4.84</v>
      </c>
      <c r="L54" s="64">
        <v>26.14</v>
      </c>
      <c r="M54" s="64">
        <v>26.13</v>
      </c>
      <c r="N54" s="64">
        <v>707.6</v>
      </c>
      <c r="O54" s="64">
        <v>0</v>
      </c>
      <c r="P54" s="64">
        <v>0.78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2114</v>
      </c>
      <c r="B55" s="64">
        <v>11.3</v>
      </c>
      <c r="C55" s="64">
        <v>96.85</v>
      </c>
      <c r="D55" s="64">
        <v>58.29</v>
      </c>
      <c r="E55" s="64">
        <v>5.32</v>
      </c>
      <c r="F55" s="64">
        <v>2.14</v>
      </c>
      <c r="G55" s="64">
        <v>128.77000000000001</v>
      </c>
      <c r="H55" s="64">
        <v>48.05</v>
      </c>
      <c r="I55" s="210" t="s">
        <v>43</v>
      </c>
      <c r="J55" s="64">
        <v>1.35</v>
      </c>
      <c r="K55" s="64">
        <v>124.59</v>
      </c>
      <c r="L55" s="64">
        <v>24.63</v>
      </c>
      <c r="M55" s="64">
        <v>27.9</v>
      </c>
      <c r="N55" s="64">
        <v>719</v>
      </c>
      <c r="O55" s="64">
        <v>0</v>
      </c>
      <c r="P55" s="64">
        <v>0.75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2115</v>
      </c>
      <c r="B56" s="64">
        <v>7.21</v>
      </c>
      <c r="C56" s="64">
        <v>92.72</v>
      </c>
      <c r="D56" s="64">
        <v>52.85</v>
      </c>
      <c r="E56" s="64">
        <v>14.72</v>
      </c>
      <c r="F56" s="64">
        <v>2.4300000000000002</v>
      </c>
      <c r="G56" s="211" t="s">
        <v>40</v>
      </c>
      <c r="H56" s="211" t="s">
        <v>40</v>
      </c>
      <c r="I56" s="210" t="s">
        <v>43</v>
      </c>
      <c r="J56" s="64">
        <v>1.45</v>
      </c>
      <c r="K56" s="64">
        <v>115.44</v>
      </c>
      <c r="L56" s="64">
        <v>23.79</v>
      </c>
      <c r="M56" s="64">
        <v>29.19</v>
      </c>
      <c r="N56" s="64">
        <v>724.7</v>
      </c>
      <c r="O56" s="64">
        <v>0</v>
      </c>
      <c r="P56" s="64">
        <v>0.69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2116</v>
      </c>
      <c r="B57" s="64">
        <v>4.96</v>
      </c>
      <c r="C57" s="64">
        <v>86.52</v>
      </c>
      <c r="D57" s="64">
        <v>47.8</v>
      </c>
      <c r="E57" s="64">
        <v>44.92</v>
      </c>
      <c r="F57" s="64">
        <v>3</v>
      </c>
      <c r="G57" s="211" t="s">
        <v>40</v>
      </c>
      <c r="H57" s="211" t="s">
        <v>40</v>
      </c>
      <c r="I57" s="210" t="s">
        <v>43</v>
      </c>
      <c r="J57" s="64">
        <v>0.35</v>
      </c>
      <c r="K57" s="64">
        <v>64.819999999999993</v>
      </c>
      <c r="L57" s="64">
        <v>24.57</v>
      </c>
      <c r="M57" s="64">
        <v>27.4</v>
      </c>
      <c r="N57" s="64">
        <v>718.9</v>
      </c>
      <c r="O57" s="64">
        <v>0</v>
      </c>
      <c r="P57" s="64">
        <v>0.63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2117</v>
      </c>
      <c r="B58" s="64">
        <v>3.9</v>
      </c>
      <c r="C58" s="64">
        <v>80.86</v>
      </c>
      <c r="D58" s="64">
        <v>43.99</v>
      </c>
      <c r="E58" s="211" t="s">
        <v>40</v>
      </c>
      <c r="F58" s="64">
        <v>3.78</v>
      </c>
      <c r="G58" s="211" t="s">
        <v>40</v>
      </c>
      <c r="H58" s="211" t="s">
        <v>40</v>
      </c>
      <c r="I58" s="210" t="s">
        <v>43</v>
      </c>
      <c r="J58" s="64">
        <v>2.42</v>
      </c>
      <c r="K58" s="64">
        <v>137.65</v>
      </c>
      <c r="L58" s="64">
        <v>23.83</v>
      </c>
      <c r="M58" s="64">
        <v>28.51</v>
      </c>
      <c r="N58" s="64">
        <v>714.4</v>
      </c>
      <c r="O58" s="64">
        <v>0</v>
      </c>
      <c r="P58" s="64">
        <v>0.6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2118</v>
      </c>
      <c r="B59" s="64">
        <v>3.18</v>
      </c>
      <c r="C59" s="64">
        <v>74.709999999999994</v>
      </c>
      <c r="D59" s="64">
        <v>40.200000000000003</v>
      </c>
      <c r="E59" s="211" t="s">
        <v>40</v>
      </c>
      <c r="F59" s="64">
        <v>4.29</v>
      </c>
      <c r="G59" s="211" t="s">
        <v>40</v>
      </c>
      <c r="H59" s="211" t="s">
        <v>40</v>
      </c>
      <c r="I59" s="210" t="s">
        <v>43</v>
      </c>
      <c r="J59" s="64">
        <v>0.7</v>
      </c>
      <c r="K59" s="64">
        <v>74.290000000000006</v>
      </c>
      <c r="L59" s="64">
        <v>24.15</v>
      </c>
      <c r="M59" s="64">
        <v>28.79</v>
      </c>
      <c r="N59" s="64">
        <v>694.9</v>
      </c>
      <c r="O59" s="64">
        <v>0</v>
      </c>
      <c r="P59" s="64">
        <v>0.56000000000000005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2119</v>
      </c>
      <c r="B60" s="64">
        <v>2.75</v>
      </c>
      <c r="C60" s="64">
        <v>69.680000000000007</v>
      </c>
      <c r="D60" s="64">
        <v>37.24</v>
      </c>
      <c r="E60" s="211" t="s">
        <v>40</v>
      </c>
      <c r="F60" s="64">
        <v>8.4499999999999993</v>
      </c>
      <c r="G60" s="64">
        <v>16.87</v>
      </c>
      <c r="H60" s="64">
        <v>8.66</v>
      </c>
      <c r="I60" s="210" t="s">
        <v>43</v>
      </c>
      <c r="J60" s="64">
        <v>1.59</v>
      </c>
      <c r="K60" s="64">
        <v>124.74</v>
      </c>
      <c r="L60" s="64">
        <v>24.64</v>
      </c>
      <c r="M60" s="64">
        <v>27.56</v>
      </c>
      <c r="N60" s="64">
        <v>667.1</v>
      </c>
      <c r="O60" s="64">
        <v>0</v>
      </c>
      <c r="P60" s="64">
        <v>0.5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2120</v>
      </c>
      <c r="B61" s="64">
        <v>2.33</v>
      </c>
      <c r="C61" s="64">
        <v>65.05</v>
      </c>
      <c r="D61" s="64">
        <v>34.47</v>
      </c>
      <c r="E61" s="211" t="s">
        <v>40</v>
      </c>
      <c r="F61" s="64">
        <v>7.85</v>
      </c>
      <c r="G61" s="64">
        <v>37.020000000000003</v>
      </c>
      <c r="H61" s="64">
        <v>19</v>
      </c>
      <c r="I61" s="210" t="s">
        <v>43</v>
      </c>
      <c r="J61" s="64">
        <v>1.87</v>
      </c>
      <c r="K61" s="64">
        <v>134.79</v>
      </c>
      <c r="L61" s="64">
        <v>24.08</v>
      </c>
      <c r="M61" s="64">
        <v>28.49</v>
      </c>
      <c r="N61" s="64">
        <v>659.6</v>
      </c>
      <c r="O61" s="64">
        <v>0</v>
      </c>
      <c r="P61" s="64">
        <v>0.62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2121</v>
      </c>
      <c r="B62" s="64">
        <v>2.0699999999999998</v>
      </c>
      <c r="C62" s="64">
        <v>59.42</v>
      </c>
      <c r="D62" s="64">
        <v>31.33</v>
      </c>
      <c r="E62" s="64">
        <v>14.71</v>
      </c>
      <c r="F62" s="64">
        <v>19.62</v>
      </c>
      <c r="G62" s="64">
        <v>37.020000000000003</v>
      </c>
      <c r="H62" s="64">
        <v>19</v>
      </c>
      <c r="I62" s="210" t="s">
        <v>43</v>
      </c>
      <c r="J62" s="64">
        <v>2.5299999999999998</v>
      </c>
      <c r="K62" s="64">
        <v>116.53</v>
      </c>
      <c r="L62" s="64">
        <v>24.12</v>
      </c>
      <c r="M62" s="64">
        <v>27.94</v>
      </c>
      <c r="N62" s="64">
        <v>622.70000000000005</v>
      </c>
      <c r="O62" s="64">
        <v>0</v>
      </c>
      <c r="P62" s="211" t="s">
        <v>40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2122</v>
      </c>
      <c r="B63" s="64">
        <v>1.89</v>
      </c>
      <c r="C63" s="64">
        <v>54.69</v>
      </c>
      <c r="D63" s="64">
        <v>28.71</v>
      </c>
      <c r="E63" s="64">
        <v>11.07</v>
      </c>
      <c r="F63" s="64">
        <v>11.88</v>
      </c>
      <c r="G63" s="64">
        <v>37.020000000000003</v>
      </c>
      <c r="H63" s="64">
        <v>19</v>
      </c>
      <c r="I63" s="210" t="s">
        <v>43</v>
      </c>
      <c r="J63" s="64">
        <v>2.12</v>
      </c>
      <c r="K63" s="64">
        <v>131.65</v>
      </c>
      <c r="L63" s="64">
        <v>23.82</v>
      </c>
      <c r="M63" s="64">
        <v>28.11</v>
      </c>
      <c r="N63" s="64">
        <v>572.20000000000005</v>
      </c>
      <c r="O63" s="64">
        <v>0</v>
      </c>
      <c r="P63" s="211" t="s">
        <v>40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2123</v>
      </c>
      <c r="B64" s="64">
        <v>1.94</v>
      </c>
      <c r="C64" s="64">
        <v>52.61</v>
      </c>
      <c r="D64" s="64">
        <v>27.67</v>
      </c>
      <c r="E64" s="64">
        <v>20.55</v>
      </c>
      <c r="F64" s="64">
        <v>21.64</v>
      </c>
      <c r="G64" s="64">
        <v>38.79</v>
      </c>
      <c r="H64" s="64">
        <v>18.72</v>
      </c>
      <c r="I64" s="210" t="s">
        <v>43</v>
      </c>
      <c r="J64" s="64">
        <v>0.86</v>
      </c>
      <c r="K64" s="64">
        <v>311.13</v>
      </c>
      <c r="L64" s="64">
        <v>25.62</v>
      </c>
      <c r="M64" s="64">
        <v>25.5</v>
      </c>
      <c r="N64" s="64">
        <v>549.6</v>
      </c>
      <c r="O64" s="64">
        <v>0</v>
      </c>
      <c r="P64" s="64">
        <v>0.57999999999999996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2124</v>
      </c>
      <c r="B65" s="64">
        <v>2.2400000000000002</v>
      </c>
      <c r="C65" s="64">
        <v>55.95</v>
      </c>
      <c r="D65" s="64">
        <v>29.66</v>
      </c>
      <c r="E65" s="64">
        <v>12.95</v>
      </c>
      <c r="F65" s="64">
        <v>10.24</v>
      </c>
      <c r="G65" s="64">
        <v>40.909999999999997</v>
      </c>
      <c r="H65" s="64">
        <v>18.38</v>
      </c>
      <c r="I65" s="210" t="s">
        <v>43</v>
      </c>
      <c r="J65" s="64">
        <v>1.39</v>
      </c>
      <c r="K65" s="64">
        <v>335.13</v>
      </c>
      <c r="L65" s="64">
        <v>26.96</v>
      </c>
      <c r="M65" s="64">
        <v>23.56</v>
      </c>
      <c r="N65" s="64">
        <v>453.8</v>
      </c>
      <c r="O65" s="64">
        <v>0</v>
      </c>
      <c r="P65" s="64">
        <v>0.63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2125</v>
      </c>
      <c r="B66" s="64">
        <v>2.76</v>
      </c>
      <c r="C66" s="64">
        <v>59.27</v>
      </c>
      <c r="D66" s="64">
        <v>31.8</v>
      </c>
      <c r="E66" s="64">
        <v>10.26</v>
      </c>
      <c r="F66" s="64">
        <v>4.2300000000000004</v>
      </c>
      <c r="G66" s="64">
        <v>40.909999999999997</v>
      </c>
      <c r="H66" s="64">
        <v>18.38</v>
      </c>
      <c r="I66" s="210" t="s">
        <v>43</v>
      </c>
      <c r="J66" s="64">
        <v>1.98</v>
      </c>
      <c r="K66" s="64">
        <v>315.45</v>
      </c>
      <c r="L66" s="64">
        <v>26.19</v>
      </c>
      <c r="M66" s="64">
        <v>25.28</v>
      </c>
      <c r="N66" s="64">
        <v>193.7</v>
      </c>
      <c r="O66" s="64">
        <v>0</v>
      </c>
      <c r="P66" s="64">
        <v>0.65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2126</v>
      </c>
      <c r="B67" s="64">
        <v>3.22</v>
      </c>
      <c r="C67" s="64">
        <v>60.64</v>
      </c>
      <c r="D67" s="64">
        <v>32.880000000000003</v>
      </c>
      <c r="E67" s="64">
        <v>9.94</v>
      </c>
      <c r="F67" s="64">
        <v>2.75</v>
      </c>
      <c r="G67" s="64">
        <v>40.909999999999997</v>
      </c>
      <c r="H67" s="64">
        <v>18.38</v>
      </c>
      <c r="I67" s="210" t="s">
        <v>43</v>
      </c>
      <c r="J67" s="64">
        <v>0.74</v>
      </c>
      <c r="K67" s="64">
        <v>9.24</v>
      </c>
      <c r="L67" s="64">
        <v>25.52</v>
      </c>
      <c r="M67" s="64">
        <v>25.36</v>
      </c>
      <c r="N67" s="64">
        <v>173.1</v>
      </c>
      <c r="O67" s="64">
        <v>0</v>
      </c>
      <c r="P67" s="64">
        <v>0.66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2127</v>
      </c>
      <c r="B68" s="64">
        <v>3.22</v>
      </c>
      <c r="C68" s="64">
        <v>62.05</v>
      </c>
      <c r="D68" s="64">
        <v>33.619999999999997</v>
      </c>
      <c r="E68" s="64">
        <v>9.49</v>
      </c>
      <c r="F68" s="64">
        <v>3.06</v>
      </c>
      <c r="G68" s="64">
        <v>46.83</v>
      </c>
      <c r="H68" s="64">
        <v>21.24</v>
      </c>
      <c r="I68" s="210" t="s">
        <v>43</v>
      </c>
      <c r="J68" s="64">
        <v>1.5</v>
      </c>
      <c r="K68" s="64">
        <v>299.95</v>
      </c>
      <c r="L68" s="64">
        <v>25.58</v>
      </c>
      <c r="M68" s="64">
        <v>24.85</v>
      </c>
      <c r="N68" s="64">
        <v>235.6</v>
      </c>
      <c r="O68" s="64">
        <v>0</v>
      </c>
      <c r="P68" s="64">
        <v>0.67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2128</v>
      </c>
      <c r="B69" s="64">
        <v>3.39</v>
      </c>
      <c r="C69" s="64">
        <v>62.83</v>
      </c>
      <c r="D69" s="64">
        <v>34.17</v>
      </c>
      <c r="E69" s="64">
        <v>9.01</v>
      </c>
      <c r="F69" s="64">
        <v>2.35</v>
      </c>
      <c r="G69" s="64">
        <v>53.9</v>
      </c>
      <c r="H69" s="64">
        <v>24.66</v>
      </c>
      <c r="I69" s="210" t="s">
        <v>43</v>
      </c>
      <c r="J69" s="64">
        <v>2.4500000000000002</v>
      </c>
      <c r="K69" s="64">
        <v>321.70999999999998</v>
      </c>
      <c r="L69" s="64">
        <v>25.42</v>
      </c>
      <c r="M69" s="64">
        <v>24.86</v>
      </c>
      <c r="N69" s="64">
        <v>180.5</v>
      </c>
      <c r="O69" s="64">
        <v>0</v>
      </c>
      <c r="P69" s="64">
        <v>0.68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2129</v>
      </c>
      <c r="B70" s="64">
        <v>4.0199999999999996</v>
      </c>
      <c r="C70" s="64">
        <v>63.69</v>
      </c>
      <c r="D70" s="64">
        <v>35.119999999999997</v>
      </c>
      <c r="E70" s="64">
        <v>8.1999999999999993</v>
      </c>
      <c r="F70" s="64">
        <v>2.13</v>
      </c>
      <c r="G70" s="64">
        <v>53.9</v>
      </c>
      <c r="H70" s="64">
        <v>24.66</v>
      </c>
      <c r="I70" s="210" t="s">
        <v>43</v>
      </c>
      <c r="J70" s="64">
        <v>1.86</v>
      </c>
      <c r="K70" s="64">
        <v>318.43</v>
      </c>
      <c r="L70" s="64">
        <v>25.16</v>
      </c>
      <c r="M70" s="64">
        <v>24.3</v>
      </c>
      <c r="N70" s="64">
        <v>138.5</v>
      </c>
      <c r="O70" s="64">
        <v>0</v>
      </c>
      <c r="P70" s="64">
        <v>0.68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2130</v>
      </c>
      <c r="B71" s="64">
        <v>4.62</v>
      </c>
      <c r="C71" s="64">
        <v>64.34</v>
      </c>
      <c r="D71" s="64">
        <v>35.94</v>
      </c>
      <c r="E71" s="64">
        <v>7.59</v>
      </c>
      <c r="F71" s="64">
        <v>2.13</v>
      </c>
      <c r="G71" s="64">
        <v>53.9</v>
      </c>
      <c r="H71" s="64">
        <v>24.66</v>
      </c>
      <c r="I71" s="210" t="s">
        <v>43</v>
      </c>
      <c r="J71" s="64">
        <v>2.5</v>
      </c>
      <c r="K71" s="64">
        <v>324.92</v>
      </c>
      <c r="L71" s="64">
        <v>24.76</v>
      </c>
      <c r="M71" s="64">
        <v>25.42</v>
      </c>
      <c r="N71" s="64">
        <v>129.9</v>
      </c>
      <c r="O71" s="64">
        <v>0</v>
      </c>
      <c r="P71" s="64">
        <v>0.69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2131</v>
      </c>
      <c r="B72" s="64">
        <v>5.18</v>
      </c>
      <c r="C72" s="64">
        <v>64.739999999999995</v>
      </c>
      <c r="D72" s="64">
        <v>36.6</v>
      </c>
      <c r="E72" s="64">
        <v>6.39</v>
      </c>
      <c r="F72" s="64">
        <v>2.13</v>
      </c>
      <c r="G72" s="64">
        <v>65.17</v>
      </c>
      <c r="H72" s="64">
        <v>24.54</v>
      </c>
      <c r="I72" s="210" t="s">
        <v>43</v>
      </c>
      <c r="J72" s="64">
        <v>1.99</v>
      </c>
      <c r="K72" s="64">
        <v>307.45</v>
      </c>
      <c r="L72" s="64">
        <v>24.4</v>
      </c>
      <c r="M72" s="64">
        <v>24.6</v>
      </c>
      <c r="N72" s="64">
        <v>120.8</v>
      </c>
      <c r="O72" s="64">
        <v>0</v>
      </c>
      <c r="P72" s="64">
        <v>0.68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2132</v>
      </c>
      <c r="B73" s="64">
        <v>5.82</v>
      </c>
      <c r="C73" s="64">
        <v>72.09</v>
      </c>
      <c r="D73" s="64">
        <v>40.96</v>
      </c>
      <c r="E73" s="64">
        <v>10.1</v>
      </c>
      <c r="F73" s="64">
        <v>11.45</v>
      </c>
      <c r="G73" s="64">
        <v>78.64</v>
      </c>
      <c r="H73" s="64">
        <v>24.4</v>
      </c>
      <c r="I73" s="210" t="s">
        <v>43</v>
      </c>
      <c r="J73" s="64">
        <v>2.95</v>
      </c>
      <c r="K73" s="64">
        <v>328.46</v>
      </c>
      <c r="L73" s="64">
        <v>24.02</v>
      </c>
      <c r="M73" s="64">
        <v>25.65</v>
      </c>
      <c r="N73" s="64">
        <v>114.7</v>
      </c>
      <c r="O73" s="64">
        <v>0</v>
      </c>
      <c r="P73" s="64">
        <v>0.67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2133</v>
      </c>
      <c r="B74" s="64">
        <v>4.51</v>
      </c>
      <c r="C74" s="64">
        <v>85.03</v>
      </c>
      <c r="D74" s="64">
        <v>46.67</v>
      </c>
      <c r="E74" s="64">
        <v>11</v>
      </c>
      <c r="F74" s="64">
        <v>14.24</v>
      </c>
      <c r="G74" s="64">
        <v>78.64</v>
      </c>
      <c r="H74" s="64">
        <v>24.4</v>
      </c>
      <c r="I74" s="210" t="s">
        <v>43</v>
      </c>
      <c r="J74" s="64">
        <v>2.2200000000000002</v>
      </c>
      <c r="K74" s="64">
        <v>304.63</v>
      </c>
      <c r="L74" s="64">
        <v>23.54</v>
      </c>
      <c r="M74" s="64">
        <v>25.81</v>
      </c>
      <c r="N74" s="64">
        <v>108.4</v>
      </c>
      <c r="O74" s="64">
        <v>0</v>
      </c>
      <c r="P74" s="64">
        <v>0.66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2134</v>
      </c>
      <c r="B75" s="64">
        <v>3.92</v>
      </c>
      <c r="C75" s="64">
        <v>85.94</v>
      </c>
      <c r="D75" s="64">
        <v>46.66</v>
      </c>
      <c r="E75" s="64">
        <v>10.18</v>
      </c>
      <c r="F75" s="64">
        <v>12</v>
      </c>
      <c r="G75" s="64">
        <v>78.64</v>
      </c>
      <c r="H75" s="64">
        <v>24.4</v>
      </c>
      <c r="I75" s="210" t="s">
        <v>43</v>
      </c>
      <c r="J75" s="64">
        <v>2.91</v>
      </c>
      <c r="K75" s="64">
        <v>329.15</v>
      </c>
      <c r="L75" s="64">
        <v>23.21</v>
      </c>
      <c r="M75" s="64">
        <v>26.44</v>
      </c>
      <c r="N75" s="64">
        <v>103.6</v>
      </c>
      <c r="O75" s="64">
        <v>0</v>
      </c>
      <c r="P75" s="64">
        <v>0.67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2135</v>
      </c>
      <c r="B76" s="64">
        <v>3.89</v>
      </c>
      <c r="C76" s="64">
        <v>85.3</v>
      </c>
      <c r="D76" s="64">
        <v>46.31</v>
      </c>
      <c r="E76" s="64">
        <v>7.89</v>
      </c>
      <c r="F76" s="64">
        <v>5.47</v>
      </c>
      <c r="G76" s="64">
        <v>65.64</v>
      </c>
      <c r="H76" s="64">
        <v>22.75</v>
      </c>
      <c r="I76" s="210" t="s">
        <v>43</v>
      </c>
      <c r="J76" s="64">
        <v>2.88</v>
      </c>
      <c r="K76" s="64">
        <v>332.71</v>
      </c>
      <c r="L76" s="64">
        <v>22.94</v>
      </c>
      <c r="M76" s="64">
        <v>26.26</v>
      </c>
      <c r="N76" s="64">
        <v>99</v>
      </c>
      <c r="O76" s="64">
        <v>0</v>
      </c>
      <c r="P76" s="64">
        <v>0.67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2136</v>
      </c>
      <c r="B77" s="64">
        <v>4.54</v>
      </c>
      <c r="C77" s="64">
        <v>83.06</v>
      </c>
      <c r="D77" s="64">
        <v>45.66</v>
      </c>
      <c r="E77" s="64">
        <v>6.18</v>
      </c>
      <c r="F77" s="64">
        <v>2.8</v>
      </c>
      <c r="G77" s="64">
        <v>50.11</v>
      </c>
      <c r="H77" s="64">
        <v>20.77</v>
      </c>
      <c r="I77" s="210" t="s">
        <v>43</v>
      </c>
      <c r="J77" s="64">
        <v>2.54</v>
      </c>
      <c r="K77" s="64">
        <v>331.9</v>
      </c>
      <c r="L77" s="64">
        <v>22.45</v>
      </c>
      <c r="M77" s="64">
        <v>28.48</v>
      </c>
      <c r="N77" s="64">
        <v>92.9</v>
      </c>
      <c r="O77" s="64">
        <v>0</v>
      </c>
      <c r="P77" s="64">
        <v>0.68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2137</v>
      </c>
      <c r="B78" s="64">
        <v>5.59</v>
      </c>
      <c r="C78" s="64">
        <v>80.98</v>
      </c>
      <c r="D78" s="64">
        <v>45.42</v>
      </c>
      <c r="E78" s="64">
        <v>6.32</v>
      </c>
      <c r="F78" s="64">
        <v>2.13</v>
      </c>
      <c r="G78" s="64">
        <v>50.11</v>
      </c>
      <c r="H78" s="64">
        <v>20.77</v>
      </c>
      <c r="I78" s="210" t="s">
        <v>43</v>
      </c>
      <c r="J78" s="64">
        <v>1.31</v>
      </c>
      <c r="K78" s="64">
        <v>23.44</v>
      </c>
      <c r="L78" s="64">
        <v>21.69</v>
      </c>
      <c r="M78" s="64">
        <v>30.97</v>
      </c>
      <c r="N78" s="64">
        <v>86.4</v>
      </c>
      <c r="O78" s="64">
        <v>0</v>
      </c>
      <c r="P78" s="64">
        <v>0.69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2138</v>
      </c>
      <c r="B79" s="64">
        <v>6.94</v>
      </c>
      <c r="C79" s="64">
        <v>79.61</v>
      </c>
      <c r="D79" s="64">
        <v>45.78</v>
      </c>
      <c r="E79" s="64">
        <v>6.35</v>
      </c>
      <c r="F79" s="64">
        <v>2.13</v>
      </c>
      <c r="G79" s="64">
        <v>50.11</v>
      </c>
      <c r="H79" s="64">
        <v>20.77</v>
      </c>
      <c r="I79" s="210" t="s">
        <v>43</v>
      </c>
      <c r="J79" s="64">
        <v>0.28999999999999998</v>
      </c>
      <c r="K79" s="64">
        <v>202.05</v>
      </c>
      <c r="L79" s="64">
        <v>20.68</v>
      </c>
      <c r="M79" s="64">
        <v>32.979999999999997</v>
      </c>
      <c r="N79" s="64">
        <v>79.8</v>
      </c>
      <c r="O79" s="64">
        <v>0</v>
      </c>
      <c r="P79" s="64">
        <v>0.73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2139</v>
      </c>
      <c r="B80" s="64">
        <v>9.52</v>
      </c>
      <c r="C80" s="64">
        <v>78.98</v>
      </c>
      <c r="D80" s="64">
        <v>47.52</v>
      </c>
      <c r="E80" s="64">
        <v>5.67</v>
      </c>
      <c r="F80" s="64">
        <v>2.13</v>
      </c>
      <c r="G80" s="64">
        <v>64.02</v>
      </c>
      <c r="H80" s="64">
        <v>21.82</v>
      </c>
      <c r="I80" s="210" t="s">
        <v>43</v>
      </c>
      <c r="J80" s="64">
        <v>0.91</v>
      </c>
      <c r="K80" s="64">
        <v>249.04</v>
      </c>
      <c r="L80" s="64">
        <v>19.36</v>
      </c>
      <c r="M80" s="64">
        <v>38.590000000000003</v>
      </c>
      <c r="N80" s="64">
        <v>77.2</v>
      </c>
      <c r="O80" s="64">
        <v>0</v>
      </c>
      <c r="P80" s="64">
        <v>0.76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2140</v>
      </c>
      <c r="B81" s="64">
        <v>13.26</v>
      </c>
      <c r="C81" s="64">
        <v>78.650000000000006</v>
      </c>
      <c r="D81" s="64">
        <v>50.35</v>
      </c>
      <c r="E81" s="64">
        <v>5.57</v>
      </c>
      <c r="F81" s="64">
        <v>2.13</v>
      </c>
      <c r="G81" s="64">
        <v>80.650000000000006</v>
      </c>
      <c r="H81" s="64">
        <v>23.07</v>
      </c>
      <c r="I81" s="210" t="s">
        <v>43</v>
      </c>
      <c r="J81" s="64">
        <v>0.28000000000000003</v>
      </c>
      <c r="K81" s="64">
        <v>201.68</v>
      </c>
      <c r="L81" s="64">
        <v>18.23</v>
      </c>
      <c r="M81" s="64">
        <v>43.28</v>
      </c>
      <c r="N81" s="64">
        <v>76.400000000000006</v>
      </c>
      <c r="O81" s="64">
        <v>0</v>
      </c>
      <c r="P81" s="64">
        <v>0.81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2141</v>
      </c>
      <c r="B82" s="64">
        <v>21.33</v>
      </c>
      <c r="C82" s="64">
        <v>79.53</v>
      </c>
      <c r="D82" s="64">
        <v>57.28</v>
      </c>
      <c r="E82" s="64">
        <v>5.72</v>
      </c>
      <c r="F82" s="64">
        <v>2.13</v>
      </c>
      <c r="G82" s="64">
        <v>80.650000000000006</v>
      </c>
      <c r="H82" s="64">
        <v>23.07</v>
      </c>
      <c r="I82" s="210" t="s">
        <v>43</v>
      </c>
      <c r="J82" s="64">
        <v>1.1399999999999999</v>
      </c>
      <c r="K82" s="64">
        <v>52.91</v>
      </c>
      <c r="L82" s="64">
        <v>17.690000000000001</v>
      </c>
      <c r="M82" s="64">
        <v>46.93</v>
      </c>
      <c r="N82" s="64">
        <v>76.099999999999994</v>
      </c>
      <c r="O82" s="64">
        <v>0</v>
      </c>
      <c r="P82" s="64">
        <v>0.85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2142</v>
      </c>
      <c r="B83" s="64">
        <v>34.32</v>
      </c>
      <c r="C83" s="64">
        <v>81.09</v>
      </c>
      <c r="D83" s="64">
        <v>68.52</v>
      </c>
      <c r="E83" s="64">
        <v>5.71</v>
      </c>
      <c r="F83" s="64">
        <v>2.13</v>
      </c>
      <c r="G83" s="64">
        <v>80.650000000000006</v>
      </c>
      <c r="H83" s="64">
        <v>23.07</v>
      </c>
      <c r="I83" s="210" t="s">
        <v>43</v>
      </c>
      <c r="J83" s="64">
        <v>1.6</v>
      </c>
      <c r="K83" s="64">
        <v>302.5</v>
      </c>
      <c r="L83" s="64">
        <v>17.09</v>
      </c>
      <c r="M83" s="64">
        <v>56.17</v>
      </c>
      <c r="N83" s="64">
        <v>76.099999999999994</v>
      </c>
      <c r="O83" s="64">
        <v>0</v>
      </c>
      <c r="P83" s="64">
        <v>0.93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2143</v>
      </c>
      <c r="B84" s="64">
        <v>46.73</v>
      </c>
      <c r="C84" s="64">
        <v>81.900000000000006</v>
      </c>
      <c r="D84" s="64">
        <v>78.89</v>
      </c>
      <c r="E84" s="64">
        <v>6.06</v>
      </c>
      <c r="F84" s="64">
        <v>2.13</v>
      </c>
      <c r="G84" s="64">
        <v>117.19</v>
      </c>
      <c r="H84" s="64">
        <v>24.47</v>
      </c>
      <c r="I84" s="210" t="s">
        <v>43</v>
      </c>
      <c r="J84" s="64">
        <v>1.73</v>
      </c>
      <c r="K84" s="64">
        <v>283.14</v>
      </c>
      <c r="L84" s="64">
        <v>16.420000000000002</v>
      </c>
      <c r="M84" s="64">
        <v>54.76</v>
      </c>
      <c r="N84" s="64">
        <v>76</v>
      </c>
      <c r="O84" s="64">
        <v>0</v>
      </c>
      <c r="P84" s="64">
        <v>1.01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2144</v>
      </c>
      <c r="B85" s="64">
        <v>59.51</v>
      </c>
      <c r="C85" s="64">
        <v>82.82</v>
      </c>
      <c r="D85" s="64">
        <v>89.62</v>
      </c>
      <c r="E85" s="64">
        <v>6.25</v>
      </c>
      <c r="F85" s="64">
        <v>2.13</v>
      </c>
      <c r="G85" s="64">
        <v>160.86000000000001</v>
      </c>
      <c r="H85" s="64">
        <v>26.15</v>
      </c>
      <c r="I85" s="210" t="s">
        <v>43</v>
      </c>
      <c r="J85" s="64">
        <v>1.59</v>
      </c>
      <c r="K85" s="64">
        <v>291.77</v>
      </c>
      <c r="L85" s="64">
        <v>16.149999999999999</v>
      </c>
      <c r="M85" s="64">
        <v>57.71</v>
      </c>
      <c r="N85" s="64">
        <v>75.900000000000006</v>
      </c>
      <c r="O85" s="64">
        <v>0</v>
      </c>
      <c r="P85" s="64">
        <v>0.98</v>
      </c>
      <c r="Q85" s="64">
        <v>8.32</v>
      </c>
      <c r="R85" s="198"/>
      <c r="S85" s="198"/>
      <c r="T85" s="198"/>
      <c r="U85" s="198"/>
    </row>
    <row r="86" spans="1:26" s="12" customFormat="1" x14ac:dyDescent="0.25">
      <c r="A86" s="214" t="s">
        <v>2145</v>
      </c>
      <c r="B86" s="64">
        <v>73.41</v>
      </c>
      <c r="C86" s="64">
        <v>83.67</v>
      </c>
      <c r="D86" s="64">
        <v>101.21</v>
      </c>
      <c r="E86" s="64">
        <v>6.18</v>
      </c>
      <c r="F86" s="64">
        <v>2.13</v>
      </c>
      <c r="G86" s="64">
        <v>160.86000000000001</v>
      </c>
      <c r="H86" s="64">
        <v>26.15</v>
      </c>
      <c r="I86" s="210" t="s">
        <v>43</v>
      </c>
      <c r="J86" s="64">
        <v>1.79</v>
      </c>
      <c r="K86" s="64">
        <v>278.32</v>
      </c>
      <c r="L86" s="64">
        <v>15.93</v>
      </c>
      <c r="M86" s="64">
        <v>58.46</v>
      </c>
      <c r="N86" s="64">
        <v>75.7</v>
      </c>
      <c r="O86" s="64">
        <v>0</v>
      </c>
      <c r="P86" s="64">
        <v>1.1000000000000001</v>
      </c>
      <c r="Q86" s="64">
        <v>8.9700000000000006</v>
      </c>
      <c r="R86" s="198"/>
      <c r="S86" s="198"/>
      <c r="T86" s="198"/>
      <c r="U86" s="198"/>
    </row>
    <row r="87" spans="1:26" s="12" customFormat="1" x14ac:dyDescent="0.25">
      <c r="A87" s="214" t="s">
        <v>2146</v>
      </c>
      <c r="B87" s="64">
        <v>86.64</v>
      </c>
      <c r="C87" s="64">
        <v>81.680000000000007</v>
      </c>
      <c r="D87" s="64">
        <v>110.78</v>
      </c>
      <c r="E87" s="64">
        <v>6.04</v>
      </c>
      <c r="F87" s="64">
        <v>2.13</v>
      </c>
      <c r="G87" s="64">
        <v>160.86000000000001</v>
      </c>
      <c r="H87" s="64">
        <v>26.15</v>
      </c>
      <c r="I87" s="210" t="s">
        <v>43</v>
      </c>
      <c r="J87" s="64">
        <v>1.28</v>
      </c>
      <c r="K87" s="64">
        <v>307.13</v>
      </c>
      <c r="L87" s="64">
        <v>15.78</v>
      </c>
      <c r="M87" s="64">
        <v>61.4</v>
      </c>
      <c r="N87" s="64">
        <v>75.5</v>
      </c>
      <c r="O87" s="64">
        <v>0</v>
      </c>
      <c r="P87" s="64">
        <v>1.47</v>
      </c>
      <c r="Q87" s="64">
        <v>9.61</v>
      </c>
      <c r="R87" s="198"/>
      <c r="S87" s="198"/>
      <c r="T87" s="198"/>
      <c r="U87" s="198"/>
    </row>
    <row r="88" spans="1:26" s="12" customFormat="1" x14ac:dyDescent="0.25">
      <c r="A88" s="214" t="s">
        <v>2147</v>
      </c>
      <c r="B88" s="64">
        <v>96.88</v>
      </c>
      <c r="C88" s="64">
        <v>80.040000000000006</v>
      </c>
      <c r="D88" s="64">
        <v>118.14</v>
      </c>
      <c r="E88" s="64">
        <v>6.29</v>
      </c>
      <c r="F88" s="64">
        <v>2.13</v>
      </c>
      <c r="G88" s="64">
        <v>166.42</v>
      </c>
      <c r="H88" s="64">
        <v>29.15</v>
      </c>
      <c r="I88" s="210" t="s">
        <v>43</v>
      </c>
      <c r="J88" s="64">
        <v>1.7</v>
      </c>
      <c r="K88" s="64">
        <v>264.18</v>
      </c>
      <c r="L88" s="64">
        <v>15.79</v>
      </c>
      <c r="M88" s="64">
        <v>63.73</v>
      </c>
      <c r="N88" s="64">
        <v>75.2</v>
      </c>
      <c r="O88" s="64">
        <v>0</v>
      </c>
      <c r="P88" s="64">
        <v>1.71</v>
      </c>
      <c r="Q88" s="64">
        <v>9.7899999999999991</v>
      </c>
      <c r="R88" s="198"/>
      <c r="S88" s="198"/>
      <c r="T88" s="198"/>
      <c r="U88" s="198"/>
    </row>
    <row r="89" spans="1:26" s="12" customFormat="1" x14ac:dyDescent="0.25">
      <c r="A89" s="214" t="s">
        <v>2148</v>
      </c>
      <c r="B89" s="64">
        <v>104.41</v>
      </c>
      <c r="C89" s="64">
        <v>78.36</v>
      </c>
      <c r="D89" s="64">
        <v>123.29</v>
      </c>
      <c r="E89" s="64">
        <v>7.05</v>
      </c>
      <c r="F89" s="64">
        <v>2.13</v>
      </c>
      <c r="G89" s="64">
        <v>173.07</v>
      </c>
      <c r="H89" s="64">
        <v>32.729999999999997</v>
      </c>
      <c r="I89" s="210" t="s">
        <v>43</v>
      </c>
      <c r="J89" s="64">
        <v>1.63</v>
      </c>
      <c r="K89" s="64">
        <v>300.64</v>
      </c>
      <c r="L89" s="64">
        <v>15.62</v>
      </c>
      <c r="M89" s="64">
        <v>68.25</v>
      </c>
      <c r="N89" s="64">
        <v>75.400000000000006</v>
      </c>
      <c r="O89" s="64">
        <v>0</v>
      </c>
      <c r="P89" s="64">
        <v>1.81</v>
      </c>
      <c r="Q89" s="64">
        <v>9.82</v>
      </c>
      <c r="R89" s="198"/>
      <c r="S89" s="198"/>
      <c r="T89" s="198"/>
      <c r="U89" s="198"/>
    </row>
    <row r="90" spans="1:26" s="12" customFormat="1" x14ac:dyDescent="0.25">
      <c r="A90" s="214" t="s">
        <v>2149</v>
      </c>
      <c r="B90" s="64">
        <v>114.83</v>
      </c>
      <c r="C90" s="64">
        <v>76.680000000000007</v>
      </c>
      <c r="D90" s="64">
        <v>130.77000000000001</v>
      </c>
      <c r="E90" s="64">
        <v>7.86</v>
      </c>
      <c r="F90" s="64">
        <v>2.13</v>
      </c>
      <c r="G90" s="64">
        <v>173.07</v>
      </c>
      <c r="H90" s="64">
        <v>32.729999999999997</v>
      </c>
      <c r="I90" s="210" t="s">
        <v>43</v>
      </c>
      <c r="J90" s="64">
        <v>1.72</v>
      </c>
      <c r="K90" s="64">
        <v>268.89999999999998</v>
      </c>
      <c r="L90" s="64">
        <v>15.22</v>
      </c>
      <c r="M90" s="64">
        <v>69.55</v>
      </c>
      <c r="N90" s="64">
        <v>75.5</v>
      </c>
      <c r="O90" s="64">
        <v>0</v>
      </c>
      <c r="P90" s="64">
        <v>1.82</v>
      </c>
      <c r="Q90" s="64">
        <v>9.8699999999999992</v>
      </c>
      <c r="R90" s="198"/>
      <c r="S90" s="198"/>
      <c r="T90" s="198"/>
      <c r="U90" s="198"/>
    </row>
    <row r="91" spans="1:26" s="12" customFormat="1" x14ac:dyDescent="0.25">
      <c r="A91" s="214" t="s">
        <v>2150</v>
      </c>
      <c r="B91" s="64">
        <v>123.08</v>
      </c>
      <c r="C91" s="64">
        <v>75.760000000000005</v>
      </c>
      <c r="D91" s="64">
        <v>136.91</v>
      </c>
      <c r="E91" s="64">
        <v>8.07</v>
      </c>
      <c r="F91" s="64">
        <v>2.13</v>
      </c>
      <c r="G91" s="64">
        <v>173.07</v>
      </c>
      <c r="H91" s="64">
        <v>32.729999999999997</v>
      </c>
      <c r="I91" s="210" t="s">
        <v>43</v>
      </c>
      <c r="J91" s="64">
        <v>1.65</v>
      </c>
      <c r="K91" s="64">
        <v>275.33999999999997</v>
      </c>
      <c r="L91" s="64">
        <v>15.05</v>
      </c>
      <c r="M91" s="64">
        <v>66.819999999999993</v>
      </c>
      <c r="N91" s="64">
        <v>75.7</v>
      </c>
      <c r="O91" s="64">
        <v>0</v>
      </c>
      <c r="P91" s="64">
        <v>2</v>
      </c>
      <c r="Q91" s="64">
        <v>9.89</v>
      </c>
      <c r="R91" s="198"/>
      <c r="S91" s="198"/>
      <c r="T91" s="198"/>
      <c r="U91" s="198"/>
    </row>
    <row r="92" spans="1:26" s="12" customFormat="1" x14ac:dyDescent="0.25">
      <c r="A92" s="214" t="s">
        <v>2151</v>
      </c>
      <c r="B92" s="64">
        <v>130.91999999999999</v>
      </c>
      <c r="C92" s="64">
        <v>75.27</v>
      </c>
      <c r="D92" s="64">
        <v>142.94</v>
      </c>
      <c r="E92" s="64">
        <v>8.6</v>
      </c>
      <c r="F92" s="64">
        <v>2.13</v>
      </c>
      <c r="G92" s="64">
        <v>175.6</v>
      </c>
      <c r="H92" s="64">
        <v>35.92</v>
      </c>
      <c r="I92" s="210" t="s">
        <v>43</v>
      </c>
      <c r="J92" s="64">
        <v>1.71</v>
      </c>
      <c r="K92" s="64">
        <v>294.08999999999997</v>
      </c>
      <c r="L92" s="64">
        <v>14.87</v>
      </c>
      <c r="M92" s="64">
        <v>68.91</v>
      </c>
      <c r="N92" s="64">
        <v>75.599999999999994</v>
      </c>
      <c r="O92" s="64">
        <v>0</v>
      </c>
      <c r="P92" s="64">
        <v>1.99</v>
      </c>
      <c r="Q92" s="64">
        <v>9.92</v>
      </c>
      <c r="R92" s="198"/>
      <c r="S92" s="198"/>
      <c r="T92" s="198"/>
      <c r="U92" s="198"/>
    </row>
    <row r="93" spans="1:26" s="12" customFormat="1" x14ac:dyDescent="0.25">
      <c r="A93" s="214" t="s">
        <v>2152</v>
      </c>
      <c r="B93" s="64">
        <v>139.63999999999999</v>
      </c>
      <c r="C93" s="64">
        <v>74.72</v>
      </c>
      <c r="D93" s="64">
        <v>149.63999999999999</v>
      </c>
      <c r="E93" s="64">
        <v>8.4700000000000006</v>
      </c>
      <c r="F93" s="64">
        <v>2.13</v>
      </c>
      <c r="G93" s="64">
        <v>178.62</v>
      </c>
      <c r="H93" s="64">
        <v>39.729999999999997</v>
      </c>
      <c r="I93" s="210" t="s">
        <v>43</v>
      </c>
      <c r="J93" s="64">
        <v>1.42</v>
      </c>
      <c r="K93" s="64">
        <v>294.94</v>
      </c>
      <c r="L93" s="64">
        <v>14.7</v>
      </c>
      <c r="M93" s="64">
        <v>70.8</v>
      </c>
      <c r="N93" s="64">
        <v>75.5</v>
      </c>
      <c r="O93" s="64">
        <v>0</v>
      </c>
      <c r="P93" s="64">
        <v>2.11</v>
      </c>
      <c r="Q93" s="64">
        <v>9.9600000000000009</v>
      </c>
      <c r="R93" s="198"/>
      <c r="S93" s="198"/>
      <c r="T93" s="198"/>
      <c r="U93" s="198"/>
    </row>
    <row r="94" spans="1:26" s="12" customFormat="1" x14ac:dyDescent="0.25">
      <c r="A94" s="214" t="s">
        <v>2153</v>
      </c>
      <c r="B94" s="64">
        <v>150.72999999999999</v>
      </c>
      <c r="C94" s="64">
        <v>74.56</v>
      </c>
      <c r="D94" s="64">
        <v>158.44999999999999</v>
      </c>
      <c r="E94" s="64">
        <v>9.08</v>
      </c>
      <c r="F94" s="64">
        <v>2.13</v>
      </c>
      <c r="G94" s="64">
        <v>178.62</v>
      </c>
      <c r="H94" s="64">
        <v>39.729999999999997</v>
      </c>
      <c r="I94" s="210" t="s">
        <v>43</v>
      </c>
      <c r="J94" s="64">
        <v>0.42</v>
      </c>
      <c r="K94" s="64">
        <v>186.17</v>
      </c>
      <c r="L94" s="64">
        <v>14.68</v>
      </c>
      <c r="M94" s="64">
        <v>70.05</v>
      </c>
      <c r="N94" s="64">
        <v>75.2</v>
      </c>
      <c r="O94" s="64">
        <v>0</v>
      </c>
      <c r="P94" s="64">
        <v>2.0699999999999998</v>
      </c>
      <c r="Q94" s="64">
        <v>10.029999999999999</v>
      </c>
      <c r="R94" s="198"/>
      <c r="S94" s="198"/>
      <c r="T94" s="198"/>
      <c r="U94" s="198"/>
    </row>
    <row r="95" spans="1:26" s="12" customFormat="1" x14ac:dyDescent="0.25">
      <c r="A95" s="214" t="s">
        <v>2154</v>
      </c>
      <c r="B95" s="64">
        <v>165.81</v>
      </c>
      <c r="C95" s="64">
        <v>75.040000000000006</v>
      </c>
      <c r="D95" s="64">
        <v>170.79</v>
      </c>
      <c r="E95" s="64">
        <v>10.23</v>
      </c>
      <c r="F95" s="64">
        <v>2.13</v>
      </c>
      <c r="G95" s="64">
        <v>178.62</v>
      </c>
      <c r="H95" s="64">
        <v>39.729999999999997</v>
      </c>
      <c r="I95" s="210" t="s">
        <v>43</v>
      </c>
      <c r="J95" s="64">
        <v>1.26</v>
      </c>
      <c r="K95" s="64">
        <v>344.57</v>
      </c>
      <c r="L95" s="64">
        <v>14.53</v>
      </c>
      <c r="M95" s="64">
        <v>68.010000000000005</v>
      </c>
      <c r="N95" s="64">
        <v>75.5</v>
      </c>
      <c r="O95" s="64">
        <v>0</v>
      </c>
      <c r="P95" s="64">
        <v>2.11</v>
      </c>
      <c r="Q95" s="64">
        <v>10.09</v>
      </c>
      <c r="R95" s="198"/>
      <c r="S95" s="198"/>
      <c r="T95" s="198"/>
      <c r="U95" s="198"/>
    </row>
    <row r="96" spans="1:26" s="12" customFormat="1" x14ac:dyDescent="0.25">
      <c r="A96" s="214" t="s">
        <v>2155</v>
      </c>
      <c r="B96" s="64">
        <v>175.7</v>
      </c>
      <c r="C96" s="64">
        <v>75.19</v>
      </c>
      <c r="D96" s="64">
        <v>178.81</v>
      </c>
      <c r="E96" s="64">
        <v>10</v>
      </c>
      <c r="F96" s="64">
        <v>2.13</v>
      </c>
      <c r="G96" s="64">
        <v>197.47</v>
      </c>
      <c r="H96" s="64">
        <v>45.11</v>
      </c>
      <c r="I96" s="210" t="s">
        <v>43</v>
      </c>
      <c r="J96" s="64">
        <v>0.59</v>
      </c>
      <c r="K96" s="64">
        <v>170.75</v>
      </c>
      <c r="L96" s="64">
        <v>14.5</v>
      </c>
      <c r="M96" s="64">
        <v>62.77</v>
      </c>
      <c r="N96" s="64">
        <v>75.099999999999994</v>
      </c>
      <c r="O96" s="64">
        <v>0</v>
      </c>
      <c r="P96" s="64">
        <v>2.17</v>
      </c>
      <c r="Q96" s="64">
        <v>10.18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2156</v>
      </c>
      <c r="B97" s="64">
        <v>175.75</v>
      </c>
      <c r="C97" s="64">
        <v>74.36</v>
      </c>
      <c r="D97" s="64">
        <v>178.41</v>
      </c>
      <c r="E97" s="64">
        <v>8.81</v>
      </c>
      <c r="F97" s="64">
        <v>2.13</v>
      </c>
      <c r="G97" s="64">
        <v>219.99</v>
      </c>
      <c r="H97" s="64">
        <v>51.54</v>
      </c>
      <c r="I97" s="210" t="s">
        <v>43</v>
      </c>
      <c r="J97" s="64">
        <v>1.0900000000000001</v>
      </c>
      <c r="K97" s="64">
        <v>161.47</v>
      </c>
      <c r="L97" s="64">
        <v>14.89</v>
      </c>
      <c r="M97" s="64">
        <v>59.85</v>
      </c>
      <c r="N97" s="64">
        <v>75.099999999999994</v>
      </c>
      <c r="O97" s="64">
        <v>0</v>
      </c>
      <c r="P97" s="64">
        <v>2.15</v>
      </c>
      <c r="Q97" s="64">
        <v>10.220000000000001</v>
      </c>
      <c r="R97" s="198"/>
      <c r="S97" s="198"/>
      <c r="T97" s="198"/>
      <c r="U97" s="198"/>
    </row>
    <row r="98" spans="1:33" s="12" customFormat="1" x14ac:dyDescent="0.25">
      <c r="A98" s="214" t="s">
        <v>2157</v>
      </c>
      <c r="B98" s="64">
        <v>170.98</v>
      </c>
      <c r="C98" s="64">
        <v>73.349999999999994</v>
      </c>
      <c r="D98" s="64">
        <v>174.06</v>
      </c>
      <c r="E98" s="64">
        <v>8.8800000000000008</v>
      </c>
      <c r="F98" s="64">
        <v>2.13</v>
      </c>
      <c r="G98" s="64">
        <v>219.99</v>
      </c>
      <c r="H98" s="64">
        <v>51.54</v>
      </c>
      <c r="I98" s="210" t="s">
        <v>43</v>
      </c>
      <c r="J98" s="64">
        <v>1.65</v>
      </c>
      <c r="K98" s="64">
        <v>307.98</v>
      </c>
      <c r="L98" s="64">
        <v>14.32</v>
      </c>
      <c r="M98" s="64">
        <v>66.650000000000006</v>
      </c>
      <c r="N98" s="64">
        <v>76</v>
      </c>
      <c r="O98" s="64">
        <v>0</v>
      </c>
      <c r="P98" s="64">
        <v>2.12</v>
      </c>
      <c r="Q98" s="64">
        <v>10.18</v>
      </c>
      <c r="R98" s="198"/>
      <c r="S98" s="198"/>
      <c r="T98" s="198"/>
      <c r="U98" s="198"/>
    </row>
    <row r="99" spans="1:33" s="12" customFormat="1" x14ac:dyDescent="0.25">
      <c r="A99" s="214" t="s">
        <v>2158</v>
      </c>
      <c r="B99" s="64">
        <v>169.34</v>
      </c>
      <c r="C99" s="64">
        <v>72.56</v>
      </c>
      <c r="D99" s="64">
        <v>172.34</v>
      </c>
      <c r="E99" s="64">
        <v>8.42</v>
      </c>
      <c r="F99" s="64">
        <v>2.13</v>
      </c>
      <c r="G99" s="64">
        <v>219.99</v>
      </c>
      <c r="H99" s="64">
        <v>51.54</v>
      </c>
      <c r="I99" s="210" t="s">
        <v>43</v>
      </c>
      <c r="J99" s="64">
        <v>1.24</v>
      </c>
      <c r="K99" s="64">
        <v>319.74</v>
      </c>
      <c r="L99" s="64">
        <v>13.61</v>
      </c>
      <c r="M99" s="64">
        <v>72.180000000000007</v>
      </c>
      <c r="N99" s="64">
        <v>76.099999999999994</v>
      </c>
      <c r="O99" s="64">
        <v>0</v>
      </c>
      <c r="P99" s="64">
        <v>2.12</v>
      </c>
      <c r="Q99" s="64">
        <v>10.17</v>
      </c>
      <c r="R99" s="198"/>
      <c r="S99" s="198"/>
      <c r="T99" s="198"/>
      <c r="U99" s="198"/>
    </row>
    <row r="100" spans="1:33" s="12" customFormat="1" x14ac:dyDescent="0.25">
      <c r="A100" s="214" t="s">
        <v>2159</v>
      </c>
      <c r="B100" s="64">
        <v>168.45</v>
      </c>
      <c r="C100" s="64">
        <v>71.98</v>
      </c>
      <c r="D100" s="64">
        <v>171.32</v>
      </c>
      <c r="E100" s="64">
        <v>8.6</v>
      </c>
      <c r="F100" s="64">
        <v>2.13</v>
      </c>
      <c r="G100" s="64">
        <v>184.45</v>
      </c>
      <c r="H100" s="64">
        <v>47.39</v>
      </c>
      <c r="I100" s="210" t="s">
        <v>43</v>
      </c>
      <c r="J100" s="64">
        <v>1.58</v>
      </c>
      <c r="K100" s="64">
        <v>277.20999999999998</v>
      </c>
      <c r="L100" s="64">
        <v>13.25</v>
      </c>
      <c r="M100" s="64">
        <v>72.63</v>
      </c>
      <c r="N100" s="64">
        <v>76.099999999999994</v>
      </c>
      <c r="O100" s="64">
        <v>0</v>
      </c>
      <c r="P100" s="64">
        <v>2.11</v>
      </c>
      <c r="Q100" s="64">
        <v>10.19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2160</v>
      </c>
      <c r="B101" s="64">
        <v>167.65</v>
      </c>
      <c r="C101" s="64">
        <v>71.34</v>
      </c>
      <c r="D101" s="64">
        <v>170.34</v>
      </c>
      <c r="E101" s="64">
        <v>8.18</v>
      </c>
      <c r="F101" s="64">
        <v>2.13</v>
      </c>
      <c r="G101" s="64">
        <v>141.97999999999999</v>
      </c>
      <c r="H101" s="64">
        <v>42.43</v>
      </c>
      <c r="I101" s="210" t="s">
        <v>43</v>
      </c>
      <c r="J101" s="64">
        <v>1.67</v>
      </c>
      <c r="K101" s="64">
        <v>311.49</v>
      </c>
      <c r="L101" s="64">
        <v>13.05</v>
      </c>
      <c r="M101" s="64">
        <v>77.91</v>
      </c>
      <c r="N101" s="64">
        <v>76</v>
      </c>
      <c r="O101" s="64">
        <v>0</v>
      </c>
      <c r="P101" s="64">
        <v>2.08</v>
      </c>
      <c r="Q101" s="64">
        <v>10.15</v>
      </c>
      <c r="R101" s="198"/>
      <c r="S101" s="198"/>
      <c r="T101" s="198"/>
      <c r="U101" s="198"/>
    </row>
    <row r="102" spans="1:33" s="12" customFormat="1" x14ac:dyDescent="0.25">
      <c r="A102" s="214" t="s">
        <v>2161</v>
      </c>
      <c r="B102" s="64">
        <v>168.47</v>
      </c>
      <c r="C102" s="64">
        <v>71.12</v>
      </c>
      <c r="D102" s="64">
        <v>170.89</v>
      </c>
      <c r="E102" s="64">
        <v>7.75</v>
      </c>
      <c r="F102" s="64">
        <v>2.13</v>
      </c>
      <c r="G102" s="64">
        <v>141.97999999999999</v>
      </c>
      <c r="H102" s="64">
        <v>42.43</v>
      </c>
      <c r="I102" s="210" t="s">
        <v>43</v>
      </c>
      <c r="J102" s="64">
        <v>1.69</v>
      </c>
      <c r="K102" s="64">
        <v>316.49</v>
      </c>
      <c r="L102" s="64">
        <v>12.73</v>
      </c>
      <c r="M102" s="64">
        <v>75.66</v>
      </c>
      <c r="N102" s="64">
        <v>75.900000000000006</v>
      </c>
      <c r="O102" s="64">
        <v>0</v>
      </c>
      <c r="P102" s="64">
        <v>2.0699999999999998</v>
      </c>
      <c r="Q102" s="64">
        <v>10.18</v>
      </c>
      <c r="R102" s="198"/>
      <c r="S102" s="198"/>
      <c r="T102" s="198"/>
      <c r="U102" s="198"/>
    </row>
    <row r="103" spans="1:33" s="12" customFormat="1" x14ac:dyDescent="0.25">
      <c r="A103" s="214" t="s">
        <v>2162</v>
      </c>
      <c r="B103" s="64">
        <v>169.25</v>
      </c>
      <c r="C103" s="64">
        <v>70.680000000000007</v>
      </c>
      <c r="D103" s="64">
        <v>171.28</v>
      </c>
      <c r="E103" s="64">
        <v>7.76</v>
      </c>
      <c r="F103" s="64">
        <v>2.13</v>
      </c>
      <c r="G103" s="64">
        <v>141.97999999999999</v>
      </c>
      <c r="H103" s="64">
        <v>42.43</v>
      </c>
      <c r="I103" s="210" t="s">
        <v>43</v>
      </c>
      <c r="J103" s="64">
        <v>1.73</v>
      </c>
      <c r="K103" s="64">
        <v>279.52</v>
      </c>
      <c r="L103" s="64">
        <v>12.56</v>
      </c>
      <c r="M103" s="64">
        <v>75.39</v>
      </c>
      <c r="N103" s="64">
        <v>76</v>
      </c>
      <c r="O103" s="64">
        <v>0</v>
      </c>
      <c r="P103" s="64">
        <v>2.04</v>
      </c>
      <c r="Q103" s="64">
        <v>10.16</v>
      </c>
      <c r="R103" s="198"/>
      <c r="S103" s="198"/>
      <c r="T103" s="198"/>
      <c r="U103" s="198"/>
    </row>
    <row r="104" spans="1:33" s="12" customFormat="1" x14ac:dyDescent="0.25">
      <c r="A104" s="214" t="s">
        <v>2163</v>
      </c>
      <c r="B104" s="64">
        <v>169.94</v>
      </c>
      <c r="C104" s="64">
        <v>68.17</v>
      </c>
      <c r="D104" s="64">
        <v>170.52</v>
      </c>
      <c r="E104" s="64">
        <v>7.56</v>
      </c>
      <c r="F104" s="64">
        <v>2.13</v>
      </c>
      <c r="G104" s="64">
        <v>137.33000000000001</v>
      </c>
      <c r="H104" s="64">
        <v>43.11</v>
      </c>
      <c r="I104" s="210" t="s">
        <v>43</v>
      </c>
      <c r="J104" s="64">
        <v>1.49</v>
      </c>
      <c r="K104" s="64">
        <v>316.24</v>
      </c>
      <c r="L104" s="64">
        <v>12.42</v>
      </c>
      <c r="M104" s="64">
        <v>76.819999999999993</v>
      </c>
      <c r="N104" s="64">
        <v>76</v>
      </c>
      <c r="O104" s="64">
        <v>0</v>
      </c>
      <c r="P104" s="64">
        <v>2.0099999999999998</v>
      </c>
      <c r="Q104" s="64">
        <v>10.19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1.89</v>
      </c>
      <c r="C106" s="67">
        <f>MIN(C9:C104)</f>
        <v>52.61</v>
      </c>
      <c r="D106" s="67">
        <f t="shared" ref="D106:Q106" si="0">MIN(D9:D104)</f>
        <v>27.67</v>
      </c>
      <c r="E106" s="67">
        <f t="shared" si="0"/>
        <v>3.79</v>
      </c>
      <c r="F106" s="67">
        <f t="shared" si="0"/>
        <v>2.13</v>
      </c>
      <c r="G106" s="67">
        <f t="shared" si="0"/>
        <v>16.87</v>
      </c>
      <c r="H106" s="67">
        <f t="shared" si="0"/>
        <v>8.66</v>
      </c>
      <c r="I106" s="67">
        <f t="shared" si="0"/>
        <v>0</v>
      </c>
      <c r="J106" s="67">
        <f t="shared" si="0"/>
        <v>0.17</v>
      </c>
      <c r="K106" s="67">
        <f t="shared" si="0"/>
        <v>4.84</v>
      </c>
      <c r="L106" s="67">
        <f t="shared" si="0"/>
        <v>8.9700000000000006</v>
      </c>
      <c r="M106" s="67">
        <f t="shared" si="0"/>
        <v>23.56</v>
      </c>
      <c r="N106" s="67">
        <f t="shared" si="0"/>
        <v>75.099999999999994</v>
      </c>
      <c r="O106" s="67">
        <f t="shared" si="0"/>
        <v>0</v>
      </c>
      <c r="P106" s="67">
        <f t="shared" si="0"/>
        <v>0.5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216.81</v>
      </c>
      <c r="C107" s="66">
        <f t="shared" ref="C107:Q107" si="1">MAX(C9:C104)</f>
        <v>99.05</v>
      </c>
      <c r="D107" s="66">
        <f t="shared" si="1"/>
        <v>208.44</v>
      </c>
      <c r="E107" s="66">
        <f t="shared" si="1"/>
        <v>44.92</v>
      </c>
      <c r="F107" s="66">
        <f t="shared" si="1"/>
        <v>21.64</v>
      </c>
      <c r="G107" s="66">
        <f t="shared" si="1"/>
        <v>219.99</v>
      </c>
      <c r="H107" s="66">
        <f t="shared" si="1"/>
        <v>65.400000000000006</v>
      </c>
      <c r="I107" s="66">
        <f t="shared" si="1"/>
        <v>0</v>
      </c>
      <c r="J107" s="66">
        <f t="shared" si="1"/>
        <v>2.95</v>
      </c>
      <c r="K107" s="66">
        <f t="shared" si="1"/>
        <v>359.31</v>
      </c>
      <c r="L107" s="66">
        <f t="shared" si="1"/>
        <v>27.26</v>
      </c>
      <c r="M107" s="66">
        <f t="shared" si="1"/>
        <v>93.82</v>
      </c>
      <c r="N107" s="66">
        <f t="shared" si="1"/>
        <v>724.7</v>
      </c>
      <c r="O107" s="66">
        <f t="shared" si="1"/>
        <v>0</v>
      </c>
      <c r="P107" s="66">
        <f t="shared" si="1"/>
        <v>2.2200000000000002</v>
      </c>
      <c r="Q107" s="66">
        <f t="shared" si="1"/>
        <v>10.44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97.077634408602165</v>
      </c>
      <c r="C108" s="67">
        <f t="shared" ref="C108:Q108" si="2">AVERAGE(C9:C104)</f>
        <v>69.48838709677419</v>
      </c>
      <c r="D108" s="67">
        <f t="shared" si="2"/>
        <v>112.77806451612906</v>
      </c>
      <c r="E108" s="67">
        <f t="shared" si="2"/>
        <v>9.0896739130434803</v>
      </c>
      <c r="F108" s="67">
        <f t="shared" si="2"/>
        <v>3.2943749999999983</v>
      </c>
      <c r="G108" s="67">
        <f t="shared" si="2"/>
        <v>136.55565217391305</v>
      </c>
      <c r="H108" s="67">
        <f t="shared" si="2"/>
        <v>43.335652173913061</v>
      </c>
      <c r="I108" s="67" t="e">
        <f t="shared" si="2"/>
        <v>#DIV/0!</v>
      </c>
      <c r="J108" s="67">
        <f t="shared" si="2"/>
        <v>1.4961458333333335</v>
      </c>
      <c r="K108" s="67">
        <f t="shared" si="2"/>
        <v>247.05822916666673</v>
      </c>
      <c r="L108" s="67">
        <f t="shared" si="2"/>
        <v>17.023333333333337</v>
      </c>
      <c r="M108" s="67">
        <f t="shared" si="2"/>
        <v>57.206458333333359</v>
      </c>
      <c r="N108" s="67">
        <f t="shared" si="2"/>
        <v>225.02395833333333</v>
      </c>
      <c r="O108" s="67">
        <f t="shared" si="2"/>
        <v>0</v>
      </c>
      <c r="P108" s="67">
        <f t="shared" si="2"/>
        <v>1.4637234042553189</v>
      </c>
      <c r="Q108" s="67">
        <f t="shared" si="2"/>
        <v>9.3851041666666735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71.987279800245233</v>
      </c>
      <c r="C109" s="67">
        <f t="shared" ref="C109:Q109" si="3">STDEV(C9:C104)</f>
        <v>10.7620178819777</v>
      </c>
      <c r="D109" s="67">
        <f t="shared" si="3"/>
        <v>56.202222729100711</v>
      </c>
      <c r="E109" s="67">
        <f t="shared" si="3"/>
        <v>4.3680313294087716</v>
      </c>
      <c r="F109" s="67">
        <f t="shared" si="3"/>
        <v>3.4741398973437763</v>
      </c>
      <c r="G109" s="67">
        <f t="shared" si="3"/>
        <v>53.862506038178886</v>
      </c>
      <c r="H109" s="67">
        <f t="shared" si="3"/>
        <v>16.371350431610992</v>
      </c>
      <c r="I109" s="67" t="e">
        <f t="shared" si="3"/>
        <v>#DIV/0!</v>
      </c>
      <c r="J109" s="67">
        <f t="shared" si="3"/>
        <v>0.63046744528278598</v>
      </c>
      <c r="K109" s="67">
        <f t="shared" si="3"/>
        <v>104.68958437102741</v>
      </c>
      <c r="L109" s="67">
        <f t="shared" si="3"/>
        <v>6.218857005603212</v>
      </c>
      <c r="M109" s="67">
        <f t="shared" si="3"/>
        <v>24.892882642874639</v>
      </c>
      <c r="N109" s="67">
        <f t="shared" si="3"/>
        <v>231.4455296812402</v>
      </c>
      <c r="O109" s="67">
        <f t="shared" si="3"/>
        <v>0</v>
      </c>
      <c r="P109" s="67">
        <f t="shared" si="3"/>
        <v>0.56906447287197814</v>
      </c>
      <c r="Q109" s="67">
        <f t="shared" si="3"/>
        <v>0.87495924090531962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 t="shared" ref="C110:D110" si="4">COUNT(C9:C104)+3</f>
        <v>96</v>
      </c>
      <c r="D110" s="66">
        <f t="shared" si="4"/>
        <v>96</v>
      </c>
      <c r="E110" s="66">
        <f>COUNT(E9:E104)+4</f>
        <v>96</v>
      </c>
      <c r="F110" s="66">
        <f t="shared" ref="F110:Q110" si="5">COUNT(F9:F104)</f>
        <v>96</v>
      </c>
      <c r="G110" s="66">
        <f>COUNT(G9:G104)+4</f>
        <v>96</v>
      </c>
      <c r="H110" s="66">
        <f>COUNT(H9:H104)+4</f>
        <v>96</v>
      </c>
      <c r="I110" s="66">
        <f t="shared" si="5"/>
        <v>0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>COUNT(P9:P104)+2</f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&lt;90%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LESS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2164</v>
      </c>
      <c r="B9" s="64">
        <v>170.52</v>
      </c>
      <c r="C9" s="64">
        <v>67.819999999999993</v>
      </c>
      <c r="D9" s="64">
        <v>170.8</v>
      </c>
      <c r="E9" s="64">
        <v>7.73</v>
      </c>
      <c r="F9" s="64">
        <v>2.13</v>
      </c>
      <c r="G9" s="64">
        <v>131.78</v>
      </c>
      <c r="H9" s="64">
        <v>43.93</v>
      </c>
      <c r="I9" s="210" t="s">
        <v>43</v>
      </c>
      <c r="J9" s="64">
        <v>1.75</v>
      </c>
      <c r="K9" s="64">
        <v>289.38</v>
      </c>
      <c r="L9" s="64">
        <v>12.26</v>
      </c>
      <c r="M9" s="64">
        <v>78.06</v>
      </c>
      <c r="N9" s="64">
        <v>75.8</v>
      </c>
      <c r="O9" s="64">
        <v>0</v>
      </c>
      <c r="P9" s="64">
        <v>1.98</v>
      </c>
      <c r="Q9" s="64">
        <v>10.19</v>
      </c>
      <c r="R9" s="198"/>
      <c r="S9" s="198"/>
      <c r="T9" s="198"/>
      <c r="U9" s="198"/>
    </row>
    <row r="10" spans="1:21" s="12" customFormat="1" x14ac:dyDescent="0.25">
      <c r="A10" s="214" t="s">
        <v>2165</v>
      </c>
      <c r="B10" s="64">
        <v>168.93</v>
      </c>
      <c r="C10" s="64">
        <v>67.77</v>
      </c>
      <c r="D10" s="64">
        <v>169.5</v>
      </c>
      <c r="E10" s="64">
        <v>7.68</v>
      </c>
      <c r="F10" s="64">
        <v>2.13</v>
      </c>
      <c r="G10" s="64">
        <v>131.78</v>
      </c>
      <c r="H10" s="64">
        <v>43.93</v>
      </c>
      <c r="I10" s="210" t="s">
        <v>43</v>
      </c>
      <c r="J10" s="64">
        <v>1.65</v>
      </c>
      <c r="K10" s="64">
        <v>307.68</v>
      </c>
      <c r="L10" s="64">
        <v>12.21</v>
      </c>
      <c r="M10" s="64">
        <v>77.92</v>
      </c>
      <c r="N10" s="64">
        <v>75.900000000000006</v>
      </c>
      <c r="O10" s="64">
        <v>0</v>
      </c>
      <c r="P10" s="64">
        <v>1.95</v>
      </c>
      <c r="Q10" s="64">
        <v>10.16</v>
      </c>
      <c r="R10" s="198"/>
      <c r="S10" s="198"/>
      <c r="T10" s="198"/>
      <c r="U10" s="198"/>
    </row>
    <row r="11" spans="1:21" s="12" customFormat="1" x14ac:dyDescent="0.25">
      <c r="A11" s="214" t="s">
        <v>2166</v>
      </c>
      <c r="B11" s="64">
        <v>165.82</v>
      </c>
      <c r="C11" s="64">
        <v>66.86</v>
      </c>
      <c r="D11" s="64">
        <v>166.53</v>
      </c>
      <c r="E11" s="64">
        <v>7.34</v>
      </c>
      <c r="F11" s="64">
        <v>2.13</v>
      </c>
      <c r="G11" s="64">
        <v>131.78</v>
      </c>
      <c r="H11" s="64">
        <v>43.93</v>
      </c>
      <c r="I11" s="210" t="s">
        <v>43</v>
      </c>
      <c r="J11" s="64">
        <v>1.57</v>
      </c>
      <c r="K11" s="64">
        <v>319.60000000000002</v>
      </c>
      <c r="L11" s="64">
        <v>12.19</v>
      </c>
      <c r="M11" s="64">
        <v>78.62</v>
      </c>
      <c r="N11" s="64">
        <v>75.8</v>
      </c>
      <c r="O11" s="64">
        <v>0</v>
      </c>
      <c r="P11" s="64">
        <v>1.92</v>
      </c>
      <c r="Q11" s="64">
        <v>10.119999999999999</v>
      </c>
      <c r="R11" s="198"/>
      <c r="S11" s="198"/>
      <c r="T11" s="198"/>
      <c r="U11" s="198"/>
    </row>
    <row r="12" spans="1:21" s="12" customFormat="1" x14ac:dyDescent="0.25">
      <c r="A12" s="214" t="s">
        <v>2167</v>
      </c>
      <c r="B12" s="64">
        <v>163.41</v>
      </c>
      <c r="C12" s="64">
        <v>66.16</v>
      </c>
      <c r="D12" s="64">
        <v>164.23</v>
      </c>
      <c r="E12" s="64">
        <v>7.7</v>
      </c>
      <c r="F12" s="64">
        <v>2.13</v>
      </c>
      <c r="G12" s="64">
        <v>126.73</v>
      </c>
      <c r="H12" s="64">
        <v>40.450000000000003</v>
      </c>
      <c r="I12" s="210" t="s">
        <v>43</v>
      </c>
      <c r="J12" s="64">
        <v>1.72</v>
      </c>
      <c r="K12" s="64">
        <v>309.14</v>
      </c>
      <c r="L12" s="64">
        <v>12.01</v>
      </c>
      <c r="M12" s="64">
        <v>80.040000000000006</v>
      </c>
      <c r="N12" s="64">
        <v>76</v>
      </c>
      <c r="O12" s="64">
        <v>0</v>
      </c>
      <c r="P12" s="64">
        <v>1.87</v>
      </c>
      <c r="Q12" s="64">
        <v>10.11</v>
      </c>
      <c r="R12" s="198"/>
      <c r="S12" s="198"/>
      <c r="T12" s="198"/>
      <c r="U12" s="198"/>
    </row>
    <row r="13" spans="1:21" s="12" customFormat="1" x14ac:dyDescent="0.25">
      <c r="A13" s="214" t="s">
        <v>2168</v>
      </c>
      <c r="B13" s="64">
        <v>160.34</v>
      </c>
      <c r="C13" s="64">
        <v>65.349999999999994</v>
      </c>
      <c r="D13" s="64">
        <v>161.35</v>
      </c>
      <c r="E13" s="64">
        <v>7.29</v>
      </c>
      <c r="F13" s="64">
        <v>2.13</v>
      </c>
      <c r="G13" s="64">
        <v>120.7</v>
      </c>
      <c r="H13" s="64">
        <v>36.28</v>
      </c>
      <c r="I13" s="210" t="s">
        <v>43</v>
      </c>
      <c r="J13" s="64">
        <v>1.72</v>
      </c>
      <c r="K13" s="64">
        <v>307.44</v>
      </c>
      <c r="L13" s="64">
        <v>11.73</v>
      </c>
      <c r="M13" s="64">
        <v>80.13</v>
      </c>
      <c r="N13" s="64">
        <v>76</v>
      </c>
      <c r="O13" s="64">
        <v>0</v>
      </c>
      <c r="P13" s="64">
        <v>1.64</v>
      </c>
      <c r="Q13" s="64">
        <v>10.119999999999999</v>
      </c>
      <c r="R13" s="198"/>
      <c r="S13" s="198"/>
      <c r="T13" s="198"/>
      <c r="U13" s="198"/>
    </row>
    <row r="14" spans="1:21" s="12" customFormat="1" x14ac:dyDescent="0.25">
      <c r="A14" s="214" t="s">
        <v>2169</v>
      </c>
      <c r="B14" s="64">
        <v>155.59</v>
      </c>
      <c r="C14" s="64">
        <v>64.72</v>
      </c>
      <c r="D14" s="64">
        <v>157.21</v>
      </c>
      <c r="E14" s="64">
        <v>7.05</v>
      </c>
      <c r="F14" s="64">
        <v>2.13</v>
      </c>
      <c r="G14" s="64">
        <v>120.7</v>
      </c>
      <c r="H14" s="64">
        <v>36.28</v>
      </c>
      <c r="I14" s="210" t="s">
        <v>43</v>
      </c>
      <c r="J14" s="64">
        <v>1.58</v>
      </c>
      <c r="K14" s="64">
        <v>316.33</v>
      </c>
      <c r="L14" s="64">
        <v>11.65</v>
      </c>
      <c r="M14" s="64">
        <v>79.510000000000005</v>
      </c>
      <c r="N14" s="64">
        <v>76.099999999999994</v>
      </c>
      <c r="O14" s="64">
        <v>0</v>
      </c>
      <c r="P14" s="64">
        <v>1.66</v>
      </c>
      <c r="Q14" s="64">
        <v>10.06</v>
      </c>
      <c r="R14" s="198"/>
      <c r="S14" s="198"/>
      <c r="T14" s="198"/>
      <c r="U14" s="198"/>
    </row>
    <row r="15" spans="1:21" s="12" customFormat="1" x14ac:dyDescent="0.25">
      <c r="A15" s="214" t="s">
        <v>2170</v>
      </c>
      <c r="B15" s="64">
        <v>150.85</v>
      </c>
      <c r="C15" s="64">
        <v>65.040000000000006</v>
      </c>
      <c r="D15" s="64">
        <v>153.58000000000001</v>
      </c>
      <c r="E15" s="64">
        <v>7.13</v>
      </c>
      <c r="F15" s="64">
        <v>2.13</v>
      </c>
      <c r="G15" s="64">
        <v>120.7</v>
      </c>
      <c r="H15" s="64">
        <v>36.28</v>
      </c>
      <c r="I15" s="210" t="s">
        <v>43</v>
      </c>
      <c r="J15" s="64">
        <v>1.73</v>
      </c>
      <c r="K15" s="64">
        <v>1.71</v>
      </c>
      <c r="L15" s="64">
        <v>11.73</v>
      </c>
      <c r="M15" s="64">
        <v>82.02</v>
      </c>
      <c r="N15" s="64">
        <v>75.8</v>
      </c>
      <c r="O15" s="64">
        <v>0</v>
      </c>
      <c r="P15" s="64">
        <v>1.65</v>
      </c>
      <c r="Q15" s="64">
        <v>10.050000000000001</v>
      </c>
      <c r="R15" s="198"/>
      <c r="S15" s="198"/>
      <c r="T15" s="198"/>
      <c r="U15" s="198"/>
    </row>
    <row r="16" spans="1:21" s="12" customFormat="1" x14ac:dyDescent="0.25">
      <c r="A16" s="214" t="s">
        <v>2171</v>
      </c>
      <c r="B16" s="64">
        <v>146.21</v>
      </c>
      <c r="C16" s="64">
        <v>64.66</v>
      </c>
      <c r="D16" s="64">
        <v>149.65</v>
      </c>
      <c r="E16" s="64">
        <v>7.34</v>
      </c>
      <c r="F16" s="64">
        <v>2.13</v>
      </c>
      <c r="G16" s="64">
        <v>106.07</v>
      </c>
      <c r="H16" s="64">
        <v>36.31</v>
      </c>
      <c r="I16" s="210" t="s">
        <v>43</v>
      </c>
      <c r="J16" s="64">
        <v>1.8</v>
      </c>
      <c r="K16" s="64">
        <v>355.29</v>
      </c>
      <c r="L16" s="64">
        <v>11.66</v>
      </c>
      <c r="M16" s="64">
        <v>82.88</v>
      </c>
      <c r="N16" s="64">
        <v>76.2</v>
      </c>
      <c r="O16" s="64">
        <v>0</v>
      </c>
      <c r="P16" s="64">
        <v>1.61</v>
      </c>
      <c r="Q16" s="64">
        <v>10.029999999999999</v>
      </c>
      <c r="R16" s="198"/>
      <c r="S16" s="198"/>
      <c r="T16" s="198"/>
      <c r="U16" s="198"/>
    </row>
    <row r="17" spans="1:21" s="12" customFormat="1" x14ac:dyDescent="0.25">
      <c r="A17" s="214" t="s">
        <v>2172</v>
      </c>
      <c r="B17" s="64">
        <v>140.94999999999999</v>
      </c>
      <c r="C17" s="64">
        <v>64.13</v>
      </c>
      <c r="D17" s="64">
        <v>145.16</v>
      </c>
      <c r="E17" s="64">
        <v>7.42</v>
      </c>
      <c r="F17" s="64">
        <v>2.13</v>
      </c>
      <c r="G17" s="64">
        <v>88.59</v>
      </c>
      <c r="H17" s="64">
        <v>36.340000000000003</v>
      </c>
      <c r="I17" s="210" t="s">
        <v>43</v>
      </c>
      <c r="J17" s="64">
        <v>0.2</v>
      </c>
      <c r="K17" s="64">
        <v>236.99</v>
      </c>
      <c r="L17" s="64">
        <v>11.4</v>
      </c>
      <c r="M17" s="64">
        <v>87.37</v>
      </c>
      <c r="N17" s="64">
        <v>75.7</v>
      </c>
      <c r="O17" s="64">
        <v>0</v>
      </c>
      <c r="P17" s="64">
        <v>1.56</v>
      </c>
      <c r="Q17" s="64">
        <v>10</v>
      </c>
      <c r="R17" s="198"/>
      <c r="S17" s="198"/>
      <c r="T17" s="198"/>
      <c r="U17" s="198"/>
    </row>
    <row r="18" spans="1:21" s="12" customFormat="1" x14ac:dyDescent="0.25">
      <c r="A18" s="214" t="s">
        <v>2173</v>
      </c>
      <c r="B18" s="64">
        <v>135.18</v>
      </c>
      <c r="C18" s="64">
        <v>63.49</v>
      </c>
      <c r="D18" s="64">
        <v>140.19999999999999</v>
      </c>
      <c r="E18" s="64">
        <v>7.19</v>
      </c>
      <c r="F18" s="64">
        <v>2.13</v>
      </c>
      <c r="G18" s="64">
        <v>88.59</v>
      </c>
      <c r="H18" s="64">
        <v>36.340000000000003</v>
      </c>
      <c r="I18" s="210" t="s">
        <v>43</v>
      </c>
      <c r="J18" s="64">
        <v>0.94</v>
      </c>
      <c r="K18" s="64">
        <v>301.45</v>
      </c>
      <c r="L18" s="64">
        <v>11.38</v>
      </c>
      <c r="M18" s="64">
        <v>83.69</v>
      </c>
      <c r="N18" s="64">
        <v>76.099999999999994</v>
      </c>
      <c r="O18" s="64">
        <v>0</v>
      </c>
      <c r="P18" s="64">
        <v>1.53</v>
      </c>
      <c r="Q18" s="64">
        <v>10</v>
      </c>
      <c r="R18" s="198"/>
      <c r="S18" s="198"/>
      <c r="T18" s="198"/>
      <c r="U18" s="198"/>
    </row>
    <row r="19" spans="1:21" s="12" customFormat="1" x14ac:dyDescent="0.25">
      <c r="A19" s="214" t="s">
        <v>2174</v>
      </c>
      <c r="B19" s="64">
        <v>128.81</v>
      </c>
      <c r="C19" s="64">
        <v>63.11</v>
      </c>
      <c r="D19" s="64">
        <v>134.88999999999999</v>
      </c>
      <c r="E19" s="64">
        <v>6.68</v>
      </c>
      <c r="F19" s="64">
        <v>2.13</v>
      </c>
      <c r="G19" s="64">
        <v>88.59</v>
      </c>
      <c r="H19" s="64">
        <v>36.340000000000003</v>
      </c>
      <c r="I19" s="210" t="s">
        <v>43</v>
      </c>
      <c r="J19" s="64">
        <v>0.56000000000000005</v>
      </c>
      <c r="K19" s="64">
        <v>300.13</v>
      </c>
      <c r="L19" s="64">
        <v>11.17</v>
      </c>
      <c r="M19" s="64">
        <v>83.52</v>
      </c>
      <c r="N19" s="64">
        <v>75.900000000000006</v>
      </c>
      <c r="O19" s="64">
        <v>0</v>
      </c>
      <c r="P19" s="64">
        <v>1.48</v>
      </c>
      <c r="Q19" s="64">
        <v>9.9600000000000009</v>
      </c>
      <c r="R19" s="198"/>
      <c r="S19" s="198"/>
      <c r="T19" s="198"/>
      <c r="U19" s="198"/>
    </row>
    <row r="20" spans="1:21" s="12" customFormat="1" x14ac:dyDescent="0.25">
      <c r="A20" s="214" t="s">
        <v>2175</v>
      </c>
      <c r="B20" s="64">
        <v>122.54</v>
      </c>
      <c r="C20" s="64">
        <v>63.1</v>
      </c>
      <c r="D20" s="64">
        <v>129.86000000000001</v>
      </c>
      <c r="E20" s="64">
        <v>6.39</v>
      </c>
      <c r="F20" s="64">
        <v>2.13</v>
      </c>
      <c r="G20" s="64">
        <v>87.31</v>
      </c>
      <c r="H20" s="64">
        <v>36.14</v>
      </c>
      <c r="I20" s="210" t="s">
        <v>43</v>
      </c>
      <c r="J20" s="64">
        <v>1.66</v>
      </c>
      <c r="K20" s="64">
        <v>295.64999999999998</v>
      </c>
      <c r="L20" s="64">
        <v>11.14</v>
      </c>
      <c r="M20" s="64">
        <v>84.03</v>
      </c>
      <c r="N20" s="64">
        <v>76.3</v>
      </c>
      <c r="O20" s="64">
        <v>0</v>
      </c>
      <c r="P20" s="64">
        <v>1.44</v>
      </c>
      <c r="Q20" s="64">
        <v>9.94</v>
      </c>
      <c r="R20" s="198"/>
      <c r="S20" s="198"/>
      <c r="T20" s="198"/>
      <c r="U20" s="198"/>
    </row>
    <row r="21" spans="1:21" s="12" customFormat="1" x14ac:dyDescent="0.25">
      <c r="A21" s="214" t="s">
        <v>2176</v>
      </c>
      <c r="B21" s="64">
        <v>117.01</v>
      </c>
      <c r="C21" s="64">
        <v>62.56</v>
      </c>
      <c r="D21" s="64">
        <v>125.14</v>
      </c>
      <c r="E21" s="64">
        <v>6.55</v>
      </c>
      <c r="F21" s="64">
        <v>2.13</v>
      </c>
      <c r="G21" s="64">
        <v>85.77</v>
      </c>
      <c r="H21" s="64">
        <v>35.9</v>
      </c>
      <c r="I21" s="210" t="s">
        <v>43</v>
      </c>
      <c r="J21" s="64">
        <v>1.44</v>
      </c>
      <c r="K21" s="64">
        <v>331.08</v>
      </c>
      <c r="L21" s="64">
        <v>10.79</v>
      </c>
      <c r="M21" s="64">
        <v>87.51</v>
      </c>
      <c r="N21" s="64">
        <v>76.400000000000006</v>
      </c>
      <c r="O21" s="64">
        <v>0</v>
      </c>
      <c r="P21" s="64">
        <v>1.4</v>
      </c>
      <c r="Q21" s="64">
        <v>9.9</v>
      </c>
      <c r="R21" s="198"/>
      <c r="S21" s="198"/>
      <c r="T21" s="198"/>
      <c r="U21" s="198"/>
    </row>
    <row r="22" spans="1:21" s="12" customFormat="1" x14ac:dyDescent="0.25">
      <c r="A22" s="214" t="s">
        <v>2177</v>
      </c>
      <c r="B22" s="64">
        <v>112.3</v>
      </c>
      <c r="C22" s="64">
        <v>62.32</v>
      </c>
      <c r="D22" s="64">
        <v>121.24</v>
      </c>
      <c r="E22" s="64">
        <v>6.53</v>
      </c>
      <c r="F22" s="64">
        <v>2.13</v>
      </c>
      <c r="G22" s="64">
        <v>85.77</v>
      </c>
      <c r="H22" s="64">
        <v>35.9</v>
      </c>
      <c r="I22" s="210" t="s">
        <v>43</v>
      </c>
      <c r="J22" s="64">
        <v>1.28</v>
      </c>
      <c r="K22" s="64">
        <v>286.56</v>
      </c>
      <c r="L22" s="64">
        <v>10.71</v>
      </c>
      <c r="M22" s="64">
        <v>88.8</v>
      </c>
      <c r="N22" s="64">
        <v>76.2</v>
      </c>
      <c r="O22" s="64">
        <v>0</v>
      </c>
      <c r="P22" s="64">
        <v>1.36</v>
      </c>
      <c r="Q22" s="64">
        <v>9.85</v>
      </c>
      <c r="R22" s="198"/>
      <c r="S22" s="198"/>
      <c r="T22" s="198"/>
      <c r="U22" s="198"/>
    </row>
    <row r="23" spans="1:21" s="12" customFormat="1" x14ac:dyDescent="0.25">
      <c r="A23" s="214" t="s">
        <v>2178</v>
      </c>
      <c r="B23" s="64">
        <v>108.82</v>
      </c>
      <c r="C23" s="64">
        <v>62.2</v>
      </c>
      <c r="D23" s="64">
        <v>118.39</v>
      </c>
      <c r="E23" s="64">
        <v>6.52</v>
      </c>
      <c r="F23" s="64">
        <v>2.13</v>
      </c>
      <c r="G23" s="64">
        <v>85.77</v>
      </c>
      <c r="H23" s="64">
        <v>35.9</v>
      </c>
      <c r="I23" s="210" t="s">
        <v>43</v>
      </c>
      <c r="J23" s="64">
        <v>0.98</v>
      </c>
      <c r="K23" s="64">
        <v>49.34</v>
      </c>
      <c r="L23" s="64">
        <v>10.57</v>
      </c>
      <c r="M23" s="64">
        <v>90.68</v>
      </c>
      <c r="N23" s="64">
        <v>76.5</v>
      </c>
      <c r="O23" s="64">
        <v>0</v>
      </c>
      <c r="P23" s="64">
        <v>1.31</v>
      </c>
      <c r="Q23" s="64">
        <v>9.86</v>
      </c>
      <c r="R23" s="198"/>
      <c r="S23" s="198"/>
      <c r="T23" s="198"/>
      <c r="U23" s="198"/>
    </row>
    <row r="24" spans="1:21" s="12" customFormat="1" x14ac:dyDescent="0.25">
      <c r="A24" s="214" t="s">
        <v>2179</v>
      </c>
      <c r="B24" s="64">
        <v>106.25</v>
      </c>
      <c r="C24" s="64">
        <v>61.32</v>
      </c>
      <c r="D24" s="64">
        <v>115.87</v>
      </c>
      <c r="E24" s="64">
        <v>6.02</v>
      </c>
      <c r="F24" s="64">
        <v>2.13</v>
      </c>
      <c r="G24" s="64">
        <v>85.17</v>
      </c>
      <c r="H24" s="64">
        <v>33.42</v>
      </c>
      <c r="I24" s="210" t="s">
        <v>43</v>
      </c>
      <c r="J24" s="64">
        <v>1.08</v>
      </c>
      <c r="K24" s="64">
        <v>124.96</v>
      </c>
      <c r="L24" s="64">
        <v>10.35</v>
      </c>
      <c r="M24" s="64">
        <v>92.99</v>
      </c>
      <c r="N24" s="64">
        <v>76.5</v>
      </c>
      <c r="O24" s="64">
        <v>0</v>
      </c>
      <c r="P24" s="64">
        <v>1.25</v>
      </c>
      <c r="Q24" s="64">
        <v>9.84</v>
      </c>
      <c r="R24" s="198"/>
      <c r="S24" s="198"/>
      <c r="T24" s="198"/>
      <c r="U24" s="198"/>
    </row>
    <row r="25" spans="1:21" s="12" customFormat="1" x14ac:dyDescent="0.25">
      <c r="A25" s="214" t="s">
        <v>2180</v>
      </c>
      <c r="B25" s="64">
        <v>104.39</v>
      </c>
      <c r="C25" s="64">
        <v>59</v>
      </c>
      <c r="D25" s="64">
        <v>113.16</v>
      </c>
      <c r="E25" s="64">
        <v>5.9</v>
      </c>
      <c r="F25" s="64">
        <v>2.13</v>
      </c>
      <c r="G25" s="64">
        <v>84.45</v>
      </c>
      <c r="H25" s="64">
        <v>30.45</v>
      </c>
      <c r="I25" s="210" t="s">
        <v>43</v>
      </c>
      <c r="J25" s="64">
        <v>1.03</v>
      </c>
      <c r="K25" s="64">
        <v>263.52</v>
      </c>
      <c r="L25" s="64">
        <v>10.43</v>
      </c>
      <c r="M25" s="64">
        <v>94.87</v>
      </c>
      <c r="N25" s="64">
        <v>76.3</v>
      </c>
      <c r="O25" s="64">
        <v>0</v>
      </c>
      <c r="P25" s="64">
        <v>1.25</v>
      </c>
      <c r="Q25" s="64">
        <v>9.84</v>
      </c>
      <c r="R25" s="198"/>
      <c r="S25" s="198"/>
      <c r="T25" s="198"/>
      <c r="U25" s="198"/>
    </row>
    <row r="26" spans="1:21" s="12" customFormat="1" x14ac:dyDescent="0.25">
      <c r="A26" s="214" t="s">
        <v>2181</v>
      </c>
      <c r="B26" s="64">
        <v>104.92</v>
      </c>
      <c r="C26" s="64">
        <v>58.9</v>
      </c>
      <c r="D26" s="64">
        <v>113.53</v>
      </c>
      <c r="E26" s="64">
        <v>6.45</v>
      </c>
      <c r="F26" s="64">
        <v>2.13</v>
      </c>
      <c r="G26" s="64">
        <v>84.45</v>
      </c>
      <c r="H26" s="64">
        <v>30.45</v>
      </c>
      <c r="I26" s="210" t="s">
        <v>43</v>
      </c>
      <c r="J26" s="64">
        <v>1.69</v>
      </c>
      <c r="K26" s="64">
        <v>312.23</v>
      </c>
      <c r="L26" s="64">
        <v>10.23</v>
      </c>
      <c r="M26" s="64">
        <v>98.1</v>
      </c>
      <c r="N26" s="64">
        <v>76.400000000000006</v>
      </c>
      <c r="O26" s="64">
        <v>0</v>
      </c>
      <c r="P26" s="64">
        <v>1.22</v>
      </c>
      <c r="Q26" s="64">
        <v>9.82</v>
      </c>
      <c r="R26" s="198"/>
      <c r="S26" s="198"/>
      <c r="T26" s="198"/>
      <c r="U26" s="198"/>
    </row>
    <row r="27" spans="1:21" s="12" customFormat="1" x14ac:dyDescent="0.25">
      <c r="A27" s="214" t="s">
        <v>2182</v>
      </c>
      <c r="B27" s="64">
        <v>107.39</v>
      </c>
      <c r="C27" s="64">
        <v>58.79</v>
      </c>
      <c r="D27" s="64">
        <v>115.46</v>
      </c>
      <c r="E27" s="64">
        <v>6.64</v>
      </c>
      <c r="F27" s="64">
        <v>2.13</v>
      </c>
      <c r="G27" s="64">
        <v>84.45</v>
      </c>
      <c r="H27" s="64">
        <v>30.45</v>
      </c>
      <c r="I27" s="210" t="s">
        <v>43</v>
      </c>
      <c r="J27" s="64">
        <v>1.56</v>
      </c>
      <c r="K27" s="64">
        <v>336.75</v>
      </c>
      <c r="L27" s="64">
        <v>10</v>
      </c>
      <c r="M27" s="64">
        <v>99.6</v>
      </c>
      <c r="N27" s="64">
        <v>76.400000000000006</v>
      </c>
      <c r="O27" s="64">
        <v>0</v>
      </c>
      <c r="P27" s="64">
        <v>1.21</v>
      </c>
      <c r="Q27" s="64">
        <v>9.8000000000000007</v>
      </c>
      <c r="R27" s="198"/>
      <c r="S27" s="198"/>
      <c r="T27" s="198"/>
      <c r="U27" s="198"/>
    </row>
    <row r="28" spans="1:21" s="12" customFormat="1" x14ac:dyDescent="0.25">
      <c r="A28" s="214" t="s">
        <v>2183</v>
      </c>
      <c r="B28" s="64">
        <v>110.42</v>
      </c>
      <c r="C28" s="64">
        <v>58.52</v>
      </c>
      <c r="D28" s="64">
        <v>117.74</v>
      </c>
      <c r="E28" s="64">
        <v>6.66</v>
      </c>
      <c r="F28" s="64">
        <v>2.13</v>
      </c>
      <c r="G28" s="64">
        <v>87.78</v>
      </c>
      <c r="H28" s="64">
        <v>30.13</v>
      </c>
      <c r="I28" s="210" t="s">
        <v>43</v>
      </c>
      <c r="J28" s="64">
        <v>1.43</v>
      </c>
      <c r="K28" s="64">
        <v>272.58</v>
      </c>
      <c r="L28" s="64">
        <v>9.93</v>
      </c>
      <c r="M28" s="64">
        <v>100.22</v>
      </c>
      <c r="N28" s="64">
        <v>76.3</v>
      </c>
      <c r="O28" s="64">
        <v>0</v>
      </c>
      <c r="P28" s="64">
        <v>1.2</v>
      </c>
      <c r="Q28" s="64">
        <v>9.8000000000000007</v>
      </c>
      <c r="R28" s="198"/>
      <c r="S28" s="198"/>
      <c r="T28" s="198"/>
      <c r="U28" s="198"/>
    </row>
    <row r="29" spans="1:21" s="12" customFormat="1" x14ac:dyDescent="0.25">
      <c r="A29" s="214" t="s">
        <v>2184</v>
      </c>
      <c r="B29" s="64">
        <v>112.27</v>
      </c>
      <c r="C29" s="64">
        <v>57.48</v>
      </c>
      <c r="D29" s="64">
        <v>118.69</v>
      </c>
      <c r="E29" s="64">
        <v>7.02</v>
      </c>
      <c r="F29" s="64">
        <v>2.13</v>
      </c>
      <c r="G29" s="64">
        <v>91.94</v>
      </c>
      <c r="H29" s="64">
        <v>29.72</v>
      </c>
      <c r="I29" s="210" t="s">
        <v>43</v>
      </c>
      <c r="J29" s="64">
        <v>1.64</v>
      </c>
      <c r="K29" s="64">
        <v>261.38</v>
      </c>
      <c r="L29" s="64">
        <v>10.01</v>
      </c>
      <c r="M29" s="64">
        <v>99.8</v>
      </c>
      <c r="N29" s="64">
        <v>76.400000000000006</v>
      </c>
      <c r="O29" s="64">
        <v>0</v>
      </c>
      <c r="P29" s="64">
        <v>1.18</v>
      </c>
      <c r="Q29" s="64">
        <v>9.8000000000000007</v>
      </c>
      <c r="R29" s="198"/>
      <c r="S29" s="198"/>
      <c r="T29" s="198"/>
      <c r="U29" s="198"/>
    </row>
    <row r="30" spans="1:21" s="12" customFormat="1" x14ac:dyDescent="0.25">
      <c r="A30" s="214" t="s">
        <v>2185</v>
      </c>
      <c r="B30" s="64">
        <v>113.75</v>
      </c>
      <c r="C30" s="64">
        <v>56.61</v>
      </c>
      <c r="D30" s="64">
        <v>119.42</v>
      </c>
      <c r="E30" s="64">
        <v>7.19</v>
      </c>
      <c r="F30" s="64">
        <v>2.13</v>
      </c>
      <c r="G30" s="64">
        <v>91.94</v>
      </c>
      <c r="H30" s="64">
        <v>29.72</v>
      </c>
      <c r="I30" s="210" t="s">
        <v>43</v>
      </c>
      <c r="J30" s="64">
        <v>1.59</v>
      </c>
      <c r="K30" s="64">
        <v>275.06</v>
      </c>
      <c r="L30" s="64">
        <v>9.99</v>
      </c>
      <c r="M30" s="64">
        <v>99.99</v>
      </c>
      <c r="N30" s="64">
        <v>76.5</v>
      </c>
      <c r="O30" s="64">
        <v>0</v>
      </c>
      <c r="P30" s="64">
        <v>1.17</v>
      </c>
      <c r="Q30" s="64">
        <v>9.81</v>
      </c>
      <c r="R30" s="198"/>
      <c r="S30" s="198"/>
      <c r="T30" s="198"/>
      <c r="U30" s="198"/>
    </row>
    <row r="31" spans="1:21" s="12" customFormat="1" x14ac:dyDescent="0.25">
      <c r="A31" s="214" t="s">
        <v>2186</v>
      </c>
      <c r="B31" s="64">
        <v>115.76</v>
      </c>
      <c r="C31" s="64">
        <v>55.86</v>
      </c>
      <c r="D31" s="64">
        <v>120.64</v>
      </c>
      <c r="E31" s="64">
        <v>7.63</v>
      </c>
      <c r="F31" s="64">
        <v>2.13</v>
      </c>
      <c r="G31" s="64">
        <v>91.94</v>
      </c>
      <c r="H31" s="64">
        <v>29.72</v>
      </c>
      <c r="I31" s="210" t="s">
        <v>43</v>
      </c>
      <c r="J31" s="64">
        <v>1.72</v>
      </c>
      <c r="K31" s="64">
        <v>232.29</v>
      </c>
      <c r="L31" s="64">
        <v>10.210000000000001</v>
      </c>
      <c r="M31" s="64">
        <v>99.66</v>
      </c>
      <c r="N31" s="64">
        <v>76.3</v>
      </c>
      <c r="O31" s="64">
        <v>0</v>
      </c>
      <c r="P31" s="64">
        <v>1.1399999999999999</v>
      </c>
      <c r="Q31" s="64">
        <v>9.8000000000000007</v>
      </c>
      <c r="R31" s="198"/>
      <c r="S31" s="198"/>
      <c r="T31" s="198"/>
      <c r="U31" s="198"/>
    </row>
    <row r="32" spans="1:21" s="12" customFormat="1" x14ac:dyDescent="0.25">
      <c r="A32" s="214" t="s">
        <v>2187</v>
      </c>
      <c r="B32" s="64">
        <v>117.03</v>
      </c>
      <c r="C32" s="64">
        <v>56.1</v>
      </c>
      <c r="D32" s="64">
        <v>121.79</v>
      </c>
      <c r="E32" s="64">
        <v>8.2799999999999994</v>
      </c>
      <c r="F32" s="64">
        <v>2.13</v>
      </c>
      <c r="G32" s="64">
        <v>100.76</v>
      </c>
      <c r="H32" s="64">
        <v>31.31</v>
      </c>
      <c r="I32" s="210" t="s">
        <v>43</v>
      </c>
      <c r="J32" s="64">
        <v>1.36</v>
      </c>
      <c r="K32" s="64">
        <v>258.5</v>
      </c>
      <c r="L32" s="64">
        <v>10.220000000000001</v>
      </c>
      <c r="M32" s="64">
        <v>97.98</v>
      </c>
      <c r="N32" s="64">
        <v>76.3</v>
      </c>
      <c r="O32" s="64">
        <v>0</v>
      </c>
      <c r="P32" s="64">
        <v>1.1399999999999999</v>
      </c>
      <c r="Q32" s="64">
        <v>9.83</v>
      </c>
      <c r="R32" s="198"/>
      <c r="S32" s="198"/>
      <c r="T32" s="198"/>
      <c r="U32" s="198"/>
    </row>
    <row r="33" spans="1:21" s="12" customFormat="1" x14ac:dyDescent="0.25">
      <c r="A33" s="214" t="s">
        <v>2188</v>
      </c>
      <c r="B33" s="64">
        <v>118.66</v>
      </c>
      <c r="C33" s="64">
        <v>55.73</v>
      </c>
      <c r="D33" s="64">
        <v>122.89</v>
      </c>
      <c r="E33" s="64">
        <v>8.07</v>
      </c>
      <c r="F33" s="64">
        <v>2.13</v>
      </c>
      <c r="G33" s="64">
        <v>111.31</v>
      </c>
      <c r="H33" s="64">
        <v>33.299999999999997</v>
      </c>
      <c r="I33" s="210" t="s">
        <v>43</v>
      </c>
      <c r="J33" s="64">
        <v>1.58</v>
      </c>
      <c r="K33" s="64">
        <v>318.81</v>
      </c>
      <c r="L33" s="64">
        <v>9.9700000000000006</v>
      </c>
      <c r="M33" s="64">
        <v>96.45</v>
      </c>
      <c r="N33" s="64">
        <v>76.7</v>
      </c>
      <c r="O33" s="64">
        <v>0</v>
      </c>
      <c r="P33" s="64">
        <v>1.1200000000000001</v>
      </c>
      <c r="Q33" s="64">
        <v>9.86</v>
      </c>
      <c r="R33" s="198"/>
      <c r="S33" s="198"/>
      <c r="T33" s="198"/>
      <c r="U33" s="198"/>
    </row>
    <row r="34" spans="1:21" s="12" customFormat="1" x14ac:dyDescent="0.25">
      <c r="A34" s="214" t="s">
        <v>2189</v>
      </c>
      <c r="B34" s="64">
        <v>118.15</v>
      </c>
      <c r="C34" s="64">
        <v>55.13</v>
      </c>
      <c r="D34" s="64">
        <v>122.17</v>
      </c>
      <c r="E34" s="64">
        <v>8.2799999999999994</v>
      </c>
      <c r="F34" s="64">
        <v>2.13</v>
      </c>
      <c r="G34" s="64">
        <v>111.31</v>
      </c>
      <c r="H34" s="64">
        <v>33.299999999999997</v>
      </c>
      <c r="I34" s="210" t="s">
        <v>43</v>
      </c>
      <c r="J34" s="64">
        <v>1.65</v>
      </c>
      <c r="K34" s="64">
        <v>330.41</v>
      </c>
      <c r="L34" s="64">
        <v>9.85</v>
      </c>
      <c r="M34" s="64">
        <v>96.68</v>
      </c>
      <c r="N34" s="64">
        <v>77.099999999999994</v>
      </c>
      <c r="O34" s="64">
        <v>0</v>
      </c>
      <c r="P34" s="64">
        <v>1.1200000000000001</v>
      </c>
      <c r="Q34" s="64">
        <v>9.8699999999999992</v>
      </c>
      <c r="R34" s="198"/>
      <c r="S34" s="198"/>
      <c r="T34" s="198"/>
      <c r="U34" s="198"/>
    </row>
    <row r="35" spans="1:21" s="12" customFormat="1" x14ac:dyDescent="0.25">
      <c r="A35" s="214" t="s">
        <v>2190</v>
      </c>
      <c r="B35" s="64">
        <v>115.92</v>
      </c>
      <c r="C35" s="64">
        <v>54.89</v>
      </c>
      <c r="D35" s="64">
        <v>120.26</v>
      </c>
      <c r="E35" s="64">
        <v>8.3000000000000007</v>
      </c>
      <c r="F35" s="64">
        <v>2.13</v>
      </c>
      <c r="G35" s="64">
        <v>111.31</v>
      </c>
      <c r="H35" s="64">
        <v>33.299999999999997</v>
      </c>
      <c r="I35" s="210" t="s">
        <v>43</v>
      </c>
      <c r="J35" s="64">
        <v>1.77</v>
      </c>
      <c r="K35" s="64">
        <v>272.01</v>
      </c>
      <c r="L35" s="64">
        <v>9.66</v>
      </c>
      <c r="M35" s="64">
        <v>96.23</v>
      </c>
      <c r="N35" s="64">
        <v>79.400000000000006</v>
      </c>
      <c r="O35" s="64">
        <v>0</v>
      </c>
      <c r="P35" s="64">
        <v>1.1100000000000001</v>
      </c>
      <c r="Q35" s="64">
        <v>9.8699999999999992</v>
      </c>
      <c r="R35" s="198"/>
      <c r="S35" s="198"/>
      <c r="T35" s="198"/>
      <c r="U35" s="198"/>
    </row>
    <row r="36" spans="1:21" s="12" customFormat="1" x14ac:dyDescent="0.25">
      <c r="A36" s="214" t="s">
        <v>2191</v>
      </c>
      <c r="B36" s="64">
        <v>112.82</v>
      </c>
      <c r="C36" s="64">
        <v>54.4</v>
      </c>
      <c r="D36" s="64">
        <v>117.52</v>
      </c>
      <c r="E36" s="64">
        <v>8.01</v>
      </c>
      <c r="F36" s="64">
        <v>2.13</v>
      </c>
      <c r="G36" s="64">
        <v>103.83</v>
      </c>
      <c r="H36" s="64">
        <v>33.799999999999997</v>
      </c>
      <c r="I36" s="210" t="s">
        <v>43</v>
      </c>
      <c r="J36" s="64">
        <v>1.73</v>
      </c>
      <c r="K36" s="64">
        <v>272.87</v>
      </c>
      <c r="L36" s="64">
        <v>9.76</v>
      </c>
      <c r="M36" s="64">
        <v>96.1</v>
      </c>
      <c r="N36" s="64">
        <v>87.7</v>
      </c>
      <c r="O36" s="64">
        <v>0</v>
      </c>
      <c r="P36" s="64">
        <v>1.1000000000000001</v>
      </c>
      <c r="Q36" s="64">
        <v>9.8699999999999992</v>
      </c>
      <c r="R36" s="198"/>
      <c r="S36" s="198"/>
      <c r="T36" s="198"/>
      <c r="U36" s="198"/>
    </row>
    <row r="37" spans="1:21" s="12" customFormat="1" x14ac:dyDescent="0.25">
      <c r="A37" s="214" t="s">
        <v>2192</v>
      </c>
      <c r="B37" s="64">
        <v>112.31</v>
      </c>
      <c r="C37" s="64">
        <v>54.63</v>
      </c>
      <c r="D37" s="64">
        <v>117.23</v>
      </c>
      <c r="E37" s="64">
        <v>7.57</v>
      </c>
      <c r="F37" s="64">
        <v>2.13</v>
      </c>
      <c r="G37" s="64">
        <v>94.89</v>
      </c>
      <c r="H37" s="64">
        <v>34.39</v>
      </c>
      <c r="I37" s="210" t="s">
        <v>43</v>
      </c>
      <c r="J37" s="64">
        <v>1.59</v>
      </c>
      <c r="K37" s="64">
        <v>274.61</v>
      </c>
      <c r="L37" s="64">
        <v>10.11</v>
      </c>
      <c r="M37" s="64">
        <v>95.43</v>
      </c>
      <c r="N37" s="64">
        <v>99.6</v>
      </c>
      <c r="O37" s="64">
        <v>0</v>
      </c>
      <c r="P37" s="64">
        <v>1.1000000000000001</v>
      </c>
      <c r="Q37" s="64">
        <v>9.86</v>
      </c>
      <c r="R37" s="198"/>
      <c r="S37" s="198"/>
      <c r="T37" s="198"/>
      <c r="U37" s="198"/>
    </row>
    <row r="38" spans="1:21" s="12" customFormat="1" x14ac:dyDescent="0.25">
      <c r="A38" s="214" t="s">
        <v>2193</v>
      </c>
      <c r="B38" s="64">
        <v>115.36</v>
      </c>
      <c r="C38" s="64">
        <v>55.12</v>
      </c>
      <c r="D38" s="64">
        <v>119.93</v>
      </c>
      <c r="E38" s="64">
        <v>8</v>
      </c>
      <c r="F38" s="64">
        <v>2.13</v>
      </c>
      <c r="G38" s="64">
        <v>94.89</v>
      </c>
      <c r="H38" s="64">
        <v>34.39</v>
      </c>
      <c r="I38" s="210" t="s">
        <v>43</v>
      </c>
      <c r="J38" s="64">
        <v>1.76</v>
      </c>
      <c r="K38" s="64">
        <v>356.04</v>
      </c>
      <c r="L38" s="64">
        <v>10.61</v>
      </c>
      <c r="M38" s="64">
        <v>94.89</v>
      </c>
      <c r="N38" s="64">
        <v>113.8</v>
      </c>
      <c r="O38" s="64">
        <v>0</v>
      </c>
      <c r="P38" s="64">
        <v>1.17</v>
      </c>
      <c r="Q38" s="64">
        <v>9.85</v>
      </c>
      <c r="R38" s="198"/>
      <c r="S38" s="198"/>
      <c r="T38" s="198"/>
      <c r="U38" s="198"/>
    </row>
    <row r="39" spans="1:21" s="12" customFormat="1" x14ac:dyDescent="0.25">
      <c r="A39" s="214" t="s">
        <v>2194</v>
      </c>
      <c r="B39" s="64">
        <v>118.42</v>
      </c>
      <c r="C39" s="64">
        <v>55.51</v>
      </c>
      <c r="D39" s="64">
        <v>122.59</v>
      </c>
      <c r="E39" s="64">
        <v>8.65</v>
      </c>
      <c r="F39" s="64">
        <v>2.13</v>
      </c>
      <c r="G39" s="64">
        <v>94.89</v>
      </c>
      <c r="H39" s="64">
        <v>34.39</v>
      </c>
      <c r="I39" s="210" t="s">
        <v>43</v>
      </c>
      <c r="J39" s="64">
        <v>0.6</v>
      </c>
      <c r="K39" s="64">
        <v>203.87</v>
      </c>
      <c r="L39" s="64">
        <v>11.32</v>
      </c>
      <c r="M39" s="64">
        <v>91.72</v>
      </c>
      <c r="N39" s="64">
        <v>143.80000000000001</v>
      </c>
      <c r="O39" s="64">
        <v>0</v>
      </c>
      <c r="P39" s="64">
        <v>1.19</v>
      </c>
      <c r="Q39" s="64">
        <v>9.8800000000000008</v>
      </c>
      <c r="R39" s="198"/>
      <c r="S39" s="198"/>
      <c r="T39" s="198"/>
      <c r="U39" s="198"/>
    </row>
    <row r="40" spans="1:21" s="12" customFormat="1" x14ac:dyDescent="0.25">
      <c r="A40" s="214" t="s">
        <v>2195</v>
      </c>
      <c r="B40" s="64">
        <v>119.09</v>
      </c>
      <c r="C40" s="64">
        <v>56.29</v>
      </c>
      <c r="D40" s="64">
        <v>123.53</v>
      </c>
      <c r="E40" s="64">
        <v>7.17</v>
      </c>
      <c r="F40" s="64">
        <v>2.13</v>
      </c>
      <c r="G40" s="64">
        <v>119.77</v>
      </c>
      <c r="H40" s="64">
        <v>37.130000000000003</v>
      </c>
      <c r="I40" s="210" t="s">
        <v>43</v>
      </c>
      <c r="J40" s="64">
        <v>0.62</v>
      </c>
      <c r="K40" s="64">
        <v>9.9</v>
      </c>
      <c r="L40" s="64">
        <v>13.33</v>
      </c>
      <c r="M40" s="64">
        <v>81.260000000000005</v>
      </c>
      <c r="N40" s="64">
        <v>235.9</v>
      </c>
      <c r="O40" s="64">
        <v>0</v>
      </c>
      <c r="P40" s="64">
        <v>1.21</v>
      </c>
      <c r="Q40" s="64">
        <v>9.8699999999999992</v>
      </c>
      <c r="R40" s="198"/>
      <c r="S40" s="198"/>
      <c r="T40" s="198"/>
      <c r="U40" s="198"/>
    </row>
    <row r="41" spans="1:21" s="12" customFormat="1" x14ac:dyDescent="0.25">
      <c r="A41" s="214" t="s">
        <v>2196</v>
      </c>
      <c r="B41" s="64">
        <v>120.59</v>
      </c>
      <c r="C41" s="64">
        <v>56.25</v>
      </c>
      <c r="D41" s="64">
        <v>124.72</v>
      </c>
      <c r="E41" s="64">
        <v>7.72</v>
      </c>
      <c r="F41" s="64">
        <v>2.13</v>
      </c>
      <c r="G41" s="64">
        <v>149.5</v>
      </c>
      <c r="H41" s="64">
        <v>40.409999999999997</v>
      </c>
      <c r="I41" s="210" t="s">
        <v>43</v>
      </c>
      <c r="J41" s="64">
        <v>0.9</v>
      </c>
      <c r="K41" s="64">
        <v>322.56</v>
      </c>
      <c r="L41" s="64">
        <v>16.59</v>
      </c>
      <c r="M41" s="64">
        <v>67.31</v>
      </c>
      <c r="N41" s="64">
        <v>307.39999999999998</v>
      </c>
      <c r="O41" s="64">
        <v>0</v>
      </c>
      <c r="P41" s="64">
        <v>1.24</v>
      </c>
      <c r="Q41" s="64">
        <v>9.89</v>
      </c>
      <c r="R41" s="198"/>
      <c r="S41" s="198"/>
      <c r="T41" s="198"/>
      <c r="U41" s="198"/>
    </row>
    <row r="42" spans="1:21" s="12" customFormat="1" x14ac:dyDescent="0.25">
      <c r="A42" s="214" t="s">
        <v>2197</v>
      </c>
      <c r="B42" s="64">
        <v>120.74</v>
      </c>
      <c r="C42" s="64">
        <v>57.51</v>
      </c>
      <c r="D42" s="64">
        <v>125.49</v>
      </c>
      <c r="E42" s="64">
        <v>7.16</v>
      </c>
      <c r="F42" s="64">
        <v>2.13</v>
      </c>
      <c r="G42" s="64">
        <v>149.5</v>
      </c>
      <c r="H42" s="64">
        <v>40.409999999999997</v>
      </c>
      <c r="I42" s="210" t="s">
        <v>43</v>
      </c>
      <c r="J42" s="64">
        <v>1.05</v>
      </c>
      <c r="K42" s="64">
        <v>203.12</v>
      </c>
      <c r="L42" s="64">
        <v>17.73</v>
      </c>
      <c r="M42" s="64">
        <v>62.76</v>
      </c>
      <c r="N42" s="64">
        <v>362.2</v>
      </c>
      <c r="O42" s="64">
        <v>0</v>
      </c>
      <c r="P42" s="64">
        <v>1.27</v>
      </c>
      <c r="Q42" s="64">
        <v>9.8800000000000008</v>
      </c>
      <c r="R42" s="198"/>
      <c r="S42" s="198"/>
      <c r="T42" s="198"/>
      <c r="U42" s="198"/>
    </row>
    <row r="43" spans="1:21" s="12" customFormat="1" x14ac:dyDescent="0.25">
      <c r="A43" s="214" t="s">
        <v>2198</v>
      </c>
      <c r="B43" s="64">
        <v>117.89</v>
      </c>
      <c r="C43" s="64">
        <v>59.32</v>
      </c>
      <c r="D43" s="64">
        <v>124.15</v>
      </c>
      <c r="E43" s="64">
        <v>7.53</v>
      </c>
      <c r="F43" s="64">
        <v>2.13</v>
      </c>
      <c r="G43" s="64">
        <v>149.5</v>
      </c>
      <c r="H43" s="64">
        <v>40.409999999999997</v>
      </c>
      <c r="I43" s="210" t="s">
        <v>43</v>
      </c>
      <c r="J43" s="64">
        <v>0.28999999999999998</v>
      </c>
      <c r="K43" s="64">
        <v>145.16</v>
      </c>
      <c r="L43" s="64">
        <v>19.170000000000002</v>
      </c>
      <c r="M43" s="64">
        <v>57.95</v>
      </c>
      <c r="N43" s="64">
        <v>401</v>
      </c>
      <c r="O43" s="64">
        <v>0</v>
      </c>
      <c r="P43" s="64">
        <v>1.28</v>
      </c>
      <c r="Q43" s="64">
        <v>9.8800000000000008</v>
      </c>
      <c r="R43" s="198"/>
      <c r="S43" s="198"/>
      <c r="T43" s="198"/>
      <c r="U43" s="198"/>
    </row>
    <row r="44" spans="1:21" s="12" customFormat="1" x14ac:dyDescent="0.25">
      <c r="A44" s="214" t="s">
        <v>2199</v>
      </c>
      <c r="B44" s="64">
        <v>114.16</v>
      </c>
      <c r="C44" s="64">
        <v>61.2</v>
      </c>
      <c r="D44" s="64">
        <v>122.15</v>
      </c>
      <c r="E44" s="64">
        <v>7.14</v>
      </c>
      <c r="F44" s="64">
        <v>2.13</v>
      </c>
      <c r="G44" s="64">
        <v>152.71</v>
      </c>
      <c r="H44" s="64">
        <v>40.98</v>
      </c>
      <c r="I44" s="210" t="s">
        <v>43</v>
      </c>
      <c r="J44" s="64">
        <v>1.89</v>
      </c>
      <c r="K44" s="64">
        <v>129.49</v>
      </c>
      <c r="L44" s="64">
        <v>19.78</v>
      </c>
      <c r="M44" s="64">
        <v>56.43</v>
      </c>
      <c r="N44" s="64">
        <v>463</v>
      </c>
      <c r="O44" s="64">
        <v>0</v>
      </c>
      <c r="P44" s="64">
        <v>1.28</v>
      </c>
      <c r="Q44" s="64">
        <v>9.86</v>
      </c>
      <c r="R44" s="198"/>
      <c r="S44" s="198"/>
      <c r="T44" s="198"/>
      <c r="U44" s="198"/>
    </row>
    <row r="45" spans="1:21" s="12" customFormat="1" x14ac:dyDescent="0.25">
      <c r="A45" s="214" t="s">
        <v>2200</v>
      </c>
      <c r="B45" s="64">
        <v>109.91</v>
      </c>
      <c r="C45" s="64">
        <v>62.32</v>
      </c>
      <c r="D45" s="64">
        <v>119.32</v>
      </c>
      <c r="E45" s="64">
        <v>7.17</v>
      </c>
      <c r="F45" s="64">
        <v>2.13</v>
      </c>
      <c r="G45" s="64">
        <v>156.55000000000001</v>
      </c>
      <c r="H45" s="64">
        <v>41.66</v>
      </c>
      <c r="I45" s="210" t="s">
        <v>43</v>
      </c>
      <c r="J45" s="64">
        <v>1.28</v>
      </c>
      <c r="K45" s="64">
        <v>100.94</v>
      </c>
      <c r="L45" s="64">
        <v>19.68</v>
      </c>
      <c r="M45" s="64">
        <v>54.19</v>
      </c>
      <c r="N45" s="64">
        <v>521.70000000000005</v>
      </c>
      <c r="O45" s="64">
        <v>0</v>
      </c>
      <c r="P45" s="64">
        <v>1.27</v>
      </c>
      <c r="Q45" s="64">
        <v>9.83</v>
      </c>
      <c r="R45" s="198"/>
      <c r="S45" s="198"/>
      <c r="T45" s="198"/>
      <c r="U45" s="198"/>
    </row>
    <row r="46" spans="1:21" s="12" customFormat="1" x14ac:dyDescent="0.25">
      <c r="A46" s="214" t="s">
        <v>2201</v>
      </c>
      <c r="B46" s="64">
        <v>104.53</v>
      </c>
      <c r="C46" s="64">
        <v>64.040000000000006</v>
      </c>
      <c r="D46" s="64">
        <v>115.91</v>
      </c>
      <c r="E46" s="64">
        <v>6.84</v>
      </c>
      <c r="F46" s="64">
        <v>2.13</v>
      </c>
      <c r="G46" s="64">
        <v>156.55000000000001</v>
      </c>
      <c r="H46" s="64">
        <v>41.66</v>
      </c>
      <c r="I46" s="210" t="s">
        <v>43</v>
      </c>
      <c r="J46" s="64">
        <v>0.97</v>
      </c>
      <c r="K46" s="64">
        <v>346.89</v>
      </c>
      <c r="L46" s="64">
        <v>22.19</v>
      </c>
      <c r="M46" s="64">
        <v>46.36</v>
      </c>
      <c r="N46" s="64">
        <v>542.6</v>
      </c>
      <c r="O46" s="64">
        <v>0</v>
      </c>
      <c r="P46" s="64">
        <v>1.26</v>
      </c>
      <c r="Q46" s="64">
        <v>9.8000000000000007</v>
      </c>
      <c r="R46" s="198"/>
      <c r="S46" s="198"/>
      <c r="T46" s="198"/>
      <c r="U46" s="198"/>
    </row>
    <row r="47" spans="1:21" s="12" customFormat="1" x14ac:dyDescent="0.25">
      <c r="A47" s="214" t="s">
        <v>2202</v>
      </c>
      <c r="B47" s="64">
        <v>98.97</v>
      </c>
      <c r="C47" s="64">
        <v>66.05</v>
      </c>
      <c r="D47" s="64">
        <v>112.5</v>
      </c>
      <c r="E47" s="64">
        <v>6.77</v>
      </c>
      <c r="F47" s="64">
        <v>2.13</v>
      </c>
      <c r="G47" s="64">
        <v>156.55000000000001</v>
      </c>
      <c r="H47" s="64">
        <v>41.66</v>
      </c>
      <c r="I47" s="210" t="s">
        <v>43</v>
      </c>
      <c r="J47" s="64">
        <v>1.6</v>
      </c>
      <c r="K47" s="64">
        <v>357.9</v>
      </c>
      <c r="L47" s="64">
        <v>22.54</v>
      </c>
      <c r="M47" s="64">
        <v>44.82</v>
      </c>
      <c r="N47" s="64">
        <v>564.9</v>
      </c>
      <c r="O47" s="64">
        <v>0</v>
      </c>
      <c r="P47" s="64">
        <v>1.24</v>
      </c>
      <c r="Q47" s="64">
        <v>9.76</v>
      </c>
      <c r="R47" s="198"/>
      <c r="S47" s="198"/>
      <c r="T47" s="198"/>
      <c r="U47" s="198"/>
    </row>
    <row r="48" spans="1:21" s="12" customFormat="1" x14ac:dyDescent="0.25">
      <c r="A48" s="214" t="s">
        <v>2203</v>
      </c>
      <c r="B48" s="64">
        <v>92.72</v>
      </c>
      <c r="C48" s="64">
        <v>67.709999999999994</v>
      </c>
      <c r="D48" s="64">
        <v>108.36</v>
      </c>
      <c r="E48" s="64">
        <v>6.34</v>
      </c>
      <c r="F48" s="64">
        <v>2.13</v>
      </c>
      <c r="G48" s="64">
        <v>134.38</v>
      </c>
      <c r="H48" s="64">
        <v>42</v>
      </c>
      <c r="I48" s="210" t="s">
        <v>43</v>
      </c>
      <c r="J48" s="64">
        <v>2</v>
      </c>
      <c r="K48" s="64">
        <v>343.82</v>
      </c>
      <c r="L48" s="64">
        <v>23.78</v>
      </c>
      <c r="M48" s="64">
        <v>41.76</v>
      </c>
      <c r="N48" s="64">
        <v>596.6</v>
      </c>
      <c r="O48" s="64">
        <v>0</v>
      </c>
      <c r="P48" s="64">
        <v>1.22</v>
      </c>
      <c r="Q48" s="64">
        <v>9.73</v>
      </c>
      <c r="R48" s="198"/>
      <c r="S48" s="198"/>
      <c r="T48" s="198"/>
      <c r="U48" s="198"/>
    </row>
    <row r="49" spans="1:21" s="12" customFormat="1" x14ac:dyDescent="0.25">
      <c r="A49" s="214" t="s">
        <v>2204</v>
      </c>
      <c r="B49" s="64">
        <v>87.54</v>
      </c>
      <c r="C49" s="64">
        <v>68.709999999999994</v>
      </c>
      <c r="D49" s="64">
        <v>104.72</v>
      </c>
      <c r="E49" s="64">
        <v>6.27</v>
      </c>
      <c r="F49" s="64">
        <v>2.13</v>
      </c>
      <c r="G49" s="64">
        <v>107.89</v>
      </c>
      <c r="H49" s="64">
        <v>42.4</v>
      </c>
      <c r="I49" s="210" t="s">
        <v>43</v>
      </c>
      <c r="J49" s="64">
        <v>1.1599999999999999</v>
      </c>
      <c r="K49" s="64">
        <v>81.83</v>
      </c>
      <c r="L49" s="64">
        <v>23.69</v>
      </c>
      <c r="M49" s="64">
        <v>42.09</v>
      </c>
      <c r="N49" s="64">
        <v>616.79999999999995</v>
      </c>
      <c r="O49" s="64">
        <v>0</v>
      </c>
      <c r="P49" s="64">
        <v>1.19</v>
      </c>
      <c r="Q49" s="64">
        <v>9.7100000000000009</v>
      </c>
      <c r="R49" s="198"/>
      <c r="S49" s="198"/>
      <c r="T49" s="198"/>
      <c r="U49" s="198"/>
    </row>
    <row r="50" spans="1:21" s="12" customFormat="1" x14ac:dyDescent="0.25">
      <c r="A50" s="214" t="s">
        <v>2205</v>
      </c>
      <c r="B50" s="64">
        <v>81.73</v>
      </c>
      <c r="C50" s="64">
        <v>71.05</v>
      </c>
      <c r="D50" s="64">
        <v>101.29</v>
      </c>
      <c r="E50" s="64">
        <v>6.33</v>
      </c>
      <c r="F50" s="64">
        <v>2.13</v>
      </c>
      <c r="G50" s="64">
        <v>107.89</v>
      </c>
      <c r="H50" s="64">
        <v>42.4</v>
      </c>
      <c r="I50" s="210" t="s">
        <v>43</v>
      </c>
      <c r="J50" s="64">
        <v>0.71</v>
      </c>
      <c r="K50" s="64">
        <v>24.54</v>
      </c>
      <c r="L50" s="64">
        <v>23.39</v>
      </c>
      <c r="M50" s="64">
        <v>42.18</v>
      </c>
      <c r="N50" s="64">
        <v>628</v>
      </c>
      <c r="O50" s="64">
        <v>0</v>
      </c>
      <c r="P50" s="64">
        <v>1.1599999999999999</v>
      </c>
      <c r="Q50" s="64">
        <v>9.7100000000000009</v>
      </c>
      <c r="R50" s="198"/>
      <c r="S50" s="198"/>
      <c r="T50" s="198"/>
      <c r="U50" s="198"/>
    </row>
    <row r="51" spans="1:21" s="12" customFormat="1" x14ac:dyDescent="0.25">
      <c r="A51" s="214" t="s">
        <v>2206</v>
      </c>
      <c r="B51" s="64">
        <v>75.52</v>
      </c>
      <c r="C51" s="64">
        <v>71.89</v>
      </c>
      <c r="D51" s="64">
        <v>96.74</v>
      </c>
      <c r="E51" s="64">
        <v>5.64</v>
      </c>
      <c r="F51" s="64">
        <v>2.13</v>
      </c>
      <c r="G51" s="64">
        <v>107.89</v>
      </c>
      <c r="H51" s="64">
        <v>42.4</v>
      </c>
      <c r="I51" s="210" t="s">
        <v>43</v>
      </c>
      <c r="J51" s="64">
        <v>0.83</v>
      </c>
      <c r="K51" s="64">
        <v>35.369999999999997</v>
      </c>
      <c r="L51" s="64">
        <v>23.63</v>
      </c>
      <c r="M51" s="64">
        <v>40.92</v>
      </c>
      <c r="N51" s="64">
        <v>641.6</v>
      </c>
      <c r="O51" s="64">
        <v>0</v>
      </c>
      <c r="P51" s="64">
        <v>1.1299999999999999</v>
      </c>
      <c r="Q51" s="64">
        <v>9.5299999999999994</v>
      </c>
      <c r="R51" s="198"/>
      <c r="S51" s="198"/>
      <c r="T51" s="198"/>
      <c r="U51" s="198"/>
    </row>
    <row r="52" spans="1:21" s="12" customFormat="1" x14ac:dyDescent="0.25">
      <c r="A52" s="214" t="s">
        <v>2207</v>
      </c>
      <c r="B52" s="64">
        <v>69.599999999999994</v>
      </c>
      <c r="C52" s="64">
        <v>72.72</v>
      </c>
      <c r="D52" s="64">
        <v>92.43</v>
      </c>
      <c r="E52" s="64">
        <v>5.96</v>
      </c>
      <c r="F52" s="64">
        <v>2.13</v>
      </c>
      <c r="G52" s="64">
        <v>93.9</v>
      </c>
      <c r="H52" s="64">
        <v>38.93</v>
      </c>
      <c r="I52" s="210" t="s">
        <v>43</v>
      </c>
      <c r="J52" s="64">
        <v>2.99</v>
      </c>
      <c r="K52" s="64">
        <v>342.54</v>
      </c>
      <c r="L52" s="64">
        <v>27.46</v>
      </c>
      <c r="M52" s="64">
        <v>31.35</v>
      </c>
      <c r="N52" s="64">
        <v>654.5</v>
      </c>
      <c r="O52" s="64">
        <v>0</v>
      </c>
      <c r="P52" s="64">
        <v>1.1000000000000001</v>
      </c>
      <c r="Q52" s="64">
        <v>9.23</v>
      </c>
      <c r="R52" s="198"/>
      <c r="S52" s="198"/>
      <c r="T52" s="198"/>
      <c r="U52" s="198"/>
    </row>
    <row r="53" spans="1:21" s="12" customFormat="1" x14ac:dyDescent="0.25">
      <c r="A53" s="214" t="s">
        <v>2208</v>
      </c>
      <c r="B53" s="64">
        <v>64.06</v>
      </c>
      <c r="C53" s="64">
        <v>73.72</v>
      </c>
      <c r="D53" s="64">
        <v>88.51</v>
      </c>
      <c r="E53" s="64">
        <v>5.34</v>
      </c>
      <c r="F53" s="64">
        <v>2.13</v>
      </c>
      <c r="G53" s="64">
        <v>77.19</v>
      </c>
      <c r="H53" s="64">
        <v>34.770000000000003</v>
      </c>
      <c r="I53" s="210" t="s">
        <v>43</v>
      </c>
      <c r="J53" s="64">
        <v>0.99</v>
      </c>
      <c r="K53" s="64">
        <v>7.28</v>
      </c>
      <c r="L53" s="64">
        <v>26.89</v>
      </c>
      <c r="M53" s="64">
        <v>33.14</v>
      </c>
      <c r="N53" s="64">
        <v>659.9</v>
      </c>
      <c r="O53" s="64">
        <v>0</v>
      </c>
      <c r="P53" s="64">
        <v>1.07</v>
      </c>
      <c r="Q53" s="64">
        <v>8.94</v>
      </c>
      <c r="R53" s="198"/>
      <c r="S53" s="198"/>
      <c r="T53" s="198"/>
      <c r="U53" s="198"/>
    </row>
    <row r="54" spans="1:21" s="12" customFormat="1" x14ac:dyDescent="0.25">
      <c r="A54" s="214" t="s">
        <v>2209</v>
      </c>
      <c r="B54" s="64">
        <v>58.84</v>
      </c>
      <c r="C54" s="64">
        <v>74.75</v>
      </c>
      <c r="D54" s="64">
        <v>84.86</v>
      </c>
      <c r="E54" s="64">
        <v>5.19</v>
      </c>
      <c r="F54" s="64">
        <v>2.13</v>
      </c>
      <c r="G54" s="64">
        <v>77.19</v>
      </c>
      <c r="H54" s="64">
        <v>34.770000000000003</v>
      </c>
      <c r="I54" s="210" t="s">
        <v>43</v>
      </c>
      <c r="J54" s="64">
        <v>1.67</v>
      </c>
      <c r="K54" s="64">
        <v>344.95</v>
      </c>
      <c r="L54" s="64">
        <v>28.12</v>
      </c>
      <c r="M54" s="64">
        <v>30.24</v>
      </c>
      <c r="N54" s="64">
        <v>672.8</v>
      </c>
      <c r="O54" s="64">
        <v>0</v>
      </c>
      <c r="P54" s="64">
        <v>1.04</v>
      </c>
      <c r="Q54" s="64">
        <v>8.69</v>
      </c>
      <c r="R54" s="198"/>
      <c r="S54" s="198"/>
      <c r="T54" s="198"/>
      <c r="U54" s="198"/>
    </row>
    <row r="55" spans="1:21" s="12" customFormat="1" x14ac:dyDescent="0.25">
      <c r="A55" s="214" t="s">
        <v>2210</v>
      </c>
      <c r="B55" s="64">
        <v>53.32</v>
      </c>
      <c r="C55" s="64">
        <v>75.95</v>
      </c>
      <c r="D55" s="64">
        <v>81.069999999999993</v>
      </c>
      <c r="E55" s="64">
        <v>5</v>
      </c>
      <c r="F55" s="64">
        <v>2.13</v>
      </c>
      <c r="G55" s="64">
        <v>77.19</v>
      </c>
      <c r="H55" s="64">
        <v>34.770000000000003</v>
      </c>
      <c r="I55" s="210" t="s">
        <v>43</v>
      </c>
      <c r="J55" s="64">
        <v>1.36</v>
      </c>
      <c r="K55" s="64">
        <v>108.44</v>
      </c>
      <c r="L55" s="64">
        <v>25.71</v>
      </c>
      <c r="M55" s="64">
        <v>34.659999999999997</v>
      </c>
      <c r="N55" s="64">
        <v>685.1</v>
      </c>
      <c r="O55" s="64">
        <v>0</v>
      </c>
      <c r="P55" s="64">
        <v>1.01</v>
      </c>
      <c r="Q55" s="64">
        <v>8.42</v>
      </c>
      <c r="R55" s="198"/>
      <c r="S55" s="198"/>
      <c r="T55" s="198"/>
      <c r="U55" s="198"/>
    </row>
    <row r="56" spans="1:21" s="12" customFormat="1" x14ac:dyDescent="0.25">
      <c r="A56" s="214" t="s">
        <v>2211</v>
      </c>
      <c r="B56" s="64">
        <v>47.56</v>
      </c>
      <c r="C56" s="64">
        <v>76.489999999999995</v>
      </c>
      <c r="D56" s="64">
        <v>76.73</v>
      </c>
      <c r="E56" s="64">
        <v>4.93</v>
      </c>
      <c r="F56" s="64">
        <v>2.13</v>
      </c>
      <c r="G56" s="64">
        <v>66.7</v>
      </c>
      <c r="H56" s="64">
        <v>32.96</v>
      </c>
      <c r="I56" s="210" t="s">
        <v>43</v>
      </c>
      <c r="J56" s="64">
        <v>0.44</v>
      </c>
      <c r="K56" s="64">
        <v>32.479999999999997</v>
      </c>
      <c r="L56" s="64">
        <v>25.7</v>
      </c>
      <c r="M56" s="64">
        <v>34.67</v>
      </c>
      <c r="N56" s="64">
        <v>676.1</v>
      </c>
      <c r="O56" s="64">
        <v>0</v>
      </c>
      <c r="P56" s="64">
        <v>0.97</v>
      </c>
      <c r="Q56" s="64">
        <v>8.2200000000000006</v>
      </c>
      <c r="R56" s="198"/>
      <c r="S56" s="198"/>
      <c r="T56" s="198"/>
      <c r="U56" s="198"/>
    </row>
    <row r="57" spans="1:21" s="12" customFormat="1" x14ac:dyDescent="0.25">
      <c r="A57" s="214" t="s">
        <v>2212</v>
      </c>
      <c r="B57" s="64">
        <v>42.68</v>
      </c>
      <c r="C57" s="64">
        <v>77.02</v>
      </c>
      <c r="D57" s="64">
        <v>73.09</v>
      </c>
      <c r="E57" s="64">
        <v>5.0999999999999996</v>
      </c>
      <c r="F57" s="64">
        <v>2.13</v>
      </c>
      <c r="G57" s="64">
        <v>54.16</v>
      </c>
      <c r="H57" s="64">
        <v>30.78</v>
      </c>
      <c r="I57" s="210" t="s">
        <v>43</v>
      </c>
      <c r="J57" s="64">
        <v>1.74</v>
      </c>
      <c r="K57" s="64">
        <v>344.81</v>
      </c>
      <c r="L57" s="64">
        <v>26.5</v>
      </c>
      <c r="M57" s="64">
        <v>32.99</v>
      </c>
      <c r="N57" s="64">
        <v>682.1</v>
      </c>
      <c r="O57" s="64">
        <v>0</v>
      </c>
      <c r="P57" s="64">
        <v>0.95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2213</v>
      </c>
      <c r="B58" s="64">
        <v>38.17</v>
      </c>
      <c r="C58" s="64">
        <v>76.14</v>
      </c>
      <c r="D58" s="64">
        <v>69.010000000000005</v>
      </c>
      <c r="E58" s="64">
        <v>4.82</v>
      </c>
      <c r="F58" s="64">
        <v>2.13</v>
      </c>
      <c r="G58" s="64">
        <v>54.16</v>
      </c>
      <c r="H58" s="64">
        <v>30.78</v>
      </c>
      <c r="I58" s="210" t="s">
        <v>43</v>
      </c>
      <c r="J58" s="64">
        <v>1.24</v>
      </c>
      <c r="K58" s="64">
        <v>303.5</v>
      </c>
      <c r="L58" s="64">
        <v>27.73</v>
      </c>
      <c r="M58" s="64">
        <v>30.39</v>
      </c>
      <c r="N58" s="64">
        <v>672.2</v>
      </c>
      <c r="O58" s="64">
        <v>0</v>
      </c>
      <c r="P58" s="64">
        <v>0.93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2214</v>
      </c>
      <c r="B59" s="64">
        <v>34.159999999999997</v>
      </c>
      <c r="C59" s="64">
        <v>76.55</v>
      </c>
      <c r="D59" s="64">
        <v>66.010000000000005</v>
      </c>
      <c r="E59" s="64">
        <v>4.5999999999999996</v>
      </c>
      <c r="F59" s="64">
        <v>2.13</v>
      </c>
      <c r="G59" s="64">
        <v>54.16</v>
      </c>
      <c r="H59" s="64">
        <v>30.78</v>
      </c>
      <c r="I59" s="210" t="s">
        <v>43</v>
      </c>
      <c r="J59" s="64">
        <v>1.04</v>
      </c>
      <c r="K59" s="64">
        <v>324.25</v>
      </c>
      <c r="L59" s="64">
        <v>26.81</v>
      </c>
      <c r="M59" s="64">
        <v>31.96</v>
      </c>
      <c r="N59" s="64">
        <v>667</v>
      </c>
      <c r="O59" s="64">
        <v>0</v>
      </c>
      <c r="P59" s="64">
        <v>0.89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2215</v>
      </c>
      <c r="B60" s="64">
        <v>30.72</v>
      </c>
      <c r="C60" s="64">
        <v>77.03</v>
      </c>
      <c r="D60" s="64">
        <v>63.5</v>
      </c>
      <c r="E60" s="64">
        <v>4.4000000000000004</v>
      </c>
      <c r="F60" s="64">
        <v>2.13</v>
      </c>
      <c r="G60" s="64">
        <v>54.44</v>
      </c>
      <c r="H60" s="64">
        <v>30.05</v>
      </c>
      <c r="I60" s="210" t="s">
        <v>43</v>
      </c>
      <c r="J60" s="64">
        <v>0.71</v>
      </c>
      <c r="K60" s="64">
        <v>145.56</v>
      </c>
      <c r="L60" s="64">
        <v>26.88</v>
      </c>
      <c r="M60" s="64">
        <v>32</v>
      </c>
      <c r="N60" s="64">
        <v>663.8</v>
      </c>
      <c r="O60" s="64">
        <v>0</v>
      </c>
      <c r="P60" s="64">
        <v>0.87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2216</v>
      </c>
      <c r="B61" s="64">
        <v>27.9</v>
      </c>
      <c r="C61" s="64">
        <v>76.599999999999994</v>
      </c>
      <c r="D61" s="64">
        <v>61.01</v>
      </c>
      <c r="E61" s="64">
        <v>4.49</v>
      </c>
      <c r="F61" s="64">
        <v>2.13</v>
      </c>
      <c r="G61" s="64">
        <v>54.78</v>
      </c>
      <c r="H61" s="64">
        <v>29.18</v>
      </c>
      <c r="I61" s="210" t="s">
        <v>43</v>
      </c>
      <c r="J61" s="64">
        <v>0.47</v>
      </c>
      <c r="K61" s="64">
        <v>329.44</v>
      </c>
      <c r="L61" s="64">
        <v>26.21</v>
      </c>
      <c r="M61" s="64">
        <v>32.58</v>
      </c>
      <c r="N61" s="64">
        <v>641.20000000000005</v>
      </c>
      <c r="O61" s="64">
        <v>0</v>
      </c>
      <c r="P61" s="64">
        <v>0.85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2217</v>
      </c>
      <c r="B62" s="64">
        <v>25.03</v>
      </c>
      <c r="C62" s="64">
        <v>76.3</v>
      </c>
      <c r="D62" s="64">
        <v>58.56</v>
      </c>
      <c r="E62" s="64">
        <v>4.59</v>
      </c>
      <c r="F62" s="64">
        <v>2.13</v>
      </c>
      <c r="G62" s="64">
        <v>54.78</v>
      </c>
      <c r="H62" s="64">
        <v>29.18</v>
      </c>
      <c r="I62" s="210" t="s">
        <v>43</v>
      </c>
      <c r="J62" s="64">
        <v>2.1</v>
      </c>
      <c r="K62" s="64">
        <v>118.61</v>
      </c>
      <c r="L62" s="64">
        <v>25.65</v>
      </c>
      <c r="M62" s="64">
        <v>33.76</v>
      </c>
      <c r="N62" s="64">
        <v>585.9</v>
      </c>
      <c r="O62" s="64">
        <v>0</v>
      </c>
      <c r="P62" s="64">
        <v>0.88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2218</v>
      </c>
      <c r="B63" s="64">
        <v>22.2</v>
      </c>
      <c r="C63" s="64">
        <v>75.69</v>
      </c>
      <c r="D63" s="64">
        <v>55.97</v>
      </c>
      <c r="E63" s="64">
        <v>4.28</v>
      </c>
      <c r="F63" s="64">
        <v>2.13</v>
      </c>
      <c r="G63" s="64">
        <v>54.78</v>
      </c>
      <c r="H63" s="64">
        <v>29.18</v>
      </c>
      <c r="I63" s="210" t="s">
        <v>43</v>
      </c>
      <c r="J63" s="64">
        <v>0.38</v>
      </c>
      <c r="K63" s="64">
        <v>165.6</v>
      </c>
      <c r="L63" s="64">
        <v>25.84</v>
      </c>
      <c r="M63" s="64">
        <v>33.53</v>
      </c>
      <c r="N63" s="64">
        <v>530.70000000000005</v>
      </c>
      <c r="O63" s="64">
        <v>0</v>
      </c>
      <c r="P63" s="64">
        <v>0.84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2219</v>
      </c>
      <c r="B64" s="64">
        <v>19.78</v>
      </c>
      <c r="C64" s="64">
        <v>75.03</v>
      </c>
      <c r="D64" s="64">
        <v>53.68</v>
      </c>
      <c r="E64" s="64">
        <v>4.4000000000000004</v>
      </c>
      <c r="F64" s="64">
        <v>2.13</v>
      </c>
      <c r="G64" s="64">
        <v>60.1</v>
      </c>
      <c r="H64" s="64">
        <v>29.26</v>
      </c>
      <c r="I64" s="210" t="s">
        <v>43</v>
      </c>
      <c r="J64" s="64">
        <v>2.31</v>
      </c>
      <c r="K64" s="64">
        <v>121.79</v>
      </c>
      <c r="L64" s="64">
        <v>24.89</v>
      </c>
      <c r="M64" s="64">
        <v>34.9</v>
      </c>
      <c r="N64" s="64">
        <v>534.6</v>
      </c>
      <c r="O64" s="64">
        <v>0</v>
      </c>
      <c r="P64" s="64">
        <v>0.83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2220</v>
      </c>
      <c r="B65" s="64">
        <v>17.510000000000002</v>
      </c>
      <c r="C65" s="64">
        <v>74.260000000000005</v>
      </c>
      <c r="D65" s="64">
        <v>51.47</v>
      </c>
      <c r="E65" s="64">
        <v>4.58</v>
      </c>
      <c r="F65" s="64">
        <v>2.13</v>
      </c>
      <c r="G65" s="64">
        <v>66.45</v>
      </c>
      <c r="H65" s="64">
        <v>29.36</v>
      </c>
      <c r="I65" s="210" t="s">
        <v>43</v>
      </c>
      <c r="J65" s="64">
        <v>2.37</v>
      </c>
      <c r="K65" s="64">
        <v>319.49</v>
      </c>
      <c r="L65" s="64">
        <v>26.61</v>
      </c>
      <c r="M65" s="64">
        <v>32.119999999999997</v>
      </c>
      <c r="N65" s="64">
        <v>418.5</v>
      </c>
      <c r="O65" s="64">
        <v>0</v>
      </c>
      <c r="P65" s="64">
        <v>0.86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2221</v>
      </c>
      <c r="B66" s="64">
        <v>15.41</v>
      </c>
      <c r="C66" s="64">
        <v>75.31</v>
      </c>
      <c r="D66" s="64">
        <v>50.33</v>
      </c>
      <c r="E66" s="64">
        <v>5.7</v>
      </c>
      <c r="F66" s="64">
        <v>2.13</v>
      </c>
      <c r="G66" s="64">
        <v>66.45</v>
      </c>
      <c r="H66" s="64">
        <v>29.36</v>
      </c>
      <c r="I66" s="210" t="s">
        <v>43</v>
      </c>
      <c r="J66" s="64">
        <v>1.95</v>
      </c>
      <c r="K66" s="64">
        <v>330.22</v>
      </c>
      <c r="L66" s="64">
        <v>27.32</v>
      </c>
      <c r="M66" s="64">
        <v>30.33</v>
      </c>
      <c r="N66" s="64">
        <v>190.8</v>
      </c>
      <c r="O66" s="64">
        <v>0</v>
      </c>
      <c r="P66" s="64">
        <v>0.86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2222</v>
      </c>
      <c r="B67" s="64">
        <v>13.36</v>
      </c>
      <c r="C67" s="64">
        <v>77.790000000000006</v>
      </c>
      <c r="D67" s="64">
        <v>49.98</v>
      </c>
      <c r="E67" s="64">
        <v>5.18</v>
      </c>
      <c r="F67" s="64">
        <v>2.13</v>
      </c>
      <c r="G67" s="64">
        <v>66.45</v>
      </c>
      <c r="H67" s="64">
        <v>29.36</v>
      </c>
      <c r="I67" s="210" t="s">
        <v>43</v>
      </c>
      <c r="J67" s="64">
        <v>2.2999999999999998</v>
      </c>
      <c r="K67" s="64">
        <v>321.02999999999997</v>
      </c>
      <c r="L67" s="64">
        <v>27.26</v>
      </c>
      <c r="M67" s="64">
        <v>29.85</v>
      </c>
      <c r="N67" s="64">
        <v>188.7</v>
      </c>
      <c r="O67" s="64">
        <v>0</v>
      </c>
      <c r="P67" s="64">
        <v>0.87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2223</v>
      </c>
      <c r="B68" s="64">
        <v>11.33</v>
      </c>
      <c r="C68" s="64">
        <v>79.459999999999994</v>
      </c>
      <c r="D68" s="64">
        <v>49.22</v>
      </c>
      <c r="E68" s="64">
        <v>5.23</v>
      </c>
      <c r="F68" s="64">
        <v>2.13</v>
      </c>
      <c r="G68" s="64">
        <v>76.349999999999994</v>
      </c>
      <c r="H68" s="64">
        <v>29.12</v>
      </c>
      <c r="I68" s="210" t="s">
        <v>43</v>
      </c>
      <c r="J68" s="64">
        <v>2.4</v>
      </c>
      <c r="K68" s="64">
        <v>330.78</v>
      </c>
      <c r="L68" s="64">
        <v>26.91</v>
      </c>
      <c r="M68" s="64">
        <v>29.79</v>
      </c>
      <c r="N68" s="64">
        <v>215.8</v>
      </c>
      <c r="O68" s="64">
        <v>0</v>
      </c>
      <c r="P68" s="64">
        <v>0.87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2224</v>
      </c>
      <c r="B69" s="64">
        <v>9.8000000000000007</v>
      </c>
      <c r="C69" s="64">
        <v>80.59</v>
      </c>
      <c r="D69" s="64">
        <v>48.59</v>
      </c>
      <c r="E69" s="64">
        <v>4.88</v>
      </c>
      <c r="F69" s="64">
        <v>2.13</v>
      </c>
      <c r="G69" s="64">
        <v>88.18</v>
      </c>
      <c r="H69" s="64">
        <v>28.84</v>
      </c>
      <c r="I69" s="210" t="s">
        <v>43</v>
      </c>
      <c r="J69" s="64">
        <v>0.56000000000000005</v>
      </c>
      <c r="K69" s="64">
        <v>316.47000000000003</v>
      </c>
      <c r="L69" s="64">
        <v>26.39</v>
      </c>
      <c r="M69" s="64">
        <v>29.91</v>
      </c>
      <c r="N69" s="64">
        <v>194.7</v>
      </c>
      <c r="O69" s="64">
        <v>0</v>
      </c>
      <c r="P69" s="64">
        <v>0.87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2225</v>
      </c>
      <c r="B70" s="64">
        <v>8.48</v>
      </c>
      <c r="C70" s="64">
        <v>80.83</v>
      </c>
      <c r="D70" s="64">
        <v>47.66</v>
      </c>
      <c r="E70" s="64">
        <v>5.14</v>
      </c>
      <c r="F70" s="64">
        <v>2.13</v>
      </c>
      <c r="G70" s="64">
        <v>88.18</v>
      </c>
      <c r="H70" s="64">
        <v>28.84</v>
      </c>
      <c r="I70" s="210" t="s">
        <v>43</v>
      </c>
      <c r="J70" s="64">
        <v>2.73</v>
      </c>
      <c r="K70" s="64">
        <v>331.03</v>
      </c>
      <c r="L70" s="64">
        <v>25.61</v>
      </c>
      <c r="M70" s="64">
        <v>31.13</v>
      </c>
      <c r="N70" s="64">
        <v>156.69999999999999</v>
      </c>
      <c r="O70" s="64">
        <v>0</v>
      </c>
      <c r="P70" s="64">
        <v>0.87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2226</v>
      </c>
      <c r="B71" s="64">
        <v>7.47</v>
      </c>
      <c r="C71" s="64">
        <v>80.98</v>
      </c>
      <c r="D71" s="64">
        <v>46.92</v>
      </c>
      <c r="E71" s="64">
        <v>5.31</v>
      </c>
      <c r="F71" s="64">
        <v>2.13</v>
      </c>
      <c r="G71" s="64">
        <v>88.18</v>
      </c>
      <c r="H71" s="64">
        <v>28.84</v>
      </c>
      <c r="I71" s="210" t="s">
        <v>43</v>
      </c>
      <c r="J71" s="64">
        <v>2.1800000000000002</v>
      </c>
      <c r="K71" s="64">
        <v>341.26</v>
      </c>
      <c r="L71" s="64">
        <v>25.55</v>
      </c>
      <c r="M71" s="64">
        <v>30.35</v>
      </c>
      <c r="N71" s="64">
        <v>136.80000000000001</v>
      </c>
      <c r="O71" s="64">
        <v>0</v>
      </c>
      <c r="P71" s="64">
        <v>0.87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2227</v>
      </c>
      <c r="B72" s="64">
        <v>6.79</v>
      </c>
      <c r="C72" s="64">
        <v>80.72</v>
      </c>
      <c r="D72" s="64">
        <v>46.24</v>
      </c>
      <c r="E72" s="64">
        <v>6.56</v>
      </c>
      <c r="F72" s="64">
        <v>2.13</v>
      </c>
      <c r="G72" s="64">
        <v>87.84</v>
      </c>
      <c r="H72" s="64">
        <v>29.45</v>
      </c>
      <c r="I72" s="210" t="s">
        <v>43</v>
      </c>
      <c r="J72" s="64">
        <v>1.99</v>
      </c>
      <c r="K72" s="64">
        <v>336.96</v>
      </c>
      <c r="L72" s="64">
        <v>25.26</v>
      </c>
      <c r="M72" s="64">
        <v>30.44</v>
      </c>
      <c r="N72" s="64">
        <v>129.4</v>
      </c>
      <c r="O72" s="64">
        <v>0</v>
      </c>
      <c r="P72" s="64">
        <v>0.87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2228</v>
      </c>
      <c r="B73" s="64">
        <v>6.48</v>
      </c>
      <c r="C73" s="64">
        <v>80.209999999999994</v>
      </c>
      <c r="D73" s="64">
        <v>45.73</v>
      </c>
      <c r="E73" s="64">
        <v>6.87</v>
      </c>
      <c r="F73" s="64">
        <v>2.13</v>
      </c>
      <c r="G73" s="64">
        <v>87.44</v>
      </c>
      <c r="H73" s="64">
        <v>30.18</v>
      </c>
      <c r="I73" s="210" t="s">
        <v>43</v>
      </c>
      <c r="J73" s="64">
        <v>2.14</v>
      </c>
      <c r="K73" s="64">
        <v>335.33</v>
      </c>
      <c r="L73" s="64">
        <v>25.03</v>
      </c>
      <c r="M73" s="64">
        <v>30.71</v>
      </c>
      <c r="N73" s="64">
        <v>122.5</v>
      </c>
      <c r="O73" s="64">
        <v>0</v>
      </c>
      <c r="P73" s="64">
        <v>0.87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2229</v>
      </c>
      <c r="B74" s="64">
        <v>6.42</v>
      </c>
      <c r="C74" s="64">
        <v>79.87</v>
      </c>
      <c r="D74" s="64">
        <v>45.5</v>
      </c>
      <c r="E74" s="64">
        <v>6.83</v>
      </c>
      <c r="F74" s="64">
        <v>2.13</v>
      </c>
      <c r="G74" s="64">
        <v>87.44</v>
      </c>
      <c r="H74" s="64">
        <v>30.18</v>
      </c>
      <c r="I74" s="210" t="s">
        <v>43</v>
      </c>
      <c r="J74" s="64">
        <v>2.57</v>
      </c>
      <c r="K74" s="64">
        <v>339.94</v>
      </c>
      <c r="L74" s="64">
        <v>24.72</v>
      </c>
      <c r="M74" s="64">
        <v>31.02</v>
      </c>
      <c r="N74" s="64">
        <v>115.6</v>
      </c>
      <c r="O74" s="64">
        <v>0</v>
      </c>
      <c r="P74" s="64">
        <v>0.87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2230</v>
      </c>
      <c r="B75" s="64">
        <v>6.59</v>
      </c>
      <c r="C75" s="64">
        <v>78.069999999999993</v>
      </c>
      <c r="D75" s="64">
        <v>44.7</v>
      </c>
      <c r="E75" s="64">
        <v>6.7</v>
      </c>
      <c r="F75" s="64">
        <v>2.13</v>
      </c>
      <c r="G75" s="64">
        <v>87.44</v>
      </c>
      <c r="H75" s="64">
        <v>30.18</v>
      </c>
      <c r="I75" s="210" t="s">
        <v>43</v>
      </c>
      <c r="J75" s="64">
        <v>2.0299999999999998</v>
      </c>
      <c r="K75" s="64">
        <v>339.22</v>
      </c>
      <c r="L75" s="64">
        <v>24.33</v>
      </c>
      <c r="M75" s="64">
        <v>31.61</v>
      </c>
      <c r="N75" s="64">
        <v>109</v>
      </c>
      <c r="O75" s="64">
        <v>0</v>
      </c>
      <c r="P75" s="64">
        <v>0.94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2231</v>
      </c>
      <c r="B76" s="64">
        <v>7.18</v>
      </c>
      <c r="C76" s="64">
        <v>77.62</v>
      </c>
      <c r="D76" s="64">
        <v>44.93</v>
      </c>
      <c r="E76" s="64">
        <v>6.41</v>
      </c>
      <c r="F76" s="64">
        <v>2.13</v>
      </c>
      <c r="G76" s="64">
        <v>89.35</v>
      </c>
      <c r="H76" s="64">
        <v>30.43</v>
      </c>
      <c r="I76" s="210" t="s">
        <v>43</v>
      </c>
      <c r="J76" s="64">
        <v>2.25</v>
      </c>
      <c r="K76" s="64">
        <v>346.36</v>
      </c>
      <c r="L76" s="64">
        <v>23.89</v>
      </c>
      <c r="M76" s="64">
        <v>33.549999999999997</v>
      </c>
      <c r="N76" s="64">
        <v>101.2</v>
      </c>
      <c r="O76" s="64">
        <v>0</v>
      </c>
      <c r="P76" s="64">
        <v>0.92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2232</v>
      </c>
      <c r="B77" s="64">
        <v>8.23</v>
      </c>
      <c r="C77" s="64">
        <v>77.02</v>
      </c>
      <c r="D77" s="64">
        <v>45.46</v>
      </c>
      <c r="E77" s="64">
        <v>6.42</v>
      </c>
      <c r="F77" s="64">
        <v>2.13</v>
      </c>
      <c r="G77" s="64">
        <v>91.64</v>
      </c>
      <c r="H77" s="64">
        <v>30.73</v>
      </c>
      <c r="I77" s="210" t="s">
        <v>43</v>
      </c>
      <c r="J77" s="64">
        <v>1.84</v>
      </c>
      <c r="K77" s="64">
        <v>343.91</v>
      </c>
      <c r="L77" s="64">
        <v>23.22</v>
      </c>
      <c r="M77" s="64">
        <v>35.15</v>
      </c>
      <c r="N77" s="64">
        <v>93.6</v>
      </c>
      <c r="O77" s="64">
        <v>0</v>
      </c>
      <c r="P77" s="64">
        <v>0.98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2233</v>
      </c>
      <c r="B78" s="64">
        <v>9.69</v>
      </c>
      <c r="C78" s="64">
        <v>77.12</v>
      </c>
      <c r="D78" s="64">
        <v>46.69</v>
      </c>
      <c r="E78" s="64">
        <v>6.64</v>
      </c>
      <c r="F78" s="64">
        <v>2.13</v>
      </c>
      <c r="G78" s="64">
        <v>91.64</v>
      </c>
      <c r="H78" s="64">
        <v>30.73</v>
      </c>
      <c r="I78" s="210" t="s">
        <v>43</v>
      </c>
      <c r="J78" s="64">
        <v>1.07</v>
      </c>
      <c r="K78" s="64">
        <v>349.85</v>
      </c>
      <c r="L78" s="64">
        <v>22.37</v>
      </c>
      <c r="M78" s="64">
        <v>37.89</v>
      </c>
      <c r="N78" s="64">
        <v>85.9</v>
      </c>
      <c r="O78" s="64">
        <v>0</v>
      </c>
      <c r="P78" s="64">
        <v>1.07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2234</v>
      </c>
      <c r="B79" s="64">
        <v>11.69</v>
      </c>
      <c r="C79" s="64">
        <v>77.510000000000005</v>
      </c>
      <c r="D79" s="64">
        <v>48.49</v>
      </c>
      <c r="E79" s="64">
        <v>6.88</v>
      </c>
      <c r="F79" s="64">
        <v>2.13</v>
      </c>
      <c r="G79" s="64">
        <v>91.64</v>
      </c>
      <c r="H79" s="64">
        <v>30.73</v>
      </c>
      <c r="I79" s="210" t="s">
        <v>43</v>
      </c>
      <c r="J79" s="64">
        <v>1.44</v>
      </c>
      <c r="K79" s="64">
        <v>332.12</v>
      </c>
      <c r="L79" s="64">
        <v>21.46</v>
      </c>
      <c r="M79" s="64">
        <v>42.74</v>
      </c>
      <c r="N79" s="64">
        <v>80</v>
      </c>
      <c r="O79" s="64">
        <v>0</v>
      </c>
      <c r="P79" s="64">
        <v>1.1399999999999999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2235</v>
      </c>
      <c r="B80" s="64">
        <v>14.36</v>
      </c>
      <c r="C80" s="64">
        <v>77.42</v>
      </c>
      <c r="D80" s="64">
        <v>50.59</v>
      </c>
      <c r="E80" s="64">
        <v>6.63</v>
      </c>
      <c r="F80" s="64">
        <v>2.13</v>
      </c>
      <c r="G80" s="64">
        <v>99.85</v>
      </c>
      <c r="H80" s="64">
        <v>31.59</v>
      </c>
      <c r="I80" s="210" t="s">
        <v>43</v>
      </c>
      <c r="J80" s="64">
        <v>1.44</v>
      </c>
      <c r="K80" s="64">
        <v>342.03</v>
      </c>
      <c r="L80" s="64">
        <v>20.5</v>
      </c>
      <c r="M80" s="64">
        <v>48.11</v>
      </c>
      <c r="N80" s="64">
        <v>77.3</v>
      </c>
      <c r="O80" s="64">
        <v>0</v>
      </c>
      <c r="P80" s="64">
        <v>1.4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2236</v>
      </c>
      <c r="B81" s="64">
        <v>17.09</v>
      </c>
      <c r="C81" s="64">
        <v>77.17</v>
      </c>
      <c r="D81" s="64">
        <v>52.65</v>
      </c>
      <c r="E81" s="64">
        <v>7.09</v>
      </c>
      <c r="F81" s="64">
        <v>2.13</v>
      </c>
      <c r="G81" s="64">
        <v>109.67</v>
      </c>
      <c r="H81" s="64">
        <v>32.619999999999997</v>
      </c>
      <c r="I81" s="210" t="s">
        <v>43</v>
      </c>
      <c r="J81" s="64">
        <v>1</v>
      </c>
      <c r="K81" s="64">
        <v>56.4</v>
      </c>
      <c r="L81" s="64">
        <v>19.73</v>
      </c>
      <c r="M81" s="64">
        <v>49.18</v>
      </c>
      <c r="N81" s="64">
        <v>76.599999999999994</v>
      </c>
      <c r="O81" s="64">
        <v>0</v>
      </c>
      <c r="P81" s="64">
        <v>1.4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2237</v>
      </c>
      <c r="B82" s="64">
        <v>19</v>
      </c>
      <c r="C82" s="64">
        <v>77.86</v>
      </c>
      <c r="D82" s="64">
        <v>54.54</v>
      </c>
      <c r="E82" s="64">
        <v>7.14</v>
      </c>
      <c r="F82" s="64">
        <v>2.13</v>
      </c>
      <c r="G82" s="64">
        <v>109.67</v>
      </c>
      <c r="H82" s="64">
        <v>32.619999999999997</v>
      </c>
      <c r="I82" s="210" t="s">
        <v>43</v>
      </c>
      <c r="J82" s="64">
        <v>1.75</v>
      </c>
      <c r="K82" s="64">
        <v>80.44</v>
      </c>
      <c r="L82" s="64">
        <v>19.63</v>
      </c>
      <c r="M82" s="64">
        <v>45.52</v>
      </c>
      <c r="N82" s="64">
        <v>76.400000000000006</v>
      </c>
      <c r="O82" s="64">
        <v>0</v>
      </c>
      <c r="P82" s="64">
        <v>1.1200000000000001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2238</v>
      </c>
      <c r="B83" s="64">
        <v>20.07</v>
      </c>
      <c r="C83" s="64">
        <v>79.19</v>
      </c>
      <c r="D83" s="64">
        <v>56.09</v>
      </c>
      <c r="E83" s="64">
        <v>7.19</v>
      </c>
      <c r="F83" s="64">
        <v>2.13</v>
      </c>
      <c r="G83" s="64">
        <v>109.67</v>
      </c>
      <c r="H83" s="64">
        <v>32.619999999999997</v>
      </c>
      <c r="I83" s="210" t="s">
        <v>43</v>
      </c>
      <c r="J83" s="64">
        <v>1.1000000000000001</v>
      </c>
      <c r="K83" s="64">
        <v>103.77</v>
      </c>
      <c r="L83" s="64">
        <v>19.260000000000002</v>
      </c>
      <c r="M83" s="64">
        <v>49.24</v>
      </c>
      <c r="N83" s="64">
        <v>76.599999999999994</v>
      </c>
      <c r="O83" s="64">
        <v>0</v>
      </c>
      <c r="P83" s="64">
        <v>1.17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2239</v>
      </c>
      <c r="B84" s="64">
        <v>23.09</v>
      </c>
      <c r="C84" s="64">
        <v>79.790000000000006</v>
      </c>
      <c r="D84" s="64">
        <v>58.82</v>
      </c>
      <c r="E84" s="64">
        <v>7.24</v>
      </c>
      <c r="F84" s="64">
        <v>2.13</v>
      </c>
      <c r="G84" s="64">
        <v>111.63</v>
      </c>
      <c r="H84" s="64">
        <v>33.26</v>
      </c>
      <c r="I84" s="210" t="s">
        <v>43</v>
      </c>
      <c r="J84" s="64">
        <v>0.76</v>
      </c>
      <c r="K84" s="64">
        <v>226.7</v>
      </c>
      <c r="L84" s="64">
        <v>18.61</v>
      </c>
      <c r="M84" s="64">
        <v>51.34</v>
      </c>
      <c r="N84" s="64">
        <v>76.5</v>
      </c>
      <c r="O84" s="64">
        <v>0</v>
      </c>
      <c r="P84" s="64">
        <v>1.21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2240</v>
      </c>
      <c r="B85" s="64">
        <v>29.07</v>
      </c>
      <c r="C85" s="64">
        <v>80.319999999999993</v>
      </c>
      <c r="D85" s="64">
        <v>63.9</v>
      </c>
      <c r="E85" s="64">
        <v>7.74</v>
      </c>
      <c r="F85" s="64">
        <v>2.13</v>
      </c>
      <c r="G85" s="64">
        <v>113.98</v>
      </c>
      <c r="H85" s="64">
        <v>34.04</v>
      </c>
      <c r="I85" s="210" t="s">
        <v>43</v>
      </c>
      <c r="J85" s="64">
        <v>0.28000000000000003</v>
      </c>
      <c r="K85" s="64">
        <v>11.62</v>
      </c>
      <c r="L85" s="64">
        <v>18.190000000000001</v>
      </c>
      <c r="M85" s="64">
        <v>55.26</v>
      </c>
      <c r="N85" s="64">
        <v>76.3</v>
      </c>
      <c r="O85" s="64">
        <v>0</v>
      </c>
      <c r="P85" s="64">
        <v>1.24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2241</v>
      </c>
      <c r="B86" s="64">
        <v>36.909999999999997</v>
      </c>
      <c r="C86" s="64">
        <v>80.87</v>
      </c>
      <c r="D86" s="64">
        <v>70.47</v>
      </c>
      <c r="E86" s="64">
        <v>7.76</v>
      </c>
      <c r="F86" s="64">
        <v>2.13</v>
      </c>
      <c r="G86" s="64">
        <v>113.98</v>
      </c>
      <c r="H86" s="64">
        <v>34.04</v>
      </c>
      <c r="I86" s="210" t="s">
        <v>43</v>
      </c>
      <c r="J86" s="64">
        <v>1.62</v>
      </c>
      <c r="K86" s="64">
        <v>357.84</v>
      </c>
      <c r="L86" s="64">
        <v>17.45</v>
      </c>
      <c r="M86" s="64">
        <v>64.47</v>
      </c>
      <c r="N86" s="64">
        <v>76.599999999999994</v>
      </c>
      <c r="O86" s="64">
        <v>0</v>
      </c>
      <c r="P86" s="64">
        <v>1.36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2242</v>
      </c>
      <c r="B87" s="64">
        <v>44.12</v>
      </c>
      <c r="C87" s="64">
        <v>81.09</v>
      </c>
      <c r="D87" s="64">
        <v>76.38</v>
      </c>
      <c r="E87" s="64">
        <v>7.79</v>
      </c>
      <c r="F87" s="64">
        <v>2.13</v>
      </c>
      <c r="G87" s="64">
        <v>113.98</v>
      </c>
      <c r="H87" s="64">
        <v>34.04</v>
      </c>
      <c r="I87" s="210" t="s">
        <v>43</v>
      </c>
      <c r="J87" s="64">
        <v>1</v>
      </c>
      <c r="K87" s="64">
        <v>8.73</v>
      </c>
      <c r="L87" s="64">
        <v>17.010000000000002</v>
      </c>
      <c r="M87" s="64">
        <v>62.47</v>
      </c>
      <c r="N87" s="64">
        <v>76.2</v>
      </c>
      <c r="O87" s="64">
        <v>0</v>
      </c>
      <c r="P87" s="64">
        <v>1.48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2243</v>
      </c>
      <c r="B88" s="64">
        <v>49.61</v>
      </c>
      <c r="C88" s="64">
        <v>81.319999999999993</v>
      </c>
      <c r="D88" s="64">
        <v>80.89</v>
      </c>
      <c r="E88" s="64">
        <v>8.14</v>
      </c>
      <c r="F88" s="64">
        <v>2.13</v>
      </c>
      <c r="G88" s="64">
        <v>118.13</v>
      </c>
      <c r="H88" s="64">
        <v>34.93</v>
      </c>
      <c r="I88" s="210" t="s">
        <v>43</v>
      </c>
      <c r="J88" s="64">
        <v>0.72</v>
      </c>
      <c r="K88" s="64">
        <v>214.38</v>
      </c>
      <c r="L88" s="64">
        <v>17.350000000000001</v>
      </c>
      <c r="M88" s="64">
        <v>57.25</v>
      </c>
      <c r="N88" s="64">
        <v>75.400000000000006</v>
      </c>
      <c r="O88" s="64">
        <v>0</v>
      </c>
      <c r="P88" s="64">
        <v>1.6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2244</v>
      </c>
      <c r="B89" s="64">
        <v>52.61</v>
      </c>
      <c r="C89" s="64">
        <v>81.010000000000005</v>
      </c>
      <c r="D89" s="64">
        <v>83.14</v>
      </c>
      <c r="E89" s="64">
        <v>8.4700000000000006</v>
      </c>
      <c r="F89" s="64">
        <v>2.13</v>
      </c>
      <c r="G89" s="64">
        <v>123.09</v>
      </c>
      <c r="H89" s="64">
        <v>35.99</v>
      </c>
      <c r="I89" s="210" t="s">
        <v>43</v>
      </c>
      <c r="J89" s="64">
        <v>0.55000000000000004</v>
      </c>
      <c r="K89" s="64">
        <v>166.63</v>
      </c>
      <c r="L89" s="64">
        <v>17.84</v>
      </c>
      <c r="M89" s="64">
        <v>53.46</v>
      </c>
      <c r="N89" s="64">
        <v>75.400000000000006</v>
      </c>
      <c r="O89" s="64">
        <v>0</v>
      </c>
      <c r="P89" s="64">
        <v>1.6</v>
      </c>
      <c r="Q89" s="64">
        <v>8.24</v>
      </c>
      <c r="R89" s="198"/>
      <c r="S89" s="198"/>
      <c r="T89" s="198"/>
      <c r="U89" s="198"/>
    </row>
    <row r="90" spans="1:26" s="12" customFormat="1" x14ac:dyDescent="0.25">
      <c r="A90" s="214" t="s">
        <v>2245</v>
      </c>
      <c r="B90" s="64">
        <v>56.19</v>
      </c>
      <c r="C90" s="64">
        <v>81.069999999999993</v>
      </c>
      <c r="D90" s="64">
        <v>86.03</v>
      </c>
      <c r="E90" s="64">
        <v>8.23</v>
      </c>
      <c r="F90" s="64">
        <v>2.13</v>
      </c>
      <c r="G90" s="64">
        <v>123.09</v>
      </c>
      <c r="H90" s="64">
        <v>35.99</v>
      </c>
      <c r="I90" s="210" t="s">
        <v>43</v>
      </c>
      <c r="J90" s="64">
        <v>1.59</v>
      </c>
      <c r="K90" s="64">
        <v>311.85000000000002</v>
      </c>
      <c r="L90" s="64">
        <v>17.28</v>
      </c>
      <c r="M90" s="64">
        <v>66.63</v>
      </c>
      <c r="N90" s="64">
        <v>76.7</v>
      </c>
      <c r="O90" s="64">
        <v>0</v>
      </c>
      <c r="P90" s="64">
        <v>1.66</v>
      </c>
      <c r="Q90" s="64">
        <v>8.4</v>
      </c>
      <c r="R90" s="198"/>
      <c r="S90" s="198"/>
      <c r="T90" s="198"/>
      <c r="U90" s="198"/>
    </row>
    <row r="91" spans="1:26" s="12" customFormat="1" x14ac:dyDescent="0.25">
      <c r="A91" s="214" t="s">
        <v>2246</v>
      </c>
      <c r="B91" s="64">
        <v>62.42</v>
      </c>
      <c r="C91" s="64">
        <v>79.25</v>
      </c>
      <c r="D91" s="64">
        <v>90.08</v>
      </c>
      <c r="E91" s="64">
        <v>8.56</v>
      </c>
      <c r="F91" s="64">
        <v>2.13</v>
      </c>
      <c r="G91" s="64">
        <v>123.09</v>
      </c>
      <c r="H91" s="64">
        <v>35.99</v>
      </c>
      <c r="I91" s="210" t="s">
        <v>43</v>
      </c>
      <c r="J91" s="64">
        <v>1.78</v>
      </c>
      <c r="K91" s="64">
        <v>287.51</v>
      </c>
      <c r="L91" s="64">
        <v>16.3</v>
      </c>
      <c r="M91" s="64">
        <v>67.959999999999994</v>
      </c>
      <c r="N91" s="64">
        <v>76.5</v>
      </c>
      <c r="O91" s="64">
        <v>0</v>
      </c>
      <c r="P91" s="64">
        <v>1.95</v>
      </c>
      <c r="Q91" s="64">
        <v>8.66</v>
      </c>
      <c r="R91" s="198"/>
      <c r="S91" s="198"/>
      <c r="T91" s="198"/>
      <c r="U91" s="198"/>
    </row>
    <row r="92" spans="1:26" s="12" customFormat="1" x14ac:dyDescent="0.25">
      <c r="A92" s="214" t="s">
        <v>2247</v>
      </c>
      <c r="B92" s="64">
        <v>70.5</v>
      </c>
      <c r="C92" s="64">
        <v>77.38</v>
      </c>
      <c r="D92" s="64">
        <v>95.59</v>
      </c>
      <c r="E92" s="64">
        <v>8.34</v>
      </c>
      <c r="F92" s="64">
        <v>2.13</v>
      </c>
      <c r="G92" s="64">
        <v>131.30000000000001</v>
      </c>
      <c r="H92" s="64">
        <v>35.97</v>
      </c>
      <c r="I92" s="210" t="s">
        <v>43</v>
      </c>
      <c r="J92" s="64">
        <v>1.59</v>
      </c>
      <c r="K92" s="64">
        <v>327.32</v>
      </c>
      <c r="L92" s="64">
        <v>15.82</v>
      </c>
      <c r="M92" s="64">
        <v>76.84</v>
      </c>
      <c r="N92" s="64">
        <v>76.5</v>
      </c>
      <c r="O92" s="64">
        <v>0</v>
      </c>
      <c r="P92" s="64">
        <v>2.0299999999999998</v>
      </c>
      <c r="Q92" s="64">
        <v>8.9700000000000006</v>
      </c>
      <c r="R92" s="198"/>
      <c r="S92" s="198"/>
      <c r="T92" s="198"/>
      <c r="U92" s="198"/>
    </row>
    <row r="93" spans="1:26" s="12" customFormat="1" x14ac:dyDescent="0.25">
      <c r="A93" s="214" t="s">
        <v>2248</v>
      </c>
      <c r="B93" s="64">
        <v>77.41</v>
      </c>
      <c r="C93" s="64">
        <v>77.09</v>
      </c>
      <c r="D93" s="64">
        <v>100.98</v>
      </c>
      <c r="E93" s="64">
        <v>8.4700000000000006</v>
      </c>
      <c r="F93" s="64">
        <v>2.13</v>
      </c>
      <c r="G93" s="64">
        <v>141.12</v>
      </c>
      <c r="H93" s="64">
        <v>35.94</v>
      </c>
      <c r="I93" s="210" t="s">
        <v>43</v>
      </c>
      <c r="J93" s="64">
        <v>1.5</v>
      </c>
      <c r="K93" s="64">
        <v>287.26</v>
      </c>
      <c r="L93" s="64">
        <v>15.44</v>
      </c>
      <c r="M93" s="64">
        <v>73.22</v>
      </c>
      <c r="N93" s="64">
        <v>76.400000000000006</v>
      </c>
      <c r="O93" s="64">
        <v>0</v>
      </c>
      <c r="P93" s="64">
        <v>2.14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4" t="s">
        <v>2249</v>
      </c>
      <c r="B94" s="64">
        <v>83.96</v>
      </c>
      <c r="C94" s="64">
        <v>76.62</v>
      </c>
      <c r="D94" s="64">
        <v>105.99</v>
      </c>
      <c r="E94" s="64">
        <v>8.59</v>
      </c>
      <c r="F94" s="64">
        <v>2.13</v>
      </c>
      <c r="G94" s="64">
        <v>141.12</v>
      </c>
      <c r="H94" s="64">
        <v>35.94</v>
      </c>
      <c r="I94" s="210" t="s">
        <v>43</v>
      </c>
      <c r="J94" s="64">
        <v>1.73</v>
      </c>
      <c r="K94" s="64">
        <v>288.89999999999998</v>
      </c>
      <c r="L94" s="64">
        <v>15.23</v>
      </c>
      <c r="M94" s="64">
        <v>73.47</v>
      </c>
      <c r="N94" s="64">
        <v>76.400000000000006</v>
      </c>
      <c r="O94" s="64">
        <v>0</v>
      </c>
      <c r="P94" s="64">
        <v>2.25</v>
      </c>
      <c r="Q94" s="64">
        <v>9.6199999999999992</v>
      </c>
      <c r="R94" s="198"/>
      <c r="S94" s="198"/>
      <c r="T94" s="198"/>
      <c r="U94" s="198"/>
    </row>
    <row r="95" spans="1:26" s="12" customFormat="1" x14ac:dyDescent="0.25">
      <c r="A95" s="214" t="s">
        <v>2250</v>
      </c>
      <c r="B95" s="64">
        <v>89.6</v>
      </c>
      <c r="C95" s="64">
        <v>75.39</v>
      </c>
      <c r="D95" s="64">
        <v>109.86</v>
      </c>
      <c r="E95" s="64">
        <v>8.4700000000000006</v>
      </c>
      <c r="F95" s="64">
        <v>2.13</v>
      </c>
      <c r="G95" s="64">
        <v>141.12</v>
      </c>
      <c r="H95" s="64">
        <v>35.94</v>
      </c>
      <c r="I95" s="210" t="s">
        <v>43</v>
      </c>
      <c r="J95" s="64">
        <v>1.34</v>
      </c>
      <c r="K95" s="64">
        <v>279.31</v>
      </c>
      <c r="L95" s="64">
        <v>15.08</v>
      </c>
      <c r="M95" s="64">
        <v>75.06</v>
      </c>
      <c r="N95" s="64">
        <v>76.2</v>
      </c>
      <c r="O95" s="64">
        <v>0</v>
      </c>
      <c r="P95" s="64">
        <v>2.1800000000000002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2251</v>
      </c>
      <c r="B96" s="64">
        <v>95.34</v>
      </c>
      <c r="C96" s="64">
        <v>74.75</v>
      </c>
      <c r="D96" s="64">
        <v>114.14</v>
      </c>
      <c r="E96" s="64">
        <v>9.2200000000000006</v>
      </c>
      <c r="F96" s="64">
        <v>2.13</v>
      </c>
      <c r="G96" s="64">
        <v>149.58000000000001</v>
      </c>
      <c r="H96" s="64">
        <v>39.56</v>
      </c>
      <c r="I96" s="210" t="s">
        <v>43</v>
      </c>
      <c r="J96" s="64">
        <v>1.45</v>
      </c>
      <c r="K96" s="64">
        <v>293.04000000000002</v>
      </c>
      <c r="L96" s="64">
        <v>15.05</v>
      </c>
      <c r="M96" s="64">
        <v>77.3</v>
      </c>
      <c r="N96" s="64">
        <v>76.3</v>
      </c>
      <c r="O96" s="64">
        <v>0</v>
      </c>
      <c r="P96" s="64">
        <v>2.29</v>
      </c>
      <c r="Q96" s="64">
        <v>9.6999999999999993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2252</v>
      </c>
      <c r="B97" s="64">
        <v>100.42</v>
      </c>
      <c r="C97" s="64">
        <v>73.64</v>
      </c>
      <c r="D97" s="64">
        <v>117.63</v>
      </c>
      <c r="E97" s="64">
        <v>9.11</v>
      </c>
      <c r="F97" s="64">
        <v>2.13</v>
      </c>
      <c r="G97" s="64">
        <v>159.68</v>
      </c>
      <c r="H97" s="64">
        <v>43.89</v>
      </c>
      <c r="I97" s="210" t="s">
        <v>43</v>
      </c>
      <c r="J97" s="64">
        <v>1.66</v>
      </c>
      <c r="K97" s="64">
        <v>287.29000000000002</v>
      </c>
      <c r="L97" s="64">
        <v>14.64</v>
      </c>
      <c r="M97" s="64">
        <v>78.900000000000006</v>
      </c>
      <c r="N97" s="64">
        <v>76.400000000000006</v>
      </c>
      <c r="O97" s="64">
        <v>0</v>
      </c>
      <c r="P97" s="64">
        <v>2.29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14" t="s">
        <v>2253</v>
      </c>
      <c r="B98" s="64">
        <v>106.99</v>
      </c>
      <c r="C98" s="64">
        <v>72.87</v>
      </c>
      <c r="D98" s="64">
        <v>122.49</v>
      </c>
      <c r="E98" s="64">
        <v>9.6999999999999993</v>
      </c>
      <c r="F98" s="64">
        <v>2.13</v>
      </c>
      <c r="G98" s="64">
        <v>159.68</v>
      </c>
      <c r="H98" s="64">
        <v>43.89</v>
      </c>
      <c r="I98" s="210" t="s">
        <v>43</v>
      </c>
      <c r="J98" s="64">
        <v>1.74</v>
      </c>
      <c r="K98" s="64">
        <v>262.18</v>
      </c>
      <c r="L98" s="64">
        <v>14.42</v>
      </c>
      <c r="M98" s="64">
        <v>82.17</v>
      </c>
      <c r="N98" s="64">
        <v>76.3</v>
      </c>
      <c r="O98" s="64">
        <v>0</v>
      </c>
      <c r="P98" s="64">
        <v>2.35</v>
      </c>
      <c r="Q98" s="64">
        <v>9.75</v>
      </c>
      <c r="R98" s="198"/>
      <c r="S98" s="198"/>
      <c r="T98" s="198"/>
      <c r="U98" s="198"/>
    </row>
    <row r="99" spans="1:33" s="12" customFormat="1" x14ac:dyDescent="0.25">
      <c r="A99" s="214" t="s">
        <v>2254</v>
      </c>
      <c r="B99" s="64">
        <v>115.47</v>
      </c>
      <c r="C99" s="64">
        <v>71.739999999999995</v>
      </c>
      <c r="D99" s="64">
        <v>128.69999999999999</v>
      </c>
      <c r="E99" s="64">
        <v>9.7899999999999991</v>
      </c>
      <c r="F99" s="64">
        <v>2.13</v>
      </c>
      <c r="G99" s="64">
        <v>159.68</v>
      </c>
      <c r="H99" s="64">
        <v>43.89</v>
      </c>
      <c r="I99" s="210" t="s">
        <v>43</v>
      </c>
      <c r="J99" s="64">
        <v>1.62</v>
      </c>
      <c r="K99" s="64">
        <v>307.18</v>
      </c>
      <c r="L99" s="64">
        <v>14.29</v>
      </c>
      <c r="M99" s="64">
        <v>86.19</v>
      </c>
      <c r="N99" s="64">
        <v>76.400000000000006</v>
      </c>
      <c r="O99" s="64">
        <v>0</v>
      </c>
      <c r="P99" s="64">
        <v>2.31</v>
      </c>
      <c r="Q99" s="64">
        <v>9.76</v>
      </c>
      <c r="R99" s="198"/>
      <c r="S99" s="198"/>
      <c r="T99" s="198"/>
      <c r="U99" s="198"/>
    </row>
    <row r="100" spans="1:33" s="12" customFormat="1" x14ac:dyDescent="0.25">
      <c r="A100" s="214" t="s">
        <v>2255</v>
      </c>
      <c r="B100" s="64">
        <v>129.35</v>
      </c>
      <c r="C100" s="64">
        <v>72.39</v>
      </c>
      <c r="D100" s="64">
        <v>140.16999999999999</v>
      </c>
      <c r="E100" s="64">
        <v>9.98</v>
      </c>
      <c r="F100" s="64">
        <v>2.13</v>
      </c>
      <c r="G100" s="64">
        <v>199.37</v>
      </c>
      <c r="H100" s="64">
        <v>45.78</v>
      </c>
      <c r="I100" s="210" t="s">
        <v>43</v>
      </c>
      <c r="J100" s="64">
        <v>1.77</v>
      </c>
      <c r="K100" s="64">
        <v>17.079999999999998</v>
      </c>
      <c r="L100" s="64">
        <v>13.94</v>
      </c>
      <c r="M100" s="64">
        <v>89.55</v>
      </c>
      <c r="N100" s="64">
        <v>76.400000000000006</v>
      </c>
      <c r="O100" s="64">
        <v>0</v>
      </c>
      <c r="P100" s="64">
        <v>2.42</v>
      </c>
      <c r="Q100" s="64">
        <v>9.7799999999999994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2256</v>
      </c>
      <c r="B101" s="64">
        <v>140.51</v>
      </c>
      <c r="C101" s="64">
        <v>72.88</v>
      </c>
      <c r="D101" s="64">
        <v>149.38</v>
      </c>
      <c r="E101" s="64">
        <v>10.52</v>
      </c>
      <c r="F101" s="64">
        <v>2.13</v>
      </c>
      <c r="G101" s="64">
        <v>246.81</v>
      </c>
      <c r="H101" s="64">
        <v>48.03</v>
      </c>
      <c r="I101" s="210" t="s">
        <v>43</v>
      </c>
      <c r="J101" s="64">
        <v>1</v>
      </c>
      <c r="K101" s="64">
        <v>309.66000000000003</v>
      </c>
      <c r="L101" s="64">
        <v>13.65</v>
      </c>
      <c r="M101" s="64">
        <v>88.31</v>
      </c>
      <c r="N101" s="64">
        <v>76.400000000000006</v>
      </c>
      <c r="O101" s="64">
        <v>0</v>
      </c>
      <c r="P101" s="64">
        <v>2.4900000000000002</v>
      </c>
      <c r="Q101" s="64">
        <v>9.91</v>
      </c>
      <c r="R101" s="198"/>
      <c r="S101" s="198"/>
      <c r="T101" s="198"/>
      <c r="U101" s="198"/>
    </row>
    <row r="102" spans="1:33" s="12" customFormat="1" x14ac:dyDescent="0.25">
      <c r="A102" s="214" t="s">
        <v>2257</v>
      </c>
      <c r="B102" s="64">
        <v>149.21</v>
      </c>
      <c r="C102" s="64">
        <v>72.72</v>
      </c>
      <c r="D102" s="64">
        <v>156.27000000000001</v>
      </c>
      <c r="E102" s="64">
        <v>10.4</v>
      </c>
      <c r="F102" s="64">
        <v>2.13</v>
      </c>
      <c r="G102" s="64">
        <v>246.81</v>
      </c>
      <c r="H102" s="64">
        <v>48.03</v>
      </c>
      <c r="I102" s="210" t="s">
        <v>43</v>
      </c>
      <c r="J102" s="64">
        <v>0.62</v>
      </c>
      <c r="K102" s="64">
        <v>302.37</v>
      </c>
      <c r="L102" s="64">
        <v>13.44</v>
      </c>
      <c r="M102" s="64">
        <v>90.66</v>
      </c>
      <c r="N102" s="64">
        <v>76.5</v>
      </c>
      <c r="O102" s="64">
        <v>0</v>
      </c>
      <c r="P102" s="64">
        <v>2.5299999999999998</v>
      </c>
      <c r="Q102" s="64">
        <v>9.98</v>
      </c>
      <c r="R102" s="198"/>
      <c r="S102" s="198"/>
      <c r="T102" s="198"/>
      <c r="U102" s="198"/>
    </row>
    <row r="103" spans="1:33" s="12" customFormat="1" x14ac:dyDescent="0.25">
      <c r="A103" s="214" t="s">
        <v>2258</v>
      </c>
      <c r="B103" s="64">
        <v>159.91</v>
      </c>
      <c r="C103" s="64">
        <v>72.64</v>
      </c>
      <c r="D103" s="64">
        <v>164.81</v>
      </c>
      <c r="E103" s="64">
        <v>10.84</v>
      </c>
      <c r="F103" s="64">
        <v>2.13</v>
      </c>
      <c r="G103" s="64">
        <v>246.81</v>
      </c>
      <c r="H103" s="64">
        <v>48.03</v>
      </c>
      <c r="I103" s="210" t="s">
        <v>43</v>
      </c>
      <c r="J103" s="64">
        <v>1.56</v>
      </c>
      <c r="K103" s="64">
        <v>309.3</v>
      </c>
      <c r="L103" s="64">
        <v>13.36</v>
      </c>
      <c r="M103" s="64">
        <v>90.71</v>
      </c>
      <c r="N103" s="64">
        <v>76.400000000000006</v>
      </c>
      <c r="O103" s="64">
        <v>0</v>
      </c>
      <c r="P103" s="64">
        <v>2.56</v>
      </c>
      <c r="Q103" s="64">
        <v>10</v>
      </c>
      <c r="R103" s="198"/>
      <c r="S103" s="198"/>
      <c r="T103" s="198"/>
      <c r="U103" s="198"/>
    </row>
    <row r="104" spans="1:33" s="12" customFormat="1" x14ac:dyDescent="0.25">
      <c r="A104" s="214" t="s">
        <v>2259</v>
      </c>
      <c r="B104" s="64">
        <v>170.25</v>
      </c>
      <c r="C104" s="64">
        <v>72.84</v>
      </c>
      <c r="D104" s="64">
        <v>173.21</v>
      </c>
      <c r="E104" s="64">
        <v>8.5299999999999994</v>
      </c>
      <c r="F104" s="64">
        <v>2.13</v>
      </c>
      <c r="G104" s="64">
        <v>221.53</v>
      </c>
      <c r="H104" s="64">
        <v>49.34</v>
      </c>
      <c r="I104" s="210" t="s">
        <v>43</v>
      </c>
      <c r="J104" s="64">
        <v>0.51</v>
      </c>
      <c r="K104" s="64">
        <v>86.11</v>
      </c>
      <c r="L104" s="64">
        <v>13.19</v>
      </c>
      <c r="M104" s="64">
        <v>91.04</v>
      </c>
      <c r="N104" s="64">
        <v>76.400000000000006</v>
      </c>
      <c r="O104" s="64">
        <v>0</v>
      </c>
      <c r="P104" s="64">
        <v>2.58</v>
      </c>
      <c r="Q104" s="64">
        <v>10.07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6.42</v>
      </c>
      <c r="C106" s="67">
        <f>MIN(C9:C104)</f>
        <v>54.4</v>
      </c>
      <c r="D106" s="67">
        <f t="shared" ref="D106:Q106" si="0">MIN(D9:D104)</f>
        <v>44.7</v>
      </c>
      <c r="E106" s="67">
        <f t="shared" si="0"/>
        <v>4.28</v>
      </c>
      <c r="F106" s="67">
        <f t="shared" si="0"/>
        <v>2.13</v>
      </c>
      <c r="G106" s="67">
        <f t="shared" si="0"/>
        <v>54.16</v>
      </c>
      <c r="H106" s="67">
        <f t="shared" si="0"/>
        <v>28.84</v>
      </c>
      <c r="I106" s="67">
        <f t="shared" si="0"/>
        <v>0</v>
      </c>
      <c r="J106" s="67">
        <f t="shared" si="0"/>
        <v>0.2</v>
      </c>
      <c r="K106" s="67">
        <f t="shared" si="0"/>
        <v>1.71</v>
      </c>
      <c r="L106" s="67">
        <f t="shared" si="0"/>
        <v>9.66</v>
      </c>
      <c r="M106" s="67">
        <f t="shared" si="0"/>
        <v>29.79</v>
      </c>
      <c r="N106" s="67">
        <f t="shared" si="0"/>
        <v>75.400000000000006</v>
      </c>
      <c r="O106" s="67">
        <f t="shared" si="0"/>
        <v>0</v>
      </c>
      <c r="P106" s="67">
        <f t="shared" si="0"/>
        <v>0.83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170.52</v>
      </c>
      <c r="C107" s="66">
        <f t="shared" ref="C107:Q107" si="1">MAX(C9:C104)</f>
        <v>81.319999999999993</v>
      </c>
      <c r="D107" s="66">
        <f t="shared" si="1"/>
        <v>173.21</v>
      </c>
      <c r="E107" s="66">
        <f t="shared" si="1"/>
        <v>10.84</v>
      </c>
      <c r="F107" s="66">
        <f t="shared" si="1"/>
        <v>2.13</v>
      </c>
      <c r="G107" s="66">
        <f t="shared" si="1"/>
        <v>246.81</v>
      </c>
      <c r="H107" s="66">
        <f t="shared" si="1"/>
        <v>49.34</v>
      </c>
      <c r="I107" s="66">
        <f t="shared" si="1"/>
        <v>0</v>
      </c>
      <c r="J107" s="66">
        <f t="shared" si="1"/>
        <v>2.99</v>
      </c>
      <c r="K107" s="66">
        <f t="shared" si="1"/>
        <v>357.9</v>
      </c>
      <c r="L107" s="66">
        <f t="shared" si="1"/>
        <v>28.12</v>
      </c>
      <c r="M107" s="66">
        <f t="shared" si="1"/>
        <v>100.22</v>
      </c>
      <c r="N107" s="66">
        <f t="shared" si="1"/>
        <v>685.1</v>
      </c>
      <c r="O107" s="66">
        <f t="shared" si="1"/>
        <v>0</v>
      </c>
      <c r="P107" s="66">
        <f t="shared" si="1"/>
        <v>2.58</v>
      </c>
      <c r="Q107" s="66">
        <f t="shared" si="1"/>
        <v>10.19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81.129166666666649</v>
      </c>
      <c r="C108" s="67">
        <f t="shared" ref="C108:Q108" si="2">AVERAGE(C9:C104)</f>
        <v>70.002916666666678</v>
      </c>
      <c r="D108" s="67">
        <f t="shared" si="2"/>
        <v>100.25666666666662</v>
      </c>
      <c r="E108" s="67">
        <f t="shared" si="2"/>
        <v>7.0172916666666652</v>
      </c>
      <c r="F108" s="67">
        <f t="shared" si="2"/>
        <v>2.1299999999999972</v>
      </c>
      <c r="G108" s="67">
        <f t="shared" si="2"/>
        <v>110.17979166666667</v>
      </c>
      <c r="H108" s="67">
        <f t="shared" si="2"/>
        <v>35.413437500000001</v>
      </c>
      <c r="I108" s="67" t="e">
        <f t="shared" si="2"/>
        <v>#DIV/0!</v>
      </c>
      <c r="J108" s="67">
        <f t="shared" si="2"/>
        <v>1.4229166666666668</v>
      </c>
      <c r="K108" s="67">
        <f t="shared" si="2"/>
        <v>246.90937500000004</v>
      </c>
      <c r="L108" s="67">
        <f t="shared" si="2"/>
        <v>17.789270833333337</v>
      </c>
      <c r="M108" s="67">
        <f t="shared" si="2"/>
        <v>63.443645833333342</v>
      </c>
      <c r="N108" s="67">
        <f t="shared" si="2"/>
        <v>218.35937500000014</v>
      </c>
      <c r="O108" s="67">
        <f t="shared" si="2"/>
        <v>0</v>
      </c>
      <c r="P108" s="67">
        <f t="shared" si="2"/>
        <v>1.3682291666666673</v>
      </c>
      <c r="Q108" s="67">
        <f t="shared" si="2"/>
        <v>9.1979166666666767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50.844352347276917</v>
      </c>
      <c r="C109" s="67">
        <f t="shared" ref="C109:Q109" si="3">STDEV(C9:C104)</f>
        <v>8.705409318550581</v>
      </c>
      <c r="D109" s="67">
        <f t="shared" si="3"/>
        <v>37.634245006283685</v>
      </c>
      <c r="E109" s="67">
        <f t="shared" si="3"/>
        <v>1.4605316113386062</v>
      </c>
      <c r="F109" s="67">
        <f t="shared" si="3"/>
        <v>2.678522416932523E-15</v>
      </c>
      <c r="G109" s="67">
        <f t="shared" si="3"/>
        <v>40.401758819952562</v>
      </c>
      <c r="H109" s="67">
        <f t="shared" si="3"/>
        <v>5.3525503666599894</v>
      </c>
      <c r="I109" s="67" t="e">
        <f t="shared" si="3"/>
        <v>#DIV/0!</v>
      </c>
      <c r="J109" s="67">
        <f t="shared" si="3"/>
        <v>0.58134493188171943</v>
      </c>
      <c r="K109" s="67">
        <f t="shared" si="3"/>
        <v>109.66074707994453</v>
      </c>
      <c r="L109" s="67">
        <f t="shared" si="3"/>
        <v>6.2798225326569943</v>
      </c>
      <c r="M109" s="67">
        <f t="shared" si="3"/>
        <v>25.250099410738848</v>
      </c>
      <c r="N109" s="67">
        <f t="shared" si="3"/>
        <v>222.28146433040345</v>
      </c>
      <c r="O109" s="67">
        <f t="shared" si="3"/>
        <v>0</v>
      </c>
      <c r="P109" s="67">
        <f t="shared" si="3"/>
        <v>0.4764009695329432</v>
      </c>
      <c r="Q109" s="67">
        <f t="shared" si="3"/>
        <v>0.79923109979354057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2260</v>
      </c>
      <c r="B9" s="64">
        <v>177.04</v>
      </c>
      <c r="C9" s="64">
        <v>73.22</v>
      </c>
      <c r="D9" s="64">
        <v>178.85</v>
      </c>
      <c r="E9" s="64">
        <v>8.6199999999999992</v>
      </c>
      <c r="F9" s="64">
        <v>2.13</v>
      </c>
      <c r="G9" s="64">
        <v>191.33</v>
      </c>
      <c r="H9" s="64">
        <v>50.97</v>
      </c>
      <c r="I9" s="210" t="s">
        <v>43</v>
      </c>
      <c r="J9" s="64">
        <v>1.76</v>
      </c>
      <c r="K9" s="64">
        <v>288.16000000000003</v>
      </c>
      <c r="L9" s="64">
        <v>13.01</v>
      </c>
      <c r="M9" s="64">
        <v>92.64</v>
      </c>
      <c r="N9" s="64">
        <v>76.400000000000006</v>
      </c>
      <c r="O9" s="64">
        <v>0</v>
      </c>
      <c r="P9" s="64">
        <v>2.59</v>
      </c>
      <c r="Q9" s="64">
        <v>10.15</v>
      </c>
      <c r="R9" s="198"/>
      <c r="S9" s="198"/>
      <c r="T9" s="198"/>
      <c r="U9" s="198"/>
    </row>
    <row r="10" spans="1:21" s="12" customFormat="1" x14ac:dyDescent="0.25">
      <c r="A10" s="214" t="s">
        <v>2261</v>
      </c>
      <c r="B10" s="64">
        <v>181.1</v>
      </c>
      <c r="C10" s="64">
        <v>72.400000000000006</v>
      </c>
      <c r="D10" s="64">
        <v>181.68</v>
      </c>
      <c r="E10" s="64">
        <v>8.64</v>
      </c>
      <c r="F10" s="64">
        <v>2.13</v>
      </c>
      <c r="G10" s="64">
        <v>191.33</v>
      </c>
      <c r="H10" s="64">
        <v>50.97</v>
      </c>
      <c r="I10" s="210" t="s">
        <v>43</v>
      </c>
      <c r="J10" s="64">
        <v>1.8</v>
      </c>
      <c r="K10" s="64">
        <v>283.45</v>
      </c>
      <c r="L10" s="64">
        <v>12.92</v>
      </c>
      <c r="M10" s="64">
        <v>92.91</v>
      </c>
      <c r="N10" s="64">
        <v>76.400000000000006</v>
      </c>
      <c r="O10" s="64">
        <v>0</v>
      </c>
      <c r="P10" s="64">
        <v>2.57</v>
      </c>
      <c r="Q10" s="64">
        <v>10.210000000000001</v>
      </c>
      <c r="R10" s="198"/>
      <c r="S10" s="198"/>
      <c r="T10" s="198"/>
      <c r="U10" s="198"/>
    </row>
    <row r="11" spans="1:21" s="12" customFormat="1" x14ac:dyDescent="0.25">
      <c r="A11" s="214" t="s">
        <v>2262</v>
      </c>
      <c r="B11" s="64">
        <v>182.34</v>
      </c>
      <c r="C11" s="64">
        <v>71.41</v>
      </c>
      <c r="D11" s="64">
        <v>182.16</v>
      </c>
      <c r="E11" s="64">
        <v>8.84</v>
      </c>
      <c r="F11" s="64">
        <v>2.13</v>
      </c>
      <c r="G11" s="64">
        <v>191.33</v>
      </c>
      <c r="H11" s="64">
        <v>50.97</v>
      </c>
      <c r="I11" s="210" t="s">
        <v>43</v>
      </c>
      <c r="J11" s="64">
        <v>1.1499999999999999</v>
      </c>
      <c r="K11" s="64">
        <v>279.97000000000003</v>
      </c>
      <c r="L11" s="64">
        <v>12.85</v>
      </c>
      <c r="M11" s="64">
        <v>92.97</v>
      </c>
      <c r="N11" s="64">
        <v>76.3</v>
      </c>
      <c r="O11" s="64">
        <v>0</v>
      </c>
      <c r="P11" s="64">
        <v>2.5499999999999998</v>
      </c>
      <c r="Q11" s="64">
        <v>10.23</v>
      </c>
      <c r="R11" s="198"/>
      <c r="S11" s="198"/>
      <c r="T11" s="198"/>
      <c r="U11" s="198"/>
    </row>
    <row r="12" spans="1:21" s="12" customFormat="1" x14ac:dyDescent="0.25">
      <c r="A12" s="214" t="s">
        <v>2263</v>
      </c>
      <c r="B12" s="64">
        <v>181.1</v>
      </c>
      <c r="C12" s="64">
        <v>67.64</v>
      </c>
      <c r="D12" s="64">
        <v>179.19</v>
      </c>
      <c r="E12" s="64">
        <v>8.07</v>
      </c>
      <c r="F12" s="64">
        <v>2.13</v>
      </c>
      <c r="G12" s="64">
        <v>173.78</v>
      </c>
      <c r="H12" s="64">
        <v>50.16</v>
      </c>
      <c r="I12" s="210" t="s">
        <v>43</v>
      </c>
      <c r="J12" s="64">
        <v>0.6</v>
      </c>
      <c r="K12" s="64">
        <v>287.16000000000003</v>
      </c>
      <c r="L12" s="64">
        <v>12.74</v>
      </c>
      <c r="M12" s="64">
        <v>93.83</v>
      </c>
      <c r="N12" s="64">
        <v>76.5</v>
      </c>
      <c r="O12" s="64">
        <v>0</v>
      </c>
      <c r="P12" s="64">
        <v>2.5</v>
      </c>
      <c r="Q12" s="64">
        <v>10.220000000000001</v>
      </c>
      <c r="R12" s="198"/>
      <c r="S12" s="198"/>
      <c r="T12" s="198"/>
      <c r="U12" s="198"/>
    </row>
    <row r="13" spans="1:21" s="12" customFormat="1" x14ac:dyDescent="0.25">
      <c r="A13" s="214" t="s">
        <v>2264</v>
      </c>
      <c r="B13" s="64">
        <v>179.02</v>
      </c>
      <c r="C13" s="64">
        <v>66.239999999999995</v>
      </c>
      <c r="D13" s="64">
        <v>176.79</v>
      </c>
      <c r="E13" s="64">
        <v>8.42</v>
      </c>
      <c r="F13" s="64">
        <v>2.13</v>
      </c>
      <c r="G13" s="64">
        <v>152.81</v>
      </c>
      <c r="H13" s="64">
        <v>49.19</v>
      </c>
      <c r="I13" s="210" t="s">
        <v>43</v>
      </c>
      <c r="J13" s="64">
        <v>1.75</v>
      </c>
      <c r="K13" s="64">
        <v>287.52999999999997</v>
      </c>
      <c r="L13" s="64">
        <v>12.63</v>
      </c>
      <c r="M13" s="64">
        <v>94.1</v>
      </c>
      <c r="N13" s="64">
        <v>76.5</v>
      </c>
      <c r="O13" s="64">
        <v>0</v>
      </c>
      <c r="P13" s="64">
        <v>2.15</v>
      </c>
      <c r="Q13" s="64">
        <v>10.210000000000001</v>
      </c>
      <c r="R13" s="198"/>
      <c r="S13" s="198"/>
      <c r="T13" s="198"/>
      <c r="U13" s="198"/>
    </row>
    <row r="14" spans="1:21" s="12" customFormat="1" x14ac:dyDescent="0.25">
      <c r="A14" s="214" t="s">
        <v>2265</v>
      </c>
      <c r="B14" s="64">
        <v>176.75</v>
      </c>
      <c r="C14" s="64">
        <v>66.13</v>
      </c>
      <c r="D14" s="64">
        <v>174.91</v>
      </c>
      <c r="E14" s="64">
        <v>8.3699999999999992</v>
      </c>
      <c r="F14" s="64">
        <v>2.13</v>
      </c>
      <c r="G14" s="64">
        <v>152.81</v>
      </c>
      <c r="H14" s="64">
        <v>49.19</v>
      </c>
      <c r="I14" s="210" t="s">
        <v>43</v>
      </c>
      <c r="J14" s="64">
        <v>0.89</v>
      </c>
      <c r="K14" s="64">
        <v>134.08000000000001</v>
      </c>
      <c r="L14" s="64">
        <v>12.46</v>
      </c>
      <c r="M14" s="64">
        <v>96.36</v>
      </c>
      <c r="N14" s="64">
        <v>76.400000000000006</v>
      </c>
      <c r="O14" s="64">
        <v>0</v>
      </c>
      <c r="P14" s="64">
        <v>2.21</v>
      </c>
      <c r="Q14" s="64">
        <v>10.19</v>
      </c>
      <c r="R14" s="198"/>
      <c r="S14" s="198"/>
      <c r="T14" s="198"/>
      <c r="U14" s="198"/>
    </row>
    <row r="15" spans="1:21" s="12" customFormat="1" x14ac:dyDescent="0.25">
      <c r="A15" s="214" t="s">
        <v>2266</v>
      </c>
      <c r="B15" s="64">
        <v>174.71</v>
      </c>
      <c r="C15" s="64">
        <v>65.34</v>
      </c>
      <c r="D15" s="64">
        <v>172.86</v>
      </c>
      <c r="E15" s="64">
        <v>8.34</v>
      </c>
      <c r="F15" s="64">
        <v>2.13</v>
      </c>
      <c r="G15" s="64">
        <v>152.81</v>
      </c>
      <c r="H15" s="64">
        <v>49.19</v>
      </c>
      <c r="I15" s="210" t="s">
        <v>43</v>
      </c>
      <c r="J15" s="64">
        <v>1.38</v>
      </c>
      <c r="K15" s="64">
        <v>313.17</v>
      </c>
      <c r="L15" s="64">
        <v>12.37</v>
      </c>
      <c r="M15" s="64">
        <v>96.49</v>
      </c>
      <c r="N15" s="64">
        <v>76.5</v>
      </c>
      <c r="O15" s="64">
        <v>0</v>
      </c>
      <c r="P15" s="64">
        <v>2.1800000000000002</v>
      </c>
      <c r="Q15" s="64">
        <v>10.16</v>
      </c>
      <c r="R15" s="198"/>
      <c r="S15" s="198"/>
      <c r="T15" s="198"/>
      <c r="U15" s="198"/>
    </row>
    <row r="16" spans="1:21" s="12" customFormat="1" x14ac:dyDescent="0.25">
      <c r="A16" s="214" t="s">
        <v>2267</v>
      </c>
      <c r="B16" s="64">
        <v>172.98</v>
      </c>
      <c r="C16" s="64">
        <v>64.849999999999994</v>
      </c>
      <c r="D16" s="64">
        <v>171.22</v>
      </c>
      <c r="E16" s="64">
        <v>8.18</v>
      </c>
      <c r="F16" s="64">
        <v>2.13</v>
      </c>
      <c r="G16" s="64">
        <v>142.9</v>
      </c>
      <c r="H16" s="64">
        <v>48.15</v>
      </c>
      <c r="I16" s="210" t="s">
        <v>43</v>
      </c>
      <c r="J16" s="64">
        <v>0.16</v>
      </c>
      <c r="K16" s="64">
        <v>151.61000000000001</v>
      </c>
      <c r="L16" s="64">
        <v>12.19</v>
      </c>
      <c r="M16" s="64">
        <v>98.28</v>
      </c>
      <c r="N16" s="64">
        <v>76.3</v>
      </c>
      <c r="O16" s="64">
        <v>0</v>
      </c>
      <c r="P16" s="64">
        <v>2.14</v>
      </c>
      <c r="Q16" s="64">
        <v>10.15</v>
      </c>
      <c r="R16" s="198"/>
      <c r="S16" s="198"/>
      <c r="T16" s="198"/>
      <c r="U16" s="198"/>
    </row>
    <row r="17" spans="1:21" s="12" customFormat="1" x14ac:dyDescent="0.25">
      <c r="A17" s="214" t="s">
        <v>2268</v>
      </c>
      <c r="B17" s="64">
        <v>171.49</v>
      </c>
      <c r="C17" s="64">
        <v>63.5</v>
      </c>
      <c r="D17" s="64">
        <v>169.32</v>
      </c>
      <c r="E17" s="64">
        <v>8.48</v>
      </c>
      <c r="F17" s="64">
        <v>2.13</v>
      </c>
      <c r="G17" s="64">
        <v>131.05000000000001</v>
      </c>
      <c r="H17" s="64">
        <v>46.85</v>
      </c>
      <c r="I17" s="210" t="s">
        <v>43</v>
      </c>
      <c r="J17" s="64">
        <v>1.2</v>
      </c>
      <c r="K17" s="64">
        <v>313.14999999999998</v>
      </c>
      <c r="L17" s="64">
        <v>12.27</v>
      </c>
      <c r="M17" s="64">
        <v>100.71</v>
      </c>
      <c r="N17" s="64">
        <v>76.099999999999994</v>
      </c>
      <c r="O17" s="64">
        <v>0</v>
      </c>
      <c r="P17" s="64">
        <v>2.13</v>
      </c>
      <c r="Q17" s="64">
        <v>10.16</v>
      </c>
      <c r="R17" s="198"/>
      <c r="S17" s="198"/>
      <c r="T17" s="198"/>
      <c r="U17" s="198"/>
    </row>
    <row r="18" spans="1:21" s="12" customFormat="1" x14ac:dyDescent="0.25">
      <c r="A18" s="214" t="s">
        <v>2269</v>
      </c>
      <c r="B18" s="64">
        <v>168.79</v>
      </c>
      <c r="C18" s="64">
        <v>62.42</v>
      </c>
      <c r="D18" s="64">
        <v>166.6</v>
      </c>
      <c r="E18" s="64">
        <v>8.08</v>
      </c>
      <c r="F18" s="64">
        <v>2.13</v>
      </c>
      <c r="G18" s="64">
        <v>131.05000000000001</v>
      </c>
      <c r="H18" s="64">
        <v>46.85</v>
      </c>
      <c r="I18" s="210" t="s">
        <v>43</v>
      </c>
      <c r="J18" s="64">
        <v>0.68</v>
      </c>
      <c r="K18" s="64">
        <v>266.39</v>
      </c>
      <c r="L18" s="64">
        <v>12.46</v>
      </c>
      <c r="M18" s="64">
        <v>99.43</v>
      </c>
      <c r="N18" s="64">
        <v>76.3</v>
      </c>
      <c r="O18" s="64">
        <v>0</v>
      </c>
      <c r="P18" s="64">
        <v>2.12</v>
      </c>
      <c r="Q18" s="64">
        <v>10.15</v>
      </c>
      <c r="R18" s="198"/>
      <c r="S18" s="198"/>
      <c r="T18" s="198"/>
      <c r="U18" s="198"/>
    </row>
    <row r="19" spans="1:21" s="12" customFormat="1" x14ac:dyDescent="0.25">
      <c r="A19" s="214" t="s">
        <v>2270</v>
      </c>
      <c r="B19" s="64">
        <v>165.23</v>
      </c>
      <c r="C19" s="64">
        <v>61.74</v>
      </c>
      <c r="D19" s="64">
        <v>163.38</v>
      </c>
      <c r="E19" s="64">
        <v>8.35</v>
      </c>
      <c r="F19" s="64">
        <v>2.13</v>
      </c>
      <c r="G19" s="64">
        <v>131.05000000000001</v>
      </c>
      <c r="H19" s="64">
        <v>46.85</v>
      </c>
      <c r="I19" s="210" t="s">
        <v>43</v>
      </c>
      <c r="J19" s="64">
        <v>0.83</v>
      </c>
      <c r="K19" s="64">
        <v>206.79</v>
      </c>
      <c r="L19" s="64">
        <v>12.46</v>
      </c>
      <c r="M19" s="64">
        <v>98.74</v>
      </c>
      <c r="N19" s="64">
        <v>76.3</v>
      </c>
      <c r="O19" s="64">
        <v>0</v>
      </c>
      <c r="P19" s="64">
        <v>2.1</v>
      </c>
      <c r="Q19" s="64">
        <v>10.130000000000001</v>
      </c>
      <c r="R19" s="198"/>
      <c r="S19" s="198"/>
      <c r="T19" s="198"/>
      <c r="U19" s="198"/>
    </row>
    <row r="20" spans="1:21" s="12" customFormat="1" x14ac:dyDescent="0.25">
      <c r="A20" s="214" t="s">
        <v>2271</v>
      </c>
      <c r="B20" s="64">
        <v>162.19</v>
      </c>
      <c r="C20" s="64">
        <v>62.31</v>
      </c>
      <c r="D20" s="64">
        <v>161.24</v>
      </c>
      <c r="E20" s="64">
        <v>8.65</v>
      </c>
      <c r="F20" s="64">
        <v>2.13</v>
      </c>
      <c r="G20" s="64">
        <v>129.69</v>
      </c>
      <c r="H20" s="64">
        <v>47.93</v>
      </c>
      <c r="I20" s="210" t="s">
        <v>43</v>
      </c>
      <c r="J20" s="64">
        <v>0.32</v>
      </c>
      <c r="K20" s="64">
        <v>184.05</v>
      </c>
      <c r="L20" s="64">
        <v>12.37</v>
      </c>
      <c r="M20" s="64">
        <v>98.05</v>
      </c>
      <c r="N20" s="64">
        <v>76.400000000000006</v>
      </c>
      <c r="O20" s="64">
        <v>0</v>
      </c>
      <c r="P20" s="64">
        <v>2.11</v>
      </c>
      <c r="Q20" s="64">
        <v>10.119999999999999</v>
      </c>
      <c r="R20" s="198"/>
      <c r="S20" s="198"/>
      <c r="T20" s="198"/>
      <c r="U20" s="198"/>
    </row>
    <row r="21" spans="1:21" s="12" customFormat="1" x14ac:dyDescent="0.25">
      <c r="A21" s="214" t="s">
        <v>2272</v>
      </c>
      <c r="B21" s="64">
        <v>159.5</v>
      </c>
      <c r="C21" s="64">
        <v>61.67</v>
      </c>
      <c r="D21" s="64">
        <v>158.75</v>
      </c>
      <c r="E21" s="64">
        <v>8.24</v>
      </c>
      <c r="F21" s="64">
        <v>2.13</v>
      </c>
      <c r="G21" s="64">
        <v>128.07</v>
      </c>
      <c r="H21" s="64">
        <v>49.21</v>
      </c>
      <c r="I21" s="210" t="s">
        <v>43</v>
      </c>
      <c r="J21" s="64">
        <v>0.87</v>
      </c>
      <c r="K21" s="64">
        <v>298.3</v>
      </c>
      <c r="L21" s="64">
        <v>12.21</v>
      </c>
      <c r="M21" s="64">
        <v>99.35</v>
      </c>
      <c r="N21" s="64">
        <v>76.599999999999994</v>
      </c>
      <c r="O21" s="64">
        <v>0</v>
      </c>
      <c r="P21" s="64">
        <v>2.1</v>
      </c>
      <c r="Q21" s="64">
        <v>10.08</v>
      </c>
      <c r="R21" s="198"/>
      <c r="S21" s="198"/>
      <c r="T21" s="198"/>
      <c r="U21" s="198"/>
    </row>
    <row r="22" spans="1:21" s="12" customFormat="1" x14ac:dyDescent="0.25">
      <c r="A22" s="214" t="s">
        <v>2273</v>
      </c>
      <c r="B22" s="64">
        <v>156.53</v>
      </c>
      <c r="C22" s="64">
        <v>60.77</v>
      </c>
      <c r="D22" s="64">
        <v>155.9</v>
      </c>
      <c r="E22" s="64">
        <v>8.69</v>
      </c>
      <c r="F22" s="64">
        <v>2.13</v>
      </c>
      <c r="G22" s="64">
        <v>128.07</v>
      </c>
      <c r="H22" s="64">
        <v>49.21</v>
      </c>
      <c r="I22" s="210" t="s">
        <v>43</v>
      </c>
      <c r="J22" s="64">
        <v>1.77</v>
      </c>
      <c r="K22" s="64">
        <v>19.440000000000001</v>
      </c>
      <c r="L22" s="64">
        <v>11.98</v>
      </c>
      <c r="M22" s="64">
        <v>100.68</v>
      </c>
      <c r="N22" s="64">
        <v>76.599999999999994</v>
      </c>
      <c r="O22" s="64">
        <v>0</v>
      </c>
      <c r="P22" s="64">
        <v>2.1</v>
      </c>
      <c r="Q22" s="64">
        <v>10.09</v>
      </c>
      <c r="R22" s="198"/>
      <c r="S22" s="198"/>
      <c r="T22" s="198"/>
      <c r="U22" s="198"/>
    </row>
    <row r="23" spans="1:21" s="12" customFormat="1" x14ac:dyDescent="0.25">
      <c r="A23" s="214" t="s">
        <v>2274</v>
      </c>
      <c r="B23" s="64">
        <v>154.04</v>
      </c>
      <c r="C23" s="64">
        <v>59.96</v>
      </c>
      <c r="D23" s="64">
        <v>153.47999999999999</v>
      </c>
      <c r="E23" s="64">
        <v>8.67</v>
      </c>
      <c r="F23" s="64">
        <v>2.13</v>
      </c>
      <c r="G23" s="64">
        <v>128.07</v>
      </c>
      <c r="H23" s="64">
        <v>49.21</v>
      </c>
      <c r="I23" s="210" t="s">
        <v>43</v>
      </c>
      <c r="J23" s="64">
        <v>0.9</v>
      </c>
      <c r="K23" s="64">
        <v>267.58</v>
      </c>
      <c r="L23" s="64">
        <v>11.89</v>
      </c>
      <c r="M23" s="64">
        <v>101.42</v>
      </c>
      <c r="N23" s="64">
        <v>76.400000000000006</v>
      </c>
      <c r="O23" s="64">
        <v>0</v>
      </c>
      <c r="P23" s="64">
        <v>2.1</v>
      </c>
      <c r="Q23" s="64">
        <v>10.1</v>
      </c>
      <c r="R23" s="198"/>
      <c r="S23" s="198"/>
      <c r="T23" s="198"/>
      <c r="U23" s="198"/>
    </row>
    <row r="24" spans="1:21" s="12" customFormat="1" x14ac:dyDescent="0.25">
      <c r="A24" s="214" t="s">
        <v>2275</v>
      </c>
      <c r="B24" s="64">
        <v>152.56</v>
      </c>
      <c r="C24" s="64">
        <v>59.36</v>
      </c>
      <c r="D24" s="64">
        <v>151.97999999999999</v>
      </c>
      <c r="E24" s="64">
        <v>8.99</v>
      </c>
      <c r="F24" s="64">
        <v>2.13</v>
      </c>
      <c r="G24" s="64">
        <v>146.71</v>
      </c>
      <c r="H24" s="64">
        <v>51.2</v>
      </c>
      <c r="I24" s="210" t="s">
        <v>43</v>
      </c>
      <c r="J24" s="64">
        <v>1.28</v>
      </c>
      <c r="K24" s="64">
        <v>287.52</v>
      </c>
      <c r="L24" s="64">
        <v>11.72</v>
      </c>
      <c r="M24" s="64">
        <v>100.66</v>
      </c>
      <c r="N24" s="64">
        <v>76.599999999999994</v>
      </c>
      <c r="O24" s="64">
        <v>0</v>
      </c>
      <c r="P24" s="64">
        <v>2.09</v>
      </c>
      <c r="Q24" s="64">
        <v>10.06</v>
      </c>
      <c r="R24" s="198"/>
      <c r="S24" s="198"/>
      <c r="T24" s="198"/>
      <c r="U24" s="198"/>
    </row>
    <row r="25" spans="1:21" s="12" customFormat="1" x14ac:dyDescent="0.25">
      <c r="A25" s="214" t="s">
        <v>2276</v>
      </c>
      <c r="B25" s="64">
        <v>150.46</v>
      </c>
      <c r="C25" s="64">
        <v>58.67</v>
      </c>
      <c r="D25" s="64">
        <v>149.93</v>
      </c>
      <c r="E25" s="64">
        <v>8.91</v>
      </c>
      <c r="F25" s="64">
        <v>2.13</v>
      </c>
      <c r="G25" s="64">
        <v>168.98</v>
      </c>
      <c r="H25" s="64">
        <v>53.58</v>
      </c>
      <c r="I25" s="210" t="s">
        <v>43</v>
      </c>
      <c r="J25" s="64">
        <v>1.69</v>
      </c>
      <c r="K25" s="64">
        <v>324.99</v>
      </c>
      <c r="L25" s="64">
        <v>11.36</v>
      </c>
      <c r="M25" s="64">
        <v>100.4</v>
      </c>
      <c r="N25" s="64">
        <v>76.7</v>
      </c>
      <c r="O25" s="64">
        <v>0</v>
      </c>
      <c r="P25" s="64">
        <v>2.06</v>
      </c>
      <c r="Q25" s="64">
        <v>10.1</v>
      </c>
      <c r="R25" s="198"/>
      <c r="S25" s="198"/>
      <c r="T25" s="198"/>
      <c r="U25" s="198"/>
    </row>
    <row r="26" spans="1:21" s="12" customFormat="1" x14ac:dyDescent="0.25">
      <c r="A26" s="214" t="s">
        <v>2277</v>
      </c>
      <c r="B26" s="64">
        <v>147.96</v>
      </c>
      <c r="C26" s="64">
        <v>58.28</v>
      </c>
      <c r="D26" s="64">
        <v>147.72</v>
      </c>
      <c r="E26" s="64">
        <v>8.9700000000000006</v>
      </c>
      <c r="F26" s="64">
        <v>2.13</v>
      </c>
      <c r="G26" s="64">
        <v>168.98</v>
      </c>
      <c r="H26" s="64">
        <v>53.58</v>
      </c>
      <c r="I26" s="210" t="s">
        <v>43</v>
      </c>
      <c r="J26" s="64">
        <v>1.58</v>
      </c>
      <c r="K26" s="64">
        <v>253.45</v>
      </c>
      <c r="L26" s="64">
        <v>11.11</v>
      </c>
      <c r="M26" s="64">
        <v>101.6</v>
      </c>
      <c r="N26" s="64">
        <v>76.599999999999994</v>
      </c>
      <c r="O26" s="64">
        <v>0</v>
      </c>
      <c r="P26" s="64">
        <v>2.02</v>
      </c>
      <c r="Q26" s="64">
        <v>10.06</v>
      </c>
      <c r="R26" s="198"/>
      <c r="S26" s="198"/>
      <c r="T26" s="198"/>
      <c r="U26" s="198"/>
    </row>
    <row r="27" spans="1:21" s="12" customFormat="1" x14ac:dyDescent="0.25">
      <c r="A27" s="214" t="s">
        <v>2278</v>
      </c>
      <c r="B27" s="64">
        <v>144.44999999999999</v>
      </c>
      <c r="C27" s="64">
        <v>58.49</v>
      </c>
      <c r="D27" s="64">
        <v>145.02000000000001</v>
      </c>
      <c r="E27" s="64">
        <v>8.69</v>
      </c>
      <c r="F27" s="64">
        <v>2.13</v>
      </c>
      <c r="G27" s="64">
        <v>168.98</v>
      </c>
      <c r="H27" s="64">
        <v>53.58</v>
      </c>
      <c r="I27" s="210" t="s">
        <v>43</v>
      </c>
      <c r="J27" s="64">
        <v>1.46</v>
      </c>
      <c r="K27" s="64">
        <v>249.45</v>
      </c>
      <c r="L27" s="64">
        <v>11.13</v>
      </c>
      <c r="M27" s="64">
        <v>101.43</v>
      </c>
      <c r="N27" s="64">
        <v>76.7</v>
      </c>
      <c r="O27" s="64">
        <v>0</v>
      </c>
      <c r="P27" s="64">
        <v>1.97</v>
      </c>
      <c r="Q27" s="64">
        <v>10.01</v>
      </c>
      <c r="R27" s="198"/>
      <c r="S27" s="198"/>
      <c r="T27" s="198"/>
      <c r="U27" s="198"/>
    </row>
    <row r="28" spans="1:21" s="12" customFormat="1" x14ac:dyDescent="0.25">
      <c r="A28" s="214" t="s">
        <v>2279</v>
      </c>
      <c r="B28" s="64">
        <v>141.26</v>
      </c>
      <c r="C28" s="64">
        <v>58.29</v>
      </c>
      <c r="D28" s="64">
        <v>142.36000000000001</v>
      </c>
      <c r="E28" s="64">
        <v>8.51</v>
      </c>
      <c r="F28" s="64">
        <v>2.13</v>
      </c>
      <c r="G28" s="64">
        <v>145.96</v>
      </c>
      <c r="H28" s="64">
        <v>50.61</v>
      </c>
      <c r="I28" s="210" t="s">
        <v>43</v>
      </c>
      <c r="J28" s="64">
        <v>1.3</v>
      </c>
      <c r="K28" s="64">
        <v>331.39</v>
      </c>
      <c r="L28" s="64">
        <v>10.86</v>
      </c>
      <c r="M28" s="64">
        <v>103.19</v>
      </c>
      <c r="N28" s="64">
        <v>76.7</v>
      </c>
      <c r="O28" s="64">
        <v>0</v>
      </c>
      <c r="P28" s="64">
        <v>1.89</v>
      </c>
      <c r="Q28" s="64">
        <v>10.01</v>
      </c>
      <c r="R28" s="198"/>
      <c r="S28" s="198"/>
      <c r="T28" s="198"/>
      <c r="U28" s="198"/>
    </row>
    <row r="29" spans="1:21" s="12" customFormat="1" x14ac:dyDescent="0.25">
      <c r="A29" s="214" t="s">
        <v>2280</v>
      </c>
      <c r="B29" s="64">
        <v>140.44999999999999</v>
      </c>
      <c r="C29" s="64">
        <v>54.7</v>
      </c>
      <c r="D29" s="64">
        <v>139.83000000000001</v>
      </c>
      <c r="E29" s="64">
        <v>8.09</v>
      </c>
      <c r="F29" s="64">
        <v>2.13</v>
      </c>
      <c r="G29" s="64">
        <v>118.46</v>
      </c>
      <c r="H29" s="64">
        <v>47.07</v>
      </c>
      <c r="I29" s="210" t="s">
        <v>43</v>
      </c>
      <c r="J29" s="64">
        <v>1.79</v>
      </c>
      <c r="K29" s="64">
        <v>290.92</v>
      </c>
      <c r="L29" s="64">
        <v>10.75</v>
      </c>
      <c r="M29" s="64">
        <v>103.6</v>
      </c>
      <c r="N29" s="64">
        <v>76.7</v>
      </c>
      <c r="O29" s="64">
        <v>0</v>
      </c>
      <c r="P29" s="64">
        <v>1.86</v>
      </c>
      <c r="Q29" s="64">
        <v>10</v>
      </c>
      <c r="R29" s="198"/>
      <c r="S29" s="198"/>
      <c r="T29" s="198"/>
      <c r="U29" s="198"/>
    </row>
    <row r="30" spans="1:21" s="12" customFormat="1" x14ac:dyDescent="0.25">
      <c r="A30" s="214" t="s">
        <v>2281</v>
      </c>
      <c r="B30" s="64">
        <v>140.37</v>
      </c>
      <c r="C30" s="64">
        <v>55.66</v>
      </c>
      <c r="D30" s="64">
        <v>140.27000000000001</v>
      </c>
      <c r="E30" s="64">
        <v>8.08</v>
      </c>
      <c r="F30" s="64">
        <v>2.13</v>
      </c>
      <c r="G30" s="64">
        <v>118.46</v>
      </c>
      <c r="H30" s="64">
        <v>47.07</v>
      </c>
      <c r="I30" s="210" t="s">
        <v>43</v>
      </c>
      <c r="J30" s="64">
        <v>1.73</v>
      </c>
      <c r="K30" s="64">
        <v>303.38</v>
      </c>
      <c r="L30" s="64">
        <v>10.54</v>
      </c>
      <c r="M30" s="64">
        <v>103.62</v>
      </c>
      <c r="N30" s="64">
        <v>76.7</v>
      </c>
      <c r="O30" s="64">
        <v>0</v>
      </c>
      <c r="P30" s="64">
        <v>1.82</v>
      </c>
      <c r="Q30" s="64">
        <v>9.9600000000000009</v>
      </c>
      <c r="R30" s="198"/>
      <c r="S30" s="198"/>
      <c r="T30" s="198"/>
      <c r="U30" s="198"/>
    </row>
    <row r="31" spans="1:21" s="12" customFormat="1" x14ac:dyDescent="0.25">
      <c r="A31" s="214" t="s">
        <v>2282</v>
      </c>
      <c r="B31" s="64">
        <v>140.19</v>
      </c>
      <c r="C31" s="64">
        <v>56.67</v>
      </c>
      <c r="D31" s="64">
        <v>140.66</v>
      </c>
      <c r="E31" s="64">
        <v>7.92</v>
      </c>
      <c r="F31" s="64">
        <v>2.13</v>
      </c>
      <c r="G31" s="64">
        <v>118.46</v>
      </c>
      <c r="H31" s="64">
        <v>47.07</v>
      </c>
      <c r="I31" s="210" t="s">
        <v>43</v>
      </c>
      <c r="J31" s="64">
        <v>1.76</v>
      </c>
      <c r="K31" s="64">
        <v>305.73</v>
      </c>
      <c r="L31" s="64">
        <v>10.41</v>
      </c>
      <c r="M31" s="64">
        <v>103.63</v>
      </c>
      <c r="N31" s="64">
        <v>76.7</v>
      </c>
      <c r="O31" s="64">
        <v>0</v>
      </c>
      <c r="P31" s="64">
        <v>1.78</v>
      </c>
      <c r="Q31" s="64">
        <v>9.94</v>
      </c>
      <c r="R31" s="198"/>
      <c r="S31" s="198"/>
      <c r="T31" s="198"/>
      <c r="U31" s="198"/>
    </row>
    <row r="32" spans="1:21" s="12" customFormat="1" x14ac:dyDescent="0.25">
      <c r="A32" s="214" t="s">
        <v>2283</v>
      </c>
      <c r="B32" s="64">
        <v>139.85</v>
      </c>
      <c r="C32" s="64">
        <v>56.37</v>
      </c>
      <c r="D32" s="64">
        <v>140.22999999999999</v>
      </c>
      <c r="E32" s="64">
        <v>7.97</v>
      </c>
      <c r="F32" s="64">
        <v>2.13</v>
      </c>
      <c r="G32" s="64">
        <v>128.16999999999999</v>
      </c>
      <c r="H32" s="64">
        <v>45.93</v>
      </c>
      <c r="I32" s="210" t="s">
        <v>43</v>
      </c>
      <c r="J32" s="64">
        <v>0.67</v>
      </c>
      <c r="K32" s="64">
        <v>165.55</v>
      </c>
      <c r="L32" s="64">
        <v>10.57</v>
      </c>
      <c r="M32" s="64">
        <v>103.58</v>
      </c>
      <c r="N32" s="64">
        <v>76.3</v>
      </c>
      <c r="O32" s="64">
        <v>0</v>
      </c>
      <c r="P32" s="64">
        <v>1.72</v>
      </c>
      <c r="Q32" s="64">
        <v>9.93</v>
      </c>
      <c r="R32" s="198"/>
      <c r="S32" s="198"/>
      <c r="T32" s="198"/>
      <c r="U32" s="198"/>
    </row>
    <row r="33" spans="1:21" s="12" customFormat="1" x14ac:dyDescent="0.25">
      <c r="A33" s="214" t="s">
        <v>2284</v>
      </c>
      <c r="B33" s="64">
        <v>141.32</v>
      </c>
      <c r="C33" s="64">
        <v>55.91</v>
      </c>
      <c r="D33" s="64">
        <v>141.16</v>
      </c>
      <c r="E33" s="64">
        <v>8.39</v>
      </c>
      <c r="F33" s="64">
        <v>2.13</v>
      </c>
      <c r="G33" s="64">
        <v>139.77000000000001</v>
      </c>
      <c r="H33" s="64">
        <v>44.56</v>
      </c>
      <c r="I33" s="210" t="s">
        <v>43</v>
      </c>
      <c r="J33" s="64">
        <v>1.76</v>
      </c>
      <c r="K33" s="64">
        <v>254.73</v>
      </c>
      <c r="L33" s="64">
        <v>10.66</v>
      </c>
      <c r="M33" s="64">
        <v>103.3</v>
      </c>
      <c r="N33" s="64">
        <v>76.7</v>
      </c>
      <c r="O33" s="64">
        <v>0</v>
      </c>
      <c r="P33" s="64">
        <v>1.7</v>
      </c>
      <c r="Q33" s="64">
        <v>9.9</v>
      </c>
      <c r="R33" s="198"/>
      <c r="S33" s="198"/>
      <c r="T33" s="198"/>
      <c r="U33" s="198"/>
    </row>
    <row r="34" spans="1:21" s="12" customFormat="1" x14ac:dyDescent="0.25">
      <c r="A34" s="214" t="s">
        <v>2285</v>
      </c>
      <c r="B34" s="64">
        <v>143.97999999999999</v>
      </c>
      <c r="C34" s="64">
        <v>56.25</v>
      </c>
      <c r="D34" s="64">
        <v>143.47</v>
      </c>
      <c r="E34" s="64">
        <v>7.57</v>
      </c>
      <c r="F34" s="64">
        <v>2.13</v>
      </c>
      <c r="G34" s="64">
        <v>139.77000000000001</v>
      </c>
      <c r="H34" s="64">
        <v>44.56</v>
      </c>
      <c r="I34" s="210" t="s">
        <v>43</v>
      </c>
      <c r="J34" s="64">
        <v>1.81</v>
      </c>
      <c r="K34" s="64">
        <v>321.36</v>
      </c>
      <c r="L34" s="64">
        <v>10.52</v>
      </c>
      <c r="M34" s="64">
        <v>103.53</v>
      </c>
      <c r="N34" s="64">
        <v>77</v>
      </c>
      <c r="O34" s="64">
        <v>0</v>
      </c>
      <c r="P34" s="64">
        <v>1.68</v>
      </c>
      <c r="Q34" s="64">
        <v>9.91</v>
      </c>
      <c r="R34" s="198"/>
      <c r="S34" s="198"/>
      <c r="T34" s="198"/>
      <c r="U34" s="198"/>
    </row>
    <row r="35" spans="1:21" s="12" customFormat="1" x14ac:dyDescent="0.25">
      <c r="A35" s="214" t="s">
        <v>2286</v>
      </c>
      <c r="B35" s="64">
        <v>149.02000000000001</v>
      </c>
      <c r="C35" s="64">
        <v>56.62</v>
      </c>
      <c r="D35" s="64">
        <v>147.71</v>
      </c>
      <c r="E35" s="64">
        <v>8.0299999999999994</v>
      </c>
      <c r="F35" s="64">
        <v>2.13</v>
      </c>
      <c r="G35" s="64">
        <v>139.77000000000001</v>
      </c>
      <c r="H35" s="64">
        <v>44.56</v>
      </c>
      <c r="I35" s="210" t="s">
        <v>43</v>
      </c>
      <c r="J35" s="64">
        <v>1.73</v>
      </c>
      <c r="K35" s="64">
        <v>345.35</v>
      </c>
      <c r="L35" s="64">
        <v>10.28</v>
      </c>
      <c r="M35" s="64">
        <v>103.62</v>
      </c>
      <c r="N35" s="64">
        <v>79.599999999999994</v>
      </c>
      <c r="O35" s="64">
        <v>0</v>
      </c>
      <c r="P35" s="64">
        <v>1.66</v>
      </c>
      <c r="Q35" s="64">
        <v>9.92</v>
      </c>
      <c r="R35" s="198"/>
      <c r="S35" s="198"/>
      <c r="T35" s="198"/>
      <c r="U35" s="198"/>
    </row>
    <row r="36" spans="1:21" s="12" customFormat="1" x14ac:dyDescent="0.25">
      <c r="A36" s="214" t="s">
        <v>2287</v>
      </c>
      <c r="B36" s="64">
        <v>151.96</v>
      </c>
      <c r="C36" s="64">
        <v>54.3</v>
      </c>
      <c r="D36" s="64">
        <v>148.86000000000001</v>
      </c>
      <c r="E36" s="64">
        <v>8.4600000000000009</v>
      </c>
      <c r="F36" s="64">
        <v>2.13</v>
      </c>
      <c r="G36" s="64">
        <v>144.01</v>
      </c>
      <c r="H36" s="64">
        <v>44.14</v>
      </c>
      <c r="I36" s="210" t="s">
        <v>43</v>
      </c>
      <c r="J36" s="64">
        <v>0.79</v>
      </c>
      <c r="K36" s="64">
        <v>351.2</v>
      </c>
      <c r="L36" s="64">
        <v>10.38</v>
      </c>
      <c r="M36" s="64">
        <v>103.52</v>
      </c>
      <c r="N36" s="64">
        <v>87.2</v>
      </c>
      <c r="O36" s="64">
        <v>0</v>
      </c>
      <c r="P36" s="64">
        <v>1.63</v>
      </c>
      <c r="Q36" s="64">
        <v>9.93</v>
      </c>
      <c r="R36" s="198"/>
      <c r="S36" s="198"/>
      <c r="T36" s="198"/>
      <c r="U36" s="198"/>
    </row>
    <row r="37" spans="1:21" s="12" customFormat="1" x14ac:dyDescent="0.25">
      <c r="A37" s="214" t="s">
        <v>2288</v>
      </c>
      <c r="B37" s="64">
        <v>153.61000000000001</v>
      </c>
      <c r="C37" s="64">
        <v>53.74</v>
      </c>
      <c r="D37" s="64">
        <v>149.88</v>
      </c>
      <c r="E37" s="64">
        <v>8.3000000000000007</v>
      </c>
      <c r="F37" s="64">
        <v>2.13</v>
      </c>
      <c r="G37" s="64">
        <v>149.09</v>
      </c>
      <c r="H37" s="64">
        <v>43.61</v>
      </c>
      <c r="I37" s="210" t="s">
        <v>43</v>
      </c>
      <c r="J37" s="64">
        <v>1.4</v>
      </c>
      <c r="K37" s="64">
        <v>311.70999999999998</v>
      </c>
      <c r="L37" s="64">
        <v>10.86</v>
      </c>
      <c r="M37" s="64">
        <v>103.02</v>
      </c>
      <c r="N37" s="64">
        <v>100</v>
      </c>
      <c r="O37" s="64">
        <v>0</v>
      </c>
      <c r="P37" s="64">
        <v>1.63</v>
      </c>
      <c r="Q37" s="64">
        <v>9.9700000000000006</v>
      </c>
      <c r="R37" s="198"/>
      <c r="S37" s="198"/>
      <c r="T37" s="198"/>
      <c r="U37" s="198"/>
    </row>
    <row r="38" spans="1:21" s="12" customFormat="1" x14ac:dyDescent="0.25">
      <c r="A38" s="214" t="s">
        <v>2289</v>
      </c>
      <c r="B38" s="64">
        <v>156.61000000000001</v>
      </c>
      <c r="C38" s="64">
        <v>56.55</v>
      </c>
      <c r="D38" s="64">
        <v>153.75</v>
      </c>
      <c r="E38" s="64">
        <v>8.58</v>
      </c>
      <c r="F38" s="64">
        <v>2.13</v>
      </c>
      <c r="G38" s="64">
        <v>149.09</v>
      </c>
      <c r="H38" s="64">
        <v>43.61</v>
      </c>
      <c r="I38" s="210" t="s">
        <v>43</v>
      </c>
      <c r="J38" s="64">
        <v>1.74</v>
      </c>
      <c r="K38" s="64">
        <v>331.46</v>
      </c>
      <c r="L38" s="64">
        <v>11.35</v>
      </c>
      <c r="M38" s="64">
        <v>102.17</v>
      </c>
      <c r="N38" s="64">
        <v>114.2</v>
      </c>
      <c r="O38" s="64">
        <v>0</v>
      </c>
      <c r="P38" s="64">
        <v>1.71</v>
      </c>
      <c r="Q38" s="64">
        <v>9.9700000000000006</v>
      </c>
      <c r="R38" s="198"/>
      <c r="S38" s="198"/>
      <c r="T38" s="198"/>
      <c r="U38" s="198"/>
    </row>
    <row r="39" spans="1:21" s="12" customFormat="1" x14ac:dyDescent="0.25">
      <c r="A39" s="214" t="s">
        <v>2290</v>
      </c>
      <c r="B39" s="64">
        <v>161.33000000000001</v>
      </c>
      <c r="C39" s="64">
        <v>59.04</v>
      </c>
      <c r="D39" s="64">
        <v>158.85</v>
      </c>
      <c r="E39" s="64">
        <v>8.4</v>
      </c>
      <c r="F39" s="64">
        <v>2.13</v>
      </c>
      <c r="G39" s="64">
        <v>149.09</v>
      </c>
      <c r="H39" s="64">
        <v>43.61</v>
      </c>
      <c r="I39" s="210" t="s">
        <v>43</v>
      </c>
      <c r="J39" s="64">
        <v>1.83</v>
      </c>
      <c r="K39" s="64">
        <v>7.42</v>
      </c>
      <c r="L39" s="64">
        <v>11.99</v>
      </c>
      <c r="M39" s="64">
        <v>99.05</v>
      </c>
      <c r="N39" s="64">
        <v>143.6</v>
      </c>
      <c r="O39" s="64">
        <v>0</v>
      </c>
      <c r="P39" s="64">
        <v>1.73</v>
      </c>
      <c r="Q39" s="64">
        <v>9.98</v>
      </c>
      <c r="R39" s="198"/>
      <c r="S39" s="198"/>
      <c r="T39" s="198"/>
      <c r="U39" s="198"/>
    </row>
    <row r="40" spans="1:21" s="12" customFormat="1" x14ac:dyDescent="0.25">
      <c r="A40" s="214" t="s">
        <v>2291</v>
      </c>
      <c r="B40" s="64">
        <v>165.37</v>
      </c>
      <c r="C40" s="64">
        <v>60.66</v>
      </c>
      <c r="D40" s="64">
        <v>162.94</v>
      </c>
      <c r="E40" s="64">
        <v>7.37</v>
      </c>
      <c r="F40" s="64">
        <v>2.13</v>
      </c>
      <c r="G40" s="64">
        <v>155.63</v>
      </c>
      <c r="H40" s="64">
        <v>45.28</v>
      </c>
      <c r="I40" s="210" t="s">
        <v>43</v>
      </c>
      <c r="J40" s="64">
        <v>1.19</v>
      </c>
      <c r="K40" s="64">
        <v>15.19</v>
      </c>
      <c r="L40" s="64">
        <v>13.65</v>
      </c>
      <c r="M40" s="64">
        <v>88.89</v>
      </c>
      <c r="N40" s="64">
        <v>212.1</v>
      </c>
      <c r="O40" s="64">
        <v>0</v>
      </c>
      <c r="P40" s="64">
        <v>1.76</v>
      </c>
      <c r="Q40" s="64">
        <v>10.039999999999999</v>
      </c>
      <c r="R40" s="198"/>
      <c r="S40" s="198"/>
      <c r="T40" s="198"/>
      <c r="U40" s="198"/>
    </row>
    <row r="41" spans="1:21" s="12" customFormat="1" x14ac:dyDescent="0.25">
      <c r="A41" s="214" t="s">
        <v>2292</v>
      </c>
      <c r="B41" s="64">
        <v>166.18</v>
      </c>
      <c r="C41" s="64">
        <v>62.46</v>
      </c>
      <c r="D41" s="64">
        <v>164.52</v>
      </c>
      <c r="E41" s="64">
        <v>8.99</v>
      </c>
      <c r="F41" s="64">
        <v>2.13</v>
      </c>
      <c r="G41" s="64">
        <v>163.44999999999999</v>
      </c>
      <c r="H41" s="64">
        <v>47.28</v>
      </c>
      <c r="I41" s="210" t="s">
        <v>43</v>
      </c>
      <c r="J41" s="64">
        <v>0.54</v>
      </c>
      <c r="K41" s="64">
        <v>135.80000000000001</v>
      </c>
      <c r="L41" s="64">
        <v>16.739999999999998</v>
      </c>
      <c r="M41" s="64">
        <v>71.989999999999995</v>
      </c>
      <c r="N41" s="64">
        <v>267.8</v>
      </c>
      <c r="O41" s="64">
        <v>0</v>
      </c>
      <c r="P41" s="64">
        <v>1.77</v>
      </c>
      <c r="Q41" s="64">
        <v>10.050000000000001</v>
      </c>
      <c r="R41" s="198"/>
      <c r="S41" s="198"/>
      <c r="T41" s="198"/>
      <c r="U41" s="198"/>
    </row>
    <row r="42" spans="1:21" s="12" customFormat="1" x14ac:dyDescent="0.25">
      <c r="A42" s="214" t="s">
        <v>2293</v>
      </c>
      <c r="B42" s="64">
        <v>165.45</v>
      </c>
      <c r="C42" s="64">
        <v>65.180000000000007</v>
      </c>
      <c r="D42" s="64">
        <v>165.35</v>
      </c>
      <c r="E42" s="64">
        <v>8.91</v>
      </c>
      <c r="F42" s="64">
        <v>2.13</v>
      </c>
      <c r="G42" s="64">
        <v>163.44999999999999</v>
      </c>
      <c r="H42" s="64">
        <v>47.28</v>
      </c>
      <c r="I42" s="210" t="s">
        <v>43</v>
      </c>
      <c r="J42" s="64">
        <v>0.85</v>
      </c>
      <c r="K42" s="64">
        <v>326.08</v>
      </c>
      <c r="L42" s="64">
        <v>18.87</v>
      </c>
      <c r="M42" s="64">
        <v>65.36</v>
      </c>
      <c r="N42" s="64">
        <v>328.2</v>
      </c>
      <c r="O42" s="64">
        <v>0</v>
      </c>
      <c r="P42" s="64">
        <v>1.78</v>
      </c>
      <c r="Q42" s="64">
        <v>10.06</v>
      </c>
      <c r="R42" s="198"/>
      <c r="S42" s="198"/>
      <c r="T42" s="198"/>
      <c r="U42" s="198"/>
    </row>
    <row r="43" spans="1:21" s="12" customFormat="1" x14ac:dyDescent="0.25">
      <c r="A43" s="214" t="s">
        <v>2294</v>
      </c>
      <c r="B43" s="64">
        <v>163.63</v>
      </c>
      <c r="C43" s="64">
        <v>68.760000000000005</v>
      </c>
      <c r="D43" s="64">
        <v>165.77</v>
      </c>
      <c r="E43" s="64">
        <v>8.85</v>
      </c>
      <c r="F43" s="64">
        <v>2.13</v>
      </c>
      <c r="G43" s="64">
        <v>163.44999999999999</v>
      </c>
      <c r="H43" s="64">
        <v>47.28</v>
      </c>
      <c r="I43" s="210" t="s">
        <v>43</v>
      </c>
      <c r="J43" s="64">
        <v>1.05</v>
      </c>
      <c r="K43" s="64">
        <v>2.77</v>
      </c>
      <c r="L43" s="64">
        <v>20.6</v>
      </c>
      <c r="M43" s="64">
        <v>58</v>
      </c>
      <c r="N43" s="64">
        <v>383.8</v>
      </c>
      <c r="O43" s="64">
        <v>0</v>
      </c>
      <c r="P43" s="64">
        <v>1.8</v>
      </c>
      <c r="Q43" s="64">
        <v>10.09</v>
      </c>
      <c r="R43" s="198"/>
      <c r="S43" s="198"/>
      <c r="T43" s="198"/>
      <c r="U43" s="198"/>
    </row>
    <row r="44" spans="1:21" s="12" customFormat="1" x14ac:dyDescent="0.25">
      <c r="A44" s="214" t="s">
        <v>2295</v>
      </c>
      <c r="B44" s="64">
        <v>158.82</v>
      </c>
      <c r="C44" s="64">
        <v>71.22</v>
      </c>
      <c r="D44" s="64">
        <v>163.19</v>
      </c>
      <c r="E44" s="64">
        <v>9.16</v>
      </c>
      <c r="F44" s="64">
        <v>2.13</v>
      </c>
      <c r="G44" s="64">
        <v>172.25</v>
      </c>
      <c r="H44" s="64">
        <v>49.33</v>
      </c>
      <c r="I44" s="210" t="s">
        <v>43</v>
      </c>
      <c r="J44" s="64">
        <v>2.81</v>
      </c>
      <c r="K44" s="64">
        <v>122.64</v>
      </c>
      <c r="L44" s="64">
        <v>18.690000000000001</v>
      </c>
      <c r="M44" s="64">
        <v>61.39</v>
      </c>
      <c r="N44" s="64">
        <v>459.2</v>
      </c>
      <c r="O44" s="64">
        <v>0</v>
      </c>
      <c r="P44" s="64">
        <v>1.79</v>
      </c>
      <c r="Q44" s="64">
        <v>10.130000000000001</v>
      </c>
      <c r="R44" s="198"/>
      <c r="S44" s="198"/>
      <c r="T44" s="198"/>
      <c r="U44" s="198"/>
    </row>
    <row r="45" spans="1:21" s="12" customFormat="1" x14ac:dyDescent="0.25">
      <c r="A45" s="214" t="s">
        <v>2296</v>
      </c>
      <c r="B45" s="64">
        <v>152.09</v>
      </c>
      <c r="C45" s="64">
        <v>71.03</v>
      </c>
      <c r="D45" s="64">
        <v>157.69999999999999</v>
      </c>
      <c r="E45" s="64">
        <v>8.27</v>
      </c>
      <c r="F45" s="64">
        <v>2.13</v>
      </c>
      <c r="G45" s="64">
        <v>182.76</v>
      </c>
      <c r="H45" s="64">
        <v>51.79</v>
      </c>
      <c r="I45" s="210" t="s">
        <v>43</v>
      </c>
      <c r="J45" s="64">
        <v>2.13</v>
      </c>
      <c r="K45" s="64">
        <v>336.9</v>
      </c>
      <c r="L45" s="64">
        <v>21.73</v>
      </c>
      <c r="M45" s="64">
        <v>51.2</v>
      </c>
      <c r="N45" s="64">
        <v>488.9</v>
      </c>
      <c r="O45" s="64">
        <v>0</v>
      </c>
      <c r="P45" s="64">
        <v>1.75</v>
      </c>
      <c r="Q45" s="64">
        <v>10.11</v>
      </c>
      <c r="R45" s="198"/>
      <c r="S45" s="198"/>
      <c r="T45" s="198"/>
      <c r="U45" s="198"/>
    </row>
    <row r="46" spans="1:21" s="12" customFormat="1" x14ac:dyDescent="0.25">
      <c r="A46" s="214" t="s">
        <v>2297</v>
      </c>
      <c r="B46" s="64">
        <v>144.53</v>
      </c>
      <c r="C46" s="64">
        <v>70.510000000000005</v>
      </c>
      <c r="D46" s="64">
        <v>151.36000000000001</v>
      </c>
      <c r="E46" s="64">
        <v>8.1</v>
      </c>
      <c r="F46" s="64">
        <v>2.13</v>
      </c>
      <c r="G46" s="64">
        <v>182.76</v>
      </c>
      <c r="H46" s="64">
        <v>51.79</v>
      </c>
      <c r="I46" s="210" t="s">
        <v>43</v>
      </c>
      <c r="J46" s="64">
        <v>2.44</v>
      </c>
      <c r="K46" s="64">
        <v>343.42</v>
      </c>
      <c r="L46" s="64">
        <v>25.63</v>
      </c>
      <c r="M46" s="64">
        <v>39.17</v>
      </c>
      <c r="N46" s="64">
        <v>530.29999999999995</v>
      </c>
      <c r="O46" s="64">
        <v>0</v>
      </c>
      <c r="P46" s="64">
        <v>1.71</v>
      </c>
      <c r="Q46" s="64">
        <v>10.050000000000001</v>
      </c>
      <c r="R46" s="198"/>
      <c r="S46" s="198"/>
      <c r="T46" s="198"/>
      <c r="U46" s="198"/>
    </row>
    <row r="47" spans="1:21" s="12" customFormat="1" x14ac:dyDescent="0.25">
      <c r="A47" s="214" t="s">
        <v>2298</v>
      </c>
      <c r="B47" s="64">
        <v>137.49</v>
      </c>
      <c r="C47" s="64">
        <v>72.400000000000006</v>
      </c>
      <c r="D47" s="64">
        <v>146.69999999999999</v>
      </c>
      <c r="E47" s="64">
        <v>7.77</v>
      </c>
      <c r="F47" s="64">
        <v>2.13</v>
      </c>
      <c r="G47" s="64">
        <v>182.76</v>
      </c>
      <c r="H47" s="64">
        <v>51.79</v>
      </c>
      <c r="I47" s="210" t="s">
        <v>43</v>
      </c>
      <c r="J47" s="64">
        <v>0.62</v>
      </c>
      <c r="K47" s="64">
        <v>70.42</v>
      </c>
      <c r="L47" s="64">
        <v>25.38</v>
      </c>
      <c r="M47" s="64">
        <v>40.51</v>
      </c>
      <c r="N47" s="64">
        <v>556.6</v>
      </c>
      <c r="O47" s="64">
        <v>0</v>
      </c>
      <c r="P47" s="64">
        <v>1.68</v>
      </c>
      <c r="Q47" s="64">
        <v>10.01</v>
      </c>
      <c r="R47" s="198"/>
      <c r="S47" s="198"/>
      <c r="T47" s="198"/>
      <c r="U47" s="198"/>
    </row>
    <row r="48" spans="1:21" s="12" customFormat="1" x14ac:dyDescent="0.25">
      <c r="A48" s="214" t="s">
        <v>2299</v>
      </c>
      <c r="B48" s="64">
        <v>131.54</v>
      </c>
      <c r="C48" s="64">
        <v>73.260000000000005</v>
      </c>
      <c r="D48" s="64">
        <v>142.38</v>
      </c>
      <c r="E48" s="64">
        <v>7.84</v>
      </c>
      <c r="F48" s="64">
        <v>2.13</v>
      </c>
      <c r="G48" s="64">
        <v>153.03</v>
      </c>
      <c r="H48" s="64">
        <v>49.91</v>
      </c>
      <c r="I48" s="210" t="s">
        <v>43</v>
      </c>
      <c r="J48" s="64">
        <v>2.89</v>
      </c>
      <c r="K48" s="64">
        <v>112.59</v>
      </c>
      <c r="L48" s="64">
        <v>20.87</v>
      </c>
      <c r="M48" s="64">
        <v>51.5</v>
      </c>
      <c r="N48" s="64">
        <v>581.6</v>
      </c>
      <c r="O48" s="64">
        <v>0</v>
      </c>
      <c r="P48" s="64">
        <v>1.64</v>
      </c>
      <c r="Q48" s="64">
        <v>9.94</v>
      </c>
      <c r="R48" s="198"/>
      <c r="S48" s="198"/>
      <c r="T48" s="198"/>
      <c r="U48" s="198"/>
    </row>
    <row r="49" spans="1:21" s="12" customFormat="1" x14ac:dyDescent="0.25">
      <c r="A49" s="214" t="s">
        <v>2300</v>
      </c>
      <c r="B49" s="64">
        <v>124.44</v>
      </c>
      <c r="C49" s="64">
        <v>73.63</v>
      </c>
      <c r="D49" s="64">
        <v>136.88</v>
      </c>
      <c r="E49" s="64">
        <v>7.02</v>
      </c>
      <c r="F49" s="64">
        <v>2.13</v>
      </c>
      <c r="G49" s="64">
        <v>117.5</v>
      </c>
      <c r="H49" s="64">
        <v>47.66</v>
      </c>
      <c r="I49" s="210" t="s">
        <v>43</v>
      </c>
      <c r="J49" s="64">
        <v>2.88</v>
      </c>
      <c r="K49" s="64">
        <v>116.02</v>
      </c>
      <c r="L49" s="64">
        <v>20.62</v>
      </c>
      <c r="M49" s="64">
        <v>50</v>
      </c>
      <c r="N49" s="64">
        <v>592</v>
      </c>
      <c r="O49" s="64">
        <v>0</v>
      </c>
      <c r="P49" s="64">
        <v>1.6</v>
      </c>
      <c r="Q49" s="64">
        <v>9.9</v>
      </c>
      <c r="R49" s="198"/>
      <c r="S49" s="198"/>
      <c r="T49" s="198"/>
      <c r="U49" s="198"/>
    </row>
    <row r="50" spans="1:21" s="12" customFormat="1" x14ac:dyDescent="0.25">
      <c r="A50" s="214" t="s">
        <v>2301</v>
      </c>
      <c r="B50" s="64">
        <v>95.81</v>
      </c>
      <c r="C50" s="64">
        <v>85.36</v>
      </c>
      <c r="D50" s="64">
        <v>120.05</v>
      </c>
      <c r="E50" s="64">
        <v>7.51</v>
      </c>
      <c r="F50" s="64">
        <v>2.17</v>
      </c>
      <c r="G50" s="64">
        <v>117.5</v>
      </c>
      <c r="H50" s="64">
        <v>47.66</v>
      </c>
      <c r="I50" s="210" t="s">
        <v>43</v>
      </c>
      <c r="J50" s="64">
        <v>1.1599999999999999</v>
      </c>
      <c r="K50" s="64">
        <v>352.32</v>
      </c>
      <c r="L50" s="64">
        <v>23.38</v>
      </c>
      <c r="M50" s="64">
        <v>41.32</v>
      </c>
      <c r="N50" s="64">
        <v>592</v>
      </c>
      <c r="O50" s="64">
        <v>0</v>
      </c>
      <c r="P50" s="64">
        <v>1.4</v>
      </c>
      <c r="Q50" s="64">
        <v>9.85</v>
      </c>
      <c r="R50" s="198"/>
      <c r="S50" s="198"/>
      <c r="T50" s="198"/>
      <c r="U50" s="198"/>
    </row>
    <row r="51" spans="1:21" s="12" customFormat="1" x14ac:dyDescent="0.25">
      <c r="A51" s="214" t="s">
        <v>2302</v>
      </c>
      <c r="B51" s="64">
        <v>13.05</v>
      </c>
      <c r="C51" s="64">
        <v>125.22</v>
      </c>
      <c r="D51" s="64">
        <v>74.510000000000005</v>
      </c>
      <c r="E51" s="64">
        <v>16.059999999999999</v>
      </c>
      <c r="F51" s="64">
        <v>18.8</v>
      </c>
      <c r="G51" s="64">
        <v>117.5</v>
      </c>
      <c r="H51" s="64">
        <v>47.66</v>
      </c>
      <c r="I51" s="210" t="s">
        <v>43</v>
      </c>
      <c r="J51" s="64">
        <v>2.11</v>
      </c>
      <c r="K51" s="64">
        <v>333.84</v>
      </c>
      <c r="L51" s="64">
        <v>27.11</v>
      </c>
      <c r="M51" s="64">
        <v>32.29</v>
      </c>
      <c r="N51" s="64">
        <v>608.70000000000005</v>
      </c>
      <c r="O51" s="64">
        <v>0</v>
      </c>
      <c r="P51" s="64">
        <v>0.92</v>
      </c>
      <c r="Q51" s="64">
        <v>9.3000000000000007</v>
      </c>
      <c r="R51" s="198"/>
      <c r="S51" s="198"/>
      <c r="T51" s="198"/>
      <c r="U51" s="198"/>
    </row>
    <row r="52" spans="1:21" s="12" customFormat="1" x14ac:dyDescent="0.25">
      <c r="A52" s="214" t="s">
        <v>2303</v>
      </c>
      <c r="B52" s="64">
        <v>4.0199999999999996</v>
      </c>
      <c r="C52" s="64">
        <v>102.18</v>
      </c>
      <c r="D52" s="64">
        <v>55.23</v>
      </c>
      <c r="E52" s="64">
        <v>18.63</v>
      </c>
      <c r="F52" s="64">
        <v>41.59</v>
      </c>
      <c r="G52" s="64">
        <v>95.87</v>
      </c>
      <c r="H52" s="64">
        <v>44.04</v>
      </c>
      <c r="I52" s="210" t="s">
        <v>43</v>
      </c>
      <c r="J52" s="64">
        <v>0.9</v>
      </c>
      <c r="K52" s="64">
        <v>15.21</v>
      </c>
      <c r="L52" s="64">
        <v>27.68</v>
      </c>
      <c r="M52" s="64">
        <v>31.59</v>
      </c>
      <c r="N52" s="64">
        <v>631.20000000000005</v>
      </c>
      <c r="O52" s="64">
        <v>0</v>
      </c>
      <c r="P52" s="64">
        <v>0.75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2304</v>
      </c>
      <c r="B53" s="64">
        <v>2.61</v>
      </c>
      <c r="C53" s="64">
        <v>76.28</v>
      </c>
      <c r="D53" s="64">
        <v>40.57</v>
      </c>
      <c r="E53" s="64">
        <v>25.38</v>
      </c>
      <c r="F53" s="64">
        <v>51.29</v>
      </c>
      <c r="G53" s="64">
        <v>70.010000000000005</v>
      </c>
      <c r="H53" s="64">
        <v>39.71</v>
      </c>
      <c r="I53" s="210" t="s">
        <v>43</v>
      </c>
      <c r="J53" s="64">
        <v>1.34</v>
      </c>
      <c r="K53" s="64">
        <v>130.93</v>
      </c>
      <c r="L53" s="64">
        <v>25.34</v>
      </c>
      <c r="M53" s="64">
        <v>35.94</v>
      </c>
      <c r="N53" s="64">
        <v>651.1</v>
      </c>
      <c r="O53" s="64">
        <v>0</v>
      </c>
      <c r="P53" s="64">
        <v>0.56999999999999995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2305</v>
      </c>
      <c r="B54" s="64">
        <v>2.3199999999999998</v>
      </c>
      <c r="C54" s="64">
        <v>68.25</v>
      </c>
      <c r="D54" s="64">
        <v>36.14</v>
      </c>
      <c r="E54" s="64">
        <v>15.81</v>
      </c>
      <c r="F54" s="64">
        <v>28.28</v>
      </c>
      <c r="G54" s="64">
        <v>70.010000000000005</v>
      </c>
      <c r="H54" s="64">
        <v>39.71</v>
      </c>
      <c r="I54" s="210" t="s">
        <v>43</v>
      </c>
      <c r="J54" s="64">
        <v>1.88</v>
      </c>
      <c r="K54" s="64">
        <v>115.6</v>
      </c>
      <c r="L54" s="64">
        <v>24.46</v>
      </c>
      <c r="M54" s="64">
        <v>36.47</v>
      </c>
      <c r="N54" s="64">
        <v>669.6</v>
      </c>
      <c r="O54" s="64">
        <v>0</v>
      </c>
      <c r="P54" s="64">
        <v>0.52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2306</v>
      </c>
      <c r="B55" s="64">
        <v>2.35</v>
      </c>
      <c r="C55" s="64">
        <v>66.02</v>
      </c>
      <c r="D55" s="64">
        <v>35</v>
      </c>
      <c r="E55" s="64">
        <v>10.61</v>
      </c>
      <c r="F55" s="64">
        <v>14.16</v>
      </c>
      <c r="G55" s="64">
        <v>70.010000000000005</v>
      </c>
      <c r="H55" s="64">
        <v>39.71</v>
      </c>
      <c r="I55" s="210" t="s">
        <v>43</v>
      </c>
      <c r="J55" s="64">
        <v>0.72</v>
      </c>
      <c r="K55" s="64">
        <v>355.72</v>
      </c>
      <c r="L55" s="64">
        <v>25.83</v>
      </c>
      <c r="M55" s="64">
        <v>34.14</v>
      </c>
      <c r="N55" s="64">
        <v>676.8</v>
      </c>
      <c r="O55" s="64">
        <v>0</v>
      </c>
      <c r="P55" s="64">
        <v>0.52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2307</v>
      </c>
      <c r="B56" s="64">
        <v>2.63</v>
      </c>
      <c r="C56" s="64">
        <v>66.44</v>
      </c>
      <c r="D56" s="64">
        <v>35.450000000000003</v>
      </c>
      <c r="E56" s="64">
        <v>10.16</v>
      </c>
      <c r="F56" s="64">
        <v>9.58</v>
      </c>
      <c r="G56" s="64">
        <v>86.62</v>
      </c>
      <c r="H56" s="64">
        <v>38.53</v>
      </c>
      <c r="I56" s="210" t="s">
        <v>43</v>
      </c>
      <c r="J56" s="64">
        <v>0.73</v>
      </c>
      <c r="K56" s="64">
        <v>295.49</v>
      </c>
      <c r="L56" s="64">
        <v>28.29</v>
      </c>
      <c r="M56" s="64">
        <v>29.59</v>
      </c>
      <c r="N56" s="64">
        <v>684.1</v>
      </c>
      <c r="O56" s="64">
        <v>0</v>
      </c>
      <c r="P56" s="64">
        <v>0.54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2308</v>
      </c>
      <c r="B57" s="64">
        <v>2.86</v>
      </c>
      <c r="C57" s="64">
        <v>69.97</v>
      </c>
      <c r="D57" s="64">
        <v>37.47</v>
      </c>
      <c r="E57" s="64">
        <v>10.029999999999999</v>
      </c>
      <c r="F57" s="64">
        <v>8.69</v>
      </c>
      <c r="G57" s="64">
        <v>106.48</v>
      </c>
      <c r="H57" s="64">
        <v>37.11</v>
      </c>
      <c r="I57" s="210" t="s">
        <v>43</v>
      </c>
      <c r="J57" s="64">
        <v>1.62</v>
      </c>
      <c r="K57" s="64">
        <v>337.27</v>
      </c>
      <c r="L57" s="64">
        <v>28.33</v>
      </c>
      <c r="M57" s="64">
        <v>29.23</v>
      </c>
      <c r="N57" s="64">
        <v>689.8</v>
      </c>
      <c r="O57" s="64">
        <v>0</v>
      </c>
      <c r="P57" s="64">
        <v>0.56000000000000005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2309</v>
      </c>
      <c r="B58" s="64">
        <v>2.9</v>
      </c>
      <c r="C58" s="64">
        <v>73.11</v>
      </c>
      <c r="D58" s="64">
        <v>39.15</v>
      </c>
      <c r="E58" s="64">
        <v>8.6300000000000008</v>
      </c>
      <c r="F58" s="64">
        <v>5.91</v>
      </c>
      <c r="G58" s="64">
        <v>106.48</v>
      </c>
      <c r="H58" s="64">
        <v>37.11</v>
      </c>
      <c r="I58" s="210" t="s">
        <v>43</v>
      </c>
      <c r="J58" s="64">
        <v>1.67</v>
      </c>
      <c r="K58" s="64">
        <v>325.35000000000002</v>
      </c>
      <c r="L58" s="64">
        <v>29.41</v>
      </c>
      <c r="M58" s="64">
        <v>26.86</v>
      </c>
      <c r="N58" s="64">
        <v>695.7</v>
      </c>
      <c r="O58" s="64">
        <v>0</v>
      </c>
      <c r="P58" s="64">
        <v>0.56999999999999995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2310</v>
      </c>
      <c r="B59" s="64">
        <v>3.04</v>
      </c>
      <c r="C59" s="64">
        <v>72.89</v>
      </c>
      <c r="D59" s="64">
        <v>39.15</v>
      </c>
      <c r="E59" s="64">
        <v>7.88</v>
      </c>
      <c r="F59" s="64">
        <v>3.74</v>
      </c>
      <c r="G59" s="64">
        <v>106.48</v>
      </c>
      <c r="H59" s="64">
        <v>37.11</v>
      </c>
      <c r="I59" s="210" t="s">
        <v>43</v>
      </c>
      <c r="J59" s="64">
        <v>1.65</v>
      </c>
      <c r="K59" s="64">
        <v>301.04000000000002</v>
      </c>
      <c r="L59" s="64">
        <v>29.93</v>
      </c>
      <c r="M59" s="64">
        <v>25.77</v>
      </c>
      <c r="N59" s="64">
        <v>693.2</v>
      </c>
      <c r="O59" s="64">
        <v>0</v>
      </c>
      <c r="P59" s="64">
        <v>0.57999999999999996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2311</v>
      </c>
      <c r="B60" s="64">
        <v>2.95</v>
      </c>
      <c r="C60" s="64">
        <v>71.650000000000006</v>
      </c>
      <c r="D60" s="64">
        <v>38.43</v>
      </c>
      <c r="E60" s="64">
        <v>8.26</v>
      </c>
      <c r="F60" s="64">
        <v>4.45</v>
      </c>
      <c r="G60" s="64">
        <v>104.06</v>
      </c>
      <c r="H60" s="64">
        <v>35.880000000000003</v>
      </c>
      <c r="I60" s="210" t="s">
        <v>43</v>
      </c>
      <c r="J60" s="64">
        <v>1.83</v>
      </c>
      <c r="K60" s="64">
        <v>132.41999999999999</v>
      </c>
      <c r="L60" s="64">
        <v>27.07</v>
      </c>
      <c r="M60" s="64">
        <v>28.27</v>
      </c>
      <c r="N60" s="64">
        <v>668.6</v>
      </c>
      <c r="O60" s="64">
        <v>0</v>
      </c>
      <c r="P60" s="64">
        <v>0.59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2312</v>
      </c>
      <c r="B61" s="64">
        <v>2.76</v>
      </c>
      <c r="C61" s="64">
        <v>69.86</v>
      </c>
      <c r="D61" s="64">
        <v>37.340000000000003</v>
      </c>
      <c r="E61" s="64">
        <v>7.57</v>
      </c>
      <c r="F61" s="64">
        <v>4.75</v>
      </c>
      <c r="G61" s="64">
        <v>101.17</v>
      </c>
      <c r="H61" s="64">
        <v>34.4</v>
      </c>
      <c r="I61" s="210" t="s">
        <v>43</v>
      </c>
      <c r="J61" s="64">
        <v>0.65</v>
      </c>
      <c r="K61" s="64">
        <v>295.72000000000003</v>
      </c>
      <c r="L61" s="64">
        <v>27.26</v>
      </c>
      <c r="M61" s="64">
        <v>27.09</v>
      </c>
      <c r="N61" s="64">
        <v>619.20000000000005</v>
      </c>
      <c r="O61" s="64">
        <v>0</v>
      </c>
      <c r="P61" s="64">
        <v>0.7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2313</v>
      </c>
      <c r="B62" s="64">
        <v>2.89</v>
      </c>
      <c r="C62" s="64">
        <v>68.5</v>
      </c>
      <c r="D62" s="64">
        <v>36.729999999999997</v>
      </c>
      <c r="E62" s="64">
        <v>7.15</v>
      </c>
      <c r="F62" s="64">
        <v>3.83</v>
      </c>
      <c r="G62" s="64">
        <v>101.17</v>
      </c>
      <c r="H62" s="64">
        <v>34.4</v>
      </c>
      <c r="I62" s="210" t="s">
        <v>43</v>
      </c>
      <c r="J62" s="64">
        <v>1.37</v>
      </c>
      <c r="K62" s="64">
        <v>284.82</v>
      </c>
      <c r="L62" s="64">
        <v>28.57</v>
      </c>
      <c r="M62" s="64">
        <v>26.24</v>
      </c>
      <c r="N62" s="64">
        <v>466.3</v>
      </c>
      <c r="O62" s="64">
        <v>0</v>
      </c>
      <c r="P62" s="64">
        <v>0.75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2314</v>
      </c>
      <c r="B63" s="64">
        <v>3</v>
      </c>
      <c r="C63" s="64">
        <v>67.66</v>
      </c>
      <c r="D63" s="64">
        <v>36.380000000000003</v>
      </c>
      <c r="E63" s="64">
        <v>7.13</v>
      </c>
      <c r="F63" s="64">
        <v>3.4</v>
      </c>
      <c r="G63" s="64">
        <v>101.17</v>
      </c>
      <c r="H63" s="64">
        <v>34.4</v>
      </c>
      <c r="I63" s="210" t="s">
        <v>43</v>
      </c>
      <c r="J63" s="64">
        <v>1.67</v>
      </c>
      <c r="K63" s="64">
        <v>326.02</v>
      </c>
      <c r="L63" s="64">
        <v>28.36</v>
      </c>
      <c r="M63" s="64">
        <v>26.95</v>
      </c>
      <c r="N63" s="64">
        <v>507.6</v>
      </c>
      <c r="O63" s="64">
        <v>0</v>
      </c>
      <c r="P63" s="64">
        <v>0.76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2315</v>
      </c>
      <c r="B64" s="64">
        <v>3.18</v>
      </c>
      <c r="C64" s="64">
        <v>68.91</v>
      </c>
      <c r="D64" s="64">
        <v>37.18</v>
      </c>
      <c r="E64" s="64">
        <v>7.06</v>
      </c>
      <c r="F64" s="64">
        <v>4.5</v>
      </c>
      <c r="G64" s="64">
        <v>88.68</v>
      </c>
      <c r="H64" s="64">
        <v>28.76</v>
      </c>
      <c r="I64" s="210" t="s">
        <v>43</v>
      </c>
      <c r="J64" s="64">
        <v>1.64</v>
      </c>
      <c r="K64" s="64">
        <v>336.8</v>
      </c>
      <c r="L64" s="64">
        <v>29.12</v>
      </c>
      <c r="M64" s="64">
        <v>27.09</v>
      </c>
      <c r="N64" s="64">
        <v>473.3</v>
      </c>
      <c r="O64" s="64">
        <v>0</v>
      </c>
      <c r="P64" s="64">
        <v>0.79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2316</v>
      </c>
      <c r="B65" s="64">
        <v>3.24</v>
      </c>
      <c r="C65" s="64">
        <v>78.89</v>
      </c>
      <c r="D65" s="64">
        <v>42.44</v>
      </c>
      <c r="E65" s="64">
        <v>9.73</v>
      </c>
      <c r="F65" s="64">
        <v>9.56</v>
      </c>
      <c r="G65" s="64">
        <v>73.75</v>
      </c>
      <c r="H65" s="64">
        <v>22.02</v>
      </c>
      <c r="I65" s="210" t="s">
        <v>43</v>
      </c>
      <c r="J65" s="64">
        <v>2.02</v>
      </c>
      <c r="K65" s="64">
        <v>337.13</v>
      </c>
      <c r="L65" s="64">
        <v>28.46</v>
      </c>
      <c r="M65" s="64">
        <v>27.38</v>
      </c>
      <c r="N65" s="64">
        <v>361</v>
      </c>
      <c r="O65" s="64">
        <v>0</v>
      </c>
      <c r="P65" s="64">
        <v>0.9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2317</v>
      </c>
      <c r="B66" s="64">
        <v>3.43</v>
      </c>
      <c r="C66" s="64">
        <v>82.57</v>
      </c>
      <c r="D66" s="64">
        <v>44.52</v>
      </c>
      <c r="E66" s="64">
        <v>8.14</v>
      </c>
      <c r="F66" s="64">
        <v>4.45</v>
      </c>
      <c r="G66" s="64">
        <v>73.75</v>
      </c>
      <c r="H66" s="64">
        <v>22.02</v>
      </c>
      <c r="I66" s="210" t="s">
        <v>43</v>
      </c>
      <c r="J66" s="64">
        <v>2.89</v>
      </c>
      <c r="K66" s="64">
        <v>338.44</v>
      </c>
      <c r="L66" s="64">
        <v>28.74</v>
      </c>
      <c r="M66" s="64">
        <v>25.72</v>
      </c>
      <c r="N66" s="64">
        <v>192.6</v>
      </c>
      <c r="O66" s="64">
        <v>0</v>
      </c>
      <c r="P66" s="64">
        <v>0.9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2318</v>
      </c>
      <c r="B67" s="64">
        <v>4.24</v>
      </c>
      <c r="C67" s="64">
        <v>82.44</v>
      </c>
      <c r="D67" s="64">
        <v>45.1</v>
      </c>
      <c r="E67" s="64">
        <v>7.85</v>
      </c>
      <c r="F67" s="64">
        <v>2.77</v>
      </c>
      <c r="G67" s="64">
        <v>73.75</v>
      </c>
      <c r="H67" s="64">
        <v>22.02</v>
      </c>
      <c r="I67" s="210" t="s">
        <v>43</v>
      </c>
      <c r="J67" s="64">
        <v>2.08</v>
      </c>
      <c r="K67" s="64">
        <v>312.13</v>
      </c>
      <c r="L67" s="64">
        <v>28.44</v>
      </c>
      <c r="M67" s="64">
        <v>25.15</v>
      </c>
      <c r="N67" s="64">
        <v>176.4</v>
      </c>
      <c r="O67" s="64">
        <v>0</v>
      </c>
      <c r="P67" s="64">
        <v>0.9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2319</v>
      </c>
      <c r="B68" s="64">
        <v>4.53</v>
      </c>
      <c r="C68" s="64">
        <v>82.66</v>
      </c>
      <c r="D68" s="64">
        <v>45.45</v>
      </c>
      <c r="E68" s="64">
        <v>9.64</v>
      </c>
      <c r="F68" s="64">
        <v>5.22</v>
      </c>
      <c r="G68" s="64">
        <v>81.77</v>
      </c>
      <c r="H68" s="64">
        <v>29.41</v>
      </c>
      <c r="I68" s="210" t="s">
        <v>43</v>
      </c>
      <c r="J68" s="64">
        <v>3.09</v>
      </c>
      <c r="K68" s="64">
        <v>335.99</v>
      </c>
      <c r="L68" s="64">
        <v>27.81</v>
      </c>
      <c r="M68" s="64">
        <v>28.19</v>
      </c>
      <c r="N68" s="64">
        <v>211.3</v>
      </c>
      <c r="O68" s="64">
        <v>0</v>
      </c>
      <c r="P68" s="64">
        <v>0.87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2320</v>
      </c>
      <c r="B69" s="64">
        <v>4.0999999999999996</v>
      </c>
      <c r="C69" s="64">
        <v>85.06</v>
      </c>
      <c r="D69" s="64">
        <v>46.35</v>
      </c>
      <c r="E69" s="64">
        <v>9.49</v>
      </c>
      <c r="F69" s="64">
        <v>6.82</v>
      </c>
      <c r="G69" s="64">
        <v>91.34</v>
      </c>
      <c r="H69" s="64">
        <v>38.25</v>
      </c>
      <c r="I69" s="210" t="s">
        <v>43</v>
      </c>
      <c r="J69" s="64">
        <v>2.79</v>
      </c>
      <c r="K69" s="64">
        <v>317.89</v>
      </c>
      <c r="L69" s="64">
        <v>27.4</v>
      </c>
      <c r="M69" s="64">
        <v>28.02</v>
      </c>
      <c r="N69" s="64">
        <v>206.2</v>
      </c>
      <c r="O69" s="64">
        <v>0</v>
      </c>
      <c r="P69" s="64">
        <v>0.86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2321</v>
      </c>
      <c r="B70" s="64">
        <v>3.63</v>
      </c>
      <c r="C70" s="64">
        <v>84.53</v>
      </c>
      <c r="D70" s="64">
        <v>45.69</v>
      </c>
      <c r="E70" s="64">
        <v>10.24</v>
      </c>
      <c r="F70" s="64">
        <v>8.2100000000000009</v>
      </c>
      <c r="G70" s="64">
        <v>91.34</v>
      </c>
      <c r="H70" s="64">
        <v>38.25</v>
      </c>
      <c r="I70" s="210" t="s">
        <v>43</v>
      </c>
      <c r="J70" s="64">
        <v>2.85</v>
      </c>
      <c r="K70" s="64">
        <v>329.9</v>
      </c>
      <c r="L70" s="64">
        <v>27.03</v>
      </c>
      <c r="M70" s="64">
        <v>27.04</v>
      </c>
      <c r="N70" s="64">
        <v>160.80000000000001</v>
      </c>
      <c r="O70" s="64">
        <v>0</v>
      </c>
      <c r="P70" s="64">
        <v>0.83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2322</v>
      </c>
      <c r="B71" s="64">
        <v>3.22</v>
      </c>
      <c r="C71" s="64">
        <v>83.44</v>
      </c>
      <c r="D71" s="64">
        <v>44.8</v>
      </c>
      <c r="E71" s="64">
        <v>8.92</v>
      </c>
      <c r="F71" s="64">
        <v>8.2100000000000009</v>
      </c>
      <c r="G71" s="64">
        <v>91.34</v>
      </c>
      <c r="H71" s="64">
        <v>38.25</v>
      </c>
      <c r="I71" s="210" t="s">
        <v>43</v>
      </c>
      <c r="J71" s="64">
        <v>2.27</v>
      </c>
      <c r="K71" s="64">
        <v>309.76</v>
      </c>
      <c r="L71" s="64">
        <v>26.59</v>
      </c>
      <c r="M71" s="64">
        <v>27.47</v>
      </c>
      <c r="N71" s="64">
        <v>133.30000000000001</v>
      </c>
      <c r="O71" s="64">
        <v>0</v>
      </c>
      <c r="P71" s="64">
        <v>0.82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2323</v>
      </c>
      <c r="B72" s="64">
        <v>3.29</v>
      </c>
      <c r="C72" s="64">
        <v>83.9</v>
      </c>
      <c r="D72" s="64">
        <v>45.1</v>
      </c>
      <c r="E72" s="64">
        <v>12.01</v>
      </c>
      <c r="F72" s="64">
        <v>26.56</v>
      </c>
      <c r="G72" s="64">
        <v>89.36</v>
      </c>
      <c r="H72" s="64">
        <v>34.590000000000003</v>
      </c>
      <c r="I72" s="210" t="s">
        <v>43</v>
      </c>
      <c r="J72" s="64">
        <v>2.58</v>
      </c>
      <c r="K72" s="64">
        <v>327.61</v>
      </c>
      <c r="L72" s="64">
        <v>26.21</v>
      </c>
      <c r="M72" s="64">
        <v>27.28</v>
      </c>
      <c r="N72" s="64">
        <v>126.2</v>
      </c>
      <c r="O72" s="64">
        <v>0</v>
      </c>
      <c r="P72" s="64">
        <v>0.76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2324</v>
      </c>
      <c r="B73" s="64">
        <v>2.71</v>
      </c>
      <c r="C73" s="64">
        <v>82.61</v>
      </c>
      <c r="D73" s="64">
        <v>43.95</v>
      </c>
      <c r="E73" s="64">
        <v>15.81</v>
      </c>
      <c r="F73" s="64">
        <v>32.630000000000003</v>
      </c>
      <c r="G73" s="64">
        <v>86.99</v>
      </c>
      <c r="H73" s="64">
        <v>30.22</v>
      </c>
      <c r="I73" s="210" t="s">
        <v>43</v>
      </c>
      <c r="J73" s="64">
        <v>2.17</v>
      </c>
      <c r="K73" s="64">
        <v>320.14</v>
      </c>
      <c r="L73" s="64">
        <v>25.83</v>
      </c>
      <c r="M73" s="64">
        <v>26.82</v>
      </c>
      <c r="N73" s="64">
        <v>119.7</v>
      </c>
      <c r="O73" s="64">
        <v>0</v>
      </c>
      <c r="P73" s="64">
        <v>0.7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2325</v>
      </c>
      <c r="B74" s="64">
        <v>2.69</v>
      </c>
      <c r="C74" s="64">
        <v>83.82</v>
      </c>
      <c r="D74" s="64">
        <v>44.58</v>
      </c>
      <c r="E74" s="64">
        <v>10.89</v>
      </c>
      <c r="F74" s="64">
        <v>12.81</v>
      </c>
      <c r="G74" s="64">
        <v>86.99</v>
      </c>
      <c r="H74" s="64">
        <v>30.22</v>
      </c>
      <c r="I74" s="210" t="s">
        <v>43</v>
      </c>
      <c r="J74" s="64">
        <v>2.0299999999999998</v>
      </c>
      <c r="K74" s="64">
        <v>323.12</v>
      </c>
      <c r="L74" s="64">
        <v>25.53</v>
      </c>
      <c r="M74" s="64">
        <v>27.55</v>
      </c>
      <c r="N74" s="64">
        <v>113.4</v>
      </c>
      <c r="O74" s="64">
        <v>0</v>
      </c>
      <c r="P74" s="64">
        <v>0.73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2326</v>
      </c>
      <c r="B75" s="64">
        <v>3.66</v>
      </c>
      <c r="C75" s="64">
        <v>85.5</v>
      </c>
      <c r="D75" s="64">
        <v>46.23</v>
      </c>
      <c r="E75" s="64">
        <v>9.9700000000000006</v>
      </c>
      <c r="F75" s="64">
        <v>5.24</v>
      </c>
      <c r="G75" s="64">
        <v>86.99</v>
      </c>
      <c r="H75" s="64">
        <v>30.22</v>
      </c>
      <c r="I75" s="210" t="s">
        <v>43</v>
      </c>
      <c r="J75" s="64">
        <v>1.85</v>
      </c>
      <c r="K75" s="64">
        <v>326.95</v>
      </c>
      <c r="L75" s="64">
        <v>25.19</v>
      </c>
      <c r="M75" s="64">
        <v>27.89</v>
      </c>
      <c r="N75" s="64">
        <v>106.6</v>
      </c>
      <c r="O75" s="64">
        <v>0</v>
      </c>
      <c r="P75" s="64">
        <v>0.77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2327</v>
      </c>
      <c r="B76" s="64">
        <v>6.19</v>
      </c>
      <c r="C76" s="64">
        <v>96.41</v>
      </c>
      <c r="D76" s="64">
        <v>53.96</v>
      </c>
      <c r="E76" s="64">
        <v>10.29</v>
      </c>
      <c r="F76" s="64">
        <v>3.51</v>
      </c>
      <c r="G76" s="64">
        <v>81.92</v>
      </c>
      <c r="H76" s="64">
        <v>29.52</v>
      </c>
      <c r="I76" s="210" t="s">
        <v>43</v>
      </c>
      <c r="J76" s="64">
        <v>1.79</v>
      </c>
      <c r="K76" s="64">
        <v>333.09</v>
      </c>
      <c r="L76" s="64">
        <v>24.72</v>
      </c>
      <c r="M76" s="64">
        <v>31.75</v>
      </c>
      <c r="N76" s="64">
        <v>99.3</v>
      </c>
      <c r="O76" s="64">
        <v>0</v>
      </c>
      <c r="P76" s="64">
        <v>0.88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2328</v>
      </c>
      <c r="B77" s="64">
        <v>6.79</v>
      </c>
      <c r="C77" s="64">
        <v>102.7</v>
      </c>
      <c r="D77" s="64">
        <v>57.72</v>
      </c>
      <c r="E77" s="64">
        <v>9.4700000000000006</v>
      </c>
      <c r="F77" s="64">
        <v>2.16</v>
      </c>
      <c r="G77" s="64">
        <v>75.86</v>
      </c>
      <c r="H77" s="64">
        <v>28.69</v>
      </c>
      <c r="I77" s="210" t="s">
        <v>43</v>
      </c>
      <c r="J77" s="64">
        <v>1.7</v>
      </c>
      <c r="K77" s="64">
        <v>285.7</v>
      </c>
      <c r="L77" s="64">
        <v>23.84</v>
      </c>
      <c r="M77" s="64">
        <v>34.33</v>
      </c>
      <c r="N77" s="64">
        <v>92.3</v>
      </c>
      <c r="O77" s="64">
        <v>0</v>
      </c>
      <c r="P77" s="64">
        <v>0.96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2329</v>
      </c>
      <c r="B78" s="64">
        <v>8.1199999999999992</v>
      </c>
      <c r="C78" s="64">
        <v>102.57</v>
      </c>
      <c r="D78" s="64">
        <v>58.73</v>
      </c>
      <c r="E78" s="64">
        <v>8.3800000000000008</v>
      </c>
      <c r="F78" s="64">
        <v>2.13</v>
      </c>
      <c r="G78" s="64">
        <v>75.86</v>
      </c>
      <c r="H78" s="64">
        <v>28.69</v>
      </c>
      <c r="I78" s="210" t="s">
        <v>43</v>
      </c>
      <c r="J78" s="64">
        <v>0.59</v>
      </c>
      <c r="K78" s="64">
        <v>64.849999999999994</v>
      </c>
      <c r="L78" s="64">
        <v>22.78</v>
      </c>
      <c r="M78" s="64">
        <v>37.47</v>
      </c>
      <c r="N78" s="64">
        <v>84.9</v>
      </c>
      <c r="O78" s="64">
        <v>0</v>
      </c>
      <c r="P78" s="64">
        <v>0.93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2330</v>
      </c>
      <c r="B79" s="64">
        <v>8.7799999999999994</v>
      </c>
      <c r="C79" s="64">
        <v>99.49</v>
      </c>
      <c r="D79" s="64">
        <v>57.64</v>
      </c>
      <c r="E79" s="64">
        <v>7.49</v>
      </c>
      <c r="F79" s="64">
        <v>2.13</v>
      </c>
      <c r="G79" s="64">
        <v>75.86</v>
      </c>
      <c r="H79" s="64">
        <v>28.69</v>
      </c>
      <c r="I79" s="210" t="s">
        <v>43</v>
      </c>
      <c r="J79" s="64">
        <v>1.1200000000000001</v>
      </c>
      <c r="K79" s="64">
        <v>326.73</v>
      </c>
      <c r="L79" s="64">
        <v>21.85</v>
      </c>
      <c r="M79" s="64">
        <v>40.729999999999997</v>
      </c>
      <c r="N79" s="64">
        <v>79.099999999999994</v>
      </c>
      <c r="O79" s="64">
        <v>0</v>
      </c>
      <c r="P79" s="64">
        <v>0.97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2331</v>
      </c>
      <c r="B80" s="64">
        <v>10.49</v>
      </c>
      <c r="C80" s="64">
        <v>96.83</v>
      </c>
      <c r="D80" s="64">
        <v>57.63</v>
      </c>
      <c r="E80" s="64">
        <v>6.89</v>
      </c>
      <c r="F80" s="64">
        <v>2.13</v>
      </c>
      <c r="G80" s="64">
        <v>90.06</v>
      </c>
      <c r="H80" s="64">
        <v>28.35</v>
      </c>
      <c r="I80" s="210" t="s">
        <v>43</v>
      </c>
      <c r="J80" s="64">
        <v>1.78</v>
      </c>
      <c r="K80" s="64">
        <v>287.44</v>
      </c>
      <c r="L80" s="64">
        <v>20.74</v>
      </c>
      <c r="M80" s="64">
        <v>45.89</v>
      </c>
      <c r="N80" s="64">
        <v>76.2</v>
      </c>
      <c r="O80" s="64">
        <v>0</v>
      </c>
      <c r="P80" s="64">
        <v>1.1000000000000001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2332</v>
      </c>
      <c r="B81" s="64">
        <v>13.57</v>
      </c>
      <c r="C81" s="64">
        <v>94.73</v>
      </c>
      <c r="D81" s="64">
        <v>59</v>
      </c>
      <c r="E81" s="64">
        <v>6.55</v>
      </c>
      <c r="F81" s="64">
        <v>2.13</v>
      </c>
      <c r="G81" s="64">
        <v>107.03</v>
      </c>
      <c r="H81" s="64">
        <v>27.95</v>
      </c>
      <c r="I81" s="210" t="s">
        <v>43</v>
      </c>
      <c r="J81" s="64">
        <v>1.17</v>
      </c>
      <c r="K81" s="64">
        <v>320.81</v>
      </c>
      <c r="L81" s="64">
        <v>19.88</v>
      </c>
      <c r="M81" s="64">
        <v>50.45</v>
      </c>
      <c r="N81" s="64">
        <v>75.3</v>
      </c>
      <c r="O81" s="64">
        <v>0</v>
      </c>
      <c r="P81" s="64">
        <v>1.39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2333</v>
      </c>
      <c r="B82" s="64">
        <v>20</v>
      </c>
      <c r="C82" s="64">
        <v>93.42</v>
      </c>
      <c r="D82" s="64">
        <v>63.47</v>
      </c>
      <c r="E82" s="64">
        <v>6.65</v>
      </c>
      <c r="F82" s="64">
        <v>2.13</v>
      </c>
      <c r="G82" s="64">
        <v>107.03</v>
      </c>
      <c r="H82" s="64">
        <v>27.95</v>
      </c>
      <c r="I82" s="210" t="s">
        <v>43</v>
      </c>
      <c r="J82" s="64">
        <v>0.27</v>
      </c>
      <c r="K82" s="64">
        <v>241.21</v>
      </c>
      <c r="L82" s="64">
        <v>19.11</v>
      </c>
      <c r="M82" s="64">
        <v>52.92</v>
      </c>
      <c r="N82" s="64">
        <v>75</v>
      </c>
      <c r="O82" s="64">
        <v>0</v>
      </c>
      <c r="P82" s="64">
        <v>1.43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2334</v>
      </c>
      <c r="B83" s="64">
        <v>26.36</v>
      </c>
      <c r="C83" s="64">
        <v>91.92</v>
      </c>
      <c r="D83" s="64">
        <v>67.790000000000006</v>
      </c>
      <c r="E83" s="64">
        <v>6.83</v>
      </c>
      <c r="F83" s="64">
        <v>2.13</v>
      </c>
      <c r="G83" s="64">
        <v>107.03</v>
      </c>
      <c r="H83" s="64">
        <v>27.95</v>
      </c>
      <c r="I83" s="210" t="s">
        <v>43</v>
      </c>
      <c r="J83" s="64">
        <v>1.53</v>
      </c>
      <c r="K83" s="64">
        <v>280.2</v>
      </c>
      <c r="L83" s="64">
        <v>18.53</v>
      </c>
      <c r="M83" s="64">
        <v>58.34</v>
      </c>
      <c r="N83" s="64">
        <v>74.900000000000006</v>
      </c>
      <c r="O83" s="64">
        <v>0</v>
      </c>
      <c r="P83" s="64">
        <v>1.5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2335</v>
      </c>
      <c r="B84" s="64">
        <v>32.619999999999997</v>
      </c>
      <c r="C84" s="64">
        <v>90.34</v>
      </c>
      <c r="D84" s="64">
        <v>71.98</v>
      </c>
      <c r="E84" s="64">
        <v>6.99</v>
      </c>
      <c r="F84" s="64">
        <v>2.13</v>
      </c>
      <c r="G84" s="64">
        <v>125.84</v>
      </c>
      <c r="H84" s="64">
        <v>31.99</v>
      </c>
      <c r="I84" s="210" t="s">
        <v>43</v>
      </c>
      <c r="J84" s="64">
        <v>1.17</v>
      </c>
      <c r="K84" s="64">
        <v>230.21</v>
      </c>
      <c r="L84" s="64">
        <v>18.18</v>
      </c>
      <c r="M84" s="64">
        <v>57.73</v>
      </c>
      <c r="N84" s="64">
        <v>74.8</v>
      </c>
      <c r="O84" s="64">
        <v>0</v>
      </c>
      <c r="P84" s="64">
        <v>1.48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2336</v>
      </c>
      <c r="B85" s="64">
        <v>39.94</v>
      </c>
      <c r="C85" s="64">
        <v>89.05</v>
      </c>
      <c r="D85" s="64">
        <v>77.180000000000007</v>
      </c>
      <c r="E85" s="64">
        <v>6.79</v>
      </c>
      <c r="F85" s="64">
        <v>2.13</v>
      </c>
      <c r="G85" s="64">
        <v>148.32</v>
      </c>
      <c r="H85" s="64">
        <v>36.81</v>
      </c>
      <c r="I85" s="210" t="s">
        <v>43</v>
      </c>
      <c r="J85" s="64">
        <v>1.34</v>
      </c>
      <c r="K85" s="64">
        <v>155.49</v>
      </c>
      <c r="L85" s="64">
        <v>17.98</v>
      </c>
      <c r="M85" s="64">
        <v>60.23</v>
      </c>
      <c r="N85" s="64">
        <v>74.8</v>
      </c>
      <c r="O85" s="64">
        <v>0</v>
      </c>
      <c r="P85" s="64">
        <v>1.42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2337</v>
      </c>
      <c r="B86" s="64">
        <v>49.3</v>
      </c>
      <c r="C86" s="64">
        <v>87.14</v>
      </c>
      <c r="D86" s="64">
        <v>83.69</v>
      </c>
      <c r="E86" s="64">
        <v>6.89</v>
      </c>
      <c r="F86" s="64">
        <v>2.13</v>
      </c>
      <c r="G86" s="64">
        <v>148.32</v>
      </c>
      <c r="H86" s="64">
        <v>36.81</v>
      </c>
      <c r="I86" s="210" t="s">
        <v>43</v>
      </c>
      <c r="J86" s="64">
        <v>1.66</v>
      </c>
      <c r="K86" s="64">
        <v>284.37</v>
      </c>
      <c r="L86" s="64">
        <v>17.62</v>
      </c>
      <c r="M86" s="64">
        <v>61.43</v>
      </c>
      <c r="N86" s="64">
        <v>74.599999999999994</v>
      </c>
      <c r="O86" s="64">
        <v>0</v>
      </c>
      <c r="P86" s="64">
        <v>1.36</v>
      </c>
      <c r="Q86" s="64">
        <v>8.24</v>
      </c>
      <c r="R86" s="198"/>
      <c r="S86" s="198"/>
      <c r="T86" s="198"/>
      <c r="U86" s="198"/>
    </row>
    <row r="87" spans="1:26" s="12" customFormat="1" x14ac:dyDescent="0.25">
      <c r="A87" s="214" t="s">
        <v>2338</v>
      </c>
      <c r="B87" s="64">
        <v>56.24</v>
      </c>
      <c r="C87" s="64">
        <v>85.04</v>
      </c>
      <c r="D87" s="64">
        <v>88.16</v>
      </c>
      <c r="E87" s="64">
        <v>7.68</v>
      </c>
      <c r="F87" s="64">
        <v>2.13</v>
      </c>
      <c r="G87" s="64">
        <v>148.32</v>
      </c>
      <c r="H87" s="64">
        <v>36.81</v>
      </c>
      <c r="I87" s="210" t="s">
        <v>43</v>
      </c>
      <c r="J87" s="64">
        <v>0.76</v>
      </c>
      <c r="K87" s="64">
        <v>221.52</v>
      </c>
      <c r="L87" s="64">
        <v>18.329999999999998</v>
      </c>
      <c r="M87" s="64">
        <v>53.06</v>
      </c>
      <c r="N87" s="64">
        <v>73</v>
      </c>
      <c r="O87" s="64">
        <v>0</v>
      </c>
      <c r="P87" s="64">
        <v>1.26</v>
      </c>
      <c r="Q87" s="64">
        <v>8.5500000000000007</v>
      </c>
      <c r="R87" s="198"/>
      <c r="S87" s="198"/>
      <c r="T87" s="198"/>
      <c r="U87" s="198"/>
    </row>
    <row r="88" spans="1:26" s="12" customFormat="1" x14ac:dyDescent="0.25">
      <c r="A88" s="214" t="s">
        <v>2339</v>
      </c>
      <c r="B88" s="64">
        <v>60.04</v>
      </c>
      <c r="C88" s="64">
        <v>85.2</v>
      </c>
      <c r="D88" s="64">
        <v>91.29</v>
      </c>
      <c r="E88" s="64">
        <v>7.85</v>
      </c>
      <c r="F88" s="64">
        <v>2.13</v>
      </c>
      <c r="G88" s="64">
        <v>164.21</v>
      </c>
      <c r="H88" s="64">
        <v>40.93</v>
      </c>
      <c r="I88" s="210" t="s">
        <v>43</v>
      </c>
      <c r="J88" s="64">
        <v>1.4</v>
      </c>
      <c r="K88" s="64">
        <v>317.2</v>
      </c>
      <c r="L88" s="64">
        <v>18.37</v>
      </c>
      <c r="M88" s="64">
        <v>54.95</v>
      </c>
      <c r="N88" s="64">
        <v>74.900000000000006</v>
      </c>
      <c r="O88" s="64">
        <v>0</v>
      </c>
      <c r="P88" s="64">
        <v>1.44</v>
      </c>
      <c r="Q88" s="64">
        <v>8.8000000000000007</v>
      </c>
      <c r="R88" s="198"/>
      <c r="S88" s="198"/>
      <c r="T88" s="198"/>
      <c r="U88" s="198"/>
    </row>
    <row r="89" spans="1:26" s="12" customFormat="1" x14ac:dyDescent="0.25">
      <c r="A89" s="214" t="s">
        <v>2340</v>
      </c>
      <c r="B89" s="64">
        <v>63.3</v>
      </c>
      <c r="C89" s="64">
        <v>84.74</v>
      </c>
      <c r="D89" s="64">
        <v>93.66</v>
      </c>
      <c r="E89" s="64">
        <v>8.34</v>
      </c>
      <c r="F89" s="64">
        <v>2.13</v>
      </c>
      <c r="G89" s="64">
        <v>183.21</v>
      </c>
      <c r="H89" s="64">
        <v>45.85</v>
      </c>
      <c r="I89" s="210" t="s">
        <v>43</v>
      </c>
      <c r="J89" s="64">
        <v>1.45</v>
      </c>
      <c r="K89" s="64">
        <v>300.35000000000002</v>
      </c>
      <c r="L89" s="64">
        <v>17.73</v>
      </c>
      <c r="M89" s="64">
        <v>60.72</v>
      </c>
      <c r="N89" s="64">
        <v>74.8</v>
      </c>
      <c r="O89" s="64">
        <v>0</v>
      </c>
      <c r="P89" s="64">
        <v>1.44</v>
      </c>
      <c r="Q89" s="64">
        <v>8.99</v>
      </c>
      <c r="R89" s="198"/>
      <c r="S89" s="198"/>
      <c r="T89" s="198"/>
      <c r="U89" s="198"/>
    </row>
    <row r="90" spans="1:26" s="12" customFormat="1" x14ac:dyDescent="0.25">
      <c r="A90" s="214" t="s">
        <v>2341</v>
      </c>
      <c r="B90" s="64">
        <v>71.23</v>
      </c>
      <c r="C90" s="64">
        <v>85.1</v>
      </c>
      <c r="D90" s="64">
        <v>100.21</v>
      </c>
      <c r="E90" s="64">
        <v>8.41</v>
      </c>
      <c r="F90" s="64">
        <v>2.13</v>
      </c>
      <c r="G90" s="64">
        <v>183.21</v>
      </c>
      <c r="H90" s="64">
        <v>45.85</v>
      </c>
      <c r="I90" s="210" t="s">
        <v>43</v>
      </c>
      <c r="J90" s="64">
        <v>1.05</v>
      </c>
      <c r="K90" s="64">
        <v>22.97</v>
      </c>
      <c r="L90" s="64">
        <v>17.059999999999999</v>
      </c>
      <c r="M90" s="64">
        <v>65.3</v>
      </c>
      <c r="N90" s="64">
        <v>74.8</v>
      </c>
      <c r="O90" s="64">
        <v>0</v>
      </c>
      <c r="P90" s="64">
        <v>1.57</v>
      </c>
      <c r="Q90" s="64">
        <v>9.2799999999999994</v>
      </c>
      <c r="R90" s="198"/>
      <c r="S90" s="198"/>
      <c r="T90" s="198"/>
      <c r="U90" s="198"/>
    </row>
    <row r="91" spans="1:26" s="12" customFormat="1" x14ac:dyDescent="0.25">
      <c r="A91" s="214" t="s">
        <v>2342</v>
      </c>
      <c r="B91" s="64">
        <v>78.86</v>
      </c>
      <c r="C91" s="64">
        <v>84.98</v>
      </c>
      <c r="D91" s="64">
        <v>106.26</v>
      </c>
      <c r="E91" s="64">
        <v>8.4</v>
      </c>
      <c r="F91" s="64">
        <v>2.13</v>
      </c>
      <c r="G91" s="64">
        <v>183.21</v>
      </c>
      <c r="H91" s="64">
        <v>45.85</v>
      </c>
      <c r="I91" s="210" t="s">
        <v>43</v>
      </c>
      <c r="J91" s="64">
        <v>1.36</v>
      </c>
      <c r="K91" s="64">
        <v>292.92</v>
      </c>
      <c r="L91" s="64">
        <v>16.73</v>
      </c>
      <c r="M91" s="64">
        <v>64.53</v>
      </c>
      <c r="N91" s="64">
        <v>74.8</v>
      </c>
      <c r="O91" s="64">
        <v>0</v>
      </c>
      <c r="P91" s="64">
        <v>1.67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4" t="s">
        <v>2343</v>
      </c>
      <c r="B92" s="64">
        <v>83.7</v>
      </c>
      <c r="C92" s="64">
        <v>84.41</v>
      </c>
      <c r="D92" s="64">
        <v>109.84</v>
      </c>
      <c r="E92" s="64">
        <v>8.82</v>
      </c>
      <c r="F92" s="64">
        <v>2.13</v>
      </c>
      <c r="G92" s="64">
        <v>185.54</v>
      </c>
      <c r="H92" s="64">
        <v>47.51</v>
      </c>
      <c r="I92" s="210" t="s">
        <v>43</v>
      </c>
      <c r="J92" s="64">
        <v>1.69</v>
      </c>
      <c r="K92" s="64">
        <v>316.13</v>
      </c>
      <c r="L92" s="64">
        <v>16.38</v>
      </c>
      <c r="M92" s="64">
        <v>71.36</v>
      </c>
      <c r="N92" s="64">
        <v>74.8</v>
      </c>
      <c r="O92" s="64">
        <v>0</v>
      </c>
      <c r="P92" s="64">
        <v>1.77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4" t="s">
        <v>2344</v>
      </c>
      <c r="B93" s="64">
        <v>91.12</v>
      </c>
      <c r="C93" s="64">
        <v>83.91</v>
      </c>
      <c r="D93" s="64">
        <v>115.53</v>
      </c>
      <c r="E93" s="64">
        <v>9.19</v>
      </c>
      <c r="F93" s="64">
        <v>2.13</v>
      </c>
      <c r="G93" s="64">
        <v>188.32</v>
      </c>
      <c r="H93" s="64">
        <v>49.5</v>
      </c>
      <c r="I93" s="210" t="s">
        <v>43</v>
      </c>
      <c r="J93" s="64">
        <v>1.68</v>
      </c>
      <c r="K93" s="64">
        <v>284.72000000000003</v>
      </c>
      <c r="L93" s="64">
        <v>16.02</v>
      </c>
      <c r="M93" s="64">
        <v>72.13</v>
      </c>
      <c r="N93" s="64">
        <v>74.5</v>
      </c>
      <c r="O93" s="64">
        <v>0</v>
      </c>
      <c r="P93" s="64">
        <v>1.85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4" t="s">
        <v>2345</v>
      </c>
      <c r="B94" s="64">
        <v>101.7</v>
      </c>
      <c r="C94" s="64">
        <v>83.92</v>
      </c>
      <c r="D94" s="64">
        <v>124.02</v>
      </c>
      <c r="E94" s="64">
        <v>9.35</v>
      </c>
      <c r="F94" s="64">
        <v>2.13</v>
      </c>
      <c r="G94" s="64">
        <v>188.32</v>
      </c>
      <c r="H94" s="64">
        <v>49.5</v>
      </c>
      <c r="I94" s="210" t="s">
        <v>43</v>
      </c>
      <c r="J94" s="64">
        <v>1.62</v>
      </c>
      <c r="K94" s="64">
        <v>316.56</v>
      </c>
      <c r="L94" s="64">
        <v>15.81</v>
      </c>
      <c r="M94" s="64">
        <v>75.599999999999994</v>
      </c>
      <c r="N94" s="64">
        <v>74.5</v>
      </c>
      <c r="O94" s="64">
        <v>0</v>
      </c>
      <c r="P94" s="64">
        <v>1.97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4" t="s">
        <v>2346</v>
      </c>
      <c r="B95" s="64">
        <v>116.05</v>
      </c>
      <c r="C95" s="64">
        <v>83.99</v>
      </c>
      <c r="D95" s="64">
        <v>135.57</v>
      </c>
      <c r="E95" s="64">
        <v>9.6199999999999992</v>
      </c>
      <c r="F95" s="64">
        <v>2.13</v>
      </c>
      <c r="G95" s="64">
        <v>188.32</v>
      </c>
      <c r="H95" s="64">
        <v>49.5</v>
      </c>
      <c r="I95" s="210" t="s">
        <v>43</v>
      </c>
      <c r="J95" s="64">
        <v>1.72</v>
      </c>
      <c r="K95" s="64">
        <v>289.87</v>
      </c>
      <c r="L95" s="64">
        <v>15.51</v>
      </c>
      <c r="M95" s="64">
        <v>79.319999999999993</v>
      </c>
      <c r="N95" s="64">
        <v>74.3</v>
      </c>
      <c r="O95" s="64">
        <v>0</v>
      </c>
      <c r="P95" s="64">
        <v>2.2400000000000002</v>
      </c>
      <c r="Q95" s="64">
        <v>9.73</v>
      </c>
      <c r="R95" s="198"/>
      <c r="S95" s="198"/>
      <c r="T95" s="198"/>
      <c r="U95" s="198"/>
    </row>
    <row r="96" spans="1:26" s="12" customFormat="1" x14ac:dyDescent="0.25">
      <c r="A96" s="214" t="s">
        <v>2347</v>
      </c>
      <c r="B96" s="64">
        <v>124.78</v>
      </c>
      <c r="C96" s="64">
        <v>81.180000000000007</v>
      </c>
      <c r="D96" s="64">
        <v>141.1</v>
      </c>
      <c r="E96" s="64">
        <v>9.5500000000000007</v>
      </c>
      <c r="F96" s="64">
        <v>2.13</v>
      </c>
      <c r="G96" s="64">
        <v>201.28</v>
      </c>
      <c r="H96" s="64">
        <v>52.47</v>
      </c>
      <c r="I96" s="210" t="s">
        <v>43</v>
      </c>
      <c r="J96" s="64">
        <v>1.69</v>
      </c>
      <c r="K96" s="64">
        <v>304.63</v>
      </c>
      <c r="L96" s="64">
        <v>15.48</v>
      </c>
      <c r="M96" s="64">
        <v>78.73</v>
      </c>
      <c r="N96" s="64">
        <v>74.400000000000006</v>
      </c>
      <c r="O96" s="64">
        <v>0</v>
      </c>
      <c r="P96" s="64">
        <v>2.52</v>
      </c>
      <c r="Q96" s="64">
        <v>9.82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2348</v>
      </c>
      <c r="B97" s="64">
        <v>132.16999999999999</v>
      </c>
      <c r="C97" s="64">
        <v>80.739999999999995</v>
      </c>
      <c r="D97" s="64">
        <v>146.79</v>
      </c>
      <c r="E97" s="64">
        <v>9.83</v>
      </c>
      <c r="F97" s="64">
        <v>2.13</v>
      </c>
      <c r="G97" s="64">
        <v>216.77</v>
      </c>
      <c r="H97" s="64">
        <v>56.02</v>
      </c>
      <c r="I97" s="210" t="s">
        <v>43</v>
      </c>
      <c r="J97" s="64">
        <v>1.75</v>
      </c>
      <c r="K97" s="64">
        <v>312.3</v>
      </c>
      <c r="L97" s="64">
        <v>15.3</v>
      </c>
      <c r="M97" s="64">
        <v>79.819999999999993</v>
      </c>
      <c r="N97" s="64">
        <v>74.599999999999994</v>
      </c>
      <c r="O97" s="64">
        <v>0</v>
      </c>
      <c r="P97" s="64">
        <v>2.42</v>
      </c>
      <c r="Q97" s="64">
        <v>9.85</v>
      </c>
      <c r="R97" s="198"/>
      <c r="S97" s="198"/>
      <c r="T97" s="198"/>
      <c r="U97" s="198"/>
    </row>
    <row r="98" spans="1:33" s="12" customFormat="1" x14ac:dyDescent="0.25">
      <c r="A98" s="214" t="s">
        <v>2349</v>
      </c>
      <c r="B98" s="64">
        <v>137</v>
      </c>
      <c r="C98" s="64">
        <v>79.05</v>
      </c>
      <c r="D98" s="64">
        <v>149.79</v>
      </c>
      <c r="E98" s="64">
        <v>9.81</v>
      </c>
      <c r="F98" s="64">
        <v>2.13</v>
      </c>
      <c r="G98" s="64">
        <v>216.77</v>
      </c>
      <c r="H98" s="64">
        <v>56.02</v>
      </c>
      <c r="I98" s="210" t="s">
        <v>43</v>
      </c>
      <c r="J98" s="64">
        <v>1.77</v>
      </c>
      <c r="K98" s="64">
        <v>258.22000000000003</v>
      </c>
      <c r="L98" s="64">
        <v>15.16</v>
      </c>
      <c r="M98" s="64">
        <v>75.28</v>
      </c>
      <c r="N98" s="64">
        <v>74.5</v>
      </c>
      <c r="O98" s="64">
        <v>0</v>
      </c>
      <c r="P98" s="64">
        <v>2.4</v>
      </c>
      <c r="Q98" s="64">
        <v>9.8800000000000008</v>
      </c>
      <c r="R98" s="198"/>
      <c r="S98" s="198"/>
      <c r="T98" s="198"/>
      <c r="U98" s="198"/>
    </row>
    <row r="99" spans="1:33" s="12" customFormat="1" x14ac:dyDescent="0.25">
      <c r="A99" s="214" t="s">
        <v>2350</v>
      </c>
      <c r="B99" s="64">
        <v>142.34</v>
      </c>
      <c r="C99" s="64">
        <v>77.930000000000007</v>
      </c>
      <c r="D99" s="64">
        <v>153.47999999999999</v>
      </c>
      <c r="E99" s="64">
        <v>9.35</v>
      </c>
      <c r="F99" s="64">
        <v>2.13</v>
      </c>
      <c r="G99" s="64">
        <v>216.77</v>
      </c>
      <c r="H99" s="64">
        <v>56.02</v>
      </c>
      <c r="I99" s="210" t="s">
        <v>43</v>
      </c>
      <c r="J99" s="64">
        <v>1.74</v>
      </c>
      <c r="K99" s="64">
        <v>312.58999999999997</v>
      </c>
      <c r="L99" s="64">
        <v>15.07</v>
      </c>
      <c r="M99" s="64">
        <v>80.77</v>
      </c>
      <c r="N99" s="64">
        <v>74.599999999999994</v>
      </c>
      <c r="O99" s="64">
        <v>0</v>
      </c>
      <c r="P99" s="64">
        <v>2.65</v>
      </c>
      <c r="Q99" s="64">
        <v>9.8800000000000008</v>
      </c>
      <c r="R99" s="198"/>
      <c r="S99" s="198"/>
      <c r="T99" s="198"/>
      <c r="U99" s="198"/>
    </row>
    <row r="100" spans="1:33" s="12" customFormat="1" x14ac:dyDescent="0.25">
      <c r="A100" s="214" t="s">
        <v>2351</v>
      </c>
      <c r="B100" s="64">
        <v>155.47999999999999</v>
      </c>
      <c r="C100" s="64">
        <v>77.260000000000005</v>
      </c>
      <c r="D100" s="64">
        <v>163.68</v>
      </c>
      <c r="E100" s="64">
        <v>9.7200000000000006</v>
      </c>
      <c r="F100" s="64">
        <v>2.13</v>
      </c>
      <c r="G100" s="64">
        <v>212.28</v>
      </c>
      <c r="H100" s="64">
        <v>59.81</v>
      </c>
      <c r="I100" s="210" t="s">
        <v>43</v>
      </c>
      <c r="J100" s="64">
        <v>1.46</v>
      </c>
      <c r="K100" s="64">
        <v>307.54000000000002</v>
      </c>
      <c r="L100" s="64">
        <v>14.83</v>
      </c>
      <c r="M100" s="64">
        <v>83.45</v>
      </c>
      <c r="N100" s="64">
        <v>74.5</v>
      </c>
      <c r="O100" s="64">
        <v>0</v>
      </c>
      <c r="P100" s="64">
        <v>2.64</v>
      </c>
      <c r="Q100" s="64">
        <v>9.89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2352</v>
      </c>
      <c r="B101" s="64">
        <v>165.67</v>
      </c>
      <c r="C101" s="64">
        <v>76.489999999999995</v>
      </c>
      <c r="D101" s="64">
        <v>171.44</v>
      </c>
      <c r="E101" s="64">
        <v>9.89</v>
      </c>
      <c r="F101" s="64">
        <v>2.13</v>
      </c>
      <c r="G101" s="64">
        <v>206.91</v>
      </c>
      <c r="H101" s="64">
        <v>64.34</v>
      </c>
      <c r="I101" s="210" t="s">
        <v>43</v>
      </c>
      <c r="J101" s="64">
        <v>1.71</v>
      </c>
      <c r="K101" s="64">
        <v>295.27</v>
      </c>
      <c r="L101" s="64">
        <v>14.61</v>
      </c>
      <c r="M101" s="64">
        <v>83.18</v>
      </c>
      <c r="N101" s="64">
        <v>74.400000000000006</v>
      </c>
      <c r="O101" s="64">
        <v>0</v>
      </c>
      <c r="P101" s="64">
        <v>2.69</v>
      </c>
      <c r="Q101" s="64">
        <v>9.9499999999999993</v>
      </c>
      <c r="R101" s="198"/>
      <c r="S101" s="198"/>
      <c r="T101" s="198"/>
      <c r="U101" s="198"/>
    </row>
    <row r="102" spans="1:33" s="12" customFormat="1" x14ac:dyDescent="0.25">
      <c r="A102" s="214" t="s">
        <v>2353</v>
      </c>
      <c r="B102" s="64">
        <v>171.28</v>
      </c>
      <c r="C102" s="64">
        <v>75.459999999999994</v>
      </c>
      <c r="D102" s="64">
        <v>175.4</v>
      </c>
      <c r="E102" s="64">
        <v>10.37</v>
      </c>
      <c r="F102" s="64">
        <v>2.13</v>
      </c>
      <c r="G102" s="64">
        <v>206.91</v>
      </c>
      <c r="H102" s="64">
        <v>64.34</v>
      </c>
      <c r="I102" s="210" t="s">
        <v>43</v>
      </c>
      <c r="J102" s="64">
        <v>0.8</v>
      </c>
      <c r="K102" s="64">
        <v>202.53</v>
      </c>
      <c r="L102" s="64">
        <v>14.52</v>
      </c>
      <c r="M102" s="64">
        <v>80.8</v>
      </c>
      <c r="N102" s="64">
        <v>74.3</v>
      </c>
      <c r="O102" s="64">
        <v>0</v>
      </c>
      <c r="P102" s="64">
        <v>2.62</v>
      </c>
      <c r="Q102" s="64">
        <v>10.01</v>
      </c>
      <c r="R102" s="198"/>
      <c r="S102" s="198"/>
      <c r="T102" s="198"/>
      <c r="U102" s="198"/>
    </row>
    <row r="103" spans="1:33" s="12" customFormat="1" x14ac:dyDescent="0.25">
      <c r="A103" s="214" t="s">
        <v>2354</v>
      </c>
      <c r="B103" s="64">
        <v>175.79</v>
      </c>
      <c r="C103" s="64">
        <v>75.36</v>
      </c>
      <c r="D103" s="64">
        <v>178.97</v>
      </c>
      <c r="E103" s="64">
        <v>10.55</v>
      </c>
      <c r="F103" s="64">
        <v>2.13</v>
      </c>
      <c r="G103" s="64">
        <v>206.91</v>
      </c>
      <c r="H103" s="64">
        <v>64.34</v>
      </c>
      <c r="I103" s="210" t="s">
        <v>43</v>
      </c>
      <c r="J103" s="64">
        <v>1.26</v>
      </c>
      <c r="K103" s="64">
        <v>275.25</v>
      </c>
      <c r="L103" s="64">
        <v>14.49</v>
      </c>
      <c r="M103" s="64">
        <v>83.43</v>
      </c>
      <c r="N103" s="64">
        <v>74.2</v>
      </c>
      <c r="O103" s="64">
        <v>0</v>
      </c>
      <c r="P103" s="64">
        <v>2.62</v>
      </c>
      <c r="Q103" s="64">
        <v>10.07</v>
      </c>
      <c r="R103" s="198"/>
      <c r="S103" s="198"/>
      <c r="T103" s="198"/>
      <c r="U103" s="198"/>
    </row>
    <row r="104" spans="1:33" s="12" customFormat="1" x14ac:dyDescent="0.25">
      <c r="A104" s="214" t="s">
        <v>2355</v>
      </c>
      <c r="B104" s="64">
        <v>186.06</v>
      </c>
      <c r="C104" s="64">
        <v>74.73</v>
      </c>
      <c r="D104" s="64">
        <v>186.88</v>
      </c>
      <c r="E104" s="64">
        <v>9.2100000000000009</v>
      </c>
      <c r="F104" s="64">
        <v>2.13</v>
      </c>
      <c r="G104" s="64">
        <v>206</v>
      </c>
      <c r="H104" s="64">
        <v>66.010000000000005</v>
      </c>
      <c r="I104" s="210" t="s">
        <v>43</v>
      </c>
      <c r="J104" s="64">
        <v>1.35</v>
      </c>
      <c r="K104" s="64">
        <v>321.68</v>
      </c>
      <c r="L104" s="64">
        <v>14.44</v>
      </c>
      <c r="M104" s="64">
        <v>84.49</v>
      </c>
      <c r="N104" s="64">
        <v>74.5</v>
      </c>
      <c r="O104" s="64">
        <v>0</v>
      </c>
      <c r="P104" s="64">
        <v>2.67</v>
      </c>
      <c r="Q104" s="64">
        <v>10.1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2.3199999999999998</v>
      </c>
      <c r="C106" s="67">
        <f>MIN(C9:C104)</f>
        <v>53.74</v>
      </c>
      <c r="D106" s="67">
        <f t="shared" ref="D106:Q106" si="0">MIN(D9:D104)</f>
        <v>35</v>
      </c>
      <c r="E106" s="67">
        <f t="shared" si="0"/>
        <v>6.55</v>
      </c>
      <c r="F106" s="67">
        <f t="shared" si="0"/>
        <v>2.13</v>
      </c>
      <c r="G106" s="67">
        <f t="shared" si="0"/>
        <v>70.010000000000005</v>
      </c>
      <c r="H106" s="67">
        <f t="shared" si="0"/>
        <v>22.02</v>
      </c>
      <c r="I106" s="67">
        <f t="shared" si="0"/>
        <v>0</v>
      </c>
      <c r="J106" s="67">
        <f t="shared" si="0"/>
        <v>0.16</v>
      </c>
      <c r="K106" s="67">
        <f t="shared" si="0"/>
        <v>2.77</v>
      </c>
      <c r="L106" s="67">
        <f t="shared" si="0"/>
        <v>10.28</v>
      </c>
      <c r="M106" s="67">
        <f t="shared" si="0"/>
        <v>25.15</v>
      </c>
      <c r="N106" s="67">
        <f t="shared" si="0"/>
        <v>73</v>
      </c>
      <c r="O106" s="67">
        <f t="shared" si="0"/>
        <v>0</v>
      </c>
      <c r="P106" s="67">
        <f t="shared" si="0"/>
        <v>0.52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186.06</v>
      </c>
      <c r="C107" s="66">
        <f t="shared" ref="C107:Q107" si="1">MAX(C9:C104)</f>
        <v>125.22</v>
      </c>
      <c r="D107" s="66">
        <f t="shared" si="1"/>
        <v>186.88</v>
      </c>
      <c r="E107" s="66">
        <f t="shared" si="1"/>
        <v>25.38</v>
      </c>
      <c r="F107" s="66">
        <f t="shared" si="1"/>
        <v>51.29</v>
      </c>
      <c r="G107" s="66">
        <f t="shared" si="1"/>
        <v>216.77</v>
      </c>
      <c r="H107" s="66">
        <f t="shared" si="1"/>
        <v>66.010000000000005</v>
      </c>
      <c r="I107" s="66">
        <f t="shared" si="1"/>
        <v>0</v>
      </c>
      <c r="J107" s="66">
        <f t="shared" si="1"/>
        <v>3.09</v>
      </c>
      <c r="K107" s="66">
        <f t="shared" si="1"/>
        <v>355.72</v>
      </c>
      <c r="L107" s="66">
        <f t="shared" si="1"/>
        <v>29.93</v>
      </c>
      <c r="M107" s="66">
        <f t="shared" si="1"/>
        <v>103.63</v>
      </c>
      <c r="N107" s="66">
        <f t="shared" si="1"/>
        <v>695.7</v>
      </c>
      <c r="O107" s="66">
        <f t="shared" si="1"/>
        <v>0</v>
      </c>
      <c r="P107" s="66">
        <f t="shared" si="1"/>
        <v>2.69</v>
      </c>
      <c r="Q107" s="66">
        <f t="shared" si="1"/>
        <v>10.23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93.206354166666642</v>
      </c>
      <c r="C108" s="67">
        <f t="shared" ref="C108:Q108" si="2">AVERAGE(C9:C104)</f>
        <v>74.473124999999968</v>
      </c>
      <c r="D108" s="67">
        <f t="shared" si="2"/>
        <v>112.27760416666668</v>
      </c>
      <c r="E108" s="67">
        <f t="shared" si="2"/>
        <v>9.0885416666666661</v>
      </c>
      <c r="F108" s="67">
        <f t="shared" si="2"/>
        <v>4.9805208333333315</v>
      </c>
      <c r="G108" s="67">
        <f t="shared" si="2"/>
        <v>137.54072916666669</v>
      </c>
      <c r="H108" s="67">
        <f t="shared" si="2"/>
        <v>43.524583333333332</v>
      </c>
      <c r="I108" s="67" t="e">
        <f t="shared" si="2"/>
        <v>#DIV/0!</v>
      </c>
      <c r="J108" s="67">
        <f t="shared" si="2"/>
        <v>1.5179166666666675</v>
      </c>
      <c r="K108" s="67">
        <f t="shared" si="2"/>
        <v>259.14822916666668</v>
      </c>
      <c r="L108" s="67">
        <f t="shared" si="2"/>
        <v>18.567916666666665</v>
      </c>
      <c r="M108" s="67">
        <f t="shared" si="2"/>
        <v>65.514895833333341</v>
      </c>
      <c r="N108" s="67">
        <f t="shared" si="2"/>
        <v>212.1958333333333</v>
      </c>
      <c r="O108" s="67">
        <f t="shared" si="2"/>
        <v>0</v>
      </c>
      <c r="P108" s="67">
        <f t="shared" si="2"/>
        <v>1.5760416666666668</v>
      </c>
      <c r="Q108" s="67">
        <f t="shared" si="2"/>
        <v>9.2955208333333434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70.978566670284238</v>
      </c>
      <c r="C109" s="67">
        <f t="shared" ref="C109:Q109" si="3">STDEV(C9:C104)</f>
        <v>13.640533660844618</v>
      </c>
      <c r="D109" s="67">
        <f t="shared" si="3"/>
        <v>52.841333596956332</v>
      </c>
      <c r="E109" s="67">
        <f t="shared" si="3"/>
        <v>2.5528926747460345</v>
      </c>
      <c r="F109" s="67">
        <f t="shared" si="3"/>
        <v>8.1157143694117888</v>
      </c>
      <c r="G109" s="67">
        <f t="shared" si="3"/>
        <v>42.525852031930555</v>
      </c>
      <c r="H109" s="67">
        <f t="shared" si="3"/>
        <v>9.819578179027701</v>
      </c>
      <c r="I109" s="67" t="e">
        <f t="shared" si="3"/>
        <v>#DIV/0!</v>
      </c>
      <c r="J109" s="67">
        <f t="shared" si="3"/>
        <v>0.62385713051807168</v>
      </c>
      <c r="K109" s="67">
        <f t="shared" si="3"/>
        <v>94.126515420747509</v>
      </c>
      <c r="L109" s="67">
        <f t="shared" si="3"/>
        <v>6.4230405845578424</v>
      </c>
      <c r="M109" s="67">
        <f t="shared" si="3"/>
        <v>29.336832211395322</v>
      </c>
      <c r="N109" s="67">
        <f t="shared" si="3"/>
        <v>215.97120028114199</v>
      </c>
      <c r="O109" s="67">
        <f t="shared" si="3"/>
        <v>0</v>
      </c>
      <c r="P109" s="67">
        <f t="shared" si="3"/>
        <v>0.64311491838209933</v>
      </c>
      <c r="Q109" s="67">
        <f t="shared" si="3"/>
        <v>0.86540878055179149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2356</v>
      </c>
      <c r="B9" s="64">
        <v>192.18</v>
      </c>
      <c r="C9" s="64">
        <v>74.77</v>
      </c>
      <c r="D9" s="64">
        <v>191.8</v>
      </c>
      <c r="E9" s="64">
        <v>11.15</v>
      </c>
      <c r="F9" s="64">
        <v>2.13</v>
      </c>
      <c r="G9" s="64">
        <v>204.91</v>
      </c>
      <c r="H9" s="64">
        <v>68</v>
      </c>
      <c r="I9" s="210" t="s">
        <v>43</v>
      </c>
      <c r="J9" s="64">
        <v>1.65</v>
      </c>
      <c r="K9" s="64">
        <v>320.57</v>
      </c>
      <c r="L9" s="64">
        <v>14.12</v>
      </c>
      <c r="M9" s="64">
        <v>86.47</v>
      </c>
      <c r="N9" s="64">
        <v>74.599999999999994</v>
      </c>
      <c r="O9" s="64">
        <v>0</v>
      </c>
      <c r="P9" s="64">
        <v>2.69</v>
      </c>
      <c r="Q9" s="64">
        <v>10.17</v>
      </c>
      <c r="S9" s="198"/>
      <c r="T9" s="198"/>
      <c r="U9" s="198"/>
    </row>
    <row r="10" spans="1:21" s="12" customFormat="1" x14ac:dyDescent="0.25">
      <c r="A10" s="214" t="s">
        <v>2357</v>
      </c>
      <c r="B10" s="64">
        <v>194.54</v>
      </c>
      <c r="C10" s="64">
        <v>75.3</v>
      </c>
      <c r="D10" s="64">
        <v>193.97</v>
      </c>
      <c r="E10" s="64">
        <v>11.07</v>
      </c>
      <c r="F10" s="64">
        <v>2.13</v>
      </c>
      <c r="G10" s="64">
        <v>204.91</v>
      </c>
      <c r="H10" s="64">
        <v>68</v>
      </c>
      <c r="I10" s="210" t="s">
        <v>43</v>
      </c>
      <c r="J10" s="64">
        <v>1.72</v>
      </c>
      <c r="K10" s="64">
        <v>284.47000000000003</v>
      </c>
      <c r="L10" s="64">
        <v>13.96</v>
      </c>
      <c r="M10" s="64">
        <v>88.18</v>
      </c>
      <c r="N10" s="64">
        <v>74.5</v>
      </c>
      <c r="O10" s="64">
        <v>0</v>
      </c>
      <c r="P10" s="64">
        <v>2.69</v>
      </c>
      <c r="Q10" s="64">
        <v>10.210000000000001</v>
      </c>
      <c r="S10" s="198"/>
      <c r="T10" s="198"/>
      <c r="U10" s="198"/>
    </row>
    <row r="11" spans="1:21" s="12" customFormat="1" x14ac:dyDescent="0.25">
      <c r="A11" s="214" t="s">
        <v>2358</v>
      </c>
      <c r="B11" s="64">
        <v>195</v>
      </c>
      <c r="C11" s="64">
        <v>75.34</v>
      </c>
      <c r="D11" s="64">
        <v>194.37</v>
      </c>
      <c r="E11" s="64">
        <v>11.12</v>
      </c>
      <c r="F11" s="64">
        <v>2.13</v>
      </c>
      <c r="G11" s="64">
        <v>204.91</v>
      </c>
      <c r="H11" s="64">
        <v>68</v>
      </c>
      <c r="I11" s="210" t="s">
        <v>43</v>
      </c>
      <c r="J11" s="64">
        <v>1.01</v>
      </c>
      <c r="K11" s="64">
        <v>315.89999999999998</v>
      </c>
      <c r="L11" s="64">
        <v>13.93</v>
      </c>
      <c r="M11" s="64">
        <v>91.43</v>
      </c>
      <c r="N11" s="64">
        <v>74.599999999999994</v>
      </c>
      <c r="O11" s="64">
        <v>0</v>
      </c>
      <c r="P11" s="64">
        <v>2.69</v>
      </c>
      <c r="Q11" s="64">
        <v>10.24</v>
      </c>
      <c r="S11" s="198"/>
      <c r="T11" s="198"/>
      <c r="U11" s="198"/>
    </row>
    <row r="12" spans="1:21" s="12" customFormat="1" x14ac:dyDescent="0.25">
      <c r="A12" s="214" t="s">
        <v>2359</v>
      </c>
      <c r="B12" s="64">
        <v>194.75</v>
      </c>
      <c r="C12" s="64">
        <v>74.36</v>
      </c>
      <c r="D12" s="64">
        <v>193.65</v>
      </c>
      <c r="E12" s="64">
        <v>11.57</v>
      </c>
      <c r="F12" s="64">
        <v>2.13</v>
      </c>
      <c r="G12" s="64">
        <v>192.72</v>
      </c>
      <c r="H12" s="64">
        <v>66.59</v>
      </c>
      <c r="I12" s="210" t="s">
        <v>43</v>
      </c>
      <c r="J12" s="64">
        <v>1.59</v>
      </c>
      <c r="K12" s="64">
        <v>320.68</v>
      </c>
      <c r="L12" s="64">
        <v>13.73</v>
      </c>
      <c r="M12" s="64">
        <v>93.36</v>
      </c>
      <c r="N12" s="64">
        <v>74.7</v>
      </c>
      <c r="O12" s="64">
        <v>0</v>
      </c>
      <c r="P12" s="64">
        <v>2.7</v>
      </c>
      <c r="Q12" s="64">
        <v>10.27</v>
      </c>
      <c r="S12" s="198"/>
      <c r="T12" s="198"/>
      <c r="U12" s="198"/>
    </row>
    <row r="13" spans="1:21" s="12" customFormat="1" x14ac:dyDescent="0.25">
      <c r="A13" s="214" t="s">
        <v>2360</v>
      </c>
      <c r="B13" s="64">
        <v>192.82</v>
      </c>
      <c r="C13" s="64">
        <v>73.349999999999994</v>
      </c>
      <c r="D13" s="64">
        <v>191.57</v>
      </c>
      <c r="E13" s="64">
        <v>11.24</v>
      </c>
      <c r="F13" s="64">
        <v>2.13</v>
      </c>
      <c r="G13" s="64">
        <v>178.14</v>
      </c>
      <c r="H13" s="64">
        <v>64.91</v>
      </c>
      <c r="I13" s="210" t="s">
        <v>43</v>
      </c>
      <c r="J13" s="64">
        <v>1.81</v>
      </c>
      <c r="K13" s="64">
        <v>314.45999999999998</v>
      </c>
      <c r="L13" s="64">
        <v>13.61</v>
      </c>
      <c r="M13" s="64">
        <v>94.65</v>
      </c>
      <c r="N13" s="64">
        <v>74.7</v>
      </c>
      <c r="O13" s="64">
        <v>0</v>
      </c>
      <c r="P13" s="64">
        <v>2.4500000000000002</v>
      </c>
      <c r="Q13" s="64">
        <v>10.26</v>
      </c>
      <c r="S13" s="198"/>
      <c r="T13" s="198"/>
      <c r="U13" s="198"/>
    </row>
    <row r="14" spans="1:21" s="12" customFormat="1" x14ac:dyDescent="0.25">
      <c r="A14" s="214" t="s">
        <v>2361</v>
      </c>
      <c r="B14" s="64">
        <v>190.33</v>
      </c>
      <c r="C14" s="64">
        <v>71.900000000000006</v>
      </c>
      <c r="D14" s="64">
        <v>188.82</v>
      </c>
      <c r="E14" s="64">
        <v>11.48</v>
      </c>
      <c r="F14" s="64">
        <v>2.13</v>
      </c>
      <c r="G14" s="64">
        <v>178.14</v>
      </c>
      <c r="H14" s="64">
        <v>64.91</v>
      </c>
      <c r="I14" s="210" t="s">
        <v>43</v>
      </c>
      <c r="J14" s="64">
        <v>2.1</v>
      </c>
      <c r="K14" s="64">
        <v>340.73</v>
      </c>
      <c r="L14" s="64">
        <v>13.54</v>
      </c>
      <c r="M14" s="64">
        <v>97.27</v>
      </c>
      <c r="N14" s="64">
        <v>74.3</v>
      </c>
      <c r="O14" s="64">
        <v>0</v>
      </c>
      <c r="P14" s="64">
        <v>2.5299999999999998</v>
      </c>
      <c r="Q14" s="64">
        <v>10.27</v>
      </c>
      <c r="S14" s="198"/>
      <c r="T14" s="198"/>
      <c r="U14" s="198"/>
    </row>
    <row r="15" spans="1:21" s="12" customFormat="1" x14ac:dyDescent="0.25">
      <c r="A15" s="214" t="s">
        <v>2362</v>
      </c>
      <c r="B15" s="64">
        <v>187.08</v>
      </c>
      <c r="C15" s="64">
        <v>70.55</v>
      </c>
      <c r="D15" s="64">
        <v>185.51</v>
      </c>
      <c r="E15" s="64">
        <v>11.65</v>
      </c>
      <c r="F15" s="64">
        <v>2.13</v>
      </c>
      <c r="G15" s="64">
        <v>178.14</v>
      </c>
      <c r="H15" s="64">
        <v>64.91</v>
      </c>
      <c r="I15" s="210" t="s">
        <v>43</v>
      </c>
      <c r="J15" s="64">
        <v>0.63</v>
      </c>
      <c r="K15" s="64">
        <v>278.93</v>
      </c>
      <c r="L15" s="64">
        <v>13.73</v>
      </c>
      <c r="M15" s="64">
        <v>90.8</v>
      </c>
      <c r="N15" s="64">
        <v>74.099999999999994</v>
      </c>
      <c r="O15" s="64">
        <v>0</v>
      </c>
      <c r="P15" s="64">
        <v>2.52</v>
      </c>
      <c r="Q15" s="64">
        <v>10.29</v>
      </c>
      <c r="S15" s="198"/>
      <c r="T15" s="198"/>
      <c r="U15" s="198"/>
    </row>
    <row r="16" spans="1:21" s="12" customFormat="1" x14ac:dyDescent="0.25">
      <c r="A16" s="214" t="s">
        <v>2363</v>
      </c>
      <c r="B16" s="64">
        <v>183.11</v>
      </c>
      <c r="C16" s="64">
        <v>68.16</v>
      </c>
      <c r="D16" s="64">
        <v>181.08</v>
      </c>
      <c r="E16" s="64">
        <v>11.2</v>
      </c>
      <c r="F16" s="64">
        <v>2.13</v>
      </c>
      <c r="G16" s="64">
        <v>175.59</v>
      </c>
      <c r="H16" s="64">
        <v>64.33</v>
      </c>
      <c r="I16" s="210" t="s">
        <v>43</v>
      </c>
      <c r="J16" s="64">
        <v>0.39</v>
      </c>
      <c r="K16" s="64">
        <v>332.38</v>
      </c>
      <c r="L16" s="64">
        <v>14.07</v>
      </c>
      <c r="M16" s="64">
        <v>85.68</v>
      </c>
      <c r="N16" s="64">
        <v>74.400000000000006</v>
      </c>
      <c r="O16" s="64">
        <v>0</v>
      </c>
      <c r="P16" s="64">
        <v>2.5099999999999998</v>
      </c>
      <c r="Q16" s="64">
        <v>10.24</v>
      </c>
      <c r="S16" s="198"/>
      <c r="T16" s="198"/>
      <c r="U16" s="198"/>
    </row>
    <row r="17" spans="1:21" s="12" customFormat="1" x14ac:dyDescent="0.25">
      <c r="A17" s="214" t="s">
        <v>2364</v>
      </c>
      <c r="B17" s="64">
        <v>179.04</v>
      </c>
      <c r="C17" s="64">
        <v>65.25</v>
      </c>
      <c r="D17" s="64">
        <v>176.29</v>
      </c>
      <c r="E17" s="64">
        <v>10.86</v>
      </c>
      <c r="F17" s="64">
        <v>2.13</v>
      </c>
      <c r="G17" s="64">
        <v>172.55</v>
      </c>
      <c r="H17" s="64">
        <v>63.6</v>
      </c>
      <c r="I17" s="210" t="s">
        <v>43</v>
      </c>
      <c r="J17" s="64">
        <v>0.78</v>
      </c>
      <c r="K17" s="64">
        <v>84.05</v>
      </c>
      <c r="L17" s="64">
        <v>13.99</v>
      </c>
      <c r="M17" s="64">
        <v>85.59</v>
      </c>
      <c r="N17" s="64">
        <v>74.400000000000006</v>
      </c>
      <c r="O17" s="64">
        <v>0</v>
      </c>
      <c r="P17" s="64">
        <v>2.5099999999999998</v>
      </c>
      <c r="Q17" s="64">
        <v>10.220000000000001</v>
      </c>
      <c r="S17" s="198"/>
      <c r="T17" s="198"/>
      <c r="U17" s="198"/>
    </row>
    <row r="18" spans="1:21" s="12" customFormat="1" x14ac:dyDescent="0.25">
      <c r="A18" s="214" t="s">
        <v>2365</v>
      </c>
      <c r="B18" s="64">
        <v>174.78</v>
      </c>
      <c r="C18" s="64">
        <v>65.069999999999993</v>
      </c>
      <c r="D18" s="64">
        <v>172.78</v>
      </c>
      <c r="E18" s="64">
        <v>10.85</v>
      </c>
      <c r="F18" s="64">
        <v>2.13</v>
      </c>
      <c r="G18" s="64">
        <v>172.55</v>
      </c>
      <c r="H18" s="64">
        <v>63.6</v>
      </c>
      <c r="I18" s="210" t="s">
        <v>43</v>
      </c>
      <c r="J18" s="64">
        <v>0.15</v>
      </c>
      <c r="K18" s="64">
        <v>65.92</v>
      </c>
      <c r="L18" s="64">
        <v>14.15</v>
      </c>
      <c r="M18" s="64">
        <v>84.13</v>
      </c>
      <c r="N18" s="64">
        <v>74.5</v>
      </c>
      <c r="O18" s="64">
        <v>0</v>
      </c>
      <c r="P18" s="64">
        <v>2.44</v>
      </c>
      <c r="Q18" s="64">
        <v>10.199999999999999</v>
      </c>
      <c r="S18" s="198"/>
      <c r="T18" s="198"/>
      <c r="U18" s="198"/>
    </row>
    <row r="19" spans="1:21" s="12" customFormat="1" x14ac:dyDescent="0.25">
      <c r="A19" s="214" t="s">
        <v>2366</v>
      </c>
      <c r="B19" s="64">
        <v>170.09</v>
      </c>
      <c r="C19" s="64">
        <v>64.59</v>
      </c>
      <c r="D19" s="64">
        <v>168.77</v>
      </c>
      <c r="E19" s="64">
        <v>10.57</v>
      </c>
      <c r="F19" s="64">
        <v>2.13</v>
      </c>
      <c r="G19" s="64">
        <v>172.55</v>
      </c>
      <c r="H19" s="64">
        <v>63.6</v>
      </c>
      <c r="I19" s="210" t="s">
        <v>43</v>
      </c>
      <c r="J19" s="64">
        <v>1.79</v>
      </c>
      <c r="K19" s="64">
        <v>300.62</v>
      </c>
      <c r="L19" s="64">
        <v>13.6</v>
      </c>
      <c r="M19" s="64">
        <v>89.01</v>
      </c>
      <c r="N19" s="64">
        <v>75</v>
      </c>
      <c r="O19" s="64">
        <v>0</v>
      </c>
      <c r="P19" s="64">
        <v>2.4500000000000002</v>
      </c>
      <c r="Q19" s="64">
        <v>10.17</v>
      </c>
      <c r="S19" s="198"/>
      <c r="T19" s="198"/>
      <c r="U19" s="198"/>
    </row>
    <row r="20" spans="1:21" s="12" customFormat="1" x14ac:dyDescent="0.25">
      <c r="A20" s="214" t="s">
        <v>2367</v>
      </c>
      <c r="B20" s="64">
        <v>166.25</v>
      </c>
      <c r="C20" s="64">
        <v>63.68</v>
      </c>
      <c r="D20" s="64">
        <v>165.21</v>
      </c>
      <c r="E20" s="64">
        <v>10.59</v>
      </c>
      <c r="F20" s="64">
        <v>2.13</v>
      </c>
      <c r="G20" s="64">
        <v>188.57</v>
      </c>
      <c r="H20" s="64">
        <v>65.62</v>
      </c>
      <c r="I20" s="210" t="s">
        <v>43</v>
      </c>
      <c r="J20" s="64">
        <v>1.24</v>
      </c>
      <c r="K20" s="64">
        <v>299.99</v>
      </c>
      <c r="L20" s="64">
        <v>13.1</v>
      </c>
      <c r="M20" s="64">
        <v>91.7</v>
      </c>
      <c r="N20" s="64">
        <v>74.900000000000006</v>
      </c>
      <c r="O20" s="64">
        <v>0</v>
      </c>
      <c r="P20" s="64">
        <v>2.41</v>
      </c>
      <c r="Q20" s="64">
        <v>10.119999999999999</v>
      </c>
      <c r="S20" s="198"/>
      <c r="T20" s="198"/>
      <c r="U20" s="198"/>
    </row>
    <row r="21" spans="1:21" s="12" customFormat="1" x14ac:dyDescent="0.25">
      <c r="A21" s="214" t="s">
        <v>2368</v>
      </c>
      <c r="B21" s="64">
        <v>162.21</v>
      </c>
      <c r="C21" s="64">
        <v>63.02</v>
      </c>
      <c r="D21" s="64">
        <v>161.63</v>
      </c>
      <c r="E21" s="64">
        <v>10.32</v>
      </c>
      <c r="F21" s="64">
        <v>2.13</v>
      </c>
      <c r="G21" s="64">
        <v>207.71</v>
      </c>
      <c r="H21" s="64">
        <v>68.040000000000006</v>
      </c>
      <c r="I21" s="210" t="s">
        <v>43</v>
      </c>
      <c r="J21" s="64">
        <v>0.53</v>
      </c>
      <c r="K21" s="64">
        <v>203.24</v>
      </c>
      <c r="L21" s="64">
        <v>12.96</v>
      </c>
      <c r="M21" s="64">
        <v>93.53</v>
      </c>
      <c r="N21" s="64">
        <v>74.599999999999994</v>
      </c>
      <c r="O21" s="64">
        <v>0</v>
      </c>
      <c r="P21" s="64">
        <v>2.4</v>
      </c>
      <c r="Q21" s="64">
        <v>10.1</v>
      </c>
      <c r="S21" s="198"/>
      <c r="T21" s="198"/>
      <c r="U21" s="198"/>
    </row>
    <row r="22" spans="1:21" s="12" customFormat="1" x14ac:dyDescent="0.25">
      <c r="A22" s="214" t="s">
        <v>2369</v>
      </c>
      <c r="B22" s="64">
        <v>158.13999999999999</v>
      </c>
      <c r="C22" s="64">
        <v>61.46</v>
      </c>
      <c r="D22" s="64">
        <v>157.55000000000001</v>
      </c>
      <c r="E22" s="64">
        <v>10.210000000000001</v>
      </c>
      <c r="F22" s="64">
        <v>2.13</v>
      </c>
      <c r="G22" s="64">
        <v>207.71</v>
      </c>
      <c r="H22" s="64">
        <v>68.040000000000006</v>
      </c>
      <c r="I22" s="210" t="s">
        <v>43</v>
      </c>
      <c r="J22" s="64">
        <v>1</v>
      </c>
      <c r="K22" s="64">
        <v>357.48</v>
      </c>
      <c r="L22" s="64">
        <v>12.91</v>
      </c>
      <c r="M22" s="64">
        <v>93.75</v>
      </c>
      <c r="N22" s="64">
        <v>74.7</v>
      </c>
      <c r="O22" s="64">
        <v>0</v>
      </c>
      <c r="P22" s="64">
        <v>2.37</v>
      </c>
      <c r="Q22" s="64">
        <v>10.09</v>
      </c>
      <c r="S22" s="198"/>
      <c r="T22" s="198"/>
      <c r="U22" s="198"/>
    </row>
    <row r="23" spans="1:21" s="12" customFormat="1" x14ac:dyDescent="0.25">
      <c r="A23" s="214" t="s">
        <v>2370</v>
      </c>
      <c r="B23" s="64">
        <v>154.38999999999999</v>
      </c>
      <c r="C23" s="64">
        <v>60.76</v>
      </c>
      <c r="D23" s="64">
        <v>154.18</v>
      </c>
      <c r="E23" s="64">
        <v>10.39</v>
      </c>
      <c r="F23" s="64">
        <v>2.13</v>
      </c>
      <c r="G23" s="64">
        <v>207.71</v>
      </c>
      <c r="H23" s="64">
        <v>68.040000000000006</v>
      </c>
      <c r="I23" s="210" t="s">
        <v>43</v>
      </c>
      <c r="J23" s="64">
        <v>0.38</v>
      </c>
      <c r="K23" s="64">
        <v>195.58</v>
      </c>
      <c r="L23" s="64">
        <v>12.77</v>
      </c>
      <c r="M23" s="64">
        <v>95.75</v>
      </c>
      <c r="N23" s="64">
        <v>74.599999999999994</v>
      </c>
      <c r="O23" s="64">
        <v>0</v>
      </c>
      <c r="P23" s="64">
        <v>2.35</v>
      </c>
      <c r="Q23" s="64">
        <v>10.050000000000001</v>
      </c>
      <c r="S23" s="198"/>
      <c r="T23" s="198"/>
      <c r="U23" s="198"/>
    </row>
    <row r="24" spans="1:21" s="12" customFormat="1" x14ac:dyDescent="0.25">
      <c r="A24" s="214" t="s">
        <v>2371</v>
      </c>
      <c r="B24" s="64">
        <v>151.55000000000001</v>
      </c>
      <c r="C24" s="64">
        <v>61.34</v>
      </c>
      <c r="D24" s="64">
        <v>152.19999999999999</v>
      </c>
      <c r="E24" s="64">
        <v>10.8</v>
      </c>
      <c r="F24" s="64">
        <v>2.13</v>
      </c>
      <c r="G24" s="64">
        <v>206.87</v>
      </c>
      <c r="H24" s="64">
        <v>68.39</v>
      </c>
      <c r="I24" s="210" t="s">
        <v>43</v>
      </c>
      <c r="J24" s="64">
        <v>1.22</v>
      </c>
      <c r="K24" s="64">
        <v>323.12</v>
      </c>
      <c r="L24" s="64">
        <v>12.6</v>
      </c>
      <c r="M24" s="64">
        <v>97.09</v>
      </c>
      <c r="N24" s="64">
        <v>74.599999999999994</v>
      </c>
      <c r="O24" s="64">
        <v>0</v>
      </c>
      <c r="P24" s="64">
        <v>2.35</v>
      </c>
      <c r="Q24" s="64">
        <v>10</v>
      </c>
      <c r="S24" s="198"/>
      <c r="T24" s="198"/>
      <c r="U24" s="198"/>
    </row>
    <row r="25" spans="1:21" s="12" customFormat="1" x14ac:dyDescent="0.25">
      <c r="A25" s="214" t="s">
        <v>2372</v>
      </c>
      <c r="B25" s="64">
        <v>148.52000000000001</v>
      </c>
      <c r="C25" s="64">
        <v>61.24</v>
      </c>
      <c r="D25" s="64">
        <v>149.72</v>
      </c>
      <c r="E25" s="64">
        <v>10.88</v>
      </c>
      <c r="F25" s="64">
        <v>2.13</v>
      </c>
      <c r="G25" s="64">
        <v>205.86</v>
      </c>
      <c r="H25" s="64">
        <v>68.81</v>
      </c>
      <c r="I25" s="210" t="s">
        <v>43</v>
      </c>
      <c r="J25" s="64">
        <v>0.99</v>
      </c>
      <c r="K25" s="64">
        <v>222.94</v>
      </c>
      <c r="L25" s="64">
        <v>12.91</v>
      </c>
      <c r="M25" s="64">
        <v>92.18</v>
      </c>
      <c r="N25" s="64">
        <v>74.5</v>
      </c>
      <c r="O25" s="64">
        <v>0</v>
      </c>
      <c r="P25" s="64">
        <v>2.31</v>
      </c>
      <c r="Q25" s="64">
        <v>10</v>
      </c>
      <c r="S25" s="198"/>
      <c r="T25" s="198"/>
      <c r="U25" s="198"/>
    </row>
    <row r="26" spans="1:21" s="12" customFormat="1" x14ac:dyDescent="0.25">
      <c r="A26" s="214" t="s">
        <v>2373</v>
      </c>
      <c r="B26" s="64">
        <v>143.68</v>
      </c>
      <c r="C26" s="64">
        <v>61.06</v>
      </c>
      <c r="D26" s="64">
        <v>145.75</v>
      </c>
      <c r="E26" s="64">
        <v>10.46</v>
      </c>
      <c r="F26" s="64">
        <v>2.13</v>
      </c>
      <c r="G26" s="64">
        <v>205.86</v>
      </c>
      <c r="H26" s="64">
        <v>68.81</v>
      </c>
      <c r="I26" s="210" t="s">
        <v>43</v>
      </c>
      <c r="J26" s="64">
        <v>1.48</v>
      </c>
      <c r="K26" s="64">
        <v>279.75</v>
      </c>
      <c r="L26" s="64">
        <v>12.91</v>
      </c>
      <c r="M26" s="64">
        <v>88.89</v>
      </c>
      <c r="N26" s="64">
        <v>74.599999999999994</v>
      </c>
      <c r="O26" s="64">
        <v>0</v>
      </c>
      <c r="P26" s="64">
        <v>2.25</v>
      </c>
      <c r="Q26" s="64">
        <v>9.98</v>
      </c>
      <c r="S26" s="198"/>
      <c r="T26" s="198"/>
      <c r="U26" s="198"/>
    </row>
    <row r="27" spans="1:21" s="12" customFormat="1" x14ac:dyDescent="0.25">
      <c r="A27" s="214" t="s">
        <v>2374</v>
      </c>
      <c r="B27" s="64">
        <v>138.52000000000001</v>
      </c>
      <c r="C27" s="64">
        <v>61.01</v>
      </c>
      <c r="D27" s="64">
        <v>141.58000000000001</v>
      </c>
      <c r="E27" s="64">
        <v>9.99</v>
      </c>
      <c r="F27" s="64">
        <v>2.13</v>
      </c>
      <c r="G27" s="64">
        <v>205.86</v>
      </c>
      <c r="H27" s="64">
        <v>68.81</v>
      </c>
      <c r="I27" s="210" t="s">
        <v>43</v>
      </c>
      <c r="J27" s="64">
        <v>0.81</v>
      </c>
      <c r="K27" s="64">
        <v>267.86</v>
      </c>
      <c r="L27" s="64">
        <v>12.87</v>
      </c>
      <c r="M27" s="64">
        <v>90.9</v>
      </c>
      <c r="N27" s="64">
        <v>74.599999999999994</v>
      </c>
      <c r="O27" s="64">
        <v>0</v>
      </c>
      <c r="P27" s="64">
        <v>2.21</v>
      </c>
      <c r="Q27" s="64">
        <v>9.9700000000000006</v>
      </c>
      <c r="S27" s="198"/>
      <c r="T27" s="198"/>
      <c r="U27" s="198"/>
    </row>
    <row r="28" spans="1:21" s="12" customFormat="1" x14ac:dyDescent="0.25">
      <c r="A28" s="214" t="s">
        <v>2375</v>
      </c>
      <c r="B28" s="64">
        <v>134.66999999999999</v>
      </c>
      <c r="C28" s="64">
        <v>61.1</v>
      </c>
      <c r="D28" s="64">
        <v>138.54</v>
      </c>
      <c r="E28" s="64">
        <v>10.09</v>
      </c>
      <c r="F28" s="64">
        <v>2.13</v>
      </c>
      <c r="G28" s="64">
        <v>194.39</v>
      </c>
      <c r="H28" s="64">
        <v>65.92</v>
      </c>
      <c r="I28" s="210" t="s">
        <v>43</v>
      </c>
      <c r="J28" s="64">
        <v>1.39</v>
      </c>
      <c r="K28" s="64">
        <v>279.83</v>
      </c>
      <c r="L28" s="64">
        <v>12.84</v>
      </c>
      <c r="M28" s="64">
        <v>91.38</v>
      </c>
      <c r="N28" s="64">
        <v>74.599999999999994</v>
      </c>
      <c r="O28" s="64">
        <v>0</v>
      </c>
      <c r="P28" s="64">
        <v>2.1800000000000002</v>
      </c>
      <c r="Q28" s="64">
        <v>9.98</v>
      </c>
      <c r="S28" s="198"/>
      <c r="T28" s="198"/>
      <c r="U28" s="198"/>
    </row>
    <row r="29" spans="1:21" s="12" customFormat="1" x14ac:dyDescent="0.25">
      <c r="A29" s="214" t="s">
        <v>2376</v>
      </c>
      <c r="B29" s="64">
        <v>131.87</v>
      </c>
      <c r="C29" s="64">
        <v>61.35</v>
      </c>
      <c r="D29" s="64">
        <v>136.43</v>
      </c>
      <c r="E29" s="64">
        <v>9.5500000000000007</v>
      </c>
      <c r="F29" s="64">
        <v>2.13</v>
      </c>
      <c r="G29" s="64">
        <v>180.69</v>
      </c>
      <c r="H29" s="64">
        <v>62.3</v>
      </c>
      <c r="I29" s="210" t="s">
        <v>43</v>
      </c>
      <c r="J29" s="64">
        <v>1.8</v>
      </c>
      <c r="K29" s="64">
        <v>307.7</v>
      </c>
      <c r="L29" s="64">
        <v>12.73</v>
      </c>
      <c r="M29" s="64">
        <v>92.6</v>
      </c>
      <c r="N29" s="64">
        <v>74.5</v>
      </c>
      <c r="O29" s="64">
        <v>0</v>
      </c>
      <c r="P29" s="64">
        <v>2.15</v>
      </c>
      <c r="Q29" s="64">
        <v>9.9600000000000009</v>
      </c>
      <c r="S29" s="198"/>
      <c r="T29" s="198"/>
      <c r="U29" s="198"/>
    </row>
    <row r="30" spans="1:21" s="12" customFormat="1" x14ac:dyDescent="0.25">
      <c r="A30" s="214" t="s">
        <v>2377</v>
      </c>
      <c r="B30" s="64">
        <v>130.88999999999999</v>
      </c>
      <c r="C30" s="64">
        <v>61.7</v>
      </c>
      <c r="D30" s="64">
        <v>135.83000000000001</v>
      </c>
      <c r="E30" s="64">
        <v>9.6199999999999992</v>
      </c>
      <c r="F30" s="64">
        <v>2.13</v>
      </c>
      <c r="G30" s="64">
        <v>180.69</v>
      </c>
      <c r="H30" s="64">
        <v>62.3</v>
      </c>
      <c r="I30" s="210" t="s">
        <v>43</v>
      </c>
      <c r="J30" s="64">
        <v>1.68</v>
      </c>
      <c r="K30" s="64">
        <v>293.87</v>
      </c>
      <c r="L30" s="64">
        <v>12.8</v>
      </c>
      <c r="M30" s="64">
        <v>92.35</v>
      </c>
      <c r="N30" s="64">
        <v>74.900000000000006</v>
      </c>
      <c r="O30" s="64">
        <v>0</v>
      </c>
      <c r="P30" s="64">
        <v>2.15</v>
      </c>
      <c r="Q30" s="64">
        <v>9.94</v>
      </c>
      <c r="S30" s="198"/>
      <c r="T30" s="198"/>
      <c r="U30" s="198"/>
    </row>
    <row r="31" spans="1:21" s="12" customFormat="1" x14ac:dyDescent="0.25">
      <c r="A31" s="214" t="s">
        <v>2378</v>
      </c>
      <c r="B31" s="64">
        <v>130.4</v>
      </c>
      <c r="C31" s="64">
        <v>61.55</v>
      </c>
      <c r="D31" s="64">
        <v>135.35</v>
      </c>
      <c r="E31" s="64">
        <v>9.66</v>
      </c>
      <c r="F31" s="64">
        <v>2.13</v>
      </c>
      <c r="G31" s="64">
        <v>180.69</v>
      </c>
      <c r="H31" s="64">
        <v>62.3</v>
      </c>
      <c r="I31" s="210" t="s">
        <v>43</v>
      </c>
      <c r="J31" s="64">
        <v>1.73</v>
      </c>
      <c r="K31" s="64">
        <v>317.94</v>
      </c>
      <c r="L31" s="64">
        <v>12.45</v>
      </c>
      <c r="M31" s="64">
        <v>95.46</v>
      </c>
      <c r="N31" s="64">
        <v>75</v>
      </c>
      <c r="O31" s="64">
        <v>0</v>
      </c>
      <c r="P31" s="64">
        <v>2.14</v>
      </c>
      <c r="Q31" s="64">
        <v>9.9499999999999993</v>
      </c>
      <c r="S31" s="198"/>
      <c r="T31" s="198"/>
      <c r="U31" s="198"/>
    </row>
    <row r="32" spans="1:21" s="12" customFormat="1" x14ac:dyDescent="0.25">
      <c r="A32" s="214" t="s">
        <v>2379</v>
      </c>
      <c r="B32" s="64">
        <v>130.44999999999999</v>
      </c>
      <c r="C32" s="64">
        <v>61.35</v>
      </c>
      <c r="D32" s="64">
        <v>135.29</v>
      </c>
      <c r="E32" s="64">
        <v>10.130000000000001</v>
      </c>
      <c r="F32" s="64">
        <v>2.13</v>
      </c>
      <c r="G32" s="64">
        <v>188.23</v>
      </c>
      <c r="H32" s="64">
        <v>63.73</v>
      </c>
      <c r="I32" s="210" t="s">
        <v>43</v>
      </c>
      <c r="J32" s="64">
        <v>1.55</v>
      </c>
      <c r="K32" s="64">
        <v>339.03</v>
      </c>
      <c r="L32" s="64">
        <v>12.12</v>
      </c>
      <c r="M32" s="64">
        <v>98.28</v>
      </c>
      <c r="N32" s="64">
        <v>75.099999999999994</v>
      </c>
      <c r="O32" s="64">
        <v>0</v>
      </c>
      <c r="P32" s="64">
        <v>2.14</v>
      </c>
      <c r="Q32" s="64">
        <v>9.92</v>
      </c>
      <c r="S32" s="198"/>
      <c r="T32" s="198"/>
      <c r="U32" s="198"/>
    </row>
    <row r="33" spans="1:21" s="12" customFormat="1" x14ac:dyDescent="0.25">
      <c r="A33" s="214" t="s">
        <v>2380</v>
      </c>
      <c r="B33" s="64">
        <v>132.03</v>
      </c>
      <c r="C33" s="64">
        <v>57.95</v>
      </c>
      <c r="D33" s="64">
        <v>134.78</v>
      </c>
      <c r="E33" s="64">
        <v>9.7200000000000006</v>
      </c>
      <c r="F33" s="64">
        <v>2.13</v>
      </c>
      <c r="G33" s="64">
        <v>197.23</v>
      </c>
      <c r="H33" s="64">
        <v>65.52</v>
      </c>
      <c r="I33" s="210" t="s">
        <v>43</v>
      </c>
      <c r="J33" s="64">
        <v>1.55</v>
      </c>
      <c r="K33" s="64">
        <v>309.61</v>
      </c>
      <c r="L33" s="64">
        <v>11.79</v>
      </c>
      <c r="M33" s="64">
        <v>99.96</v>
      </c>
      <c r="N33" s="64">
        <v>75</v>
      </c>
      <c r="O33" s="64">
        <v>0</v>
      </c>
      <c r="P33" s="64">
        <v>2.14</v>
      </c>
      <c r="Q33" s="64">
        <v>9.91</v>
      </c>
      <c r="S33" s="198"/>
      <c r="T33" s="198"/>
      <c r="U33" s="198"/>
    </row>
    <row r="34" spans="1:21" s="12" customFormat="1" x14ac:dyDescent="0.25">
      <c r="A34" s="214" t="s">
        <v>2381</v>
      </c>
      <c r="B34" s="64">
        <v>133.04</v>
      </c>
      <c r="C34" s="64">
        <v>57.84</v>
      </c>
      <c r="D34" s="64">
        <v>135.53</v>
      </c>
      <c r="E34" s="64">
        <v>9.7899999999999991</v>
      </c>
      <c r="F34" s="64">
        <v>2.13</v>
      </c>
      <c r="G34" s="64">
        <v>197.23</v>
      </c>
      <c r="H34" s="64">
        <v>65.52</v>
      </c>
      <c r="I34" s="210" t="s">
        <v>43</v>
      </c>
      <c r="J34" s="64">
        <v>1.8</v>
      </c>
      <c r="K34" s="64">
        <v>334.58</v>
      </c>
      <c r="L34" s="64">
        <v>11.63</v>
      </c>
      <c r="M34" s="64">
        <v>100.1</v>
      </c>
      <c r="N34" s="64">
        <v>75.2</v>
      </c>
      <c r="O34" s="64">
        <v>0</v>
      </c>
      <c r="P34" s="64">
        <v>2.14</v>
      </c>
      <c r="Q34" s="64">
        <v>9.9</v>
      </c>
      <c r="S34" s="198"/>
      <c r="T34" s="198"/>
      <c r="U34" s="198"/>
    </row>
    <row r="35" spans="1:21" s="12" customFormat="1" x14ac:dyDescent="0.25">
      <c r="A35" s="214" t="s">
        <v>2382</v>
      </c>
      <c r="B35" s="64">
        <v>137.1</v>
      </c>
      <c r="C35" s="64">
        <v>58.93</v>
      </c>
      <c r="D35" s="64">
        <v>139.36000000000001</v>
      </c>
      <c r="E35" s="64">
        <v>9.7899999999999991</v>
      </c>
      <c r="F35" s="64">
        <v>2.13</v>
      </c>
      <c r="G35" s="64">
        <v>197.23</v>
      </c>
      <c r="H35" s="64">
        <v>65.52</v>
      </c>
      <c r="I35" s="210" t="s">
        <v>43</v>
      </c>
      <c r="J35" s="64">
        <v>1.75</v>
      </c>
      <c r="K35" s="64">
        <v>326.58999999999997</v>
      </c>
      <c r="L35" s="64">
        <v>11.76</v>
      </c>
      <c r="M35" s="64">
        <v>100.15</v>
      </c>
      <c r="N35" s="64">
        <v>77.599999999999994</v>
      </c>
      <c r="O35" s="64">
        <v>0</v>
      </c>
      <c r="P35" s="64">
        <v>2.14</v>
      </c>
      <c r="Q35" s="64">
        <v>9.8800000000000008</v>
      </c>
      <c r="S35" s="198"/>
      <c r="T35" s="198"/>
      <c r="U35" s="198"/>
    </row>
    <row r="36" spans="1:21" s="12" customFormat="1" x14ac:dyDescent="0.25">
      <c r="A36" s="214" t="s">
        <v>2383</v>
      </c>
      <c r="B36" s="64">
        <v>144.69</v>
      </c>
      <c r="C36" s="64">
        <v>60.57</v>
      </c>
      <c r="D36" s="64">
        <v>146.29</v>
      </c>
      <c r="E36" s="64">
        <v>9.8800000000000008</v>
      </c>
      <c r="F36" s="64">
        <v>2.13</v>
      </c>
      <c r="G36" s="64">
        <v>197.55</v>
      </c>
      <c r="H36" s="64">
        <v>65.84</v>
      </c>
      <c r="I36" s="210" t="s">
        <v>43</v>
      </c>
      <c r="J36" s="64">
        <v>1.71</v>
      </c>
      <c r="K36" s="64">
        <v>268.69</v>
      </c>
      <c r="L36" s="64">
        <v>11.92</v>
      </c>
      <c r="M36" s="64">
        <v>99.99</v>
      </c>
      <c r="N36" s="64">
        <v>85.7</v>
      </c>
      <c r="O36" s="64">
        <v>0</v>
      </c>
      <c r="P36" s="64">
        <v>2.13</v>
      </c>
      <c r="Q36" s="64">
        <v>9.8800000000000008</v>
      </c>
      <c r="S36" s="198"/>
      <c r="T36" s="198"/>
      <c r="U36" s="198"/>
    </row>
    <row r="37" spans="1:21" s="12" customFormat="1" x14ac:dyDescent="0.25">
      <c r="A37" s="214" t="s">
        <v>2384</v>
      </c>
      <c r="B37" s="64">
        <v>148.78</v>
      </c>
      <c r="C37" s="64">
        <v>60.85</v>
      </c>
      <c r="D37" s="64">
        <v>149.72</v>
      </c>
      <c r="E37" s="64">
        <v>9.7899999999999991</v>
      </c>
      <c r="F37" s="64">
        <v>2.13</v>
      </c>
      <c r="G37" s="64">
        <v>197.92</v>
      </c>
      <c r="H37" s="64">
        <v>66.22</v>
      </c>
      <c r="I37" s="210" t="s">
        <v>43</v>
      </c>
      <c r="J37" s="64">
        <v>1.57</v>
      </c>
      <c r="K37" s="64">
        <v>282.33</v>
      </c>
      <c r="L37" s="64">
        <v>12.37</v>
      </c>
      <c r="M37" s="64">
        <v>94.61</v>
      </c>
      <c r="N37" s="64">
        <v>97.1</v>
      </c>
      <c r="O37" s="64">
        <v>0</v>
      </c>
      <c r="P37" s="64">
        <v>2.04</v>
      </c>
      <c r="Q37" s="64">
        <v>9.89</v>
      </c>
      <c r="S37" s="198"/>
      <c r="T37" s="198"/>
      <c r="U37" s="198"/>
    </row>
    <row r="38" spans="1:21" s="12" customFormat="1" x14ac:dyDescent="0.25">
      <c r="A38" s="214" t="s">
        <v>2385</v>
      </c>
      <c r="B38" s="64">
        <v>151.06</v>
      </c>
      <c r="C38" s="64">
        <v>61.64</v>
      </c>
      <c r="D38" s="64">
        <v>151.97</v>
      </c>
      <c r="E38" s="64">
        <v>9.8000000000000007</v>
      </c>
      <c r="F38" s="64">
        <v>2.13</v>
      </c>
      <c r="G38" s="64">
        <v>197.92</v>
      </c>
      <c r="H38" s="64">
        <v>66.22</v>
      </c>
      <c r="I38" s="210" t="s">
        <v>43</v>
      </c>
      <c r="J38" s="64">
        <v>1.81</v>
      </c>
      <c r="K38" s="64">
        <v>338.86</v>
      </c>
      <c r="L38" s="64">
        <v>12.77</v>
      </c>
      <c r="M38" s="64">
        <v>95.06</v>
      </c>
      <c r="N38" s="64">
        <v>111.2</v>
      </c>
      <c r="O38" s="64">
        <v>0</v>
      </c>
      <c r="P38" s="64">
        <v>2.1</v>
      </c>
      <c r="Q38" s="64">
        <v>9.9</v>
      </c>
      <c r="S38" s="198"/>
      <c r="T38" s="198"/>
      <c r="U38" s="198"/>
    </row>
    <row r="39" spans="1:21" s="12" customFormat="1" x14ac:dyDescent="0.25">
      <c r="A39" s="214" t="s">
        <v>2386</v>
      </c>
      <c r="B39" s="64">
        <v>153.02000000000001</v>
      </c>
      <c r="C39" s="64">
        <v>62.43</v>
      </c>
      <c r="D39" s="64">
        <v>153.94999999999999</v>
      </c>
      <c r="E39" s="64">
        <v>9.7100000000000009</v>
      </c>
      <c r="F39" s="64">
        <v>2.13</v>
      </c>
      <c r="G39" s="64">
        <v>197.92</v>
      </c>
      <c r="H39" s="64">
        <v>66.22</v>
      </c>
      <c r="I39" s="210" t="s">
        <v>43</v>
      </c>
      <c r="J39" s="64">
        <v>1.1599999999999999</v>
      </c>
      <c r="K39" s="64">
        <v>324.20999999999998</v>
      </c>
      <c r="L39" s="64">
        <v>13.62</v>
      </c>
      <c r="M39" s="64">
        <v>91.52</v>
      </c>
      <c r="N39" s="64">
        <v>146.4</v>
      </c>
      <c r="O39" s="64">
        <v>0</v>
      </c>
      <c r="P39" s="64">
        <v>2.0699999999999998</v>
      </c>
      <c r="Q39" s="64">
        <v>9.91</v>
      </c>
      <c r="S39" s="198"/>
      <c r="T39" s="198"/>
      <c r="U39" s="198"/>
    </row>
    <row r="40" spans="1:21" s="12" customFormat="1" x14ac:dyDescent="0.25">
      <c r="A40" s="214" t="s">
        <v>2387</v>
      </c>
      <c r="B40" s="64">
        <v>152.99</v>
      </c>
      <c r="C40" s="64">
        <v>63.86</v>
      </c>
      <c r="D40" s="64">
        <v>154.66999999999999</v>
      </c>
      <c r="E40" s="64">
        <v>4.72</v>
      </c>
      <c r="F40" s="64">
        <v>2.13</v>
      </c>
      <c r="G40" s="64">
        <v>188.77</v>
      </c>
      <c r="H40" s="64">
        <v>63.35</v>
      </c>
      <c r="I40" s="210" t="s">
        <v>43</v>
      </c>
      <c r="J40" s="64">
        <v>2.04</v>
      </c>
      <c r="K40" s="64">
        <v>131.08000000000001</v>
      </c>
      <c r="L40" s="64">
        <v>15.58</v>
      </c>
      <c r="M40" s="64">
        <v>74.930000000000007</v>
      </c>
      <c r="N40" s="64">
        <v>227.4</v>
      </c>
      <c r="O40" s="64">
        <v>0</v>
      </c>
      <c r="P40" s="64">
        <v>2.06</v>
      </c>
      <c r="Q40" s="64">
        <v>9.94</v>
      </c>
      <c r="S40" s="198"/>
      <c r="T40" s="198"/>
      <c r="U40" s="198"/>
    </row>
    <row r="41" spans="1:21" s="12" customFormat="1" x14ac:dyDescent="0.25">
      <c r="A41" s="214" t="s">
        <v>2388</v>
      </c>
      <c r="B41" s="64">
        <v>149.80000000000001</v>
      </c>
      <c r="C41" s="64">
        <v>66.02</v>
      </c>
      <c r="D41" s="64">
        <v>153.25</v>
      </c>
      <c r="E41" s="64">
        <v>7.23</v>
      </c>
      <c r="F41" s="64">
        <v>2.13</v>
      </c>
      <c r="G41" s="64">
        <v>177.82</v>
      </c>
      <c r="H41" s="64">
        <v>59.93</v>
      </c>
      <c r="I41" s="210" t="s">
        <v>43</v>
      </c>
      <c r="J41" s="64">
        <v>1.63</v>
      </c>
      <c r="K41" s="64">
        <v>159.53</v>
      </c>
      <c r="L41" s="64">
        <v>17.649999999999999</v>
      </c>
      <c r="M41" s="64">
        <v>67.209999999999994</v>
      </c>
      <c r="N41" s="64">
        <v>288.5</v>
      </c>
      <c r="O41" s="64">
        <v>0</v>
      </c>
      <c r="P41" s="64">
        <v>2.02</v>
      </c>
      <c r="Q41" s="64">
        <v>9.9499999999999993</v>
      </c>
      <c r="S41" s="198"/>
      <c r="T41" s="198"/>
      <c r="U41" s="198"/>
    </row>
    <row r="42" spans="1:21" s="12" customFormat="1" x14ac:dyDescent="0.25">
      <c r="A42" s="214" t="s">
        <v>2389</v>
      </c>
      <c r="B42" s="64">
        <v>143.96</v>
      </c>
      <c r="C42" s="64">
        <v>67.53</v>
      </c>
      <c r="D42" s="64">
        <v>149.35</v>
      </c>
      <c r="E42" s="64">
        <v>7.05</v>
      </c>
      <c r="F42" s="64">
        <v>2.13</v>
      </c>
      <c r="G42" s="64">
        <v>177.82</v>
      </c>
      <c r="H42" s="64">
        <v>59.93</v>
      </c>
      <c r="I42" s="210" t="s">
        <v>43</v>
      </c>
      <c r="J42" s="64">
        <v>1.49</v>
      </c>
      <c r="K42" s="64">
        <v>176.45</v>
      </c>
      <c r="L42" s="64">
        <v>18.670000000000002</v>
      </c>
      <c r="M42" s="64">
        <v>64.94</v>
      </c>
      <c r="N42" s="64">
        <v>338.8</v>
      </c>
      <c r="O42" s="64">
        <v>0</v>
      </c>
      <c r="P42" s="64">
        <v>1.97</v>
      </c>
      <c r="Q42" s="64">
        <v>9.9700000000000006</v>
      </c>
      <c r="S42" s="198"/>
      <c r="T42" s="198"/>
      <c r="U42" s="198"/>
    </row>
    <row r="43" spans="1:21" s="12" customFormat="1" x14ac:dyDescent="0.25">
      <c r="A43" s="214" t="s">
        <v>2390</v>
      </c>
      <c r="B43" s="64">
        <v>136.69</v>
      </c>
      <c r="C43" s="64">
        <v>68.3</v>
      </c>
      <c r="D43" s="64">
        <v>143.91999999999999</v>
      </c>
      <c r="E43" s="64">
        <v>6.72</v>
      </c>
      <c r="F43" s="64">
        <v>2.13</v>
      </c>
      <c r="G43" s="64">
        <v>177.82</v>
      </c>
      <c r="H43" s="64">
        <v>59.93</v>
      </c>
      <c r="I43" s="210" t="s">
        <v>43</v>
      </c>
      <c r="J43" s="64">
        <v>1.9</v>
      </c>
      <c r="K43" s="64">
        <v>165.54</v>
      </c>
      <c r="L43" s="64">
        <v>19.28</v>
      </c>
      <c r="M43" s="64">
        <v>61.47</v>
      </c>
      <c r="N43" s="64">
        <v>401</v>
      </c>
      <c r="O43" s="64">
        <v>0</v>
      </c>
      <c r="P43" s="64">
        <v>1.93</v>
      </c>
      <c r="Q43" s="64">
        <v>9.9499999999999993</v>
      </c>
      <c r="S43" s="198"/>
      <c r="T43" s="198"/>
      <c r="U43" s="198"/>
    </row>
    <row r="44" spans="1:21" s="12" customFormat="1" x14ac:dyDescent="0.25">
      <c r="A44" s="214" t="s">
        <v>2391</v>
      </c>
      <c r="B44" s="64">
        <v>128.33000000000001</v>
      </c>
      <c r="C44" s="64">
        <v>69.86</v>
      </c>
      <c r="D44" s="64">
        <v>138.03</v>
      </c>
      <c r="E44" s="64">
        <v>6.14</v>
      </c>
      <c r="F44" s="64">
        <v>2.13</v>
      </c>
      <c r="G44" s="64">
        <v>166.6</v>
      </c>
      <c r="H44" s="64">
        <v>56.45</v>
      </c>
      <c r="I44" s="210" t="s">
        <v>43</v>
      </c>
      <c r="J44" s="64">
        <v>1.82</v>
      </c>
      <c r="K44" s="64">
        <v>201.3</v>
      </c>
      <c r="L44" s="64">
        <v>19.18</v>
      </c>
      <c r="M44" s="64">
        <v>62.94</v>
      </c>
      <c r="N44" s="64">
        <v>442.4</v>
      </c>
      <c r="O44" s="64">
        <v>0</v>
      </c>
      <c r="P44" s="64">
        <v>1.87</v>
      </c>
      <c r="Q44" s="64">
        <v>9.9600000000000009</v>
      </c>
      <c r="S44" s="198"/>
      <c r="T44" s="198"/>
      <c r="U44" s="198"/>
    </row>
    <row r="45" spans="1:21" s="12" customFormat="1" x14ac:dyDescent="0.25">
      <c r="A45" s="214" t="s">
        <v>2392</v>
      </c>
      <c r="B45" s="64">
        <v>119.53</v>
      </c>
      <c r="C45" s="64">
        <v>71.790000000000006</v>
      </c>
      <c r="D45" s="64">
        <v>131.99</v>
      </c>
      <c r="E45" s="64">
        <v>5.98</v>
      </c>
      <c r="F45" s="64">
        <v>2.13</v>
      </c>
      <c r="G45" s="64">
        <v>153.18</v>
      </c>
      <c r="H45" s="64">
        <v>52.3</v>
      </c>
      <c r="I45" s="210" t="s">
        <v>43</v>
      </c>
      <c r="J45" s="64">
        <v>2.0299999999999998</v>
      </c>
      <c r="K45" s="64">
        <v>177.01</v>
      </c>
      <c r="L45" s="64">
        <v>19.84</v>
      </c>
      <c r="M45" s="64">
        <v>59.83</v>
      </c>
      <c r="N45" s="64">
        <v>482.9</v>
      </c>
      <c r="O45" s="64">
        <v>0</v>
      </c>
      <c r="P45" s="64">
        <v>1.81</v>
      </c>
      <c r="Q45" s="64">
        <v>9.93</v>
      </c>
      <c r="S45" s="198"/>
      <c r="T45" s="198"/>
      <c r="U45" s="198"/>
    </row>
    <row r="46" spans="1:21" s="12" customFormat="1" x14ac:dyDescent="0.25">
      <c r="A46" s="214" t="s">
        <v>2393</v>
      </c>
      <c r="B46" s="64">
        <v>110.65</v>
      </c>
      <c r="C46" s="64">
        <v>73.53</v>
      </c>
      <c r="D46" s="64">
        <v>125.78</v>
      </c>
      <c r="E46" s="64">
        <v>6.01</v>
      </c>
      <c r="F46" s="64">
        <v>2.13</v>
      </c>
      <c r="G46" s="64">
        <v>153.18</v>
      </c>
      <c r="H46" s="64">
        <v>52.3</v>
      </c>
      <c r="I46" s="210" t="s">
        <v>43</v>
      </c>
      <c r="J46" s="64">
        <v>2.27</v>
      </c>
      <c r="K46" s="64">
        <v>159.31</v>
      </c>
      <c r="L46" s="64">
        <v>20.96</v>
      </c>
      <c r="M46" s="64">
        <v>55.56</v>
      </c>
      <c r="N46" s="64">
        <v>515.4</v>
      </c>
      <c r="O46" s="64">
        <v>0</v>
      </c>
      <c r="P46" s="64">
        <v>1.75</v>
      </c>
      <c r="Q46" s="64">
        <v>9.92</v>
      </c>
      <c r="S46" s="198"/>
      <c r="T46" s="198"/>
      <c r="U46" s="198"/>
    </row>
    <row r="47" spans="1:21" s="12" customFormat="1" x14ac:dyDescent="0.25">
      <c r="A47" s="214" t="s">
        <v>2394</v>
      </c>
      <c r="B47" s="64">
        <v>102.41</v>
      </c>
      <c r="C47" s="64">
        <v>74.84</v>
      </c>
      <c r="D47" s="64">
        <v>119.85</v>
      </c>
      <c r="E47" s="64">
        <v>5.75</v>
      </c>
      <c r="F47" s="64">
        <v>2.13</v>
      </c>
      <c r="G47" s="64">
        <v>153.18</v>
      </c>
      <c r="H47" s="64">
        <v>52.3</v>
      </c>
      <c r="I47" s="210" t="s">
        <v>43</v>
      </c>
      <c r="J47" s="64">
        <v>1.95</v>
      </c>
      <c r="K47" s="64">
        <v>160.96</v>
      </c>
      <c r="L47" s="64">
        <v>22.32</v>
      </c>
      <c r="M47" s="64">
        <v>50.03</v>
      </c>
      <c r="N47" s="64">
        <v>543.70000000000005</v>
      </c>
      <c r="O47" s="64">
        <v>0</v>
      </c>
      <c r="P47" s="64">
        <v>1.69</v>
      </c>
      <c r="Q47" s="64">
        <v>9.8699999999999992</v>
      </c>
      <c r="S47" s="198"/>
      <c r="T47" s="198"/>
      <c r="U47" s="198"/>
    </row>
    <row r="48" spans="1:21" s="12" customFormat="1" x14ac:dyDescent="0.25">
      <c r="A48" s="214" t="s">
        <v>2395</v>
      </c>
      <c r="B48" s="64">
        <v>94.47</v>
      </c>
      <c r="C48" s="64">
        <v>75.94</v>
      </c>
      <c r="D48" s="64">
        <v>114.06</v>
      </c>
      <c r="E48" s="64">
        <v>5.56</v>
      </c>
      <c r="F48" s="64">
        <v>2.13</v>
      </c>
      <c r="G48" s="64">
        <v>138.03</v>
      </c>
      <c r="H48" s="64">
        <v>50.3</v>
      </c>
      <c r="I48" s="210" t="s">
        <v>43</v>
      </c>
      <c r="J48" s="64">
        <v>2.63</v>
      </c>
      <c r="K48" s="64">
        <v>148.34</v>
      </c>
      <c r="L48" s="64">
        <v>23.23</v>
      </c>
      <c r="M48" s="64">
        <v>45.4</v>
      </c>
      <c r="N48" s="64">
        <v>570.9</v>
      </c>
      <c r="O48" s="64">
        <v>0</v>
      </c>
      <c r="P48" s="64">
        <v>1.62</v>
      </c>
      <c r="Q48" s="64">
        <v>9.81</v>
      </c>
      <c r="S48" s="198"/>
      <c r="T48" s="198"/>
      <c r="U48" s="198"/>
    </row>
    <row r="49" spans="1:21" s="12" customFormat="1" x14ac:dyDescent="0.25">
      <c r="A49" s="214" t="s">
        <v>2396</v>
      </c>
      <c r="B49" s="64">
        <v>86.67</v>
      </c>
      <c r="C49" s="64">
        <v>77.22</v>
      </c>
      <c r="D49" s="64">
        <v>108.47</v>
      </c>
      <c r="E49" s="64">
        <v>5.23</v>
      </c>
      <c r="F49" s="64">
        <v>2.13</v>
      </c>
      <c r="G49" s="64">
        <v>119.92</v>
      </c>
      <c r="H49" s="64">
        <v>47.92</v>
      </c>
      <c r="I49" s="210" t="s">
        <v>43</v>
      </c>
      <c r="J49" s="64">
        <v>0.81</v>
      </c>
      <c r="K49" s="64">
        <v>138.13</v>
      </c>
      <c r="L49" s="64">
        <v>24.06</v>
      </c>
      <c r="M49" s="64">
        <v>44.93</v>
      </c>
      <c r="N49" s="64">
        <v>571.29999999999995</v>
      </c>
      <c r="O49" s="64">
        <v>0</v>
      </c>
      <c r="P49" s="64">
        <v>1.56</v>
      </c>
      <c r="Q49" s="64">
        <v>9.77</v>
      </c>
      <c r="S49" s="198"/>
      <c r="T49" s="198"/>
      <c r="U49" s="198"/>
    </row>
    <row r="50" spans="1:21" s="12" customFormat="1" x14ac:dyDescent="0.25">
      <c r="A50" s="214" t="s">
        <v>2397</v>
      </c>
      <c r="B50" s="64">
        <v>80.08</v>
      </c>
      <c r="C50" s="64">
        <v>75.56</v>
      </c>
      <c r="D50" s="64">
        <v>102.31</v>
      </c>
      <c r="E50" s="64">
        <v>4.96</v>
      </c>
      <c r="F50" s="64">
        <v>2.13</v>
      </c>
      <c r="G50" s="64">
        <v>119.92</v>
      </c>
      <c r="H50" s="64">
        <v>47.92</v>
      </c>
      <c r="I50" s="210" t="s">
        <v>43</v>
      </c>
      <c r="J50" s="64">
        <v>1.49</v>
      </c>
      <c r="K50" s="64">
        <v>297.58999999999997</v>
      </c>
      <c r="L50" s="64">
        <v>26.71</v>
      </c>
      <c r="M50" s="64">
        <v>36.700000000000003</v>
      </c>
      <c r="N50" s="64">
        <v>591</v>
      </c>
      <c r="O50" s="64">
        <v>0</v>
      </c>
      <c r="P50" s="64">
        <v>1.51</v>
      </c>
      <c r="Q50" s="64">
        <v>9.58</v>
      </c>
      <c r="S50" s="198"/>
      <c r="T50" s="198"/>
      <c r="U50" s="198"/>
    </row>
    <row r="51" spans="1:21" s="12" customFormat="1" x14ac:dyDescent="0.25">
      <c r="A51" s="214" t="s">
        <v>2398</v>
      </c>
      <c r="B51" s="64">
        <v>74.38</v>
      </c>
      <c r="C51" s="64">
        <v>77.099999999999994</v>
      </c>
      <c r="D51" s="64">
        <v>98.55</v>
      </c>
      <c r="E51" s="64">
        <v>5.08</v>
      </c>
      <c r="F51" s="64">
        <v>2.13</v>
      </c>
      <c r="G51" s="64">
        <v>119.92</v>
      </c>
      <c r="H51" s="64">
        <v>47.92</v>
      </c>
      <c r="I51" s="210" t="s">
        <v>43</v>
      </c>
      <c r="J51" s="64">
        <v>0.96</v>
      </c>
      <c r="K51" s="64">
        <v>280.76</v>
      </c>
      <c r="L51" s="64">
        <v>27.27</v>
      </c>
      <c r="M51" s="64">
        <v>34.17</v>
      </c>
      <c r="N51" s="64">
        <v>601.1</v>
      </c>
      <c r="O51" s="64">
        <v>0</v>
      </c>
      <c r="P51" s="64">
        <v>1.47</v>
      </c>
      <c r="Q51" s="64">
        <v>9.31</v>
      </c>
      <c r="S51" s="198"/>
      <c r="T51" s="198"/>
      <c r="U51" s="198"/>
    </row>
    <row r="52" spans="1:21" s="12" customFormat="1" x14ac:dyDescent="0.25">
      <c r="A52" s="214" t="s">
        <v>2399</v>
      </c>
      <c r="B52" s="64">
        <v>67.08</v>
      </c>
      <c r="C52" s="64">
        <v>79.14</v>
      </c>
      <c r="D52" s="64">
        <v>93.76</v>
      </c>
      <c r="E52" s="64">
        <v>4.91</v>
      </c>
      <c r="F52" s="64">
        <v>2.13</v>
      </c>
      <c r="G52" s="64">
        <v>109.35</v>
      </c>
      <c r="H52" s="64">
        <v>45.14</v>
      </c>
      <c r="I52" s="210" t="s">
        <v>43</v>
      </c>
      <c r="J52" s="64">
        <v>0.93</v>
      </c>
      <c r="K52" s="64">
        <v>261.54000000000002</v>
      </c>
      <c r="L52" s="64">
        <v>24.96</v>
      </c>
      <c r="M52" s="64">
        <v>36.369999999999997</v>
      </c>
      <c r="N52" s="64">
        <v>621.1</v>
      </c>
      <c r="O52" s="64">
        <v>0</v>
      </c>
      <c r="P52" s="64">
        <v>1.39</v>
      </c>
      <c r="Q52" s="64">
        <v>9.02</v>
      </c>
      <c r="S52" s="198"/>
      <c r="T52" s="198"/>
      <c r="U52" s="198"/>
    </row>
    <row r="53" spans="1:21" s="12" customFormat="1" x14ac:dyDescent="0.25">
      <c r="A53" s="214" t="s">
        <v>2400</v>
      </c>
      <c r="B53" s="64">
        <v>59.1</v>
      </c>
      <c r="C53" s="64">
        <v>80.77</v>
      </c>
      <c r="D53" s="64">
        <v>88.22</v>
      </c>
      <c r="E53" s="64">
        <v>4.71</v>
      </c>
      <c r="F53" s="64">
        <v>2.13</v>
      </c>
      <c r="G53" s="64">
        <v>96.72</v>
      </c>
      <c r="H53" s="64">
        <v>41.83</v>
      </c>
      <c r="I53" s="210" t="s">
        <v>43</v>
      </c>
      <c r="J53" s="64">
        <v>1.38</v>
      </c>
      <c r="K53" s="64">
        <v>171.21</v>
      </c>
      <c r="L53" s="64">
        <v>25.95</v>
      </c>
      <c r="M53" s="64">
        <v>35.520000000000003</v>
      </c>
      <c r="N53" s="64">
        <v>639.4</v>
      </c>
      <c r="O53" s="64">
        <v>0</v>
      </c>
      <c r="P53" s="64">
        <v>1.32</v>
      </c>
      <c r="Q53" s="64">
        <v>8.68</v>
      </c>
      <c r="S53" s="198"/>
      <c r="T53" s="198"/>
      <c r="U53" s="198"/>
    </row>
    <row r="54" spans="1:21" s="12" customFormat="1" x14ac:dyDescent="0.25">
      <c r="A54" s="214" t="s">
        <v>2401</v>
      </c>
      <c r="B54" s="64">
        <v>52.7</v>
      </c>
      <c r="C54" s="64">
        <v>81.040000000000006</v>
      </c>
      <c r="D54" s="64">
        <v>83.22</v>
      </c>
      <c r="E54" s="64">
        <v>4.62</v>
      </c>
      <c r="F54" s="64">
        <v>2.13</v>
      </c>
      <c r="G54" s="64">
        <v>96.72</v>
      </c>
      <c r="H54" s="64">
        <v>41.83</v>
      </c>
      <c r="I54" s="210" t="s">
        <v>43</v>
      </c>
      <c r="J54" s="64">
        <v>0.85</v>
      </c>
      <c r="K54" s="64">
        <v>193.93</v>
      </c>
      <c r="L54" s="64">
        <v>26.34</v>
      </c>
      <c r="M54" s="64">
        <v>34.42</v>
      </c>
      <c r="N54" s="64">
        <v>646.29999999999995</v>
      </c>
      <c r="O54" s="64">
        <v>0</v>
      </c>
      <c r="P54" s="64">
        <v>1.27</v>
      </c>
      <c r="Q54" s="64">
        <v>8.36</v>
      </c>
      <c r="S54" s="198"/>
      <c r="T54" s="198"/>
      <c r="U54" s="198"/>
    </row>
    <row r="55" spans="1:21" s="12" customFormat="1" x14ac:dyDescent="0.25">
      <c r="A55" s="214" t="s">
        <v>2402</v>
      </c>
      <c r="B55" s="64">
        <v>47.35</v>
      </c>
      <c r="C55" s="64">
        <v>80.64</v>
      </c>
      <c r="D55" s="64">
        <v>78.72</v>
      </c>
      <c r="E55" s="64">
        <v>3.89</v>
      </c>
      <c r="F55" s="64">
        <v>2.13</v>
      </c>
      <c r="G55" s="64">
        <v>96.72</v>
      </c>
      <c r="H55" s="64">
        <v>41.83</v>
      </c>
      <c r="I55" s="210" t="s">
        <v>43</v>
      </c>
      <c r="J55" s="64">
        <v>0.52</v>
      </c>
      <c r="K55" s="64">
        <v>123.51</v>
      </c>
      <c r="L55" s="64">
        <v>27.19</v>
      </c>
      <c r="M55" s="64">
        <v>33.47</v>
      </c>
      <c r="N55" s="64">
        <v>659.9</v>
      </c>
      <c r="O55" s="64">
        <v>0</v>
      </c>
      <c r="P55" s="64">
        <v>1.21</v>
      </c>
      <c r="Q55" s="64">
        <v>8.2100000000000009</v>
      </c>
      <c r="S55" s="198"/>
      <c r="T55" s="198"/>
      <c r="U55" s="198"/>
    </row>
    <row r="56" spans="1:21" s="12" customFormat="1" x14ac:dyDescent="0.25">
      <c r="A56" s="214" t="s">
        <v>2403</v>
      </c>
      <c r="B56" s="64">
        <v>42.33</v>
      </c>
      <c r="C56" s="64">
        <v>80.27</v>
      </c>
      <c r="D56" s="64">
        <v>74.510000000000005</v>
      </c>
      <c r="E56" s="64">
        <v>4.03</v>
      </c>
      <c r="F56" s="64">
        <v>2.13</v>
      </c>
      <c r="G56" s="64">
        <v>98.03</v>
      </c>
      <c r="H56" s="64">
        <v>38.68</v>
      </c>
      <c r="I56" s="210" t="s">
        <v>43</v>
      </c>
      <c r="J56" s="64">
        <v>1.22</v>
      </c>
      <c r="K56" s="64">
        <v>155.91999999999999</v>
      </c>
      <c r="L56" s="64">
        <v>26.51</v>
      </c>
      <c r="M56" s="64">
        <v>34.83</v>
      </c>
      <c r="N56" s="64">
        <v>671.5</v>
      </c>
      <c r="O56" s="64">
        <v>0</v>
      </c>
      <c r="P56" s="64">
        <v>1.1599999999999999</v>
      </c>
      <c r="Q56" s="64">
        <v>8.2100000000000009</v>
      </c>
      <c r="S56" s="198"/>
      <c r="T56" s="198"/>
      <c r="U56" s="198"/>
    </row>
    <row r="57" spans="1:21" s="12" customFormat="1" x14ac:dyDescent="0.25">
      <c r="A57" s="214" t="s">
        <v>2404</v>
      </c>
      <c r="B57" s="64">
        <v>38.04</v>
      </c>
      <c r="C57" s="64">
        <v>80.430000000000007</v>
      </c>
      <c r="D57" s="64">
        <v>71.150000000000006</v>
      </c>
      <c r="E57" s="64">
        <v>4.33</v>
      </c>
      <c r="F57" s="64">
        <v>2.13</v>
      </c>
      <c r="G57" s="64">
        <v>99.59</v>
      </c>
      <c r="H57" s="64">
        <v>34.93</v>
      </c>
      <c r="I57" s="210" t="s">
        <v>43</v>
      </c>
      <c r="J57" s="64">
        <v>1.0900000000000001</v>
      </c>
      <c r="K57" s="64">
        <v>125.04</v>
      </c>
      <c r="L57" s="64">
        <v>26.32</v>
      </c>
      <c r="M57" s="64">
        <v>35.79</v>
      </c>
      <c r="N57" s="64">
        <v>683.1</v>
      </c>
      <c r="O57" s="64">
        <v>0</v>
      </c>
      <c r="P57" s="64">
        <v>1.1200000000000001</v>
      </c>
      <c r="Q57" s="64">
        <v>8.2100000000000009</v>
      </c>
      <c r="S57" s="198"/>
      <c r="T57" s="198"/>
      <c r="U57" s="198"/>
    </row>
    <row r="58" spans="1:21" s="12" customFormat="1" x14ac:dyDescent="0.25">
      <c r="A58" s="214" t="s">
        <v>2405</v>
      </c>
      <c r="B58" s="64">
        <v>34.25</v>
      </c>
      <c r="C58" s="64">
        <v>81.52</v>
      </c>
      <c r="D58" s="64">
        <v>68.680000000000007</v>
      </c>
      <c r="E58" s="64">
        <v>4.74</v>
      </c>
      <c r="F58" s="64">
        <v>2.13</v>
      </c>
      <c r="G58" s="64">
        <v>99.59</v>
      </c>
      <c r="H58" s="64">
        <v>34.93</v>
      </c>
      <c r="I58" s="210" t="s">
        <v>43</v>
      </c>
      <c r="J58" s="64">
        <v>1.69</v>
      </c>
      <c r="K58" s="64">
        <v>341.96</v>
      </c>
      <c r="L58" s="64">
        <v>29.39</v>
      </c>
      <c r="M58" s="64">
        <v>30.4</v>
      </c>
      <c r="N58" s="64">
        <v>674.7</v>
      </c>
      <c r="O58" s="64">
        <v>0</v>
      </c>
      <c r="P58" s="64">
        <v>1.08</v>
      </c>
      <c r="Q58" s="64">
        <v>8.2100000000000009</v>
      </c>
      <c r="S58" s="198"/>
      <c r="T58" s="198"/>
      <c r="U58" s="198"/>
    </row>
    <row r="59" spans="1:21" s="12" customFormat="1" x14ac:dyDescent="0.25">
      <c r="A59" s="214" t="s">
        <v>2406</v>
      </c>
      <c r="B59" s="64">
        <v>30.64</v>
      </c>
      <c r="C59" s="64">
        <v>82.39</v>
      </c>
      <c r="D59" s="64">
        <v>66.25</v>
      </c>
      <c r="E59" s="64">
        <v>3.98</v>
      </c>
      <c r="F59" s="64">
        <v>2.13</v>
      </c>
      <c r="G59" s="64">
        <v>99.59</v>
      </c>
      <c r="H59" s="64">
        <v>34.93</v>
      </c>
      <c r="I59" s="210" t="s">
        <v>43</v>
      </c>
      <c r="J59" s="64">
        <v>0.36</v>
      </c>
      <c r="K59" s="64">
        <v>263.67</v>
      </c>
      <c r="L59" s="64">
        <v>29.66</v>
      </c>
      <c r="M59" s="64">
        <v>28.48</v>
      </c>
      <c r="N59" s="64">
        <v>668.6</v>
      </c>
      <c r="O59" s="64">
        <v>0</v>
      </c>
      <c r="P59" s="64">
        <v>1.06</v>
      </c>
      <c r="Q59" s="64">
        <v>8.2100000000000009</v>
      </c>
      <c r="S59" s="198"/>
      <c r="T59" s="198"/>
      <c r="U59" s="198"/>
    </row>
    <row r="60" spans="1:21" s="12" customFormat="1" x14ac:dyDescent="0.25">
      <c r="A60" s="214" t="s">
        <v>2407</v>
      </c>
      <c r="B60" s="64">
        <v>26.53</v>
      </c>
      <c r="C60" s="64">
        <v>82.49</v>
      </c>
      <c r="D60" s="64">
        <v>63</v>
      </c>
      <c r="E60" s="64">
        <v>4.25</v>
      </c>
      <c r="F60" s="64">
        <v>2.13</v>
      </c>
      <c r="G60" s="64">
        <v>87.65</v>
      </c>
      <c r="H60" s="64">
        <v>33.47</v>
      </c>
      <c r="I60" s="210" t="s">
        <v>43</v>
      </c>
      <c r="J60" s="64">
        <v>0.72</v>
      </c>
      <c r="K60" s="64">
        <v>100.75</v>
      </c>
      <c r="L60" s="64">
        <v>27.29</v>
      </c>
      <c r="M60" s="64">
        <v>31.9</v>
      </c>
      <c r="N60" s="64">
        <v>649.4</v>
      </c>
      <c r="O60" s="64">
        <v>0</v>
      </c>
      <c r="P60" s="64">
        <v>1.01</v>
      </c>
      <c r="Q60" s="64">
        <v>8.2100000000000009</v>
      </c>
      <c r="S60" s="198"/>
      <c r="T60" s="198"/>
      <c r="U60" s="198"/>
    </row>
    <row r="61" spans="1:21" s="12" customFormat="1" x14ac:dyDescent="0.25">
      <c r="A61" s="214" t="s">
        <v>2408</v>
      </c>
      <c r="B61" s="64">
        <v>22.73</v>
      </c>
      <c r="C61" s="64">
        <v>82.57</v>
      </c>
      <c r="D61" s="64">
        <v>59.99</v>
      </c>
      <c r="E61" s="64">
        <v>4.41</v>
      </c>
      <c r="F61" s="64">
        <v>2.13</v>
      </c>
      <c r="G61" s="64">
        <v>73.39</v>
      </c>
      <c r="H61" s="64">
        <v>31.73</v>
      </c>
      <c r="I61" s="210" t="s">
        <v>43</v>
      </c>
      <c r="J61" s="64">
        <v>1.91</v>
      </c>
      <c r="K61" s="64">
        <v>311.58999999999997</v>
      </c>
      <c r="L61" s="64">
        <v>30.06</v>
      </c>
      <c r="M61" s="64">
        <v>26.42</v>
      </c>
      <c r="N61" s="64">
        <v>647.29999999999995</v>
      </c>
      <c r="O61" s="64">
        <v>0</v>
      </c>
      <c r="P61" s="64">
        <v>1.0900000000000001</v>
      </c>
      <c r="Q61" s="64">
        <v>8.2100000000000009</v>
      </c>
      <c r="S61" s="198"/>
      <c r="T61" s="198"/>
      <c r="U61" s="198"/>
    </row>
    <row r="62" spans="1:21" s="12" customFormat="1" x14ac:dyDescent="0.25">
      <c r="A62" s="214" t="s">
        <v>2409</v>
      </c>
      <c r="B62" s="64">
        <v>18.96</v>
      </c>
      <c r="C62" s="64">
        <v>83.43</v>
      </c>
      <c r="D62" s="64">
        <v>57.41</v>
      </c>
      <c r="E62" s="64">
        <v>3.79</v>
      </c>
      <c r="F62" s="64">
        <v>2.13</v>
      </c>
      <c r="G62" s="64">
        <v>73.39</v>
      </c>
      <c r="H62" s="64">
        <v>31.73</v>
      </c>
      <c r="I62" s="210" t="s">
        <v>43</v>
      </c>
      <c r="J62" s="64">
        <v>0.42</v>
      </c>
      <c r="K62" s="64">
        <v>242.33</v>
      </c>
      <c r="L62" s="64">
        <v>29.53</v>
      </c>
      <c r="M62" s="64">
        <v>25.28</v>
      </c>
      <c r="N62" s="64">
        <v>529.6</v>
      </c>
      <c r="O62" s="64">
        <v>0</v>
      </c>
      <c r="P62" s="64">
        <v>1.1200000000000001</v>
      </c>
      <c r="Q62" s="64">
        <v>8.2100000000000009</v>
      </c>
      <c r="S62" s="198"/>
      <c r="T62" s="198"/>
      <c r="U62" s="198"/>
    </row>
    <row r="63" spans="1:21" s="12" customFormat="1" x14ac:dyDescent="0.25">
      <c r="A63" s="214" t="s">
        <v>2410</v>
      </c>
      <c r="B63" s="64">
        <v>15.6</v>
      </c>
      <c r="C63" s="64">
        <v>84.11</v>
      </c>
      <c r="D63" s="64">
        <v>55.08</v>
      </c>
      <c r="E63" s="64">
        <v>4.0999999999999996</v>
      </c>
      <c r="F63" s="64">
        <v>2.13</v>
      </c>
      <c r="G63" s="64">
        <v>73.39</v>
      </c>
      <c r="H63" s="64">
        <v>31.73</v>
      </c>
      <c r="I63" s="210" t="s">
        <v>43</v>
      </c>
      <c r="J63" s="64">
        <v>1.57</v>
      </c>
      <c r="K63" s="64">
        <v>297.2</v>
      </c>
      <c r="L63" s="64">
        <v>30.05</v>
      </c>
      <c r="M63" s="64">
        <v>23.72</v>
      </c>
      <c r="N63" s="64">
        <v>596.1</v>
      </c>
      <c r="O63" s="64">
        <v>0</v>
      </c>
      <c r="P63" s="64">
        <v>1.08</v>
      </c>
      <c r="Q63" s="64">
        <v>8.2100000000000009</v>
      </c>
      <c r="S63" s="198"/>
      <c r="T63" s="198"/>
      <c r="U63" s="198"/>
    </row>
    <row r="64" spans="1:21" s="12" customFormat="1" x14ac:dyDescent="0.25">
      <c r="A64" s="214" t="s">
        <v>2411</v>
      </c>
      <c r="B64" s="64">
        <v>12.5</v>
      </c>
      <c r="C64" s="64">
        <v>84.46</v>
      </c>
      <c r="D64" s="64">
        <v>52.77</v>
      </c>
      <c r="E64" s="64">
        <v>3.55</v>
      </c>
      <c r="F64" s="64">
        <v>2.13</v>
      </c>
      <c r="G64" s="64">
        <v>69.209999999999994</v>
      </c>
      <c r="H64" s="64">
        <v>29.6</v>
      </c>
      <c r="I64" s="210" t="s">
        <v>43</v>
      </c>
      <c r="J64" s="64">
        <v>1.74</v>
      </c>
      <c r="K64" s="64">
        <v>141.84</v>
      </c>
      <c r="L64" s="64">
        <v>28.56</v>
      </c>
      <c r="M64" s="64">
        <v>23.97</v>
      </c>
      <c r="N64" s="64">
        <v>593.70000000000005</v>
      </c>
      <c r="O64" s="64">
        <v>0</v>
      </c>
      <c r="P64" s="64">
        <v>1.04</v>
      </c>
      <c r="Q64" s="64">
        <v>8.2100000000000009</v>
      </c>
      <c r="S64" s="198"/>
      <c r="T64" s="198"/>
      <c r="U64" s="198"/>
    </row>
    <row r="65" spans="1:21" s="12" customFormat="1" x14ac:dyDescent="0.25">
      <c r="A65" s="214" t="s">
        <v>2412</v>
      </c>
      <c r="B65" s="64">
        <v>9.77</v>
      </c>
      <c r="C65" s="64">
        <v>83.13</v>
      </c>
      <c r="D65" s="64">
        <v>49.89</v>
      </c>
      <c r="E65" s="64">
        <v>3.5</v>
      </c>
      <c r="F65" s="64">
        <v>2.13</v>
      </c>
      <c r="G65" s="64">
        <v>64.22</v>
      </c>
      <c r="H65" s="64">
        <v>27.07</v>
      </c>
      <c r="I65" s="210" t="s">
        <v>43</v>
      </c>
      <c r="J65" s="64">
        <v>1.1000000000000001</v>
      </c>
      <c r="K65" s="64">
        <v>165.52</v>
      </c>
      <c r="L65" s="64">
        <v>27.34</v>
      </c>
      <c r="M65" s="64">
        <v>22.81</v>
      </c>
      <c r="N65" s="64">
        <v>465.4</v>
      </c>
      <c r="O65" s="64">
        <v>0</v>
      </c>
      <c r="P65" s="64">
        <v>0.99</v>
      </c>
      <c r="Q65" s="64">
        <v>8.2100000000000009</v>
      </c>
      <c r="S65" s="198"/>
      <c r="T65" s="198"/>
      <c r="U65" s="198"/>
    </row>
    <row r="66" spans="1:21" s="12" customFormat="1" x14ac:dyDescent="0.25">
      <c r="A66" s="214" t="s">
        <v>2413</v>
      </c>
      <c r="B66" s="64">
        <v>8.07</v>
      </c>
      <c r="C66" s="64">
        <v>81.22</v>
      </c>
      <c r="D66" s="64">
        <v>47.53</v>
      </c>
      <c r="E66" s="64">
        <v>3.49</v>
      </c>
      <c r="F66" s="64">
        <v>2.13</v>
      </c>
      <c r="G66" s="64">
        <v>0</v>
      </c>
      <c r="H66" s="64">
        <v>27.07</v>
      </c>
      <c r="I66" s="210" t="s">
        <v>43</v>
      </c>
      <c r="J66" s="64">
        <v>2.5099999999999998</v>
      </c>
      <c r="K66" s="64">
        <v>325.13</v>
      </c>
      <c r="L66" s="64">
        <v>1.69</v>
      </c>
      <c r="M66" s="64">
        <v>21.99</v>
      </c>
      <c r="N66" s="64">
        <v>165.3</v>
      </c>
      <c r="O66" s="64">
        <v>0</v>
      </c>
      <c r="P66" s="64">
        <v>0.9</v>
      </c>
      <c r="Q66" s="64">
        <v>0</v>
      </c>
      <c r="S66" s="198"/>
      <c r="T66" s="198"/>
      <c r="U66" s="198"/>
    </row>
    <row r="67" spans="1:21" s="12" customFormat="1" x14ac:dyDescent="0.25">
      <c r="A67" s="214" t="s">
        <v>2414</v>
      </c>
      <c r="B67" s="64">
        <v>6.81</v>
      </c>
      <c r="C67" s="64">
        <v>75.16</v>
      </c>
      <c r="D67" s="64">
        <v>43.35</v>
      </c>
      <c r="E67" s="64">
        <v>3.04</v>
      </c>
      <c r="F67" s="64">
        <v>2.13</v>
      </c>
      <c r="G67" s="64">
        <v>64.22</v>
      </c>
      <c r="H67" s="64">
        <v>27.07</v>
      </c>
      <c r="I67" s="210" t="s">
        <v>43</v>
      </c>
      <c r="J67" s="64">
        <v>2.4500000000000002</v>
      </c>
      <c r="K67" s="64">
        <v>337.77</v>
      </c>
      <c r="L67" s="64">
        <v>27.92</v>
      </c>
      <c r="M67" s="64">
        <v>23.23</v>
      </c>
      <c r="N67" s="64">
        <v>162.9</v>
      </c>
      <c r="O67" s="64">
        <v>0</v>
      </c>
      <c r="P67" s="64">
        <v>0.82</v>
      </c>
      <c r="Q67" s="64">
        <v>0</v>
      </c>
      <c r="S67" s="198"/>
      <c r="T67" s="198"/>
      <c r="U67" s="198"/>
    </row>
    <row r="68" spans="1:21" s="12" customFormat="1" x14ac:dyDescent="0.25">
      <c r="A68" s="214" t="s">
        <v>2415</v>
      </c>
      <c r="B68" s="64">
        <v>6.67</v>
      </c>
      <c r="C68" s="64">
        <v>74.45</v>
      </c>
      <c r="D68" s="64">
        <v>42.87</v>
      </c>
      <c r="E68" s="64">
        <v>2.86</v>
      </c>
      <c r="F68" s="64">
        <v>2.13</v>
      </c>
      <c r="G68" s="64">
        <v>57.41</v>
      </c>
      <c r="H68" s="64">
        <v>25.72</v>
      </c>
      <c r="I68" s="210" t="s">
        <v>43</v>
      </c>
      <c r="J68" s="64">
        <v>1.39</v>
      </c>
      <c r="K68" s="64">
        <v>120.68</v>
      </c>
      <c r="L68" s="64">
        <v>27.14</v>
      </c>
      <c r="M68" s="64">
        <v>22.84</v>
      </c>
      <c r="N68" s="64">
        <v>211.9</v>
      </c>
      <c r="O68" s="64">
        <v>0</v>
      </c>
      <c r="P68" s="64">
        <v>0.82</v>
      </c>
      <c r="Q68" s="64">
        <v>8.2100000000000009</v>
      </c>
      <c r="S68" s="198"/>
      <c r="T68" s="198"/>
      <c r="U68" s="198"/>
    </row>
    <row r="69" spans="1:21" s="12" customFormat="1" x14ac:dyDescent="0.25">
      <c r="A69" s="214" t="s">
        <v>2416</v>
      </c>
      <c r="B69" s="64">
        <v>6.28</v>
      </c>
      <c r="C69" s="64">
        <v>71.97</v>
      </c>
      <c r="D69" s="64">
        <v>41.26</v>
      </c>
      <c r="E69" s="64">
        <v>2.88</v>
      </c>
      <c r="F69" s="64">
        <v>2.13</v>
      </c>
      <c r="G69" s="64">
        <v>49.26</v>
      </c>
      <c r="H69" s="64">
        <v>24.11</v>
      </c>
      <c r="I69" s="210" t="s">
        <v>43</v>
      </c>
      <c r="J69" s="64">
        <v>1.89</v>
      </c>
      <c r="K69" s="64">
        <v>147.41999999999999</v>
      </c>
      <c r="L69" s="64">
        <v>26.58</v>
      </c>
      <c r="M69" s="64">
        <v>25.84</v>
      </c>
      <c r="N69" s="64">
        <v>176.2</v>
      </c>
      <c r="O69" s="64">
        <v>0</v>
      </c>
      <c r="P69" s="64">
        <v>0.72</v>
      </c>
      <c r="Q69" s="64">
        <v>8.2100000000000009</v>
      </c>
      <c r="S69" s="198"/>
      <c r="T69" s="198"/>
      <c r="U69" s="198"/>
    </row>
    <row r="70" spans="1:21" s="12" customFormat="1" x14ac:dyDescent="0.25">
      <c r="A70" s="214" t="s">
        <v>2417</v>
      </c>
      <c r="B70" s="64">
        <v>5.92</v>
      </c>
      <c r="C70" s="64">
        <v>70.099999999999994</v>
      </c>
      <c r="D70" s="64">
        <v>40</v>
      </c>
      <c r="E70" s="64">
        <v>2.81</v>
      </c>
      <c r="F70" s="64">
        <v>2.13</v>
      </c>
      <c r="G70" s="64">
        <v>49.26</v>
      </c>
      <c r="H70" s="64">
        <v>24.11</v>
      </c>
      <c r="I70" s="210" t="s">
        <v>43</v>
      </c>
      <c r="J70" s="64">
        <v>1.22</v>
      </c>
      <c r="K70" s="64">
        <v>315.63</v>
      </c>
      <c r="L70" s="64">
        <v>26.84</v>
      </c>
      <c r="M70" s="64">
        <v>26.11</v>
      </c>
      <c r="N70" s="64">
        <v>185.1</v>
      </c>
      <c r="O70" s="64">
        <v>0</v>
      </c>
      <c r="P70" s="64">
        <v>0.74</v>
      </c>
      <c r="Q70" s="64">
        <v>8.2100000000000009</v>
      </c>
      <c r="S70" s="198"/>
      <c r="T70" s="198"/>
      <c r="U70" s="198"/>
    </row>
    <row r="71" spans="1:21" s="12" customFormat="1" x14ac:dyDescent="0.25">
      <c r="A71" s="214" t="s">
        <v>2418</v>
      </c>
      <c r="B71" s="64">
        <v>5.77</v>
      </c>
      <c r="C71" s="64">
        <v>68.790000000000006</v>
      </c>
      <c r="D71" s="64">
        <v>39.19</v>
      </c>
      <c r="E71" s="64">
        <v>3.08</v>
      </c>
      <c r="F71" s="64">
        <v>2.13</v>
      </c>
      <c r="G71" s="64">
        <v>49.26</v>
      </c>
      <c r="H71" s="64">
        <v>24.11</v>
      </c>
      <c r="I71" s="210" t="s">
        <v>43</v>
      </c>
      <c r="J71" s="64">
        <v>1.21</v>
      </c>
      <c r="K71" s="64">
        <v>150.36000000000001</v>
      </c>
      <c r="L71" s="64">
        <v>26.38</v>
      </c>
      <c r="M71" s="64">
        <v>25.93</v>
      </c>
      <c r="N71" s="64">
        <v>130.1</v>
      </c>
      <c r="O71" s="64">
        <v>0</v>
      </c>
      <c r="P71" s="64">
        <v>0.7</v>
      </c>
      <c r="Q71" s="64">
        <v>8.2100000000000009</v>
      </c>
      <c r="S71" s="198"/>
      <c r="T71" s="198"/>
      <c r="U71" s="198"/>
    </row>
    <row r="72" spans="1:21" s="12" customFormat="1" x14ac:dyDescent="0.25">
      <c r="A72" s="214" t="s">
        <v>2419</v>
      </c>
      <c r="B72" s="64">
        <v>5.29</v>
      </c>
      <c r="C72" s="64">
        <v>67.16</v>
      </c>
      <c r="D72" s="64">
        <v>37.950000000000003</v>
      </c>
      <c r="E72" s="64">
        <v>5.26</v>
      </c>
      <c r="F72" s="64">
        <v>2.1800000000000002</v>
      </c>
      <c r="G72" s="64">
        <v>47.89</v>
      </c>
      <c r="H72" s="64">
        <v>22.97</v>
      </c>
      <c r="I72" s="210" t="s">
        <v>43</v>
      </c>
      <c r="J72" s="64">
        <v>0.41</v>
      </c>
      <c r="K72" s="64">
        <v>211.06</v>
      </c>
      <c r="L72" s="64">
        <v>26.31</v>
      </c>
      <c r="M72" s="64">
        <v>25.55</v>
      </c>
      <c r="N72" s="64">
        <v>123.8</v>
      </c>
      <c r="O72" s="64">
        <v>0</v>
      </c>
      <c r="P72" s="64">
        <v>0.7</v>
      </c>
      <c r="Q72" s="64">
        <v>8.2100000000000009</v>
      </c>
      <c r="S72" s="198"/>
      <c r="T72" s="198"/>
      <c r="U72" s="198"/>
    </row>
    <row r="73" spans="1:21" s="12" customFormat="1" x14ac:dyDescent="0.25">
      <c r="A73" s="214" t="s">
        <v>2420</v>
      </c>
      <c r="B73" s="64">
        <v>4.9000000000000004</v>
      </c>
      <c r="C73" s="64">
        <v>65.290000000000006</v>
      </c>
      <c r="D73" s="64">
        <v>36.67</v>
      </c>
      <c r="E73" s="64">
        <v>5.71</v>
      </c>
      <c r="F73" s="64">
        <v>2.13</v>
      </c>
      <c r="G73" s="64">
        <v>46.24</v>
      </c>
      <c r="H73" s="64">
        <v>21.6</v>
      </c>
      <c r="I73" s="210" t="s">
        <v>43</v>
      </c>
      <c r="J73" s="64">
        <v>1.1599999999999999</v>
      </c>
      <c r="K73" s="64">
        <v>141.54</v>
      </c>
      <c r="L73" s="64">
        <v>26.06</v>
      </c>
      <c r="M73" s="64">
        <v>26.11</v>
      </c>
      <c r="N73" s="64">
        <v>118.2</v>
      </c>
      <c r="O73" s="64">
        <v>0</v>
      </c>
      <c r="P73" s="64">
        <v>0.69</v>
      </c>
      <c r="Q73" s="64">
        <v>8.2100000000000009</v>
      </c>
      <c r="S73" s="198"/>
      <c r="T73" s="198"/>
      <c r="U73" s="198"/>
    </row>
    <row r="74" spans="1:21" s="12" customFormat="1" x14ac:dyDescent="0.25">
      <c r="A74" s="214" t="s">
        <v>2421</v>
      </c>
      <c r="B74" s="64">
        <v>4.6500000000000004</v>
      </c>
      <c r="C74" s="64">
        <v>64.34</v>
      </c>
      <c r="D74" s="64">
        <v>35.96</v>
      </c>
      <c r="E74" s="64">
        <v>6.06</v>
      </c>
      <c r="F74" s="64">
        <v>2.13</v>
      </c>
      <c r="G74" s="64">
        <v>46.24</v>
      </c>
      <c r="H74" s="64">
        <v>21.6</v>
      </c>
      <c r="I74" s="210" t="s">
        <v>43</v>
      </c>
      <c r="J74" s="64">
        <v>1.17</v>
      </c>
      <c r="K74" s="64">
        <v>160.96</v>
      </c>
      <c r="L74" s="64">
        <v>25.96</v>
      </c>
      <c r="M74" s="64">
        <v>26.82</v>
      </c>
      <c r="N74" s="64">
        <v>111.7</v>
      </c>
      <c r="O74" s="64">
        <v>0</v>
      </c>
      <c r="P74" s="64">
        <v>0.79</v>
      </c>
      <c r="Q74" s="64">
        <v>8.2100000000000009</v>
      </c>
      <c r="S74" s="198"/>
      <c r="T74" s="198"/>
      <c r="U74" s="198"/>
    </row>
    <row r="75" spans="1:21" s="12" customFormat="1" x14ac:dyDescent="0.25">
      <c r="A75" s="214" t="s">
        <v>2422</v>
      </c>
      <c r="B75" s="64">
        <v>4.18</v>
      </c>
      <c r="C75" s="64">
        <v>63.86</v>
      </c>
      <c r="D75" s="64">
        <v>35.340000000000003</v>
      </c>
      <c r="E75" s="64">
        <v>5.85</v>
      </c>
      <c r="F75" s="64">
        <v>2.13</v>
      </c>
      <c r="G75" s="64">
        <v>46.24</v>
      </c>
      <c r="H75" s="64">
        <v>21.6</v>
      </c>
      <c r="I75" s="210" t="s">
        <v>43</v>
      </c>
      <c r="J75" s="64">
        <v>0.4</v>
      </c>
      <c r="K75" s="64">
        <v>197.71</v>
      </c>
      <c r="L75" s="64">
        <v>25.61</v>
      </c>
      <c r="M75" s="64">
        <v>27.46</v>
      </c>
      <c r="N75" s="64">
        <v>105.1</v>
      </c>
      <c r="O75" s="64">
        <v>0</v>
      </c>
      <c r="P75" s="64">
        <v>0.66</v>
      </c>
      <c r="Q75" s="64">
        <v>8.2100000000000009</v>
      </c>
      <c r="S75" s="198"/>
      <c r="T75" s="198"/>
      <c r="U75" s="198"/>
    </row>
    <row r="76" spans="1:21" s="12" customFormat="1" x14ac:dyDescent="0.25">
      <c r="A76" s="214" t="s">
        <v>2423</v>
      </c>
      <c r="B76" s="64">
        <v>3.79</v>
      </c>
      <c r="C76" s="64">
        <v>62.68</v>
      </c>
      <c r="D76" s="64">
        <v>34.409999999999997</v>
      </c>
      <c r="E76" s="64">
        <v>5.84</v>
      </c>
      <c r="F76" s="64">
        <v>2.13</v>
      </c>
      <c r="G76" s="64">
        <v>46.22</v>
      </c>
      <c r="H76" s="64">
        <v>19.78</v>
      </c>
      <c r="I76" s="210" t="s">
        <v>43</v>
      </c>
      <c r="J76" s="64">
        <v>0.34</v>
      </c>
      <c r="K76" s="64">
        <v>311.86</v>
      </c>
      <c r="L76" s="64">
        <v>25.27</v>
      </c>
      <c r="M76" s="64">
        <v>28.5</v>
      </c>
      <c r="N76" s="64">
        <v>98.9</v>
      </c>
      <c r="O76" s="64">
        <v>0</v>
      </c>
      <c r="P76" s="64">
        <v>0.66</v>
      </c>
      <c r="Q76" s="64">
        <v>8.2100000000000009</v>
      </c>
      <c r="S76" s="198"/>
      <c r="T76" s="198"/>
      <c r="U76" s="198"/>
    </row>
    <row r="77" spans="1:21" s="12" customFormat="1" x14ac:dyDescent="0.25">
      <c r="A77" s="214" t="s">
        <v>2424</v>
      </c>
      <c r="B77" s="64">
        <v>3.76</v>
      </c>
      <c r="C77" s="64">
        <v>63.1</v>
      </c>
      <c r="D77" s="64">
        <v>34.61</v>
      </c>
      <c r="E77" s="64">
        <v>6.26</v>
      </c>
      <c r="F77" s="64">
        <v>2.13</v>
      </c>
      <c r="G77" s="64">
        <v>46.19</v>
      </c>
      <c r="H77" s="64">
        <v>17.600000000000001</v>
      </c>
      <c r="I77" s="210" t="s">
        <v>43</v>
      </c>
      <c r="J77" s="64">
        <v>1.75</v>
      </c>
      <c r="K77" s="64">
        <v>259.75</v>
      </c>
      <c r="L77" s="64">
        <v>24.6</v>
      </c>
      <c r="M77" s="64">
        <v>32.42</v>
      </c>
      <c r="N77" s="64">
        <v>92.1</v>
      </c>
      <c r="O77" s="64">
        <v>0</v>
      </c>
      <c r="P77" s="64">
        <v>0.76</v>
      </c>
      <c r="Q77" s="64">
        <v>8.2100000000000009</v>
      </c>
      <c r="S77" s="198"/>
      <c r="T77" s="198"/>
      <c r="U77" s="198"/>
    </row>
    <row r="78" spans="1:21" s="12" customFormat="1" x14ac:dyDescent="0.25">
      <c r="A78" s="214" t="s">
        <v>2425</v>
      </c>
      <c r="B78" s="64">
        <v>4.68</v>
      </c>
      <c r="C78" s="64">
        <v>66.89</v>
      </c>
      <c r="D78" s="64">
        <v>37.32</v>
      </c>
      <c r="E78" s="64">
        <v>6.12</v>
      </c>
      <c r="F78" s="64">
        <v>2.13</v>
      </c>
      <c r="G78" s="64">
        <v>46.19</v>
      </c>
      <c r="H78" s="64">
        <v>17.600000000000001</v>
      </c>
      <c r="I78" s="210" t="s">
        <v>43</v>
      </c>
      <c r="J78" s="64">
        <v>1.65</v>
      </c>
      <c r="K78" s="64">
        <v>301.58999999999997</v>
      </c>
      <c r="L78" s="64">
        <v>23.58</v>
      </c>
      <c r="M78" s="64">
        <v>38.479999999999997</v>
      </c>
      <c r="N78" s="64">
        <v>85.2</v>
      </c>
      <c r="O78" s="64">
        <v>0</v>
      </c>
      <c r="P78" s="64">
        <v>0.91</v>
      </c>
      <c r="Q78" s="64">
        <v>8.2100000000000009</v>
      </c>
      <c r="S78" s="198"/>
      <c r="T78" s="198"/>
      <c r="U78" s="198"/>
    </row>
    <row r="79" spans="1:21" s="12" customFormat="1" x14ac:dyDescent="0.25">
      <c r="A79" s="214" t="s">
        <v>2426</v>
      </c>
      <c r="B79" s="64">
        <v>11.09</v>
      </c>
      <c r="C79" s="64">
        <v>71.75</v>
      </c>
      <c r="D79" s="64">
        <v>45.01</v>
      </c>
      <c r="E79" s="64">
        <v>6.29</v>
      </c>
      <c r="F79" s="64">
        <v>2.13</v>
      </c>
      <c r="G79" s="64">
        <v>46.19</v>
      </c>
      <c r="H79" s="64">
        <v>17.600000000000001</v>
      </c>
      <c r="I79" s="210" t="s">
        <v>43</v>
      </c>
      <c r="J79" s="64">
        <v>1.74</v>
      </c>
      <c r="K79" s="64">
        <v>317.92</v>
      </c>
      <c r="L79" s="64">
        <v>22.49</v>
      </c>
      <c r="M79" s="64">
        <v>46.86</v>
      </c>
      <c r="N79" s="64">
        <v>79.3</v>
      </c>
      <c r="O79" s="64">
        <v>0</v>
      </c>
      <c r="P79" s="64">
        <v>1.07</v>
      </c>
      <c r="Q79" s="64">
        <v>8.2100000000000009</v>
      </c>
      <c r="S79" s="198"/>
      <c r="T79" s="198"/>
      <c r="U79" s="198"/>
    </row>
    <row r="80" spans="1:21" s="12" customFormat="1" x14ac:dyDescent="0.25">
      <c r="A80" s="214" t="s">
        <v>2427</v>
      </c>
      <c r="B80" s="64">
        <v>20.03</v>
      </c>
      <c r="C80" s="64">
        <v>75.64</v>
      </c>
      <c r="D80" s="64">
        <v>54.21</v>
      </c>
      <c r="E80" s="64">
        <v>6.79</v>
      </c>
      <c r="F80" s="64">
        <v>2.13</v>
      </c>
      <c r="G80" s="64">
        <v>91.67</v>
      </c>
      <c r="H80" s="64">
        <v>19.690000000000001</v>
      </c>
      <c r="I80" s="210" t="s">
        <v>43</v>
      </c>
      <c r="J80" s="64">
        <v>0.81</v>
      </c>
      <c r="K80" s="64">
        <v>1.1100000000000001</v>
      </c>
      <c r="L80" s="64">
        <v>21.58</v>
      </c>
      <c r="M80" s="64">
        <v>48.58</v>
      </c>
      <c r="N80" s="64">
        <v>76.099999999999994</v>
      </c>
      <c r="O80" s="64">
        <v>0</v>
      </c>
      <c r="P80" s="64">
        <v>0.96</v>
      </c>
      <c r="Q80" s="64">
        <v>8.2100000000000009</v>
      </c>
      <c r="S80" s="198"/>
      <c r="T80" s="198"/>
      <c r="U80" s="198"/>
    </row>
    <row r="81" spans="1:26" s="12" customFormat="1" x14ac:dyDescent="0.25">
      <c r="A81" s="214" t="s">
        <v>2428</v>
      </c>
      <c r="B81" s="64">
        <v>22.98</v>
      </c>
      <c r="C81" s="64">
        <v>77.69</v>
      </c>
      <c r="D81" s="64">
        <v>57.64</v>
      </c>
      <c r="E81" s="64">
        <v>6.7</v>
      </c>
      <c r="F81" s="64">
        <v>2.13</v>
      </c>
      <c r="G81" s="64">
        <v>146.03</v>
      </c>
      <c r="H81" s="64">
        <v>22.18</v>
      </c>
      <c r="I81" s="210" t="s">
        <v>43</v>
      </c>
      <c r="J81" s="64">
        <v>2.77</v>
      </c>
      <c r="K81" s="64">
        <v>334.1</v>
      </c>
      <c r="L81" s="64">
        <v>21.49</v>
      </c>
      <c r="M81" s="64">
        <v>49.94</v>
      </c>
      <c r="N81" s="64">
        <v>73.599999999999994</v>
      </c>
      <c r="O81" s="64">
        <v>0</v>
      </c>
      <c r="P81" s="64">
        <v>0.95</v>
      </c>
      <c r="Q81" s="64">
        <v>8.2100000000000009</v>
      </c>
      <c r="S81" s="198"/>
      <c r="T81" s="198"/>
      <c r="U81" s="198"/>
    </row>
    <row r="82" spans="1:26" s="12" customFormat="1" x14ac:dyDescent="0.25">
      <c r="A82" s="214" t="s">
        <v>2429</v>
      </c>
      <c r="B82" s="64">
        <v>23.02</v>
      </c>
      <c r="C82" s="64">
        <v>79.42</v>
      </c>
      <c r="D82" s="64">
        <v>58.58</v>
      </c>
      <c r="E82" s="64">
        <v>6.74</v>
      </c>
      <c r="F82" s="64">
        <v>2.13</v>
      </c>
      <c r="G82" s="64">
        <v>146.03</v>
      </c>
      <c r="H82" s="64">
        <v>22.18</v>
      </c>
      <c r="I82" s="210" t="s">
        <v>43</v>
      </c>
      <c r="J82" s="64">
        <v>2.85</v>
      </c>
      <c r="K82" s="64">
        <v>344</v>
      </c>
      <c r="L82" s="64">
        <v>21.8</v>
      </c>
      <c r="M82" s="64">
        <v>49.97</v>
      </c>
      <c r="N82" s="64">
        <v>74.400000000000006</v>
      </c>
      <c r="O82" s="64">
        <v>0</v>
      </c>
      <c r="P82" s="64">
        <v>0.98</v>
      </c>
      <c r="Q82" s="64">
        <v>8.2100000000000009</v>
      </c>
      <c r="S82" s="198"/>
      <c r="T82" s="198"/>
      <c r="U82" s="198"/>
    </row>
    <row r="83" spans="1:26" s="12" customFormat="1" x14ac:dyDescent="0.25">
      <c r="A83" s="214" t="s">
        <v>2430</v>
      </c>
      <c r="B83" s="64">
        <v>22.43</v>
      </c>
      <c r="C83" s="64">
        <v>79.44</v>
      </c>
      <c r="D83" s="64">
        <v>58.11</v>
      </c>
      <c r="E83" s="64">
        <v>6.56</v>
      </c>
      <c r="F83" s="64">
        <v>2.13</v>
      </c>
      <c r="G83" s="64">
        <v>146.03</v>
      </c>
      <c r="H83" s="64">
        <v>22.18</v>
      </c>
      <c r="I83" s="210" t="s">
        <v>43</v>
      </c>
      <c r="J83" s="64">
        <v>1.97</v>
      </c>
      <c r="K83" s="64">
        <v>350</v>
      </c>
      <c r="L83" s="64">
        <v>21.51</v>
      </c>
      <c r="M83" s="64">
        <v>51.95</v>
      </c>
      <c r="N83" s="64">
        <v>75.099999999999994</v>
      </c>
      <c r="O83" s="64">
        <v>0</v>
      </c>
      <c r="P83" s="64">
        <v>1.25</v>
      </c>
      <c r="Q83" s="64">
        <v>8.2100000000000009</v>
      </c>
      <c r="S83" s="198"/>
      <c r="T83" s="198"/>
      <c r="U83" s="198"/>
    </row>
    <row r="84" spans="1:26" s="12" customFormat="1" x14ac:dyDescent="0.25">
      <c r="A84" s="214" t="s">
        <v>2431</v>
      </c>
      <c r="B84" s="64">
        <v>23.16</v>
      </c>
      <c r="C84" s="64">
        <v>79.08</v>
      </c>
      <c r="D84" s="64">
        <v>58.51</v>
      </c>
      <c r="E84" s="64">
        <v>6.78</v>
      </c>
      <c r="F84" s="64">
        <v>2.13</v>
      </c>
      <c r="G84" s="64">
        <v>142.47</v>
      </c>
      <c r="H84" s="64">
        <v>25.67</v>
      </c>
      <c r="I84" s="210" t="s">
        <v>43</v>
      </c>
      <c r="J84" s="64">
        <v>1.97</v>
      </c>
      <c r="K84" s="64">
        <v>353.14</v>
      </c>
      <c r="L84" s="64">
        <v>21.23</v>
      </c>
      <c r="M84" s="64">
        <v>52</v>
      </c>
      <c r="N84" s="64">
        <v>74.8</v>
      </c>
      <c r="O84" s="64">
        <v>0</v>
      </c>
      <c r="P84" s="64">
        <v>1.42</v>
      </c>
      <c r="Q84" s="64">
        <v>8.2100000000000009</v>
      </c>
      <c r="S84" s="198"/>
      <c r="T84" s="198"/>
      <c r="U84" s="198"/>
    </row>
    <row r="85" spans="1:26" s="12" customFormat="1" x14ac:dyDescent="0.25">
      <c r="A85" s="214" t="s">
        <v>2432</v>
      </c>
      <c r="B85" s="64">
        <v>24.45</v>
      </c>
      <c r="C85" s="64">
        <v>79.8</v>
      </c>
      <c r="D85" s="64">
        <v>59.92</v>
      </c>
      <c r="E85" s="64">
        <v>6.51</v>
      </c>
      <c r="F85" s="64">
        <v>2.13</v>
      </c>
      <c r="G85" s="64">
        <v>138.21</v>
      </c>
      <c r="H85" s="64">
        <v>29.85</v>
      </c>
      <c r="I85" s="210" t="s">
        <v>43</v>
      </c>
      <c r="J85" s="64">
        <v>2.11</v>
      </c>
      <c r="K85" s="64">
        <v>349.19</v>
      </c>
      <c r="L85" s="64">
        <v>21</v>
      </c>
      <c r="M85" s="64">
        <v>51.85</v>
      </c>
      <c r="N85" s="64">
        <v>74.5</v>
      </c>
      <c r="O85" s="64">
        <v>0</v>
      </c>
      <c r="P85" s="64">
        <v>1.43</v>
      </c>
      <c r="Q85" s="64">
        <v>8.2100000000000009</v>
      </c>
      <c r="S85" s="198"/>
      <c r="T85" s="198"/>
      <c r="U85" s="198"/>
    </row>
    <row r="86" spans="1:26" s="12" customFormat="1" x14ac:dyDescent="0.25">
      <c r="A86" s="214" t="s">
        <v>2433</v>
      </c>
      <c r="B86" s="64">
        <v>25.4</v>
      </c>
      <c r="C86" s="64">
        <v>80.25</v>
      </c>
      <c r="D86" s="64">
        <v>60.92</v>
      </c>
      <c r="E86" s="64">
        <v>6.84</v>
      </c>
      <c r="F86" s="64">
        <v>2.13</v>
      </c>
      <c r="G86" s="64">
        <v>138.21</v>
      </c>
      <c r="H86" s="64">
        <v>29.85</v>
      </c>
      <c r="I86" s="210" t="s">
        <v>43</v>
      </c>
      <c r="J86" s="64">
        <v>1.23</v>
      </c>
      <c r="K86" s="64">
        <v>356.27</v>
      </c>
      <c r="L86" s="64">
        <v>20.83</v>
      </c>
      <c r="M86" s="64">
        <v>50.67</v>
      </c>
      <c r="N86" s="64">
        <v>74.5</v>
      </c>
      <c r="O86" s="64">
        <v>0</v>
      </c>
      <c r="P86" s="64">
        <v>1.32</v>
      </c>
      <c r="Q86" s="64">
        <v>8.2100000000000009</v>
      </c>
      <c r="S86" s="198"/>
      <c r="T86" s="198"/>
      <c r="U86" s="198"/>
    </row>
    <row r="87" spans="1:26" s="12" customFormat="1" x14ac:dyDescent="0.25">
      <c r="A87" s="214" t="s">
        <v>2434</v>
      </c>
      <c r="B87" s="64">
        <v>25.73</v>
      </c>
      <c r="C87" s="64">
        <v>80.38</v>
      </c>
      <c r="D87" s="64">
        <v>61.25</v>
      </c>
      <c r="E87" s="64">
        <v>6.66</v>
      </c>
      <c r="F87" s="64">
        <v>2.13</v>
      </c>
      <c r="G87" s="64">
        <v>138.21</v>
      </c>
      <c r="H87" s="64">
        <v>29.85</v>
      </c>
      <c r="I87" s="210" t="s">
        <v>43</v>
      </c>
      <c r="J87" s="64">
        <v>1.76</v>
      </c>
      <c r="K87" s="64">
        <v>87.98</v>
      </c>
      <c r="L87" s="64">
        <v>20.59</v>
      </c>
      <c r="M87" s="64">
        <v>51.6</v>
      </c>
      <c r="N87" s="64">
        <v>74.5</v>
      </c>
      <c r="O87" s="64">
        <v>0</v>
      </c>
      <c r="P87" s="64">
        <v>1.43</v>
      </c>
      <c r="Q87" s="64">
        <v>8.2100000000000009</v>
      </c>
      <c r="S87" s="198"/>
      <c r="T87" s="198"/>
      <c r="U87" s="198"/>
    </row>
    <row r="88" spans="1:26" s="12" customFormat="1" x14ac:dyDescent="0.25">
      <c r="A88" s="214" t="s">
        <v>2435</v>
      </c>
      <c r="B88" s="64">
        <v>25.56</v>
      </c>
      <c r="C88" s="64">
        <v>80.23</v>
      </c>
      <c r="D88" s="64">
        <v>61.04</v>
      </c>
      <c r="E88" s="64">
        <v>6.9</v>
      </c>
      <c r="F88" s="64">
        <v>2.13</v>
      </c>
      <c r="G88" s="64">
        <v>141.05000000000001</v>
      </c>
      <c r="H88" s="64">
        <v>33.4</v>
      </c>
      <c r="I88" s="210" t="s">
        <v>43</v>
      </c>
      <c r="J88" s="64">
        <v>1.42</v>
      </c>
      <c r="K88" s="64">
        <v>66.61</v>
      </c>
      <c r="L88" s="64">
        <v>20.27</v>
      </c>
      <c r="M88" s="64">
        <v>53.18</v>
      </c>
      <c r="N88" s="64">
        <v>74.5</v>
      </c>
      <c r="O88" s="64">
        <v>0</v>
      </c>
      <c r="P88" s="64">
        <v>1.57</v>
      </c>
      <c r="Q88" s="64">
        <v>8.2100000000000009</v>
      </c>
      <c r="S88" s="198"/>
      <c r="T88" s="198"/>
      <c r="U88" s="198"/>
    </row>
    <row r="89" spans="1:26" s="12" customFormat="1" x14ac:dyDescent="0.25">
      <c r="A89" s="214" t="s">
        <v>2436</v>
      </c>
      <c r="B89" s="64">
        <v>25.82</v>
      </c>
      <c r="C89" s="64">
        <v>79.84</v>
      </c>
      <c r="D89" s="64">
        <v>61.05</v>
      </c>
      <c r="E89" s="64">
        <v>7.7</v>
      </c>
      <c r="F89" s="64">
        <v>2.13</v>
      </c>
      <c r="G89" s="64">
        <v>144.43</v>
      </c>
      <c r="H89" s="64">
        <v>37.64</v>
      </c>
      <c r="I89" s="210" t="s">
        <v>43</v>
      </c>
      <c r="J89" s="64">
        <v>1.1299999999999999</v>
      </c>
      <c r="K89" s="64">
        <v>1.87</v>
      </c>
      <c r="L89" s="64">
        <v>19.93</v>
      </c>
      <c r="M89" s="64">
        <v>55.5</v>
      </c>
      <c r="N89" s="64">
        <v>74.400000000000006</v>
      </c>
      <c r="O89" s="64">
        <v>0</v>
      </c>
      <c r="P89" s="64">
        <v>1.64</v>
      </c>
      <c r="Q89" s="64">
        <v>8.2100000000000009</v>
      </c>
      <c r="S89" s="198"/>
      <c r="T89" s="198"/>
      <c r="U89" s="198"/>
    </row>
    <row r="90" spans="1:26" s="12" customFormat="1" x14ac:dyDescent="0.25">
      <c r="A90" s="214" t="s">
        <v>2437</v>
      </c>
      <c r="B90" s="64">
        <v>26.7</v>
      </c>
      <c r="C90" s="64">
        <v>79.650000000000006</v>
      </c>
      <c r="D90" s="64">
        <v>61.65</v>
      </c>
      <c r="E90" s="64">
        <v>7.68</v>
      </c>
      <c r="F90" s="64">
        <v>2.13</v>
      </c>
      <c r="G90" s="64">
        <v>144.43</v>
      </c>
      <c r="H90" s="64">
        <v>37.64</v>
      </c>
      <c r="I90" s="210" t="s">
        <v>43</v>
      </c>
      <c r="J90" s="64">
        <v>1.66</v>
      </c>
      <c r="K90" s="64">
        <v>86.7</v>
      </c>
      <c r="L90" s="64">
        <v>19.84</v>
      </c>
      <c r="M90" s="64">
        <v>55.6</v>
      </c>
      <c r="N90" s="64">
        <v>74.2</v>
      </c>
      <c r="O90" s="64">
        <v>0</v>
      </c>
      <c r="P90" s="64">
        <v>1.59</v>
      </c>
      <c r="Q90" s="64">
        <v>8.2100000000000009</v>
      </c>
      <c r="S90" s="198"/>
      <c r="T90" s="198"/>
      <c r="U90" s="198"/>
    </row>
    <row r="91" spans="1:26" s="12" customFormat="1" x14ac:dyDescent="0.25">
      <c r="A91" s="214" t="s">
        <v>2438</v>
      </c>
      <c r="B91" s="64">
        <v>26.92</v>
      </c>
      <c r="C91" s="64">
        <v>80.319999999999993</v>
      </c>
      <c r="D91" s="64">
        <v>62.17</v>
      </c>
      <c r="E91" s="64">
        <v>8.0299999999999994</v>
      </c>
      <c r="F91" s="64">
        <v>2.13</v>
      </c>
      <c r="G91" s="64">
        <v>144.43</v>
      </c>
      <c r="H91" s="64">
        <v>37.64</v>
      </c>
      <c r="I91" s="210" t="s">
        <v>43</v>
      </c>
      <c r="J91" s="64">
        <v>1.51</v>
      </c>
      <c r="K91" s="64">
        <v>67.709999999999994</v>
      </c>
      <c r="L91" s="64">
        <v>19.63</v>
      </c>
      <c r="M91" s="64">
        <v>56.8</v>
      </c>
      <c r="N91" s="64">
        <v>74.5</v>
      </c>
      <c r="O91" s="64">
        <v>0</v>
      </c>
      <c r="P91" s="64">
        <v>1.35</v>
      </c>
      <c r="Q91" s="64">
        <v>8.2100000000000009</v>
      </c>
      <c r="S91" s="198"/>
      <c r="T91" s="198"/>
      <c r="U91" s="198"/>
    </row>
    <row r="92" spans="1:26" s="12" customFormat="1" x14ac:dyDescent="0.25">
      <c r="A92" s="214" t="s">
        <v>2439</v>
      </c>
      <c r="B92" s="64">
        <v>26.3</v>
      </c>
      <c r="C92" s="64">
        <v>81.319999999999993</v>
      </c>
      <c r="D92" s="64">
        <v>62.2</v>
      </c>
      <c r="E92" s="64">
        <v>8.34</v>
      </c>
      <c r="F92" s="64">
        <v>2.13</v>
      </c>
      <c r="G92" s="64">
        <v>171.86</v>
      </c>
      <c r="H92" s="64">
        <v>44.15</v>
      </c>
      <c r="I92" s="210" t="s">
        <v>43</v>
      </c>
      <c r="J92" s="64">
        <v>0.78</v>
      </c>
      <c r="K92" s="64">
        <v>33.130000000000003</v>
      </c>
      <c r="L92" s="64">
        <v>19.28</v>
      </c>
      <c r="M92" s="64">
        <v>58.39</v>
      </c>
      <c r="N92" s="64">
        <v>74.5</v>
      </c>
      <c r="O92" s="64">
        <v>0</v>
      </c>
      <c r="P92" s="64">
        <v>1.56</v>
      </c>
      <c r="Q92" s="64">
        <v>8.2100000000000009</v>
      </c>
      <c r="S92" s="198"/>
      <c r="T92" s="198"/>
      <c r="U92" s="198"/>
    </row>
    <row r="93" spans="1:26" s="12" customFormat="1" x14ac:dyDescent="0.25">
      <c r="A93" s="214" t="s">
        <v>2440</v>
      </c>
      <c r="B93" s="64">
        <v>25.58</v>
      </c>
      <c r="C93" s="64">
        <v>81.52</v>
      </c>
      <c r="D93" s="64">
        <v>61.73</v>
      </c>
      <c r="E93" s="64">
        <v>8.26</v>
      </c>
      <c r="F93" s="64">
        <v>2.13</v>
      </c>
      <c r="G93" s="64">
        <v>204.64</v>
      </c>
      <c r="H93" s="64">
        <v>51.92</v>
      </c>
      <c r="I93" s="210" t="s">
        <v>43</v>
      </c>
      <c r="J93" s="64">
        <v>1.44</v>
      </c>
      <c r="K93" s="64">
        <v>55.17</v>
      </c>
      <c r="L93" s="64">
        <v>19.079999999999998</v>
      </c>
      <c r="M93" s="64">
        <v>59.11</v>
      </c>
      <c r="N93" s="64">
        <v>74.7</v>
      </c>
      <c r="O93" s="64">
        <v>0</v>
      </c>
      <c r="P93" s="64">
        <v>1.51</v>
      </c>
      <c r="Q93" s="64">
        <v>8.2100000000000009</v>
      </c>
      <c r="S93" s="198"/>
      <c r="T93" s="198"/>
      <c r="U93" s="198"/>
    </row>
    <row r="94" spans="1:26" s="12" customFormat="1" x14ac:dyDescent="0.25">
      <c r="A94" s="214" t="s">
        <v>2441</v>
      </c>
      <c r="B94" s="64">
        <v>24.42</v>
      </c>
      <c r="C94" s="64">
        <v>81.56</v>
      </c>
      <c r="D94" s="64">
        <v>60.82</v>
      </c>
      <c r="E94" s="64">
        <v>8.3699999999999992</v>
      </c>
      <c r="F94" s="64">
        <v>2.13</v>
      </c>
      <c r="G94" s="64">
        <v>204.64</v>
      </c>
      <c r="H94" s="64">
        <v>51.92</v>
      </c>
      <c r="I94" s="210" t="s">
        <v>43</v>
      </c>
      <c r="J94" s="64">
        <v>1.65</v>
      </c>
      <c r="K94" s="64">
        <v>281.13</v>
      </c>
      <c r="L94" s="64">
        <v>18.87</v>
      </c>
      <c r="M94" s="64">
        <v>60.56</v>
      </c>
      <c r="N94" s="64">
        <v>74.900000000000006</v>
      </c>
      <c r="O94" s="64">
        <v>0</v>
      </c>
      <c r="P94" s="64">
        <v>1.52</v>
      </c>
      <c r="Q94" s="64">
        <v>8.2100000000000009</v>
      </c>
      <c r="S94" s="198"/>
      <c r="T94" s="198"/>
      <c r="U94" s="198"/>
    </row>
    <row r="95" spans="1:26" s="12" customFormat="1" x14ac:dyDescent="0.25">
      <c r="A95" s="214" t="s">
        <v>2442</v>
      </c>
      <c r="B95" s="64">
        <v>23.77</v>
      </c>
      <c r="C95" s="64">
        <v>81.709999999999994</v>
      </c>
      <c r="D95" s="64">
        <v>60.38</v>
      </c>
      <c r="E95" s="64">
        <v>8.9700000000000006</v>
      </c>
      <c r="F95" s="64">
        <v>2.13</v>
      </c>
      <c r="G95" s="64">
        <v>204.64</v>
      </c>
      <c r="H95" s="64">
        <v>51.92</v>
      </c>
      <c r="I95" s="210" t="s">
        <v>43</v>
      </c>
      <c r="J95" s="64">
        <v>1.85</v>
      </c>
      <c r="K95" s="64">
        <v>258.74</v>
      </c>
      <c r="L95" s="64">
        <v>18.47</v>
      </c>
      <c r="M95" s="64">
        <v>64.17</v>
      </c>
      <c r="N95" s="64">
        <v>74.900000000000006</v>
      </c>
      <c r="O95" s="64">
        <v>0</v>
      </c>
      <c r="P95" s="64">
        <v>1.55</v>
      </c>
      <c r="Q95" s="64">
        <v>8.2100000000000009</v>
      </c>
      <c r="S95" s="198"/>
      <c r="T95" s="198"/>
      <c r="U95" s="198"/>
    </row>
    <row r="96" spans="1:26" s="12" customFormat="1" x14ac:dyDescent="0.25">
      <c r="A96" s="214" t="s">
        <v>2443</v>
      </c>
      <c r="B96" s="64">
        <v>23.6</v>
      </c>
      <c r="C96" s="64">
        <v>81.400000000000006</v>
      </c>
      <c r="D96" s="64">
        <v>60.08</v>
      </c>
      <c r="E96" s="64">
        <v>8.66</v>
      </c>
      <c r="F96" s="64">
        <v>2.13</v>
      </c>
      <c r="G96" s="64">
        <v>197.97</v>
      </c>
      <c r="H96" s="64">
        <v>56.73</v>
      </c>
      <c r="I96" s="210" t="s">
        <v>43</v>
      </c>
      <c r="J96" s="64">
        <v>1.62</v>
      </c>
      <c r="K96" s="64">
        <v>224.07</v>
      </c>
      <c r="L96" s="64">
        <v>18.02</v>
      </c>
      <c r="M96" s="64">
        <v>66.17</v>
      </c>
      <c r="N96" s="64">
        <v>74.900000000000006</v>
      </c>
      <c r="O96" s="64">
        <v>0</v>
      </c>
      <c r="P96" s="64">
        <v>1.57</v>
      </c>
      <c r="Q96" s="64">
        <v>8.2100000000000009</v>
      </c>
      <c r="S96" s="198"/>
      <c r="T96" s="198"/>
      <c r="U96" s="198"/>
      <c r="Z96" s="109"/>
    </row>
    <row r="97" spans="1:33" s="12" customFormat="1" x14ac:dyDescent="0.25">
      <c r="A97" s="214" t="s">
        <v>2444</v>
      </c>
      <c r="B97" s="64">
        <v>24.29</v>
      </c>
      <c r="C97" s="64">
        <v>80.709999999999994</v>
      </c>
      <c r="D97" s="64">
        <v>60.27</v>
      </c>
      <c r="E97" s="64">
        <v>8.25</v>
      </c>
      <c r="F97" s="64">
        <v>2.13</v>
      </c>
      <c r="G97" s="64">
        <v>190</v>
      </c>
      <c r="H97" s="64">
        <v>62.48</v>
      </c>
      <c r="I97" s="210" t="s">
        <v>43</v>
      </c>
      <c r="J97" s="64">
        <v>1.62</v>
      </c>
      <c r="K97" s="64">
        <v>313.91000000000003</v>
      </c>
      <c r="L97" s="64">
        <v>17.600000000000001</v>
      </c>
      <c r="M97" s="64">
        <v>71.53</v>
      </c>
      <c r="N97" s="64">
        <v>74.900000000000006</v>
      </c>
      <c r="O97" s="64">
        <v>0</v>
      </c>
      <c r="P97" s="64">
        <v>1.62</v>
      </c>
      <c r="Q97" s="64">
        <v>8.2100000000000009</v>
      </c>
      <c r="S97" s="198"/>
      <c r="T97" s="198"/>
      <c r="U97" s="198"/>
    </row>
    <row r="98" spans="1:33" s="12" customFormat="1" x14ac:dyDescent="0.25">
      <c r="A98" s="214" t="s">
        <v>2445</v>
      </c>
      <c r="B98" s="64">
        <v>28.67</v>
      </c>
      <c r="C98" s="64">
        <v>80.930000000000007</v>
      </c>
      <c r="D98" s="64">
        <v>63.9</v>
      </c>
      <c r="E98" s="64">
        <v>8.8000000000000007</v>
      </c>
      <c r="F98" s="64">
        <v>2.13</v>
      </c>
      <c r="G98" s="64">
        <v>190</v>
      </c>
      <c r="H98" s="64">
        <v>62.48</v>
      </c>
      <c r="I98" s="210" t="s">
        <v>43</v>
      </c>
      <c r="J98" s="64">
        <v>1.8</v>
      </c>
      <c r="K98" s="64">
        <v>261.08999999999997</v>
      </c>
      <c r="L98" s="64">
        <v>17.059999999999999</v>
      </c>
      <c r="M98" s="64">
        <v>73.45</v>
      </c>
      <c r="N98" s="64">
        <v>74.900000000000006</v>
      </c>
      <c r="O98" s="64">
        <v>0</v>
      </c>
      <c r="P98" s="64">
        <v>1.69</v>
      </c>
      <c r="Q98" s="64">
        <v>8.2100000000000009</v>
      </c>
      <c r="S98" s="198"/>
      <c r="T98" s="198"/>
      <c r="U98" s="198"/>
    </row>
    <row r="99" spans="1:33" s="12" customFormat="1" x14ac:dyDescent="0.25">
      <c r="A99" s="214" t="s">
        <v>2446</v>
      </c>
      <c r="B99" s="64">
        <v>32.700000000000003</v>
      </c>
      <c r="C99" s="64">
        <v>80.94</v>
      </c>
      <c r="D99" s="64">
        <v>67.14</v>
      </c>
      <c r="E99" s="64">
        <v>8.89</v>
      </c>
      <c r="F99" s="64">
        <v>2.13</v>
      </c>
      <c r="G99" s="64">
        <v>190</v>
      </c>
      <c r="H99" s="64">
        <v>62.48</v>
      </c>
      <c r="I99" s="210" t="s">
        <v>43</v>
      </c>
      <c r="J99" s="64">
        <v>1.67</v>
      </c>
      <c r="K99" s="64">
        <v>287.25</v>
      </c>
      <c r="L99" s="64">
        <v>16.71</v>
      </c>
      <c r="M99" s="64">
        <v>77.099999999999994</v>
      </c>
      <c r="N99" s="64">
        <v>74.900000000000006</v>
      </c>
      <c r="O99" s="64">
        <v>0</v>
      </c>
      <c r="P99" s="64">
        <v>1.76</v>
      </c>
      <c r="Q99" s="64">
        <v>8.2100000000000009</v>
      </c>
      <c r="S99" s="198"/>
      <c r="T99" s="198"/>
      <c r="U99" s="198"/>
    </row>
    <row r="100" spans="1:33" s="12" customFormat="1" x14ac:dyDescent="0.25">
      <c r="A100" s="214" t="s">
        <v>2447</v>
      </c>
      <c r="B100" s="64">
        <v>36.74</v>
      </c>
      <c r="C100" s="64">
        <v>76.64</v>
      </c>
      <c r="D100" s="64">
        <v>68.12</v>
      </c>
      <c r="E100" s="64">
        <v>8.9600000000000009</v>
      </c>
      <c r="F100" s="64">
        <v>2.13</v>
      </c>
      <c r="G100" s="64">
        <v>198.01</v>
      </c>
      <c r="H100" s="64">
        <v>63.04</v>
      </c>
      <c r="I100" s="210" t="s">
        <v>43</v>
      </c>
      <c r="J100" s="64">
        <v>1.7</v>
      </c>
      <c r="K100" s="64">
        <v>303.88</v>
      </c>
      <c r="L100" s="64">
        <v>16.43</v>
      </c>
      <c r="M100" s="64">
        <v>82.91</v>
      </c>
      <c r="N100" s="64">
        <v>74.900000000000006</v>
      </c>
      <c r="O100" s="64">
        <v>0</v>
      </c>
      <c r="P100" s="64">
        <v>2.04</v>
      </c>
      <c r="Q100" s="64">
        <v>8.2100000000000009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2448</v>
      </c>
      <c r="B101" s="64">
        <v>41.16</v>
      </c>
      <c r="C101" s="64">
        <v>75.459999999999994</v>
      </c>
      <c r="D101" s="64">
        <v>71.06</v>
      </c>
      <c r="E101" s="64">
        <v>8.41</v>
      </c>
      <c r="F101" s="64">
        <v>2.13</v>
      </c>
      <c r="G101" s="64">
        <v>207.59</v>
      </c>
      <c r="H101" s="64">
        <v>63.71</v>
      </c>
      <c r="I101" s="210" t="s">
        <v>43</v>
      </c>
      <c r="J101" s="64">
        <v>1.06</v>
      </c>
      <c r="K101" s="64">
        <v>257.14</v>
      </c>
      <c r="L101" s="64">
        <v>16.170000000000002</v>
      </c>
      <c r="M101" s="64">
        <v>83.62</v>
      </c>
      <c r="N101" s="64">
        <v>74.7</v>
      </c>
      <c r="O101" s="64">
        <v>0</v>
      </c>
      <c r="P101" s="64">
        <v>2.0299999999999998</v>
      </c>
      <c r="Q101" s="64">
        <v>8.2100000000000009</v>
      </c>
      <c r="S101" s="198"/>
      <c r="T101" s="198"/>
      <c r="U101" s="198"/>
    </row>
    <row r="102" spans="1:33" s="12" customFormat="1" x14ac:dyDescent="0.25">
      <c r="A102" s="214" t="s">
        <v>2449</v>
      </c>
      <c r="B102" s="64">
        <v>46.65</v>
      </c>
      <c r="C102" s="64">
        <v>75.02</v>
      </c>
      <c r="D102" s="64">
        <v>75.23</v>
      </c>
      <c r="E102" s="64">
        <v>9</v>
      </c>
      <c r="F102" s="64">
        <v>2.13</v>
      </c>
      <c r="G102" s="64">
        <v>207.59</v>
      </c>
      <c r="H102" s="64">
        <v>63.71</v>
      </c>
      <c r="I102" s="210" t="s">
        <v>43</v>
      </c>
      <c r="J102" s="64">
        <v>1.61</v>
      </c>
      <c r="K102" s="64">
        <v>301.25</v>
      </c>
      <c r="L102" s="64">
        <v>15.97</v>
      </c>
      <c r="M102" s="64">
        <v>86.5</v>
      </c>
      <c r="N102" s="64">
        <v>74.8</v>
      </c>
      <c r="O102" s="64">
        <v>0</v>
      </c>
      <c r="P102" s="64">
        <v>2.0699999999999998</v>
      </c>
      <c r="Q102" s="64">
        <v>8.2100000000000009</v>
      </c>
      <c r="S102" s="198"/>
      <c r="T102" s="198"/>
      <c r="U102" s="198"/>
    </row>
    <row r="103" spans="1:33" s="12" customFormat="1" x14ac:dyDescent="0.25">
      <c r="A103" s="214" t="s">
        <v>2450</v>
      </c>
      <c r="B103" s="64">
        <v>51.89</v>
      </c>
      <c r="C103" s="64">
        <v>74.010000000000005</v>
      </c>
      <c r="D103" s="64">
        <v>78.900000000000006</v>
      </c>
      <c r="E103" s="64">
        <v>8.4700000000000006</v>
      </c>
      <c r="F103" s="64">
        <v>2.13</v>
      </c>
      <c r="G103" s="64">
        <v>207.59</v>
      </c>
      <c r="H103" s="64">
        <v>63.71</v>
      </c>
      <c r="I103" s="210" t="s">
        <v>43</v>
      </c>
      <c r="J103" s="64">
        <v>1.47</v>
      </c>
      <c r="K103" s="64">
        <v>246.79</v>
      </c>
      <c r="L103" s="64">
        <v>16.239999999999998</v>
      </c>
      <c r="M103" s="64">
        <v>81.89</v>
      </c>
      <c r="N103" s="64">
        <v>74.099999999999994</v>
      </c>
      <c r="O103" s="64">
        <v>0</v>
      </c>
      <c r="P103" s="64">
        <v>1.87</v>
      </c>
      <c r="Q103" s="64">
        <v>8.2100000000000009</v>
      </c>
      <c r="S103" s="198"/>
      <c r="T103" s="198"/>
      <c r="U103" s="198"/>
    </row>
    <row r="104" spans="1:33" s="12" customFormat="1" x14ac:dyDescent="0.25">
      <c r="A104" s="214" t="s">
        <v>2451</v>
      </c>
      <c r="B104" s="64">
        <v>53.29</v>
      </c>
      <c r="C104" s="64">
        <v>72.540000000000006</v>
      </c>
      <c r="D104" s="64">
        <v>79.260000000000005</v>
      </c>
      <c r="E104" s="64">
        <v>7.53</v>
      </c>
      <c r="F104" s="64">
        <v>2.13</v>
      </c>
      <c r="G104" s="64">
        <v>202.18</v>
      </c>
      <c r="H104" s="64">
        <v>63.61</v>
      </c>
      <c r="I104" s="210" t="s">
        <v>43</v>
      </c>
      <c r="J104" s="64">
        <v>0.5</v>
      </c>
      <c r="K104" s="64">
        <v>266.8</v>
      </c>
      <c r="L104" s="64">
        <v>16.350000000000001</v>
      </c>
      <c r="M104" s="64">
        <v>80.38</v>
      </c>
      <c r="N104" s="64">
        <v>74.400000000000006</v>
      </c>
      <c r="O104" s="64">
        <v>0</v>
      </c>
      <c r="P104" s="64">
        <v>1.8</v>
      </c>
      <c r="Q104" s="64">
        <v>8.2100000000000009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3.76</v>
      </c>
      <c r="C106" s="67">
        <f>MIN(C9:C104)</f>
        <v>57.84</v>
      </c>
      <c r="D106" s="67">
        <f t="shared" ref="D106:Q106" si="0">MIN(D9:D104)</f>
        <v>34.409999999999997</v>
      </c>
      <c r="E106" s="67">
        <f t="shared" si="0"/>
        <v>2.81</v>
      </c>
      <c r="F106" s="67">
        <f t="shared" si="0"/>
        <v>2.13</v>
      </c>
      <c r="G106" s="67">
        <f t="shared" si="0"/>
        <v>0</v>
      </c>
      <c r="H106" s="67">
        <f t="shared" si="0"/>
        <v>17.600000000000001</v>
      </c>
      <c r="I106" s="67">
        <f t="shared" si="0"/>
        <v>0</v>
      </c>
      <c r="J106" s="67">
        <f t="shared" si="0"/>
        <v>0.15</v>
      </c>
      <c r="K106" s="67">
        <f t="shared" si="0"/>
        <v>1.1100000000000001</v>
      </c>
      <c r="L106" s="67">
        <f t="shared" si="0"/>
        <v>1.69</v>
      </c>
      <c r="M106" s="67">
        <f t="shared" si="0"/>
        <v>21.99</v>
      </c>
      <c r="N106" s="67">
        <f t="shared" si="0"/>
        <v>73.599999999999994</v>
      </c>
      <c r="O106" s="67">
        <f t="shared" si="0"/>
        <v>0</v>
      </c>
      <c r="P106" s="67">
        <f t="shared" si="0"/>
        <v>0.66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195</v>
      </c>
      <c r="C107" s="66">
        <f t="shared" ref="C107:Q107" si="1">MAX(C9:C104)</f>
        <v>84.46</v>
      </c>
      <c r="D107" s="66">
        <f t="shared" si="1"/>
        <v>194.37</v>
      </c>
      <c r="E107" s="66">
        <f t="shared" si="1"/>
        <v>11.65</v>
      </c>
      <c r="F107" s="66">
        <f t="shared" si="1"/>
        <v>2.1800000000000002</v>
      </c>
      <c r="G107" s="66">
        <f t="shared" si="1"/>
        <v>207.71</v>
      </c>
      <c r="H107" s="66">
        <f t="shared" si="1"/>
        <v>68.81</v>
      </c>
      <c r="I107" s="66">
        <f t="shared" si="1"/>
        <v>0</v>
      </c>
      <c r="J107" s="66">
        <f t="shared" si="1"/>
        <v>2.85</v>
      </c>
      <c r="K107" s="66">
        <f t="shared" si="1"/>
        <v>357.48</v>
      </c>
      <c r="L107" s="66">
        <f t="shared" si="1"/>
        <v>30.06</v>
      </c>
      <c r="M107" s="66">
        <f t="shared" si="1"/>
        <v>100.15</v>
      </c>
      <c r="N107" s="66">
        <f t="shared" si="1"/>
        <v>683.1</v>
      </c>
      <c r="O107" s="66">
        <f t="shared" si="1"/>
        <v>0</v>
      </c>
      <c r="P107" s="66">
        <f t="shared" si="1"/>
        <v>2.7</v>
      </c>
      <c r="Q107" s="66">
        <f t="shared" si="1"/>
        <v>10.29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79.225416666666675</v>
      </c>
      <c r="C108" s="67">
        <f t="shared" ref="C108:Q108" si="2">AVERAGE(C9:C104)</f>
        <v>72.392395833333339</v>
      </c>
      <c r="D108" s="67">
        <f t="shared" si="2"/>
        <v>99.978750000000005</v>
      </c>
      <c r="E108" s="67">
        <f t="shared" si="2"/>
        <v>7.4325000000000001</v>
      </c>
      <c r="F108" s="67">
        <f t="shared" si="2"/>
        <v>2.1305208333333305</v>
      </c>
      <c r="G108" s="67">
        <f t="shared" si="2"/>
        <v>145.22281249999995</v>
      </c>
      <c r="H108" s="67">
        <f t="shared" si="2"/>
        <v>48.070520833333298</v>
      </c>
      <c r="I108" s="67" t="e">
        <f t="shared" si="2"/>
        <v>#DIV/0!</v>
      </c>
      <c r="J108" s="67">
        <f t="shared" si="2"/>
        <v>1.4222916666666665</v>
      </c>
      <c r="K108" s="67">
        <f t="shared" si="2"/>
        <v>236.58677083333328</v>
      </c>
      <c r="L108" s="67">
        <f t="shared" si="2"/>
        <v>19.380624999999991</v>
      </c>
      <c r="M108" s="67">
        <f t="shared" si="2"/>
        <v>61.821562500000006</v>
      </c>
      <c r="N108" s="67">
        <f t="shared" si="2"/>
        <v>213.45937500000011</v>
      </c>
      <c r="O108" s="67">
        <f t="shared" si="2"/>
        <v>0</v>
      </c>
      <c r="P108" s="67">
        <f t="shared" si="2"/>
        <v>1.6559375000000001</v>
      </c>
      <c r="Q108" s="67">
        <f t="shared" si="2"/>
        <v>8.8538541666666806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65.754933357712389</v>
      </c>
      <c r="C109" s="67">
        <f t="shared" ref="C109:Q109" si="3">STDEV(C9:C104)</f>
        <v>8.0510720756916534</v>
      </c>
      <c r="D109" s="67">
        <f t="shared" si="3"/>
        <v>50.403212810087176</v>
      </c>
      <c r="E109" s="67">
        <f t="shared" si="3"/>
        <v>2.5936521700003095</v>
      </c>
      <c r="F109" s="67">
        <f t="shared" si="3"/>
        <v>5.1031036307983089E-3</v>
      </c>
      <c r="G109" s="67">
        <f t="shared" si="3"/>
        <v>57.361460410519911</v>
      </c>
      <c r="H109" s="67">
        <f t="shared" si="3"/>
        <v>17.62660539130033</v>
      </c>
      <c r="I109" s="67" t="e">
        <f t="shared" si="3"/>
        <v>#DIV/0!</v>
      </c>
      <c r="J109" s="67">
        <f t="shared" si="3"/>
        <v>0.57272291301092515</v>
      </c>
      <c r="K109" s="67">
        <f t="shared" si="3"/>
        <v>93.946067736478213</v>
      </c>
      <c r="L109" s="67">
        <f t="shared" si="3"/>
        <v>6.0176422752297132</v>
      </c>
      <c r="M109" s="67">
        <f t="shared" si="3"/>
        <v>26.640425092551357</v>
      </c>
      <c r="N109" s="67">
        <f t="shared" si="3"/>
        <v>217.86175992472823</v>
      </c>
      <c r="O109" s="67">
        <f t="shared" si="3"/>
        <v>0</v>
      </c>
      <c r="P109" s="67">
        <f t="shared" si="3"/>
        <v>0.59396540414050303</v>
      </c>
      <c r="Q109" s="67">
        <f t="shared" si="3"/>
        <v>1.5714240070990839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2452</v>
      </c>
      <c r="B9" s="64">
        <v>52.79</v>
      </c>
      <c r="C9" s="64">
        <v>71.44</v>
      </c>
      <c r="D9" s="64">
        <v>78.28</v>
      </c>
      <c r="E9" s="64">
        <v>7.51</v>
      </c>
      <c r="F9" s="64">
        <v>2.13</v>
      </c>
      <c r="G9" s="64">
        <v>195.73</v>
      </c>
      <c r="H9" s="64">
        <v>63.49</v>
      </c>
      <c r="I9" s="210" t="s">
        <v>43</v>
      </c>
      <c r="J9" s="64">
        <v>1.21</v>
      </c>
      <c r="K9" s="64">
        <v>339.01</v>
      </c>
      <c r="L9" s="64">
        <v>16.13</v>
      </c>
      <c r="M9" s="64">
        <v>80.290000000000006</v>
      </c>
      <c r="N9" s="64">
        <v>74.599999999999994</v>
      </c>
      <c r="O9" s="64">
        <v>0</v>
      </c>
      <c r="P9" s="64">
        <v>1.74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2453</v>
      </c>
      <c r="B10" s="64">
        <v>51.7</v>
      </c>
      <c r="C10" s="64">
        <v>69.08</v>
      </c>
      <c r="D10" s="64">
        <v>76.180000000000007</v>
      </c>
      <c r="E10" s="64">
        <v>7.58</v>
      </c>
      <c r="F10" s="64">
        <v>2.13</v>
      </c>
      <c r="G10" s="64">
        <v>195.73</v>
      </c>
      <c r="H10" s="64">
        <v>63.49</v>
      </c>
      <c r="I10" s="210" t="s">
        <v>43</v>
      </c>
      <c r="J10" s="64">
        <v>0.5</v>
      </c>
      <c r="K10" s="64">
        <v>324.08999999999997</v>
      </c>
      <c r="L10" s="64">
        <v>15.71</v>
      </c>
      <c r="M10" s="64">
        <v>85.21</v>
      </c>
      <c r="N10" s="64">
        <v>74.7</v>
      </c>
      <c r="O10" s="64">
        <v>0</v>
      </c>
      <c r="P10" s="64">
        <v>1.77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2454</v>
      </c>
      <c r="B11" s="64">
        <v>50.34</v>
      </c>
      <c r="C11" s="64">
        <v>66.42</v>
      </c>
      <c r="D11" s="64">
        <v>73.7</v>
      </c>
      <c r="E11" s="64">
        <v>7.53</v>
      </c>
      <c r="F11" s="64">
        <v>2.13</v>
      </c>
      <c r="G11" s="64">
        <v>195.73</v>
      </c>
      <c r="H11" s="64">
        <v>63.49</v>
      </c>
      <c r="I11" s="210" t="s">
        <v>43</v>
      </c>
      <c r="J11" s="64">
        <v>0.62</v>
      </c>
      <c r="K11" s="64">
        <v>193.26</v>
      </c>
      <c r="L11" s="64">
        <v>15.36</v>
      </c>
      <c r="M11" s="64">
        <v>85.56</v>
      </c>
      <c r="N11" s="64">
        <v>74.5</v>
      </c>
      <c r="O11" s="64">
        <v>0</v>
      </c>
      <c r="P11" s="64">
        <v>1.72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2455</v>
      </c>
      <c r="B12" s="64">
        <v>48.99</v>
      </c>
      <c r="C12" s="64">
        <v>63.71</v>
      </c>
      <c r="D12" s="64">
        <v>71.19</v>
      </c>
      <c r="E12" s="64">
        <v>7.09</v>
      </c>
      <c r="F12" s="64">
        <v>2.13</v>
      </c>
      <c r="G12" s="64">
        <v>177.43</v>
      </c>
      <c r="H12" s="64">
        <v>58.24</v>
      </c>
      <c r="I12" s="210" t="s">
        <v>43</v>
      </c>
      <c r="J12" s="64">
        <v>1.83</v>
      </c>
      <c r="K12" s="64">
        <v>282.85000000000002</v>
      </c>
      <c r="L12" s="64">
        <v>15.15</v>
      </c>
      <c r="M12" s="64">
        <v>87.72</v>
      </c>
      <c r="N12" s="64">
        <v>74.900000000000006</v>
      </c>
      <c r="O12" s="64">
        <v>0</v>
      </c>
      <c r="P12" s="64">
        <v>1.79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2456</v>
      </c>
      <c r="B13" s="64">
        <v>47.32</v>
      </c>
      <c r="C13" s="64">
        <v>64</v>
      </c>
      <c r="D13" s="64">
        <v>70</v>
      </c>
      <c r="E13" s="64">
        <v>7.23</v>
      </c>
      <c r="F13" s="64">
        <v>2.13</v>
      </c>
      <c r="G13" s="64">
        <v>155.58000000000001</v>
      </c>
      <c r="H13" s="64">
        <v>51.96</v>
      </c>
      <c r="I13" s="210" t="s">
        <v>43</v>
      </c>
      <c r="J13" s="64">
        <v>0.6</v>
      </c>
      <c r="K13" s="64">
        <v>259.3</v>
      </c>
      <c r="L13" s="64">
        <v>14.85</v>
      </c>
      <c r="M13" s="64">
        <v>90.66</v>
      </c>
      <c r="N13" s="64">
        <v>74.7</v>
      </c>
      <c r="O13" s="64">
        <v>0</v>
      </c>
      <c r="P13" s="64">
        <v>1.58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2457</v>
      </c>
      <c r="B14" s="64">
        <v>45.24</v>
      </c>
      <c r="C14" s="64">
        <v>64.48</v>
      </c>
      <c r="D14" s="64">
        <v>68.59</v>
      </c>
      <c r="E14" s="64">
        <v>7.52</v>
      </c>
      <c r="F14" s="64">
        <v>2.13</v>
      </c>
      <c r="G14" s="64">
        <v>155.58000000000001</v>
      </c>
      <c r="H14" s="64">
        <v>51.96</v>
      </c>
      <c r="I14" s="210" t="s">
        <v>43</v>
      </c>
      <c r="J14" s="64">
        <v>1.72</v>
      </c>
      <c r="K14" s="64">
        <v>339.5</v>
      </c>
      <c r="L14" s="64">
        <v>14.74</v>
      </c>
      <c r="M14" s="64">
        <v>93.1</v>
      </c>
      <c r="N14" s="64">
        <v>74.8</v>
      </c>
      <c r="O14" s="64">
        <v>0</v>
      </c>
      <c r="P14" s="64">
        <v>1.65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2458</v>
      </c>
      <c r="B15" s="64">
        <v>43.62</v>
      </c>
      <c r="C15" s="64">
        <v>65.05</v>
      </c>
      <c r="D15" s="64">
        <v>67.59</v>
      </c>
      <c r="E15" s="64">
        <v>7.65</v>
      </c>
      <c r="F15" s="64">
        <v>2.13</v>
      </c>
      <c r="G15" s="64">
        <v>155.58000000000001</v>
      </c>
      <c r="H15" s="64">
        <v>51.96</v>
      </c>
      <c r="I15" s="210" t="s">
        <v>43</v>
      </c>
      <c r="J15" s="64">
        <v>0.35</v>
      </c>
      <c r="K15" s="64">
        <v>300.47000000000003</v>
      </c>
      <c r="L15" s="64">
        <v>14.57</v>
      </c>
      <c r="M15" s="64">
        <v>95.02</v>
      </c>
      <c r="N15" s="64">
        <v>74.400000000000006</v>
      </c>
      <c r="O15" s="64">
        <v>0</v>
      </c>
      <c r="P15" s="64">
        <v>1.62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2459</v>
      </c>
      <c r="B16" s="64">
        <v>42.38</v>
      </c>
      <c r="C16" s="64">
        <v>65.22</v>
      </c>
      <c r="D16" s="64">
        <v>66.680000000000007</v>
      </c>
      <c r="E16" s="64">
        <v>7.61</v>
      </c>
      <c r="F16" s="64">
        <v>2.13</v>
      </c>
      <c r="G16" s="64">
        <v>147.66999999999999</v>
      </c>
      <c r="H16" s="64">
        <v>52.53</v>
      </c>
      <c r="I16" s="210" t="s">
        <v>43</v>
      </c>
      <c r="J16" s="64">
        <v>0.53</v>
      </c>
      <c r="K16" s="64">
        <v>280.37</v>
      </c>
      <c r="L16" s="64">
        <v>14.87</v>
      </c>
      <c r="M16" s="64">
        <v>91.84</v>
      </c>
      <c r="N16" s="64">
        <v>74.099999999999994</v>
      </c>
      <c r="O16" s="64">
        <v>0</v>
      </c>
      <c r="P16" s="64">
        <v>1.6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2460</v>
      </c>
      <c r="B17" s="64">
        <v>41.49</v>
      </c>
      <c r="C17" s="64">
        <v>65.17</v>
      </c>
      <c r="D17" s="64">
        <v>65.94</v>
      </c>
      <c r="E17" s="64">
        <v>7.24</v>
      </c>
      <c r="F17" s="64">
        <v>2.13</v>
      </c>
      <c r="G17" s="64">
        <v>138.22</v>
      </c>
      <c r="H17" s="64">
        <v>53.25</v>
      </c>
      <c r="I17" s="210" t="s">
        <v>43</v>
      </c>
      <c r="J17" s="64">
        <v>0.8</v>
      </c>
      <c r="K17" s="64">
        <v>292.77999999999997</v>
      </c>
      <c r="L17" s="64">
        <v>14.74</v>
      </c>
      <c r="M17" s="64">
        <v>92.56</v>
      </c>
      <c r="N17" s="64">
        <v>74.599999999999994</v>
      </c>
      <c r="O17" s="64">
        <v>0</v>
      </c>
      <c r="P17" s="64">
        <v>1.57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2461</v>
      </c>
      <c r="B18" s="64">
        <v>40.53</v>
      </c>
      <c r="C18" s="64">
        <v>65.28</v>
      </c>
      <c r="D18" s="64">
        <v>65.23</v>
      </c>
      <c r="E18" s="64">
        <v>6.92</v>
      </c>
      <c r="F18" s="64">
        <v>2.13</v>
      </c>
      <c r="G18" s="64">
        <v>138.22</v>
      </c>
      <c r="H18" s="64">
        <v>53.25</v>
      </c>
      <c r="I18" s="210" t="s">
        <v>43</v>
      </c>
      <c r="J18" s="64">
        <v>1.62</v>
      </c>
      <c r="K18" s="64">
        <v>291.52</v>
      </c>
      <c r="L18" s="64">
        <v>14.44</v>
      </c>
      <c r="M18" s="64">
        <v>93.82</v>
      </c>
      <c r="N18" s="64">
        <v>74.8</v>
      </c>
      <c r="O18" s="64">
        <v>0</v>
      </c>
      <c r="P18" s="64">
        <v>1.54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2462</v>
      </c>
      <c r="B19" s="64">
        <v>39.58</v>
      </c>
      <c r="C19" s="64">
        <v>65.27</v>
      </c>
      <c r="D19" s="64">
        <v>64.47</v>
      </c>
      <c r="E19" s="64">
        <v>7.42</v>
      </c>
      <c r="F19" s="64">
        <v>2.13</v>
      </c>
      <c r="G19" s="64">
        <v>138.22</v>
      </c>
      <c r="H19" s="64">
        <v>53.25</v>
      </c>
      <c r="I19" s="210" t="s">
        <v>43</v>
      </c>
      <c r="J19" s="64">
        <v>1.82</v>
      </c>
      <c r="K19" s="64">
        <v>282.72000000000003</v>
      </c>
      <c r="L19" s="64">
        <v>14.18</v>
      </c>
      <c r="M19" s="64">
        <v>95.77</v>
      </c>
      <c r="N19" s="64">
        <v>74.900000000000006</v>
      </c>
      <c r="O19" s="64">
        <v>0</v>
      </c>
      <c r="P19" s="64">
        <v>1.53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2463</v>
      </c>
      <c r="B20" s="64">
        <v>38.82</v>
      </c>
      <c r="C20" s="64">
        <v>64.66</v>
      </c>
      <c r="D20" s="64">
        <v>63.53</v>
      </c>
      <c r="E20" s="64">
        <v>7.5</v>
      </c>
      <c r="F20" s="64">
        <v>2.13</v>
      </c>
      <c r="G20" s="64">
        <v>143.41999999999999</v>
      </c>
      <c r="H20" s="64">
        <v>51.91</v>
      </c>
      <c r="I20" s="210" t="s">
        <v>43</v>
      </c>
      <c r="J20" s="64">
        <v>1.83</v>
      </c>
      <c r="K20" s="64">
        <v>302.77999999999997</v>
      </c>
      <c r="L20" s="64">
        <v>13.99</v>
      </c>
      <c r="M20" s="64">
        <v>97</v>
      </c>
      <c r="N20" s="64">
        <v>74.8</v>
      </c>
      <c r="O20" s="64">
        <v>0</v>
      </c>
      <c r="P20" s="64">
        <v>1.48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2464</v>
      </c>
      <c r="B21" s="64">
        <v>38.44</v>
      </c>
      <c r="C21" s="64">
        <v>61.36</v>
      </c>
      <c r="D21" s="64">
        <v>61.51</v>
      </c>
      <c r="E21" s="64">
        <v>7.16</v>
      </c>
      <c r="F21" s="64">
        <v>2.13</v>
      </c>
      <c r="G21" s="64">
        <v>149.63</v>
      </c>
      <c r="H21" s="64">
        <v>50.32</v>
      </c>
      <c r="I21" s="210" t="s">
        <v>43</v>
      </c>
      <c r="J21" s="64">
        <v>1.08</v>
      </c>
      <c r="K21" s="64">
        <v>251.92</v>
      </c>
      <c r="L21" s="64">
        <v>13.88</v>
      </c>
      <c r="M21" s="64">
        <v>97.31</v>
      </c>
      <c r="N21" s="64">
        <v>74.599999999999994</v>
      </c>
      <c r="O21" s="64">
        <v>0</v>
      </c>
      <c r="P21" s="64">
        <v>1.47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2465</v>
      </c>
      <c r="B22" s="64">
        <v>38.1</v>
      </c>
      <c r="C22" s="64">
        <v>62.02</v>
      </c>
      <c r="D22" s="64">
        <v>61.58</v>
      </c>
      <c r="E22" s="64">
        <v>7.29</v>
      </c>
      <c r="F22" s="64">
        <v>2.13</v>
      </c>
      <c r="G22" s="64">
        <v>149.63</v>
      </c>
      <c r="H22" s="64">
        <v>50.32</v>
      </c>
      <c r="I22" s="210" t="s">
        <v>43</v>
      </c>
      <c r="J22" s="64">
        <v>0.73</v>
      </c>
      <c r="K22" s="64">
        <v>158.75</v>
      </c>
      <c r="L22" s="64">
        <v>13.92</v>
      </c>
      <c r="M22" s="64">
        <v>100.29</v>
      </c>
      <c r="N22" s="64">
        <v>74.400000000000006</v>
      </c>
      <c r="O22" s="64">
        <v>0</v>
      </c>
      <c r="P22" s="64">
        <v>1.41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2466</v>
      </c>
      <c r="B23" s="64">
        <v>37.840000000000003</v>
      </c>
      <c r="C23" s="64">
        <v>61.75</v>
      </c>
      <c r="D23" s="64">
        <v>61.23</v>
      </c>
      <c r="E23" s="64">
        <v>7.25</v>
      </c>
      <c r="F23" s="64">
        <v>2.13</v>
      </c>
      <c r="G23" s="64">
        <v>149.63</v>
      </c>
      <c r="H23" s="64">
        <v>50.32</v>
      </c>
      <c r="I23" s="210" t="s">
        <v>43</v>
      </c>
      <c r="J23" s="64">
        <v>1.78</v>
      </c>
      <c r="K23" s="64">
        <v>277.91000000000003</v>
      </c>
      <c r="L23" s="64">
        <v>13.97</v>
      </c>
      <c r="M23" s="64">
        <v>102.55</v>
      </c>
      <c r="N23" s="64">
        <v>74.5</v>
      </c>
      <c r="O23" s="64">
        <v>0</v>
      </c>
      <c r="P23" s="64">
        <v>1.43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2467</v>
      </c>
      <c r="B24" s="64">
        <v>37.67</v>
      </c>
      <c r="C24" s="64">
        <v>61.32</v>
      </c>
      <c r="D24" s="64">
        <v>60.87</v>
      </c>
      <c r="E24" s="64">
        <v>7.16</v>
      </c>
      <c r="F24" s="64">
        <v>2.13</v>
      </c>
      <c r="G24" s="64">
        <v>139.96</v>
      </c>
      <c r="H24" s="64">
        <v>52.58</v>
      </c>
      <c r="I24" s="210" t="s">
        <v>43</v>
      </c>
      <c r="J24" s="64">
        <v>1.81</v>
      </c>
      <c r="K24" s="64">
        <v>277.91000000000003</v>
      </c>
      <c r="L24" s="64">
        <v>14.05</v>
      </c>
      <c r="M24" s="64">
        <v>101.58</v>
      </c>
      <c r="N24" s="64">
        <v>74.599999999999994</v>
      </c>
      <c r="O24" s="64">
        <v>0</v>
      </c>
      <c r="P24" s="64">
        <v>1.34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2468</v>
      </c>
      <c r="B25" s="64">
        <v>37.21</v>
      </c>
      <c r="C25" s="64">
        <v>60.09</v>
      </c>
      <c r="D25" s="64">
        <v>59.86</v>
      </c>
      <c r="E25" s="64">
        <v>7.31</v>
      </c>
      <c r="F25" s="64">
        <v>2.13</v>
      </c>
      <c r="G25" s="64">
        <v>128.4</v>
      </c>
      <c r="H25" s="64">
        <v>55.42</v>
      </c>
      <c r="I25" s="210" t="s">
        <v>43</v>
      </c>
      <c r="J25" s="64">
        <v>1.83</v>
      </c>
      <c r="K25" s="64">
        <v>278.52</v>
      </c>
      <c r="L25" s="64">
        <v>14.03</v>
      </c>
      <c r="M25" s="64">
        <v>100.6</v>
      </c>
      <c r="N25" s="64">
        <v>74.5</v>
      </c>
      <c r="O25" s="64">
        <v>0</v>
      </c>
      <c r="P25" s="64">
        <v>1.42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2469</v>
      </c>
      <c r="B26" s="64">
        <v>36.74</v>
      </c>
      <c r="C26" s="64">
        <v>59.93</v>
      </c>
      <c r="D26" s="64">
        <v>59.4</v>
      </c>
      <c r="E26" s="64">
        <v>7.37</v>
      </c>
      <c r="F26" s="64">
        <v>2.13</v>
      </c>
      <c r="G26" s="64">
        <v>128.4</v>
      </c>
      <c r="H26" s="64">
        <v>55.42</v>
      </c>
      <c r="I26" s="210" t="s">
        <v>43</v>
      </c>
      <c r="J26" s="64">
        <v>1.81</v>
      </c>
      <c r="K26" s="64">
        <v>278.19</v>
      </c>
      <c r="L26" s="64">
        <v>14.02</v>
      </c>
      <c r="M26" s="64">
        <v>98.69</v>
      </c>
      <c r="N26" s="64">
        <v>74.7</v>
      </c>
      <c r="O26" s="64">
        <v>0</v>
      </c>
      <c r="P26" s="64">
        <v>1.43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2470</v>
      </c>
      <c r="B27" s="64">
        <v>36.56</v>
      </c>
      <c r="C27" s="64">
        <v>59.16</v>
      </c>
      <c r="D27" s="64">
        <v>58.85</v>
      </c>
      <c r="E27" s="64">
        <v>7.46</v>
      </c>
      <c r="F27" s="64">
        <v>2.13</v>
      </c>
      <c r="G27" s="64">
        <v>128.4</v>
      </c>
      <c r="H27" s="64">
        <v>55.42</v>
      </c>
      <c r="I27" s="210" t="s">
        <v>43</v>
      </c>
      <c r="J27" s="64">
        <v>1.75</v>
      </c>
      <c r="K27" s="64">
        <v>335.07</v>
      </c>
      <c r="L27" s="64">
        <v>13.94</v>
      </c>
      <c r="M27" s="64">
        <v>98.5</v>
      </c>
      <c r="N27" s="64">
        <v>74.8</v>
      </c>
      <c r="O27" s="64">
        <v>0</v>
      </c>
      <c r="P27" s="64">
        <v>1.44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2471</v>
      </c>
      <c r="B28" s="64">
        <v>36.85</v>
      </c>
      <c r="C28" s="64">
        <v>61.02</v>
      </c>
      <c r="D28" s="64">
        <v>60.05</v>
      </c>
      <c r="E28" s="64">
        <v>7.44</v>
      </c>
      <c r="F28" s="64">
        <v>2.13</v>
      </c>
      <c r="G28" s="64">
        <v>145.22</v>
      </c>
      <c r="H28" s="64">
        <v>57.92</v>
      </c>
      <c r="I28" s="210" t="s">
        <v>43</v>
      </c>
      <c r="J28" s="64">
        <v>0.87</v>
      </c>
      <c r="K28" s="64">
        <v>356.14</v>
      </c>
      <c r="L28" s="64">
        <v>13.81</v>
      </c>
      <c r="M28" s="64">
        <v>99.46</v>
      </c>
      <c r="N28" s="64">
        <v>74.599999999999994</v>
      </c>
      <c r="O28" s="64">
        <v>0</v>
      </c>
      <c r="P28" s="64">
        <v>1.43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2472</v>
      </c>
      <c r="B29" s="64">
        <v>37.82</v>
      </c>
      <c r="C29" s="64">
        <v>62.32</v>
      </c>
      <c r="D29" s="64">
        <v>61.51</v>
      </c>
      <c r="E29" s="64">
        <v>8</v>
      </c>
      <c r="F29" s="64">
        <v>2.13</v>
      </c>
      <c r="G29" s="64">
        <v>165.32</v>
      </c>
      <c r="H29" s="64">
        <v>60.92</v>
      </c>
      <c r="I29" s="210" t="s">
        <v>43</v>
      </c>
      <c r="J29" s="64">
        <v>1.54</v>
      </c>
      <c r="K29" s="64">
        <v>165.45</v>
      </c>
      <c r="L29" s="64">
        <v>13.97</v>
      </c>
      <c r="M29" s="64">
        <v>99.51</v>
      </c>
      <c r="N29" s="64">
        <v>73.900000000000006</v>
      </c>
      <c r="O29" s="64">
        <v>0</v>
      </c>
      <c r="P29" s="64">
        <v>1.45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2473</v>
      </c>
      <c r="B30" s="64">
        <v>40.590000000000003</v>
      </c>
      <c r="C30" s="64">
        <v>62.51</v>
      </c>
      <c r="D30" s="64">
        <v>63.83</v>
      </c>
      <c r="E30" s="64">
        <v>8</v>
      </c>
      <c r="F30" s="64">
        <v>2.13</v>
      </c>
      <c r="G30" s="64">
        <v>165.32</v>
      </c>
      <c r="H30" s="64">
        <v>60.92</v>
      </c>
      <c r="I30" s="210" t="s">
        <v>43</v>
      </c>
      <c r="J30" s="64">
        <v>0.4</v>
      </c>
      <c r="K30" s="64">
        <v>174.16</v>
      </c>
      <c r="L30" s="64">
        <v>14.44</v>
      </c>
      <c r="M30" s="64">
        <v>94.46</v>
      </c>
      <c r="N30" s="64">
        <v>73.900000000000006</v>
      </c>
      <c r="O30" s="64">
        <v>0</v>
      </c>
      <c r="P30" s="64">
        <v>1.46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2474</v>
      </c>
      <c r="B31" s="64">
        <v>43.8</v>
      </c>
      <c r="C31" s="64">
        <v>63.05</v>
      </c>
      <c r="D31" s="64">
        <v>66.69</v>
      </c>
      <c r="E31" s="64">
        <v>8.5399999999999991</v>
      </c>
      <c r="F31" s="64">
        <v>2.13</v>
      </c>
      <c r="G31" s="64">
        <v>165.32</v>
      </c>
      <c r="H31" s="64">
        <v>60.92</v>
      </c>
      <c r="I31" s="210" t="s">
        <v>43</v>
      </c>
      <c r="J31" s="64">
        <v>1.76</v>
      </c>
      <c r="K31" s="64">
        <v>312.52999999999997</v>
      </c>
      <c r="L31" s="64">
        <v>14.14</v>
      </c>
      <c r="M31" s="64">
        <v>98.59</v>
      </c>
      <c r="N31" s="64">
        <v>75.099999999999994</v>
      </c>
      <c r="O31" s="64">
        <v>0</v>
      </c>
      <c r="P31" s="64">
        <v>1.49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2475</v>
      </c>
      <c r="B32" s="64">
        <v>47.77</v>
      </c>
      <c r="C32" s="64">
        <v>63.29</v>
      </c>
      <c r="D32" s="64">
        <v>70</v>
      </c>
      <c r="E32" s="64">
        <v>8.7100000000000009</v>
      </c>
      <c r="F32" s="64">
        <v>2.13</v>
      </c>
      <c r="G32" s="64">
        <v>202.2</v>
      </c>
      <c r="H32" s="64">
        <v>66.33</v>
      </c>
      <c r="I32" s="210" t="s">
        <v>43</v>
      </c>
      <c r="J32" s="64">
        <v>1.95</v>
      </c>
      <c r="K32" s="64">
        <v>309.18</v>
      </c>
      <c r="L32" s="64">
        <v>13.69</v>
      </c>
      <c r="M32" s="64">
        <v>103.14</v>
      </c>
      <c r="N32" s="64">
        <v>74.8</v>
      </c>
      <c r="O32" s="64">
        <v>0</v>
      </c>
      <c r="P32" s="64">
        <v>1.52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2476</v>
      </c>
      <c r="B33" s="64">
        <v>50.56</v>
      </c>
      <c r="C33" s="64">
        <v>62.79</v>
      </c>
      <c r="D33" s="64">
        <v>71.98</v>
      </c>
      <c r="E33" s="64">
        <v>8.69</v>
      </c>
      <c r="F33" s="64">
        <v>2.13</v>
      </c>
      <c r="G33" s="64">
        <v>246.29</v>
      </c>
      <c r="H33" s="64">
        <v>72.8</v>
      </c>
      <c r="I33" s="210" t="s">
        <v>43</v>
      </c>
      <c r="J33" s="64">
        <v>1.04</v>
      </c>
      <c r="K33" s="64">
        <v>203.4</v>
      </c>
      <c r="L33" s="64">
        <v>13.4</v>
      </c>
      <c r="M33" s="64">
        <v>103.36</v>
      </c>
      <c r="N33" s="64">
        <v>74.7</v>
      </c>
      <c r="O33" s="64">
        <v>0</v>
      </c>
      <c r="P33" s="64">
        <v>1.54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2477</v>
      </c>
      <c r="B34" s="64">
        <v>52.35</v>
      </c>
      <c r="C34" s="64">
        <v>62.3</v>
      </c>
      <c r="D34" s="64">
        <v>73.16</v>
      </c>
      <c r="E34" s="64">
        <v>8.8000000000000007</v>
      </c>
      <c r="F34" s="64">
        <v>2.13</v>
      </c>
      <c r="G34" s="64">
        <v>246.29</v>
      </c>
      <c r="H34" s="64">
        <v>72.8</v>
      </c>
      <c r="I34" s="210" t="s">
        <v>43</v>
      </c>
      <c r="J34" s="64">
        <v>1.49</v>
      </c>
      <c r="K34" s="64">
        <v>316.48</v>
      </c>
      <c r="L34" s="64">
        <v>13.42</v>
      </c>
      <c r="M34" s="64">
        <v>101.35</v>
      </c>
      <c r="N34" s="64">
        <v>75</v>
      </c>
      <c r="O34" s="64">
        <v>0</v>
      </c>
      <c r="P34" s="64">
        <v>1.54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2478</v>
      </c>
      <c r="B35" s="64">
        <v>57.04</v>
      </c>
      <c r="C35" s="64">
        <v>62.68</v>
      </c>
      <c r="D35" s="64">
        <v>77.11</v>
      </c>
      <c r="E35" s="64">
        <v>9.66</v>
      </c>
      <c r="F35" s="64">
        <v>2.13</v>
      </c>
      <c r="G35" s="64">
        <v>246.29</v>
      </c>
      <c r="H35" s="64">
        <v>72.8</v>
      </c>
      <c r="I35" s="210" t="s">
        <v>43</v>
      </c>
      <c r="J35" s="64">
        <v>0.7</v>
      </c>
      <c r="K35" s="64">
        <v>219.57</v>
      </c>
      <c r="L35" s="64">
        <v>13.22</v>
      </c>
      <c r="M35" s="64">
        <v>103.08</v>
      </c>
      <c r="N35" s="64">
        <v>76.5</v>
      </c>
      <c r="O35" s="64">
        <v>0</v>
      </c>
      <c r="P35" s="64">
        <v>1.55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2479</v>
      </c>
      <c r="B36" s="64">
        <v>61.18</v>
      </c>
      <c r="C36" s="64">
        <v>62.52</v>
      </c>
      <c r="D36" s="64">
        <v>80.349999999999994</v>
      </c>
      <c r="E36" s="64">
        <v>9.74</v>
      </c>
      <c r="F36" s="64">
        <v>2.13</v>
      </c>
      <c r="G36" s="64">
        <v>207.34</v>
      </c>
      <c r="H36" s="64">
        <v>71.739999999999995</v>
      </c>
      <c r="I36" s="210" t="s">
        <v>43</v>
      </c>
      <c r="J36" s="64">
        <v>1.59</v>
      </c>
      <c r="K36" s="64">
        <v>277.20999999999998</v>
      </c>
      <c r="L36" s="64">
        <v>13.27</v>
      </c>
      <c r="M36" s="64">
        <v>103.55</v>
      </c>
      <c r="N36" s="64">
        <v>83</v>
      </c>
      <c r="O36" s="64">
        <v>0</v>
      </c>
      <c r="P36" s="64">
        <v>1.53</v>
      </c>
      <c r="Q36" s="64">
        <v>8.2200000000000006</v>
      </c>
      <c r="R36" s="198"/>
      <c r="S36" s="198"/>
      <c r="T36" s="198"/>
      <c r="U36" s="198"/>
    </row>
    <row r="37" spans="1:21" s="12" customFormat="1" x14ac:dyDescent="0.25">
      <c r="A37" s="214" t="s">
        <v>2480</v>
      </c>
      <c r="B37" s="64">
        <v>66.180000000000007</v>
      </c>
      <c r="C37" s="64">
        <v>59.72</v>
      </c>
      <c r="D37" s="64">
        <v>82.89</v>
      </c>
      <c r="E37" s="64">
        <v>9.2899999999999991</v>
      </c>
      <c r="F37" s="64">
        <v>2.13</v>
      </c>
      <c r="G37" s="64">
        <v>160.79</v>
      </c>
      <c r="H37" s="64">
        <v>70.48</v>
      </c>
      <c r="I37" s="210" t="s">
        <v>43</v>
      </c>
      <c r="J37" s="64">
        <v>0.49</v>
      </c>
      <c r="K37" s="64">
        <v>96.8</v>
      </c>
      <c r="L37" s="64">
        <v>13.35</v>
      </c>
      <c r="M37" s="64">
        <v>103.32</v>
      </c>
      <c r="N37" s="64">
        <v>95.5</v>
      </c>
      <c r="O37" s="64">
        <v>0</v>
      </c>
      <c r="P37" s="64">
        <v>1.49</v>
      </c>
      <c r="Q37" s="64">
        <v>8.3800000000000008</v>
      </c>
      <c r="R37" s="198"/>
      <c r="S37" s="198"/>
      <c r="T37" s="198"/>
      <c r="U37" s="198"/>
    </row>
    <row r="38" spans="1:21" s="12" customFormat="1" x14ac:dyDescent="0.25">
      <c r="A38" s="214" t="s">
        <v>2481</v>
      </c>
      <c r="B38" s="64">
        <v>70.47</v>
      </c>
      <c r="C38" s="64">
        <v>57.32</v>
      </c>
      <c r="D38" s="64">
        <v>85.09</v>
      </c>
      <c r="E38" s="64">
        <v>8.69</v>
      </c>
      <c r="F38" s="64">
        <v>2.13</v>
      </c>
      <c r="G38" s="64">
        <v>160.79</v>
      </c>
      <c r="H38" s="64">
        <v>70.48</v>
      </c>
      <c r="I38" s="210" t="s">
        <v>43</v>
      </c>
      <c r="J38" s="64">
        <v>1.82</v>
      </c>
      <c r="K38" s="64">
        <v>178.44</v>
      </c>
      <c r="L38" s="64">
        <v>13.76</v>
      </c>
      <c r="M38" s="64">
        <v>101.15</v>
      </c>
      <c r="N38" s="64">
        <v>110.3</v>
      </c>
      <c r="O38" s="64">
        <v>0</v>
      </c>
      <c r="P38" s="64">
        <v>1.54</v>
      </c>
      <c r="Q38" s="64">
        <v>8.57</v>
      </c>
      <c r="R38" s="198"/>
      <c r="S38" s="198"/>
      <c r="T38" s="198"/>
      <c r="U38" s="198"/>
    </row>
    <row r="39" spans="1:21" s="12" customFormat="1" x14ac:dyDescent="0.25">
      <c r="A39" s="214" t="s">
        <v>2482</v>
      </c>
      <c r="B39" s="64">
        <v>73.77</v>
      </c>
      <c r="C39" s="64">
        <v>58.3</v>
      </c>
      <c r="D39" s="64">
        <v>88.24</v>
      </c>
      <c r="E39" s="64">
        <v>8.92</v>
      </c>
      <c r="F39" s="64">
        <v>2.13</v>
      </c>
      <c r="G39" s="64">
        <v>160.79</v>
      </c>
      <c r="H39" s="64">
        <v>70.48</v>
      </c>
      <c r="I39" s="210" t="s">
        <v>43</v>
      </c>
      <c r="J39" s="64">
        <v>0.89</v>
      </c>
      <c r="K39" s="64">
        <v>209.98</v>
      </c>
      <c r="L39" s="64">
        <v>14.37</v>
      </c>
      <c r="M39" s="64">
        <v>96.67</v>
      </c>
      <c r="N39" s="64">
        <v>133.9</v>
      </c>
      <c r="O39" s="64">
        <v>0</v>
      </c>
      <c r="P39" s="64">
        <v>1.53</v>
      </c>
      <c r="Q39" s="64">
        <v>8.73</v>
      </c>
      <c r="R39" s="198"/>
      <c r="S39" s="198"/>
      <c r="T39" s="198"/>
      <c r="U39" s="198"/>
    </row>
    <row r="40" spans="1:21" s="12" customFormat="1" x14ac:dyDescent="0.25">
      <c r="A40" s="214" t="s">
        <v>2483</v>
      </c>
      <c r="B40" s="64">
        <v>76.040000000000006</v>
      </c>
      <c r="C40" s="64">
        <v>59.21</v>
      </c>
      <c r="D40" s="64">
        <v>90.54</v>
      </c>
      <c r="E40" s="64">
        <v>7.67</v>
      </c>
      <c r="F40" s="64">
        <v>2.13</v>
      </c>
      <c r="G40" s="64">
        <v>168.45</v>
      </c>
      <c r="H40" s="64">
        <v>68.53</v>
      </c>
      <c r="I40" s="210" t="s">
        <v>43</v>
      </c>
      <c r="J40" s="64">
        <v>1.01</v>
      </c>
      <c r="K40" s="64">
        <v>308.77</v>
      </c>
      <c r="L40" s="64">
        <v>15.52</v>
      </c>
      <c r="M40" s="64">
        <v>91.53</v>
      </c>
      <c r="N40" s="64">
        <v>180.1</v>
      </c>
      <c r="O40" s="64">
        <v>0</v>
      </c>
      <c r="P40" s="64">
        <v>1.55</v>
      </c>
      <c r="Q40" s="64">
        <v>8.89</v>
      </c>
      <c r="R40" s="198"/>
      <c r="S40" s="198"/>
      <c r="T40" s="198"/>
      <c r="U40" s="198"/>
    </row>
    <row r="41" spans="1:21" s="12" customFormat="1" x14ac:dyDescent="0.25">
      <c r="A41" s="214" t="s">
        <v>2484</v>
      </c>
      <c r="B41" s="64">
        <v>77.650000000000006</v>
      </c>
      <c r="C41" s="64">
        <v>59.17</v>
      </c>
      <c r="D41" s="64">
        <v>91.81</v>
      </c>
      <c r="E41" s="64">
        <v>9.49</v>
      </c>
      <c r="F41" s="64">
        <v>2.13</v>
      </c>
      <c r="G41" s="64">
        <v>177.6</v>
      </c>
      <c r="H41" s="64">
        <v>66.19</v>
      </c>
      <c r="I41" s="210" t="s">
        <v>43</v>
      </c>
      <c r="J41" s="64">
        <v>2.2799999999999998</v>
      </c>
      <c r="K41" s="64">
        <v>318.43</v>
      </c>
      <c r="L41" s="64">
        <v>17.72</v>
      </c>
      <c r="M41" s="64">
        <v>78.63</v>
      </c>
      <c r="N41" s="64">
        <v>223.2</v>
      </c>
      <c r="O41" s="64">
        <v>0</v>
      </c>
      <c r="P41" s="64">
        <v>1.56</v>
      </c>
      <c r="Q41" s="64">
        <v>8.98</v>
      </c>
      <c r="R41" s="198"/>
      <c r="S41" s="198"/>
      <c r="T41" s="198"/>
      <c r="U41" s="198"/>
    </row>
    <row r="42" spans="1:21" s="12" customFormat="1" x14ac:dyDescent="0.25">
      <c r="A42" s="214" t="s">
        <v>2485</v>
      </c>
      <c r="B42" s="64">
        <v>77.53</v>
      </c>
      <c r="C42" s="64">
        <v>60.28</v>
      </c>
      <c r="D42" s="64">
        <v>92.29</v>
      </c>
      <c r="E42" s="64">
        <v>9.23</v>
      </c>
      <c r="F42" s="64">
        <v>2.13</v>
      </c>
      <c r="G42" s="64">
        <v>177.6</v>
      </c>
      <c r="H42" s="64">
        <v>66.19</v>
      </c>
      <c r="I42" s="210" t="s">
        <v>43</v>
      </c>
      <c r="J42" s="64">
        <v>2.38</v>
      </c>
      <c r="K42" s="64">
        <v>330.98</v>
      </c>
      <c r="L42" s="64">
        <v>19.64</v>
      </c>
      <c r="M42" s="64">
        <v>69.069999999999993</v>
      </c>
      <c r="N42" s="64">
        <v>261.89999999999998</v>
      </c>
      <c r="O42" s="64">
        <v>0</v>
      </c>
      <c r="P42" s="64">
        <v>1.57</v>
      </c>
      <c r="Q42" s="64">
        <v>9.02</v>
      </c>
      <c r="R42" s="198"/>
      <c r="S42" s="198"/>
      <c r="T42" s="198"/>
      <c r="U42" s="198"/>
    </row>
    <row r="43" spans="1:21" s="12" customFormat="1" x14ac:dyDescent="0.25">
      <c r="A43" s="214" t="s">
        <v>2486</v>
      </c>
      <c r="B43" s="64">
        <v>76.150000000000006</v>
      </c>
      <c r="C43" s="64">
        <v>61.31</v>
      </c>
      <c r="D43" s="64">
        <v>91.72</v>
      </c>
      <c r="E43" s="64">
        <v>9.34</v>
      </c>
      <c r="F43" s="64">
        <v>2.13</v>
      </c>
      <c r="G43" s="64">
        <v>177.6</v>
      </c>
      <c r="H43" s="64">
        <v>66.19</v>
      </c>
      <c r="I43" s="210" t="s">
        <v>43</v>
      </c>
      <c r="J43" s="64">
        <v>2.57</v>
      </c>
      <c r="K43" s="64">
        <v>320.26</v>
      </c>
      <c r="L43" s="64">
        <v>21.07</v>
      </c>
      <c r="M43" s="64">
        <v>62.47</v>
      </c>
      <c r="N43" s="64">
        <v>298.10000000000002</v>
      </c>
      <c r="O43" s="64">
        <v>0</v>
      </c>
      <c r="P43" s="64">
        <v>1.58</v>
      </c>
      <c r="Q43" s="64">
        <v>9.01</v>
      </c>
      <c r="R43" s="198"/>
      <c r="S43" s="198"/>
      <c r="T43" s="198"/>
      <c r="U43" s="198"/>
    </row>
    <row r="44" spans="1:21" s="12" customFormat="1" x14ac:dyDescent="0.25">
      <c r="A44" s="214" t="s">
        <v>2487</v>
      </c>
      <c r="B44" s="64">
        <v>73.87</v>
      </c>
      <c r="C44" s="64">
        <v>63.2</v>
      </c>
      <c r="D44" s="64">
        <v>90.88</v>
      </c>
      <c r="E44" s="64">
        <v>9</v>
      </c>
      <c r="F44" s="64">
        <v>2.13</v>
      </c>
      <c r="G44" s="64">
        <v>187.62</v>
      </c>
      <c r="H44" s="212" t="s">
        <v>42</v>
      </c>
      <c r="I44" s="210" t="s">
        <v>43</v>
      </c>
      <c r="J44" s="64">
        <v>2.5</v>
      </c>
      <c r="K44" s="64">
        <v>326.14999999999998</v>
      </c>
      <c r="L44" s="64">
        <v>22.12</v>
      </c>
      <c r="M44" s="64">
        <v>58.55</v>
      </c>
      <c r="N44" s="64">
        <v>335.3</v>
      </c>
      <c r="O44" s="64">
        <v>0</v>
      </c>
      <c r="P44" s="64">
        <v>1.57</v>
      </c>
      <c r="Q44" s="64">
        <v>8.94</v>
      </c>
      <c r="R44" s="198"/>
      <c r="S44" s="198"/>
      <c r="T44" s="198"/>
      <c r="U44" s="198"/>
    </row>
    <row r="45" spans="1:21" s="12" customFormat="1" x14ac:dyDescent="0.25">
      <c r="A45" s="214" t="s">
        <v>2488</v>
      </c>
      <c r="B45" s="64">
        <v>72.02</v>
      </c>
      <c r="C45" s="64">
        <v>66.989999999999995</v>
      </c>
      <c r="D45" s="64">
        <v>91.37</v>
      </c>
      <c r="E45" s="64">
        <v>8.94</v>
      </c>
      <c r="F45" s="64">
        <v>2.13</v>
      </c>
      <c r="G45" s="64">
        <v>199.6</v>
      </c>
      <c r="H45" s="212" t="s">
        <v>42</v>
      </c>
      <c r="I45" s="210" t="s">
        <v>43</v>
      </c>
      <c r="J45" s="64">
        <v>2.2000000000000002</v>
      </c>
      <c r="K45" s="64">
        <v>334.14</v>
      </c>
      <c r="L45" s="64">
        <v>23.01</v>
      </c>
      <c r="M45" s="64">
        <v>56.07</v>
      </c>
      <c r="N45" s="64">
        <v>373.7</v>
      </c>
      <c r="O45" s="64">
        <v>0</v>
      </c>
      <c r="P45" s="64">
        <v>1.57</v>
      </c>
      <c r="Q45" s="64">
        <v>8.85</v>
      </c>
      <c r="R45" s="198"/>
      <c r="S45" s="198"/>
      <c r="T45" s="198"/>
      <c r="U45" s="198"/>
    </row>
    <row r="46" spans="1:21" s="12" customFormat="1" x14ac:dyDescent="0.25">
      <c r="A46" s="214" t="s">
        <v>2489</v>
      </c>
      <c r="B46" s="64">
        <v>69.95</v>
      </c>
      <c r="C46" s="64">
        <v>70.09</v>
      </c>
      <c r="D46" s="64">
        <v>91.34</v>
      </c>
      <c r="E46" s="64">
        <v>9.41</v>
      </c>
      <c r="F46" s="64">
        <v>2.13</v>
      </c>
      <c r="G46" s="64">
        <v>199.6</v>
      </c>
      <c r="H46" s="212" t="s">
        <v>42</v>
      </c>
      <c r="I46" s="210" t="s">
        <v>43</v>
      </c>
      <c r="J46" s="64">
        <v>2.13</v>
      </c>
      <c r="K46" s="64">
        <v>322.07</v>
      </c>
      <c r="L46" s="64">
        <v>24.14</v>
      </c>
      <c r="M46" s="64">
        <v>52.35</v>
      </c>
      <c r="N46" s="64">
        <v>406.6</v>
      </c>
      <c r="O46" s="64">
        <v>0</v>
      </c>
      <c r="P46" s="64">
        <v>1.58</v>
      </c>
      <c r="Q46" s="64">
        <v>8.7799999999999994</v>
      </c>
      <c r="R46" s="198"/>
      <c r="S46" s="198"/>
      <c r="T46" s="198"/>
      <c r="U46" s="198"/>
    </row>
    <row r="47" spans="1:21" s="12" customFormat="1" x14ac:dyDescent="0.25">
      <c r="A47" s="214" t="s">
        <v>2490</v>
      </c>
      <c r="B47" s="64">
        <v>67.92</v>
      </c>
      <c r="C47" s="64">
        <v>73.12</v>
      </c>
      <c r="D47" s="64">
        <v>91.29</v>
      </c>
      <c r="E47" s="64">
        <v>9.81</v>
      </c>
      <c r="F47" s="64">
        <v>2.13</v>
      </c>
      <c r="G47" s="64">
        <v>199.6</v>
      </c>
      <c r="H47" s="212" t="s">
        <v>42</v>
      </c>
      <c r="I47" s="210" t="s">
        <v>43</v>
      </c>
      <c r="J47" s="64">
        <v>2.13</v>
      </c>
      <c r="K47" s="64">
        <v>326.41000000000003</v>
      </c>
      <c r="L47" s="64">
        <v>25.03</v>
      </c>
      <c r="M47" s="64">
        <v>48.89</v>
      </c>
      <c r="N47" s="64">
        <v>431.2</v>
      </c>
      <c r="O47" s="64">
        <v>0</v>
      </c>
      <c r="P47" s="64">
        <v>1.6</v>
      </c>
      <c r="Q47" s="64">
        <v>8.6999999999999993</v>
      </c>
      <c r="R47" s="198"/>
      <c r="S47" s="198"/>
      <c r="T47" s="198"/>
      <c r="U47" s="198"/>
    </row>
    <row r="48" spans="1:21" s="12" customFormat="1" x14ac:dyDescent="0.25">
      <c r="A48" s="214" t="s">
        <v>2491</v>
      </c>
      <c r="B48" s="64">
        <v>66.88</v>
      </c>
      <c r="C48" s="64">
        <v>76.290000000000006</v>
      </c>
      <c r="D48" s="64">
        <v>92.11</v>
      </c>
      <c r="E48" s="64">
        <v>9.67</v>
      </c>
      <c r="F48" s="64">
        <v>2.13</v>
      </c>
      <c r="G48" s="64">
        <v>207.85</v>
      </c>
      <c r="H48" s="212" t="s">
        <v>42</v>
      </c>
      <c r="I48" s="210" t="s">
        <v>43</v>
      </c>
      <c r="J48" s="64">
        <v>2.34</v>
      </c>
      <c r="K48" s="64">
        <v>338.9</v>
      </c>
      <c r="L48" s="64">
        <v>26.34</v>
      </c>
      <c r="M48" s="64">
        <v>44.16</v>
      </c>
      <c r="N48" s="64">
        <v>444.7</v>
      </c>
      <c r="O48" s="64">
        <v>0</v>
      </c>
      <c r="P48" s="64">
        <v>1.61</v>
      </c>
      <c r="Q48" s="64">
        <v>8.68</v>
      </c>
      <c r="R48" s="198"/>
      <c r="S48" s="198"/>
      <c r="T48" s="198"/>
      <c r="U48" s="198"/>
    </row>
    <row r="49" spans="1:21" s="12" customFormat="1" x14ac:dyDescent="0.25">
      <c r="A49" s="214" t="s">
        <v>2492</v>
      </c>
      <c r="B49" s="64">
        <v>65.819999999999993</v>
      </c>
      <c r="C49" s="64">
        <v>79.02</v>
      </c>
      <c r="D49" s="64">
        <v>92.69</v>
      </c>
      <c r="E49" s="64">
        <v>10.24</v>
      </c>
      <c r="F49" s="64">
        <v>2.13</v>
      </c>
      <c r="G49" s="64">
        <v>217.71</v>
      </c>
      <c r="H49" s="212" t="s">
        <v>42</v>
      </c>
      <c r="I49" s="210" t="s">
        <v>43</v>
      </c>
      <c r="J49" s="64">
        <v>2.29</v>
      </c>
      <c r="K49" s="64">
        <v>335.54</v>
      </c>
      <c r="L49" s="64">
        <v>26.89</v>
      </c>
      <c r="M49" s="64">
        <v>41.28</v>
      </c>
      <c r="N49" s="64">
        <v>454.8</v>
      </c>
      <c r="O49" s="64">
        <v>0</v>
      </c>
      <c r="P49" s="64">
        <v>1.62</v>
      </c>
      <c r="Q49" s="64">
        <v>8.67</v>
      </c>
      <c r="R49" s="198"/>
      <c r="S49" s="198"/>
      <c r="T49" s="198"/>
      <c r="U49" s="198"/>
    </row>
    <row r="50" spans="1:21" s="12" customFormat="1" x14ac:dyDescent="0.25">
      <c r="A50" s="214" t="s">
        <v>2493</v>
      </c>
      <c r="B50" s="64">
        <v>64.05</v>
      </c>
      <c r="C50" s="64">
        <v>81.83</v>
      </c>
      <c r="D50" s="64">
        <v>92.74</v>
      </c>
      <c r="E50" s="64">
        <v>9.9600000000000009</v>
      </c>
      <c r="F50" s="64">
        <v>2.17</v>
      </c>
      <c r="G50" s="64">
        <v>217.71</v>
      </c>
      <c r="H50" s="212" t="s">
        <v>42</v>
      </c>
      <c r="I50" s="210" t="s">
        <v>43</v>
      </c>
      <c r="J50" s="64">
        <v>1.56</v>
      </c>
      <c r="K50" s="64">
        <v>320.66000000000003</v>
      </c>
      <c r="L50" s="64">
        <v>26.82</v>
      </c>
      <c r="M50" s="64">
        <v>41.67</v>
      </c>
      <c r="N50" s="64">
        <v>477.7</v>
      </c>
      <c r="O50" s="64">
        <v>0</v>
      </c>
      <c r="P50" s="64">
        <v>1.62</v>
      </c>
      <c r="Q50" s="64">
        <v>8.66</v>
      </c>
      <c r="R50" s="198"/>
      <c r="S50" s="198"/>
      <c r="T50" s="198"/>
      <c r="U50" s="198"/>
    </row>
    <row r="51" spans="1:21" s="12" customFormat="1" x14ac:dyDescent="0.25">
      <c r="A51" s="214" t="s">
        <v>2494</v>
      </c>
      <c r="B51" s="64">
        <v>62.15</v>
      </c>
      <c r="C51" s="64">
        <v>84.51</v>
      </c>
      <c r="D51" s="64">
        <v>92.61</v>
      </c>
      <c r="E51" s="64">
        <v>9.65</v>
      </c>
      <c r="F51" s="64">
        <v>2.16</v>
      </c>
      <c r="G51" s="64">
        <v>217.71</v>
      </c>
      <c r="H51" s="212" t="s">
        <v>42</v>
      </c>
      <c r="I51" s="210" t="s">
        <v>43</v>
      </c>
      <c r="J51" s="64">
        <v>2.1</v>
      </c>
      <c r="K51" s="64">
        <v>326.11</v>
      </c>
      <c r="L51" s="64">
        <v>27.61</v>
      </c>
      <c r="M51" s="64">
        <v>39.15</v>
      </c>
      <c r="N51" s="64">
        <v>503.2</v>
      </c>
      <c r="O51" s="64">
        <v>0</v>
      </c>
      <c r="P51" s="64">
        <v>1.62</v>
      </c>
      <c r="Q51" s="64">
        <v>8.64</v>
      </c>
      <c r="R51" s="198"/>
      <c r="S51" s="198"/>
      <c r="T51" s="198"/>
      <c r="U51" s="198"/>
    </row>
    <row r="52" spans="1:21" s="12" customFormat="1" x14ac:dyDescent="0.25">
      <c r="A52" s="214" t="s">
        <v>2495</v>
      </c>
      <c r="B52" s="64">
        <v>59.56</v>
      </c>
      <c r="C52" s="64">
        <v>87.12</v>
      </c>
      <c r="D52" s="64">
        <v>91.91</v>
      </c>
      <c r="E52" s="64">
        <v>9.2899999999999991</v>
      </c>
      <c r="F52" s="64">
        <v>2.13</v>
      </c>
      <c r="G52" s="64">
        <v>204.44</v>
      </c>
      <c r="H52" s="212" t="s">
        <v>42</v>
      </c>
      <c r="I52" s="210" t="s">
        <v>43</v>
      </c>
      <c r="J52" s="64">
        <v>0.82</v>
      </c>
      <c r="K52" s="64">
        <v>322.01</v>
      </c>
      <c r="L52" s="64">
        <v>28.04</v>
      </c>
      <c r="M52" s="64">
        <v>37.659999999999997</v>
      </c>
      <c r="N52" s="64">
        <v>541</v>
      </c>
      <c r="O52" s="64">
        <v>0</v>
      </c>
      <c r="P52" s="64">
        <v>1.62</v>
      </c>
      <c r="Q52" s="64">
        <v>8.58</v>
      </c>
      <c r="R52" s="198"/>
      <c r="S52" s="198"/>
      <c r="T52" s="198"/>
      <c r="U52" s="198"/>
    </row>
    <row r="53" spans="1:21" s="12" customFormat="1" x14ac:dyDescent="0.25">
      <c r="A53" s="214" t="s">
        <v>2496</v>
      </c>
      <c r="B53" s="64">
        <v>55.61</v>
      </c>
      <c r="C53" s="64">
        <v>89.18</v>
      </c>
      <c r="D53" s="64">
        <v>89.81</v>
      </c>
      <c r="E53" s="64">
        <v>9.18</v>
      </c>
      <c r="F53" s="64">
        <v>2.13</v>
      </c>
      <c r="G53" s="64">
        <v>188.57</v>
      </c>
      <c r="H53" s="212" t="s">
        <v>42</v>
      </c>
      <c r="I53" s="210" t="s">
        <v>43</v>
      </c>
      <c r="J53" s="64">
        <v>2.36</v>
      </c>
      <c r="K53" s="64">
        <v>329.05</v>
      </c>
      <c r="L53" s="64">
        <v>28.91</v>
      </c>
      <c r="M53" s="64">
        <v>35.86</v>
      </c>
      <c r="N53" s="64">
        <v>557.79999999999995</v>
      </c>
      <c r="O53" s="64">
        <v>0</v>
      </c>
      <c r="P53" s="64">
        <v>1.6</v>
      </c>
      <c r="Q53" s="64">
        <v>8.4499999999999993</v>
      </c>
      <c r="R53" s="198"/>
      <c r="S53" s="198"/>
      <c r="T53" s="198"/>
      <c r="U53" s="198"/>
    </row>
    <row r="54" spans="1:21" s="12" customFormat="1" x14ac:dyDescent="0.25">
      <c r="A54" s="214" t="s">
        <v>2497</v>
      </c>
      <c r="B54" s="64">
        <v>51.45</v>
      </c>
      <c r="C54" s="64">
        <v>87.51</v>
      </c>
      <c r="D54" s="64">
        <v>85.6</v>
      </c>
      <c r="E54" s="64">
        <v>9.41</v>
      </c>
      <c r="F54" s="64">
        <v>2.13</v>
      </c>
      <c r="G54" s="64">
        <v>188.57</v>
      </c>
      <c r="H54" s="212" t="s">
        <v>42</v>
      </c>
      <c r="I54" s="210" t="s">
        <v>43</v>
      </c>
      <c r="J54" s="64">
        <v>2.69</v>
      </c>
      <c r="K54" s="64">
        <v>329.81</v>
      </c>
      <c r="L54" s="64">
        <v>28.53</v>
      </c>
      <c r="M54" s="64">
        <v>36.42</v>
      </c>
      <c r="N54" s="64">
        <v>572.20000000000005</v>
      </c>
      <c r="O54" s="64">
        <v>0</v>
      </c>
      <c r="P54" s="64">
        <v>1.56</v>
      </c>
      <c r="Q54" s="64">
        <v>8.27</v>
      </c>
      <c r="R54" s="198"/>
      <c r="S54" s="198"/>
      <c r="T54" s="198"/>
      <c r="U54" s="198"/>
    </row>
    <row r="55" spans="1:21" s="12" customFormat="1" x14ac:dyDescent="0.25">
      <c r="A55" s="214" t="s">
        <v>2498</v>
      </c>
      <c r="B55" s="64">
        <v>47.58</v>
      </c>
      <c r="C55" s="64">
        <v>87.5</v>
      </c>
      <c r="D55" s="64">
        <v>82.49</v>
      </c>
      <c r="E55" s="64">
        <v>8.07</v>
      </c>
      <c r="F55" s="64">
        <v>2.13</v>
      </c>
      <c r="G55" s="64">
        <v>188.57</v>
      </c>
      <c r="H55" s="212" t="s">
        <v>42</v>
      </c>
      <c r="I55" s="210" t="s">
        <v>43</v>
      </c>
      <c r="J55" s="64">
        <v>2.86</v>
      </c>
      <c r="K55" s="64">
        <v>330.84</v>
      </c>
      <c r="L55" s="64">
        <v>30.06</v>
      </c>
      <c r="M55" s="64">
        <v>31.6</v>
      </c>
      <c r="N55" s="64">
        <v>593.70000000000005</v>
      </c>
      <c r="O55" s="64">
        <v>0</v>
      </c>
      <c r="P55" s="64">
        <v>1.54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2499</v>
      </c>
      <c r="B56" s="64">
        <v>43.51</v>
      </c>
      <c r="C56" s="64">
        <v>88.59</v>
      </c>
      <c r="D56" s="64">
        <v>79.8</v>
      </c>
      <c r="E56" s="64">
        <v>7.62</v>
      </c>
      <c r="F56" s="64">
        <v>2.13</v>
      </c>
      <c r="G56" s="64">
        <v>164.6</v>
      </c>
      <c r="H56" s="212" t="s">
        <v>42</v>
      </c>
      <c r="I56" s="210" t="s">
        <v>43</v>
      </c>
      <c r="J56" s="64">
        <v>2.35</v>
      </c>
      <c r="K56" s="64">
        <v>320.60000000000002</v>
      </c>
      <c r="L56" s="64">
        <v>30.53</v>
      </c>
      <c r="M56" s="64">
        <v>31.56</v>
      </c>
      <c r="N56" s="64">
        <v>610.5</v>
      </c>
      <c r="O56" s="64">
        <v>0</v>
      </c>
      <c r="P56" s="64">
        <v>1.5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2500</v>
      </c>
      <c r="B57" s="64">
        <v>39.799999999999997</v>
      </c>
      <c r="C57" s="64">
        <v>88.91</v>
      </c>
      <c r="D57" s="64">
        <v>76.989999999999995</v>
      </c>
      <c r="E57" s="64">
        <v>7.85</v>
      </c>
      <c r="F57" s="64">
        <v>2.13</v>
      </c>
      <c r="G57" s="64">
        <v>135.96</v>
      </c>
      <c r="H57" s="212" t="s">
        <v>42</v>
      </c>
      <c r="I57" s="210" t="s">
        <v>43</v>
      </c>
      <c r="J57" s="64">
        <v>2.4700000000000002</v>
      </c>
      <c r="K57" s="64">
        <v>310.3</v>
      </c>
      <c r="L57" s="64">
        <v>28.79</v>
      </c>
      <c r="M57" s="64">
        <v>38.549999999999997</v>
      </c>
      <c r="N57" s="64">
        <v>612.1</v>
      </c>
      <c r="O57" s="64">
        <v>0</v>
      </c>
      <c r="P57" s="64">
        <v>1.46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2501</v>
      </c>
      <c r="B58" s="64">
        <v>35.86</v>
      </c>
      <c r="C58" s="64">
        <v>88.36</v>
      </c>
      <c r="D58" s="64">
        <v>73.55</v>
      </c>
      <c r="E58" s="64">
        <v>7.47</v>
      </c>
      <c r="F58" s="64">
        <v>2.13</v>
      </c>
      <c r="G58" s="64">
        <v>135.96</v>
      </c>
      <c r="H58" s="212" t="s">
        <v>42</v>
      </c>
      <c r="I58" s="210" t="s">
        <v>43</v>
      </c>
      <c r="J58" s="64">
        <v>2.8</v>
      </c>
      <c r="K58" s="64">
        <v>335.61</v>
      </c>
      <c r="L58" s="64">
        <v>27.93</v>
      </c>
      <c r="M58" s="64">
        <v>38.71</v>
      </c>
      <c r="N58" s="64">
        <v>631.20000000000005</v>
      </c>
      <c r="O58" s="64">
        <v>0</v>
      </c>
      <c r="P58" s="64">
        <v>1.4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2502</v>
      </c>
      <c r="B59" s="64">
        <v>32.409999999999997</v>
      </c>
      <c r="C59" s="64">
        <v>87.61</v>
      </c>
      <c r="D59" s="64">
        <v>70.38</v>
      </c>
      <c r="E59" s="64">
        <v>7.35</v>
      </c>
      <c r="F59" s="64">
        <v>2.13</v>
      </c>
      <c r="G59" s="64">
        <v>135.96</v>
      </c>
      <c r="H59" s="212" t="s">
        <v>42</v>
      </c>
      <c r="I59" s="210" t="s">
        <v>43</v>
      </c>
      <c r="J59" s="64">
        <v>2.37</v>
      </c>
      <c r="K59" s="64">
        <v>316.02</v>
      </c>
      <c r="L59" s="64">
        <v>27.93</v>
      </c>
      <c r="M59" s="64">
        <v>38.619999999999997</v>
      </c>
      <c r="N59" s="64">
        <v>610.5</v>
      </c>
      <c r="O59" s="64">
        <v>0</v>
      </c>
      <c r="P59" s="64">
        <v>1.36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2503</v>
      </c>
      <c r="B60" s="64">
        <v>28.45</v>
      </c>
      <c r="C60" s="64">
        <v>87.22</v>
      </c>
      <c r="D60" s="64">
        <v>67.010000000000005</v>
      </c>
      <c r="E60" s="64">
        <v>7.36</v>
      </c>
      <c r="F60" s="64">
        <v>2.13</v>
      </c>
      <c r="G60" s="64">
        <v>99.64</v>
      </c>
      <c r="H60" s="212" t="s">
        <v>42</v>
      </c>
      <c r="I60" s="210" t="s">
        <v>43</v>
      </c>
      <c r="J60" s="64">
        <v>2.4300000000000002</v>
      </c>
      <c r="K60" s="64">
        <v>336.45</v>
      </c>
      <c r="L60" s="64">
        <v>27.4</v>
      </c>
      <c r="M60" s="64">
        <v>38.4</v>
      </c>
      <c r="N60" s="64">
        <v>573.70000000000005</v>
      </c>
      <c r="O60" s="64">
        <v>0</v>
      </c>
      <c r="P60" s="64">
        <v>1.25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2504</v>
      </c>
      <c r="B61" s="64">
        <v>24.96</v>
      </c>
      <c r="C61" s="64">
        <v>87.95</v>
      </c>
      <c r="D61" s="64">
        <v>64.59</v>
      </c>
      <c r="E61" s="64">
        <v>6.77</v>
      </c>
      <c r="F61" s="64">
        <v>2.3199999999999998</v>
      </c>
      <c r="G61" s="64">
        <v>56.24</v>
      </c>
      <c r="H61" s="212" t="s">
        <v>42</v>
      </c>
      <c r="I61" s="210" t="s">
        <v>43</v>
      </c>
      <c r="J61" s="64">
        <v>1.97</v>
      </c>
      <c r="K61" s="64">
        <v>298.02</v>
      </c>
      <c r="L61" s="64">
        <v>28.14</v>
      </c>
      <c r="M61" s="64">
        <v>34.880000000000003</v>
      </c>
      <c r="N61" s="64">
        <v>574.4</v>
      </c>
      <c r="O61" s="64">
        <v>0</v>
      </c>
      <c r="P61" s="64">
        <v>1.1399999999999999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2505</v>
      </c>
      <c r="B62" s="64">
        <v>21.72</v>
      </c>
      <c r="C62" s="64">
        <v>90.31</v>
      </c>
      <c r="D62" s="64">
        <v>63.23</v>
      </c>
      <c r="E62" s="64">
        <v>6.74</v>
      </c>
      <c r="F62" s="64">
        <v>2.13</v>
      </c>
      <c r="G62" s="64">
        <v>56.24</v>
      </c>
      <c r="H62" s="212" t="s">
        <v>42</v>
      </c>
      <c r="I62" s="210" t="s">
        <v>43</v>
      </c>
      <c r="J62" s="64">
        <v>1.8</v>
      </c>
      <c r="K62" s="64">
        <v>322.91000000000003</v>
      </c>
      <c r="L62" s="64">
        <v>29.57</v>
      </c>
      <c r="M62" s="64">
        <v>29.03</v>
      </c>
      <c r="N62" s="64">
        <v>491.3</v>
      </c>
      <c r="O62" s="64">
        <v>0</v>
      </c>
      <c r="P62" s="64">
        <v>1.1299999999999999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2506</v>
      </c>
      <c r="B63" s="64">
        <v>18.309999999999999</v>
      </c>
      <c r="C63" s="64">
        <v>90.55</v>
      </c>
      <c r="D63" s="64">
        <v>60.62</v>
      </c>
      <c r="E63" s="64">
        <v>6.78</v>
      </c>
      <c r="F63" s="64">
        <v>2.13</v>
      </c>
      <c r="G63" s="64">
        <v>56.24</v>
      </c>
      <c r="H63" s="212" t="s">
        <v>42</v>
      </c>
      <c r="I63" s="210" t="s">
        <v>43</v>
      </c>
      <c r="J63" s="64">
        <v>1.51</v>
      </c>
      <c r="K63" s="64">
        <v>285.88</v>
      </c>
      <c r="L63" s="64">
        <v>29.58</v>
      </c>
      <c r="M63" s="64">
        <v>28.91</v>
      </c>
      <c r="N63" s="64">
        <v>475.8</v>
      </c>
      <c r="O63" s="64">
        <v>0</v>
      </c>
      <c r="P63" s="64">
        <v>1.18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2507</v>
      </c>
      <c r="B64" s="64">
        <v>14.37</v>
      </c>
      <c r="C64" s="64">
        <v>90.22</v>
      </c>
      <c r="D64" s="64">
        <v>57.28</v>
      </c>
      <c r="E64" s="64">
        <v>6.37</v>
      </c>
      <c r="F64" s="64">
        <v>2.13</v>
      </c>
      <c r="G64" s="64">
        <v>55.04</v>
      </c>
      <c r="H64" s="212" t="s">
        <v>42</v>
      </c>
      <c r="I64" s="210" t="s">
        <v>43</v>
      </c>
      <c r="J64" s="64">
        <v>2.5499999999999998</v>
      </c>
      <c r="K64" s="64">
        <v>325.07</v>
      </c>
      <c r="L64" s="64">
        <v>29.29</v>
      </c>
      <c r="M64" s="64">
        <v>29.31</v>
      </c>
      <c r="N64" s="64">
        <v>481.7</v>
      </c>
      <c r="O64" s="64">
        <v>0</v>
      </c>
      <c r="P64" s="64">
        <v>1.1100000000000001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2508</v>
      </c>
      <c r="B65" s="64">
        <v>11.3</v>
      </c>
      <c r="C65" s="64">
        <v>89.52</v>
      </c>
      <c r="D65" s="64">
        <v>54.46</v>
      </c>
      <c r="E65" s="64">
        <v>6.65</v>
      </c>
      <c r="F65" s="64">
        <v>2.13</v>
      </c>
      <c r="G65" s="64">
        <v>53.61</v>
      </c>
      <c r="H65" s="212" t="s">
        <v>42</v>
      </c>
      <c r="I65" s="210" t="s">
        <v>43</v>
      </c>
      <c r="J65" s="64">
        <v>2.6</v>
      </c>
      <c r="K65" s="64">
        <v>322.92</v>
      </c>
      <c r="L65" s="64">
        <v>29.53</v>
      </c>
      <c r="M65" s="64">
        <v>29.14</v>
      </c>
      <c r="N65" s="64">
        <v>399.3</v>
      </c>
      <c r="O65" s="64">
        <v>0</v>
      </c>
      <c r="P65" s="64">
        <v>1.07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2509</v>
      </c>
      <c r="B66" s="64">
        <v>8.83</v>
      </c>
      <c r="C66" s="64">
        <v>88.26</v>
      </c>
      <c r="D66" s="64">
        <v>51.82</v>
      </c>
      <c r="E66" s="64">
        <v>6.57</v>
      </c>
      <c r="F66" s="64">
        <v>2.13</v>
      </c>
      <c r="G66" s="64">
        <v>53.61</v>
      </c>
      <c r="H66" s="212" t="s">
        <v>42</v>
      </c>
      <c r="I66" s="210" t="s">
        <v>43</v>
      </c>
      <c r="J66" s="64">
        <v>1.1299999999999999</v>
      </c>
      <c r="K66" s="64">
        <v>188.68</v>
      </c>
      <c r="L66" s="64">
        <v>27.81</v>
      </c>
      <c r="M66" s="64">
        <v>31.05</v>
      </c>
      <c r="N66" s="64">
        <v>191.7</v>
      </c>
      <c r="O66" s="64">
        <v>0</v>
      </c>
      <c r="P66" s="64">
        <v>1.03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2510</v>
      </c>
      <c r="B67" s="64">
        <v>6.73</v>
      </c>
      <c r="C67" s="64">
        <v>86.37</v>
      </c>
      <c r="D67" s="64">
        <v>49.15</v>
      </c>
      <c r="E67" s="64">
        <v>5.94</v>
      </c>
      <c r="F67" s="64">
        <v>2.13</v>
      </c>
      <c r="G67" s="64">
        <v>53.61</v>
      </c>
      <c r="H67" s="212" t="s">
        <v>42</v>
      </c>
      <c r="I67" s="210" t="s">
        <v>43</v>
      </c>
      <c r="J67" s="64">
        <v>1.53</v>
      </c>
      <c r="K67" s="64">
        <v>304.10000000000002</v>
      </c>
      <c r="L67" s="64">
        <v>27</v>
      </c>
      <c r="M67" s="64">
        <v>32.54</v>
      </c>
      <c r="N67" s="64">
        <v>185.9</v>
      </c>
      <c r="O67" s="64">
        <v>0</v>
      </c>
      <c r="P67" s="64">
        <v>0.96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2511</v>
      </c>
      <c r="B68" s="64">
        <v>5.46</v>
      </c>
      <c r="C68" s="64">
        <v>84.72</v>
      </c>
      <c r="D68" s="64">
        <v>47.27</v>
      </c>
      <c r="E68" s="64">
        <v>6.22</v>
      </c>
      <c r="F68" s="64">
        <v>2.13</v>
      </c>
      <c r="G68" s="64">
        <v>55.21</v>
      </c>
      <c r="H68" s="212" t="s">
        <v>42</v>
      </c>
      <c r="I68" s="210" t="s">
        <v>43</v>
      </c>
      <c r="J68" s="64">
        <v>2.04</v>
      </c>
      <c r="K68" s="64">
        <v>308.58999999999997</v>
      </c>
      <c r="L68" s="64">
        <v>27.73</v>
      </c>
      <c r="M68" s="64">
        <v>30.93</v>
      </c>
      <c r="N68" s="64">
        <v>231.5</v>
      </c>
      <c r="O68" s="64">
        <v>0</v>
      </c>
      <c r="P68" s="64">
        <v>0.94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2512</v>
      </c>
      <c r="B69" s="64">
        <v>4.9000000000000004</v>
      </c>
      <c r="C69" s="64">
        <v>83.42</v>
      </c>
      <c r="D69" s="64">
        <v>46.14</v>
      </c>
      <c r="E69" s="64">
        <v>6.44</v>
      </c>
      <c r="F69" s="64">
        <v>2.13</v>
      </c>
      <c r="G69" s="64">
        <v>57.14</v>
      </c>
      <c r="H69" s="212" t="s">
        <v>42</v>
      </c>
      <c r="I69" s="210" t="s">
        <v>43</v>
      </c>
      <c r="J69" s="64">
        <v>2.15</v>
      </c>
      <c r="K69" s="64">
        <v>336.98</v>
      </c>
      <c r="L69" s="64">
        <v>27.31</v>
      </c>
      <c r="M69" s="64">
        <v>30.68</v>
      </c>
      <c r="N69" s="64">
        <v>213.4</v>
      </c>
      <c r="O69" s="64">
        <v>0</v>
      </c>
      <c r="P69" s="64">
        <v>0.9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2513</v>
      </c>
      <c r="B70" s="64">
        <v>5.16</v>
      </c>
      <c r="C70" s="64">
        <v>82.52</v>
      </c>
      <c r="D70" s="64">
        <v>45.87</v>
      </c>
      <c r="E70" s="64">
        <v>6.16</v>
      </c>
      <c r="F70" s="64">
        <v>2.13</v>
      </c>
      <c r="G70" s="64">
        <v>57.14</v>
      </c>
      <c r="H70" s="212" t="s">
        <v>42</v>
      </c>
      <c r="I70" s="210" t="s">
        <v>43</v>
      </c>
      <c r="J70" s="64">
        <v>2.58</v>
      </c>
      <c r="K70" s="64">
        <v>332.29</v>
      </c>
      <c r="L70" s="64">
        <v>27.14</v>
      </c>
      <c r="M70" s="64">
        <v>29.9</v>
      </c>
      <c r="N70" s="64">
        <v>194.7</v>
      </c>
      <c r="O70" s="64">
        <v>0</v>
      </c>
      <c r="P70" s="64">
        <v>0.87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2514</v>
      </c>
      <c r="B71" s="64">
        <v>5.47</v>
      </c>
      <c r="C71" s="64">
        <v>78.55</v>
      </c>
      <c r="D71" s="64">
        <v>44.05</v>
      </c>
      <c r="E71" s="64">
        <v>6.11</v>
      </c>
      <c r="F71" s="64">
        <v>2.13</v>
      </c>
      <c r="G71" s="64">
        <v>57.14</v>
      </c>
      <c r="H71" s="212" t="s">
        <v>42</v>
      </c>
      <c r="I71" s="210" t="s">
        <v>43</v>
      </c>
      <c r="J71" s="64">
        <v>2.72</v>
      </c>
      <c r="K71" s="64">
        <v>324.37</v>
      </c>
      <c r="L71" s="64">
        <v>26.69</v>
      </c>
      <c r="M71" s="64">
        <v>31.3</v>
      </c>
      <c r="N71" s="64">
        <v>141.5</v>
      </c>
      <c r="O71" s="64">
        <v>0</v>
      </c>
      <c r="P71" s="64">
        <v>0.85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2515</v>
      </c>
      <c r="B72" s="64">
        <v>5.68</v>
      </c>
      <c r="C72" s="64">
        <v>77.540000000000006</v>
      </c>
      <c r="D72" s="64">
        <v>43.69</v>
      </c>
      <c r="E72" s="64">
        <v>4.57</v>
      </c>
      <c r="F72" s="64">
        <v>2.13</v>
      </c>
      <c r="G72" s="64">
        <v>57.85</v>
      </c>
      <c r="H72" s="212" t="s">
        <v>42</v>
      </c>
      <c r="I72" s="210" t="s">
        <v>43</v>
      </c>
      <c r="J72" s="64">
        <v>1.71</v>
      </c>
      <c r="K72" s="64">
        <v>291.63</v>
      </c>
      <c r="L72" s="64">
        <v>26.37</v>
      </c>
      <c r="M72" s="64">
        <v>31.5</v>
      </c>
      <c r="N72" s="64">
        <v>129.69999999999999</v>
      </c>
      <c r="O72" s="64">
        <v>0</v>
      </c>
      <c r="P72" s="64">
        <v>0.81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2516</v>
      </c>
      <c r="B73" s="64">
        <v>5.76</v>
      </c>
      <c r="C73" s="64">
        <v>76.430000000000007</v>
      </c>
      <c r="D73" s="64">
        <v>43.17</v>
      </c>
      <c r="E73" s="64">
        <v>4.63</v>
      </c>
      <c r="F73" s="64">
        <v>2.13</v>
      </c>
      <c r="G73" s="64">
        <v>58.71</v>
      </c>
      <c r="H73" s="212" t="s">
        <v>42</v>
      </c>
      <c r="I73" s="210" t="s">
        <v>43</v>
      </c>
      <c r="J73" s="64">
        <v>2.27</v>
      </c>
      <c r="K73" s="64">
        <v>322.05</v>
      </c>
      <c r="L73" s="64">
        <v>26.09</v>
      </c>
      <c r="M73" s="64">
        <v>32.630000000000003</v>
      </c>
      <c r="N73" s="64">
        <v>121.6</v>
      </c>
      <c r="O73" s="64">
        <v>0</v>
      </c>
      <c r="P73" s="64">
        <v>0.82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2517</v>
      </c>
      <c r="B74" s="64">
        <v>6.06</v>
      </c>
      <c r="C74" s="64">
        <v>75.540000000000006</v>
      </c>
      <c r="D74" s="64">
        <v>42.95</v>
      </c>
      <c r="E74" s="64">
        <v>4.54</v>
      </c>
      <c r="F74" s="64">
        <v>2.13</v>
      </c>
      <c r="G74" s="64">
        <v>58.71</v>
      </c>
      <c r="H74" s="212" t="s">
        <v>42</v>
      </c>
      <c r="I74" s="210" t="s">
        <v>43</v>
      </c>
      <c r="J74" s="64">
        <v>2.59</v>
      </c>
      <c r="K74" s="64">
        <v>334.7</v>
      </c>
      <c r="L74" s="64">
        <v>25.74</v>
      </c>
      <c r="M74" s="64">
        <v>33.92</v>
      </c>
      <c r="N74" s="64">
        <v>113.9</v>
      </c>
      <c r="O74" s="64">
        <v>0</v>
      </c>
      <c r="P74" s="64">
        <v>0.88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2518</v>
      </c>
      <c r="B75" s="64">
        <v>6.68</v>
      </c>
      <c r="C75" s="64">
        <v>75.23</v>
      </c>
      <c r="D75" s="64">
        <v>43.29</v>
      </c>
      <c r="E75" s="64">
        <v>4.7699999999999996</v>
      </c>
      <c r="F75" s="64">
        <v>2.13</v>
      </c>
      <c r="G75" s="64">
        <v>58.71</v>
      </c>
      <c r="H75" s="212" t="s">
        <v>42</v>
      </c>
      <c r="I75" s="210" t="s">
        <v>43</v>
      </c>
      <c r="J75" s="64">
        <v>2.54</v>
      </c>
      <c r="K75" s="64">
        <v>343.04</v>
      </c>
      <c r="L75" s="64">
        <v>25.27</v>
      </c>
      <c r="M75" s="64">
        <v>34.44</v>
      </c>
      <c r="N75" s="64">
        <v>106.2</v>
      </c>
      <c r="O75" s="64">
        <v>0</v>
      </c>
      <c r="P75" s="64">
        <v>0.83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2519</v>
      </c>
      <c r="B76" s="64">
        <v>7.41</v>
      </c>
      <c r="C76" s="64">
        <v>75.47</v>
      </c>
      <c r="D76" s="64">
        <v>43.99</v>
      </c>
      <c r="E76" s="64">
        <v>4.67</v>
      </c>
      <c r="F76" s="64">
        <v>2.13</v>
      </c>
      <c r="G76" s="64">
        <v>62.5</v>
      </c>
      <c r="H76" s="212" t="s">
        <v>42</v>
      </c>
      <c r="I76" s="210" t="s">
        <v>43</v>
      </c>
      <c r="J76" s="64">
        <v>2.06</v>
      </c>
      <c r="K76" s="64">
        <v>343.52</v>
      </c>
      <c r="L76" s="64">
        <v>24.86</v>
      </c>
      <c r="M76" s="64">
        <v>35.36</v>
      </c>
      <c r="N76" s="64">
        <v>98.7</v>
      </c>
      <c r="O76" s="64">
        <v>0</v>
      </c>
      <c r="P76" s="64">
        <v>0.87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2520</v>
      </c>
      <c r="B77" s="64">
        <v>8.02</v>
      </c>
      <c r="C77" s="64">
        <v>75.540000000000006</v>
      </c>
      <c r="D77" s="64">
        <v>44.52</v>
      </c>
      <c r="E77" s="64">
        <v>4.6900000000000004</v>
      </c>
      <c r="F77" s="64">
        <v>2.13</v>
      </c>
      <c r="G77" s="64">
        <v>67.03</v>
      </c>
      <c r="H77" s="212" t="s">
        <v>42</v>
      </c>
      <c r="I77" s="210" t="s">
        <v>43</v>
      </c>
      <c r="J77" s="64">
        <v>1.81</v>
      </c>
      <c r="K77" s="64">
        <v>331.51</v>
      </c>
      <c r="L77" s="64">
        <v>24.2</v>
      </c>
      <c r="M77" s="64">
        <v>39.25</v>
      </c>
      <c r="N77" s="64">
        <v>90.3</v>
      </c>
      <c r="O77" s="64">
        <v>0</v>
      </c>
      <c r="P77" s="64">
        <v>1.02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2521</v>
      </c>
      <c r="B78" s="64">
        <v>9.6</v>
      </c>
      <c r="C78" s="64">
        <v>76.89</v>
      </c>
      <c r="D78" s="64">
        <v>46.5</v>
      </c>
      <c r="E78" s="64">
        <v>4.8099999999999996</v>
      </c>
      <c r="F78" s="64">
        <v>2.13</v>
      </c>
      <c r="G78" s="64">
        <v>67.03</v>
      </c>
      <c r="H78" s="212" t="s">
        <v>42</v>
      </c>
      <c r="I78" s="210" t="s">
        <v>43</v>
      </c>
      <c r="J78" s="64">
        <v>0.9</v>
      </c>
      <c r="K78" s="64">
        <v>121.87</v>
      </c>
      <c r="L78" s="64">
        <v>23.32</v>
      </c>
      <c r="M78" s="64">
        <v>41.24</v>
      </c>
      <c r="N78" s="64">
        <v>82.4</v>
      </c>
      <c r="O78" s="64">
        <v>0</v>
      </c>
      <c r="P78" s="64">
        <v>0.94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2522</v>
      </c>
      <c r="B79" s="64">
        <v>10.97</v>
      </c>
      <c r="C79" s="64">
        <v>78.83</v>
      </c>
      <c r="D79" s="64">
        <v>48.61</v>
      </c>
      <c r="E79" s="64">
        <v>5.17</v>
      </c>
      <c r="F79" s="64">
        <v>2.13</v>
      </c>
      <c r="G79" s="64">
        <v>67.03</v>
      </c>
      <c r="H79" s="212" t="s">
        <v>42</v>
      </c>
      <c r="I79" s="210" t="s">
        <v>43</v>
      </c>
      <c r="J79" s="64">
        <v>1.3</v>
      </c>
      <c r="K79" s="64">
        <v>317.79000000000002</v>
      </c>
      <c r="L79" s="64">
        <v>22.49</v>
      </c>
      <c r="M79" s="64">
        <v>43.43</v>
      </c>
      <c r="N79" s="64">
        <v>76.099999999999994</v>
      </c>
      <c r="O79" s="64">
        <v>0</v>
      </c>
      <c r="P79" s="64">
        <v>0.95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2523</v>
      </c>
      <c r="B80" s="64">
        <v>13.11</v>
      </c>
      <c r="C80" s="64">
        <v>81.599999999999994</v>
      </c>
      <c r="D80" s="64">
        <v>51.77</v>
      </c>
      <c r="E80" s="64">
        <v>5.14</v>
      </c>
      <c r="F80" s="64">
        <v>2.13</v>
      </c>
      <c r="G80" s="64">
        <v>78.459999999999994</v>
      </c>
      <c r="H80" s="212" t="s">
        <v>42</v>
      </c>
      <c r="I80" s="210" t="s">
        <v>43</v>
      </c>
      <c r="J80" s="64">
        <v>0.12</v>
      </c>
      <c r="K80" s="64">
        <v>0.81</v>
      </c>
      <c r="L80" s="64">
        <v>21.54</v>
      </c>
      <c r="M80" s="64">
        <v>47.32</v>
      </c>
      <c r="N80" s="64">
        <v>72.8</v>
      </c>
      <c r="O80" s="64">
        <v>0</v>
      </c>
      <c r="P80" s="64">
        <v>1.02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2524</v>
      </c>
      <c r="B81" s="64">
        <v>15.97</v>
      </c>
      <c r="C81" s="64">
        <v>83.85</v>
      </c>
      <c r="D81" s="64">
        <v>55.23</v>
      </c>
      <c r="E81" s="64">
        <v>5.03</v>
      </c>
      <c r="F81" s="64">
        <v>2.13</v>
      </c>
      <c r="G81" s="64">
        <v>92.11</v>
      </c>
      <c r="H81" s="212" t="s">
        <v>42</v>
      </c>
      <c r="I81" s="210" t="s">
        <v>43</v>
      </c>
      <c r="J81" s="64">
        <v>0.52</v>
      </c>
      <c r="K81" s="64">
        <v>198.82</v>
      </c>
      <c r="L81" s="64">
        <v>20.83</v>
      </c>
      <c r="M81" s="64">
        <v>51.55</v>
      </c>
      <c r="N81" s="64">
        <v>72</v>
      </c>
      <c r="O81" s="64">
        <v>0</v>
      </c>
      <c r="P81" s="64">
        <v>1.03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2525</v>
      </c>
      <c r="B82" s="64">
        <v>21.45</v>
      </c>
      <c r="C82" s="64">
        <v>85.7</v>
      </c>
      <c r="D82" s="64">
        <v>60.6</v>
      </c>
      <c r="E82" s="64">
        <v>5.44</v>
      </c>
      <c r="F82" s="64">
        <v>2.13</v>
      </c>
      <c r="G82" s="64">
        <v>92.11</v>
      </c>
      <c r="H82" s="212" t="s">
        <v>42</v>
      </c>
      <c r="I82" s="210" t="s">
        <v>43</v>
      </c>
      <c r="J82" s="64">
        <v>0.34</v>
      </c>
      <c r="K82" s="64">
        <v>186.46</v>
      </c>
      <c r="L82" s="64">
        <v>20.29</v>
      </c>
      <c r="M82" s="64">
        <v>54.23</v>
      </c>
      <c r="N82" s="64">
        <v>71.8</v>
      </c>
      <c r="O82" s="64">
        <v>0</v>
      </c>
      <c r="P82" s="64">
        <v>1.18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2526</v>
      </c>
      <c r="B83" s="64">
        <v>30.59</v>
      </c>
      <c r="C83" s="64">
        <v>87.41</v>
      </c>
      <c r="D83" s="64">
        <v>68.819999999999993</v>
      </c>
      <c r="E83" s="64">
        <v>5.63</v>
      </c>
      <c r="F83" s="64">
        <v>2.13</v>
      </c>
      <c r="G83" s="64">
        <v>92.11</v>
      </c>
      <c r="H83" s="212" t="s">
        <v>42</v>
      </c>
      <c r="I83" s="210" t="s">
        <v>43</v>
      </c>
      <c r="J83" s="64">
        <v>1.47</v>
      </c>
      <c r="K83" s="64">
        <v>127.51</v>
      </c>
      <c r="L83" s="64">
        <v>19.87</v>
      </c>
      <c r="M83" s="64">
        <v>56.93</v>
      </c>
      <c r="N83" s="64">
        <v>71.900000000000006</v>
      </c>
      <c r="O83" s="64">
        <v>0</v>
      </c>
      <c r="P83" s="64">
        <v>1.1499999999999999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2527</v>
      </c>
      <c r="B84" s="64">
        <v>42.24</v>
      </c>
      <c r="C84" s="64">
        <v>88.52</v>
      </c>
      <c r="D84" s="64">
        <v>78.75</v>
      </c>
      <c r="E84" s="64">
        <v>6.4</v>
      </c>
      <c r="F84" s="64">
        <v>2.13</v>
      </c>
      <c r="G84" s="64">
        <v>136.22</v>
      </c>
      <c r="H84" s="212" t="s">
        <v>42</v>
      </c>
      <c r="I84" s="210" t="s">
        <v>43</v>
      </c>
      <c r="J84" s="64">
        <v>1.74</v>
      </c>
      <c r="K84" s="64">
        <v>294.45</v>
      </c>
      <c r="L84" s="64">
        <v>19.329999999999998</v>
      </c>
      <c r="M84" s="64">
        <v>60.12</v>
      </c>
      <c r="N84" s="64">
        <v>71.8</v>
      </c>
      <c r="O84" s="64">
        <v>0</v>
      </c>
      <c r="P84" s="64">
        <v>1.48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2528</v>
      </c>
      <c r="B85" s="64">
        <v>50.06</v>
      </c>
      <c r="C85" s="64">
        <v>88.12</v>
      </c>
      <c r="D85" s="64">
        <v>84.81</v>
      </c>
      <c r="E85" s="64">
        <v>6.55</v>
      </c>
      <c r="F85" s="64">
        <v>2.13</v>
      </c>
      <c r="G85" s="64">
        <v>188.94</v>
      </c>
      <c r="H85" s="212" t="s">
        <v>42</v>
      </c>
      <c r="I85" s="210" t="s">
        <v>43</v>
      </c>
      <c r="J85" s="64">
        <v>0.83</v>
      </c>
      <c r="K85" s="64">
        <v>287.33</v>
      </c>
      <c r="L85" s="64">
        <v>19.04</v>
      </c>
      <c r="M85" s="64">
        <v>59.77</v>
      </c>
      <c r="N85" s="64">
        <v>71.7</v>
      </c>
      <c r="O85" s="64">
        <v>0</v>
      </c>
      <c r="P85" s="64">
        <v>1.42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2529</v>
      </c>
      <c r="B86" s="64">
        <v>59.37</v>
      </c>
      <c r="C86" s="64">
        <v>88.15</v>
      </c>
      <c r="D86" s="64">
        <v>92.29</v>
      </c>
      <c r="E86" s="64">
        <v>6.79</v>
      </c>
      <c r="F86" s="64">
        <v>2.13</v>
      </c>
      <c r="G86" s="64">
        <v>188.94</v>
      </c>
      <c r="H86" s="212" t="s">
        <v>42</v>
      </c>
      <c r="I86" s="210" t="s">
        <v>43</v>
      </c>
      <c r="J86" s="64">
        <v>1.85</v>
      </c>
      <c r="K86" s="64">
        <v>109.28</v>
      </c>
      <c r="L86" s="64">
        <v>18.829999999999998</v>
      </c>
      <c r="M86" s="64">
        <v>62.45</v>
      </c>
      <c r="N86" s="64">
        <v>71.5</v>
      </c>
      <c r="O86" s="64">
        <v>0</v>
      </c>
      <c r="P86" s="64">
        <v>1.45</v>
      </c>
      <c r="Q86" s="64">
        <v>8.31</v>
      </c>
      <c r="R86" s="198"/>
      <c r="S86" s="198"/>
      <c r="T86" s="198"/>
      <c r="U86" s="198"/>
    </row>
    <row r="87" spans="1:26" s="12" customFormat="1" x14ac:dyDescent="0.25">
      <c r="A87" s="214" t="s">
        <v>2530</v>
      </c>
      <c r="B87" s="64">
        <v>71.349999999999994</v>
      </c>
      <c r="C87" s="64">
        <v>86.84</v>
      </c>
      <c r="D87" s="64">
        <v>101.21</v>
      </c>
      <c r="E87" s="64">
        <v>7.16</v>
      </c>
      <c r="F87" s="64">
        <v>2.13</v>
      </c>
      <c r="G87" s="64">
        <v>188.94</v>
      </c>
      <c r="H87" s="212" t="s">
        <v>42</v>
      </c>
      <c r="I87" s="210" t="s">
        <v>43</v>
      </c>
      <c r="J87" s="64">
        <v>1.1399999999999999</v>
      </c>
      <c r="K87" s="64">
        <v>251.94</v>
      </c>
      <c r="L87" s="64">
        <v>18.55</v>
      </c>
      <c r="M87" s="64">
        <v>64.87</v>
      </c>
      <c r="N87" s="64">
        <v>71.5</v>
      </c>
      <c r="O87" s="64">
        <v>0</v>
      </c>
      <c r="P87" s="64">
        <v>1.61</v>
      </c>
      <c r="Q87" s="64">
        <v>8.7899999999999991</v>
      </c>
      <c r="R87" s="198"/>
      <c r="S87" s="198"/>
      <c r="T87" s="198"/>
      <c r="U87" s="198"/>
    </row>
    <row r="88" spans="1:26" s="12" customFormat="1" x14ac:dyDescent="0.25">
      <c r="A88" s="214" t="s">
        <v>2531</v>
      </c>
      <c r="B88" s="64">
        <v>81.430000000000007</v>
      </c>
      <c r="C88" s="64">
        <v>83.84</v>
      </c>
      <c r="D88" s="64">
        <v>107.72</v>
      </c>
      <c r="E88" s="64">
        <v>6.54</v>
      </c>
      <c r="F88" s="64">
        <v>2.13</v>
      </c>
      <c r="G88" s="64">
        <v>199.58</v>
      </c>
      <c r="H88" s="212" t="s">
        <v>42</v>
      </c>
      <c r="I88" s="210" t="s">
        <v>43</v>
      </c>
      <c r="J88" s="64">
        <v>1.85</v>
      </c>
      <c r="K88" s="64">
        <v>275.27999999999997</v>
      </c>
      <c r="L88" s="64">
        <v>18.29</v>
      </c>
      <c r="M88" s="64">
        <v>67.959999999999994</v>
      </c>
      <c r="N88" s="64">
        <v>71.400000000000006</v>
      </c>
      <c r="O88" s="64">
        <v>0</v>
      </c>
      <c r="P88" s="64">
        <v>1.75</v>
      </c>
      <c r="Q88" s="64">
        <v>9.26</v>
      </c>
      <c r="R88" s="198"/>
      <c r="S88" s="198"/>
      <c r="T88" s="198"/>
      <c r="U88" s="198"/>
    </row>
    <row r="89" spans="1:26" s="12" customFormat="1" x14ac:dyDescent="0.25">
      <c r="A89" s="214" t="s">
        <v>2532</v>
      </c>
      <c r="B89" s="64">
        <v>88.6</v>
      </c>
      <c r="C89" s="64">
        <v>83.12</v>
      </c>
      <c r="D89" s="64">
        <v>113.11</v>
      </c>
      <c r="E89" s="64">
        <v>6.81</v>
      </c>
      <c r="F89" s="64">
        <v>2.13</v>
      </c>
      <c r="G89" s="64">
        <v>212.29</v>
      </c>
      <c r="H89" s="212" t="s">
        <v>42</v>
      </c>
      <c r="I89" s="210" t="s">
        <v>43</v>
      </c>
      <c r="J89" s="64">
        <v>1.82</v>
      </c>
      <c r="K89" s="64">
        <v>274.52999999999997</v>
      </c>
      <c r="L89" s="64">
        <v>18.04</v>
      </c>
      <c r="M89" s="64">
        <v>68.31</v>
      </c>
      <c r="N89" s="64">
        <v>71.5</v>
      </c>
      <c r="O89" s="64">
        <v>0</v>
      </c>
      <c r="P89" s="64">
        <v>1.68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4" t="s">
        <v>2533</v>
      </c>
      <c r="B90" s="64">
        <v>95.89</v>
      </c>
      <c r="C90" s="64">
        <v>81.94</v>
      </c>
      <c r="D90" s="64">
        <v>118.33</v>
      </c>
      <c r="E90" s="64">
        <v>7.07</v>
      </c>
      <c r="F90" s="64">
        <v>2.13</v>
      </c>
      <c r="G90" s="64">
        <v>212.29</v>
      </c>
      <c r="H90" s="212" t="s">
        <v>42</v>
      </c>
      <c r="I90" s="210" t="s">
        <v>43</v>
      </c>
      <c r="J90" s="64">
        <v>1.18</v>
      </c>
      <c r="K90" s="64">
        <v>318.97000000000003</v>
      </c>
      <c r="L90" s="64">
        <v>17.75</v>
      </c>
      <c r="M90" s="64">
        <v>73.37</v>
      </c>
      <c r="N90" s="64">
        <v>71.3</v>
      </c>
      <c r="O90" s="64">
        <v>0</v>
      </c>
      <c r="P90" s="64">
        <v>2.0699999999999998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4" t="s">
        <v>2534</v>
      </c>
      <c r="B91" s="64">
        <v>105.69</v>
      </c>
      <c r="C91" s="64">
        <v>80.959999999999994</v>
      </c>
      <c r="D91" s="64">
        <v>125.68</v>
      </c>
      <c r="E91" s="64">
        <v>7.28</v>
      </c>
      <c r="F91" s="64">
        <v>2.13</v>
      </c>
      <c r="G91" s="64">
        <v>212.29</v>
      </c>
      <c r="H91" s="212" t="s">
        <v>42</v>
      </c>
      <c r="I91" s="210" t="s">
        <v>43</v>
      </c>
      <c r="J91" s="64">
        <v>1.46</v>
      </c>
      <c r="K91" s="64">
        <v>328.23</v>
      </c>
      <c r="L91" s="64">
        <v>17.559999999999999</v>
      </c>
      <c r="M91" s="64">
        <v>76.38</v>
      </c>
      <c r="N91" s="64">
        <v>71.400000000000006</v>
      </c>
      <c r="O91" s="64">
        <v>0</v>
      </c>
      <c r="P91" s="64">
        <v>2.52</v>
      </c>
      <c r="Q91" s="64">
        <v>9.49</v>
      </c>
      <c r="R91" s="198"/>
      <c r="S91" s="198"/>
      <c r="T91" s="198"/>
      <c r="U91" s="198"/>
    </row>
    <row r="92" spans="1:26" s="12" customFormat="1" x14ac:dyDescent="0.25">
      <c r="A92" s="214" t="s">
        <v>2535</v>
      </c>
      <c r="B92" s="64">
        <v>116.1</v>
      </c>
      <c r="C92" s="64">
        <v>79.89</v>
      </c>
      <c r="D92" s="64">
        <v>133.47</v>
      </c>
      <c r="E92" s="64">
        <v>7.26</v>
      </c>
      <c r="F92" s="64">
        <v>2.13</v>
      </c>
      <c r="G92" s="64">
        <v>230.88</v>
      </c>
      <c r="H92" s="212" t="s">
        <v>42</v>
      </c>
      <c r="I92" s="210" t="s">
        <v>43</v>
      </c>
      <c r="J92" s="64">
        <v>1.36</v>
      </c>
      <c r="K92" s="64">
        <v>301.31</v>
      </c>
      <c r="L92" s="64">
        <v>17.36</v>
      </c>
      <c r="M92" s="64">
        <v>75.599999999999994</v>
      </c>
      <c r="N92" s="64">
        <v>71.3</v>
      </c>
      <c r="O92" s="64">
        <v>0</v>
      </c>
      <c r="P92" s="64">
        <v>2.2799999999999998</v>
      </c>
      <c r="Q92" s="64">
        <v>9.51</v>
      </c>
      <c r="R92" s="198"/>
      <c r="S92" s="198"/>
      <c r="T92" s="198"/>
      <c r="U92" s="198"/>
    </row>
    <row r="93" spans="1:26" s="12" customFormat="1" x14ac:dyDescent="0.25">
      <c r="A93" s="214" t="s">
        <v>2536</v>
      </c>
      <c r="B93" s="64">
        <v>127.4</v>
      </c>
      <c r="C93" s="64">
        <v>78.83</v>
      </c>
      <c r="D93" s="64">
        <v>141.97</v>
      </c>
      <c r="E93" s="64">
        <v>7.98</v>
      </c>
      <c r="F93" s="64">
        <v>2.13</v>
      </c>
      <c r="G93" s="64">
        <v>253.1</v>
      </c>
      <c r="H93" s="64">
        <v>66.7</v>
      </c>
      <c r="I93" s="210" t="s">
        <v>43</v>
      </c>
      <c r="J93" s="64">
        <v>1.82</v>
      </c>
      <c r="K93" s="64">
        <v>288.2</v>
      </c>
      <c r="L93" s="64">
        <v>17.2</v>
      </c>
      <c r="M93" s="64">
        <v>77.34</v>
      </c>
      <c r="N93" s="64">
        <v>71.400000000000006</v>
      </c>
      <c r="O93" s="64">
        <v>0</v>
      </c>
      <c r="P93" s="64">
        <v>2.57</v>
      </c>
      <c r="Q93" s="64">
        <v>9.59</v>
      </c>
      <c r="R93" s="198"/>
      <c r="S93" s="198"/>
      <c r="T93" s="198"/>
      <c r="U93" s="198"/>
    </row>
    <row r="94" spans="1:26" s="12" customFormat="1" x14ac:dyDescent="0.25">
      <c r="A94" s="214" t="s">
        <v>2537</v>
      </c>
      <c r="B94" s="64">
        <v>148.94</v>
      </c>
      <c r="C94" s="64">
        <v>81.819999999999993</v>
      </c>
      <c r="D94" s="64">
        <v>160.81</v>
      </c>
      <c r="E94" s="64">
        <v>8.7799999999999994</v>
      </c>
      <c r="F94" s="64">
        <v>2.13</v>
      </c>
      <c r="G94" s="64">
        <v>253.1</v>
      </c>
      <c r="H94" s="64">
        <v>66.7</v>
      </c>
      <c r="I94" s="210" t="s">
        <v>43</v>
      </c>
      <c r="J94" s="64">
        <v>1.77</v>
      </c>
      <c r="K94" s="64">
        <v>318.33</v>
      </c>
      <c r="L94" s="64">
        <v>17.059999999999999</v>
      </c>
      <c r="M94" s="64">
        <v>79.28</v>
      </c>
      <c r="N94" s="64">
        <v>71.2</v>
      </c>
      <c r="O94" s="64">
        <v>0</v>
      </c>
      <c r="P94" s="64">
        <v>2.38</v>
      </c>
      <c r="Q94" s="64">
        <v>9.61</v>
      </c>
      <c r="R94" s="198"/>
      <c r="S94" s="198"/>
      <c r="T94" s="198"/>
      <c r="U94" s="198"/>
    </row>
    <row r="95" spans="1:26" s="12" customFormat="1" x14ac:dyDescent="0.25">
      <c r="A95" s="214" t="s">
        <v>2538</v>
      </c>
      <c r="B95" s="64">
        <v>169.22</v>
      </c>
      <c r="C95" s="64">
        <v>88.06</v>
      </c>
      <c r="D95" s="64">
        <v>180.33</v>
      </c>
      <c r="E95" s="64">
        <v>11.11</v>
      </c>
      <c r="F95" s="64">
        <v>2.13</v>
      </c>
      <c r="G95" s="64">
        <v>253.1</v>
      </c>
      <c r="H95" s="64">
        <v>66.7</v>
      </c>
      <c r="I95" s="210" t="s">
        <v>43</v>
      </c>
      <c r="J95" s="64">
        <v>1.66</v>
      </c>
      <c r="K95" s="64">
        <v>312.3</v>
      </c>
      <c r="L95" s="64">
        <v>16.91</v>
      </c>
      <c r="M95" s="64">
        <v>84</v>
      </c>
      <c r="N95" s="64">
        <v>71.099999999999994</v>
      </c>
      <c r="O95" s="64">
        <v>0</v>
      </c>
      <c r="P95" s="64">
        <v>2.2599999999999998</v>
      </c>
      <c r="Q95" s="64">
        <v>9.61</v>
      </c>
      <c r="R95" s="198"/>
      <c r="S95" s="198"/>
      <c r="T95" s="198"/>
      <c r="U95" s="198"/>
    </row>
    <row r="96" spans="1:26" s="12" customFormat="1" x14ac:dyDescent="0.25">
      <c r="A96" s="214" t="s">
        <v>2539</v>
      </c>
      <c r="B96" s="64">
        <v>178.67</v>
      </c>
      <c r="C96" s="64">
        <v>87.06</v>
      </c>
      <c r="D96" s="64">
        <v>187.39</v>
      </c>
      <c r="E96" s="64">
        <v>11.11</v>
      </c>
      <c r="F96" s="64">
        <v>2.13</v>
      </c>
      <c r="G96" s="64">
        <v>241.57</v>
      </c>
      <c r="H96" s="64">
        <v>68.180000000000007</v>
      </c>
      <c r="I96" s="210" t="s">
        <v>43</v>
      </c>
      <c r="J96" s="64">
        <v>1.79</v>
      </c>
      <c r="K96" s="64">
        <v>273.67</v>
      </c>
      <c r="L96" s="64">
        <v>16.850000000000001</v>
      </c>
      <c r="M96" s="64">
        <v>83.11</v>
      </c>
      <c r="N96" s="64">
        <v>71.2</v>
      </c>
      <c r="O96" s="64">
        <v>0</v>
      </c>
      <c r="P96" s="64">
        <v>2.52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2540</v>
      </c>
      <c r="B97" s="64">
        <v>186.47</v>
      </c>
      <c r="C97" s="64">
        <v>85.69</v>
      </c>
      <c r="D97" s="64">
        <v>192.93</v>
      </c>
      <c r="E97" s="64">
        <v>11.08</v>
      </c>
      <c r="F97" s="64">
        <v>2.13</v>
      </c>
      <c r="G97" s="64">
        <v>227.79</v>
      </c>
      <c r="H97" s="64">
        <v>69.95</v>
      </c>
      <c r="I97" s="210" t="s">
        <v>43</v>
      </c>
      <c r="J97" s="64">
        <v>1.41</v>
      </c>
      <c r="K97" s="64">
        <v>275.69</v>
      </c>
      <c r="L97" s="64">
        <v>16.809999999999999</v>
      </c>
      <c r="M97" s="64">
        <v>82.19</v>
      </c>
      <c r="N97" s="64">
        <v>71.099999999999994</v>
      </c>
      <c r="O97" s="64">
        <v>0</v>
      </c>
      <c r="P97" s="64">
        <v>2.5499999999999998</v>
      </c>
      <c r="Q97" s="64">
        <v>9.85</v>
      </c>
      <c r="R97" s="198"/>
      <c r="S97" s="198"/>
      <c r="T97" s="198"/>
      <c r="U97" s="198"/>
    </row>
    <row r="98" spans="1:33" s="12" customFormat="1" x14ac:dyDescent="0.25">
      <c r="A98" s="214" t="s">
        <v>2541</v>
      </c>
      <c r="B98" s="64">
        <v>209.1</v>
      </c>
      <c r="C98" s="64">
        <v>86.31</v>
      </c>
      <c r="D98" s="64">
        <v>211.39</v>
      </c>
      <c r="E98" s="64">
        <v>10.63</v>
      </c>
      <c r="F98" s="64">
        <v>2.13</v>
      </c>
      <c r="G98" s="64">
        <v>227.79</v>
      </c>
      <c r="H98" s="64">
        <v>69.95</v>
      </c>
      <c r="I98" s="210" t="s">
        <v>43</v>
      </c>
      <c r="J98" s="64">
        <v>1.69</v>
      </c>
      <c r="K98" s="64">
        <v>294.22000000000003</v>
      </c>
      <c r="L98" s="64">
        <v>16.63</v>
      </c>
      <c r="M98" s="64">
        <v>82.83</v>
      </c>
      <c r="N98" s="64">
        <v>71.2</v>
      </c>
      <c r="O98" s="64">
        <v>0</v>
      </c>
      <c r="P98" s="64">
        <v>2.64</v>
      </c>
      <c r="Q98" s="64">
        <v>9.85</v>
      </c>
      <c r="R98" s="198"/>
      <c r="S98" s="198"/>
      <c r="T98" s="198"/>
      <c r="U98" s="198"/>
    </row>
    <row r="99" spans="1:33" s="12" customFormat="1" x14ac:dyDescent="0.25">
      <c r="A99" s="214" t="s">
        <v>2542</v>
      </c>
      <c r="B99" s="64">
        <v>225.14</v>
      </c>
      <c r="C99" s="64">
        <v>86.85</v>
      </c>
      <c r="D99" s="64">
        <v>224.55</v>
      </c>
      <c r="E99" s="64">
        <v>10.96</v>
      </c>
      <c r="F99" s="64">
        <v>2.13</v>
      </c>
      <c r="G99" s="64">
        <v>227.79</v>
      </c>
      <c r="H99" s="64">
        <v>69.95</v>
      </c>
      <c r="I99" s="210" t="s">
        <v>43</v>
      </c>
      <c r="J99" s="64">
        <v>1.72</v>
      </c>
      <c r="K99" s="64">
        <v>309.63</v>
      </c>
      <c r="L99" s="64">
        <v>16.37</v>
      </c>
      <c r="M99" s="64">
        <v>81.849999999999994</v>
      </c>
      <c r="N99" s="64">
        <v>71</v>
      </c>
      <c r="O99" s="64">
        <v>0</v>
      </c>
      <c r="P99" s="64">
        <v>2.77</v>
      </c>
      <c r="Q99" s="64">
        <v>9.9700000000000006</v>
      </c>
      <c r="R99" s="198"/>
      <c r="S99" s="198"/>
      <c r="T99" s="198"/>
      <c r="U99" s="198"/>
    </row>
    <row r="100" spans="1:33" s="12" customFormat="1" x14ac:dyDescent="0.25">
      <c r="A100" s="214" t="s">
        <v>2543</v>
      </c>
      <c r="B100" s="64">
        <v>236.74</v>
      </c>
      <c r="C100" s="64">
        <v>86.64</v>
      </c>
      <c r="D100" s="64">
        <v>233.74</v>
      </c>
      <c r="E100" s="64">
        <v>11.04</v>
      </c>
      <c r="F100" s="64">
        <v>2.13</v>
      </c>
      <c r="G100" s="64">
        <v>211.35</v>
      </c>
      <c r="H100" s="64">
        <v>63.63</v>
      </c>
      <c r="I100" s="210" t="s">
        <v>43</v>
      </c>
      <c r="J100" s="64">
        <v>1.77</v>
      </c>
      <c r="K100" s="64">
        <v>328.67</v>
      </c>
      <c r="L100" s="64">
        <v>16.54</v>
      </c>
      <c r="M100" s="64">
        <v>78.040000000000006</v>
      </c>
      <c r="N100" s="64">
        <v>71</v>
      </c>
      <c r="O100" s="64">
        <v>0</v>
      </c>
      <c r="P100" s="64">
        <v>2.85</v>
      </c>
      <c r="Q100" s="64">
        <v>10.1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2544</v>
      </c>
      <c r="B101" s="64">
        <v>237.39</v>
      </c>
      <c r="C101" s="64">
        <v>85.36</v>
      </c>
      <c r="D101" s="64">
        <v>233.59</v>
      </c>
      <c r="E101" s="64">
        <v>10.7</v>
      </c>
      <c r="F101" s="64">
        <v>2.13</v>
      </c>
      <c r="G101" s="64">
        <v>191.7</v>
      </c>
      <c r="H101" s="64">
        <v>56.07</v>
      </c>
      <c r="I101" s="210" t="s">
        <v>43</v>
      </c>
      <c r="J101" s="64">
        <v>1.79</v>
      </c>
      <c r="K101" s="64">
        <v>315.3</v>
      </c>
      <c r="L101" s="64">
        <v>16.48</v>
      </c>
      <c r="M101" s="64">
        <v>74.64</v>
      </c>
      <c r="N101" s="64">
        <v>70.8</v>
      </c>
      <c r="O101" s="64">
        <v>0</v>
      </c>
      <c r="P101" s="64">
        <v>2.76</v>
      </c>
      <c r="Q101" s="64">
        <v>10.23</v>
      </c>
      <c r="R101" s="198"/>
      <c r="S101" s="198"/>
      <c r="T101" s="198"/>
      <c r="U101" s="198"/>
    </row>
    <row r="102" spans="1:33" s="12" customFormat="1" x14ac:dyDescent="0.25">
      <c r="A102" s="214" t="s">
        <v>2545</v>
      </c>
      <c r="B102" s="64">
        <v>229.26</v>
      </c>
      <c r="C102" s="64">
        <v>83.84</v>
      </c>
      <c r="D102" s="64">
        <v>226.27</v>
      </c>
      <c r="E102" s="64">
        <v>9.9499999999999993</v>
      </c>
      <c r="F102" s="64">
        <v>2.13</v>
      </c>
      <c r="G102" s="64">
        <v>191.7</v>
      </c>
      <c r="H102" s="64">
        <v>56.07</v>
      </c>
      <c r="I102" s="210" t="s">
        <v>43</v>
      </c>
      <c r="J102" s="64">
        <v>1.82</v>
      </c>
      <c r="K102" s="64">
        <v>258.49</v>
      </c>
      <c r="L102" s="64">
        <v>16.8</v>
      </c>
      <c r="M102" s="64">
        <v>69.23</v>
      </c>
      <c r="N102" s="64">
        <v>71.099999999999994</v>
      </c>
      <c r="O102" s="64">
        <v>0</v>
      </c>
      <c r="P102" s="64">
        <v>2.75</v>
      </c>
      <c r="Q102" s="64">
        <v>10.3</v>
      </c>
      <c r="R102" s="198"/>
      <c r="S102" s="198"/>
      <c r="T102" s="198"/>
      <c r="U102" s="198"/>
    </row>
    <row r="103" spans="1:33" s="12" customFormat="1" x14ac:dyDescent="0.25">
      <c r="A103" s="214" t="s">
        <v>2546</v>
      </c>
      <c r="B103" s="64">
        <v>218.69</v>
      </c>
      <c r="C103" s="64">
        <v>82.62</v>
      </c>
      <c r="D103" s="64">
        <v>217.16</v>
      </c>
      <c r="E103" s="64">
        <v>9.81</v>
      </c>
      <c r="F103" s="64">
        <v>2.13</v>
      </c>
      <c r="G103" s="64">
        <v>191.7</v>
      </c>
      <c r="H103" s="64">
        <v>56.07</v>
      </c>
      <c r="I103" s="210" t="s">
        <v>43</v>
      </c>
      <c r="J103" s="64">
        <v>1.78</v>
      </c>
      <c r="K103" s="64">
        <v>274.77999999999997</v>
      </c>
      <c r="L103" s="64">
        <v>16.66</v>
      </c>
      <c r="M103" s="64">
        <v>68.16</v>
      </c>
      <c r="N103" s="64">
        <v>71.3</v>
      </c>
      <c r="O103" s="64">
        <v>0</v>
      </c>
      <c r="P103" s="64">
        <v>2.66</v>
      </c>
      <c r="Q103" s="64">
        <v>10.25</v>
      </c>
      <c r="R103" s="198"/>
      <c r="S103" s="198"/>
      <c r="T103" s="198"/>
      <c r="U103" s="198"/>
    </row>
    <row r="104" spans="1:33" s="12" customFormat="1" x14ac:dyDescent="0.25">
      <c r="A104" s="214" t="s">
        <v>2547</v>
      </c>
      <c r="B104" s="64">
        <v>209.52</v>
      </c>
      <c r="C104" s="64">
        <v>76.5</v>
      </c>
      <c r="D104" s="64">
        <v>206.61</v>
      </c>
      <c r="E104" s="64">
        <v>7.97</v>
      </c>
      <c r="F104" s="64">
        <v>2.13</v>
      </c>
      <c r="G104" s="64">
        <v>149.07</v>
      </c>
      <c r="H104" s="64">
        <v>51.5</v>
      </c>
      <c r="I104" s="210" t="s">
        <v>43</v>
      </c>
      <c r="J104" s="64">
        <v>0.73</v>
      </c>
      <c r="K104" s="64">
        <v>288.66000000000003</v>
      </c>
      <c r="L104" s="64">
        <v>16.440000000000001</v>
      </c>
      <c r="M104" s="64">
        <v>69.72</v>
      </c>
      <c r="N104" s="64">
        <v>71.2</v>
      </c>
      <c r="O104" s="64">
        <v>0</v>
      </c>
      <c r="P104" s="64">
        <v>2.4</v>
      </c>
      <c r="Q104" s="64">
        <v>10.25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4.9000000000000004</v>
      </c>
      <c r="C106" s="67">
        <f>MIN(C9:C104)</f>
        <v>57.32</v>
      </c>
      <c r="D106" s="67">
        <f t="shared" ref="D106:Q106" si="0">MIN(D9:D104)</f>
        <v>42.95</v>
      </c>
      <c r="E106" s="67">
        <f t="shared" si="0"/>
        <v>4.54</v>
      </c>
      <c r="F106" s="67">
        <f t="shared" si="0"/>
        <v>2.13</v>
      </c>
      <c r="G106" s="67">
        <f t="shared" si="0"/>
        <v>53.61</v>
      </c>
      <c r="H106" s="67">
        <f t="shared" si="0"/>
        <v>50.32</v>
      </c>
      <c r="I106" s="67">
        <f t="shared" si="0"/>
        <v>0</v>
      </c>
      <c r="J106" s="67">
        <f t="shared" si="0"/>
        <v>0.12</v>
      </c>
      <c r="K106" s="67">
        <f t="shared" si="0"/>
        <v>0.81</v>
      </c>
      <c r="L106" s="67">
        <f t="shared" si="0"/>
        <v>13.22</v>
      </c>
      <c r="M106" s="67">
        <f t="shared" si="0"/>
        <v>28.91</v>
      </c>
      <c r="N106" s="67">
        <f t="shared" si="0"/>
        <v>70.8</v>
      </c>
      <c r="O106" s="67">
        <f t="shared" si="0"/>
        <v>0</v>
      </c>
      <c r="P106" s="67">
        <f t="shared" si="0"/>
        <v>0.81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237.39</v>
      </c>
      <c r="C107" s="66">
        <f t="shared" ref="C107:Q107" si="1">MAX(C9:C104)</f>
        <v>90.55</v>
      </c>
      <c r="D107" s="66">
        <f t="shared" si="1"/>
        <v>233.74</v>
      </c>
      <c r="E107" s="66">
        <f t="shared" si="1"/>
        <v>11.11</v>
      </c>
      <c r="F107" s="66">
        <f t="shared" si="1"/>
        <v>2.3199999999999998</v>
      </c>
      <c r="G107" s="66">
        <f t="shared" si="1"/>
        <v>253.1</v>
      </c>
      <c r="H107" s="66">
        <f t="shared" si="1"/>
        <v>72.8</v>
      </c>
      <c r="I107" s="66">
        <f t="shared" si="1"/>
        <v>0</v>
      </c>
      <c r="J107" s="66">
        <f t="shared" si="1"/>
        <v>2.86</v>
      </c>
      <c r="K107" s="66">
        <f t="shared" si="1"/>
        <v>356.14</v>
      </c>
      <c r="L107" s="66">
        <f t="shared" si="1"/>
        <v>30.53</v>
      </c>
      <c r="M107" s="66">
        <f t="shared" si="1"/>
        <v>103.55</v>
      </c>
      <c r="N107" s="66">
        <f t="shared" si="1"/>
        <v>631.20000000000005</v>
      </c>
      <c r="O107" s="66">
        <f t="shared" si="1"/>
        <v>0</v>
      </c>
      <c r="P107" s="66">
        <f t="shared" si="1"/>
        <v>2.85</v>
      </c>
      <c r="Q107" s="66">
        <f t="shared" si="1"/>
        <v>10.3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62.956041666666671</v>
      </c>
      <c r="C108" s="67">
        <f t="shared" ref="C108:Q108" si="2">AVERAGE(C9:C104)</f>
        <v>75.558645833333358</v>
      </c>
      <c r="D108" s="67">
        <f t="shared" si="2"/>
        <v>88.585833333333369</v>
      </c>
      <c r="E108" s="67">
        <f t="shared" si="2"/>
        <v>7.7407291666666653</v>
      </c>
      <c r="F108" s="67">
        <f t="shared" si="2"/>
        <v>2.1327083333333308</v>
      </c>
      <c r="G108" s="67">
        <f t="shared" si="2"/>
        <v>154.45572916666674</v>
      </c>
      <c r="H108" s="67">
        <f t="shared" si="2"/>
        <v>61.185957446808509</v>
      </c>
      <c r="I108" s="67" t="e">
        <f t="shared" si="2"/>
        <v>#DIV/0!</v>
      </c>
      <c r="J108" s="67">
        <f t="shared" si="2"/>
        <v>1.6519791666666668</v>
      </c>
      <c r="K108" s="67">
        <f t="shared" si="2"/>
        <v>283.89739583333323</v>
      </c>
      <c r="L108" s="67">
        <f t="shared" si="2"/>
        <v>20.12052083333332</v>
      </c>
      <c r="M108" s="67">
        <f t="shared" si="2"/>
        <v>66.516666666666694</v>
      </c>
      <c r="N108" s="67">
        <f t="shared" si="2"/>
        <v>190.81145833333335</v>
      </c>
      <c r="O108" s="67">
        <f t="shared" si="2"/>
        <v>0</v>
      </c>
      <c r="P108" s="67">
        <f t="shared" si="2"/>
        <v>1.5623958333333334</v>
      </c>
      <c r="Q108" s="67">
        <f t="shared" si="2"/>
        <v>8.5926041666666713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57.945133731091126</v>
      </c>
      <c r="C109" s="67">
        <f t="shared" ref="C109:Q109" si="3">STDEV(C9:C104)</f>
        <v>11.055308191070935</v>
      </c>
      <c r="D109" s="67">
        <f t="shared" si="3"/>
        <v>47.7589847522055</v>
      </c>
      <c r="E109" s="67">
        <f t="shared" si="3"/>
        <v>1.6872495493158945</v>
      </c>
      <c r="F109" s="67">
        <f t="shared" si="3"/>
        <v>1.997256890767762E-2</v>
      </c>
      <c r="G109" s="67">
        <f t="shared" si="3"/>
        <v>60.632761124394925</v>
      </c>
      <c r="H109" s="67">
        <f t="shared" si="3"/>
        <v>7.5876340070036372</v>
      </c>
      <c r="I109" s="67" t="e">
        <f t="shared" si="3"/>
        <v>#DIV/0!</v>
      </c>
      <c r="J109" s="67">
        <f t="shared" si="3"/>
        <v>0.6624748174624685</v>
      </c>
      <c r="K109" s="67">
        <f t="shared" si="3"/>
        <v>64.63451375957294</v>
      </c>
      <c r="L109" s="67">
        <f t="shared" si="3"/>
        <v>5.720064660987461</v>
      </c>
      <c r="M109" s="67">
        <f t="shared" si="3"/>
        <v>26.343992490715447</v>
      </c>
      <c r="N109" s="67">
        <f t="shared" si="3"/>
        <v>183.33849962916119</v>
      </c>
      <c r="O109" s="67">
        <f t="shared" si="3"/>
        <v>0</v>
      </c>
      <c r="P109" s="67">
        <f t="shared" si="3"/>
        <v>0.49650302334727259</v>
      </c>
      <c r="Q109" s="67">
        <f t="shared" si="3"/>
        <v>0.61827816051671225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COUNT(H9:H104)+49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2548</v>
      </c>
      <c r="B9" s="64">
        <v>202.64</v>
      </c>
      <c r="C9" s="64">
        <v>74.78</v>
      </c>
      <c r="D9" s="64">
        <v>200.2</v>
      </c>
      <c r="E9" s="64">
        <v>8.44</v>
      </c>
      <c r="F9" s="64">
        <v>2.13</v>
      </c>
      <c r="G9" s="64">
        <v>98.12</v>
      </c>
      <c r="H9" s="64">
        <v>46.03</v>
      </c>
      <c r="I9" s="210" t="s">
        <v>43</v>
      </c>
      <c r="J9" s="64">
        <v>1.82</v>
      </c>
      <c r="K9" s="64">
        <v>293.64999999999998</v>
      </c>
      <c r="L9" s="64">
        <v>16.23</v>
      </c>
      <c r="M9" s="64">
        <v>70.400000000000006</v>
      </c>
      <c r="N9" s="64">
        <v>71</v>
      </c>
      <c r="O9" s="64">
        <v>0</v>
      </c>
      <c r="P9" s="64">
        <v>2.3199999999999998</v>
      </c>
      <c r="Q9" s="64">
        <v>10.210000000000001</v>
      </c>
      <c r="R9" s="198"/>
      <c r="S9" s="198"/>
      <c r="T9" s="198"/>
      <c r="U9" s="198"/>
    </row>
    <row r="10" spans="1:21" s="12" customFormat="1" x14ac:dyDescent="0.25">
      <c r="A10" s="214" t="s">
        <v>2549</v>
      </c>
      <c r="B10" s="64">
        <v>195.17</v>
      </c>
      <c r="C10" s="64">
        <v>74.3</v>
      </c>
      <c r="D10" s="64">
        <v>193.95</v>
      </c>
      <c r="E10" s="64">
        <v>8.19</v>
      </c>
      <c r="F10" s="64">
        <v>2.13</v>
      </c>
      <c r="G10" s="64">
        <v>98.12</v>
      </c>
      <c r="H10" s="64">
        <v>46.03</v>
      </c>
      <c r="I10" s="210" t="s">
        <v>43</v>
      </c>
      <c r="J10" s="64">
        <v>1.55</v>
      </c>
      <c r="K10" s="64">
        <v>281.54000000000002</v>
      </c>
      <c r="L10" s="64">
        <v>16.12</v>
      </c>
      <c r="M10" s="64">
        <v>72.05</v>
      </c>
      <c r="N10" s="64">
        <v>70.900000000000006</v>
      </c>
      <c r="O10" s="64">
        <v>0</v>
      </c>
      <c r="P10" s="64">
        <v>2.2400000000000002</v>
      </c>
      <c r="Q10" s="64">
        <v>10.19</v>
      </c>
      <c r="R10" s="198"/>
      <c r="S10" s="198"/>
      <c r="T10" s="198"/>
      <c r="U10" s="198"/>
    </row>
    <row r="11" spans="1:21" s="12" customFormat="1" x14ac:dyDescent="0.25">
      <c r="A11" s="214" t="s">
        <v>2550</v>
      </c>
      <c r="B11" s="64">
        <v>187.52</v>
      </c>
      <c r="C11" s="64">
        <v>72.75</v>
      </c>
      <c r="D11" s="64">
        <v>187.01</v>
      </c>
      <c r="E11" s="64">
        <v>8.18</v>
      </c>
      <c r="F11" s="64">
        <v>2.13</v>
      </c>
      <c r="G11" s="64">
        <v>98.12</v>
      </c>
      <c r="H11" s="64">
        <v>46.03</v>
      </c>
      <c r="I11" s="210" t="s">
        <v>43</v>
      </c>
      <c r="J11" s="64">
        <v>0.94</v>
      </c>
      <c r="K11" s="64">
        <v>315.69</v>
      </c>
      <c r="L11" s="64">
        <v>15.93</v>
      </c>
      <c r="M11" s="64">
        <v>74.06</v>
      </c>
      <c r="N11" s="64">
        <v>71.2</v>
      </c>
      <c r="O11" s="64">
        <v>0</v>
      </c>
      <c r="P11" s="64">
        <v>2.3199999999999998</v>
      </c>
      <c r="Q11" s="64">
        <v>10.130000000000001</v>
      </c>
      <c r="R11" s="198"/>
      <c r="S11" s="198"/>
      <c r="T11" s="198"/>
      <c r="U11" s="198"/>
    </row>
    <row r="12" spans="1:21" s="12" customFormat="1" x14ac:dyDescent="0.25">
      <c r="A12" s="214" t="s">
        <v>2551</v>
      </c>
      <c r="B12" s="64">
        <v>179.88</v>
      </c>
      <c r="C12" s="64">
        <v>71.599999999999994</v>
      </c>
      <c r="D12" s="64">
        <v>180.28</v>
      </c>
      <c r="E12" s="64">
        <v>7.48</v>
      </c>
      <c r="F12" s="64">
        <v>2.13</v>
      </c>
      <c r="G12" s="64">
        <v>88.94</v>
      </c>
      <c r="H12" s="64">
        <v>36.76</v>
      </c>
      <c r="I12" s="210" t="s">
        <v>43</v>
      </c>
      <c r="J12" s="64">
        <v>0.27</v>
      </c>
      <c r="K12" s="64">
        <v>2.13</v>
      </c>
      <c r="L12" s="64">
        <v>15.93</v>
      </c>
      <c r="M12" s="64">
        <v>77.84</v>
      </c>
      <c r="N12" s="64">
        <v>70.900000000000006</v>
      </c>
      <c r="O12" s="64">
        <v>0</v>
      </c>
      <c r="P12" s="64">
        <v>2.13</v>
      </c>
      <c r="Q12" s="64">
        <v>10.06</v>
      </c>
      <c r="R12" s="198"/>
      <c r="S12" s="198"/>
      <c r="T12" s="198"/>
      <c r="U12" s="198"/>
    </row>
    <row r="13" spans="1:21" s="12" customFormat="1" x14ac:dyDescent="0.25">
      <c r="A13" s="214" t="s">
        <v>2552</v>
      </c>
      <c r="B13" s="64">
        <v>172.65</v>
      </c>
      <c r="C13" s="64">
        <v>69.8</v>
      </c>
      <c r="D13" s="64">
        <v>173.54</v>
      </c>
      <c r="E13" s="64">
        <v>7.79</v>
      </c>
      <c r="F13" s="64">
        <v>2.13</v>
      </c>
      <c r="G13" s="64">
        <v>77.959999999999994</v>
      </c>
      <c r="H13" s="64">
        <v>25.68</v>
      </c>
      <c r="I13" s="210" t="s">
        <v>43</v>
      </c>
      <c r="J13" s="64">
        <v>0.35</v>
      </c>
      <c r="K13" s="64">
        <v>203.68</v>
      </c>
      <c r="L13" s="64">
        <v>15.78</v>
      </c>
      <c r="M13" s="64">
        <v>79.03</v>
      </c>
      <c r="N13" s="64">
        <v>71</v>
      </c>
      <c r="O13" s="64">
        <v>0</v>
      </c>
      <c r="P13" s="64">
        <v>1.92</v>
      </c>
      <c r="Q13" s="64">
        <v>10.01</v>
      </c>
      <c r="R13" s="198"/>
      <c r="S13" s="198"/>
      <c r="T13" s="198"/>
      <c r="U13" s="198"/>
    </row>
    <row r="14" spans="1:21" s="12" customFormat="1" x14ac:dyDescent="0.25">
      <c r="A14" s="214" t="s">
        <v>2553</v>
      </c>
      <c r="B14" s="64">
        <v>165.18</v>
      </c>
      <c r="C14" s="64">
        <v>68.010000000000005</v>
      </c>
      <c r="D14" s="64">
        <v>166.62</v>
      </c>
      <c r="E14" s="64">
        <v>7.64</v>
      </c>
      <c r="F14" s="64">
        <v>2.13</v>
      </c>
      <c r="G14" s="64">
        <v>77.959999999999994</v>
      </c>
      <c r="H14" s="64">
        <v>25.68</v>
      </c>
      <c r="I14" s="210" t="s">
        <v>43</v>
      </c>
      <c r="J14" s="64">
        <v>1.26</v>
      </c>
      <c r="K14" s="64">
        <v>318.43</v>
      </c>
      <c r="L14" s="64">
        <v>15.83</v>
      </c>
      <c r="M14" s="64">
        <v>77.430000000000007</v>
      </c>
      <c r="N14" s="64">
        <v>71</v>
      </c>
      <c r="O14" s="64">
        <v>0</v>
      </c>
      <c r="P14" s="64">
        <v>1.83</v>
      </c>
      <c r="Q14" s="64">
        <v>9.9600000000000009</v>
      </c>
      <c r="R14" s="198"/>
      <c r="S14" s="198"/>
      <c r="T14" s="198"/>
      <c r="U14" s="198"/>
    </row>
    <row r="15" spans="1:21" s="12" customFormat="1" x14ac:dyDescent="0.25">
      <c r="A15" s="214" t="s">
        <v>2554</v>
      </c>
      <c r="B15" s="64">
        <v>157.93</v>
      </c>
      <c r="C15" s="64">
        <v>66.59</v>
      </c>
      <c r="D15" s="64">
        <v>160.06</v>
      </c>
      <c r="E15" s="64">
        <v>7.36</v>
      </c>
      <c r="F15" s="64">
        <v>2.13</v>
      </c>
      <c r="G15" s="64">
        <v>77.959999999999994</v>
      </c>
      <c r="H15" s="64">
        <v>25.68</v>
      </c>
      <c r="I15" s="210" t="s">
        <v>43</v>
      </c>
      <c r="J15" s="64">
        <v>1</v>
      </c>
      <c r="K15" s="64">
        <v>49.35</v>
      </c>
      <c r="L15" s="64">
        <v>15.81</v>
      </c>
      <c r="M15" s="64">
        <v>76.13</v>
      </c>
      <c r="N15" s="64">
        <v>70.900000000000006</v>
      </c>
      <c r="O15" s="64">
        <v>0</v>
      </c>
      <c r="P15" s="64">
        <v>1.89</v>
      </c>
      <c r="Q15" s="64">
        <v>9.93</v>
      </c>
      <c r="R15" s="198"/>
      <c r="S15" s="198"/>
      <c r="T15" s="198"/>
      <c r="U15" s="198"/>
    </row>
    <row r="16" spans="1:21" s="12" customFormat="1" x14ac:dyDescent="0.25">
      <c r="A16" s="214" t="s">
        <v>2555</v>
      </c>
      <c r="B16" s="64">
        <v>150.58000000000001</v>
      </c>
      <c r="C16" s="64">
        <v>66.89</v>
      </c>
      <c r="D16" s="64">
        <v>154.33000000000001</v>
      </c>
      <c r="E16" s="64">
        <v>7.17</v>
      </c>
      <c r="F16" s="64">
        <v>2.13</v>
      </c>
      <c r="G16" s="64">
        <v>77.709999999999994</v>
      </c>
      <c r="H16" s="64">
        <v>28.37</v>
      </c>
      <c r="I16" s="210" t="s">
        <v>43</v>
      </c>
      <c r="J16" s="64">
        <v>1.68</v>
      </c>
      <c r="K16" s="64">
        <v>343.05</v>
      </c>
      <c r="L16" s="64">
        <v>15.74</v>
      </c>
      <c r="M16" s="64">
        <v>76.989999999999995</v>
      </c>
      <c r="N16" s="64">
        <v>71.2</v>
      </c>
      <c r="O16" s="64">
        <v>0</v>
      </c>
      <c r="P16" s="64">
        <v>1.96</v>
      </c>
      <c r="Q16" s="64">
        <v>9.9</v>
      </c>
      <c r="R16" s="198"/>
      <c r="S16" s="198"/>
      <c r="T16" s="198"/>
      <c r="U16" s="198"/>
    </row>
    <row r="17" spans="1:21" s="12" customFormat="1" x14ac:dyDescent="0.25">
      <c r="A17" s="214" t="s">
        <v>2556</v>
      </c>
      <c r="B17" s="64">
        <v>142.93</v>
      </c>
      <c r="C17" s="64">
        <v>67.27</v>
      </c>
      <c r="D17" s="64">
        <v>148.38999999999999</v>
      </c>
      <c r="E17" s="64">
        <v>7.19</v>
      </c>
      <c r="F17" s="64">
        <v>2.13</v>
      </c>
      <c r="G17" s="64">
        <v>77.400000000000006</v>
      </c>
      <c r="H17" s="64">
        <v>31.57</v>
      </c>
      <c r="I17" s="210" t="s">
        <v>43</v>
      </c>
      <c r="J17" s="64">
        <v>1.54</v>
      </c>
      <c r="K17" s="64">
        <v>356.01</v>
      </c>
      <c r="L17" s="64">
        <v>15.35</v>
      </c>
      <c r="M17" s="64">
        <v>79.56</v>
      </c>
      <c r="N17" s="64">
        <v>71.2</v>
      </c>
      <c r="O17" s="64">
        <v>0</v>
      </c>
      <c r="P17" s="64">
        <v>1.85</v>
      </c>
      <c r="Q17" s="64">
        <v>9.8800000000000008</v>
      </c>
      <c r="R17" s="198"/>
      <c r="S17" s="198"/>
      <c r="T17" s="198"/>
      <c r="U17" s="198"/>
    </row>
    <row r="18" spans="1:21" s="12" customFormat="1" x14ac:dyDescent="0.25">
      <c r="A18" s="214" t="s">
        <v>2557</v>
      </c>
      <c r="B18" s="64">
        <v>134.33000000000001</v>
      </c>
      <c r="C18" s="64">
        <v>67.12</v>
      </c>
      <c r="D18" s="64">
        <v>141.41</v>
      </c>
      <c r="E18" s="64">
        <v>6.97</v>
      </c>
      <c r="F18" s="64">
        <v>2.13</v>
      </c>
      <c r="G18" s="64">
        <v>77.400000000000006</v>
      </c>
      <c r="H18" s="64">
        <v>31.57</v>
      </c>
      <c r="I18" s="210" t="s">
        <v>43</v>
      </c>
      <c r="J18" s="64">
        <v>1.47</v>
      </c>
      <c r="K18" s="64">
        <v>354.14</v>
      </c>
      <c r="L18" s="64">
        <v>15.16</v>
      </c>
      <c r="M18" s="64">
        <v>79</v>
      </c>
      <c r="N18" s="64">
        <v>70.8</v>
      </c>
      <c r="O18" s="64">
        <v>0</v>
      </c>
      <c r="P18" s="64">
        <v>1.78</v>
      </c>
      <c r="Q18" s="64">
        <v>9.86</v>
      </c>
      <c r="R18" s="198"/>
      <c r="S18" s="198"/>
      <c r="T18" s="198"/>
      <c r="U18" s="198"/>
    </row>
    <row r="19" spans="1:21" s="12" customFormat="1" x14ac:dyDescent="0.25">
      <c r="A19" s="214" t="s">
        <v>2558</v>
      </c>
      <c r="B19" s="64">
        <v>125.51</v>
      </c>
      <c r="C19" s="64">
        <v>66.819999999999993</v>
      </c>
      <c r="D19" s="64">
        <v>134.19</v>
      </c>
      <c r="E19" s="64">
        <v>6.78</v>
      </c>
      <c r="F19" s="64">
        <v>2.13</v>
      </c>
      <c r="G19" s="64">
        <v>77.400000000000006</v>
      </c>
      <c r="H19" s="64">
        <v>31.57</v>
      </c>
      <c r="I19" s="210" t="s">
        <v>43</v>
      </c>
      <c r="J19" s="64">
        <v>1.3</v>
      </c>
      <c r="K19" s="64">
        <v>353.1</v>
      </c>
      <c r="L19" s="64">
        <v>15.28</v>
      </c>
      <c r="M19" s="64">
        <v>76.819999999999993</v>
      </c>
      <c r="N19" s="64">
        <v>71</v>
      </c>
      <c r="O19" s="64">
        <v>0</v>
      </c>
      <c r="P19" s="64">
        <v>1.71</v>
      </c>
      <c r="Q19" s="64">
        <v>9.83</v>
      </c>
      <c r="R19" s="198"/>
      <c r="S19" s="198"/>
      <c r="T19" s="198"/>
      <c r="U19" s="198"/>
    </row>
    <row r="20" spans="1:21" s="12" customFormat="1" x14ac:dyDescent="0.25">
      <c r="A20" s="214" t="s">
        <v>2559</v>
      </c>
      <c r="B20" s="64">
        <v>117.35</v>
      </c>
      <c r="C20" s="64">
        <v>66.400000000000006</v>
      </c>
      <c r="D20" s="64">
        <v>127.42</v>
      </c>
      <c r="E20" s="64">
        <v>6.7</v>
      </c>
      <c r="F20" s="64">
        <v>2.13</v>
      </c>
      <c r="G20" s="64">
        <v>77.39</v>
      </c>
      <c r="H20" s="64">
        <v>35.17</v>
      </c>
      <c r="I20" s="210" t="s">
        <v>43</v>
      </c>
      <c r="J20" s="64">
        <v>1.24</v>
      </c>
      <c r="K20" s="64">
        <v>359.14</v>
      </c>
      <c r="L20" s="64">
        <v>15.18</v>
      </c>
      <c r="M20" s="64">
        <v>77.709999999999994</v>
      </c>
      <c r="N20" s="64">
        <v>71.099999999999994</v>
      </c>
      <c r="O20" s="64">
        <v>0</v>
      </c>
      <c r="P20" s="64">
        <v>1.63</v>
      </c>
      <c r="Q20" s="64">
        <v>9.8000000000000007</v>
      </c>
      <c r="R20" s="198"/>
      <c r="S20" s="198"/>
      <c r="T20" s="198"/>
      <c r="U20" s="198"/>
    </row>
    <row r="21" spans="1:21" s="12" customFormat="1" x14ac:dyDescent="0.25">
      <c r="A21" s="214" t="s">
        <v>2560</v>
      </c>
      <c r="B21" s="64">
        <v>109.91</v>
      </c>
      <c r="C21" s="64">
        <v>65.989999999999995</v>
      </c>
      <c r="D21" s="64">
        <v>121.25</v>
      </c>
      <c r="E21" s="64">
        <v>6.67</v>
      </c>
      <c r="F21" s="64">
        <v>2.13</v>
      </c>
      <c r="G21" s="64">
        <v>77.38</v>
      </c>
      <c r="H21" s="64">
        <v>39.46</v>
      </c>
      <c r="I21" s="210" t="s">
        <v>43</v>
      </c>
      <c r="J21" s="64">
        <v>1.32</v>
      </c>
      <c r="K21" s="64">
        <v>50.63</v>
      </c>
      <c r="L21" s="64">
        <v>14.92</v>
      </c>
      <c r="M21" s="64">
        <v>79.47</v>
      </c>
      <c r="N21" s="64">
        <v>71.099999999999994</v>
      </c>
      <c r="O21" s="64">
        <v>0</v>
      </c>
      <c r="P21" s="64">
        <v>1.56</v>
      </c>
      <c r="Q21" s="64">
        <v>9.7799999999999994</v>
      </c>
      <c r="R21" s="198"/>
      <c r="S21" s="198"/>
      <c r="T21" s="198"/>
      <c r="U21" s="198"/>
    </row>
    <row r="22" spans="1:21" s="12" customFormat="1" x14ac:dyDescent="0.25">
      <c r="A22" s="214" t="s">
        <v>2561</v>
      </c>
      <c r="B22" s="64">
        <v>102.81</v>
      </c>
      <c r="C22" s="64">
        <v>65.75</v>
      </c>
      <c r="D22" s="64">
        <v>115.42</v>
      </c>
      <c r="E22" s="64">
        <v>6.2</v>
      </c>
      <c r="F22" s="64">
        <v>2.13</v>
      </c>
      <c r="G22" s="64">
        <v>77.38</v>
      </c>
      <c r="H22" s="64">
        <v>39.46</v>
      </c>
      <c r="I22" s="210" t="s">
        <v>43</v>
      </c>
      <c r="J22" s="64">
        <v>1.37</v>
      </c>
      <c r="K22" s="64">
        <v>136.9</v>
      </c>
      <c r="L22" s="64">
        <v>14.92</v>
      </c>
      <c r="M22" s="64">
        <v>80.83</v>
      </c>
      <c r="N22" s="64">
        <v>71</v>
      </c>
      <c r="O22" s="64">
        <v>0</v>
      </c>
      <c r="P22" s="64">
        <v>1.5</v>
      </c>
      <c r="Q22" s="64">
        <v>9.7200000000000006</v>
      </c>
      <c r="R22" s="198"/>
      <c r="S22" s="198"/>
      <c r="T22" s="198"/>
      <c r="U22" s="198"/>
    </row>
    <row r="23" spans="1:21" s="12" customFormat="1" x14ac:dyDescent="0.25">
      <c r="A23" s="214" t="s">
        <v>2562</v>
      </c>
      <c r="B23" s="64">
        <v>96.11</v>
      </c>
      <c r="C23" s="64">
        <v>65.44</v>
      </c>
      <c r="D23" s="64">
        <v>109.89</v>
      </c>
      <c r="E23" s="64">
        <v>6.05</v>
      </c>
      <c r="F23" s="64">
        <v>2.13</v>
      </c>
      <c r="G23" s="64">
        <v>77.38</v>
      </c>
      <c r="H23" s="64">
        <v>39.46</v>
      </c>
      <c r="I23" s="210" t="s">
        <v>43</v>
      </c>
      <c r="J23" s="64">
        <v>1.78</v>
      </c>
      <c r="K23" s="64">
        <v>321.58</v>
      </c>
      <c r="L23" s="64">
        <v>14.57</v>
      </c>
      <c r="M23" s="64">
        <v>84.28</v>
      </c>
      <c r="N23" s="64">
        <v>71.3</v>
      </c>
      <c r="O23" s="64">
        <v>0</v>
      </c>
      <c r="P23" s="64">
        <v>1.44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4" t="s">
        <v>2563</v>
      </c>
      <c r="B24" s="64">
        <v>90.46</v>
      </c>
      <c r="C24" s="64">
        <v>64.78</v>
      </c>
      <c r="D24" s="64">
        <v>105.01</v>
      </c>
      <c r="E24" s="64">
        <v>5.9</v>
      </c>
      <c r="F24" s="64">
        <v>2.13</v>
      </c>
      <c r="G24" s="64">
        <v>73.38</v>
      </c>
      <c r="H24" s="64">
        <v>33.78</v>
      </c>
      <c r="I24" s="210" t="s">
        <v>43</v>
      </c>
      <c r="J24" s="64">
        <v>1.82</v>
      </c>
      <c r="K24" s="64">
        <v>320.83</v>
      </c>
      <c r="L24" s="64">
        <v>14.34</v>
      </c>
      <c r="M24" s="64">
        <v>86.99</v>
      </c>
      <c r="N24" s="64">
        <v>71.2</v>
      </c>
      <c r="O24" s="64">
        <v>0</v>
      </c>
      <c r="P24" s="64">
        <v>1.3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2564</v>
      </c>
      <c r="B25" s="64">
        <v>86</v>
      </c>
      <c r="C25" s="64">
        <v>60.64</v>
      </c>
      <c r="D25" s="64">
        <v>99.27</v>
      </c>
      <c r="E25" s="64">
        <v>5.81</v>
      </c>
      <c r="F25" s="64">
        <v>2.13</v>
      </c>
      <c r="G25" s="64">
        <v>68.61</v>
      </c>
      <c r="H25" s="64">
        <v>26.98</v>
      </c>
      <c r="I25" s="210" t="s">
        <v>43</v>
      </c>
      <c r="J25" s="64">
        <v>0.56000000000000005</v>
      </c>
      <c r="K25" s="64">
        <v>6.77</v>
      </c>
      <c r="L25" s="64">
        <v>14.26</v>
      </c>
      <c r="M25" s="64">
        <v>86.58</v>
      </c>
      <c r="N25" s="64">
        <v>71.099999999999994</v>
      </c>
      <c r="O25" s="64">
        <v>0</v>
      </c>
      <c r="P25" s="64">
        <v>1.27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4" t="s">
        <v>2565</v>
      </c>
      <c r="B26" s="64">
        <v>81.849999999999994</v>
      </c>
      <c r="C26" s="64">
        <v>61.36</v>
      </c>
      <c r="D26" s="64">
        <v>96.32</v>
      </c>
      <c r="E26" s="64">
        <v>5.92</v>
      </c>
      <c r="F26" s="64">
        <v>2.13</v>
      </c>
      <c r="G26" s="64">
        <v>68.61</v>
      </c>
      <c r="H26" s="64">
        <v>26.98</v>
      </c>
      <c r="I26" s="210" t="s">
        <v>43</v>
      </c>
      <c r="J26" s="64">
        <v>1.05</v>
      </c>
      <c r="K26" s="64">
        <v>347.94</v>
      </c>
      <c r="L26" s="64">
        <v>14.28</v>
      </c>
      <c r="M26" s="64">
        <v>86.63</v>
      </c>
      <c r="N26" s="64">
        <v>71</v>
      </c>
      <c r="O26" s="64">
        <v>0</v>
      </c>
      <c r="P26" s="64">
        <v>1.24</v>
      </c>
      <c r="Q26" s="64">
        <v>9.15</v>
      </c>
      <c r="R26" s="198"/>
      <c r="S26" s="198"/>
      <c r="T26" s="198"/>
      <c r="U26" s="198"/>
    </row>
    <row r="27" spans="1:21" s="12" customFormat="1" x14ac:dyDescent="0.25">
      <c r="A27" s="214" t="s">
        <v>2566</v>
      </c>
      <c r="B27" s="64">
        <v>77.94</v>
      </c>
      <c r="C27" s="64">
        <v>61.7</v>
      </c>
      <c r="D27" s="64">
        <v>93.36</v>
      </c>
      <c r="E27" s="64">
        <v>5.99</v>
      </c>
      <c r="F27" s="64">
        <v>2.13</v>
      </c>
      <c r="G27" s="64">
        <v>68.61</v>
      </c>
      <c r="H27" s="64">
        <v>26.98</v>
      </c>
      <c r="I27" s="210" t="s">
        <v>43</v>
      </c>
      <c r="J27" s="64">
        <v>0.73</v>
      </c>
      <c r="K27" s="64">
        <v>25.97</v>
      </c>
      <c r="L27" s="64">
        <v>14.21</v>
      </c>
      <c r="M27" s="64">
        <v>87.39</v>
      </c>
      <c r="N27" s="64">
        <v>71.099999999999994</v>
      </c>
      <c r="O27" s="64">
        <v>0</v>
      </c>
      <c r="P27" s="64">
        <v>1.1599999999999999</v>
      </c>
      <c r="Q27" s="64">
        <v>8.9600000000000009</v>
      </c>
      <c r="R27" s="198"/>
      <c r="S27" s="198"/>
      <c r="T27" s="198"/>
      <c r="U27" s="198"/>
    </row>
    <row r="28" spans="1:21" s="12" customFormat="1" x14ac:dyDescent="0.25">
      <c r="A28" s="214" t="s">
        <v>2567</v>
      </c>
      <c r="B28" s="64">
        <v>74.760000000000005</v>
      </c>
      <c r="C28" s="64">
        <v>61.84</v>
      </c>
      <c r="D28" s="64">
        <v>90.89</v>
      </c>
      <c r="E28" s="64">
        <v>6.04</v>
      </c>
      <c r="F28" s="64">
        <v>2.13</v>
      </c>
      <c r="G28" s="64">
        <v>67.510000000000005</v>
      </c>
      <c r="H28" s="64">
        <v>27.31</v>
      </c>
      <c r="I28" s="210" t="s">
        <v>43</v>
      </c>
      <c r="J28" s="64">
        <v>1.22</v>
      </c>
      <c r="K28" s="64">
        <v>356.29</v>
      </c>
      <c r="L28" s="64">
        <v>14</v>
      </c>
      <c r="M28" s="64">
        <v>89.97</v>
      </c>
      <c r="N28" s="64">
        <v>71.3</v>
      </c>
      <c r="O28" s="64">
        <v>0</v>
      </c>
      <c r="P28" s="64">
        <v>1.2</v>
      </c>
      <c r="Q28" s="64">
        <v>8.77</v>
      </c>
      <c r="R28" s="198"/>
      <c r="S28" s="198"/>
      <c r="T28" s="198"/>
      <c r="U28" s="198"/>
    </row>
    <row r="29" spans="1:21" s="12" customFormat="1" x14ac:dyDescent="0.25">
      <c r="A29" s="214" t="s">
        <v>2568</v>
      </c>
      <c r="B29" s="64">
        <v>72.55</v>
      </c>
      <c r="C29" s="64">
        <v>61.05</v>
      </c>
      <c r="D29" s="64">
        <v>88.7</v>
      </c>
      <c r="E29" s="64">
        <v>5.99</v>
      </c>
      <c r="F29" s="64">
        <v>2.13</v>
      </c>
      <c r="G29" s="64">
        <v>66.19</v>
      </c>
      <c r="H29" s="64">
        <v>27.71</v>
      </c>
      <c r="I29" s="210" t="s">
        <v>43</v>
      </c>
      <c r="J29" s="64">
        <v>1.71</v>
      </c>
      <c r="K29" s="64">
        <v>146.53</v>
      </c>
      <c r="L29" s="64">
        <v>13.65</v>
      </c>
      <c r="M29" s="64">
        <v>93.05</v>
      </c>
      <c r="N29" s="64">
        <v>71.400000000000006</v>
      </c>
      <c r="O29" s="64">
        <v>0</v>
      </c>
      <c r="P29" s="64">
        <v>1.1499999999999999</v>
      </c>
      <c r="Q29" s="64">
        <v>8.65</v>
      </c>
      <c r="R29" s="198"/>
      <c r="S29" s="198"/>
      <c r="T29" s="198"/>
      <c r="U29" s="198"/>
    </row>
    <row r="30" spans="1:21" s="12" customFormat="1" x14ac:dyDescent="0.25">
      <c r="A30" s="214" t="s">
        <v>2569</v>
      </c>
      <c r="B30" s="64">
        <v>70.319999999999993</v>
      </c>
      <c r="C30" s="64">
        <v>61.71</v>
      </c>
      <c r="D30" s="64">
        <v>87.26</v>
      </c>
      <c r="E30" s="64">
        <v>5.79</v>
      </c>
      <c r="F30" s="64">
        <v>2.13</v>
      </c>
      <c r="G30" s="64">
        <v>66.19</v>
      </c>
      <c r="H30" s="64">
        <v>27.71</v>
      </c>
      <c r="I30" s="210" t="s">
        <v>43</v>
      </c>
      <c r="J30" s="64">
        <v>0.17</v>
      </c>
      <c r="K30" s="64">
        <v>151.5</v>
      </c>
      <c r="L30" s="64">
        <v>13.41</v>
      </c>
      <c r="M30" s="64">
        <v>95.51</v>
      </c>
      <c r="N30" s="64">
        <v>71.099999999999994</v>
      </c>
      <c r="O30" s="64">
        <v>0</v>
      </c>
      <c r="P30" s="64">
        <v>1.1399999999999999</v>
      </c>
      <c r="Q30" s="64">
        <v>8.5399999999999991</v>
      </c>
      <c r="R30" s="198"/>
      <c r="S30" s="198"/>
      <c r="T30" s="198"/>
      <c r="U30" s="198"/>
    </row>
    <row r="31" spans="1:21" s="12" customFormat="1" x14ac:dyDescent="0.25">
      <c r="A31" s="214" t="s">
        <v>2570</v>
      </c>
      <c r="B31" s="64">
        <v>68.91</v>
      </c>
      <c r="C31" s="64">
        <v>61.17</v>
      </c>
      <c r="D31" s="64">
        <v>85.85</v>
      </c>
      <c r="E31" s="64">
        <v>6.53</v>
      </c>
      <c r="F31" s="64">
        <v>2.13</v>
      </c>
      <c r="G31" s="64">
        <v>66.19</v>
      </c>
      <c r="H31" s="64">
        <v>27.71</v>
      </c>
      <c r="I31" s="210" t="s">
        <v>43</v>
      </c>
      <c r="J31" s="64">
        <v>1.84</v>
      </c>
      <c r="K31" s="64">
        <v>316.52999999999997</v>
      </c>
      <c r="L31" s="64">
        <v>13.18</v>
      </c>
      <c r="M31" s="64">
        <v>97.35</v>
      </c>
      <c r="N31" s="64">
        <v>71.3</v>
      </c>
      <c r="O31" s="64">
        <v>0</v>
      </c>
      <c r="P31" s="64">
        <v>1.0900000000000001</v>
      </c>
      <c r="Q31" s="64">
        <v>8.4700000000000006</v>
      </c>
      <c r="R31" s="198"/>
      <c r="S31" s="198"/>
      <c r="T31" s="198"/>
      <c r="U31" s="198"/>
    </row>
    <row r="32" spans="1:21" s="12" customFormat="1" x14ac:dyDescent="0.25">
      <c r="A32" s="214" t="s">
        <v>2571</v>
      </c>
      <c r="B32" s="64">
        <v>67.81</v>
      </c>
      <c r="C32" s="64">
        <v>62.7</v>
      </c>
      <c r="D32" s="64">
        <v>85.76</v>
      </c>
      <c r="E32" s="64">
        <v>6.27</v>
      </c>
      <c r="F32" s="64">
        <v>2.13</v>
      </c>
      <c r="G32" s="64">
        <v>90.41</v>
      </c>
      <c r="H32" s="64">
        <v>31.16</v>
      </c>
      <c r="I32" s="210" t="s">
        <v>43</v>
      </c>
      <c r="J32" s="64">
        <v>1.03</v>
      </c>
      <c r="K32" s="64">
        <v>91.43</v>
      </c>
      <c r="L32" s="64">
        <v>13.27</v>
      </c>
      <c r="M32" s="64">
        <v>96.27</v>
      </c>
      <c r="N32" s="64">
        <v>70.900000000000006</v>
      </c>
      <c r="O32" s="64">
        <v>0</v>
      </c>
      <c r="P32" s="64">
        <v>1.0900000000000001</v>
      </c>
      <c r="Q32" s="64">
        <v>8.42</v>
      </c>
      <c r="R32" s="198"/>
      <c r="S32" s="198"/>
      <c r="T32" s="198"/>
      <c r="U32" s="198"/>
    </row>
    <row r="33" spans="1:21" s="12" customFormat="1" x14ac:dyDescent="0.25">
      <c r="A33" s="214" t="s">
        <v>2572</v>
      </c>
      <c r="B33" s="64">
        <v>66.69</v>
      </c>
      <c r="C33" s="64">
        <v>64.06</v>
      </c>
      <c r="D33" s="64">
        <v>85.58</v>
      </c>
      <c r="E33" s="64">
        <v>6.67</v>
      </c>
      <c r="F33" s="64">
        <v>2.13</v>
      </c>
      <c r="G33" s="64">
        <v>119.36</v>
      </c>
      <c r="H33" s="64">
        <v>35.28</v>
      </c>
      <c r="I33" s="210" t="s">
        <v>43</v>
      </c>
      <c r="J33" s="64">
        <v>1.08</v>
      </c>
      <c r="K33" s="64">
        <v>359.19</v>
      </c>
      <c r="L33" s="64">
        <v>13.39</v>
      </c>
      <c r="M33" s="64">
        <v>93.24</v>
      </c>
      <c r="N33" s="64">
        <v>70.900000000000006</v>
      </c>
      <c r="O33" s="64">
        <v>0</v>
      </c>
      <c r="P33" s="64">
        <v>1.06</v>
      </c>
      <c r="Q33" s="64">
        <v>8.36</v>
      </c>
      <c r="R33" s="198"/>
      <c r="S33" s="198"/>
      <c r="T33" s="198"/>
      <c r="U33" s="198"/>
    </row>
    <row r="34" spans="1:21" s="12" customFormat="1" x14ac:dyDescent="0.25">
      <c r="A34" s="214" t="s">
        <v>2573</v>
      </c>
      <c r="B34" s="64">
        <v>64.599999999999994</v>
      </c>
      <c r="C34" s="64">
        <v>64.47</v>
      </c>
      <c r="D34" s="64">
        <v>84.11</v>
      </c>
      <c r="E34" s="64">
        <v>6.81</v>
      </c>
      <c r="F34" s="64">
        <v>2.13</v>
      </c>
      <c r="G34" s="64">
        <v>119.36</v>
      </c>
      <c r="H34" s="64">
        <v>35.28</v>
      </c>
      <c r="I34" s="210" t="s">
        <v>43</v>
      </c>
      <c r="J34" s="64">
        <v>1.21</v>
      </c>
      <c r="K34" s="64">
        <v>44.02</v>
      </c>
      <c r="L34" s="64">
        <v>13.47</v>
      </c>
      <c r="M34" s="64">
        <v>92.03</v>
      </c>
      <c r="N34" s="64">
        <v>71.3</v>
      </c>
      <c r="O34" s="64">
        <v>0</v>
      </c>
      <c r="P34" s="64">
        <v>1.03</v>
      </c>
      <c r="Q34" s="64">
        <v>8.25</v>
      </c>
      <c r="R34" s="198"/>
      <c r="S34" s="198"/>
      <c r="T34" s="198"/>
      <c r="U34" s="198"/>
    </row>
    <row r="35" spans="1:21" s="12" customFormat="1" x14ac:dyDescent="0.25">
      <c r="A35" s="214" t="s">
        <v>2574</v>
      </c>
      <c r="B35" s="64">
        <v>61.69</v>
      </c>
      <c r="C35" s="64">
        <v>64.349999999999994</v>
      </c>
      <c r="D35" s="64">
        <v>81.72</v>
      </c>
      <c r="E35" s="64">
        <v>6.26</v>
      </c>
      <c r="F35" s="64">
        <v>2.13</v>
      </c>
      <c r="G35" s="64">
        <v>119.36</v>
      </c>
      <c r="H35" s="64">
        <v>35.28</v>
      </c>
      <c r="I35" s="210" t="s">
        <v>43</v>
      </c>
      <c r="J35" s="64">
        <v>0.43</v>
      </c>
      <c r="K35" s="64">
        <v>95.59</v>
      </c>
      <c r="L35" s="64">
        <v>13.51</v>
      </c>
      <c r="M35" s="64">
        <v>91.7</v>
      </c>
      <c r="N35" s="64">
        <v>73.599999999999994</v>
      </c>
      <c r="O35" s="64">
        <v>0</v>
      </c>
      <c r="P35" s="64">
        <v>1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2575</v>
      </c>
      <c r="B36" s="64">
        <v>58.33</v>
      </c>
      <c r="C36" s="64">
        <v>64.03</v>
      </c>
      <c r="D36" s="64">
        <v>78.849999999999994</v>
      </c>
      <c r="E36" s="64">
        <v>5.84</v>
      </c>
      <c r="F36" s="64">
        <v>2.13</v>
      </c>
      <c r="G36" s="64">
        <v>98.76</v>
      </c>
      <c r="H36" s="64">
        <v>35.36</v>
      </c>
      <c r="I36" s="210" t="s">
        <v>43</v>
      </c>
      <c r="J36" s="64">
        <v>0.97</v>
      </c>
      <c r="K36" s="64">
        <v>65.64</v>
      </c>
      <c r="L36" s="64">
        <v>13.69</v>
      </c>
      <c r="M36" s="64">
        <v>90.82</v>
      </c>
      <c r="N36" s="64">
        <v>81.7</v>
      </c>
      <c r="O36" s="64">
        <v>0</v>
      </c>
      <c r="P36" s="64">
        <v>0.97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2576</v>
      </c>
      <c r="B37" s="64">
        <v>55.13</v>
      </c>
      <c r="C37" s="64">
        <v>63.81</v>
      </c>
      <c r="D37" s="64">
        <v>76.17</v>
      </c>
      <c r="E37" s="64">
        <v>6.09</v>
      </c>
      <c r="F37" s="64">
        <v>2.13</v>
      </c>
      <c r="G37" s="64">
        <v>74.150000000000006</v>
      </c>
      <c r="H37" s="64">
        <v>35.450000000000003</v>
      </c>
      <c r="I37" s="210" t="s">
        <v>43</v>
      </c>
      <c r="J37" s="64">
        <v>0.94</v>
      </c>
      <c r="K37" s="64">
        <v>351.93</v>
      </c>
      <c r="L37" s="64">
        <v>13.97</v>
      </c>
      <c r="M37" s="64">
        <v>89.9</v>
      </c>
      <c r="N37" s="64">
        <v>95</v>
      </c>
      <c r="O37" s="64">
        <v>0</v>
      </c>
      <c r="P37" s="64">
        <v>1.03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2577</v>
      </c>
      <c r="B38" s="64">
        <v>54.31</v>
      </c>
      <c r="C38" s="64">
        <v>64.17</v>
      </c>
      <c r="D38" s="64">
        <v>75.7</v>
      </c>
      <c r="E38" s="64">
        <v>5.83</v>
      </c>
      <c r="F38" s="64">
        <v>2.13</v>
      </c>
      <c r="G38" s="64">
        <v>74.150000000000006</v>
      </c>
      <c r="H38" s="64">
        <v>35.450000000000003</v>
      </c>
      <c r="I38" s="210" t="s">
        <v>43</v>
      </c>
      <c r="J38" s="64">
        <v>1.8</v>
      </c>
      <c r="K38" s="64">
        <v>346.97</v>
      </c>
      <c r="L38" s="64">
        <v>14.4</v>
      </c>
      <c r="M38" s="64">
        <v>88.54</v>
      </c>
      <c r="N38" s="64">
        <v>109.6</v>
      </c>
      <c r="O38" s="64">
        <v>0</v>
      </c>
      <c r="P38" s="64">
        <v>1.08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2578</v>
      </c>
      <c r="B39" s="64">
        <v>54.25</v>
      </c>
      <c r="C39" s="64">
        <v>65.05</v>
      </c>
      <c r="D39" s="64">
        <v>76.12</v>
      </c>
      <c r="E39" s="64">
        <v>6.04</v>
      </c>
      <c r="F39" s="64">
        <v>2.13</v>
      </c>
      <c r="G39" s="64">
        <v>74.150000000000006</v>
      </c>
      <c r="H39" s="64">
        <v>35.450000000000003</v>
      </c>
      <c r="I39" s="210" t="s">
        <v>43</v>
      </c>
      <c r="J39" s="64">
        <v>0.35</v>
      </c>
      <c r="K39" s="64">
        <v>147.35</v>
      </c>
      <c r="L39" s="64">
        <v>14.99</v>
      </c>
      <c r="M39" s="64">
        <v>85.15</v>
      </c>
      <c r="N39" s="64">
        <v>141</v>
      </c>
      <c r="O39" s="64">
        <v>0</v>
      </c>
      <c r="P39" s="64">
        <v>1.07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2579</v>
      </c>
      <c r="B40" s="64">
        <v>53.17</v>
      </c>
      <c r="C40" s="64">
        <v>65.33</v>
      </c>
      <c r="D40" s="64">
        <v>75.39</v>
      </c>
      <c r="E40" s="64">
        <v>6.05</v>
      </c>
      <c r="F40" s="64">
        <v>2.13</v>
      </c>
      <c r="G40" s="64">
        <v>73.489999999999995</v>
      </c>
      <c r="H40" s="64">
        <v>33.89</v>
      </c>
      <c r="I40" s="210" t="s">
        <v>43</v>
      </c>
      <c r="J40" s="64">
        <v>2.57</v>
      </c>
      <c r="K40" s="64">
        <v>120.2</v>
      </c>
      <c r="L40" s="64">
        <v>15.85</v>
      </c>
      <c r="M40" s="64">
        <v>79.650000000000006</v>
      </c>
      <c r="N40" s="64">
        <v>216.5</v>
      </c>
      <c r="O40" s="64">
        <v>0</v>
      </c>
      <c r="P40" s="64">
        <v>1.06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2580</v>
      </c>
      <c r="B41" s="64">
        <v>50.8</v>
      </c>
      <c r="C41" s="64">
        <v>63.32</v>
      </c>
      <c r="D41" s="64">
        <v>72.44</v>
      </c>
      <c r="E41" s="64">
        <v>5.78</v>
      </c>
      <c r="F41" s="64">
        <v>2.13</v>
      </c>
      <c r="G41" s="64">
        <v>72.7</v>
      </c>
      <c r="H41" s="64">
        <v>32.03</v>
      </c>
      <c r="I41" s="210" t="s">
        <v>43</v>
      </c>
      <c r="J41" s="64">
        <v>2.56</v>
      </c>
      <c r="K41" s="64">
        <v>109.88</v>
      </c>
      <c r="L41" s="64">
        <v>16.690000000000001</v>
      </c>
      <c r="M41" s="64">
        <v>74.650000000000006</v>
      </c>
      <c r="N41" s="64">
        <v>273.7</v>
      </c>
      <c r="O41" s="64">
        <v>0</v>
      </c>
      <c r="P41" s="64">
        <v>1.04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2581</v>
      </c>
      <c r="B42" s="64">
        <v>47.71</v>
      </c>
      <c r="C42" s="64">
        <v>60.85</v>
      </c>
      <c r="D42" s="64">
        <v>68.67</v>
      </c>
      <c r="E42" s="64">
        <v>5.79</v>
      </c>
      <c r="F42" s="64">
        <v>2.13</v>
      </c>
      <c r="G42" s="64">
        <v>72.7</v>
      </c>
      <c r="H42" s="64">
        <v>32.03</v>
      </c>
      <c r="I42" s="210" t="s">
        <v>43</v>
      </c>
      <c r="J42" s="64">
        <v>2.89</v>
      </c>
      <c r="K42" s="64">
        <v>114.37</v>
      </c>
      <c r="L42" s="64">
        <v>17.38</v>
      </c>
      <c r="M42" s="64">
        <v>71.89</v>
      </c>
      <c r="N42" s="64">
        <v>315.10000000000002</v>
      </c>
      <c r="O42" s="64">
        <v>0</v>
      </c>
      <c r="P42" s="64">
        <v>1.01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2582</v>
      </c>
      <c r="B43" s="64">
        <v>44.86</v>
      </c>
      <c r="C43" s="64">
        <v>62.48</v>
      </c>
      <c r="D43" s="64">
        <v>67.239999999999995</v>
      </c>
      <c r="E43" s="64">
        <v>5.39</v>
      </c>
      <c r="F43" s="64">
        <v>2.13</v>
      </c>
      <c r="G43" s="64">
        <v>72.7</v>
      </c>
      <c r="H43" s="64">
        <v>32.03</v>
      </c>
      <c r="I43" s="210" t="s">
        <v>43</v>
      </c>
      <c r="J43" s="64">
        <v>0.56999999999999995</v>
      </c>
      <c r="K43" s="64">
        <v>30.68</v>
      </c>
      <c r="L43" s="64">
        <v>19.36</v>
      </c>
      <c r="M43" s="64">
        <v>65</v>
      </c>
      <c r="N43" s="64">
        <v>353.8</v>
      </c>
      <c r="O43" s="64">
        <v>0</v>
      </c>
      <c r="P43" s="64">
        <v>0.99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2583</v>
      </c>
      <c r="B44" s="64">
        <v>42.85</v>
      </c>
      <c r="C44" s="64">
        <v>63.46</v>
      </c>
      <c r="D44" s="64">
        <v>66.14</v>
      </c>
      <c r="E44" s="64">
        <v>5.87</v>
      </c>
      <c r="F44" s="64">
        <v>2.15</v>
      </c>
      <c r="G44" s="64">
        <v>77.08</v>
      </c>
      <c r="H44" s="64">
        <v>30.69</v>
      </c>
      <c r="I44" s="210" t="s">
        <v>43</v>
      </c>
      <c r="J44" s="64">
        <v>0.63</v>
      </c>
      <c r="K44" s="64">
        <v>57.97</v>
      </c>
      <c r="L44" s="64">
        <v>20.52</v>
      </c>
      <c r="M44" s="64">
        <v>60.63</v>
      </c>
      <c r="N44" s="64">
        <v>390.6</v>
      </c>
      <c r="O44" s="64">
        <v>0</v>
      </c>
      <c r="P44" s="64">
        <v>0.98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2584</v>
      </c>
      <c r="B45" s="64">
        <v>41.09</v>
      </c>
      <c r="C45" s="64">
        <v>64.39</v>
      </c>
      <c r="D45" s="64">
        <v>65.22</v>
      </c>
      <c r="E45" s="64">
        <v>6.35</v>
      </c>
      <c r="F45" s="64">
        <v>2.13</v>
      </c>
      <c r="G45" s="64">
        <v>82.32</v>
      </c>
      <c r="H45" s="64">
        <v>29.1</v>
      </c>
      <c r="I45" s="210" t="s">
        <v>43</v>
      </c>
      <c r="J45" s="64">
        <v>1.29</v>
      </c>
      <c r="K45" s="64">
        <v>111.26</v>
      </c>
      <c r="L45" s="64">
        <v>21.11</v>
      </c>
      <c r="M45" s="64">
        <v>57.69</v>
      </c>
      <c r="N45" s="64">
        <v>423.7</v>
      </c>
      <c r="O45" s="64">
        <v>0</v>
      </c>
      <c r="P45" s="64">
        <v>0.96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2585</v>
      </c>
      <c r="B46" s="64">
        <v>39.24</v>
      </c>
      <c r="C46" s="64">
        <v>65.19</v>
      </c>
      <c r="D46" s="64">
        <v>64.150000000000006</v>
      </c>
      <c r="E46" s="64">
        <v>5.85</v>
      </c>
      <c r="F46" s="64">
        <v>2.13</v>
      </c>
      <c r="G46" s="64">
        <v>82.32</v>
      </c>
      <c r="H46" s="64">
        <v>29.1</v>
      </c>
      <c r="I46" s="210" t="s">
        <v>43</v>
      </c>
      <c r="J46" s="64">
        <v>1.48</v>
      </c>
      <c r="K46" s="64">
        <v>112.65</v>
      </c>
      <c r="L46" s="64">
        <v>20.47</v>
      </c>
      <c r="M46" s="64">
        <v>59.05</v>
      </c>
      <c r="N46" s="64">
        <v>453.8</v>
      </c>
      <c r="O46" s="64">
        <v>0</v>
      </c>
      <c r="P46" s="64">
        <v>0.94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2586</v>
      </c>
      <c r="B47" s="64">
        <v>37.6</v>
      </c>
      <c r="C47" s="64">
        <v>65.5</v>
      </c>
      <c r="D47" s="64">
        <v>62.99</v>
      </c>
      <c r="E47" s="64">
        <v>5.82</v>
      </c>
      <c r="F47" s="64">
        <v>2.13</v>
      </c>
      <c r="G47" s="64">
        <v>82.32</v>
      </c>
      <c r="H47" s="64">
        <v>29.1</v>
      </c>
      <c r="I47" s="210" t="s">
        <v>43</v>
      </c>
      <c r="J47" s="64">
        <v>0.8</v>
      </c>
      <c r="K47" s="64">
        <v>354.04</v>
      </c>
      <c r="L47" s="64">
        <v>22.55</v>
      </c>
      <c r="M47" s="64">
        <v>51.45</v>
      </c>
      <c r="N47" s="64">
        <v>477</v>
      </c>
      <c r="O47" s="64">
        <v>0</v>
      </c>
      <c r="P47" s="64">
        <v>0.92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2587</v>
      </c>
      <c r="B48" s="64">
        <v>36.65</v>
      </c>
      <c r="C48" s="64">
        <v>66.650000000000006</v>
      </c>
      <c r="D48" s="64">
        <v>62.83</v>
      </c>
      <c r="E48" s="64">
        <v>5.44</v>
      </c>
      <c r="F48" s="64">
        <v>2.13</v>
      </c>
      <c r="G48" s="64">
        <v>77.709999999999994</v>
      </c>
      <c r="H48" s="64">
        <v>30.58</v>
      </c>
      <c r="I48" s="210" t="s">
        <v>43</v>
      </c>
      <c r="J48" s="64">
        <v>0.55000000000000004</v>
      </c>
      <c r="K48" s="64">
        <v>53.68</v>
      </c>
      <c r="L48" s="64">
        <v>24.14</v>
      </c>
      <c r="M48" s="64">
        <v>46.17</v>
      </c>
      <c r="N48" s="64">
        <v>504.5</v>
      </c>
      <c r="O48" s="64">
        <v>0</v>
      </c>
      <c r="P48" s="64">
        <v>0.91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2588</v>
      </c>
      <c r="B49" s="64">
        <v>35.57</v>
      </c>
      <c r="C49" s="64">
        <v>68.16</v>
      </c>
      <c r="D49" s="64">
        <v>62.76</v>
      </c>
      <c r="E49" s="64">
        <v>5.59</v>
      </c>
      <c r="F49" s="64">
        <v>2.13</v>
      </c>
      <c r="G49" s="64">
        <v>72.22</v>
      </c>
      <c r="H49" s="64">
        <v>32.340000000000003</v>
      </c>
      <c r="I49" s="210" t="s">
        <v>43</v>
      </c>
      <c r="J49" s="64">
        <v>1.81</v>
      </c>
      <c r="K49" s="64">
        <v>348</v>
      </c>
      <c r="L49" s="64">
        <v>24.88</v>
      </c>
      <c r="M49" s="64">
        <v>42.43</v>
      </c>
      <c r="N49" s="64">
        <v>526.5</v>
      </c>
      <c r="O49" s="64">
        <v>0</v>
      </c>
      <c r="P49" s="64">
        <v>0.9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2589</v>
      </c>
      <c r="B50" s="64">
        <v>33.590000000000003</v>
      </c>
      <c r="C50" s="64">
        <v>70.790000000000006</v>
      </c>
      <c r="D50" s="64">
        <v>62.54</v>
      </c>
      <c r="E50" s="64">
        <v>6.38</v>
      </c>
      <c r="F50" s="64">
        <v>2.13</v>
      </c>
      <c r="G50" s="64">
        <v>72.22</v>
      </c>
      <c r="H50" s="64">
        <v>32.340000000000003</v>
      </c>
      <c r="I50" s="210" t="s">
        <v>43</v>
      </c>
      <c r="J50" s="64">
        <v>2.44</v>
      </c>
      <c r="K50" s="64">
        <v>120.1</v>
      </c>
      <c r="L50" s="64">
        <v>23.23</v>
      </c>
      <c r="M50" s="64">
        <v>47.05</v>
      </c>
      <c r="N50" s="64">
        <v>548</v>
      </c>
      <c r="O50" s="64">
        <v>0</v>
      </c>
      <c r="P50" s="64">
        <v>0.88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2590</v>
      </c>
      <c r="B51" s="64">
        <v>30.31</v>
      </c>
      <c r="C51" s="64">
        <v>71.98</v>
      </c>
      <c r="D51" s="64">
        <v>60.54</v>
      </c>
      <c r="E51" s="64">
        <v>6.23</v>
      </c>
      <c r="F51" s="64">
        <v>2.13</v>
      </c>
      <c r="G51" s="64">
        <v>72.22</v>
      </c>
      <c r="H51" s="64">
        <v>32.340000000000003</v>
      </c>
      <c r="I51" s="210" t="s">
        <v>43</v>
      </c>
      <c r="J51" s="64">
        <v>1.53</v>
      </c>
      <c r="K51" s="64">
        <v>121.11</v>
      </c>
      <c r="L51" s="64">
        <v>23.01</v>
      </c>
      <c r="M51" s="64">
        <v>47.78</v>
      </c>
      <c r="N51" s="64">
        <v>556.9</v>
      </c>
      <c r="O51" s="64">
        <v>0</v>
      </c>
      <c r="P51" s="64">
        <v>0.86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2591</v>
      </c>
      <c r="B52" s="64">
        <v>26.9</v>
      </c>
      <c r="C52" s="64">
        <v>72.760000000000005</v>
      </c>
      <c r="D52" s="64">
        <v>58.21</v>
      </c>
      <c r="E52" s="64">
        <v>5.21</v>
      </c>
      <c r="F52" s="64">
        <v>2.13</v>
      </c>
      <c r="G52" s="64">
        <v>71.73</v>
      </c>
      <c r="H52" s="64">
        <v>28.34</v>
      </c>
      <c r="I52" s="210" t="s">
        <v>43</v>
      </c>
      <c r="J52" s="64">
        <v>0.81</v>
      </c>
      <c r="K52" s="64">
        <v>21.79</v>
      </c>
      <c r="L52" s="64">
        <v>24.15</v>
      </c>
      <c r="M52" s="64">
        <v>43.67</v>
      </c>
      <c r="N52" s="64">
        <v>568.9</v>
      </c>
      <c r="O52" s="64">
        <v>0</v>
      </c>
      <c r="P52" s="64">
        <v>0.85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2592</v>
      </c>
      <c r="B53" s="64">
        <v>23.88</v>
      </c>
      <c r="C53" s="64">
        <v>73.569999999999993</v>
      </c>
      <c r="D53" s="64">
        <v>56.21</v>
      </c>
      <c r="E53" s="64">
        <v>5.64</v>
      </c>
      <c r="F53" s="64">
        <v>2.13</v>
      </c>
      <c r="G53" s="64">
        <v>71.150000000000006</v>
      </c>
      <c r="H53" s="64">
        <v>23.55</v>
      </c>
      <c r="I53" s="210" t="s">
        <v>43</v>
      </c>
      <c r="J53" s="64">
        <v>0.69</v>
      </c>
      <c r="K53" s="64">
        <v>346.92</v>
      </c>
      <c r="L53" s="64">
        <v>25.57</v>
      </c>
      <c r="M53" s="64">
        <v>40.99</v>
      </c>
      <c r="N53" s="64">
        <v>580.70000000000005</v>
      </c>
      <c r="O53" s="64">
        <v>0</v>
      </c>
      <c r="P53" s="64">
        <v>0.83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2593</v>
      </c>
      <c r="B54" s="64">
        <v>21.03</v>
      </c>
      <c r="C54" s="64">
        <v>74.900000000000006</v>
      </c>
      <c r="D54" s="64">
        <v>54.62</v>
      </c>
      <c r="E54" s="64">
        <v>5.88</v>
      </c>
      <c r="F54" s="64">
        <v>2.13</v>
      </c>
      <c r="G54" s="64">
        <v>71.150000000000006</v>
      </c>
      <c r="H54" s="64">
        <v>23.55</v>
      </c>
      <c r="I54" s="210" t="s">
        <v>43</v>
      </c>
      <c r="J54" s="64">
        <v>2.1800000000000002</v>
      </c>
      <c r="K54" s="64">
        <v>335.38</v>
      </c>
      <c r="L54" s="64">
        <v>25.8</v>
      </c>
      <c r="M54" s="64">
        <v>43.47</v>
      </c>
      <c r="N54" s="64">
        <v>586.20000000000005</v>
      </c>
      <c r="O54" s="64">
        <v>0</v>
      </c>
      <c r="P54" s="64">
        <v>0.81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2594</v>
      </c>
      <c r="B55" s="64">
        <v>18.63</v>
      </c>
      <c r="C55" s="64">
        <v>76.67</v>
      </c>
      <c r="D55" s="64">
        <v>53.62</v>
      </c>
      <c r="E55" s="64">
        <v>5.94</v>
      </c>
      <c r="F55" s="64">
        <v>2.13</v>
      </c>
      <c r="G55" s="64">
        <v>71.150000000000006</v>
      </c>
      <c r="H55" s="64">
        <v>23.55</v>
      </c>
      <c r="I55" s="210" t="s">
        <v>43</v>
      </c>
      <c r="J55" s="64">
        <v>0.5</v>
      </c>
      <c r="K55" s="64">
        <v>107.05</v>
      </c>
      <c r="L55" s="64">
        <v>25.13</v>
      </c>
      <c r="M55" s="64">
        <v>44.39</v>
      </c>
      <c r="N55" s="64">
        <v>597.1</v>
      </c>
      <c r="O55" s="64">
        <v>0</v>
      </c>
      <c r="P55" s="64">
        <v>0.81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2595</v>
      </c>
      <c r="B56" s="64">
        <v>16.18</v>
      </c>
      <c r="C56" s="64">
        <v>77.53</v>
      </c>
      <c r="D56" s="64">
        <v>52.1</v>
      </c>
      <c r="E56" s="64">
        <v>5.37</v>
      </c>
      <c r="F56" s="64">
        <v>2.13</v>
      </c>
      <c r="G56" s="64">
        <v>79.16</v>
      </c>
      <c r="H56" s="64">
        <v>24.03</v>
      </c>
      <c r="I56" s="210" t="s">
        <v>43</v>
      </c>
      <c r="J56" s="64">
        <v>0.47</v>
      </c>
      <c r="K56" s="64">
        <v>99</v>
      </c>
      <c r="L56" s="64">
        <v>25.52</v>
      </c>
      <c r="M56" s="64">
        <v>43.44</v>
      </c>
      <c r="N56" s="64">
        <v>605.5</v>
      </c>
      <c r="O56" s="64">
        <v>0</v>
      </c>
      <c r="P56" s="64">
        <v>0.79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2596</v>
      </c>
      <c r="B57" s="64">
        <v>13.75</v>
      </c>
      <c r="C57" s="64">
        <v>78.09</v>
      </c>
      <c r="D57" s="64">
        <v>50.45</v>
      </c>
      <c r="E57" s="64">
        <v>5.29</v>
      </c>
      <c r="F57" s="64">
        <v>2.13</v>
      </c>
      <c r="G57" s="64">
        <v>88.72</v>
      </c>
      <c r="H57" s="64">
        <v>24.61</v>
      </c>
      <c r="I57" s="210" t="s">
        <v>43</v>
      </c>
      <c r="J57" s="64">
        <v>0.65</v>
      </c>
      <c r="K57" s="64">
        <v>350.18</v>
      </c>
      <c r="L57" s="64">
        <v>25.31</v>
      </c>
      <c r="M57" s="64">
        <v>43.53</v>
      </c>
      <c r="N57" s="64">
        <v>596</v>
      </c>
      <c r="O57" s="64">
        <v>0</v>
      </c>
      <c r="P57" s="64">
        <v>0.78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2597</v>
      </c>
      <c r="B58" s="64">
        <v>11.87</v>
      </c>
      <c r="C58" s="64">
        <v>76.87</v>
      </c>
      <c r="D58" s="64">
        <v>48.3</v>
      </c>
      <c r="E58" s="64">
        <v>5.71</v>
      </c>
      <c r="F58" s="64">
        <v>2.13</v>
      </c>
      <c r="G58" s="64">
        <v>88.72</v>
      </c>
      <c r="H58" s="64">
        <v>24.61</v>
      </c>
      <c r="I58" s="210" t="s">
        <v>43</v>
      </c>
      <c r="J58" s="64">
        <v>2.75</v>
      </c>
      <c r="K58" s="64">
        <v>333.9</v>
      </c>
      <c r="L58" s="64">
        <v>27.2</v>
      </c>
      <c r="M58" s="64">
        <v>39.54</v>
      </c>
      <c r="N58" s="64">
        <v>604.5</v>
      </c>
      <c r="O58" s="64">
        <v>0</v>
      </c>
      <c r="P58" s="64">
        <v>0.76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2598</v>
      </c>
      <c r="B59" s="64">
        <v>10.43</v>
      </c>
      <c r="C59" s="64">
        <v>75.55</v>
      </c>
      <c r="D59" s="64">
        <v>46.46</v>
      </c>
      <c r="E59" s="64">
        <v>5.61</v>
      </c>
      <c r="F59" s="64">
        <v>2.13</v>
      </c>
      <c r="G59" s="64">
        <v>88.72</v>
      </c>
      <c r="H59" s="64">
        <v>24.61</v>
      </c>
      <c r="I59" s="210" t="s">
        <v>43</v>
      </c>
      <c r="J59" s="64">
        <v>2.39</v>
      </c>
      <c r="K59" s="64">
        <v>322.37</v>
      </c>
      <c r="L59" s="64">
        <v>27.81</v>
      </c>
      <c r="M59" s="64">
        <v>38.590000000000003</v>
      </c>
      <c r="N59" s="64">
        <v>586.79999999999995</v>
      </c>
      <c r="O59" s="64">
        <v>0</v>
      </c>
      <c r="P59" s="64">
        <v>0.77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2599</v>
      </c>
      <c r="B60" s="64">
        <v>9.18</v>
      </c>
      <c r="C60" s="64">
        <v>76.11</v>
      </c>
      <c r="D60" s="64">
        <v>45.75</v>
      </c>
      <c r="E60" s="64">
        <v>5.33</v>
      </c>
      <c r="F60" s="64">
        <v>2.13</v>
      </c>
      <c r="G60" s="64">
        <v>88.2</v>
      </c>
      <c r="H60" s="64">
        <v>24.43</v>
      </c>
      <c r="I60" s="210" t="s">
        <v>43</v>
      </c>
      <c r="J60" s="64">
        <v>2.2200000000000002</v>
      </c>
      <c r="K60" s="64">
        <v>324.95</v>
      </c>
      <c r="L60" s="64">
        <v>27.94</v>
      </c>
      <c r="M60" s="64">
        <v>37.79</v>
      </c>
      <c r="N60" s="64">
        <v>583.29999999999995</v>
      </c>
      <c r="O60" s="64">
        <v>0</v>
      </c>
      <c r="P60" s="64">
        <v>0.72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2600</v>
      </c>
      <c r="B61" s="64">
        <v>8.19</v>
      </c>
      <c r="C61" s="64">
        <v>76.02</v>
      </c>
      <c r="D61" s="64">
        <v>44.91</v>
      </c>
      <c r="E61" s="64">
        <v>5.43</v>
      </c>
      <c r="F61" s="64">
        <v>2.14</v>
      </c>
      <c r="G61" s="64">
        <v>87.57</v>
      </c>
      <c r="H61" s="64">
        <v>24.22</v>
      </c>
      <c r="I61" s="210" t="s">
        <v>43</v>
      </c>
      <c r="J61" s="64">
        <v>2.08</v>
      </c>
      <c r="K61" s="64">
        <v>321.95999999999998</v>
      </c>
      <c r="L61" s="64">
        <v>27.99</v>
      </c>
      <c r="M61" s="64">
        <v>36.299999999999997</v>
      </c>
      <c r="N61" s="64">
        <v>555.4</v>
      </c>
      <c r="O61" s="64">
        <v>0</v>
      </c>
      <c r="P61" s="64">
        <v>0.73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2601</v>
      </c>
      <c r="B62" s="64">
        <v>7.08</v>
      </c>
      <c r="C62" s="64">
        <v>75.239999999999995</v>
      </c>
      <c r="D62" s="64">
        <v>43.61</v>
      </c>
      <c r="E62" s="64">
        <v>5.78</v>
      </c>
      <c r="F62" s="64">
        <v>2.16</v>
      </c>
      <c r="G62" s="64">
        <v>87.57</v>
      </c>
      <c r="H62" s="64">
        <v>24.22</v>
      </c>
      <c r="I62" s="210" t="s">
        <v>43</v>
      </c>
      <c r="J62" s="64">
        <v>1.91</v>
      </c>
      <c r="K62" s="64">
        <v>170.86</v>
      </c>
      <c r="L62" s="64">
        <v>25.81</v>
      </c>
      <c r="M62" s="64">
        <v>38.33</v>
      </c>
      <c r="N62" s="64">
        <v>447.5</v>
      </c>
      <c r="O62" s="64">
        <v>0</v>
      </c>
      <c r="P62" s="64">
        <v>0.75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2602</v>
      </c>
      <c r="B63" s="64">
        <v>5.76</v>
      </c>
      <c r="C63" s="64">
        <v>74.42</v>
      </c>
      <c r="D63" s="64">
        <v>42.13</v>
      </c>
      <c r="E63" s="64">
        <v>5.57</v>
      </c>
      <c r="F63" s="64">
        <v>2.13</v>
      </c>
      <c r="G63" s="64">
        <v>87.57</v>
      </c>
      <c r="H63" s="64">
        <v>24.22</v>
      </c>
      <c r="I63" s="210" t="s">
        <v>43</v>
      </c>
      <c r="J63" s="64">
        <v>1.24</v>
      </c>
      <c r="K63" s="64">
        <v>293</v>
      </c>
      <c r="L63" s="64">
        <v>27.16</v>
      </c>
      <c r="M63" s="64">
        <v>35.33</v>
      </c>
      <c r="N63" s="64">
        <v>412.8</v>
      </c>
      <c r="O63" s="64">
        <v>0</v>
      </c>
      <c r="P63" s="64">
        <v>0.78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2603</v>
      </c>
      <c r="B64" s="64">
        <v>5.0599999999999996</v>
      </c>
      <c r="C64" s="64">
        <v>73.540000000000006</v>
      </c>
      <c r="D64" s="64">
        <v>41.1</v>
      </c>
      <c r="E64" s="64">
        <v>5.63</v>
      </c>
      <c r="F64" s="64">
        <v>2.13</v>
      </c>
      <c r="G64" s="64">
        <v>78.8</v>
      </c>
      <c r="H64" s="64">
        <v>26.04</v>
      </c>
      <c r="I64" s="210" t="s">
        <v>43</v>
      </c>
      <c r="J64" s="64">
        <v>1.03</v>
      </c>
      <c r="K64" s="64">
        <v>284.08</v>
      </c>
      <c r="L64" s="64">
        <v>27.89</v>
      </c>
      <c r="M64" s="64">
        <v>32.29</v>
      </c>
      <c r="N64" s="64">
        <v>503.2</v>
      </c>
      <c r="O64" s="64">
        <v>0</v>
      </c>
      <c r="P64" s="64">
        <v>0.77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2604</v>
      </c>
      <c r="B65" s="64">
        <v>4.57</v>
      </c>
      <c r="C65" s="64">
        <v>72.790000000000006</v>
      </c>
      <c r="D65" s="64">
        <v>40.32</v>
      </c>
      <c r="E65" s="64">
        <v>5.66</v>
      </c>
      <c r="F65" s="64">
        <v>2.14</v>
      </c>
      <c r="G65" s="64">
        <v>68.31</v>
      </c>
      <c r="H65" s="64">
        <v>28.22</v>
      </c>
      <c r="I65" s="210" t="s">
        <v>43</v>
      </c>
      <c r="J65" s="64">
        <v>1.41</v>
      </c>
      <c r="K65" s="64">
        <v>309.01</v>
      </c>
      <c r="L65" s="64">
        <v>27.32</v>
      </c>
      <c r="M65" s="64">
        <v>33.380000000000003</v>
      </c>
      <c r="N65" s="64">
        <v>384.2</v>
      </c>
      <c r="O65" s="64">
        <v>0</v>
      </c>
      <c r="P65" s="64">
        <v>0.75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2605</v>
      </c>
      <c r="B66" s="64">
        <v>4.2699999999999996</v>
      </c>
      <c r="C66" s="64">
        <v>72.41</v>
      </c>
      <c r="D66" s="64">
        <v>39.880000000000003</v>
      </c>
      <c r="E66" s="64">
        <v>6.17</v>
      </c>
      <c r="F66" s="64">
        <v>2.15</v>
      </c>
      <c r="G66" s="64">
        <v>68.31</v>
      </c>
      <c r="H66" s="64">
        <v>28.22</v>
      </c>
      <c r="I66" s="210" t="s">
        <v>43</v>
      </c>
      <c r="J66" s="64">
        <v>0.92</v>
      </c>
      <c r="K66" s="64">
        <v>298.82</v>
      </c>
      <c r="L66" s="64">
        <v>27.68</v>
      </c>
      <c r="M66" s="64">
        <v>32.56</v>
      </c>
      <c r="N66" s="64">
        <v>206</v>
      </c>
      <c r="O66" s="64">
        <v>0</v>
      </c>
      <c r="P66" s="64">
        <v>0.75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2606</v>
      </c>
      <c r="B67" s="64">
        <v>3.94</v>
      </c>
      <c r="C67" s="64">
        <v>72.22</v>
      </c>
      <c r="D67" s="64">
        <v>39.520000000000003</v>
      </c>
      <c r="E67" s="64">
        <v>5.62</v>
      </c>
      <c r="F67" s="64">
        <v>2.75</v>
      </c>
      <c r="G67" s="64">
        <v>68.31</v>
      </c>
      <c r="H67" s="64">
        <v>28.22</v>
      </c>
      <c r="I67" s="210" t="s">
        <v>43</v>
      </c>
      <c r="J67" s="64">
        <v>0.51</v>
      </c>
      <c r="K67" s="64">
        <v>313.3</v>
      </c>
      <c r="L67" s="64">
        <v>25.88</v>
      </c>
      <c r="M67" s="64">
        <v>35.46</v>
      </c>
      <c r="N67" s="64">
        <v>179.5</v>
      </c>
      <c r="O67" s="64">
        <v>0</v>
      </c>
      <c r="P67" s="64">
        <v>0.72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2607</v>
      </c>
      <c r="B68" s="64">
        <v>3.53</v>
      </c>
      <c r="C68" s="64">
        <v>71.94</v>
      </c>
      <c r="D68" s="64">
        <v>39.04</v>
      </c>
      <c r="E68" s="64">
        <v>5.83</v>
      </c>
      <c r="F68" s="64">
        <v>2.97</v>
      </c>
      <c r="G68" s="64">
        <v>65.260000000000005</v>
      </c>
      <c r="H68" s="64">
        <v>27.61</v>
      </c>
      <c r="I68" s="210" t="s">
        <v>43</v>
      </c>
      <c r="J68" s="64">
        <v>0.8</v>
      </c>
      <c r="K68" s="64">
        <v>304.72000000000003</v>
      </c>
      <c r="L68" s="64">
        <v>26.09</v>
      </c>
      <c r="M68" s="64">
        <v>34.74</v>
      </c>
      <c r="N68" s="64">
        <v>222.5</v>
      </c>
      <c r="O68" s="64">
        <v>0</v>
      </c>
      <c r="P68" s="64">
        <v>0.73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2608</v>
      </c>
      <c r="B69" s="64">
        <v>3.42</v>
      </c>
      <c r="C69" s="64">
        <v>71.8</v>
      </c>
      <c r="D69" s="64">
        <v>38.869999999999997</v>
      </c>
      <c r="E69" s="64">
        <v>6</v>
      </c>
      <c r="F69" s="64">
        <v>2.9</v>
      </c>
      <c r="G69" s="64">
        <v>61.61</v>
      </c>
      <c r="H69" s="64">
        <v>26.89</v>
      </c>
      <c r="I69" s="210" t="s">
        <v>43</v>
      </c>
      <c r="J69" s="64">
        <v>1.1000000000000001</v>
      </c>
      <c r="K69" s="64">
        <v>320.10000000000002</v>
      </c>
      <c r="L69" s="64">
        <v>26.06</v>
      </c>
      <c r="M69" s="64">
        <v>33.54</v>
      </c>
      <c r="N69" s="64">
        <v>212.7</v>
      </c>
      <c r="O69" s="64">
        <v>0</v>
      </c>
      <c r="P69" s="64">
        <v>0.7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2609</v>
      </c>
      <c r="B70" s="64">
        <v>3.79</v>
      </c>
      <c r="C70" s="64">
        <v>72.349999999999994</v>
      </c>
      <c r="D70" s="64">
        <v>39.46</v>
      </c>
      <c r="E70" s="64">
        <v>5.73</v>
      </c>
      <c r="F70" s="64">
        <v>2.19</v>
      </c>
      <c r="G70" s="64">
        <v>61.61</v>
      </c>
      <c r="H70" s="64">
        <v>26.89</v>
      </c>
      <c r="I70" s="210" t="s">
        <v>43</v>
      </c>
      <c r="J70" s="64">
        <v>2.88</v>
      </c>
      <c r="K70" s="64">
        <v>335.45</v>
      </c>
      <c r="L70" s="64">
        <v>26.54</v>
      </c>
      <c r="M70" s="64">
        <v>33.04</v>
      </c>
      <c r="N70" s="64">
        <v>189.8</v>
      </c>
      <c r="O70" s="64">
        <v>0</v>
      </c>
      <c r="P70" s="64">
        <v>0.73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2610</v>
      </c>
      <c r="B71" s="64">
        <v>4.2300000000000004</v>
      </c>
      <c r="C71" s="64">
        <v>73.58</v>
      </c>
      <c r="D71" s="64">
        <v>40.46</v>
      </c>
      <c r="E71" s="64">
        <v>5.82</v>
      </c>
      <c r="F71" s="64">
        <v>2.13</v>
      </c>
      <c r="G71" s="64">
        <v>61.61</v>
      </c>
      <c r="H71" s="64">
        <v>26.89</v>
      </c>
      <c r="I71" s="210" t="s">
        <v>43</v>
      </c>
      <c r="J71" s="64">
        <v>1.54</v>
      </c>
      <c r="K71" s="64">
        <v>303.51</v>
      </c>
      <c r="L71" s="64">
        <v>26.35</v>
      </c>
      <c r="M71" s="64">
        <v>32.840000000000003</v>
      </c>
      <c r="N71" s="64">
        <v>140.9</v>
      </c>
      <c r="O71" s="64">
        <v>0</v>
      </c>
      <c r="P71" s="64">
        <v>0.73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2611</v>
      </c>
      <c r="B72" s="64">
        <v>4.38</v>
      </c>
      <c r="C72" s="64">
        <v>74.72</v>
      </c>
      <c r="D72" s="64">
        <v>41.17</v>
      </c>
      <c r="E72" s="64">
        <v>3.8</v>
      </c>
      <c r="F72" s="64">
        <v>2.13</v>
      </c>
      <c r="G72" s="64">
        <v>66.2</v>
      </c>
      <c r="H72" s="64">
        <v>26.3</v>
      </c>
      <c r="I72" s="210" t="s">
        <v>43</v>
      </c>
      <c r="J72" s="64">
        <v>2.93</v>
      </c>
      <c r="K72" s="64">
        <v>338</v>
      </c>
      <c r="L72" s="64">
        <v>26.1</v>
      </c>
      <c r="M72" s="64">
        <v>34.130000000000003</v>
      </c>
      <c r="N72" s="64">
        <v>133.4</v>
      </c>
      <c r="O72" s="64">
        <v>0</v>
      </c>
      <c r="P72" s="64">
        <v>0.75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2612</v>
      </c>
      <c r="B73" s="64">
        <v>4.5999999999999996</v>
      </c>
      <c r="C73" s="64">
        <v>75.959999999999994</v>
      </c>
      <c r="D73" s="64">
        <v>42</v>
      </c>
      <c r="E73" s="64">
        <v>4.83</v>
      </c>
      <c r="F73" s="64">
        <v>2.13</v>
      </c>
      <c r="G73" s="64">
        <v>71.680000000000007</v>
      </c>
      <c r="H73" s="64">
        <v>25.61</v>
      </c>
      <c r="I73" s="210" t="s">
        <v>43</v>
      </c>
      <c r="J73" s="64">
        <v>2.29</v>
      </c>
      <c r="K73" s="64">
        <v>324.14999999999998</v>
      </c>
      <c r="L73" s="64">
        <v>25.86</v>
      </c>
      <c r="M73" s="64">
        <v>34.32</v>
      </c>
      <c r="N73" s="64">
        <v>123.4</v>
      </c>
      <c r="O73" s="64">
        <v>0</v>
      </c>
      <c r="P73" s="64">
        <v>0.76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2613</v>
      </c>
      <c r="B74" s="64">
        <v>5.22</v>
      </c>
      <c r="C74" s="64">
        <v>77.66</v>
      </c>
      <c r="D74" s="64">
        <v>43.39</v>
      </c>
      <c r="E74" s="64">
        <v>4.55</v>
      </c>
      <c r="F74" s="64">
        <v>2.13</v>
      </c>
      <c r="G74" s="64">
        <v>71.680000000000007</v>
      </c>
      <c r="H74" s="64">
        <v>25.61</v>
      </c>
      <c r="I74" s="210" t="s">
        <v>43</v>
      </c>
      <c r="J74" s="64">
        <v>2.38</v>
      </c>
      <c r="K74" s="64">
        <v>338.08</v>
      </c>
      <c r="L74" s="64">
        <v>25.66</v>
      </c>
      <c r="M74" s="64">
        <v>35.07</v>
      </c>
      <c r="N74" s="64">
        <v>115.8</v>
      </c>
      <c r="O74" s="64">
        <v>0</v>
      </c>
      <c r="P74" s="64">
        <v>0.79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2614</v>
      </c>
      <c r="B75" s="64">
        <v>5.9</v>
      </c>
      <c r="C75" s="64">
        <v>76.39</v>
      </c>
      <c r="D75" s="64">
        <v>43.27</v>
      </c>
      <c r="E75" s="64">
        <v>4.5599999999999996</v>
      </c>
      <c r="F75" s="64">
        <v>2.13</v>
      </c>
      <c r="G75" s="64">
        <v>71.680000000000007</v>
      </c>
      <c r="H75" s="64">
        <v>25.61</v>
      </c>
      <c r="I75" s="210" t="s">
        <v>43</v>
      </c>
      <c r="J75" s="64">
        <v>2.4900000000000002</v>
      </c>
      <c r="K75" s="64">
        <v>314.43</v>
      </c>
      <c r="L75" s="64">
        <v>25.34</v>
      </c>
      <c r="M75" s="64">
        <v>33.840000000000003</v>
      </c>
      <c r="N75" s="64">
        <v>105.9</v>
      </c>
      <c r="O75" s="64">
        <v>0</v>
      </c>
      <c r="P75" s="64">
        <v>0.78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2615</v>
      </c>
      <c r="B76" s="64">
        <v>6.34</v>
      </c>
      <c r="C76" s="64">
        <v>75.790000000000006</v>
      </c>
      <c r="D76" s="64">
        <v>43.31</v>
      </c>
      <c r="E76" s="64">
        <v>4.24</v>
      </c>
      <c r="F76" s="64">
        <v>2.13</v>
      </c>
      <c r="G76" s="64">
        <v>71.09</v>
      </c>
      <c r="H76" s="64">
        <v>24.91</v>
      </c>
      <c r="I76" s="210" t="s">
        <v>43</v>
      </c>
      <c r="J76" s="64">
        <v>3.14</v>
      </c>
      <c r="K76" s="64">
        <v>315.14999999999998</v>
      </c>
      <c r="L76" s="64">
        <v>24.86</v>
      </c>
      <c r="M76" s="64">
        <v>33.43</v>
      </c>
      <c r="N76" s="64">
        <v>98.1</v>
      </c>
      <c r="O76" s="64">
        <v>0</v>
      </c>
      <c r="P76" s="64">
        <v>0.77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2616</v>
      </c>
      <c r="B77" s="64">
        <v>6.16</v>
      </c>
      <c r="C77" s="64">
        <v>74.819999999999993</v>
      </c>
      <c r="D77" s="64">
        <v>42.66</v>
      </c>
      <c r="E77" s="64">
        <v>4.3</v>
      </c>
      <c r="F77" s="64">
        <v>2.13</v>
      </c>
      <c r="G77" s="64">
        <v>70.39</v>
      </c>
      <c r="H77" s="64">
        <v>24.08</v>
      </c>
      <c r="I77" s="210" t="s">
        <v>43</v>
      </c>
      <c r="J77" s="64">
        <v>2.96</v>
      </c>
      <c r="K77" s="64">
        <v>317.74</v>
      </c>
      <c r="L77" s="64">
        <v>24.29</v>
      </c>
      <c r="M77" s="64">
        <v>34.92</v>
      </c>
      <c r="N77" s="64">
        <v>87.5</v>
      </c>
      <c r="O77" s="64">
        <v>0</v>
      </c>
      <c r="P77" s="64">
        <v>0.77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2617</v>
      </c>
      <c r="B78" s="64">
        <v>6.14</v>
      </c>
      <c r="C78" s="64">
        <v>73.650000000000006</v>
      </c>
      <c r="D78" s="64">
        <v>42.03</v>
      </c>
      <c r="E78" s="64">
        <v>4.38</v>
      </c>
      <c r="F78" s="64">
        <v>2.13</v>
      </c>
      <c r="G78" s="64">
        <v>70.39</v>
      </c>
      <c r="H78" s="64">
        <v>24.08</v>
      </c>
      <c r="I78" s="210" t="s">
        <v>43</v>
      </c>
      <c r="J78" s="64">
        <v>2.08</v>
      </c>
      <c r="K78" s="64">
        <v>327.13</v>
      </c>
      <c r="L78" s="64">
        <v>23.62</v>
      </c>
      <c r="M78" s="64">
        <v>38.270000000000003</v>
      </c>
      <c r="N78" s="64">
        <v>81</v>
      </c>
      <c r="O78" s="64">
        <v>0</v>
      </c>
      <c r="P78" s="64">
        <v>0.78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2618</v>
      </c>
      <c r="B79" s="64">
        <v>7.12</v>
      </c>
      <c r="C79" s="64">
        <v>73.540000000000006</v>
      </c>
      <c r="D79" s="64">
        <v>42.76</v>
      </c>
      <c r="E79" s="64">
        <v>4.03</v>
      </c>
      <c r="F79" s="64">
        <v>2.13</v>
      </c>
      <c r="G79" s="64">
        <v>70.39</v>
      </c>
      <c r="H79" s="64">
        <v>24.08</v>
      </c>
      <c r="I79" s="210" t="s">
        <v>43</v>
      </c>
      <c r="J79" s="64">
        <v>1.71</v>
      </c>
      <c r="K79" s="64">
        <v>355.29</v>
      </c>
      <c r="L79" s="64">
        <v>22.7</v>
      </c>
      <c r="M79" s="64">
        <v>41.75</v>
      </c>
      <c r="N79" s="64">
        <v>75.099999999999994</v>
      </c>
      <c r="O79" s="64">
        <v>0</v>
      </c>
      <c r="P79" s="64">
        <v>0.92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2619</v>
      </c>
      <c r="B80" s="64">
        <v>8.76</v>
      </c>
      <c r="C80" s="64">
        <v>73.69</v>
      </c>
      <c r="D80" s="64">
        <v>44.15</v>
      </c>
      <c r="E80" s="64">
        <v>4.32</v>
      </c>
      <c r="F80" s="64">
        <v>2.13</v>
      </c>
      <c r="G80" s="64">
        <v>70.84</v>
      </c>
      <c r="H80" s="64">
        <v>24.01</v>
      </c>
      <c r="I80" s="210" t="s">
        <v>43</v>
      </c>
      <c r="J80" s="64">
        <v>1.38</v>
      </c>
      <c r="K80" s="64">
        <v>354.09</v>
      </c>
      <c r="L80" s="64">
        <v>21.68</v>
      </c>
      <c r="M80" s="64">
        <v>46.16</v>
      </c>
      <c r="N80" s="64">
        <v>71.8</v>
      </c>
      <c r="O80" s="64">
        <v>0</v>
      </c>
      <c r="P80" s="64">
        <v>0.97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2620</v>
      </c>
      <c r="B81" s="64">
        <v>10.52</v>
      </c>
      <c r="C81" s="64">
        <v>73.81</v>
      </c>
      <c r="D81" s="64">
        <v>45.62</v>
      </c>
      <c r="E81" s="64">
        <v>4.33</v>
      </c>
      <c r="F81" s="64">
        <v>2.13</v>
      </c>
      <c r="G81" s="64">
        <v>71.38</v>
      </c>
      <c r="H81" s="64">
        <v>23.92</v>
      </c>
      <c r="I81" s="210" t="s">
        <v>43</v>
      </c>
      <c r="J81" s="64">
        <v>0.89</v>
      </c>
      <c r="K81" s="64">
        <v>354.65</v>
      </c>
      <c r="L81" s="64">
        <v>21.05</v>
      </c>
      <c r="M81" s="64">
        <v>47.42</v>
      </c>
      <c r="N81" s="64">
        <v>70.900000000000006</v>
      </c>
      <c r="O81" s="64">
        <v>0</v>
      </c>
      <c r="P81" s="64">
        <v>1.19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2621</v>
      </c>
      <c r="B82" s="64">
        <v>12.51</v>
      </c>
      <c r="C82" s="64">
        <v>74.87</v>
      </c>
      <c r="D82" s="64">
        <v>47.77</v>
      </c>
      <c r="E82" s="64">
        <v>4.3499999999999996</v>
      </c>
      <c r="F82" s="64">
        <v>2.13</v>
      </c>
      <c r="G82" s="64">
        <v>71.38</v>
      </c>
      <c r="H82" s="64">
        <v>23.92</v>
      </c>
      <c r="I82" s="210" t="s">
        <v>43</v>
      </c>
      <c r="J82" s="64">
        <v>1.82</v>
      </c>
      <c r="K82" s="64">
        <v>289</v>
      </c>
      <c r="L82" s="64">
        <v>20.65</v>
      </c>
      <c r="M82" s="64">
        <v>48.35</v>
      </c>
      <c r="N82" s="64">
        <v>70.8</v>
      </c>
      <c r="O82" s="64">
        <v>0</v>
      </c>
      <c r="P82" s="64">
        <v>1.01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2622</v>
      </c>
      <c r="B83" s="64">
        <v>14.47</v>
      </c>
      <c r="C83" s="64">
        <v>77.17</v>
      </c>
      <c r="D83" s="64">
        <v>50.55</v>
      </c>
      <c r="E83" s="64">
        <v>4.37</v>
      </c>
      <c r="F83" s="64">
        <v>2.13</v>
      </c>
      <c r="G83" s="64">
        <v>71.38</v>
      </c>
      <c r="H83" s="64">
        <v>23.92</v>
      </c>
      <c r="I83" s="210" t="s">
        <v>43</v>
      </c>
      <c r="J83" s="64">
        <v>0.66</v>
      </c>
      <c r="K83" s="64">
        <v>69.05</v>
      </c>
      <c r="L83" s="64">
        <v>20.43</v>
      </c>
      <c r="M83" s="64">
        <v>50.23</v>
      </c>
      <c r="N83" s="64">
        <v>70.8</v>
      </c>
      <c r="O83" s="64">
        <v>0</v>
      </c>
      <c r="P83" s="64">
        <v>1.02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2623</v>
      </c>
      <c r="B84" s="64">
        <v>19.38</v>
      </c>
      <c r="C84" s="64">
        <v>79.05</v>
      </c>
      <c r="D84" s="64">
        <v>55.47</v>
      </c>
      <c r="E84" s="64">
        <v>4.8600000000000003</v>
      </c>
      <c r="F84" s="64">
        <v>2.13</v>
      </c>
      <c r="G84" s="64">
        <v>83.04</v>
      </c>
      <c r="H84" s="64">
        <v>26.16</v>
      </c>
      <c r="I84" s="210" t="s">
        <v>43</v>
      </c>
      <c r="J84" s="64">
        <v>1.1399999999999999</v>
      </c>
      <c r="K84" s="64">
        <v>76.28</v>
      </c>
      <c r="L84" s="64">
        <v>19.88</v>
      </c>
      <c r="M84" s="64">
        <v>54.32</v>
      </c>
      <c r="N84" s="64">
        <v>70.8</v>
      </c>
      <c r="O84" s="64">
        <v>0</v>
      </c>
      <c r="P84" s="64">
        <v>1.2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2624</v>
      </c>
      <c r="B85" s="64">
        <v>29.01</v>
      </c>
      <c r="C85" s="64">
        <v>80.53</v>
      </c>
      <c r="D85" s="64">
        <v>63.96</v>
      </c>
      <c r="E85" s="64">
        <v>5.52</v>
      </c>
      <c r="F85" s="64">
        <v>2.13</v>
      </c>
      <c r="G85" s="64">
        <v>96.97</v>
      </c>
      <c r="H85" s="64">
        <v>28.82</v>
      </c>
      <c r="I85" s="210" t="s">
        <v>43</v>
      </c>
      <c r="J85" s="64">
        <v>1.46</v>
      </c>
      <c r="K85" s="64">
        <v>291.31</v>
      </c>
      <c r="L85" s="64">
        <v>19.440000000000001</v>
      </c>
      <c r="M85" s="64">
        <v>61.38</v>
      </c>
      <c r="N85" s="64">
        <v>70.400000000000006</v>
      </c>
      <c r="O85" s="64">
        <v>0</v>
      </c>
      <c r="P85" s="64">
        <v>1.46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2625</v>
      </c>
      <c r="B86" s="64">
        <v>37.369999999999997</v>
      </c>
      <c r="C86" s="64">
        <v>81.319999999999993</v>
      </c>
      <c r="D86" s="64">
        <v>71.069999999999993</v>
      </c>
      <c r="E86" s="64">
        <v>5.84</v>
      </c>
      <c r="F86" s="64">
        <v>2.13</v>
      </c>
      <c r="G86" s="64">
        <v>96.97</v>
      </c>
      <c r="H86" s="64">
        <v>28.82</v>
      </c>
      <c r="I86" s="210" t="s">
        <v>43</v>
      </c>
      <c r="J86" s="64">
        <v>1.27</v>
      </c>
      <c r="K86" s="64">
        <v>324.8</v>
      </c>
      <c r="L86" s="64">
        <v>19.38</v>
      </c>
      <c r="M86" s="64">
        <v>59.09</v>
      </c>
      <c r="N86" s="64">
        <v>70.099999999999994</v>
      </c>
      <c r="O86" s="64">
        <v>0</v>
      </c>
      <c r="P86" s="64">
        <v>1.42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2626</v>
      </c>
      <c r="B87" s="64">
        <v>48.25</v>
      </c>
      <c r="C87" s="64">
        <v>82.43</v>
      </c>
      <c r="D87" s="64">
        <v>80.38</v>
      </c>
      <c r="E87" s="64">
        <v>5.93</v>
      </c>
      <c r="F87" s="64">
        <v>2.13</v>
      </c>
      <c r="G87" s="64">
        <v>96.97</v>
      </c>
      <c r="H87" s="64">
        <v>28.82</v>
      </c>
      <c r="I87" s="210" t="s">
        <v>43</v>
      </c>
      <c r="J87" s="64">
        <v>1.1499999999999999</v>
      </c>
      <c r="K87" s="64">
        <v>350.9</v>
      </c>
      <c r="L87" s="64">
        <v>19.04</v>
      </c>
      <c r="M87" s="64">
        <v>60.87</v>
      </c>
      <c r="N87" s="64">
        <v>70.099999999999994</v>
      </c>
      <c r="O87" s="64">
        <v>0</v>
      </c>
      <c r="P87" s="64">
        <v>1.67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2627</v>
      </c>
      <c r="B88" s="64">
        <v>57.54</v>
      </c>
      <c r="C88" s="64">
        <v>83.07</v>
      </c>
      <c r="D88" s="64">
        <v>88.17</v>
      </c>
      <c r="E88" s="64">
        <v>6.46</v>
      </c>
      <c r="F88" s="64">
        <v>2.13</v>
      </c>
      <c r="G88" s="64">
        <v>113.6</v>
      </c>
      <c r="H88" s="64">
        <v>33.159999999999997</v>
      </c>
      <c r="I88" s="210" t="s">
        <v>43</v>
      </c>
      <c r="J88" s="64">
        <v>1.8</v>
      </c>
      <c r="K88" s="64">
        <v>265.63</v>
      </c>
      <c r="L88" s="64">
        <v>18.79</v>
      </c>
      <c r="M88" s="64">
        <v>62.67</v>
      </c>
      <c r="N88" s="64">
        <v>70</v>
      </c>
      <c r="O88" s="64">
        <v>0</v>
      </c>
      <c r="P88" s="64">
        <v>1.63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2628</v>
      </c>
      <c r="B89" s="64">
        <v>65.819999999999993</v>
      </c>
      <c r="C89" s="64">
        <v>83.45</v>
      </c>
      <c r="D89" s="64">
        <v>95.01</v>
      </c>
      <c r="E89" s="64">
        <v>6.78</v>
      </c>
      <c r="F89" s="64">
        <v>2.13</v>
      </c>
      <c r="G89" s="64">
        <v>133.49</v>
      </c>
      <c r="H89" s="64">
        <v>38.340000000000003</v>
      </c>
      <c r="I89" s="210" t="s">
        <v>43</v>
      </c>
      <c r="J89" s="64">
        <v>1.82</v>
      </c>
      <c r="K89" s="64">
        <v>273.72000000000003</v>
      </c>
      <c r="L89" s="64">
        <v>18.649999999999999</v>
      </c>
      <c r="M89" s="64">
        <v>61.91</v>
      </c>
      <c r="N89" s="64">
        <v>70</v>
      </c>
      <c r="O89" s="64">
        <v>0</v>
      </c>
      <c r="P89" s="64">
        <v>1.76</v>
      </c>
      <c r="Q89" s="64">
        <v>8.36</v>
      </c>
      <c r="R89" s="198"/>
      <c r="S89" s="198"/>
      <c r="T89" s="198"/>
      <c r="U89" s="198"/>
    </row>
    <row r="90" spans="1:26" s="12" customFormat="1" x14ac:dyDescent="0.25">
      <c r="A90" s="214" t="s">
        <v>2629</v>
      </c>
      <c r="B90" s="64">
        <v>71.930000000000007</v>
      </c>
      <c r="C90" s="64">
        <v>83.7</v>
      </c>
      <c r="D90" s="64">
        <v>100.03</v>
      </c>
      <c r="E90" s="64">
        <v>7.34</v>
      </c>
      <c r="F90" s="64">
        <v>2.13</v>
      </c>
      <c r="G90" s="64">
        <v>133.49</v>
      </c>
      <c r="H90" s="64">
        <v>38.340000000000003</v>
      </c>
      <c r="I90" s="210" t="s">
        <v>43</v>
      </c>
      <c r="J90" s="64">
        <v>0.43</v>
      </c>
      <c r="K90" s="64">
        <v>333.54</v>
      </c>
      <c r="L90" s="64">
        <v>18.55</v>
      </c>
      <c r="M90" s="64">
        <v>64.58</v>
      </c>
      <c r="N90" s="64">
        <v>70</v>
      </c>
      <c r="O90" s="64">
        <v>0</v>
      </c>
      <c r="P90" s="64">
        <v>1.77</v>
      </c>
      <c r="Q90" s="64">
        <v>8.73</v>
      </c>
      <c r="R90" s="198"/>
      <c r="S90" s="198"/>
      <c r="T90" s="198"/>
      <c r="U90" s="198"/>
    </row>
    <row r="91" spans="1:26" s="12" customFormat="1" x14ac:dyDescent="0.25">
      <c r="A91" s="214" t="s">
        <v>2630</v>
      </c>
      <c r="B91" s="64">
        <v>80.59</v>
      </c>
      <c r="C91" s="64">
        <v>82.63</v>
      </c>
      <c r="D91" s="64">
        <v>106.43</v>
      </c>
      <c r="E91" s="64">
        <v>7.64</v>
      </c>
      <c r="F91" s="64">
        <v>2.13</v>
      </c>
      <c r="G91" s="64">
        <v>133.49</v>
      </c>
      <c r="H91" s="64">
        <v>38.340000000000003</v>
      </c>
      <c r="I91" s="210" t="s">
        <v>43</v>
      </c>
      <c r="J91" s="64">
        <v>1.69</v>
      </c>
      <c r="K91" s="64">
        <v>337.04</v>
      </c>
      <c r="L91" s="64">
        <v>18.3</v>
      </c>
      <c r="M91" s="64">
        <v>71.22</v>
      </c>
      <c r="N91" s="64">
        <v>69.900000000000006</v>
      </c>
      <c r="O91" s="64">
        <v>0</v>
      </c>
      <c r="P91" s="64">
        <v>2.4</v>
      </c>
      <c r="Q91" s="64">
        <v>9.0299999999999994</v>
      </c>
      <c r="R91" s="198"/>
      <c r="S91" s="198"/>
      <c r="T91" s="198"/>
      <c r="U91" s="198"/>
    </row>
    <row r="92" spans="1:26" s="12" customFormat="1" x14ac:dyDescent="0.25">
      <c r="A92" s="214" t="s">
        <v>2631</v>
      </c>
      <c r="B92" s="64">
        <v>90.2</v>
      </c>
      <c r="C92" s="64">
        <v>79.040000000000006</v>
      </c>
      <c r="D92" s="64">
        <v>112.25</v>
      </c>
      <c r="E92" s="64">
        <v>7.74</v>
      </c>
      <c r="F92" s="64">
        <v>2.13</v>
      </c>
      <c r="G92" s="64">
        <v>164.59</v>
      </c>
      <c r="H92" s="64">
        <v>41.53</v>
      </c>
      <c r="I92" s="210" t="s">
        <v>43</v>
      </c>
      <c r="J92" s="64">
        <v>1.01</v>
      </c>
      <c r="K92" s="64">
        <v>292.89999999999998</v>
      </c>
      <c r="L92" s="64">
        <v>18.05</v>
      </c>
      <c r="M92" s="64">
        <v>72.400000000000006</v>
      </c>
      <c r="N92" s="64">
        <v>69.8</v>
      </c>
      <c r="O92" s="64">
        <v>0</v>
      </c>
      <c r="P92" s="64">
        <v>2.71</v>
      </c>
      <c r="Q92" s="64">
        <v>9.3699999999999992</v>
      </c>
      <c r="R92" s="198"/>
      <c r="S92" s="198"/>
      <c r="T92" s="198"/>
      <c r="U92" s="198"/>
    </row>
    <row r="93" spans="1:26" s="12" customFormat="1" x14ac:dyDescent="0.25">
      <c r="A93" s="214" t="s">
        <v>2632</v>
      </c>
      <c r="B93" s="64">
        <v>95.77</v>
      </c>
      <c r="C93" s="64">
        <v>78.91</v>
      </c>
      <c r="D93" s="64">
        <v>116.65</v>
      </c>
      <c r="E93" s="64">
        <v>7.55</v>
      </c>
      <c r="F93" s="64">
        <v>2.13</v>
      </c>
      <c r="G93" s="64">
        <v>201.75</v>
      </c>
      <c r="H93" s="64">
        <v>45.34</v>
      </c>
      <c r="I93" s="210" t="s">
        <v>43</v>
      </c>
      <c r="J93" s="64">
        <v>1.73</v>
      </c>
      <c r="K93" s="64">
        <v>261.64999999999998</v>
      </c>
      <c r="L93" s="64">
        <v>18.11</v>
      </c>
      <c r="M93" s="64">
        <v>70.84</v>
      </c>
      <c r="N93" s="64">
        <v>69.8</v>
      </c>
      <c r="O93" s="64">
        <v>0</v>
      </c>
      <c r="P93" s="64">
        <v>2.6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4" t="s">
        <v>2633</v>
      </c>
      <c r="B94" s="64">
        <v>99.85</v>
      </c>
      <c r="C94" s="64">
        <v>78.38</v>
      </c>
      <c r="D94" s="64">
        <v>119.64</v>
      </c>
      <c r="E94" s="64">
        <v>7.34</v>
      </c>
      <c r="F94" s="64">
        <v>2.13</v>
      </c>
      <c r="G94" s="64">
        <v>201.75</v>
      </c>
      <c r="H94" s="64">
        <v>45.34</v>
      </c>
      <c r="I94" s="210" t="s">
        <v>43</v>
      </c>
      <c r="J94" s="64">
        <v>1.07</v>
      </c>
      <c r="K94" s="64">
        <v>293.67</v>
      </c>
      <c r="L94" s="64">
        <v>17.850000000000001</v>
      </c>
      <c r="M94" s="64">
        <v>71.61</v>
      </c>
      <c r="N94" s="64">
        <v>69.900000000000006</v>
      </c>
      <c r="O94" s="64">
        <v>0</v>
      </c>
      <c r="P94" s="64">
        <v>2.5499999999999998</v>
      </c>
      <c r="Q94" s="64">
        <v>9.4700000000000006</v>
      </c>
      <c r="R94" s="198"/>
      <c r="S94" s="198"/>
      <c r="T94" s="198"/>
      <c r="U94" s="198"/>
    </row>
    <row r="95" spans="1:26" s="12" customFormat="1" x14ac:dyDescent="0.25">
      <c r="A95" s="214" t="s">
        <v>2634</v>
      </c>
      <c r="B95" s="64">
        <v>105.91</v>
      </c>
      <c r="C95" s="64">
        <v>77.400000000000006</v>
      </c>
      <c r="D95" s="64">
        <v>123.99</v>
      </c>
      <c r="E95" s="64">
        <v>7.59</v>
      </c>
      <c r="F95" s="64">
        <v>2.13</v>
      </c>
      <c r="G95" s="64">
        <v>201.75</v>
      </c>
      <c r="H95" s="64">
        <v>45.34</v>
      </c>
      <c r="I95" s="210" t="s">
        <v>43</v>
      </c>
      <c r="J95" s="64">
        <v>1.78</v>
      </c>
      <c r="K95" s="64">
        <v>287.16000000000003</v>
      </c>
      <c r="L95" s="64">
        <v>17.52</v>
      </c>
      <c r="M95" s="64">
        <v>74.89</v>
      </c>
      <c r="N95" s="64">
        <v>70</v>
      </c>
      <c r="O95" s="64">
        <v>0</v>
      </c>
      <c r="P95" s="64">
        <v>2.5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14" t="s">
        <v>2635</v>
      </c>
      <c r="B96" s="64">
        <v>112.88</v>
      </c>
      <c r="C96" s="64">
        <v>76.81</v>
      </c>
      <c r="D96" s="64">
        <v>129.27000000000001</v>
      </c>
      <c r="E96" s="64">
        <v>7.84</v>
      </c>
      <c r="F96" s="64">
        <v>2.13</v>
      </c>
      <c r="G96" s="64">
        <v>206.21</v>
      </c>
      <c r="H96" s="64">
        <v>49.25</v>
      </c>
      <c r="I96" s="210" t="s">
        <v>43</v>
      </c>
      <c r="J96" s="64">
        <v>1.83</v>
      </c>
      <c r="K96" s="64">
        <v>288.8</v>
      </c>
      <c r="L96" s="64">
        <v>17.27</v>
      </c>
      <c r="M96" s="64">
        <v>77.06</v>
      </c>
      <c r="N96" s="64">
        <v>70</v>
      </c>
      <c r="O96" s="64">
        <v>0</v>
      </c>
      <c r="P96" s="64">
        <v>2.75</v>
      </c>
      <c r="Q96" s="64">
        <v>9.49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2636</v>
      </c>
      <c r="B97" s="64">
        <v>118.93</v>
      </c>
      <c r="C97" s="64">
        <v>75.81</v>
      </c>
      <c r="D97" s="64">
        <v>133.6</v>
      </c>
      <c r="E97" s="64">
        <v>7.49</v>
      </c>
      <c r="F97" s="64">
        <v>2.13</v>
      </c>
      <c r="G97" s="64">
        <v>211.53</v>
      </c>
      <c r="H97" s="64">
        <v>53.93</v>
      </c>
      <c r="I97" s="210" t="s">
        <v>43</v>
      </c>
      <c r="J97" s="64">
        <v>1.8</v>
      </c>
      <c r="K97" s="64">
        <v>277.92</v>
      </c>
      <c r="L97" s="64">
        <v>16.98</v>
      </c>
      <c r="M97" s="64">
        <v>78.72</v>
      </c>
      <c r="N97" s="64">
        <v>69.400000000000006</v>
      </c>
      <c r="O97" s="64">
        <v>0</v>
      </c>
      <c r="P97" s="64">
        <v>2.5499999999999998</v>
      </c>
      <c r="Q97" s="64">
        <v>9.51</v>
      </c>
      <c r="R97" s="198"/>
      <c r="S97" s="198"/>
      <c r="T97" s="198"/>
      <c r="U97" s="198"/>
    </row>
    <row r="98" spans="1:33" s="12" customFormat="1" x14ac:dyDescent="0.25">
      <c r="A98" s="214" t="s">
        <v>2637</v>
      </c>
      <c r="B98" s="64">
        <v>123.91</v>
      </c>
      <c r="C98" s="64">
        <v>74.400000000000006</v>
      </c>
      <c r="D98" s="64">
        <v>136.86000000000001</v>
      </c>
      <c r="E98" s="64">
        <v>7.54</v>
      </c>
      <c r="F98" s="64">
        <v>2.13</v>
      </c>
      <c r="G98" s="64">
        <v>211.53</v>
      </c>
      <c r="H98" s="64">
        <v>53.93</v>
      </c>
      <c r="I98" s="210" t="s">
        <v>43</v>
      </c>
      <c r="J98" s="64">
        <v>1.81</v>
      </c>
      <c r="K98" s="64">
        <v>277.7</v>
      </c>
      <c r="L98" s="64">
        <v>16.82</v>
      </c>
      <c r="M98" s="64">
        <v>79.59</v>
      </c>
      <c r="N98" s="64">
        <v>69.5</v>
      </c>
      <c r="O98" s="64">
        <v>0</v>
      </c>
      <c r="P98" s="64">
        <v>2.56</v>
      </c>
      <c r="Q98" s="64">
        <v>9.57</v>
      </c>
      <c r="R98" s="198"/>
      <c r="S98" s="198"/>
      <c r="T98" s="198"/>
      <c r="U98" s="198"/>
    </row>
    <row r="99" spans="1:33" s="12" customFormat="1" x14ac:dyDescent="0.25">
      <c r="A99" s="214" t="s">
        <v>2638</v>
      </c>
      <c r="B99" s="64">
        <v>128</v>
      </c>
      <c r="C99" s="64">
        <v>76.069999999999993</v>
      </c>
      <c r="D99" s="64">
        <v>141.02000000000001</v>
      </c>
      <c r="E99" s="64">
        <v>7.43</v>
      </c>
      <c r="F99" s="64">
        <v>2.13</v>
      </c>
      <c r="G99" s="64">
        <v>211.53</v>
      </c>
      <c r="H99" s="64">
        <v>53.93</v>
      </c>
      <c r="I99" s="210" t="s">
        <v>43</v>
      </c>
      <c r="J99" s="64">
        <v>1.83</v>
      </c>
      <c r="K99" s="64">
        <v>278.08</v>
      </c>
      <c r="L99" s="64">
        <v>16.600000000000001</v>
      </c>
      <c r="M99" s="64">
        <v>80.349999999999994</v>
      </c>
      <c r="N99" s="64">
        <v>69.2</v>
      </c>
      <c r="O99" s="64">
        <v>0</v>
      </c>
      <c r="P99" s="64">
        <v>2.4500000000000002</v>
      </c>
      <c r="Q99" s="64">
        <v>9.5500000000000007</v>
      </c>
      <c r="R99" s="198"/>
      <c r="S99" s="198"/>
      <c r="T99" s="198"/>
      <c r="U99" s="198"/>
    </row>
    <row r="100" spans="1:33" s="12" customFormat="1" x14ac:dyDescent="0.25">
      <c r="A100" s="214" t="s">
        <v>2639</v>
      </c>
      <c r="B100" s="64">
        <v>131.4</v>
      </c>
      <c r="C100" s="64">
        <v>76.900000000000006</v>
      </c>
      <c r="D100" s="64">
        <v>144.18</v>
      </c>
      <c r="E100" s="64">
        <v>7.97</v>
      </c>
      <c r="F100" s="64">
        <v>2.13</v>
      </c>
      <c r="G100" s="64">
        <v>207.56</v>
      </c>
      <c r="H100" s="64">
        <v>55.19</v>
      </c>
      <c r="I100" s="210" t="s">
        <v>43</v>
      </c>
      <c r="J100" s="64">
        <v>1.79</v>
      </c>
      <c r="K100" s="64">
        <v>297.10000000000002</v>
      </c>
      <c r="L100" s="64">
        <v>16.38</v>
      </c>
      <c r="M100" s="64">
        <v>82.53</v>
      </c>
      <c r="N100" s="64">
        <v>68.900000000000006</v>
      </c>
      <c r="O100" s="64">
        <v>0</v>
      </c>
      <c r="P100" s="64">
        <v>2.5099999999999998</v>
      </c>
      <c r="Q100" s="64">
        <v>9.58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2640</v>
      </c>
      <c r="B101" s="64">
        <v>133.33000000000001</v>
      </c>
      <c r="C101" s="64">
        <v>76.08</v>
      </c>
      <c r="D101" s="64">
        <v>145.29</v>
      </c>
      <c r="E101" s="64">
        <v>7.54</v>
      </c>
      <c r="F101" s="64">
        <v>2.13</v>
      </c>
      <c r="G101" s="64">
        <v>202.82</v>
      </c>
      <c r="H101" s="64">
        <v>56.69</v>
      </c>
      <c r="I101" s="210" t="s">
        <v>43</v>
      </c>
      <c r="J101" s="64">
        <v>1.77</v>
      </c>
      <c r="K101" s="64">
        <v>301.23</v>
      </c>
      <c r="L101" s="64">
        <v>16.12</v>
      </c>
      <c r="M101" s="64">
        <v>84.87</v>
      </c>
      <c r="N101" s="64">
        <v>68.8</v>
      </c>
      <c r="O101" s="64">
        <v>0</v>
      </c>
      <c r="P101" s="64">
        <v>2.5299999999999998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4" t="s">
        <v>2641</v>
      </c>
      <c r="B102" s="64">
        <v>135.05000000000001</v>
      </c>
      <c r="C102" s="64">
        <v>75.33</v>
      </c>
      <c r="D102" s="64">
        <v>146.28</v>
      </c>
      <c r="E102" s="64">
        <v>8.06</v>
      </c>
      <c r="F102" s="64">
        <v>2.13</v>
      </c>
      <c r="G102" s="64">
        <v>202.82</v>
      </c>
      <c r="H102" s="64">
        <v>56.69</v>
      </c>
      <c r="I102" s="210" t="s">
        <v>43</v>
      </c>
      <c r="J102" s="64">
        <v>1.75</v>
      </c>
      <c r="K102" s="64">
        <v>344.47</v>
      </c>
      <c r="L102" s="64">
        <v>15.86</v>
      </c>
      <c r="M102" s="64">
        <v>88.78</v>
      </c>
      <c r="N102" s="64">
        <v>68.599999999999994</v>
      </c>
      <c r="O102" s="64">
        <v>0</v>
      </c>
      <c r="P102" s="64">
        <v>2.6</v>
      </c>
      <c r="Q102" s="64">
        <v>9.67</v>
      </c>
      <c r="R102" s="198"/>
      <c r="S102" s="198"/>
      <c r="T102" s="198"/>
      <c r="U102" s="198"/>
    </row>
    <row r="103" spans="1:33" s="12" customFormat="1" x14ac:dyDescent="0.25">
      <c r="A103" s="214" t="s">
        <v>2642</v>
      </c>
      <c r="B103" s="64">
        <v>139.01</v>
      </c>
      <c r="C103" s="64">
        <v>74.83</v>
      </c>
      <c r="D103" s="64">
        <v>149.19999999999999</v>
      </c>
      <c r="E103" s="64">
        <v>8.02</v>
      </c>
      <c r="F103" s="64">
        <v>2.13</v>
      </c>
      <c r="G103" s="64">
        <v>202.82</v>
      </c>
      <c r="H103" s="64">
        <v>56.69</v>
      </c>
      <c r="I103" s="210" t="s">
        <v>43</v>
      </c>
      <c r="J103" s="64">
        <v>1.3</v>
      </c>
      <c r="K103" s="64">
        <v>330.28</v>
      </c>
      <c r="L103" s="64">
        <v>15.8</v>
      </c>
      <c r="M103" s="64">
        <v>88.65</v>
      </c>
      <c r="N103" s="64">
        <v>68.099999999999994</v>
      </c>
      <c r="O103" s="64">
        <v>0</v>
      </c>
      <c r="P103" s="64">
        <v>2.64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4" t="s">
        <v>2643</v>
      </c>
      <c r="B104" s="64">
        <v>140.29</v>
      </c>
      <c r="C104" s="64">
        <v>74.39</v>
      </c>
      <c r="D104" s="64">
        <v>149.99</v>
      </c>
      <c r="E104" s="64">
        <v>8.3000000000000007</v>
      </c>
      <c r="F104" s="64">
        <v>2.13</v>
      </c>
      <c r="G104" s="64">
        <v>193.57</v>
      </c>
      <c r="H104" s="64">
        <v>56.91</v>
      </c>
      <c r="I104" s="210" t="s">
        <v>43</v>
      </c>
      <c r="J104" s="64">
        <v>0.46</v>
      </c>
      <c r="K104" s="64">
        <v>339.91</v>
      </c>
      <c r="L104" s="64">
        <v>16.489999999999998</v>
      </c>
      <c r="M104" s="64">
        <v>77.63</v>
      </c>
      <c r="N104" s="64">
        <v>67.900000000000006</v>
      </c>
      <c r="O104" s="64">
        <v>0</v>
      </c>
      <c r="P104" s="64">
        <v>2.6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3.42</v>
      </c>
      <c r="C106" s="67">
        <f>MIN(C9:C104)</f>
        <v>60.64</v>
      </c>
      <c r="D106" s="67">
        <f t="shared" ref="D106:Q106" si="0">MIN(D9:D104)</f>
        <v>38.869999999999997</v>
      </c>
      <c r="E106" s="67">
        <f t="shared" si="0"/>
        <v>3.8</v>
      </c>
      <c r="F106" s="67">
        <f t="shared" si="0"/>
        <v>2.13</v>
      </c>
      <c r="G106" s="67">
        <f t="shared" si="0"/>
        <v>61.61</v>
      </c>
      <c r="H106" s="67">
        <f t="shared" si="0"/>
        <v>23.55</v>
      </c>
      <c r="I106" s="67">
        <f t="shared" si="0"/>
        <v>0</v>
      </c>
      <c r="J106" s="67">
        <f t="shared" si="0"/>
        <v>0.17</v>
      </c>
      <c r="K106" s="67">
        <f t="shared" si="0"/>
        <v>2.13</v>
      </c>
      <c r="L106" s="67">
        <f t="shared" si="0"/>
        <v>13.18</v>
      </c>
      <c r="M106" s="67">
        <f t="shared" si="0"/>
        <v>32.29</v>
      </c>
      <c r="N106" s="67">
        <f t="shared" si="0"/>
        <v>67.900000000000006</v>
      </c>
      <c r="O106" s="67">
        <f t="shared" si="0"/>
        <v>0</v>
      </c>
      <c r="P106" s="67">
        <f t="shared" si="0"/>
        <v>0.7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202.64</v>
      </c>
      <c r="C107" s="66">
        <f t="shared" ref="C107:Q107" si="1">MAX(C9:C104)</f>
        <v>83.7</v>
      </c>
      <c r="D107" s="66">
        <f t="shared" si="1"/>
        <v>200.2</v>
      </c>
      <c r="E107" s="66">
        <f t="shared" si="1"/>
        <v>8.44</v>
      </c>
      <c r="F107" s="66">
        <f t="shared" si="1"/>
        <v>2.97</v>
      </c>
      <c r="G107" s="66">
        <f t="shared" si="1"/>
        <v>211.53</v>
      </c>
      <c r="H107" s="66">
        <f t="shared" si="1"/>
        <v>56.91</v>
      </c>
      <c r="I107" s="66">
        <f t="shared" si="1"/>
        <v>0</v>
      </c>
      <c r="J107" s="66">
        <f t="shared" si="1"/>
        <v>3.14</v>
      </c>
      <c r="K107" s="66">
        <f t="shared" si="1"/>
        <v>359.19</v>
      </c>
      <c r="L107" s="66">
        <f t="shared" si="1"/>
        <v>27.99</v>
      </c>
      <c r="M107" s="66">
        <f t="shared" si="1"/>
        <v>97.35</v>
      </c>
      <c r="N107" s="66">
        <f t="shared" si="1"/>
        <v>605.5</v>
      </c>
      <c r="O107" s="66">
        <f t="shared" si="1"/>
        <v>0</v>
      </c>
      <c r="P107" s="66">
        <f t="shared" si="1"/>
        <v>2.75</v>
      </c>
      <c r="Q107" s="66">
        <f t="shared" si="1"/>
        <v>10.210000000000001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63.560104166666697</v>
      </c>
      <c r="C108" s="67">
        <f t="shared" ref="C108:Q108" si="2">AVERAGE(C9:C104)</f>
        <v>71.51520833333332</v>
      </c>
      <c r="D108" s="67">
        <f t="shared" si="2"/>
        <v>86.95812500000001</v>
      </c>
      <c r="E108" s="67">
        <f t="shared" si="2"/>
        <v>6.179062499999997</v>
      </c>
      <c r="F108" s="67">
        <f t="shared" si="2"/>
        <v>2.1547916666666644</v>
      </c>
      <c r="G108" s="67">
        <f t="shared" si="2"/>
        <v>97.224687500000002</v>
      </c>
      <c r="H108" s="67">
        <f t="shared" si="2"/>
        <v>32.796770833333333</v>
      </c>
      <c r="I108" s="67" t="e">
        <f t="shared" si="2"/>
        <v>#DIV/0!</v>
      </c>
      <c r="J108" s="67">
        <f t="shared" si="2"/>
        <v>1.4418749999999998</v>
      </c>
      <c r="K108" s="67">
        <f t="shared" si="2"/>
        <v>248.7983333333334</v>
      </c>
      <c r="L108" s="67">
        <f t="shared" si="2"/>
        <v>19.659166666666657</v>
      </c>
      <c r="M108" s="67">
        <f t="shared" si="2"/>
        <v>63.241979166666674</v>
      </c>
      <c r="N108" s="67">
        <f t="shared" si="2"/>
        <v>194.98333333333332</v>
      </c>
      <c r="O108" s="67">
        <f t="shared" si="2"/>
        <v>0</v>
      </c>
      <c r="P108" s="67">
        <f t="shared" si="2"/>
        <v>1.3545833333333335</v>
      </c>
      <c r="Q108" s="67">
        <f t="shared" si="2"/>
        <v>8.7409375000000029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54.30545905474812</v>
      </c>
      <c r="C109" s="67">
        <f t="shared" ref="C109:Q109" si="3">STDEV(C9:C104)</f>
        <v>6.2327111578504102</v>
      </c>
      <c r="D109" s="67">
        <f t="shared" si="3"/>
        <v>43.185704269925566</v>
      </c>
      <c r="E109" s="67">
        <f t="shared" si="3"/>
        <v>1.0981113720959084</v>
      </c>
      <c r="F109" s="67">
        <f t="shared" si="3"/>
        <v>0.1309638693980873</v>
      </c>
      <c r="G109" s="67">
        <f t="shared" si="3"/>
        <v>44.411150779793211</v>
      </c>
      <c r="H109" s="67">
        <f t="shared" si="3"/>
        <v>9.2867131452234588</v>
      </c>
      <c r="I109" s="67" t="e">
        <f t="shared" si="3"/>
        <v>#DIV/0!</v>
      </c>
      <c r="J109" s="67">
        <f t="shared" si="3"/>
        <v>0.69505518523806209</v>
      </c>
      <c r="K109" s="67">
        <f t="shared" si="3"/>
        <v>113.06928474604591</v>
      </c>
      <c r="L109" s="67">
        <f t="shared" si="3"/>
        <v>4.8126208346644068</v>
      </c>
      <c r="M109" s="67">
        <f t="shared" si="3"/>
        <v>20.95154422746327</v>
      </c>
      <c r="N109" s="67">
        <f t="shared" si="3"/>
        <v>190.17121685286187</v>
      </c>
      <c r="O109" s="67">
        <f t="shared" si="3"/>
        <v>0</v>
      </c>
      <c r="P109" s="67">
        <f t="shared" si="3"/>
        <v>0.64429466398154089</v>
      </c>
      <c r="Q109" s="67">
        <f t="shared" si="3"/>
        <v>0.70846918459895958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8" sqref="G1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2644</v>
      </c>
      <c r="B9" s="64">
        <v>135.91999999999999</v>
      </c>
      <c r="C9" s="64">
        <v>73.510000000000005</v>
      </c>
      <c r="D9" s="64">
        <v>146.03</v>
      </c>
      <c r="E9" s="64">
        <v>9.0399999999999991</v>
      </c>
      <c r="F9" s="64">
        <v>2.13</v>
      </c>
      <c r="G9" s="64">
        <v>182.52</v>
      </c>
      <c r="H9" s="64">
        <v>57.17</v>
      </c>
      <c r="I9" s="210" t="s">
        <v>43</v>
      </c>
      <c r="J9" s="64">
        <v>0.46</v>
      </c>
      <c r="K9" s="64">
        <v>37.869999999999997</v>
      </c>
      <c r="L9" s="64">
        <v>16.64</v>
      </c>
      <c r="M9" s="64">
        <v>75.72</v>
      </c>
      <c r="N9" s="64">
        <v>68.3</v>
      </c>
      <c r="O9" s="64">
        <v>0</v>
      </c>
      <c r="P9" s="64">
        <v>2.56</v>
      </c>
      <c r="Q9" s="64">
        <v>9.77</v>
      </c>
      <c r="R9" s="198"/>
      <c r="S9" s="198"/>
      <c r="T9" s="198"/>
      <c r="U9" s="198"/>
    </row>
    <row r="10" spans="1:21" s="12" customFormat="1" x14ac:dyDescent="0.25">
      <c r="A10" s="214" t="s">
        <v>2645</v>
      </c>
      <c r="B10" s="64">
        <v>128.82</v>
      </c>
      <c r="C10" s="64">
        <v>72.33</v>
      </c>
      <c r="D10" s="64">
        <v>139.72</v>
      </c>
      <c r="E10" s="64">
        <v>8.94</v>
      </c>
      <c r="F10" s="64">
        <v>2.13</v>
      </c>
      <c r="G10" s="64">
        <v>182.52</v>
      </c>
      <c r="H10" s="64">
        <v>57.17</v>
      </c>
      <c r="I10" s="210" t="s">
        <v>43</v>
      </c>
      <c r="J10" s="64">
        <v>0.73</v>
      </c>
      <c r="K10" s="64">
        <v>357.95</v>
      </c>
      <c r="L10" s="64">
        <v>16.55</v>
      </c>
      <c r="M10" s="64">
        <v>75.569999999999993</v>
      </c>
      <c r="N10" s="64">
        <v>68.5</v>
      </c>
      <c r="O10" s="64">
        <v>0</v>
      </c>
      <c r="P10" s="64">
        <v>2.48</v>
      </c>
      <c r="Q10" s="64">
        <v>9.7799999999999994</v>
      </c>
      <c r="R10" s="198"/>
      <c r="S10" s="198"/>
      <c r="T10" s="198"/>
      <c r="U10" s="198"/>
    </row>
    <row r="11" spans="1:21" s="12" customFormat="1" x14ac:dyDescent="0.25">
      <c r="A11" s="214" t="s">
        <v>2646</v>
      </c>
      <c r="B11" s="64">
        <v>121.45</v>
      </c>
      <c r="C11" s="64">
        <v>71.36</v>
      </c>
      <c r="D11" s="64">
        <v>133.30000000000001</v>
      </c>
      <c r="E11" s="64">
        <v>8.18</v>
      </c>
      <c r="F11" s="64">
        <v>2.13</v>
      </c>
      <c r="G11" s="64">
        <v>182.52</v>
      </c>
      <c r="H11" s="64">
        <v>57.17</v>
      </c>
      <c r="I11" s="210" t="s">
        <v>43</v>
      </c>
      <c r="J11" s="64">
        <v>1.66</v>
      </c>
      <c r="K11" s="64">
        <v>342.6</v>
      </c>
      <c r="L11" s="64">
        <v>16.13</v>
      </c>
      <c r="M11" s="64">
        <v>79.2</v>
      </c>
      <c r="N11" s="64">
        <v>68.8</v>
      </c>
      <c r="O11" s="64">
        <v>0</v>
      </c>
      <c r="P11" s="64">
        <v>2.41</v>
      </c>
      <c r="Q11" s="64">
        <v>9.77</v>
      </c>
      <c r="R11" s="198"/>
      <c r="S11" s="198"/>
      <c r="T11" s="198"/>
      <c r="U11" s="198"/>
    </row>
    <row r="12" spans="1:21" s="12" customFormat="1" x14ac:dyDescent="0.25">
      <c r="A12" s="214" t="s">
        <v>2647</v>
      </c>
      <c r="B12" s="64">
        <v>115.13</v>
      </c>
      <c r="C12" s="64">
        <v>68.16</v>
      </c>
      <c r="D12" s="64">
        <v>126.56</v>
      </c>
      <c r="E12" s="64">
        <v>8.25</v>
      </c>
      <c r="F12" s="64">
        <v>2.13</v>
      </c>
      <c r="G12" s="64">
        <v>137</v>
      </c>
      <c r="H12" s="64">
        <v>51.42</v>
      </c>
      <c r="I12" s="210" t="s">
        <v>43</v>
      </c>
      <c r="J12" s="64">
        <v>1.28</v>
      </c>
      <c r="K12" s="64">
        <v>53.39</v>
      </c>
      <c r="L12" s="64">
        <v>15.9</v>
      </c>
      <c r="M12" s="64">
        <v>80.92</v>
      </c>
      <c r="N12" s="64">
        <v>68.5</v>
      </c>
      <c r="O12" s="64">
        <v>0</v>
      </c>
      <c r="P12" s="64">
        <v>2.16</v>
      </c>
      <c r="Q12" s="64">
        <v>9.73</v>
      </c>
      <c r="R12" s="198"/>
      <c r="S12" s="198"/>
      <c r="T12" s="198"/>
      <c r="U12" s="198"/>
    </row>
    <row r="13" spans="1:21" s="12" customFormat="1" x14ac:dyDescent="0.25">
      <c r="A13" s="214" t="s">
        <v>2648</v>
      </c>
      <c r="B13" s="64">
        <v>110.26</v>
      </c>
      <c r="C13" s="64">
        <v>65.5</v>
      </c>
      <c r="D13" s="64">
        <v>121.26</v>
      </c>
      <c r="E13" s="64">
        <v>7.29</v>
      </c>
      <c r="F13" s="64">
        <v>2.13</v>
      </c>
      <c r="G13" s="64">
        <v>82.59</v>
      </c>
      <c r="H13" s="64">
        <v>44.54</v>
      </c>
      <c r="I13" s="210" t="s">
        <v>43</v>
      </c>
      <c r="J13" s="64">
        <v>1.19</v>
      </c>
      <c r="K13" s="64">
        <v>7.34</v>
      </c>
      <c r="L13" s="64">
        <v>15.47</v>
      </c>
      <c r="M13" s="64">
        <v>84.66</v>
      </c>
      <c r="N13" s="64">
        <v>68.7</v>
      </c>
      <c r="O13" s="64">
        <v>0</v>
      </c>
      <c r="P13" s="64">
        <v>1.91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4" t="s">
        <v>2649</v>
      </c>
      <c r="B14" s="64">
        <v>105.88</v>
      </c>
      <c r="C14" s="64">
        <v>65.52</v>
      </c>
      <c r="D14" s="64">
        <v>117.76</v>
      </c>
      <c r="E14" s="64">
        <v>7.39</v>
      </c>
      <c r="F14" s="64">
        <v>2.13</v>
      </c>
      <c r="G14" s="64">
        <v>82.59</v>
      </c>
      <c r="H14" s="64">
        <v>44.54</v>
      </c>
      <c r="I14" s="210" t="s">
        <v>43</v>
      </c>
      <c r="J14" s="64">
        <v>1.08</v>
      </c>
      <c r="K14" s="64">
        <v>356.51</v>
      </c>
      <c r="L14" s="64">
        <v>15.22</v>
      </c>
      <c r="M14" s="64">
        <v>83.89</v>
      </c>
      <c r="N14" s="64">
        <v>68.400000000000006</v>
      </c>
      <c r="O14" s="64">
        <v>0</v>
      </c>
      <c r="P14" s="64">
        <v>1.89</v>
      </c>
      <c r="Q14" s="64">
        <v>9.65</v>
      </c>
      <c r="R14" s="198"/>
      <c r="S14" s="198"/>
      <c r="T14" s="198"/>
      <c r="U14" s="198"/>
    </row>
    <row r="15" spans="1:21" s="12" customFormat="1" x14ac:dyDescent="0.25">
      <c r="A15" s="214" t="s">
        <v>2650</v>
      </c>
      <c r="B15" s="64">
        <v>101.6</v>
      </c>
      <c r="C15" s="64">
        <v>65.13</v>
      </c>
      <c r="D15" s="64">
        <v>114.13</v>
      </c>
      <c r="E15" s="64">
        <v>7.71</v>
      </c>
      <c r="F15" s="64">
        <v>2.13</v>
      </c>
      <c r="G15" s="64">
        <v>82.59</v>
      </c>
      <c r="H15" s="64">
        <v>44.54</v>
      </c>
      <c r="I15" s="210" t="s">
        <v>43</v>
      </c>
      <c r="J15" s="64">
        <v>2.0499999999999998</v>
      </c>
      <c r="K15" s="64">
        <v>352.04</v>
      </c>
      <c r="L15" s="64">
        <v>15.25</v>
      </c>
      <c r="M15" s="64">
        <v>82.41</v>
      </c>
      <c r="N15" s="64">
        <v>68.099999999999994</v>
      </c>
      <c r="O15" s="64">
        <v>0</v>
      </c>
      <c r="P15" s="64">
        <v>1.82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4" t="s">
        <v>2651</v>
      </c>
      <c r="B16" s="64">
        <v>97.25</v>
      </c>
      <c r="C16" s="64">
        <v>64.959999999999994</v>
      </c>
      <c r="D16" s="64">
        <v>110.55</v>
      </c>
      <c r="E16" s="64">
        <v>7.39</v>
      </c>
      <c r="F16" s="64">
        <v>2.13</v>
      </c>
      <c r="G16" s="64">
        <v>87.1</v>
      </c>
      <c r="H16" s="64">
        <v>42.76</v>
      </c>
      <c r="I16" s="210" t="s">
        <v>43</v>
      </c>
      <c r="J16" s="64">
        <v>1.53</v>
      </c>
      <c r="K16" s="64">
        <v>345.45</v>
      </c>
      <c r="L16" s="64">
        <v>15.23</v>
      </c>
      <c r="M16" s="64">
        <v>83.5</v>
      </c>
      <c r="N16" s="64">
        <v>68.400000000000006</v>
      </c>
      <c r="O16" s="64">
        <v>0</v>
      </c>
      <c r="P16" s="64">
        <v>1.8</v>
      </c>
      <c r="Q16" s="64">
        <v>9.5500000000000007</v>
      </c>
      <c r="R16" s="198"/>
      <c r="S16" s="198"/>
      <c r="T16" s="198"/>
      <c r="U16" s="198"/>
    </row>
    <row r="17" spans="1:21" s="12" customFormat="1" x14ac:dyDescent="0.25">
      <c r="A17" s="214" t="s">
        <v>2652</v>
      </c>
      <c r="B17" s="64">
        <v>93.66</v>
      </c>
      <c r="C17" s="64">
        <v>63.92</v>
      </c>
      <c r="D17" s="64">
        <v>107.13</v>
      </c>
      <c r="E17" s="64">
        <v>7.52</v>
      </c>
      <c r="F17" s="64">
        <v>2.13</v>
      </c>
      <c r="G17" s="64">
        <v>92.48</v>
      </c>
      <c r="H17" s="64">
        <v>40.53</v>
      </c>
      <c r="I17" s="210" t="s">
        <v>43</v>
      </c>
      <c r="J17" s="64">
        <v>1.25</v>
      </c>
      <c r="K17" s="64">
        <v>69.17</v>
      </c>
      <c r="L17" s="64">
        <v>15.19</v>
      </c>
      <c r="M17" s="64">
        <v>86.34</v>
      </c>
      <c r="N17" s="64">
        <v>68.3</v>
      </c>
      <c r="O17" s="64">
        <v>0</v>
      </c>
      <c r="P17" s="64">
        <v>1.76</v>
      </c>
      <c r="Q17" s="64">
        <v>9.5399999999999991</v>
      </c>
      <c r="R17" s="198"/>
      <c r="S17" s="198"/>
      <c r="T17" s="198"/>
      <c r="U17" s="198"/>
    </row>
    <row r="18" spans="1:21" s="12" customFormat="1" x14ac:dyDescent="0.25">
      <c r="A18" s="214" t="s">
        <v>2653</v>
      </c>
      <c r="B18" s="64">
        <v>90.1</v>
      </c>
      <c r="C18" s="64">
        <v>63.62</v>
      </c>
      <c r="D18" s="64">
        <v>104.12</v>
      </c>
      <c r="E18" s="64">
        <v>7.58</v>
      </c>
      <c r="F18" s="64">
        <v>2.13</v>
      </c>
      <c r="G18" s="64">
        <v>92.48</v>
      </c>
      <c r="H18" s="64">
        <v>40.53</v>
      </c>
      <c r="I18" s="210" t="s">
        <v>43</v>
      </c>
      <c r="J18" s="64">
        <v>0.56000000000000005</v>
      </c>
      <c r="K18" s="64">
        <v>38.799999999999997</v>
      </c>
      <c r="L18" s="64">
        <v>15.14</v>
      </c>
      <c r="M18" s="64">
        <v>86.44</v>
      </c>
      <c r="N18" s="64">
        <v>68.400000000000006</v>
      </c>
      <c r="O18" s="64">
        <v>0</v>
      </c>
      <c r="P18" s="64">
        <v>1.75</v>
      </c>
      <c r="Q18" s="64">
        <v>9.4499999999999993</v>
      </c>
      <c r="R18" s="198"/>
      <c r="S18" s="198"/>
      <c r="T18" s="198"/>
      <c r="U18" s="198"/>
    </row>
    <row r="19" spans="1:21" s="12" customFormat="1" x14ac:dyDescent="0.25">
      <c r="A19" s="214" t="s">
        <v>2654</v>
      </c>
      <c r="B19" s="64">
        <v>86.79</v>
      </c>
      <c r="C19" s="64">
        <v>62.62</v>
      </c>
      <c r="D19" s="64">
        <v>100.94</v>
      </c>
      <c r="E19" s="64">
        <v>7.41</v>
      </c>
      <c r="F19" s="64">
        <v>2.13</v>
      </c>
      <c r="G19" s="64">
        <v>92.48</v>
      </c>
      <c r="H19" s="64">
        <v>40.53</v>
      </c>
      <c r="I19" s="210" t="s">
        <v>43</v>
      </c>
      <c r="J19" s="64">
        <v>1.34</v>
      </c>
      <c r="K19" s="64">
        <v>78.989999999999995</v>
      </c>
      <c r="L19" s="64">
        <v>15.02</v>
      </c>
      <c r="M19" s="64">
        <v>86.57</v>
      </c>
      <c r="N19" s="64">
        <v>68.400000000000006</v>
      </c>
      <c r="O19" s="64">
        <v>0</v>
      </c>
      <c r="P19" s="64">
        <v>1.72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14" t="s">
        <v>2655</v>
      </c>
      <c r="B20" s="64">
        <v>83.99</v>
      </c>
      <c r="C20" s="64">
        <v>59.69</v>
      </c>
      <c r="D20" s="64">
        <v>97.16</v>
      </c>
      <c r="E20" s="64">
        <v>7.59</v>
      </c>
      <c r="F20" s="64">
        <v>2.13</v>
      </c>
      <c r="G20" s="64">
        <v>115.81</v>
      </c>
      <c r="H20" s="64">
        <v>42.48</v>
      </c>
      <c r="I20" s="210" t="s">
        <v>43</v>
      </c>
      <c r="J20" s="64">
        <v>0.84</v>
      </c>
      <c r="K20" s="64">
        <v>104.35</v>
      </c>
      <c r="L20" s="64">
        <v>14.93</v>
      </c>
      <c r="M20" s="64">
        <v>84.68</v>
      </c>
      <c r="N20" s="64">
        <v>68.400000000000006</v>
      </c>
      <c r="O20" s="64">
        <v>0</v>
      </c>
      <c r="P20" s="64">
        <v>1.74</v>
      </c>
      <c r="Q20" s="64">
        <v>9.06</v>
      </c>
      <c r="R20" s="198"/>
      <c r="S20" s="198"/>
      <c r="T20" s="198"/>
      <c r="U20" s="198"/>
    </row>
    <row r="21" spans="1:21" s="12" customFormat="1" x14ac:dyDescent="0.25">
      <c r="A21" s="214" t="s">
        <v>2656</v>
      </c>
      <c r="B21" s="64">
        <v>80.510000000000005</v>
      </c>
      <c r="C21" s="64">
        <v>59.56</v>
      </c>
      <c r="D21" s="64">
        <v>94.3</v>
      </c>
      <c r="E21" s="64">
        <v>7.53</v>
      </c>
      <c r="F21" s="64">
        <v>2.13</v>
      </c>
      <c r="G21" s="64">
        <v>143.69</v>
      </c>
      <c r="H21" s="64">
        <v>44.81</v>
      </c>
      <c r="I21" s="210" t="s">
        <v>43</v>
      </c>
      <c r="J21" s="64">
        <v>0.8</v>
      </c>
      <c r="K21" s="64">
        <v>66.819999999999993</v>
      </c>
      <c r="L21" s="64">
        <v>14.79</v>
      </c>
      <c r="M21" s="64">
        <v>83.17</v>
      </c>
      <c r="N21" s="64">
        <v>68.5</v>
      </c>
      <c r="O21" s="64">
        <v>0</v>
      </c>
      <c r="P21" s="64">
        <v>1.7</v>
      </c>
      <c r="Q21" s="64">
        <v>8.85</v>
      </c>
      <c r="R21" s="198"/>
      <c r="S21" s="198"/>
      <c r="T21" s="198"/>
      <c r="U21" s="198"/>
    </row>
    <row r="22" spans="1:21" s="12" customFormat="1" x14ac:dyDescent="0.25">
      <c r="A22" s="214" t="s">
        <v>2657</v>
      </c>
      <c r="B22" s="64">
        <v>76.2</v>
      </c>
      <c r="C22" s="64">
        <v>59.91</v>
      </c>
      <c r="D22" s="64">
        <v>91.03</v>
      </c>
      <c r="E22" s="64">
        <v>7.11</v>
      </c>
      <c r="F22" s="64">
        <v>2.13</v>
      </c>
      <c r="G22" s="64">
        <v>143.69</v>
      </c>
      <c r="H22" s="64">
        <v>44.81</v>
      </c>
      <c r="I22" s="210" t="s">
        <v>43</v>
      </c>
      <c r="J22" s="64">
        <v>0.86</v>
      </c>
      <c r="K22" s="64">
        <v>24.31</v>
      </c>
      <c r="L22" s="64">
        <v>14.81</v>
      </c>
      <c r="M22" s="64">
        <v>78.25</v>
      </c>
      <c r="N22" s="64">
        <v>68.3</v>
      </c>
      <c r="O22" s="64">
        <v>0</v>
      </c>
      <c r="P22" s="64">
        <v>1.64</v>
      </c>
      <c r="Q22" s="64">
        <v>8.65</v>
      </c>
      <c r="R22" s="198"/>
      <c r="S22" s="198"/>
      <c r="T22" s="198"/>
      <c r="U22" s="198"/>
    </row>
    <row r="23" spans="1:21" s="12" customFormat="1" x14ac:dyDescent="0.25">
      <c r="A23" s="214" t="s">
        <v>2658</v>
      </c>
      <c r="B23" s="64">
        <v>71.55</v>
      </c>
      <c r="C23" s="64">
        <v>60.61</v>
      </c>
      <c r="D23" s="64">
        <v>87.66</v>
      </c>
      <c r="E23" s="64">
        <v>7.42</v>
      </c>
      <c r="F23" s="64">
        <v>2.13</v>
      </c>
      <c r="G23" s="64">
        <v>143.69</v>
      </c>
      <c r="H23" s="64">
        <v>44.81</v>
      </c>
      <c r="I23" s="210" t="s">
        <v>43</v>
      </c>
      <c r="J23" s="64">
        <v>0.73</v>
      </c>
      <c r="K23" s="64">
        <v>322.49</v>
      </c>
      <c r="L23" s="64">
        <v>14.77</v>
      </c>
      <c r="M23" s="64">
        <v>74.45</v>
      </c>
      <c r="N23" s="64">
        <v>68.3</v>
      </c>
      <c r="O23" s="64">
        <v>0</v>
      </c>
      <c r="P23" s="64">
        <v>1.58</v>
      </c>
      <c r="Q23" s="64">
        <v>8.43</v>
      </c>
      <c r="R23" s="198"/>
      <c r="S23" s="198"/>
      <c r="T23" s="198"/>
      <c r="U23" s="198"/>
    </row>
    <row r="24" spans="1:21" s="12" customFormat="1" x14ac:dyDescent="0.25">
      <c r="A24" s="214" t="s">
        <v>2659</v>
      </c>
      <c r="B24" s="64">
        <v>67.260000000000005</v>
      </c>
      <c r="C24" s="64">
        <v>61.41</v>
      </c>
      <c r="D24" s="64">
        <v>84.64</v>
      </c>
      <c r="E24" s="64">
        <v>6.86</v>
      </c>
      <c r="F24" s="64">
        <v>2.13</v>
      </c>
      <c r="G24" s="64">
        <v>120.79</v>
      </c>
      <c r="H24" s="64">
        <v>43.89</v>
      </c>
      <c r="I24" s="210" t="s">
        <v>43</v>
      </c>
      <c r="J24" s="64">
        <v>1.42</v>
      </c>
      <c r="K24" s="64">
        <v>332.93</v>
      </c>
      <c r="L24" s="64">
        <v>14.65</v>
      </c>
      <c r="M24" s="64">
        <v>72.739999999999995</v>
      </c>
      <c r="N24" s="64">
        <v>68.5</v>
      </c>
      <c r="O24" s="64">
        <v>0</v>
      </c>
      <c r="P24" s="64">
        <v>1.52</v>
      </c>
      <c r="Q24" s="64">
        <v>8.26</v>
      </c>
      <c r="R24" s="198"/>
      <c r="S24" s="198"/>
      <c r="T24" s="198"/>
      <c r="U24" s="198"/>
    </row>
    <row r="25" spans="1:21" s="12" customFormat="1" x14ac:dyDescent="0.25">
      <c r="A25" s="214" t="s">
        <v>2660</v>
      </c>
      <c r="B25" s="64">
        <v>64.010000000000005</v>
      </c>
      <c r="C25" s="64">
        <v>61.78</v>
      </c>
      <c r="D25" s="64">
        <v>82.24</v>
      </c>
      <c r="E25" s="64">
        <v>6.53</v>
      </c>
      <c r="F25" s="64">
        <v>2.13</v>
      </c>
      <c r="G25" s="64">
        <v>93.43</v>
      </c>
      <c r="H25" s="64">
        <v>42.8</v>
      </c>
      <c r="I25" s="210" t="s">
        <v>43</v>
      </c>
      <c r="J25" s="64">
        <v>1.53</v>
      </c>
      <c r="K25" s="64">
        <v>316.51</v>
      </c>
      <c r="L25" s="64">
        <v>14.58</v>
      </c>
      <c r="M25" s="64">
        <v>71.569999999999993</v>
      </c>
      <c r="N25" s="64">
        <v>68.400000000000006</v>
      </c>
      <c r="O25" s="64">
        <v>0</v>
      </c>
      <c r="P25" s="64">
        <v>1.47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2661</v>
      </c>
      <c r="B26" s="64">
        <v>60.79</v>
      </c>
      <c r="C26" s="64">
        <v>62.3</v>
      </c>
      <c r="D26" s="64">
        <v>79.92</v>
      </c>
      <c r="E26" s="64">
        <v>6.94</v>
      </c>
      <c r="F26" s="64">
        <v>2.13</v>
      </c>
      <c r="G26" s="64">
        <v>93.43</v>
      </c>
      <c r="H26" s="64">
        <v>42.8</v>
      </c>
      <c r="I26" s="210" t="s">
        <v>43</v>
      </c>
      <c r="J26" s="64">
        <v>1.26</v>
      </c>
      <c r="K26" s="64">
        <v>321.44</v>
      </c>
      <c r="L26" s="64">
        <v>14.38</v>
      </c>
      <c r="M26" s="64">
        <v>72.13</v>
      </c>
      <c r="N26" s="64">
        <v>68.5</v>
      </c>
      <c r="O26" s="64">
        <v>0</v>
      </c>
      <c r="P26" s="64">
        <v>1.41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2662</v>
      </c>
      <c r="B27" s="64">
        <v>57.25</v>
      </c>
      <c r="C27" s="64">
        <v>62.27</v>
      </c>
      <c r="D27" s="64">
        <v>77.069999999999993</v>
      </c>
      <c r="E27" s="64">
        <v>6.67</v>
      </c>
      <c r="F27" s="64">
        <v>2.13</v>
      </c>
      <c r="G27" s="64">
        <v>93.43</v>
      </c>
      <c r="H27" s="64">
        <v>42.8</v>
      </c>
      <c r="I27" s="210" t="s">
        <v>43</v>
      </c>
      <c r="J27" s="64">
        <v>1.5</v>
      </c>
      <c r="K27" s="64">
        <v>316.04000000000002</v>
      </c>
      <c r="L27" s="64">
        <v>14.24</v>
      </c>
      <c r="M27" s="64">
        <v>73.319999999999993</v>
      </c>
      <c r="N27" s="64">
        <v>68.599999999999994</v>
      </c>
      <c r="O27" s="64">
        <v>0</v>
      </c>
      <c r="P27" s="64">
        <v>1.36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2663</v>
      </c>
      <c r="B28" s="64">
        <v>54.24</v>
      </c>
      <c r="C28" s="64">
        <v>62.74</v>
      </c>
      <c r="D28" s="64">
        <v>74.900000000000006</v>
      </c>
      <c r="E28" s="64">
        <v>6.74</v>
      </c>
      <c r="F28" s="64">
        <v>2.13</v>
      </c>
      <c r="G28" s="64">
        <v>79.86</v>
      </c>
      <c r="H28" s="64">
        <v>39.11</v>
      </c>
      <c r="I28" s="210" t="s">
        <v>43</v>
      </c>
      <c r="J28" s="64">
        <v>1.19</v>
      </c>
      <c r="K28" s="64">
        <v>350.46</v>
      </c>
      <c r="L28" s="64">
        <v>14.04</v>
      </c>
      <c r="M28" s="64">
        <v>73.61</v>
      </c>
      <c r="N28" s="64">
        <v>68.599999999999994</v>
      </c>
      <c r="O28" s="64">
        <v>0</v>
      </c>
      <c r="P28" s="64">
        <v>1.3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2664</v>
      </c>
      <c r="B29" s="64">
        <v>51.65</v>
      </c>
      <c r="C29" s="64">
        <v>59.29</v>
      </c>
      <c r="D29" s="64">
        <v>71.03</v>
      </c>
      <c r="E29" s="64">
        <v>6.44</v>
      </c>
      <c r="F29" s="64">
        <v>2.13</v>
      </c>
      <c r="G29" s="64">
        <v>63.64</v>
      </c>
      <c r="H29" s="64">
        <v>34.700000000000003</v>
      </c>
      <c r="I29" s="210" t="s">
        <v>43</v>
      </c>
      <c r="J29" s="64">
        <v>0.49</v>
      </c>
      <c r="K29" s="64">
        <v>40.619999999999997</v>
      </c>
      <c r="L29" s="64">
        <v>13.92</v>
      </c>
      <c r="M29" s="64">
        <v>73.209999999999994</v>
      </c>
      <c r="N29" s="64">
        <v>68.599999999999994</v>
      </c>
      <c r="O29" s="64">
        <v>0</v>
      </c>
      <c r="P29" s="64">
        <v>1.26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2665</v>
      </c>
      <c r="B30" s="64">
        <v>49.8</v>
      </c>
      <c r="C30" s="64">
        <v>59.77</v>
      </c>
      <c r="D30" s="64">
        <v>69.790000000000006</v>
      </c>
      <c r="E30" s="64">
        <v>6.45</v>
      </c>
      <c r="F30" s="64">
        <v>2.13</v>
      </c>
      <c r="G30" s="64">
        <v>63.64</v>
      </c>
      <c r="H30" s="64">
        <v>34.700000000000003</v>
      </c>
      <c r="I30" s="210" t="s">
        <v>43</v>
      </c>
      <c r="J30" s="64">
        <v>0.56000000000000005</v>
      </c>
      <c r="K30" s="64">
        <v>73.83</v>
      </c>
      <c r="L30" s="64">
        <v>13.78</v>
      </c>
      <c r="M30" s="64">
        <v>73.88</v>
      </c>
      <c r="N30" s="64">
        <v>68.599999999999994</v>
      </c>
      <c r="O30" s="64">
        <v>0</v>
      </c>
      <c r="P30" s="64">
        <v>1.23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2666</v>
      </c>
      <c r="B31" s="64">
        <v>48.17</v>
      </c>
      <c r="C31" s="64">
        <v>60.66</v>
      </c>
      <c r="D31" s="64">
        <v>68.95</v>
      </c>
      <c r="E31" s="64">
        <v>6.59</v>
      </c>
      <c r="F31" s="64">
        <v>2.13</v>
      </c>
      <c r="G31" s="64">
        <v>63.64</v>
      </c>
      <c r="H31" s="64">
        <v>34.700000000000003</v>
      </c>
      <c r="I31" s="210" t="s">
        <v>43</v>
      </c>
      <c r="J31" s="64">
        <v>0.48</v>
      </c>
      <c r="K31" s="64">
        <v>74.209999999999994</v>
      </c>
      <c r="L31" s="64">
        <v>13.72</v>
      </c>
      <c r="M31" s="64">
        <v>75.38</v>
      </c>
      <c r="N31" s="64">
        <v>68.7</v>
      </c>
      <c r="O31" s="64">
        <v>0</v>
      </c>
      <c r="P31" s="64">
        <v>1.2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2667</v>
      </c>
      <c r="B32" s="64">
        <v>46.94</v>
      </c>
      <c r="C32" s="64">
        <v>60.57</v>
      </c>
      <c r="D32" s="64">
        <v>67.91</v>
      </c>
      <c r="E32" s="64">
        <v>6.3</v>
      </c>
      <c r="F32" s="64">
        <v>2.13</v>
      </c>
      <c r="G32" s="64">
        <v>111.7</v>
      </c>
      <c r="H32" s="64">
        <v>33.51</v>
      </c>
      <c r="I32" s="210" t="s">
        <v>43</v>
      </c>
      <c r="J32" s="64">
        <v>1.0900000000000001</v>
      </c>
      <c r="K32" s="64">
        <v>45.51</v>
      </c>
      <c r="L32" s="64">
        <v>13.54</v>
      </c>
      <c r="M32" s="64">
        <v>77.78</v>
      </c>
      <c r="N32" s="64">
        <v>68.8</v>
      </c>
      <c r="O32" s="64">
        <v>0</v>
      </c>
      <c r="P32" s="64">
        <v>1.1499999999999999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2668</v>
      </c>
      <c r="B33" s="64">
        <v>45.86</v>
      </c>
      <c r="C33" s="64">
        <v>60.65</v>
      </c>
      <c r="D33" s="64">
        <v>67.08</v>
      </c>
      <c r="E33" s="64">
        <v>6.18</v>
      </c>
      <c r="F33" s="64">
        <v>2.13</v>
      </c>
      <c r="G33" s="64">
        <v>169.14</v>
      </c>
      <c r="H33" s="64">
        <v>32.1</v>
      </c>
      <c r="I33" s="210" t="s">
        <v>43</v>
      </c>
      <c r="J33" s="64">
        <v>1.07</v>
      </c>
      <c r="K33" s="64">
        <v>40.799999999999997</v>
      </c>
      <c r="L33" s="64">
        <v>13.36</v>
      </c>
      <c r="M33" s="64">
        <v>79.010000000000005</v>
      </c>
      <c r="N33" s="64">
        <v>68.599999999999994</v>
      </c>
      <c r="O33" s="64">
        <v>0</v>
      </c>
      <c r="P33" s="64">
        <v>1.1299999999999999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2669</v>
      </c>
      <c r="B34" s="64">
        <v>44.58</v>
      </c>
      <c r="C34" s="64">
        <v>59.72</v>
      </c>
      <c r="D34" s="64">
        <v>65.58</v>
      </c>
      <c r="E34" s="64">
        <v>6.08</v>
      </c>
      <c r="F34" s="64">
        <v>2.13</v>
      </c>
      <c r="G34" s="64">
        <v>169.14</v>
      </c>
      <c r="H34" s="64">
        <v>32.1</v>
      </c>
      <c r="I34" s="210" t="s">
        <v>43</v>
      </c>
      <c r="J34" s="64">
        <v>0.36</v>
      </c>
      <c r="K34" s="64">
        <v>355.59</v>
      </c>
      <c r="L34" s="64">
        <v>13.32</v>
      </c>
      <c r="M34" s="64">
        <v>79.099999999999994</v>
      </c>
      <c r="N34" s="64">
        <v>68.900000000000006</v>
      </c>
      <c r="O34" s="64">
        <v>0</v>
      </c>
      <c r="P34" s="64">
        <v>1.1200000000000001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2670</v>
      </c>
      <c r="B35" s="64">
        <v>43.38</v>
      </c>
      <c r="C35" s="64">
        <v>59.91</v>
      </c>
      <c r="D35" s="64">
        <v>64.709999999999994</v>
      </c>
      <c r="E35" s="64">
        <v>6.27</v>
      </c>
      <c r="F35" s="64">
        <v>2.13</v>
      </c>
      <c r="G35" s="64">
        <v>169.14</v>
      </c>
      <c r="H35" s="64">
        <v>32.1</v>
      </c>
      <c r="I35" s="210" t="s">
        <v>43</v>
      </c>
      <c r="J35" s="64">
        <v>1.1499999999999999</v>
      </c>
      <c r="K35" s="64">
        <v>342.58</v>
      </c>
      <c r="L35" s="64">
        <v>13.42</v>
      </c>
      <c r="M35" s="64">
        <v>77.84</v>
      </c>
      <c r="N35" s="64">
        <v>71.2</v>
      </c>
      <c r="O35" s="64">
        <v>0</v>
      </c>
      <c r="P35" s="64">
        <v>1.0900000000000001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2671</v>
      </c>
      <c r="B36" s="64">
        <v>42.95</v>
      </c>
      <c r="C36" s="64">
        <v>60.12</v>
      </c>
      <c r="D36" s="64">
        <v>64.48</v>
      </c>
      <c r="E36" s="64">
        <v>6.47</v>
      </c>
      <c r="F36" s="64">
        <v>2.13</v>
      </c>
      <c r="G36" s="64">
        <v>129.97999999999999</v>
      </c>
      <c r="H36" s="64">
        <v>30.73</v>
      </c>
      <c r="I36" s="210" t="s">
        <v>43</v>
      </c>
      <c r="J36" s="64">
        <v>1.01</v>
      </c>
      <c r="K36" s="64">
        <v>338.34</v>
      </c>
      <c r="L36" s="64">
        <v>13.61</v>
      </c>
      <c r="M36" s="64">
        <v>74.319999999999993</v>
      </c>
      <c r="N36" s="64">
        <v>79.099999999999994</v>
      </c>
      <c r="O36" s="64">
        <v>0</v>
      </c>
      <c r="P36" s="64">
        <v>1.07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2672</v>
      </c>
      <c r="B37" s="64">
        <v>43.04</v>
      </c>
      <c r="C37" s="64">
        <v>61.71</v>
      </c>
      <c r="D37" s="64">
        <v>65.39</v>
      </c>
      <c r="E37" s="64">
        <v>6.55</v>
      </c>
      <c r="F37" s="64">
        <v>2.13</v>
      </c>
      <c r="G37" s="64">
        <v>83.18</v>
      </c>
      <c r="H37" s="64">
        <v>29.09</v>
      </c>
      <c r="I37" s="210" t="s">
        <v>43</v>
      </c>
      <c r="J37" s="64">
        <v>1.1000000000000001</v>
      </c>
      <c r="K37" s="64">
        <v>84.8</v>
      </c>
      <c r="L37" s="64">
        <v>13.8</v>
      </c>
      <c r="M37" s="64">
        <v>72.66</v>
      </c>
      <c r="N37" s="64">
        <v>91.8</v>
      </c>
      <c r="O37" s="64">
        <v>0</v>
      </c>
      <c r="P37" s="64">
        <v>1.1399999999999999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2673</v>
      </c>
      <c r="B38" s="64">
        <v>42.18</v>
      </c>
      <c r="C38" s="64">
        <v>62.25</v>
      </c>
      <c r="D38" s="64">
        <v>64.97</v>
      </c>
      <c r="E38" s="64">
        <v>6.74</v>
      </c>
      <c r="F38" s="64">
        <v>2.13</v>
      </c>
      <c r="G38" s="64">
        <v>83.18</v>
      </c>
      <c r="H38" s="64">
        <v>29.09</v>
      </c>
      <c r="I38" s="210" t="s">
        <v>43</v>
      </c>
      <c r="J38" s="64">
        <v>0.11</v>
      </c>
      <c r="K38" s="64">
        <v>70.11</v>
      </c>
      <c r="L38" s="64">
        <v>14.12</v>
      </c>
      <c r="M38" s="64">
        <v>71.91</v>
      </c>
      <c r="N38" s="64">
        <v>105.4</v>
      </c>
      <c r="O38" s="64">
        <v>0</v>
      </c>
      <c r="P38" s="64">
        <v>1.18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2674</v>
      </c>
      <c r="B39" s="64">
        <v>41.38</v>
      </c>
      <c r="C39" s="64">
        <v>62.06</v>
      </c>
      <c r="D39" s="64">
        <v>64.23</v>
      </c>
      <c r="E39" s="64">
        <v>6.76</v>
      </c>
      <c r="F39" s="64">
        <v>2.13</v>
      </c>
      <c r="G39" s="64">
        <v>83.18</v>
      </c>
      <c r="H39" s="64">
        <v>29.09</v>
      </c>
      <c r="I39" s="210" t="s">
        <v>43</v>
      </c>
      <c r="J39" s="64">
        <v>0.87</v>
      </c>
      <c r="K39" s="64">
        <v>111.5</v>
      </c>
      <c r="L39" s="64">
        <v>14.63</v>
      </c>
      <c r="M39" s="64">
        <v>71.069999999999993</v>
      </c>
      <c r="N39" s="64">
        <v>141.1</v>
      </c>
      <c r="O39" s="64">
        <v>0</v>
      </c>
      <c r="P39" s="64">
        <v>1.1499999999999999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2675</v>
      </c>
      <c r="B40" s="64">
        <v>40.630000000000003</v>
      </c>
      <c r="C40" s="64">
        <v>62.07</v>
      </c>
      <c r="D40" s="64">
        <v>63.63</v>
      </c>
      <c r="E40" s="64">
        <v>4.96</v>
      </c>
      <c r="F40" s="64">
        <v>2.13</v>
      </c>
      <c r="G40" s="64">
        <v>86.69</v>
      </c>
      <c r="H40" s="64">
        <v>28.82</v>
      </c>
      <c r="I40" s="210" t="s">
        <v>43</v>
      </c>
      <c r="J40" s="64">
        <v>2.91</v>
      </c>
      <c r="K40" s="64">
        <v>121.53</v>
      </c>
      <c r="L40" s="64">
        <v>15.31</v>
      </c>
      <c r="M40" s="64">
        <v>65.72</v>
      </c>
      <c r="N40" s="64">
        <v>229.4</v>
      </c>
      <c r="O40" s="64">
        <v>0</v>
      </c>
      <c r="P40" s="64">
        <v>1.1299999999999999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2676</v>
      </c>
      <c r="B41" s="64">
        <v>38.630000000000003</v>
      </c>
      <c r="C41" s="64">
        <v>61.79</v>
      </c>
      <c r="D41" s="64">
        <v>61.89</v>
      </c>
      <c r="E41" s="64">
        <v>4.6100000000000003</v>
      </c>
      <c r="F41" s="64">
        <v>2.13</v>
      </c>
      <c r="G41" s="64">
        <v>90.9</v>
      </c>
      <c r="H41" s="64">
        <v>28.5</v>
      </c>
      <c r="I41" s="210" t="s">
        <v>43</v>
      </c>
      <c r="J41" s="64">
        <v>2.75</v>
      </c>
      <c r="K41" s="64">
        <v>112.67</v>
      </c>
      <c r="L41" s="64">
        <v>16.05</v>
      </c>
      <c r="M41" s="64">
        <v>62.44</v>
      </c>
      <c r="N41" s="64">
        <v>284.3</v>
      </c>
      <c r="O41" s="64">
        <v>0</v>
      </c>
      <c r="P41" s="64">
        <v>1.1000000000000001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2677</v>
      </c>
      <c r="B42" s="64">
        <v>36.020000000000003</v>
      </c>
      <c r="C42" s="64">
        <v>62.07</v>
      </c>
      <c r="D42" s="64">
        <v>59.94</v>
      </c>
      <c r="E42" s="64">
        <v>5.26</v>
      </c>
      <c r="F42" s="64">
        <v>2.13</v>
      </c>
      <c r="G42" s="64">
        <v>90.9</v>
      </c>
      <c r="H42" s="64">
        <v>28.5</v>
      </c>
      <c r="I42" s="210" t="s">
        <v>43</v>
      </c>
      <c r="J42" s="64">
        <v>0.61</v>
      </c>
      <c r="K42" s="64">
        <v>30.57</v>
      </c>
      <c r="L42" s="64">
        <v>17.809999999999999</v>
      </c>
      <c r="M42" s="64">
        <v>55.97</v>
      </c>
      <c r="N42" s="64">
        <v>330.8</v>
      </c>
      <c r="O42" s="64">
        <v>0</v>
      </c>
      <c r="P42" s="64">
        <v>1.06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2678</v>
      </c>
      <c r="B43" s="64">
        <v>33.79</v>
      </c>
      <c r="C43" s="64">
        <v>62.71</v>
      </c>
      <c r="D43" s="64">
        <v>58.48</v>
      </c>
      <c r="E43" s="64">
        <v>5.25</v>
      </c>
      <c r="F43" s="64">
        <v>2.13</v>
      </c>
      <c r="G43" s="64">
        <v>90.9</v>
      </c>
      <c r="H43" s="64">
        <v>28.5</v>
      </c>
      <c r="I43" s="210" t="s">
        <v>43</v>
      </c>
      <c r="J43" s="64">
        <v>1.33</v>
      </c>
      <c r="K43" s="64">
        <v>102.08</v>
      </c>
      <c r="L43" s="64">
        <v>18.28</v>
      </c>
      <c r="M43" s="64">
        <v>52.17</v>
      </c>
      <c r="N43" s="64">
        <v>379.6</v>
      </c>
      <c r="O43" s="64">
        <v>0</v>
      </c>
      <c r="P43" s="64">
        <v>1.05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2679</v>
      </c>
      <c r="B44" s="64">
        <v>31.55</v>
      </c>
      <c r="C44" s="64">
        <v>63.38</v>
      </c>
      <c r="D44" s="64">
        <v>57.04</v>
      </c>
      <c r="E44" s="64">
        <v>4.9400000000000004</v>
      </c>
      <c r="F44" s="64">
        <v>2.13</v>
      </c>
      <c r="G44" s="64">
        <v>83.75</v>
      </c>
      <c r="H44" s="64">
        <v>27.15</v>
      </c>
      <c r="I44" s="210" t="s">
        <v>43</v>
      </c>
      <c r="J44" s="64">
        <v>0.69</v>
      </c>
      <c r="K44" s="64">
        <v>66.150000000000006</v>
      </c>
      <c r="L44" s="64">
        <v>19.170000000000002</v>
      </c>
      <c r="M44" s="64">
        <v>49.82</v>
      </c>
      <c r="N44" s="64">
        <v>415.8</v>
      </c>
      <c r="O44" s="64">
        <v>0</v>
      </c>
      <c r="P44" s="64">
        <v>1.01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2680</v>
      </c>
      <c r="B45" s="64">
        <v>30.02</v>
      </c>
      <c r="C45" s="64">
        <v>63.64</v>
      </c>
      <c r="D45" s="64">
        <v>55.95</v>
      </c>
      <c r="E45" s="64">
        <v>4.8</v>
      </c>
      <c r="F45" s="64">
        <v>2.13</v>
      </c>
      <c r="G45" s="64">
        <v>74.819999999999993</v>
      </c>
      <c r="H45" s="64">
        <v>25.53</v>
      </c>
      <c r="I45" s="210" t="s">
        <v>43</v>
      </c>
      <c r="J45" s="64">
        <v>1.04</v>
      </c>
      <c r="K45" s="64">
        <v>340.52</v>
      </c>
      <c r="L45" s="64">
        <v>20.51</v>
      </c>
      <c r="M45" s="64">
        <v>47.85</v>
      </c>
      <c r="N45" s="64">
        <v>454.8</v>
      </c>
      <c r="O45" s="64">
        <v>0</v>
      </c>
      <c r="P45" s="64">
        <v>0.99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2681</v>
      </c>
      <c r="B46" s="64">
        <v>28.77</v>
      </c>
      <c r="C46" s="64">
        <v>61.87</v>
      </c>
      <c r="D46" s="64">
        <v>54.02</v>
      </c>
      <c r="E46" s="64">
        <v>5.01</v>
      </c>
      <c r="F46" s="64">
        <v>2.13</v>
      </c>
      <c r="G46" s="64">
        <v>74.819999999999993</v>
      </c>
      <c r="H46" s="64">
        <v>25.53</v>
      </c>
      <c r="I46" s="210" t="s">
        <v>43</v>
      </c>
      <c r="J46" s="64">
        <v>0.67</v>
      </c>
      <c r="K46" s="64">
        <v>8.3699999999999992</v>
      </c>
      <c r="L46" s="64">
        <v>22.13</v>
      </c>
      <c r="M46" s="64">
        <v>43.17</v>
      </c>
      <c r="N46" s="64">
        <v>484.6</v>
      </c>
      <c r="O46" s="64">
        <v>0</v>
      </c>
      <c r="P46" s="64">
        <v>0.98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2682</v>
      </c>
      <c r="B47" s="64">
        <v>27.57</v>
      </c>
      <c r="C47" s="64">
        <v>63.56</v>
      </c>
      <c r="D47" s="64">
        <v>53.94</v>
      </c>
      <c r="E47" s="64">
        <v>4.46</v>
      </c>
      <c r="F47" s="64">
        <v>2.13</v>
      </c>
      <c r="G47" s="64">
        <v>74.819999999999993</v>
      </c>
      <c r="H47" s="64">
        <v>25.53</v>
      </c>
      <c r="I47" s="210" t="s">
        <v>43</v>
      </c>
      <c r="J47" s="64">
        <v>1.93</v>
      </c>
      <c r="K47" s="64">
        <v>104.61</v>
      </c>
      <c r="L47" s="64">
        <v>20.61</v>
      </c>
      <c r="M47" s="64">
        <v>44.93</v>
      </c>
      <c r="N47" s="64">
        <v>514.1</v>
      </c>
      <c r="O47" s="64">
        <v>0</v>
      </c>
      <c r="P47" s="64">
        <v>0.95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2683</v>
      </c>
      <c r="B48" s="64">
        <v>25.68</v>
      </c>
      <c r="C48" s="64">
        <v>64.709999999999994</v>
      </c>
      <c r="D48" s="64">
        <v>53.02</v>
      </c>
      <c r="E48" s="64">
        <v>4.63</v>
      </c>
      <c r="F48" s="64">
        <v>2.13</v>
      </c>
      <c r="G48" s="64">
        <v>70.53</v>
      </c>
      <c r="H48" s="64">
        <v>25.21</v>
      </c>
      <c r="I48" s="210" t="s">
        <v>43</v>
      </c>
      <c r="J48" s="64">
        <v>2.97</v>
      </c>
      <c r="K48" s="64">
        <v>119.49</v>
      </c>
      <c r="L48" s="64">
        <v>19.91</v>
      </c>
      <c r="M48" s="64">
        <v>46.1</v>
      </c>
      <c r="N48" s="64">
        <v>537.1</v>
      </c>
      <c r="O48" s="64">
        <v>0</v>
      </c>
      <c r="P48" s="64">
        <v>0.92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2684</v>
      </c>
      <c r="B49" s="64">
        <v>23.67</v>
      </c>
      <c r="C49" s="64">
        <v>65.47</v>
      </c>
      <c r="D49" s="64">
        <v>51.81</v>
      </c>
      <c r="E49" s="64">
        <v>5.0599999999999996</v>
      </c>
      <c r="F49" s="64">
        <v>2.13</v>
      </c>
      <c r="G49" s="64">
        <v>65.39</v>
      </c>
      <c r="H49" s="64">
        <v>24.82</v>
      </c>
      <c r="I49" s="210" t="s">
        <v>43</v>
      </c>
      <c r="J49" s="64">
        <v>1.06</v>
      </c>
      <c r="K49" s="64">
        <v>12.26</v>
      </c>
      <c r="L49" s="64">
        <v>21.7</v>
      </c>
      <c r="M49" s="64">
        <v>41.01</v>
      </c>
      <c r="N49" s="64">
        <v>543.6</v>
      </c>
      <c r="O49" s="64">
        <v>0</v>
      </c>
      <c r="P49" s="64">
        <v>0.89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2685</v>
      </c>
      <c r="B50" s="64">
        <v>22.18</v>
      </c>
      <c r="C50" s="64">
        <v>66.41</v>
      </c>
      <c r="D50" s="64">
        <v>51.11</v>
      </c>
      <c r="E50" s="64">
        <v>4.99</v>
      </c>
      <c r="F50" s="64">
        <v>2.13</v>
      </c>
      <c r="G50" s="64">
        <v>65.39</v>
      </c>
      <c r="H50" s="64">
        <v>24.82</v>
      </c>
      <c r="I50" s="210" t="s">
        <v>43</v>
      </c>
      <c r="J50" s="64">
        <v>1.39</v>
      </c>
      <c r="K50" s="64">
        <v>348.36</v>
      </c>
      <c r="L50" s="64">
        <v>24.28</v>
      </c>
      <c r="M50" s="64">
        <v>35.369999999999997</v>
      </c>
      <c r="N50" s="64">
        <v>554.29999999999995</v>
      </c>
      <c r="O50" s="64">
        <v>0</v>
      </c>
      <c r="P50" s="64">
        <v>0.88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2686</v>
      </c>
      <c r="B51" s="64">
        <v>21.3</v>
      </c>
      <c r="C51" s="64">
        <v>67.77</v>
      </c>
      <c r="D51" s="64">
        <v>51.12</v>
      </c>
      <c r="E51" s="64">
        <v>4.62</v>
      </c>
      <c r="F51" s="64">
        <v>2.13</v>
      </c>
      <c r="G51" s="64">
        <v>65.39</v>
      </c>
      <c r="H51" s="64">
        <v>24.82</v>
      </c>
      <c r="I51" s="210" t="s">
        <v>43</v>
      </c>
      <c r="J51" s="64">
        <v>0.48</v>
      </c>
      <c r="K51" s="64">
        <v>37.4</v>
      </c>
      <c r="L51" s="64">
        <v>23.77</v>
      </c>
      <c r="M51" s="64">
        <v>35.93</v>
      </c>
      <c r="N51" s="64">
        <v>571.6</v>
      </c>
      <c r="O51" s="64">
        <v>0</v>
      </c>
      <c r="P51" s="64">
        <v>0.86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2687</v>
      </c>
      <c r="B52" s="64">
        <v>20.02</v>
      </c>
      <c r="C52" s="64">
        <v>68.290000000000006</v>
      </c>
      <c r="D52" s="64">
        <v>50.36</v>
      </c>
      <c r="E52" s="64">
        <v>4.34</v>
      </c>
      <c r="F52" s="64">
        <v>2.13</v>
      </c>
      <c r="G52" s="64">
        <v>83.51</v>
      </c>
      <c r="H52" s="64">
        <v>88.96</v>
      </c>
      <c r="I52" s="210" t="s">
        <v>43</v>
      </c>
      <c r="J52" s="64">
        <v>2.7</v>
      </c>
      <c r="K52" s="64">
        <v>118.89</v>
      </c>
      <c r="L52" s="64">
        <v>21.81</v>
      </c>
      <c r="M52" s="64">
        <v>38.04</v>
      </c>
      <c r="N52" s="64">
        <v>602.1</v>
      </c>
      <c r="O52" s="64">
        <v>0</v>
      </c>
      <c r="P52" s="64">
        <v>0.84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2688</v>
      </c>
      <c r="B53" s="64">
        <v>18.22</v>
      </c>
      <c r="C53" s="64">
        <v>67.28</v>
      </c>
      <c r="D53" s="64">
        <v>48.39</v>
      </c>
      <c r="E53" s="64">
        <v>4.2</v>
      </c>
      <c r="F53" s="64">
        <v>2.13</v>
      </c>
      <c r="G53" s="64">
        <v>105.16</v>
      </c>
      <c r="H53" s="64">
        <v>165.61</v>
      </c>
      <c r="I53" s="210" t="s">
        <v>43</v>
      </c>
      <c r="J53" s="64">
        <v>2.4700000000000002</v>
      </c>
      <c r="K53" s="64">
        <v>120.9</v>
      </c>
      <c r="L53" s="64">
        <v>21.79</v>
      </c>
      <c r="M53" s="64">
        <v>39.119999999999997</v>
      </c>
      <c r="N53" s="64">
        <v>611.4</v>
      </c>
      <c r="O53" s="64">
        <v>0</v>
      </c>
      <c r="P53" s="64">
        <v>0.81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2689</v>
      </c>
      <c r="B54" s="64">
        <v>15.96</v>
      </c>
      <c r="C54" s="64">
        <v>68.650000000000006</v>
      </c>
      <c r="D54" s="64">
        <v>47.29</v>
      </c>
      <c r="E54" s="64">
        <v>4.8899999999999997</v>
      </c>
      <c r="F54" s="64">
        <v>2.13</v>
      </c>
      <c r="G54" s="64">
        <v>105.16</v>
      </c>
      <c r="H54" s="64">
        <v>165.61</v>
      </c>
      <c r="I54" s="210" t="s">
        <v>43</v>
      </c>
      <c r="J54" s="64">
        <v>2.2999999999999998</v>
      </c>
      <c r="K54" s="64">
        <v>118.3</v>
      </c>
      <c r="L54" s="64">
        <v>21.95</v>
      </c>
      <c r="M54" s="64">
        <v>39.909999999999997</v>
      </c>
      <c r="N54" s="64">
        <v>618.6</v>
      </c>
      <c r="O54" s="64">
        <v>0</v>
      </c>
      <c r="P54" s="64">
        <v>0.78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2690</v>
      </c>
      <c r="B55" s="64">
        <v>13.53</v>
      </c>
      <c r="C55" s="64">
        <v>69.36</v>
      </c>
      <c r="D55" s="64">
        <v>45.71</v>
      </c>
      <c r="E55" s="64">
        <v>3.82</v>
      </c>
      <c r="F55" s="64">
        <v>2.13</v>
      </c>
      <c r="G55" s="64">
        <v>105.16</v>
      </c>
      <c r="H55" s="64">
        <v>165.61</v>
      </c>
      <c r="I55" s="210" t="s">
        <v>43</v>
      </c>
      <c r="J55" s="64">
        <v>0.45</v>
      </c>
      <c r="K55" s="64">
        <v>6.38</v>
      </c>
      <c r="L55" s="64">
        <v>22.77</v>
      </c>
      <c r="M55" s="64">
        <v>42.95</v>
      </c>
      <c r="N55" s="64">
        <v>623.1</v>
      </c>
      <c r="O55" s="64">
        <v>0</v>
      </c>
      <c r="P55" s="64">
        <v>0.74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2691</v>
      </c>
      <c r="B56" s="64">
        <v>12.08</v>
      </c>
      <c r="C56" s="64">
        <v>69.81</v>
      </c>
      <c r="D56" s="64">
        <v>44.79</v>
      </c>
      <c r="E56" s="64">
        <v>4.25</v>
      </c>
      <c r="F56" s="64">
        <v>2.13</v>
      </c>
      <c r="G56" s="64">
        <v>81.349999999999994</v>
      </c>
      <c r="H56" s="64">
        <v>151.47</v>
      </c>
      <c r="I56" s="210" t="s">
        <v>43</v>
      </c>
      <c r="J56" s="64">
        <v>0.63</v>
      </c>
      <c r="K56" s="64">
        <v>15.61</v>
      </c>
      <c r="L56" s="64">
        <v>23.67</v>
      </c>
      <c r="M56" s="64">
        <v>38.270000000000003</v>
      </c>
      <c r="N56" s="64">
        <v>632.70000000000005</v>
      </c>
      <c r="O56" s="64">
        <v>0</v>
      </c>
      <c r="P56" s="64">
        <v>0.73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2692</v>
      </c>
      <c r="B57" s="64">
        <v>12.3</v>
      </c>
      <c r="C57" s="64">
        <v>70.7</v>
      </c>
      <c r="D57" s="64">
        <v>45.42</v>
      </c>
      <c r="E57" s="64">
        <v>4.2300000000000004</v>
      </c>
      <c r="F57" s="64">
        <v>2.13</v>
      </c>
      <c r="G57" s="64">
        <v>52.9</v>
      </c>
      <c r="H57" s="64">
        <v>134.58000000000001</v>
      </c>
      <c r="I57" s="210" t="s">
        <v>43</v>
      </c>
      <c r="J57" s="64">
        <v>1.68</v>
      </c>
      <c r="K57" s="64">
        <v>346.47</v>
      </c>
      <c r="L57" s="64">
        <v>26.56</v>
      </c>
      <c r="M57" s="64">
        <v>31.89</v>
      </c>
      <c r="N57" s="64">
        <v>633.6</v>
      </c>
      <c r="O57" s="64">
        <v>0</v>
      </c>
      <c r="P57" s="64">
        <v>0.71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2693</v>
      </c>
      <c r="B58" s="64">
        <v>13.64</v>
      </c>
      <c r="C58" s="64">
        <v>72.540000000000006</v>
      </c>
      <c r="D58" s="64">
        <v>47.46</v>
      </c>
      <c r="E58" s="64">
        <v>4.68</v>
      </c>
      <c r="F58" s="64">
        <v>2.13</v>
      </c>
      <c r="G58" s="64">
        <v>52.9</v>
      </c>
      <c r="H58" s="64">
        <v>134.58000000000001</v>
      </c>
      <c r="I58" s="210" t="s">
        <v>43</v>
      </c>
      <c r="J58" s="64">
        <v>2.37</v>
      </c>
      <c r="K58" s="64">
        <v>334.27</v>
      </c>
      <c r="L58" s="64">
        <v>27.44</v>
      </c>
      <c r="M58" s="64">
        <v>30.55</v>
      </c>
      <c r="N58" s="64">
        <v>630.4</v>
      </c>
      <c r="O58" s="64">
        <v>0</v>
      </c>
      <c r="P58" s="64">
        <v>0.7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2694</v>
      </c>
      <c r="B59" s="64">
        <v>14.11</v>
      </c>
      <c r="C59" s="64">
        <v>73.849999999999994</v>
      </c>
      <c r="D59" s="64">
        <v>48.52</v>
      </c>
      <c r="E59" s="64">
        <v>4.6100000000000003</v>
      </c>
      <c r="F59" s="64">
        <v>2.13</v>
      </c>
      <c r="G59" s="64">
        <v>52.9</v>
      </c>
      <c r="H59" s="64">
        <v>134.58000000000001</v>
      </c>
      <c r="I59" s="210" t="s">
        <v>43</v>
      </c>
      <c r="J59" s="64">
        <v>2.95</v>
      </c>
      <c r="K59" s="64">
        <v>128.49</v>
      </c>
      <c r="L59" s="64">
        <v>24.79</v>
      </c>
      <c r="M59" s="64">
        <v>35.090000000000003</v>
      </c>
      <c r="N59" s="64">
        <v>632.29999999999995</v>
      </c>
      <c r="O59" s="64">
        <v>0</v>
      </c>
      <c r="P59" s="64">
        <v>0.69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2695</v>
      </c>
      <c r="B60" s="64">
        <v>13.58</v>
      </c>
      <c r="C60" s="64">
        <v>74.62</v>
      </c>
      <c r="D60" s="64">
        <v>48.5</v>
      </c>
      <c r="E60" s="64">
        <v>4.9800000000000004</v>
      </c>
      <c r="F60" s="64">
        <v>2.13</v>
      </c>
      <c r="G60" s="64">
        <v>47.39</v>
      </c>
      <c r="H60" s="64">
        <v>121.18</v>
      </c>
      <c r="I60" s="210" t="s">
        <v>43</v>
      </c>
      <c r="J60" s="64">
        <v>1.1599999999999999</v>
      </c>
      <c r="K60" s="64">
        <v>359.96</v>
      </c>
      <c r="L60" s="64">
        <v>25.15</v>
      </c>
      <c r="M60" s="64">
        <v>34.270000000000003</v>
      </c>
      <c r="N60" s="64">
        <v>608.70000000000005</v>
      </c>
      <c r="O60" s="64">
        <v>0</v>
      </c>
      <c r="P60" s="64">
        <v>0.67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2696</v>
      </c>
      <c r="B61" s="64">
        <v>13.76</v>
      </c>
      <c r="C61" s="64">
        <v>75.84</v>
      </c>
      <c r="D61" s="64">
        <v>49.28</v>
      </c>
      <c r="E61" s="64">
        <v>4.79</v>
      </c>
      <c r="F61" s="64">
        <v>2.13</v>
      </c>
      <c r="G61" s="64">
        <v>40.81</v>
      </c>
      <c r="H61" s="64">
        <v>105.17</v>
      </c>
      <c r="I61" s="210" t="s">
        <v>43</v>
      </c>
      <c r="J61" s="64">
        <v>1.22</v>
      </c>
      <c r="K61" s="64">
        <v>338.39</v>
      </c>
      <c r="L61" s="64">
        <v>27.35</v>
      </c>
      <c r="M61" s="64">
        <v>30.74</v>
      </c>
      <c r="N61" s="64">
        <v>592.1</v>
      </c>
      <c r="O61" s="64">
        <v>0</v>
      </c>
      <c r="P61" s="64">
        <v>0.64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2697</v>
      </c>
      <c r="B62" s="64">
        <v>13.74</v>
      </c>
      <c r="C62" s="64">
        <v>75.47</v>
      </c>
      <c r="D62" s="64">
        <v>49.07</v>
      </c>
      <c r="E62" s="64">
        <v>4.43</v>
      </c>
      <c r="F62" s="64">
        <v>2.13</v>
      </c>
      <c r="G62" s="64">
        <v>40.81</v>
      </c>
      <c r="H62" s="64">
        <v>105.17</v>
      </c>
      <c r="I62" s="210" t="s">
        <v>43</v>
      </c>
      <c r="J62" s="64">
        <v>0.99</v>
      </c>
      <c r="K62" s="64">
        <v>353.26</v>
      </c>
      <c r="L62" s="64">
        <v>26.81</v>
      </c>
      <c r="M62" s="64">
        <v>31.54</v>
      </c>
      <c r="N62" s="64">
        <v>548.1</v>
      </c>
      <c r="O62" s="64">
        <v>0</v>
      </c>
      <c r="P62" s="64">
        <v>0.66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2698</v>
      </c>
      <c r="B63" s="64">
        <v>13.42</v>
      </c>
      <c r="C63" s="64">
        <v>73.760000000000005</v>
      </c>
      <c r="D63" s="64">
        <v>47.92</v>
      </c>
      <c r="E63" s="64">
        <v>4.9000000000000004</v>
      </c>
      <c r="F63" s="64">
        <v>2.13</v>
      </c>
      <c r="G63" s="64">
        <v>40.81</v>
      </c>
      <c r="H63" s="64">
        <v>105.17</v>
      </c>
      <c r="I63" s="210" t="s">
        <v>43</v>
      </c>
      <c r="J63" s="64">
        <v>1.62</v>
      </c>
      <c r="K63" s="64">
        <v>123.49</v>
      </c>
      <c r="L63" s="64">
        <v>24.47</v>
      </c>
      <c r="M63" s="64">
        <v>35.29</v>
      </c>
      <c r="N63" s="64">
        <v>427.2</v>
      </c>
      <c r="O63" s="64">
        <v>0</v>
      </c>
      <c r="P63" s="64">
        <v>0.63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2699</v>
      </c>
      <c r="B64" s="64">
        <v>12.98</v>
      </c>
      <c r="C64" s="64">
        <v>73.510000000000005</v>
      </c>
      <c r="D64" s="64">
        <v>47.44</v>
      </c>
      <c r="E64" s="64">
        <v>3.77</v>
      </c>
      <c r="F64" s="64">
        <v>2.13</v>
      </c>
      <c r="G64" s="64">
        <v>47.54</v>
      </c>
      <c r="H64" s="64">
        <v>96.53</v>
      </c>
      <c r="I64" s="210" t="s">
        <v>43</v>
      </c>
      <c r="J64" s="64">
        <v>0.69</v>
      </c>
      <c r="K64" s="64">
        <v>74.63</v>
      </c>
      <c r="L64" s="64">
        <v>25.25</v>
      </c>
      <c r="M64" s="64">
        <v>33.799999999999997</v>
      </c>
      <c r="N64" s="64">
        <v>510.2</v>
      </c>
      <c r="O64" s="64">
        <v>0</v>
      </c>
      <c r="P64" s="64">
        <v>0.59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2700</v>
      </c>
      <c r="B65" s="64">
        <v>12.5</v>
      </c>
      <c r="C65" s="64">
        <v>73.13</v>
      </c>
      <c r="D65" s="64">
        <v>46.86</v>
      </c>
      <c r="E65" s="64">
        <v>3.88</v>
      </c>
      <c r="F65" s="64">
        <v>2.13</v>
      </c>
      <c r="G65" s="64">
        <v>55.58</v>
      </c>
      <c r="H65" s="64">
        <v>86.22</v>
      </c>
      <c r="I65" s="210" t="s">
        <v>43</v>
      </c>
      <c r="J65" s="64">
        <v>2.04</v>
      </c>
      <c r="K65" s="64">
        <v>314.56</v>
      </c>
      <c r="L65" s="64">
        <v>26.86</v>
      </c>
      <c r="M65" s="64">
        <v>30.35</v>
      </c>
      <c r="N65" s="64">
        <v>422</v>
      </c>
      <c r="O65" s="64">
        <v>0</v>
      </c>
      <c r="P65" s="64">
        <v>0.61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2701</v>
      </c>
      <c r="B66" s="64">
        <v>11.62</v>
      </c>
      <c r="C66" s="64">
        <v>72.81</v>
      </c>
      <c r="D66" s="64">
        <v>45.98</v>
      </c>
      <c r="E66" s="64">
        <v>4.21</v>
      </c>
      <c r="F66" s="64">
        <v>2.13</v>
      </c>
      <c r="G66" s="64">
        <v>55.58</v>
      </c>
      <c r="H66" s="64">
        <v>86.22</v>
      </c>
      <c r="I66" s="210" t="s">
        <v>43</v>
      </c>
      <c r="J66" s="64">
        <v>0.79</v>
      </c>
      <c r="K66" s="64">
        <v>4.9400000000000004</v>
      </c>
      <c r="L66" s="64">
        <v>25.61</v>
      </c>
      <c r="M66" s="64">
        <v>32.56</v>
      </c>
      <c r="N66" s="64">
        <v>217.5</v>
      </c>
      <c r="O66" s="64">
        <v>0</v>
      </c>
      <c r="P66" s="64">
        <v>0.62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2702</v>
      </c>
      <c r="B67" s="64">
        <v>10.76</v>
      </c>
      <c r="C67" s="64">
        <v>72.39</v>
      </c>
      <c r="D67" s="64">
        <v>45.07</v>
      </c>
      <c r="E67" s="64">
        <v>4.1100000000000003</v>
      </c>
      <c r="F67" s="64">
        <v>2.13</v>
      </c>
      <c r="G67" s="64">
        <v>55.58</v>
      </c>
      <c r="H67" s="64">
        <v>86.22</v>
      </c>
      <c r="I67" s="210" t="s">
        <v>43</v>
      </c>
      <c r="J67" s="64">
        <v>0.97</v>
      </c>
      <c r="K67" s="64">
        <v>19.78</v>
      </c>
      <c r="L67" s="64">
        <v>25.25</v>
      </c>
      <c r="M67" s="64">
        <v>32.97</v>
      </c>
      <c r="N67" s="64">
        <v>171.9</v>
      </c>
      <c r="O67" s="64">
        <v>0</v>
      </c>
      <c r="P67" s="64">
        <v>0.59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2703</v>
      </c>
      <c r="B68" s="64">
        <v>9.76</v>
      </c>
      <c r="C68" s="64">
        <v>71.819999999999993</v>
      </c>
      <c r="D68" s="64">
        <v>43.97</v>
      </c>
      <c r="E68" s="64">
        <v>4.13</v>
      </c>
      <c r="F68" s="64">
        <v>2.13</v>
      </c>
      <c r="G68" s="64">
        <v>66.16</v>
      </c>
      <c r="H68" s="64">
        <v>76.52</v>
      </c>
      <c r="I68" s="210" t="s">
        <v>43</v>
      </c>
      <c r="J68" s="64">
        <v>3</v>
      </c>
      <c r="K68" s="64">
        <v>326.89</v>
      </c>
      <c r="L68" s="64">
        <v>25.93</v>
      </c>
      <c r="M68" s="64">
        <v>32.049999999999997</v>
      </c>
      <c r="N68" s="64">
        <v>221.2</v>
      </c>
      <c r="O68" s="64">
        <v>0</v>
      </c>
      <c r="P68" s="64">
        <v>0.6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2704</v>
      </c>
      <c r="B69" s="64">
        <v>8.85</v>
      </c>
      <c r="C69" s="64">
        <v>71.63</v>
      </c>
      <c r="D69" s="64">
        <v>43.15</v>
      </c>
      <c r="E69" s="64">
        <v>3.97</v>
      </c>
      <c r="F69" s="64">
        <v>2.13</v>
      </c>
      <c r="G69" s="64">
        <v>78.81</v>
      </c>
      <c r="H69" s="64">
        <v>64.92</v>
      </c>
      <c r="I69" s="210" t="s">
        <v>43</v>
      </c>
      <c r="J69" s="64">
        <v>2.21</v>
      </c>
      <c r="K69" s="64">
        <v>320.62</v>
      </c>
      <c r="L69" s="64">
        <v>26.06</v>
      </c>
      <c r="M69" s="64">
        <v>30.47</v>
      </c>
      <c r="N69" s="64">
        <v>257.8</v>
      </c>
      <c r="O69" s="64">
        <v>0</v>
      </c>
      <c r="P69" s="64">
        <v>0.6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2705</v>
      </c>
      <c r="B70" s="64">
        <v>8.06</v>
      </c>
      <c r="C70" s="64">
        <v>72.819999999999993</v>
      </c>
      <c r="D70" s="64">
        <v>43.13</v>
      </c>
      <c r="E70" s="64">
        <v>4.5599999999999996</v>
      </c>
      <c r="F70" s="64">
        <v>2.13</v>
      </c>
      <c r="G70" s="64">
        <v>78.81</v>
      </c>
      <c r="H70" s="64">
        <v>64.92</v>
      </c>
      <c r="I70" s="210" t="s">
        <v>43</v>
      </c>
      <c r="J70" s="64">
        <v>2.12</v>
      </c>
      <c r="K70" s="64">
        <v>301.31</v>
      </c>
      <c r="L70" s="64">
        <v>25.64</v>
      </c>
      <c r="M70" s="64">
        <v>30.76</v>
      </c>
      <c r="N70" s="64">
        <v>205.7</v>
      </c>
      <c r="O70" s="64">
        <v>0</v>
      </c>
      <c r="P70" s="64">
        <v>0.61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2706</v>
      </c>
      <c r="B71" s="64">
        <v>7.06</v>
      </c>
      <c r="C71" s="64">
        <v>73.44</v>
      </c>
      <c r="D71" s="64">
        <v>42.65</v>
      </c>
      <c r="E71" s="64">
        <v>4.68</v>
      </c>
      <c r="F71" s="64">
        <v>2.3199999999999998</v>
      </c>
      <c r="G71" s="64">
        <v>78.81</v>
      </c>
      <c r="H71" s="64">
        <v>64.92</v>
      </c>
      <c r="I71" s="210" t="s">
        <v>43</v>
      </c>
      <c r="J71" s="64">
        <v>1.82</v>
      </c>
      <c r="K71" s="64">
        <v>294.60000000000002</v>
      </c>
      <c r="L71" s="64">
        <v>25</v>
      </c>
      <c r="M71" s="64">
        <v>32.17</v>
      </c>
      <c r="N71" s="64">
        <v>128.30000000000001</v>
      </c>
      <c r="O71" s="64">
        <v>0</v>
      </c>
      <c r="P71" s="64">
        <v>0.59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2707</v>
      </c>
      <c r="B72" s="64">
        <v>5.81</v>
      </c>
      <c r="C72" s="64">
        <v>73.08</v>
      </c>
      <c r="D72" s="64">
        <v>41.47</v>
      </c>
      <c r="E72" s="64">
        <v>5.93</v>
      </c>
      <c r="F72" s="64">
        <v>2.14</v>
      </c>
      <c r="G72" s="64">
        <v>66.8</v>
      </c>
      <c r="H72" s="64">
        <v>64.63</v>
      </c>
      <c r="I72" s="210" t="s">
        <v>43</v>
      </c>
      <c r="J72" s="64">
        <v>1.8</v>
      </c>
      <c r="K72" s="64">
        <v>307.77</v>
      </c>
      <c r="L72" s="64">
        <v>24.44</v>
      </c>
      <c r="M72" s="64">
        <v>33.04</v>
      </c>
      <c r="N72" s="64">
        <v>120.7</v>
      </c>
      <c r="O72" s="64">
        <v>0</v>
      </c>
      <c r="P72" s="64">
        <v>0.57999999999999996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2708</v>
      </c>
      <c r="B73" s="64">
        <v>5.0199999999999996</v>
      </c>
      <c r="C73" s="64">
        <v>71.98</v>
      </c>
      <c r="D73" s="64">
        <v>40.25</v>
      </c>
      <c r="E73" s="64">
        <v>6.52</v>
      </c>
      <c r="F73" s="64">
        <v>2.13</v>
      </c>
      <c r="G73" s="64">
        <v>52.45</v>
      </c>
      <c r="H73" s="64">
        <v>64.27</v>
      </c>
      <c r="I73" s="210" t="s">
        <v>43</v>
      </c>
      <c r="J73" s="64">
        <v>1.78</v>
      </c>
      <c r="K73" s="64">
        <v>294.02</v>
      </c>
      <c r="L73" s="64">
        <v>24.3</v>
      </c>
      <c r="M73" s="64">
        <v>33.99</v>
      </c>
      <c r="N73" s="64">
        <v>114.3</v>
      </c>
      <c r="O73" s="64">
        <v>0</v>
      </c>
      <c r="P73" s="64">
        <v>0.57999999999999996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2709</v>
      </c>
      <c r="B74" s="64">
        <v>4.78</v>
      </c>
      <c r="C74" s="64">
        <v>71.25</v>
      </c>
      <c r="D74" s="64">
        <v>39.68</v>
      </c>
      <c r="E74" s="64">
        <v>6.76</v>
      </c>
      <c r="F74" s="64">
        <v>2.13</v>
      </c>
      <c r="G74" s="64">
        <v>52.45</v>
      </c>
      <c r="H74" s="64">
        <v>64.27</v>
      </c>
      <c r="I74" s="210" t="s">
        <v>43</v>
      </c>
      <c r="J74" s="64">
        <v>2.29</v>
      </c>
      <c r="K74" s="64">
        <v>326.26</v>
      </c>
      <c r="L74" s="64">
        <v>24.04</v>
      </c>
      <c r="M74" s="64">
        <v>34.79</v>
      </c>
      <c r="N74" s="64">
        <v>109.3</v>
      </c>
      <c r="O74" s="64">
        <v>0</v>
      </c>
      <c r="P74" s="64">
        <v>0.55000000000000004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2710</v>
      </c>
      <c r="B75" s="64">
        <v>4.92</v>
      </c>
      <c r="C75" s="64">
        <v>70.91</v>
      </c>
      <c r="D75" s="64">
        <v>39.619999999999997</v>
      </c>
      <c r="E75" s="64">
        <v>6.39</v>
      </c>
      <c r="F75" s="64">
        <v>2.13</v>
      </c>
      <c r="G75" s="64">
        <v>52.45</v>
      </c>
      <c r="H75" s="64">
        <v>64.27</v>
      </c>
      <c r="I75" s="210" t="s">
        <v>43</v>
      </c>
      <c r="J75" s="64">
        <v>2.02</v>
      </c>
      <c r="K75" s="64">
        <v>340.43</v>
      </c>
      <c r="L75" s="64">
        <v>23.76</v>
      </c>
      <c r="M75" s="64">
        <v>35.340000000000003</v>
      </c>
      <c r="N75" s="64">
        <v>103.1</v>
      </c>
      <c r="O75" s="64">
        <v>0</v>
      </c>
      <c r="P75" s="64">
        <v>0.53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2711</v>
      </c>
      <c r="B76" s="64">
        <v>5.58</v>
      </c>
      <c r="C76" s="64">
        <v>71.44</v>
      </c>
      <c r="D76" s="64">
        <v>40.42</v>
      </c>
      <c r="E76" s="64">
        <v>6.77</v>
      </c>
      <c r="F76" s="64">
        <v>2.13</v>
      </c>
      <c r="G76" s="64">
        <v>49.34</v>
      </c>
      <c r="H76" s="64">
        <v>45.83</v>
      </c>
      <c r="I76" s="210" t="s">
        <v>43</v>
      </c>
      <c r="J76" s="64">
        <v>1.29</v>
      </c>
      <c r="K76" s="64">
        <v>9.77</v>
      </c>
      <c r="L76" s="64">
        <v>23.35</v>
      </c>
      <c r="M76" s="64">
        <v>36.08</v>
      </c>
      <c r="N76" s="64">
        <v>98.2</v>
      </c>
      <c r="O76" s="64">
        <v>0</v>
      </c>
      <c r="P76" s="64">
        <v>0.61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2712</v>
      </c>
      <c r="B77" s="64">
        <v>5.83</v>
      </c>
      <c r="C77" s="64">
        <v>71.56</v>
      </c>
      <c r="D77" s="64">
        <v>40.68</v>
      </c>
      <c r="E77" s="64">
        <v>6.7</v>
      </c>
      <c r="F77" s="64">
        <v>2.13</v>
      </c>
      <c r="G77" s="64">
        <v>45.62</v>
      </c>
      <c r="H77" s="64">
        <v>23.79</v>
      </c>
      <c r="I77" s="210" t="s">
        <v>43</v>
      </c>
      <c r="J77" s="64">
        <v>2.33</v>
      </c>
      <c r="K77" s="64">
        <v>346.67</v>
      </c>
      <c r="L77" s="64">
        <v>23</v>
      </c>
      <c r="M77" s="64">
        <v>38.81</v>
      </c>
      <c r="N77" s="64">
        <v>90.9</v>
      </c>
      <c r="O77" s="64">
        <v>0</v>
      </c>
      <c r="P77" s="64">
        <v>0.63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2713</v>
      </c>
      <c r="B78" s="64">
        <v>6.46</v>
      </c>
      <c r="C78" s="64">
        <v>72.650000000000006</v>
      </c>
      <c r="D78" s="64">
        <v>41.76</v>
      </c>
      <c r="E78" s="64">
        <v>6.48</v>
      </c>
      <c r="F78" s="64">
        <v>2.13</v>
      </c>
      <c r="G78" s="64">
        <v>45.62</v>
      </c>
      <c r="H78" s="64">
        <v>23.79</v>
      </c>
      <c r="I78" s="210" t="s">
        <v>43</v>
      </c>
      <c r="J78" s="64">
        <v>1.92</v>
      </c>
      <c r="K78" s="64">
        <v>342.74</v>
      </c>
      <c r="L78" s="64">
        <v>22.42</v>
      </c>
      <c r="M78" s="64">
        <v>40.33</v>
      </c>
      <c r="N78" s="64">
        <v>83.8</v>
      </c>
      <c r="O78" s="64">
        <v>0</v>
      </c>
      <c r="P78" s="64">
        <v>0.7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2714</v>
      </c>
      <c r="B79" s="64">
        <v>7.54</v>
      </c>
      <c r="C79" s="64">
        <v>71.72</v>
      </c>
      <c r="D79" s="64">
        <v>42.14</v>
      </c>
      <c r="E79" s="64">
        <v>6.42</v>
      </c>
      <c r="F79" s="64">
        <v>2.13</v>
      </c>
      <c r="G79" s="64">
        <v>45.62</v>
      </c>
      <c r="H79" s="64">
        <v>23.79</v>
      </c>
      <c r="I79" s="210" t="s">
        <v>43</v>
      </c>
      <c r="J79" s="64">
        <v>0.48</v>
      </c>
      <c r="K79" s="64">
        <v>246.9</v>
      </c>
      <c r="L79" s="64">
        <v>21.61</v>
      </c>
      <c r="M79" s="64">
        <v>41.71</v>
      </c>
      <c r="N79" s="64">
        <v>77.599999999999994</v>
      </c>
      <c r="O79" s="64">
        <v>0</v>
      </c>
      <c r="P79" s="64">
        <v>0.88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2715</v>
      </c>
      <c r="B80" s="64">
        <v>8.56</v>
      </c>
      <c r="C80" s="64">
        <v>71.900000000000006</v>
      </c>
      <c r="D80" s="64">
        <v>43.06</v>
      </c>
      <c r="E80" s="64">
        <v>6.32</v>
      </c>
      <c r="F80" s="64">
        <v>2.13</v>
      </c>
      <c r="G80" s="64">
        <v>52.94</v>
      </c>
      <c r="H80" s="64">
        <v>22.14</v>
      </c>
      <c r="I80" s="210" t="s">
        <v>43</v>
      </c>
      <c r="J80" s="64">
        <v>1.48</v>
      </c>
      <c r="K80" s="64">
        <v>267.35000000000002</v>
      </c>
      <c r="L80" s="64">
        <v>20.64</v>
      </c>
      <c r="M80" s="64">
        <v>45.99</v>
      </c>
      <c r="N80" s="64">
        <v>74.400000000000006</v>
      </c>
      <c r="O80" s="64">
        <v>0</v>
      </c>
      <c r="P80" s="64">
        <v>0.82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2716</v>
      </c>
      <c r="B81" s="64">
        <v>10.17</v>
      </c>
      <c r="C81" s="64">
        <v>72.959999999999994</v>
      </c>
      <c r="D81" s="64">
        <v>44.9</v>
      </c>
      <c r="E81" s="64">
        <v>6.34</v>
      </c>
      <c r="F81" s="64">
        <v>2.13</v>
      </c>
      <c r="G81" s="64">
        <v>61.69</v>
      </c>
      <c r="H81" s="64">
        <v>20.170000000000002</v>
      </c>
      <c r="I81" s="210" t="s">
        <v>43</v>
      </c>
      <c r="J81" s="64">
        <v>1.81</v>
      </c>
      <c r="K81" s="64">
        <v>281.85000000000002</v>
      </c>
      <c r="L81" s="64">
        <v>19.87</v>
      </c>
      <c r="M81" s="64">
        <v>50.36</v>
      </c>
      <c r="N81" s="64">
        <v>73.400000000000006</v>
      </c>
      <c r="O81" s="64">
        <v>0</v>
      </c>
      <c r="P81" s="64">
        <v>0.83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2717</v>
      </c>
      <c r="B82" s="64">
        <v>13.26</v>
      </c>
      <c r="C82" s="64">
        <v>73.78</v>
      </c>
      <c r="D82" s="64">
        <v>47.8</v>
      </c>
      <c r="E82" s="64">
        <v>6.65</v>
      </c>
      <c r="F82" s="64">
        <v>2.13</v>
      </c>
      <c r="G82" s="64">
        <v>61.69</v>
      </c>
      <c r="H82" s="64">
        <v>20.170000000000002</v>
      </c>
      <c r="I82" s="210" t="s">
        <v>43</v>
      </c>
      <c r="J82" s="64">
        <v>0.69</v>
      </c>
      <c r="K82" s="64">
        <v>134.82</v>
      </c>
      <c r="L82" s="64">
        <v>19.239999999999998</v>
      </c>
      <c r="M82" s="64">
        <v>56.96</v>
      </c>
      <c r="N82" s="64">
        <v>73.400000000000006</v>
      </c>
      <c r="O82" s="64">
        <v>0</v>
      </c>
      <c r="P82" s="64">
        <v>0.97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2718</v>
      </c>
      <c r="B83" s="64">
        <v>18.13</v>
      </c>
      <c r="C83" s="64">
        <v>74.44</v>
      </c>
      <c r="D83" s="64">
        <v>52.05</v>
      </c>
      <c r="E83" s="64">
        <v>6.32</v>
      </c>
      <c r="F83" s="64">
        <v>2.13</v>
      </c>
      <c r="G83" s="64">
        <v>61.69</v>
      </c>
      <c r="H83" s="64">
        <v>20.170000000000002</v>
      </c>
      <c r="I83" s="210" t="s">
        <v>43</v>
      </c>
      <c r="J83" s="64">
        <v>0.78</v>
      </c>
      <c r="K83" s="64">
        <v>59.25</v>
      </c>
      <c r="L83" s="64">
        <v>18.55</v>
      </c>
      <c r="M83" s="64">
        <v>59.55</v>
      </c>
      <c r="N83" s="64">
        <v>73.3</v>
      </c>
      <c r="O83" s="64">
        <v>0</v>
      </c>
      <c r="P83" s="64">
        <v>0.93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2719</v>
      </c>
      <c r="B84" s="64">
        <v>23.45</v>
      </c>
      <c r="C84" s="64">
        <v>75.02</v>
      </c>
      <c r="D84" s="64">
        <v>56.62</v>
      </c>
      <c r="E84" s="64">
        <v>7.02</v>
      </c>
      <c r="F84" s="64">
        <v>2.13</v>
      </c>
      <c r="G84" s="64">
        <v>80.069999999999993</v>
      </c>
      <c r="H84" s="64">
        <v>23.37</v>
      </c>
      <c r="I84" s="210" t="s">
        <v>43</v>
      </c>
      <c r="J84" s="64">
        <v>1.18</v>
      </c>
      <c r="K84" s="64">
        <v>0.59</v>
      </c>
      <c r="L84" s="64">
        <v>18.649999999999999</v>
      </c>
      <c r="M84" s="64">
        <v>54.95</v>
      </c>
      <c r="N84" s="64">
        <v>72.8</v>
      </c>
      <c r="O84" s="64">
        <v>0</v>
      </c>
      <c r="P84" s="64">
        <v>1.38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2720</v>
      </c>
      <c r="B85" s="64">
        <v>25.96</v>
      </c>
      <c r="C85" s="64">
        <v>74.58</v>
      </c>
      <c r="D85" s="64">
        <v>58.41</v>
      </c>
      <c r="E85" s="64">
        <v>6.69</v>
      </c>
      <c r="F85" s="64">
        <v>2.2400000000000002</v>
      </c>
      <c r="G85" s="64">
        <v>102.05</v>
      </c>
      <c r="H85" s="64">
        <v>27.2</v>
      </c>
      <c r="I85" s="210" t="s">
        <v>43</v>
      </c>
      <c r="J85" s="64">
        <v>1.33</v>
      </c>
      <c r="K85" s="64">
        <v>302.33999999999997</v>
      </c>
      <c r="L85" s="64">
        <v>18.690000000000001</v>
      </c>
      <c r="M85" s="64">
        <v>54.11</v>
      </c>
      <c r="N85" s="64">
        <v>73</v>
      </c>
      <c r="O85" s="64">
        <v>0</v>
      </c>
      <c r="P85" s="64">
        <v>0.93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2721</v>
      </c>
      <c r="B86" s="64">
        <v>27.57</v>
      </c>
      <c r="C86" s="64">
        <v>74.709999999999994</v>
      </c>
      <c r="D86" s="64">
        <v>59.77</v>
      </c>
      <c r="E86" s="64">
        <v>6.94</v>
      </c>
      <c r="F86" s="64">
        <v>2.13</v>
      </c>
      <c r="G86" s="64">
        <v>102.05</v>
      </c>
      <c r="H86" s="64">
        <v>27.2</v>
      </c>
      <c r="I86" s="210" t="s">
        <v>43</v>
      </c>
      <c r="J86" s="64">
        <v>1.64</v>
      </c>
      <c r="K86" s="64">
        <v>322.23</v>
      </c>
      <c r="L86" s="64">
        <v>18.399999999999999</v>
      </c>
      <c r="M86" s="64">
        <v>58.87</v>
      </c>
      <c r="N86" s="64">
        <v>73.099999999999994</v>
      </c>
      <c r="O86" s="64">
        <v>0</v>
      </c>
      <c r="P86" s="64">
        <v>0.95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2722</v>
      </c>
      <c r="B87" s="64">
        <v>31.54</v>
      </c>
      <c r="C87" s="64">
        <v>76.010000000000005</v>
      </c>
      <c r="D87" s="64">
        <v>63.63</v>
      </c>
      <c r="E87" s="64">
        <v>7.01</v>
      </c>
      <c r="F87" s="64">
        <v>2.13</v>
      </c>
      <c r="G87" s="64">
        <v>102.05</v>
      </c>
      <c r="H87" s="64">
        <v>27.2</v>
      </c>
      <c r="I87" s="210" t="s">
        <v>43</v>
      </c>
      <c r="J87" s="64">
        <v>1.37</v>
      </c>
      <c r="K87" s="64">
        <v>320.75</v>
      </c>
      <c r="L87" s="64">
        <v>17.97</v>
      </c>
      <c r="M87" s="64">
        <v>59.06</v>
      </c>
      <c r="N87" s="64">
        <v>73</v>
      </c>
      <c r="O87" s="64">
        <v>0</v>
      </c>
      <c r="P87" s="64">
        <v>0.96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2723</v>
      </c>
      <c r="B88" s="64">
        <v>35.130000000000003</v>
      </c>
      <c r="C88" s="64">
        <v>76.5</v>
      </c>
      <c r="D88" s="64">
        <v>66.77</v>
      </c>
      <c r="E88" s="64">
        <v>7.37</v>
      </c>
      <c r="F88" s="64">
        <v>2.13</v>
      </c>
      <c r="G88" s="64">
        <v>100.37</v>
      </c>
      <c r="H88" s="64">
        <v>32.19</v>
      </c>
      <c r="I88" s="210" t="s">
        <v>43</v>
      </c>
      <c r="J88" s="64">
        <v>1.36</v>
      </c>
      <c r="K88" s="64">
        <v>246.83</v>
      </c>
      <c r="L88" s="64">
        <v>17.88</v>
      </c>
      <c r="M88" s="64">
        <v>58.93</v>
      </c>
      <c r="N88" s="64">
        <v>72.7</v>
      </c>
      <c r="O88" s="64">
        <v>0</v>
      </c>
      <c r="P88" s="64">
        <v>1.1599999999999999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2724</v>
      </c>
      <c r="B89" s="64">
        <v>37.35</v>
      </c>
      <c r="C89" s="64">
        <v>76.510000000000005</v>
      </c>
      <c r="D89" s="64">
        <v>68.55</v>
      </c>
      <c r="E89" s="64">
        <v>7.22</v>
      </c>
      <c r="F89" s="64">
        <v>2.13</v>
      </c>
      <c r="G89" s="64">
        <v>98.37</v>
      </c>
      <c r="H89" s="64">
        <v>38.15</v>
      </c>
      <c r="I89" s="210" t="s">
        <v>43</v>
      </c>
      <c r="J89" s="64">
        <v>1.36</v>
      </c>
      <c r="K89" s="64">
        <v>151.66</v>
      </c>
      <c r="L89" s="64">
        <v>18.52</v>
      </c>
      <c r="M89" s="64">
        <v>53.46</v>
      </c>
      <c r="N89" s="64">
        <v>71.900000000000006</v>
      </c>
      <c r="O89" s="64">
        <v>0</v>
      </c>
      <c r="P89" s="64">
        <v>1.06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2725</v>
      </c>
      <c r="B90" s="64">
        <v>37.42</v>
      </c>
      <c r="C90" s="64">
        <v>76.510000000000005</v>
      </c>
      <c r="D90" s="64">
        <v>68.61</v>
      </c>
      <c r="E90" s="64">
        <v>7.14</v>
      </c>
      <c r="F90" s="64">
        <v>2.13</v>
      </c>
      <c r="G90" s="64">
        <v>98.37</v>
      </c>
      <c r="H90" s="64">
        <v>38.15</v>
      </c>
      <c r="I90" s="210" t="s">
        <v>43</v>
      </c>
      <c r="J90" s="64">
        <v>1.79</v>
      </c>
      <c r="K90" s="64">
        <v>271.63</v>
      </c>
      <c r="L90" s="64">
        <v>18.21</v>
      </c>
      <c r="M90" s="64">
        <v>56.11</v>
      </c>
      <c r="N90" s="64">
        <v>73.3</v>
      </c>
      <c r="O90" s="64">
        <v>0</v>
      </c>
      <c r="P90" s="64">
        <v>1.08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2726</v>
      </c>
      <c r="B91" s="64">
        <v>37.979999999999997</v>
      </c>
      <c r="C91" s="64">
        <v>76.17</v>
      </c>
      <c r="D91" s="64">
        <v>68.88</v>
      </c>
      <c r="E91" s="64">
        <v>7.37</v>
      </c>
      <c r="F91" s="64">
        <v>2.13</v>
      </c>
      <c r="G91" s="64">
        <v>98.37</v>
      </c>
      <c r="H91" s="64">
        <v>38.15</v>
      </c>
      <c r="I91" s="210" t="s">
        <v>43</v>
      </c>
      <c r="J91" s="64">
        <v>1.78</v>
      </c>
      <c r="K91" s="64">
        <v>329.13</v>
      </c>
      <c r="L91" s="64">
        <v>17.559999999999999</v>
      </c>
      <c r="M91" s="64">
        <v>64.22</v>
      </c>
      <c r="N91" s="64">
        <v>73.3</v>
      </c>
      <c r="O91" s="64">
        <v>0</v>
      </c>
      <c r="P91" s="64">
        <v>1.1599999999999999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2727</v>
      </c>
      <c r="B92" s="64">
        <v>40.58</v>
      </c>
      <c r="C92" s="64">
        <v>76.09</v>
      </c>
      <c r="D92" s="64">
        <v>70.92</v>
      </c>
      <c r="E92" s="64">
        <v>7.6</v>
      </c>
      <c r="F92" s="64">
        <v>2.13</v>
      </c>
      <c r="G92" s="64">
        <v>103.56</v>
      </c>
      <c r="H92" s="64">
        <v>35.93</v>
      </c>
      <c r="I92" s="210" t="s">
        <v>43</v>
      </c>
      <c r="J92" s="64">
        <v>1.72</v>
      </c>
      <c r="K92" s="64">
        <v>331.05</v>
      </c>
      <c r="L92" s="64">
        <v>16.989999999999998</v>
      </c>
      <c r="M92" s="64">
        <v>64.540000000000006</v>
      </c>
      <c r="N92" s="64">
        <v>73.2</v>
      </c>
      <c r="O92" s="64">
        <v>0</v>
      </c>
      <c r="P92" s="64">
        <v>1.25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2728</v>
      </c>
      <c r="B93" s="64">
        <v>47.19</v>
      </c>
      <c r="C93" s="64">
        <v>76.150000000000006</v>
      </c>
      <c r="D93" s="64">
        <v>76.25</v>
      </c>
      <c r="E93" s="64">
        <v>8.07</v>
      </c>
      <c r="F93" s="64">
        <v>2.13</v>
      </c>
      <c r="G93" s="64">
        <v>109.75</v>
      </c>
      <c r="H93" s="64">
        <v>33.28</v>
      </c>
      <c r="I93" s="210" t="s">
        <v>43</v>
      </c>
      <c r="J93" s="64">
        <v>1.66</v>
      </c>
      <c r="K93" s="64">
        <v>0.09</v>
      </c>
      <c r="L93" s="64">
        <v>16.61</v>
      </c>
      <c r="M93" s="64">
        <v>68.510000000000005</v>
      </c>
      <c r="N93" s="64">
        <v>73.3</v>
      </c>
      <c r="O93" s="64">
        <v>0</v>
      </c>
      <c r="P93" s="64">
        <v>1.3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2729</v>
      </c>
      <c r="B94" s="64">
        <v>52.07</v>
      </c>
      <c r="C94" s="64">
        <v>76.17</v>
      </c>
      <c r="D94" s="64">
        <v>80.180000000000007</v>
      </c>
      <c r="E94" s="64">
        <v>8.35</v>
      </c>
      <c r="F94" s="64">
        <v>2.13</v>
      </c>
      <c r="G94" s="64">
        <v>109.75</v>
      </c>
      <c r="H94" s="64">
        <v>33.28</v>
      </c>
      <c r="I94" s="210" t="s">
        <v>43</v>
      </c>
      <c r="J94" s="64">
        <v>1.1200000000000001</v>
      </c>
      <c r="K94" s="64">
        <v>278.08</v>
      </c>
      <c r="L94" s="64">
        <v>16.46</v>
      </c>
      <c r="M94" s="64">
        <v>68.02</v>
      </c>
      <c r="N94" s="64">
        <v>72.599999999999994</v>
      </c>
      <c r="O94" s="64">
        <v>0</v>
      </c>
      <c r="P94" s="64">
        <v>1.31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2730</v>
      </c>
      <c r="B95" s="64">
        <v>57.03</v>
      </c>
      <c r="C95" s="64">
        <v>75.7</v>
      </c>
      <c r="D95" s="64">
        <v>83.91</v>
      </c>
      <c r="E95" s="64">
        <v>8.57</v>
      </c>
      <c r="F95" s="64">
        <v>2.13</v>
      </c>
      <c r="G95" s="64">
        <v>109.75</v>
      </c>
      <c r="H95" s="64">
        <v>33.28</v>
      </c>
      <c r="I95" s="210" t="s">
        <v>43</v>
      </c>
      <c r="J95" s="64">
        <v>1.76</v>
      </c>
      <c r="K95" s="64">
        <v>331.92</v>
      </c>
      <c r="L95" s="64">
        <v>16.420000000000002</v>
      </c>
      <c r="M95" s="64">
        <v>72.55</v>
      </c>
      <c r="N95" s="64">
        <v>73.2</v>
      </c>
      <c r="O95" s="64">
        <v>0</v>
      </c>
      <c r="P95" s="64">
        <v>1.55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2731</v>
      </c>
      <c r="B96" s="64">
        <v>61.93</v>
      </c>
      <c r="C96" s="64">
        <v>71.91</v>
      </c>
      <c r="D96" s="64">
        <v>85.86</v>
      </c>
      <c r="E96" s="64">
        <v>8.49</v>
      </c>
      <c r="F96" s="64">
        <v>2.13</v>
      </c>
      <c r="G96" s="64">
        <v>115.85</v>
      </c>
      <c r="H96" s="64">
        <v>39.799999999999997</v>
      </c>
      <c r="I96" s="210" t="s">
        <v>43</v>
      </c>
      <c r="J96" s="64">
        <v>1.43</v>
      </c>
      <c r="K96" s="64">
        <v>348.13</v>
      </c>
      <c r="L96" s="64">
        <v>16.399999999999999</v>
      </c>
      <c r="M96" s="64">
        <v>66.22</v>
      </c>
      <c r="N96" s="64">
        <v>72.599999999999994</v>
      </c>
      <c r="O96" s="64">
        <v>0</v>
      </c>
      <c r="P96" s="64">
        <v>1.49</v>
      </c>
      <c r="Q96" s="64">
        <v>8.2100000000000009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2732</v>
      </c>
      <c r="B97" s="64">
        <v>63.37</v>
      </c>
      <c r="C97" s="64">
        <v>71.92</v>
      </c>
      <c r="D97" s="64">
        <v>87.02</v>
      </c>
      <c r="E97" s="64">
        <v>8.11</v>
      </c>
      <c r="F97" s="64">
        <v>2.13</v>
      </c>
      <c r="G97" s="64">
        <v>123.14</v>
      </c>
      <c r="H97" s="64">
        <v>47.58</v>
      </c>
      <c r="I97" s="210" t="s">
        <v>43</v>
      </c>
      <c r="J97" s="64">
        <v>1.41</v>
      </c>
      <c r="K97" s="64">
        <v>29.94</v>
      </c>
      <c r="L97" s="64">
        <v>16.690000000000001</v>
      </c>
      <c r="M97" s="64">
        <v>59.89</v>
      </c>
      <c r="N97" s="64">
        <v>72.8</v>
      </c>
      <c r="O97" s="64">
        <v>0</v>
      </c>
      <c r="P97" s="64">
        <v>1.42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4" t="s">
        <v>2733</v>
      </c>
      <c r="B98" s="64">
        <v>63.37</v>
      </c>
      <c r="C98" s="64">
        <v>71.42</v>
      </c>
      <c r="D98" s="64">
        <v>86.75</v>
      </c>
      <c r="E98" s="64">
        <v>8.17</v>
      </c>
      <c r="F98" s="64">
        <v>2.13</v>
      </c>
      <c r="G98" s="64">
        <v>123.14</v>
      </c>
      <c r="H98" s="64">
        <v>47.58</v>
      </c>
      <c r="I98" s="210" t="s">
        <v>43</v>
      </c>
      <c r="J98" s="64">
        <v>1.41</v>
      </c>
      <c r="K98" s="64">
        <v>92.37</v>
      </c>
      <c r="L98" s="64">
        <v>16.91</v>
      </c>
      <c r="M98" s="64">
        <v>57.83</v>
      </c>
      <c r="N98" s="64">
        <v>72.7</v>
      </c>
      <c r="O98" s="64">
        <v>0</v>
      </c>
      <c r="P98" s="64">
        <v>1.37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4" t="s">
        <v>2734</v>
      </c>
      <c r="B99" s="64">
        <v>62.32</v>
      </c>
      <c r="C99" s="64">
        <v>71.19</v>
      </c>
      <c r="D99" s="64">
        <v>85.79</v>
      </c>
      <c r="E99" s="64">
        <v>7.85</v>
      </c>
      <c r="F99" s="64">
        <v>2.13</v>
      </c>
      <c r="G99" s="64">
        <v>123.14</v>
      </c>
      <c r="H99" s="64">
        <v>47.58</v>
      </c>
      <c r="I99" s="210" t="s">
        <v>43</v>
      </c>
      <c r="J99" s="64">
        <v>1</v>
      </c>
      <c r="K99" s="64">
        <v>98.38</v>
      </c>
      <c r="L99" s="64">
        <v>16.899999999999999</v>
      </c>
      <c r="M99" s="64">
        <v>57.16</v>
      </c>
      <c r="N99" s="64">
        <v>72.900000000000006</v>
      </c>
      <c r="O99" s="64">
        <v>0</v>
      </c>
      <c r="P99" s="64">
        <v>1.36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4" t="s">
        <v>2735</v>
      </c>
      <c r="B100" s="64">
        <v>61.6</v>
      </c>
      <c r="C100" s="64">
        <v>70.599999999999994</v>
      </c>
      <c r="D100" s="64">
        <v>84.91</v>
      </c>
      <c r="E100" s="64">
        <v>7.65</v>
      </c>
      <c r="F100" s="64">
        <v>2.13</v>
      </c>
      <c r="G100" s="64">
        <v>112.84</v>
      </c>
      <c r="H100" s="64">
        <v>38.11</v>
      </c>
      <c r="I100" s="210" t="s">
        <v>43</v>
      </c>
      <c r="J100" s="64">
        <v>0.11</v>
      </c>
      <c r="K100" s="64">
        <v>342.38</v>
      </c>
      <c r="L100" s="64">
        <v>16.579999999999998</v>
      </c>
      <c r="M100" s="64">
        <v>59.57</v>
      </c>
      <c r="N100" s="64">
        <v>73</v>
      </c>
      <c r="O100" s="64">
        <v>0</v>
      </c>
      <c r="P100" s="64">
        <v>1.4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2736</v>
      </c>
      <c r="B101" s="64">
        <v>61.16</v>
      </c>
      <c r="C101" s="64">
        <v>69.58</v>
      </c>
      <c r="D101" s="64">
        <v>84.02</v>
      </c>
      <c r="E101" s="64">
        <v>7.69</v>
      </c>
      <c r="F101" s="64">
        <v>2.13</v>
      </c>
      <c r="G101" s="64">
        <v>100.52</v>
      </c>
      <c r="H101" s="64">
        <v>26.78</v>
      </c>
      <c r="I101" s="210" t="s">
        <v>43</v>
      </c>
      <c r="J101" s="64">
        <v>1.78</v>
      </c>
      <c r="K101" s="64">
        <v>310.63</v>
      </c>
      <c r="L101" s="64">
        <v>16.149999999999999</v>
      </c>
      <c r="M101" s="64">
        <v>61.3</v>
      </c>
      <c r="N101" s="64">
        <v>73.3</v>
      </c>
      <c r="O101" s="64">
        <v>0</v>
      </c>
      <c r="P101" s="64">
        <v>1.38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4" t="s">
        <v>2737</v>
      </c>
      <c r="B102" s="64">
        <v>60.03</v>
      </c>
      <c r="C102" s="64">
        <v>69.08</v>
      </c>
      <c r="D102" s="64">
        <v>82.85</v>
      </c>
      <c r="E102" s="64">
        <v>7.61</v>
      </c>
      <c r="F102" s="64">
        <v>2.13</v>
      </c>
      <c r="G102" s="64">
        <v>100.52</v>
      </c>
      <c r="H102" s="64">
        <v>26.78</v>
      </c>
      <c r="I102" s="210" t="s">
        <v>43</v>
      </c>
      <c r="J102" s="64">
        <v>0.87</v>
      </c>
      <c r="K102" s="64">
        <v>350.54</v>
      </c>
      <c r="L102" s="64">
        <v>15.94</v>
      </c>
      <c r="M102" s="64">
        <v>62.16</v>
      </c>
      <c r="N102" s="64">
        <v>73</v>
      </c>
      <c r="O102" s="64">
        <v>0</v>
      </c>
      <c r="P102" s="64">
        <v>1.3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4" t="s">
        <v>2738</v>
      </c>
      <c r="B103" s="64">
        <v>58.6</v>
      </c>
      <c r="C103" s="64">
        <v>67.81</v>
      </c>
      <c r="D103" s="64">
        <v>81.040000000000006</v>
      </c>
      <c r="E103" s="64">
        <v>7.11</v>
      </c>
      <c r="F103" s="64">
        <v>2.13</v>
      </c>
      <c r="G103" s="64">
        <v>100.52</v>
      </c>
      <c r="H103" s="64">
        <v>26.78</v>
      </c>
      <c r="I103" s="210" t="s">
        <v>43</v>
      </c>
      <c r="J103" s="64">
        <v>0.36</v>
      </c>
      <c r="K103" s="64">
        <v>337.79</v>
      </c>
      <c r="L103" s="64">
        <v>16.03</v>
      </c>
      <c r="M103" s="64">
        <v>58.82</v>
      </c>
      <c r="N103" s="64">
        <v>72.7</v>
      </c>
      <c r="O103" s="64">
        <v>0</v>
      </c>
      <c r="P103" s="64">
        <v>1.33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4" t="s">
        <v>2739</v>
      </c>
      <c r="B104" s="64">
        <v>56.65</v>
      </c>
      <c r="C104" s="64">
        <v>68.62</v>
      </c>
      <c r="D104" s="64">
        <v>79.91</v>
      </c>
      <c r="E104" s="64">
        <v>5.53</v>
      </c>
      <c r="F104" s="64">
        <v>2.13</v>
      </c>
      <c r="G104" s="64">
        <v>93.48</v>
      </c>
      <c r="H104" s="64">
        <v>28.96</v>
      </c>
      <c r="I104" s="210" t="s">
        <v>43</v>
      </c>
      <c r="J104" s="64">
        <v>0.99</v>
      </c>
      <c r="K104" s="64">
        <v>41.28</v>
      </c>
      <c r="L104" s="64">
        <v>16.309999999999999</v>
      </c>
      <c r="M104" s="64">
        <v>54.88</v>
      </c>
      <c r="N104" s="64">
        <v>72.8</v>
      </c>
      <c r="O104" s="64">
        <v>0</v>
      </c>
      <c r="P104" s="64">
        <v>1.35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4.78</v>
      </c>
      <c r="C106" s="67">
        <f>MIN(C9:C104)</f>
        <v>59.29</v>
      </c>
      <c r="D106" s="67">
        <f t="shared" ref="D106:Q106" si="0">MIN(D9:D104)</f>
        <v>39.619999999999997</v>
      </c>
      <c r="E106" s="67">
        <f t="shared" si="0"/>
        <v>3.77</v>
      </c>
      <c r="F106" s="67">
        <f t="shared" si="0"/>
        <v>2.13</v>
      </c>
      <c r="G106" s="67">
        <f t="shared" si="0"/>
        <v>40.81</v>
      </c>
      <c r="H106" s="67">
        <f t="shared" si="0"/>
        <v>20.170000000000002</v>
      </c>
      <c r="I106" s="67">
        <f t="shared" si="0"/>
        <v>0</v>
      </c>
      <c r="J106" s="67">
        <f t="shared" si="0"/>
        <v>0.11</v>
      </c>
      <c r="K106" s="67">
        <f t="shared" si="0"/>
        <v>0.09</v>
      </c>
      <c r="L106" s="67">
        <f t="shared" si="0"/>
        <v>13.32</v>
      </c>
      <c r="M106" s="67">
        <f t="shared" si="0"/>
        <v>30.35</v>
      </c>
      <c r="N106" s="67">
        <f t="shared" si="0"/>
        <v>68.099999999999994</v>
      </c>
      <c r="O106" s="67">
        <f t="shared" si="0"/>
        <v>0</v>
      </c>
      <c r="P106" s="67">
        <f t="shared" si="0"/>
        <v>0.53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135.91999999999999</v>
      </c>
      <c r="C107" s="66">
        <f t="shared" ref="C107:Q107" si="1">MAX(C9:C104)</f>
        <v>76.510000000000005</v>
      </c>
      <c r="D107" s="66">
        <f t="shared" si="1"/>
        <v>146.03</v>
      </c>
      <c r="E107" s="66">
        <f t="shared" si="1"/>
        <v>9.0399999999999991</v>
      </c>
      <c r="F107" s="66">
        <f t="shared" si="1"/>
        <v>2.3199999999999998</v>
      </c>
      <c r="G107" s="66">
        <f t="shared" si="1"/>
        <v>182.52</v>
      </c>
      <c r="H107" s="66">
        <f t="shared" si="1"/>
        <v>165.61</v>
      </c>
      <c r="I107" s="66">
        <f t="shared" si="1"/>
        <v>0</v>
      </c>
      <c r="J107" s="66">
        <f t="shared" si="1"/>
        <v>3</v>
      </c>
      <c r="K107" s="66">
        <f t="shared" si="1"/>
        <v>359.96</v>
      </c>
      <c r="L107" s="66">
        <f t="shared" si="1"/>
        <v>27.44</v>
      </c>
      <c r="M107" s="66">
        <f t="shared" si="1"/>
        <v>86.57</v>
      </c>
      <c r="N107" s="66">
        <f t="shared" si="1"/>
        <v>633.6</v>
      </c>
      <c r="O107" s="66">
        <f t="shared" si="1"/>
        <v>0</v>
      </c>
      <c r="P107" s="66">
        <f t="shared" si="1"/>
        <v>2.56</v>
      </c>
      <c r="Q107" s="66">
        <f t="shared" si="1"/>
        <v>9.7799999999999994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41.840729166666677</v>
      </c>
      <c r="C108" s="67">
        <f t="shared" ref="C108:Q108" si="2">AVERAGE(C9:C104)</f>
        <v>68.44479166666666</v>
      </c>
      <c r="D108" s="67">
        <f t="shared" si="2"/>
        <v>67.936770833333341</v>
      </c>
      <c r="E108" s="67">
        <f t="shared" si="2"/>
        <v>6.2718750000000014</v>
      </c>
      <c r="F108" s="67">
        <f t="shared" si="2"/>
        <v>2.1332291666666641</v>
      </c>
      <c r="G108" s="67">
        <f t="shared" si="2"/>
        <v>89.89895833333334</v>
      </c>
      <c r="H108" s="67">
        <f t="shared" si="2"/>
        <v>51.641979166666623</v>
      </c>
      <c r="I108" s="67" t="e">
        <f t="shared" si="2"/>
        <v>#DIV/0!</v>
      </c>
      <c r="J108" s="67">
        <f t="shared" si="2"/>
        <v>1.3506250000000006</v>
      </c>
      <c r="K108" s="67">
        <f t="shared" si="2"/>
        <v>197.86114583333332</v>
      </c>
      <c r="L108" s="67">
        <f t="shared" si="2"/>
        <v>18.951354166666672</v>
      </c>
      <c r="M108" s="67">
        <f t="shared" si="2"/>
        <v>56.840416666666663</v>
      </c>
      <c r="N108" s="67">
        <f t="shared" si="2"/>
        <v>203.00208333333339</v>
      </c>
      <c r="O108" s="67">
        <f t="shared" si="2"/>
        <v>0</v>
      </c>
      <c r="P108" s="67">
        <f t="shared" si="2"/>
        <v>1.1357291666666665</v>
      </c>
      <c r="Q108" s="67">
        <f t="shared" si="2"/>
        <v>8.3940625000000075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31.768233032213715</v>
      </c>
      <c r="C109" s="67">
        <f t="shared" ref="C109:Q109" si="3">STDEV(C9:C104)</f>
        <v>5.5450546918031147</v>
      </c>
      <c r="D109" s="67">
        <f t="shared" si="3"/>
        <v>24.620365703162371</v>
      </c>
      <c r="E109" s="67">
        <f t="shared" si="3"/>
        <v>1.3821191299861455</v>
      </c>
      <c r="F109" s="67">
        <f t="shared" si="3"/>
        <v>2.2313309300276911E-2</v>
      </c>
      <c r="G109" s="67">
        <f t="shared" si="3"/>
        <v>33.710263921250338</v>
      </c>
      <c r="H109" s="67">
        <f t="shared" si="3"/>
        <v>35.363352532776943</v>
      </c>
      <c r="I109" s="67" t="e">
        <f t="shared" si="3"/>
        <v>#DIV/0!</v>
      </c>
      <c r="J109" s="67">
        <f t="shared" si="3"/>
        <v>0.66966733689591174</v>
      </c>
      <c r="K109" s="67">
        <f t="shared" si="3"/>
        <v>135.11407633917722</v>
      </c>
      <c r="L109" s="67">
        <f t="shared" si="3"/>
        <v>4.2835046201843001</v>
      </c>
      <c r="M109" s="67">
        <f t="shared" si="3"/>
        <v>18.132939025963168</v>
      </c>
      <c r="N109" s="67">
        <f t="shared" si="3"/>
        <v>202.99251890760931</v>
      </c>
      <c r="O109" s="67">
        <f t="shared" si="3"/>
        <v>0</v>
      </c>
      <c r="P109" s="67">
        <f t="shared" si="3"/>
        <v>0.45223595329887384</v>
      </c>
      <c r="Q109" s="67">
        <f t="shared" si="3"/>
        <v>0.46024382125130237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2" sqref="G12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2740</v>
      </c>
      <c r="B9" s="64">
        <v>53.91</v>
      </c>
      <c r="C9" s="64">
        <v>68.790000000000006</v>
      </c>
      <c r="D9" s="64">
        <v>77.790000000000006</v>
      </c>
      <c r="E9" s="64">
        <v>5.81</v>
      </c>
      <c r="F9" s="64">
        <v>2.13</v>
      </c>
      <c r="G9" s="64">
        <v>85.06</v>
      </c>
      <c r="H9" s="64">
        <v>31.55</v>
      </c>
      <c r="I9" s="210" t="s">
        <v>43</v>
      </c>
      <c r="J9" s="64">
        <v>0.54</v>
      </c>
      <c r="K9" s="64">
        <v>358.57</v>
      </c>
      <c r="L9" s="64">
        <v>15.96</v>
      </c>
      <c r="M9" s="64">
        <v>56.58</v>
      </c>
      <c r="N9" s="64">
        <v>72.599999999999994</v>
      </c>
      <c r="O9" s="64">
        <v>0</v>
      </c>
      <c r="P9" s="64">
        <v>1.3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2741</v>
      </c>
      <c r="B10" s="64">
        <v>50.54</v>
      </c>
      <c r="C10" s="64">
        <v>68.17</v>
      </c>
      <c r="D10" s="64">
        <v>74.77</v>
      </c>
      <c r="E10" s="64">
        <v>5.48</v>
      </c>
      <c r="F10" s="64">
        <v>2.13</v>
      </c>
      <c r="G10" s="64">
        <v>85.06</v>
      </c>
      <c r="H10" s="64">
        <v>31.55</v>
      </c>
      <c r="I10" s="210" t="s">
        <v>43</v>
      </c>
      <c r="J10" s="64">
        <v>0.62</v>
      </c>
      <c r="K10" s="64">
        <v>348.76</v>
      </c>
      <c r="L10" s="64">
        <v>16.29</v>
      </c>
      <c r="M10" s="64">
        <v>48.2</v>
      </c>
      <c r="N10" s="64">
        <v>72.5</v>
      </c>
      <c r="O10" s="64">
        <v>0</v>
      </c>
      <c r="P10" s="64">
        <v>1.28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2742</v>
      </c>
      <c r="B11" s="64">
        <v>46.65</v>
      </c>
      <c r="C11" s="64">
        <v>67.89</v>
      </c>
      <c r="D11" s="64">
        <v>71.510000000000005</v>
      </c>
      <c r="E11" s="64">
        <v>5.2</v>
      </c>
      <c r="F11" s="64">
        <v>2.13</v>
      </c>
      <c r="G11" s="64">
        <v>85.06</v>
      </c>
      <c r="H11" s="64">
        <v>31.55</v>
      </c>
      <c r="I11" s="210" t="s">
        <v>43</v>
      </c>
      <c r="J11" s="64">
        <v>0.67</v>
      </c>
      <c r="K11" s="64">
        <v>11.65</v>
      </c>
      <c r="L11" s="64">
        <v>16</v>
      </c>
      <c r="M11" s="64">
        <v>49</v>
      </c>
      <c r="N11" s="64">
        <v>73</v>
      </c>
      <c r="O11" s="64">
        <v>0</v>
      </c>
      <c r="P11" s="64">
        <v>1.24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2743</v>
      </c>
      <c r="B12" s="64">
        <v>43.01</v>
      </c>
      <c r="C12" s="64">
        <v>67.22</v>
      </c>
      <c r="D12" s="64">
        <v>68.239999999999995</v>
      </c>
      <c r="E12" s="64">
        <v>5.27</v>
      </c>
      <c r="F12" s="64">
        <v>2.13</v>
      </c>
      <c r="G12" s="64">
        <v>71.739999999999995</v>
      </c>
      <c r="H12" s="64">
        <v>26.67</v>
      </c>
      <c r="I12" s="210" t="s">
        <v>43</v>
      </c>
      <c r="J12" s="64">
        <v>0.85</v>
      </c>
      <c r="K12" s="64">
        <v>359.35</v>
      </c>
      <c r="L12" s="64">
        <v>15.71</v>
      </c>
      <c r="M12" s="64">
        <v>49.35</v>
      </c>
      <c r="N12" s="64">
        <v>73</v>
      </c>
      <c r="O12" s="64">
        <v>0</v>
      </c>
      <c r="P12" s="64">
        <v>1.19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2744</v>
      </c>
      <c r="B13" s="64">
        <v>39.58</v>
      </c>
      <c r="C13" s="64">
        <v>66.680000000000007</v>
      </c>
      <c r="D13" s="64">
        <v>65.2</v>
      </c>
      <c r="E13" s="64">
        <v>4.93</v>
      </c>
      <c r="F13" s="64">
        <v>2.13</v>
      </c>
      <c r="G13" s="64">
        <v>55.82</v>
      </c>
      <c r="H13" s="64">
        <v>20.83</v>
      </c>
      <c r="I13" s="210" t="s">
        <v>43</v>
      </c>
      <c r="J13" s="64">
        <v>1.02</v>
      </c>
      <c r="K13" s="64">
        <v>345.1</v>
      </c>
      <c r="L13" s="64">
        <v>15.43</v>
      </c>
      <c r="M13" s="64">
        <v>48.41</v>
      </c>
      <c r="N13" s="64">
        <v>73.099999999999994</v>
      </c>
      <c r="O13" s="64">
        <v>0</v>
      </c>
      <c r="P13" s="64">
        <v>1.1299999999999999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2745</v>
      </c>
      <c r="B14" s="64">
        <v>36.299999999999997</v>
      </c>
      <c r="C14" s="64">
        <v>66.17</v>
      </c>
      <c r="D14" s="64">
        <v>62.3</v>
      </c>
      <c r="E14" s="64">
        <v>4.95</v>
      </c>
      <c r="F14" s="64">
        <v>2.13</v>
      </c>
      <c r="G14" s="64">
        <v>55.82</v>
      </c>
      <c r="H14" s="64">
        <v>20.83</v>
      </c>
      <c r="I14" s="210" t="s">
        <v>43</v>
      </c>
      <c r="J14" s="64">
        <v>1.25</v>
      </c>
      <c r="K14" s="64">
        <v>319.79000000000002</v>
      </c>
      <c r="L14" s="64">
        <v>15.21</v>
      </c>
      <c r="M14" s="64">
        <v>47.97</v>
      </c>
      <c r="N14" s="64">
        <v>73</v>
      </c>
      <c r="O14" s="64">
        <v>0</v>
      </c>
      <c r="P14" s="64">
        <v>1.1200000000000001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2746</v>
      </c>
      <c r="B15" s="64">
        <v>33.32</v>
      </c>
      <c r="C15" s="64">
        <v>65.650000000000006</v>
      </c>
      <c r="D15" s="64">
        <v>59.64</v>
      </c>
      <c r="E15" s="64">
        <v>4.8099999999999996</v>
      </c>
      <c r="F15" s="64">
        <v>2.13</v>
      </c>
      <c r="G15" s="64">
        <v>55.82</v>
      </c>
      <c r="H15" s="64">
        <v>20.83</v>
      </c>
      <c r="I15" s="210" t="s">
        <v>43</v>
      </c>
      <c r="J15" s="64">
        <v>0.61</v>
      </c>
      <c r="K15" s="64">
        <v>34.36</v>
      </c>
      <c r="L15" s="64">
        <v>15.04</v>
      </c>
      <c r="M15" s="64">
        <v>48.98</v>
      </c>
      <c r="N15" s="64">
        <v>73.2</v>
      </c>
      <c r="O15" s="64">
        <v>0</v>
      </c>
      <c r="P15" s="64">
        <v>1.0900000000000001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2747</v>
      </c>
      <c r="B16" s="64">
        <v>30.59</v>
      </c>
      <c r="C16" s="64">
        <v>63.96</v>
      </c>
      <c r="D16" s="64">
        <v>56.57</v>
      </c>
      <c r="E16" s="64">
        <v>4.67</v>
      </c>
      <c r="F16" s="64">
        <v>2.13</v>
      </c>
      <c r="G16" s="64">
        <v>55.48</v>
      </c>
      <c r="H16" s="64">
        <v>17.989999999999998</v>
      </c>
      <c r="I16" s="210" t="s">
        <v>43</v>
      </c>
      <c r="J16" s="64">
        <v>1.38</v>
      </c>
      <c r="K16" s="64">
        <v>231.33</v>
      </c>
      <c r="L16" s="64">
        <v>14.65</v>
      </c>
      <c r="M16" s="64">
        <v>51.45</v>
      </c>
      <c r="N16" s="64">
        <v>72.900000000000006</v>
      </c>
      <c r="O16" s="64">
        <v>0</v>
      </c>
      <c r="P16" s="64">
        <v>1.04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2748</v>
      </c>
      <c r="B17" s="64">
        <v>28.2</v>
      </c>
      <c r="C17" s="64">
        <v>61.66</v>
      </c>
      <c r="D17" s="64">
        <v>53.46</v>
      </c>
      <c r="E17" s="64">
        <v>4.55</v>
      </c>
      <c r="F17" s="64">
        <v>2.13</v>
      </c>
      <c r="G17" s="64">
        <v>55.08</v>
      </c>
      <c r="H17" s="64">
        <v>14.6</v>
      </c>
      <c r="I17" s="210" t="s">
        <v>43</v>
      </c>
      <c r="J17" s="64">
        <v>1.4</v>
      </c>
      <c r="K17" s="64">
        <v>184.85</v>
      </c>
      <c r="L17" s="64">
        <v>14.54</v>
      </c>
      <c r="M17" s="64">
        <v>52.63</v>
      </c>
      <c r="N17" s="64">
        <v>73</v>
      </c>
      <c r="O17" s="64">
        <v>0</v>
      </c>
      <c r="P17" s="64">
        <v>1.01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2749</v>
      </c>
      <c r="B18" s="64">
        <v>26.52</v>
      </c>
      <c r="C18" s="64">
        <v>61.81</v>
      </c>
      <c r="D18" s="64">
        <v>52.19</v>
      </c>
      <c r="E18" s="64">
        <v>4.66</v>
      </c>
      <c r="F18" s="64">
        <v>2.13</v>
      </c>
      <c r="G18" s="64">
        <v>55.08</v>
      </c>
      <c r="H18" s="64">
        <v>14.6</v>
      </c>
      <c r="I18" s="210" t="s">
        <v>43</v>
      </c>
      <c r="J18" s="64">
        <v>1.65</v>
      </c>
      <c r="K18" s="64">
        <v>196.77</v>
      </c>
      <c r="L18" s="64">
        <v>14.09</v>
      </c>
      <c r="M18" s="64">
        <v>62.62</v>
      </c>
      <c r="N18" s="64">
        <v>73.2</v>
      </c>
      <c r="O18" s="64">
        <v>0</v>
      </c>
      <c r="P18" s="64">
        <v>1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2750</v>
      </c>
      <c r="B19" s="64">
        <v>25.22</v>
      </c>
      <c r="C19" s="64">
        <v>61.41</v>
      </c>
      <c r="D19" s="64">
        <v>50.94</v>
      </c>
      <c r="E19" s="64">
        <v>4.5999999999999996</v>
      </c>
      <c r="F19" s="64">
        <v>2.13</v>
      </c>
      <c r="G19" s="64">
        <v>55.08</v>
      </c>
      <c r="H19" s="64">
        <v>14.6</v>
      </c>
      <c r="I19" s="210" t="s">
        <v>43</v>
      </c>
      <c r="J19" s="64">
        <v>1.17</v>
      </c>
      <c r="K19" s="64">
        <v>255</v>
      </c>
      <c r="L19" s="64">
        <v>13.47</v>
      </c>
      <c r="M19" s="64">
        <v>74.849999999999994</v>
      </c>
      <c r="N19" s="64">
        <v>73.400000000000006</v>
      </c>
      <c r="O19" s="64">
        <v>0</v>
      </c>
      <c r="P19" s="64">
        <v>0.97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2751</v>
      </c>
      <c r="B20" s="64">
        <v>24.5</v>
      </c>
      <c r="C20" s="64">
        <v>60.21</v>
      </c>
      <c r="D20" s="64">
        <v>49.72</v>
      </c>
      <c r="E20" s="64">
        <v>4.84</v>
      </c>
      <c r="F20" s="64">
        <v>2.13</v>
      </c>
      <c r="G20" s="64">
        <v>59.12</v>
      </c>
      <c r="H20" s="64">
        <v>19.66</v>
      </c>
      <c r="I20" s="210" t="s">
        <v>43</v>
      </c>
      <c r="J20" s="64">
        <v>1.69</v>
      </c>
      <c r="K20" s="64">
        <v>324.14999999999998</v>
      </c>
      <c r="L20" s="64">
        <v>12.84</v>
      </c>
      <c r="M20" s="64">
        <v>80.95</v>
      </c>
      <c r="N20" s="64">
        <v>73.400000000000006</v>
      </c>
      <c r="O20" s="64">
        <v>0</v>
      </c>
      <c r="P20" s="64">
        <v>0.93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2752</v>
      </c>
      <c r="B21" s="64">
        <v>24.07</v>
      </c>
      <c r="C21" s="64">
        <v>59.4</v>
      </c>
      <c r="D21" s="64">
        <v>48.96</v>
      </c>
      <c r="E21" s="64">
        <v>4.5599999999999996</v>
      </c>
      <c r="F21" s="64">
        <v>2.13</v>
      </c>
      <c r="G21" s="64">
        <v>63.95</v>
      </c>
      <c r="H21" s="64">
        <v>25.71</v>
      </c>
      <c r="I21" s="210" t="s">
        <v>43</v>
      </c>
      <c r="J21" s="64">
        <v>1.78</v>
      </c>
      <c r="K21" s="64">
        <v>352.16</v>
      </c>
      <c r="L21" s="64">
        <v>12.4</v>
      </c>
      <c r="M21" s="64">
        <v>84.43</v>
      </c>
      <c r="N21" s="64">
        <v>73.2</v>
      </c>
      <c r="O21" s="64">
        <v>0</v>
      </c>
      <c r="P21" s="64">
        <v>0.94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2753</v>
      </c>
      <c r="B22" s="64">
        <v>23.6</v>
      </c>
      <c r="C22" s="64">
        <v>58</v>
      </c>
      <c r="D22" s="64">
        <v>47.85</v>
      </c>
      <c r="E22" s="64">
        <v>4.74</v>
      </c>
      <c r="F22" s="64">
        <v>2.13</v>
      </c>
      <c r="G22" s="64">
        <v>63.95</v>
      </c>
      <c r="H22" s="64">
        <v>25.71</v>
      </c>
      <c r="I22" s="210" t="s">
        <v>43</v>
      </c>
      <c r="J22" s="64">
        <v>1.84</v>
      </c>
      <c r="K22" s="64">
        <v>322.01</v>
      </c>
      <c r="L22" s="64">
        <v>12.18</v>
      </c>
      <c r="M22" s="64">
        <v>85.68</v>
      </c>
      <c r="N22" s="64">
        <v>73.099999999999994</v>
      </c>
      <c r="O22" s="64">
        <v>0</v>
      </c>
      <c r="P22" s="64">
        <v>0.93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2754</v>
      </c>
      <c r="B23" s="64">
        <v>23.67</v>
      </c>
      <c r="C23" s="64">
        <v>57.91</v>
      </c>
      <c r="D23" s="64">
        <v>47.86</v>
      </c>
      <c r="E23" s="64">
        <v>4.87</v>
      </c>
      <c r="F23" s="64">
        <v>2.13</v>
      </c>
      <c r="G23" s="64">
        <v>63.95</v>
      </c>
      <c r="H23" s="64">
        <v>25.71</v>
      </c>
      <c r="I23" s="210" t="s">
        <v>43</v>
      </c>
      <c r="J23" s="64">
        <v>1.76</v>
      </c>
      <c r="K23" s="64">
        <v>328.18</v>
      </c>
      <c r="L23" s="64">
        <v>11.98</v>
      </c>
      <c r="M23" s="64">
        <v>86.62</v>
      </c>
      <c r="N23" s="64">
        <v>73.099999999999994</v>
      </c>
      <c r="O23" s="64">
        <v>0</v>
      </c>
      <c r="P23" s="64">
        <v>0.92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2755</v>
      </c>
      <c r="B24" s="64">
        <v>23.97</v>
      </c>
      <c r="C24" s="64">
        <v>56.77</v>
      </c>
      <c r="D24" s="64">
        <v>47.51</v>
      </c>
      <c r="E24" s="64">
        <v>4.72</v>
      </c>
      <c r="F24" s="64">
        <v>2.13</v>
      </c>
      <c r="G24" s="64">
        <v>69.05</v>
      </c>
      <c r="H24" s="64">
        <v>28.8</v>
      </c>
      <c r="I24" s="210" t="s">
        <v>43</v>
      </c>
      <c r="J24" s="64">
        <v>1.19</v>
      </c>
      <c r="K24" s="64">
        <v>326.38</v>
      </c>
      <c r="L24" s="64">
        <v>11.88</v>
      </c>
      <c r="M24" s="64">
        <v>88.64</v>
      </c>
      <c r="N24" s="64">
        <v>73</v>
      </c>
      <c r="O24" s="64">
        <v>0</v>
      </c>
      <c r="P24" s="64">
        <v>0.9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2756</v>
      </c>
      <c r="B25" s="64">
        <v>24.67</v>
      </c>
      <c r="C25" s="64">
        <v>56.38</v>
      </c>
      <c r="D25" s="64">
        <v>47.87</v>
      </c>
      <c r="E25" s="64">
        <v>5.01</v>
      </c>
      <c r="F25" s="64">
        <v>2.13</v>
      </c>
      <c r="G25" s="64">
        <v>75.14</v>
      </c>
      <c r="H25" s="64">
        <v>32.5</v>
      </c>
      <c r="I25" s="210" t="s">
        <v>43</v>
      </c>
      <c r="J25" s="64">
        <v>1.52</v>
      </c>
      <c r="K25" s="64">
        <v>315.14999999999998</v>
      </c>
      <c r="L25" s="64">
        <v>11.8</v>
      </c>
      <c r="M25" s="64">
        <v>88.05</v>
      </c>
      <c r="N25" s="64">
        <v>72.900000000000006</v>
      </c>
      <c r="O25" s="64">
        <v>0</v>
      </c>
      <c r="P25" s="64">
        <v>0.9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2757</v>
      </c>
      <c r="B26" s="64">
        <v>26</v>
      </c>
      <c r="C26" s="64">
        <v>57.25</v>
      </c>
      <c r="D26" s="64">
        <v>49.39</v>
      </c>
      <c r="E26" s="64">
        <v>5.13</v>
      </c>
      <c r="F26" s="64">
        <v>2.13</v>
      </c>
      <c r="G26" s="64">
        <v>75.14</v>
      </c>
      <c r="H26" s="64">
        <v>32.5</v>
      </c>
      <c r="I26" s="210" t="s">
        <v>43</v>
      </c>
      <c r="J26" s="64">
        <v>1.71</v>
      </c>
      <c r="K26" s="64">
        <v>335.14</v>
      </c>
      <c r="L26" s="64">
        <v>11.78</v>
      </c>
      <c r="M26" s="64">
        <v>83.69</v>
      </c>
      <c r="N26" s="64">
        <v>72.900000000000006</v>
      </c>
      <c r="O26" s="64">
        <v>0</v>
      </c>
      <c r="P26" s="64">
        <v>0.89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2758</v>
      </c>
      <c r="B27" s="64">
        <v>26.93</v>
      </c>
      <c r="C27" s="64">
        <v>57.7</v>
      </c>
      <c r="D27" s="64">
        <v>50.37</v>
      </c>
      <c r="E27" s="64">
        <v>4.7300000000000004</v>
      </c>
      <c r="F27" s="64">
        <v>2.13</v>
      </c>
      <c r="G27" s="64">
        <v>75.14</v>
      </c>
      <c r="H27" s="64">
        <v>32.5</v>
      </c>
      <c r="I27" s="210" t="s">
        <v>43</v>
      </c>
      <c r="J27" s="64">
        <v>0.67</v>
      </c>
      <c r="K27" s="64">
        <v>1.03</v>
      </c>
      <c r="L27" s="64">
        <v>12.01</v>
      </c>
      <c r="M27" s="64">
        <v>71.63</v>
      </c>
      <c r="N27" s="64">
        <v>72.8</v>
      </c>
      <c r="O27" s="64">
        <v>0</v>
      </c>
      <c r="P27" s="64">
        <v>0.89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2759</v>
      </c>
      <c r="B28" s="64">
        <v>26.25</v>
      </c>
      <c r="C28" s="64">
        <v>57.74</v>
      </c>
      <c r="D28" s="64">
        <v>49.84</v>
      </c>
      <c r="E28" s="64">
        <v>5.28</v>
      </c>
      <c r="F28" s="64">
        <v>2.13</v>
      </c>
      <c r="G28" s="64">
        <v>76.290000000000006</v>
      </c>
      <c r="H28" s="64">
        <v>35.520000000000003</v>
      </c>
      <c r="I28" s="210" t="s">
        <v>43</v>
      </c>
      <c r="J28" s="64">
        <v>0.99</v>
      </c>
      <c r="K28" s="64">
        <v>280.24</v>
      </c>
      <c r="L28" s="64">
        <v>12.41</v>
      </c>
      <c r="M28" s="64">
        <v>68.83</v>
      </c>
      <c r="N28" s="64">
        <v>72.900000000000006</v>
      </c>
      <c r="O28" s="64">
        <v>0</v>
      </c>
      <c r="P28" s="64">
        <v>0.86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2760</v>
      </c>
      <c r="B29" s="64">
        <v>25.9</v>
      </c>
      <c r="C29" s="64">
        <v>57.96</v>
      </c>
      <c r="D29" s="64">
        <v>49.67</v>
      </c>
      <c r="E29" s="64">
        <v>5.12</v>
      </c>
      <c r="F29" s="64">
        <v>2.13</v>
      </c>
      <c r="G29" s="64">
        <v>77.650000000000006</v>
      </c>
      <c r="H29" s="64">
        <v>39.29</v>
      </c>
      <c r="I29" s="210" t="s">
        <v>43</v>
      </c>
      <c r="J29" s="64">
        <v>0.82</v>
      </c>
      <c r="K29" s="64">
        <v>63.54</v>
      </c>
      <c r="L29" s="64">
        <v>12.24</v>
      </c>
      <c r="M29" s="64">
        <v>67.09</v>
      </c>
      <c r="N29" s="64">
        <v>73.2</v>
      </c>
      <c r="O29" s="64">
        <v>0</v>
      </c>
      <c r="P29" s="64">
        <v>0.84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2761</v>
      </c>
      <c r="B30" s="64">
        <v>25.54</v>
      </c>
      <c r="C30" s="64">
        <v>58.54</v>
      </c>
      <c r="D30" s="64">
        <v>49.69</v>
      </c>
      <c r="E30" s="64">
        <v>4.8</v>
      </c>
      <c r="F30" s="64">
        <v>2.13</v>
      </c>
      <c r="G30" s="64">
        <v>77.650000000000006</v>
      </c>
      <c r="H30" s="64">
        <v>39.29</v>
      </c>
      <c r="I30" s="210" t="s">
        <v>43</v>
      </c>
      <c r="J30" s="64">
        <v>0.88</v>
      </c>
      <c r="K30" s="64">
        <v>90.82</v>
      </c>
      <c r="L30" s="64">
        <v>12.29</v>
      </c>
      <c r="M30" s="64">
        <v>65.91</v>
      </c>
      <c r="N30" s="64">
        <v>72.900000000000006</v>
      </c>
      <c r="O30" s="64">
        <v>0</v>
      </c>
      <c r="P30" s="64">
        <v>0.83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2762</v>
      </c>
      <c r="B31" s="64">
        <v>25.6</v>
      </c>
      <c r="C31" s="64">
        <v>59.09</v>
      </c>
      <c r="D31" s="64">
        <v>50.03</v>
      </c>
      <c r="E31" s="64">
        <v>4.75</v>
      </c>
      <c r="F31" s="64">
        <v>2.13</v>
      </c>
      <c r="G31" s="64">
        <v>77.650000000000006</v>
      </c>
      <c r="H31" s="64">
        <v>39.29</v>
      </c>
      <c r="I31" s="210" t="s">
        <v>43</v>
      </c>
      <c r="J31" s="64">
        <v>1.28</v>
      </c>
      <c r="K31" s="64">
        <v>25.49</v>
      </c>
      <c r="L31" s="64">
        <v>12.64</v>
      </c>
      <c r="M31" s="64">
        <v>60.41</v>
      </c>
      <c r="N31" s="64">
        <v>72.7</v>
      </c>
      <c r="O31" s="64">
        <v>0</v>
      </c>
      <c r="P31" s="64">
        <v>0.82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2763</v>
      </c>
      <c r="B32" s="64">
        <v>25.19</v>
      </c>
      <c r="C32" s="64">
        <v>59.53</v>
      </c>
      <c r="D32" s="64">
        <v>49.93</v>
      </c>
      <c r="E32" s="64">
        <v>4.95</v>
      </c>
      <c r="F32" s="64">
        <v>2.13</v>
      </c>
      <c r="G32" s="64">
        <v>76.5</v>
      </c>
      <c r="H32" s="64">
        <v>49.06</v>
      </c>
      <c r="I32" s="210" t="s">
        <v>43</v>
      </c>
      <c r="J32" s="64">
        <v>1.91</v>
      </c>
      <c r="K32" s="64">
        <v>349.07</v>
      </c>
      <c r="L32" s="64">
        <v>12.59</v>
      </c>
      <c r="M32" s="64">
        <v>56.4</v>
      </c>
      <c r="N32" s="64">
        <v>72.400000000000006</v>
      </c>
      <c r="O32" s="64">
        <v>0</v>
      </c>
      <c r="P32" s="64">
        <v>0.81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2764</v>
      </c>
      <c r="B33" s="64">
        <v>24.29</v>
      </c>
      <c r="C33" s="64">
        <v>57.68</v>
      </c>
      <c r="D33" s="64">
        <v>48.23</v>
      </c>
      <c r="E33" s="64">
        <v>5.13</v>
      </c>
      <c r="F33" s="64">
        <v>2.13</v>
      </c>
      <c r="G33" s="64">
        <v>75.05</v>
      </c>
      <c r="H33" s="64">
        <v>61.27</v>
      </c>
      <c r="I33" s="210" t="s">
        <v>43</v>
      </c>
      <c r="J33" s="64">
        <v>2.06</v>
      </c>
      <c r="K33" s="64">
        <v>350.46</v>
      </c>
      <c r="L33" s="64">
        <v>12.71</v>
      </c>
      <c r="M33" s="64">
        <v>54.31</v>
      </c>
      <c r="N33" s="64">
        <v>72.599999999999994</v>
      </c>
      <c r="O33" s="64">
        <v>0</v>
      </c>
      <c r="P33" s="64">
        <v>0.79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2765</v>
      </c>
      <c r="B34" s="64">
        <v>23.87</v>
      </c>
      <c r="C34" s="64">
        <v>57.29</v>
      </c>
      <c r="D34" s="64">
        <v>47.7</v>
      </c>
      <c r="E34" s="64">
        <v>4.62</v>
      </c>
      <c r="F34" s="64">
        <v>2.13</v>
      </c>
      <c r="G34" s="64">
        <v>75.05</v>
      </c>
      <c r="H34" s="64">
        <v>61.27</v>
      </c>
      <c r="I34" s="210" t="s">
        <v>43</v>
      </c>
      <c r="J34" s="64">
        <v>0.85</v>
      </c>
      <c r="K34" s="64">
        <v>351.19</v>
      </c>
      <c r="L34" s="64">
        <v>12.59</v>
      </c>
      <c r="M34" s="64">
        <v>54.52</v>
      </c>
      <c r="N34" s="64">
        <v>73.5</v>
      </c>
      <c r="O34" s="64">
        <v>0</v>
      </c>
      <c r="P34" s="64">
        <v>0.79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2766</v>
      </c>
      <c r="B35" s="64">
        <v>23.43</v>
      </c>
      <c r="C35" s="64">
        <v>57.84</v>
      </c>
      <c r="D35" s="64">
        <v>47.63</v>
      </c>
      <c r="E35" s="64">
        <v>4.46</v>
      </c>
      <c r="F35" s="64">
        <v>2.13</v>
      </c>
      <c r="G35" s="64">
        <v>75.05</v>
      </c>
      <c r="H35" s="64">
        <v>61.27</v>
      </c>
      <c r="I35" s="210" t="s">
        <v>43</v>
      </c>
      <c r="J35" s="64">
        <v>0.87</v>
      </c>
      <c r="K35" s="64">
        <v>61.23</v>
      </c>
      <c r="L35" s="64">
        <v>12.43</v>
      </c>
      <c r="M35" s="64">
        <v>55.49</v>
      </c>
      <c r="N35" s="64">
        <v>76.099999999999994</v>
      </c>
      <c r="O35" s="64">
        <v>0</v>
      </c>
      <c r="P35" s="64">
        <v>0.78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2767</v>
      </c>
      <c r="B36" s="64">
        <v>22.61</v>
      </c>
      <c r="C36" s="64">
        <v>58.65</v>
      </c>
      <c r="D36" s="64">
        <v>47.4</v>
      </c>
      <c r="E36" s="64">
        <v>4.59</v>
      </c>
      <c r="F36" s="64">
        <v>2.13</v>
      </c>
      <c r="G36" s="64">
        <v>72.28</v>
      </c>
      <c r="H36" s="64">
        <v>55.17</v>
      </c>
      <c r="I36" s="210" t="s">
        <v>43</v>
      </c>
      <c r="J36" s="64">
        <v>1</v>
      </c>
      <c r="K36" s="64">
        <v>84.23</v>
      </c>
      <c r="L36" s="64">
        <v>12.41</v>
      </c>
      <c r="M36" s="64">
        <v>56.19</v>
      </c>
      <c r="N36" s="64">
        <v>84.4</v>
      </c>
      <c r="O36" s="64">
        <v>0</v>
      </c>
      <c r="P36" s="64">
        <v>0.77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2768</v>
      </c>
      <c r="B37" s="64">
        <v>21.92</v>
      </c>
      <c r="C37" s="64">
        <v>58.19</v>
      </c>
      <c r="D37" s="64">
        <v>46.61</v>
      </c>
      <c r="E37" s="64">
        <v>4.6900000000000004</v>
      </c>
      <c r="F37" s="64">
        <v>2.13</v>
      </c>
      <c r="G37" s="64">
        <v>68.98</v>
      </c>
      <c r="H37" s="64">
        <v>47.87</v>
      </c>
      <c r="I37" s="210" t="s">
        <v>43</v>
      </c>
      <c r="J37" s="64">
        <v>0.7</v>
      </c>
      <c r="K37" s="64">
        <v>76.69</v>
      </c>
      <c r="L37" s="64">
        <v>12.57</v>
      </c>
      <c r="M37" s="64">
        <v>55.83</v>
      </c>
      <c r="N37" s="64">
        <v>96.6</v>
      </c>
      <c r="O37" s="64">
        <v>0</v>
      </c>
      <c r="P37" s="64">
        <v>0.73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2769</v>
      </c>
      <c r="B38" s="64">
        <v>22.47</v>
      </c>
      <c r="C38" s="64">
        <v>58.21</v>
      </c>
      <c r="D38" s="64">
        <v>47.06</v>
      </c>
      <c r="E38" s="64">
        <v>4.58</v>
      </c>
      <c r="F38" s="64">
        <v>2.13</v>
      </c>
      <c r="G38" s="64">
        <v>68.98</v>
      </c>
      <c r="H38" s="64">
        <v>47.87</v>
      </c>
      <c r="I38" s="210" t="s">
        <v>43</v>
      </c>
      <c r="J38" s="64">
        <v>0.65</v>
      </c>
      <c r="K38" s="64">
        <v>69.239999999999995</v>
      </c>
      <c r="L38" s="64">
        <v>12.98</v>
      </c>
      <c r="M38" s="64">
        <v>53.92</v>
      </c>
      <c r="N38" s="64">
        <v>109.5</v>
      </c>
      <c r="O38" s="64">
        <v>0</v>
      </c>
      <c r="P38" s="64">
        <v>0.77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2770</v>
      </c>
      <c r="B39" s="64">
        <v>23.26</v>
      </c>
      <c r="C39" s="64">
        <v>58.11</v>
      </c>
      <c r="D39" s="64">
        <v>47.64</v>
      </c>
      <c r="E39" s="64">
        <v>5.04</v>
      </c>
      <c r="F39" s="64">
        <v>2.13</v>
      </c>
      <c r="G39" s="64">
        <v>68.98</v>
      </c>
      <c r="H39" s="64">
        <v>47.87</v>
      </c>
      <c r="I39" s="210" t="s">
        <v>43</v>
      </c>
      <c r="J39" s="64">
        <v>0.44</v>
      </c>
      <c r="K39" s="64">
        <v>15.27</v>
      </c>
      <c r="L39" s="64">
        <v>13.57</v>
      </c>
      <c r="M39" s="64">
        <v>52.31</v>
      </c>
      <c r="N39" s="64">
        <v>148</v>
      </c>
      <c r="O39" s="64">
        <v>0</v>
      </c>
      <c r="P39" s="64">
        <v>0.77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2771</v>
      </c>
      <c r="B40" s="64">
        <v>24.32</v>
      </c>
      <c r="C40" s="64">
        <v>58.36</v>
      </c>
      <c r="D40" s="64">
        <v>48.61</v>
      </c>
      <c r="E40" s="64">
        <v>4.3099999999999996</v>
      </c>
      <c r="F40" s="64">
        <v>2.13</v>
      </c>
      <c r="G40" s="64">
        <v>70.209999999999994</v>
      </c>
      <c r="H40" s="64">
        <v>43.19</v>
      </c>
      <c r="I40" s="210" t="s">
        <v>43</v>
      </c>
      <c r="J40" s="64">
        <v>1.85</v>
      </c>
      <c r="K40" s="64">
        <v>112.14</v>
      </c>
      <c r="L40" s="64">
        <v>14.61</v>
      </c>
      <c r="M40" s="64">
        <v>46.23</v>
      </c>
      <c r="N40" s="64">
        <v>255.6</v>
      </c>
      <c r="O40" s="64">
        <v>0</v>
      </c>
      <c r="P40" s="64">
        <v>0.77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2772</v>
      </c>
      <c r="B41" s="64">
        <v>24.89</v>
      </c>
      <c r="C41" s="64">
        <v>58.84</v>
      </c>
      <c r="D41" s="64">
        <v>49.33</v>
      </c>
      <c r="E41" s="64">
        <v>5.25</v>
      </c>
      <c r="F41" s="64">
        <v>2.13</v>
      </c>
      <c r="G41" s="64">
        <v>71.680000000000007</v>
      </c>
      <c r="H41" s="64">
        <v>37.61</v>
      </c>
      <c r="I41" s="210" t="s">
        <v>43</v>
      </c>
      <c r="J41" s="64">
        <v>1.3</v>
      </c>
      <c r="K41" s="64">
        <v>117.06</v>
      </c>
      <c r="L41" s="64">
        <v>16.09</v>
      </c>
      <c r="M41" s="64">
        <v>42.58</v>
      </c>
      <c r="N41" s="64">
        <v>315.3</v>
      </c>
      <c r="O41" s="64">
        <v>0</v>
      </c>
      <c r="P41" s="64">
        <v>0.77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2773</v>
      </c>
      <c r="B42" s="64">
        <v>24.85</v>
      </c>
      <c r="C42" s="64">
        <v>59.39</v>
      </c>
      <c r="D42" s="64">
        <v>49.58</v>
      </c>
      <c r="E42" s="64">
        <v>5.45</v>
      </c>
      <c r="F42" s="64">
        <v>2.13</v>
      </c>
      <c r="G42" s="64">
        <v>71.680000000000007</v>
      </c>
      <c r="H42" s="64">
        <v>37.61</v>
      </c>
      <c r="I42" s="210" t="s">
        <v>43</v>
      </c>
      <c r="J42" s="64">
        <v>2.13</v>
      </c>
      <c r="K42" s="64">
        <v>123.21</v>
      </c>
      <c r="L42" s="64">
        <v>17.34</v>
      </c>
      <c r="M42" s="64">
        <v>39.39</v>
      </c>
      <c r="N42" s="64">
        <v>373.6</v>
      </c>
      <c r="O42" s="64">
        <v>0</v>
      </c>
      <c r="P42" s="64">
        <v>0.77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2774</v>
      </c>
      <c r="B43" s="64">
        <v>24.06</v>
      </c>
      <c r="C43" s="64">
        <v>59.95</v>
      </c>
      <c r="D43" s="64">
        <v>49.24</v>
      </c>
      <c r="E43" s="64">
        <v>5.13</v>
      </c>
      <c r="F43" s="64">
        <v>2.13</v>
      </c>
      <c r="G43" s="64">
        <v>71.680000000000007</v>
      </c>
      <c r="H43" s="64">
        <v>37.61</v>
      </c>
      <c r="I43" s="210" t="s">
        <v>43</v>
      </c>
      <c r="J43" s="64">
        <v>1.49</v>
      </c>
      <c r="K43" s="64">
        <v>112.96</v>
      </c>
      <c r="L43" s="64">
        <v>17.5</v>
      </c>
      <c r="M43" s="64">
        <v>37.369999999999997</v>
      </c>
      <c r="N43" s="64">
        <v>421.5</v>
      </c>
      <c r="O43" s="64">
        <v>0</v>
      </c>
      <c r="P43" s="64">
        <v>0.75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2775</v>
      </c>
      <c r="B44" s="64">
        <v>23.52</v>
      </c>
      <c r="C44" s="64">
        <v>60.76</v>
      </c>
      <c r="D44" s="64">
        <v>49.23</v>
      </c>
      <c r="E44" s="64">
        <v>5.27</v>
      </c>
      <c r="F44" s="64">
        <v>2.13</v>
      </c>
      <c r="G44" s="64">
        <v>70.260000000000005</v>
      </c>
      <c r="H44" s="64">
        <v>67.900000000000006</v>
      </c>
      <c r="I44" s="210" t="s">
        <v>43</v>
      </c>
      <c r="J44" s="64">
        <v>1.81</v>
      </c>
      <c r="K44" s="64">
        <v>107.09</v>
      </c>
      <c r="L44" s="64">
        <v>18.66</v>
      </c>
      <c r="M44" s="64">
        <v>34.770000000000003</v>
      </c>
      <c r="N44" s="64">
        <v>465.9</v>
      </c>
      <c r="O44" s="64">
        <v>0</v>
      </c>
      <c r="P44" s="64">
        <v>0.74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2776</v>
      </c>
      <c r="B45" s="64">
        <v>23.12</v>
      </c>
      <c r="C45" s="64">
        <v>61.63</v>
      </c>
      <c r="D45" s="64">
        <v>49.37</v>
      </c>
      <c r="E45" s="64">
        <v>4.99</v>
      </c>
      <c r="F45" s="64">
        <v>2.13</v>
      </c>
      <c r="G45" s="64">
        <v>68.569999999999993</v>
      </c>
      <c r="H45" s="212" t="s">
        <v>42</v>
      </c>
      <c r="I45" s="210" t="s">
        <v>43</v>
      </c>
      <c r="J45" s="64">
        <v>2.79</v>
      </c>
      <c r="K45" s="64">
        <v>122.85</v>
      </c>
      <c r="L45" s="64">
        <v>18.62</v>
      </c>
      <c r="M45" s="64">
        <v>34.97</v>
      </c>
      <c r="N45" s="64">
        <v>506.8</v>
      </c>
      <c r="O45" s="64">
        <v>0</v>
      </c>
      <c r="P45" s="64">
        <v>0.73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2777</v>
      </c>
      <c r="B46" s="64">
        <v>22.44</v>
      </c>
      <c r="C46" s="64">
        <v>62.57</v>
      </c>
      <c r="D46" s="64">
        <v>49.31</v>
      </c>
      <c r="E46" s="64">
        <v>5.28</v>
      </c>
      <c r="F46" s="64">
        <v>2.13</v>
      </c>
      <c r="G46" s="64">
        <v>68.569999999999993</v>
      </c>
      <c r="H46" s="212" t="s">
        <v>42</v>
      </c>
      <c r="I46" s="210" t="s">
        <v>43</v>
      </c>
      <c r="J46" s="64">
        <v>0.68</v>
      </c>
      <c r="K46" s="64">
        <v>35.18</v>
      </c>
      <c r="L46" s="64">
        <v>20.22</v>
      </c>
      <c r="M46" s="64">
        <v>32.909999999999997</v>
      </c>
      <c r="N46" s="64">
        <v>530.20000000000005</v>
      </c>
      <c r="O46" s="64">
        <v>0</v>
      </c>
      <c r="P46" s="64">
        <v>0.72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2778</v>
      </c>
      <c r="B47" s="64">
        <v>22.78</v>
      </c>
      <c r="C47" s="64">
        <v>63.98</v>
      </c>
      <c r="D47" s="64">
        <v>50.32</v>
      </c>
      <c r="E47" s="64">
        <v>5.21</v>
      </c>
      <c r="F47" s="64">
        <v>2.13</v>
      </c>
      <c r="G47" s="64">
        <v>68.569999999999993</v>
      </c>
      <c r="H47" s="212" t="s">
        <v>42</v>
      </c>
      <c r="I47" s="210" t="s">
        <v>43</v>
      </c>
      <c r="J47" s="64">
        <v>1.81</v>
      </c>
      <c r="K47" s="64">
        <v>351.67</v>
      </c>
      <c r="L47" s="64">
        <v>24.06</v>
      </c>
      <c r="M47" s="64">
        <v>26.61</v>
      </c>
      <c r="N47" s="64">
        <v>552.1</v>
      </c>
      <c r="O47" s="64">
        <v>0</v>
      </c>
      <c r="P47" s="64">
        <v>0.72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2779</v>
      </c>
      <c r="B48" s="64">
        <v>23.7</v>
      </c>
      <c r="C48" s="64">
        <v>65.739999999999995</v>
      </c>
      <c r="D48" s="64">
        <v>51.97</v>
      </c>
      <c r="E48" s="64">
        <v>5.33</v>
      </c>
      <c r="F48" s="64">
        <v>2.13</v>
      </c>
      <c r="G48" s="64">
        <v>69.709999999999994</v>
      </c>
      <c r="H48" s="212" t="s">
        <v>42</v>
      </c>
      <c r="I48" s="210" t="s">
        <v>43</v>
      </c>
      <c r="J48" s="64">
        <v>2.19</v>
      </c>
      <c r="K48" s="64">
        <v>336.3</v>
      </c>
      <c r="L48" s="64">
        <v>26.04</v>
      </c>
      <c r="M48" s="64">
        <v>24.75</v>
      </c>
      <c r="N48" s="64">
        <v>571.1</v>
      </c>
      <c r="O48" s="64">
        <v>0</v>
      </c>
      <c r="P48" s="64">
        <v>0.73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2780</v>
      </c>
      <c r="B49" s="64">
        <v>24.13</v>
      </c>
      <c r="C49" s="64">
        <v>67.66</v>
      </c>
      <c r="D49" s="64">
        <v>53.32</v>
      </c>
      <c r="E49" s="64">
        <v>5.71</v>
      </c>
      <c r="F49" s="64">
        <v>2.13</v>
      </c>
      <c r="G49" s="64">
        <v>71.08</v>
      </c>
      <c r="H49" s="212" t="s">
        <v>42</v>
      </c>
      <c r="I49" s="210" t="s">
        <v>43</v>
      </c>
      <c r="J49" s="64">
        <v>2.67</v>
      </c>
      <c r="K49" s="64">
        <v>337.13</v>
      </c>
      <c r="L49" s="64">
        <v>26.81</v>
      </c>
      <c r="M49" s="64">
        <v>23.24</v>
      </c>
      <c r="N49" s="64">
        <v>586.5</v>
      </c>
      <c r="O49" s="64">
        <v>0</v>
      </c>
      <c r="P49" s="64">
        <v>0.74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2781</v>
      </c>
      <c r="B50" s="64">
        <v>23.2</v>
      </c>
      <c r="C50" s="64">
        <v>82.83</v>
      </c>
      <c r="D50" s="64">
        <v>60.51</v>
      </c>
      <c r="E50" s="64">
        <v>11.16</v>
      </c>
      <c r="F50" s="64">
        <v>3.25</v>
      </c>
      <c r="G50" s="64">
        <v>71.08</v>
      </c>
      <c r="H50" s="212" t="s">
        <v>42</v>
      </c>
      <c r="I50" s="210" t="s">
        <v>43</v>
      </c>
      <c r="J50" s="64">
        <v>2.57</v>
      </c>
      <c r="K50" s="64">
        <v>334.08</v>
      </c>
      <c r="L50" s="64">
        <v>27.85</v>
      </c>
      <c r="M50" s="64">
        <v>21.37</v>
      </c>
      <c r="N50" s="64">
        <v>597.70000000000005</v>
      </c>
      <c r="O50" s="64">
        <v>0</v>
      </c>
      <c r="P50" s="64">
        <v>0.76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2782</v>
      </c>
      <c r="B51" s="64">
        <v>15.71</v>
      </c>
      <c r="C51" s="64">
        <v>105.19</v>
      </c>
      <c r="D51" s="64">
        <v>66.180000000000007</v>
      </c>
      <c r="E51" s="64">
        <v>10.35</v>
      </c>
      <c r="F51" s="64">
        <v>3.33</v>
      </c>
      <c r="G51" s="64">
        <v>71.08</v>
      </c>
      <c r="H51" s="212" t="s">
        <v>42</v>
      </c>
      <c r="I51" s="210" t="s">
        <v>43</v>
      </c>
      <c r="J51" s="64">
        <v>1.3</v>
      </c>
      <c r="K51" s="64">
        <v>346.38</v>
      </c>
      <c r="L51" s="64">
        <v>27.47</v>
      </c>
      <c r="M51" s="64">
        <v>20.97</v>
      </c>
      <c r="N51" s="64">
        <v>612</v>
      </c>
      <c r="O51" s="64">
        <v>0</v>
      </c>
      <c r="P51" s="64">
        <v>0.73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2783</v>
      </c>
      <c r="B52" s="64">
        <v>13.28</v>
      </c>
      <c r="C52" s="64">
        <v>106.03</v>
      </c>
      <c r="D52" s="64">
        <v>64.67</v>
      </c>
      <c r="E52" s="64">
        <v>7.4</v>
      </c>
      <c r="F52" s="64">
        <v>2.13</v>
      </c>
      <c r="G52" s="64">
        <v>69.87</v>
      </c>
      <c r="H52" s="64">
        <v>50.83</v>
      </c>
      <c r="I52" s="210" t="s">
        <v>43</v>
      </c>
      <c r="J52" s="64">
        <v>2</v>
      </c>
      <c r="K52" s="64">
        <v>336</v>
      </c>
      <c r="L52" s="64">
        <v>27.84</v>
      </c>
      <c r="M52" s="64">
        <v>20.12</v>
      </c>
      <c r="N52" s="64">
        <v>614.9</v>
      </c>
      <c r="O52" s="64">
        <v>0</v>
      </c>
      <c r="P52" s="64">
        <v>0.72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2784</v>
      </c>
      <c r="B53" s="64">
        <v>13.81</v>
      </c>
      <c r="C53" s="64">
        <v>100.9</v>
      </c>
      <c r="D53" s="64">
        <v>62.42</v>
      </c>
      <c r="E53" s="64">
        <v>6.81</v>
      </c>
      <c r="F53" s="64">
        <v>2.13</v>
      </c>
      <c r="G53" s="64">
        <v>68.42</v>
      </c>
      <c r="H53" s="64">
        <v>28.72</v>
      </c>
      <c r="I53" s="210" t="s">
        <v>43</v>
      </c>
      <c r="J53" s="64">
        <v>0.56999999999999995</v>
      </c>
      <c r="K53" s="64">
        <v>17.079999999999998</v>
      </c>
      <c r="L53" s="64">
        <v>27.65</v>
      </c>
      <c r="M53" s="64">
        <v>20.62</v>
      </c>
      <c r="N53" s="64">
        <v>607.9</v>
      </c>
      <c r="O53" s="64">
        <v>0</v>
      </c>
      <c r="P53" s="64">
        <v>0.71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2785</v>
      </c>
      <c r="B54" s="64">
        <v>14.27</v>
      </c>
      <c r="C54" s="64">
        <v>95.54</v>
      </c>
      <c r="D54" s="64">
        <v>59.98</v>
      </c>
      <c r="E54" s="64">
        <v>6.88</v>
      </c>
      <c r="F54" s="64">
        <v>2.13</v>
      </c>
      <c r="G54" s="64">
        <v>68.42</v>
      </c>
      <c r="H54" s="64">
        <v>28.72</v>
      </c>
      <c r="I54" s="210" t="s">
        <v>43</v>
      </c>
      <c r="J54" s="64">
        <v>0.37</v>
      </c>
      <c r="K54" s="64">
        <v>343.83</v>
      </c>
      <c r="L54" s="64">
        <v>25.09</v>
      </c>
      <c r="M54" s="64">
        <v>23.93</v>
      </c>
      <c r="N54" s="64">
        <v>608.70000000000005</v>
      </c>
      <c r="O54" s="64">
        <v>0</v>
      </c>
      <c r="P54" s="64">
        <v>0.71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2786</v>
      </c>
      <c r="B55" s="64">
        <v>14.92</v>
      </c>
      <c r="C55" s="64">
        <v>94.06</v>
      </c>
      <c r="D55" s="64">
        <v>59.73</v>
      </c>
      <c r="E55" s="64">
        <v>7.9</v>
      </c>
      <c r="F55" s="64">
        <v>2.13</v>
      </c>
      <c r="G55" s="64">
        <v>68.42</v>
      </c>
      <c r="H55" s="64">
        <v>28.72</v>
      </c>
      <c r="I55" s="210" t="s">
        <v>43</v>
      </c>
      <c r="J55" s="64">
        <v>1.63</v>
      </c>
      <c r="K55" s="64">
        <v>340.38</v>
      </c>
      <c r="L55" s="64">
        <v>27.21</v>
      </c>
      <c r="M55" s="64">
        <v>22.8</v>
      </c>
      <c r="N55" s="64">
        <v>593.1</v>
      </c>
      <c r="O55" s="64">
        <v>0</v>
      </c>
      <c r="P55" s="64">
        <v>0.73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2787</v>
      </c>
      <c r="B56" s="64">
        <v>16.88</v>
      </c>
      <c r="C56" s="64">
        <v>95.61</v>
      </c>
      <c r="D56" s="64">
        <v>62.11</v>
      </c>
      <c r="E56" s="64">
        <v>10.1</v>
      </c>
      <c r="F56" s="64">
        <v>2.13</v>
      </c>
      <c r="G56" s="64">
        <v>69.489999999999995</v>
      </c>
      <c r="H56" s="64">
        <v>39.31</v>
      </c>
      <c r="I56" s="210" t="s">
        <v>43</v>
      </c>
      <c r="J56" s="64">
        <v>1.49</v>
      </c>
      <c r="K56" s="64">
        <v>340.72</v>
      </c>
      <c r="L56" s="64">
        <v>27.32</v>
      </c>
      <c r="M56" s="64">
        <v>22.47</v>
      </c>
      <c r="N56" s="64">
        <v>599.20000000000005</v>
      </c>
      <c r="O56" s="64">
        <v>0</v>
      </c>
      <c r="P56" s="64">
        <v>0.77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2788</v>
      </c>
      <c r="B57" s="64">
        <v>17.68</v>
      </c>
      <c r="C57" s="64">
        <v>99.41</v>
      </c>
      <c r="D57" s="64">
        <v>64.739999999999995</v>
      </c>
      <c r="E57" s="64">
        <v>10.050000000000001</v>
      </c>
      <c r="F57" s="64">
        <v>2.13</v>
      </c>
      <c r="G57" s="64">
        <v>70.78</v>
      </c>
      <c r="H57" s="64">
        <v>51.97</v>
      </c>
      <c r="I57" s="210" t="s">
        <v>43</v>
      </c>
      <c r="J57" s="64">
        <v>2.2999999999999998</v>
      </c>
      <c r="K57" s="64">
        <v>332.5</v>
      </c>
      <c r="L57" s="64">
        <v>28.14</v>
      </c>
      <c r="M57" s="64">
        <v>21.54</v>
      </c>
      <c r="N57" s="64">
        <v>615</v>
      </c>
      <c r="O57" s="64">
        <v>0</v>
      </c>
      <c r="P57" s="64">
        <v>0.8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2789</v>
      </c>
      <c r="B58" s="64">
        <v>17.71</v>
      </c>
      <c r="C58" s="64">
        <v>100.81</v>
      </c>
      <c r="D58" s="64">
        <v>65.489999999999995</v>
      </c>
      <c r="E58" s="64">
        <v>11.89</v>
      </c>
      <c r="F58" s="64">
        <v>2.13</v>
      </c>
      <c r="G58" s="64">
        <v>70.78</v>
      </c>
      <c r="H58" s="64">
        <v>51.97</v>
      </c>
      <c r="I58" s="210" t="s">
        <v>43</v>
      </c>
      <c r="J58" s="64">
        <v>1.9</v>
      </c>
      <c r="K58" s="64">
        <v>318.16000000000003</v>
      </c>
      <c r="L58" s="64">
        <v>28.71</v>
      </c>
      <c r="M58" s="64">
        <v>21.26</v>
      </c>
      <c r="N58" s="64">
        <v>632.1</v>
      </c>
      <c r="O58" s="64">
        <v>0</v>
      </c>
      <c r="P58" s="64">
        <v>0.79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2790</v>
      </c>
      <c r="B59" s="64">
        <v>14.87</v>
      </c>
      <c r="C59" s="64">
        <v>102.36</v>
      </c>
      <c r="D59" s="64">
        <v>64.02</v>
      </c>
      <c r="E59" s="64">
        <v>12.75</v>
      </c>
      <c r="F59" s="64">
        <v>2.13</v>
      </c>
      <c r="G59" s="64">
        <v>70.78</v>
      </c>
      <c r="H59" s="64">
        <v>51.97</v>
      </c>
      <c r="I59" s="210" t="s">
        <v>43</v>
      </c>
      <c r="J59" s="64">
        <v>2.34</v>
      </c>
      <c r="K59" s="64">
        <v>323.95</v>
      </c>
      <c r="L59" s="64">
        <v>29.18</v>
      </c>
      <c r="M59" s="64">
        <v>20.78</v>
      </c>
      <c r="N59" s="64">
        <v>647.4</v>
      </c>
      <c r="O59" s="64">
        <v>0</v>
      </c>
      <c r="P59" s="64">
        <v>0.77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2791</v>
      </c>
      <c r="B60" s="64">
        <v>11.3</v>
      </c>
      <c r="C60" s="64">
        <v>103.32</v>
      </c>
      <c r="D60" s="64">
        <v>61.67</v>
      </c>
      <c r="E60" s="64">
        <v>10.08</v>
      </c>
      <c r="F60" s="64">
        <v>3.18</v>
      </c>
      <c r="G60" s="64">
        <v>76.56</v>
      </c>
      <c r="H60" s="64">
        <v>57.57</v>
      </c>
      <c r="I60" s="210" t="s">
        <v>43</v>
      </c>
      <c r="J60" s="64">
        <v>3.21</v>
      </c>
      <c r="K60" s="64">
        <v>325.58999999999997</v>
      </c>
      <c r="L60" s="64">
        <v>29.5</v>
      </c>
      <c r="M60" s="64">
        <v>22.39</v>
      </c>
      <c r="N60" s="64">
        <v>659.2</v>
      </c>
      <c r="O60" s="64">
        <v>0</v>
      </c>
      <c r="P60" s="64">
        <v>0.73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2792</v>
      </c>
      <c r="B61" s="64">
        <v>6.78</v>
      </c>
      <c r="C61" s="64">
        <v>98.46</v>
      </c>
      <c r="D61" s="64">
        <v>55.51</v>
      </c>
      <c r="E61" s="64">
        <v>9.11</v>
      </c>
      <c r="F61" s="64">
        <v>6.63</v>
      </c>
      <c r="G61" s="64">
        <v>83.48</v>
      </c>
      <c r="H61" s="64">
        <v>64.260000000000005</v>
      </c>
      <c r="I61" s="210" t="s">
        <v>43</v>
      </c>
      <c r="J61" s="64">
        <v>2.0499999999999998</v>
      </c>
      <c r="K61" s="64">
        <v>299.36</v>
      </c>
      <c r="L61" s="64">
        <v>28.73</v>
      </c>
      <c r="M61" s="64">
        <v>23.28</v>
      </c>
      <c r="N61" s="64">
        <v>645.6</v>
      </c>
      <c r="O61" s="64">
        <v>0</v>
      </c>
      <c r="P61" s="64">
        <v>0.63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2793</v>
      </c>
      <c r="B62" s="64">
        <v>4.53</v>
      </c>
      <c r="C62" s="64">
        <v>90.82</v>
      </c>
      <c r="D62" s="64">
        <v>49.71</v>
      </c>
      <c r="E62" s="64">
        <v>9.1199999999999992</v>
      </c>
      <c r="F62" s="64">
        <v>9.98</v>
      </c>
      <c r="G62" s="64">
        <v>83.48</v>
      </c>
      <c r="H62" s="64">
        <v>64.260000000000005</v>
      </c>
      <c r="I62" s="210" t="s">
        <v>43</v>
      </c>
      <c r="J62" s="64">
        <v>2.14</v>
      </c>
      <c r="K62" s="64">
        <v>310.51</v>
      </c>
      <c r="L62" s="64">
        <v>28.97</v>
      </c>
      <c r="M62" s="64">
        <v>23.22</v>
      </c>
      <c r="N62" s="64">
        <v>595.5</v>
      </c>
      <c r="O62" s="64">
        <v>0</v>
      </c>
      <c r="P62" s="64">
        <v>0.6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2794</v>
      </c>
      <c r="B63" s="64">
        <v>3.48</v>
      </c>
      <c r="C63" s="64">
        <v>84.12</v>
      </c>
      <c r="D63" s="64">
        <v>45.36</v>
      </c>
      <c r="E63" s="64">
        <v>7.15</v>
      </c>
      <c r="F63" s="64">
        <v>6.94</v>
      </c>
      <c r="G63" s="64">
        <v>83.48</v>
      </c>
      <c r="H63" s="64">
        <v>64.260000000000005</v>
      </c>
      <c r="I63" s="210" t="s">
        <v>43</v>
      </c>
      <c r="J63" s="64">
        <v>2.06</v>
      </c>
      <c r="K63" s="64">
        <v>306.55</v>
      </c>
      <c r="L63" s="64">
        <v>28.61</v>
      </c>
      <c r="M63" s="64">
        <v>24.08</v>
      </c>
      <c r="N63" s="64">
        <v>458.6</v>
      </c>
      <c r="O63" s="64">
        <v>0</v>
      </c>
      <c r="P63" s="64">
        <v>0.57999999999999996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2795</v>
      </c>
      <c r="B64" s="64">
        <v>3.44</v>
      </c>
      <c r="C64" s="64">
        <v>78.63</v>
      </c>
      <c r="D64" s="64">
        <v>42.47</v>
      </c>
      <c r="E64" s="64">
        <v>6.73</v>
      </c>
      <c r="F64" s="64">
        <v>4.28</v>
      </c>
      <c r="G64" s="64">
        <v>76.680000000000007</v>
      </c>
      <c r="H64" s="64">
        <v>52.67</v>
      </c>
      <c r="I64" s="210" t="s">
        <v>43</v>
      </c>
      <c r="J64" s="64">
        <v>1.87</v>
      </c>
      <c r="K64" s="64">
        <v>295.95999999999998</v>
      </c>
      <c r="L64" s="64">
        <v>26.98</v>
      </c>
      <c r="M64" s="64">
        <v>26.1</v>
      </c>
      <c r="N64" s="64">
        <v>592.29999999999995</v>
      </c>
      <c r="O64" s="64">
        <v>0</v>
      </c>
      <c r="P64" s="64">
        <v>0.56999999999999995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2796</v>
      </c>
      <c r="B65" s="64">
        <v>3.57</v>
      </c>
      <c r="C65" s="64">
        <v>74.319999999999993</v>
      </c>
      <c r="D65" s="64">
        <v>40.32</v>
      </c>
      <c r="E65" s="64">
        <v>6.69</v>
      </c>
      <c r="F65" s="64">
        <v>4</v>
      </c>
      <c r="G65" s="64">
        <v>68.55</v>
      </c>
      <c r="H65" s="64">
        <v>38.82</v>
      </c>
      <c r="I65" s="210" t="s">
        <v>43</v>
      </c>
      <c r="J65" s="64">
        <v>1.94</v>
      </c>
      <c r="K65" s="64">
        <v>293.24</v>
      </c>
      <c r="L65" s="64">
        <v>27.67</v>
      </c>
      <c r="M65" s="64">
        <v>25.36</v>
      </c>
      <c r="N65" s="64">
        <v>480</v>
      </c>
      <c r="O65" s="64">
        <v>0</v>
      </c>
      <c r="P65" s="64">
        <v>0.56000000000000005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2797</v>
      </c>
      <c r="B66" s="64">
        <v>3.59</v>
      </c>
      <c r="C66" s="64">
        <v>70.69</v>
      </c>
      <c r="D66" s="64">
        <v>38.44</v>
      </c>
      <c r="E66" s="64">
        <v>5.87</v>
      </c>
      <c r="F66" s="64">
        <v>3.68</v>
      </c>
      <c r="G66" s="64">
        <v>68.55</v>
      </c>
      <c r="H66" s="64">
        <v>38.82</v>
      </c>
      <c r="I66" s="210" t="s">
        <v>43</v>
      </c>
      <c r="J66" s="64">
        <v>2.4900000000000002</v>
      </c>
      <c r="K66" s="64">
        <v>297.70999999999998</v>
      </c>
      <c r="L66" s="64">
        <v>26.94</v>
      </c>
      <c r="M66" s="64">
        <v>26.14</v>
      </c>
      <c r="N66" s="64">
        <v>242.3</v>
      </c>
      <c r="O66" s="64">
        <v>0</v>
      </c>
      <c r="P66" s="64">
        <v>0.51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2798</v>
      </c>
      <c r="B67" s="64">
        <v>3.68</v>
      </c>
      <c r="C67" s="64">
        <v>66.27</v>
      </c>
      <c r="D67" s="64">
        <v>36.200000000000003</v>
      </c>
      <c r="E67" s="64">
        <v>6.13</v>
      </c>
      <c r="F67" s="64">
        <v>6.48</v>
      </c>
      <c r="G67" s="64">
        <v>68.55</v>
      </c>
      <c r="H67" s="64">
        <v>38.82</v>
      </c>
      <c r="I67" s="210" t="s">
        <v>43</v>
      </c>
      <c r="J67" s="64">
        <v>3.34</v>
      </c>
      <c r="K67" s="64">
        <v>314.98</v>
      </c>
      <c r="L67" s="64">
        <v>26.44</v>
      </c>
      <c r="M67" s="64">
        <v>27.37</v>
      </c>
      <c r="N67" s="64">
        <v>175.6</v>
      </c>
      <c r="O67" s="64">
        <v>0</v>
      </c>
      <c r="P67" s="64">
        <v>0.51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2799</v>
      </c>
      <c r="B68" s="64">
        <v>3.48</v>
      </c>
      <c r="C68" s="64">
        <v>64.16</v>
      </c>
      <c r="D68" s="64">
        <v>34.93</v>
      </c>
      <c r="E68" s="64">
        <v>5.67</v>
      </c>
      <c r="F68" s="64">
        <v>6.2</v>
      </c>
      <c r="G68" s="64">
        <v>59.88</v>
      </c>
      <c r="H68" s="64">
        <v>40.83</v>
      </c>
      <c r="I68" s="210" t="s">
        <v>43</v>
      </c>
      <c r="J68" s="64">
        <v>3.12</v>
      </c>
      <c r="K68" s="64">
        <v>310.24</v>
      </c>
      <c r="L68" s="64">
        <v>26.21</v>
      </c>
      <c r="M68" s="64">
        <v>27.83</v>
      </c>
      <c r="N68" s="64">
        <v>190.3</v>
      </c>
      <c r="O68" s="64">
        <v>0</v>
      </c>
      <c r="P68" s="64">
        <v>0.49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2800</v>
      </c>
      <c r="B69" s="64">
        <v>3.85</v>
      </c>
      <c r="C69" s="64">
        <v>62.93</v>
      </c>
      <c r="D69" s="64">
        <v>34.590000000000003</v>
      </c>
      <c r="E69" s="64">
        <v>6.06</v>
      </c>
      <c r="F69" s="64">
        <v>4.3099999999999996</v>
      </c>
      <c r="G69" s="64">
        <v>49.53</v>
      </c>
      <c r="H69" s="64">
        <v>43.24</v>
      </c>
      <c r="I69" s="210" t="s">
        <v>43</v>
      </c>
      <c r="J69" s="64">
        <v>2.67</v>
      </c>
      <c r="K69" s="64">
        <v>310.54000000000002</v>
      </c>
      <c r="L69" s="64">
        <v>25.79</v>
      </c>
      <c r="M69" s="64">
        <v>28.48</v>
      </c>
      <c r="N69" s="64">
        <v>259.89999999999998</v>
      </c>
      <c r="O69" s="64">
        <v>0</v>
      </c>
      <c r="P69" s="64">
        <v>0.49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2801</v>
      </c>
      <c r="B70" s="64">
        <v>4.1900000000000004</v>
      </c>
      <c r="C70" s="64">
        <v>62.6</v>
      </c>
      <c r="D70" s="64">
        <v>34.69</v>
      </c>
      <c r="E70" s="64">
        <v>5.8</v>
      </c>
      <c r="F70" s="64">
        <v>3.65</v>
      </c>
      <c r="G70" s="64">
        <v>49.53</v>
      </c>
      <c r="H70" s="64">
        <v>43.24</v>
      </c>
      <c r="I70" s="210" t="s">
        <v>43</v>
      </c>
      <c r="J70" s="64">
        <v>2.86</v>
      </c>
      <c r="K70" s="64">
        <v>328.83</v>
      </c>
      <c r="L70" s="64">
        <v>25.28</v>
      </c>
      <c r="M70" s="64">
        <v>28.89</v>
      </c>
      <c r="N70" s="64">
        <v>203.1</v>
      </c>
      <c r="O70" s="64">
        <v>0</v>
      </c>
      <c r="P70" s="64">
        <v>0.48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2802</v>
      </c>
      <c r="B71" s="64">
        <v>4.5</v>
      </c>
      <c r="C71" s="64">
        <v>62.91</v>
      </c>
      <c r="D71" s="64">
        <v>35.1</v>
      </c>
      <c r="E71" s="64">
        <v>5.5</v>
      </c>
      <c r="F71" s="64">
        <v>3.71</v>
      </c>
      <c r="G71" s="64">
        <v>49.53</v>
      </c>
      <c r="H71" s="64">
        <v>43.24</v>
      </c>
      <c r="I71" s="210" t="s">
        <v>43</v>
      </c>
      <c r="J71" s="64">
        <v>1.97</v>
      </c>
      <c r="K71" s="64">
        <v>298.86</v>
      </c>
      <c r="L71" s="64">
        <v>24.74</v>
      </c>
      <c r="M71" s="64">
        <v>29.27</v>
      </c>
      <c r="N71" s="64">
        <v>123.8</v>
      </c>
      <c r="O71" s="64">
        <v>0</v>
      </c>
      <c r="P71" s="64">
        <v>0.48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2803</v>
      </c>
      <c r="B72" s="64">
        <v>4.29</v>
      </c>
      <c r="C72" s="64">
        <v>64.180000000000007</v>
      </c>
      <c r="D72" s="64">
        <v>35.6</v>
      </c>
      <c r="E72" s="64">
        <v>6.54</v>
      </c>
      <c r="F72" s="64">
        <v>3.93</v>
      </c>
      <c r="G72" s="64">
        <v>45.81</v>
      </c>
      <c r="H72" s="64">
        <v>31.69</v>
      </c>
      <c r="I72" s="210" t="s">
        <v>43</v>
      </c>
      <c r="J72" s="64">
        <v>1.71</v>
      </c>
      <c r="K72" s="64">
        <v>309.58999999999997</v>
      </c>
      <c r="L72" s="64">
        <v>24.34</v>
      </c>
      <c r="M72" s="64">
        <v>29.65</v>
      </c>
      <c r="N72" s="64">
        <v>117.7</v>
      </c>
      <c r="O72" s="64">
        <v>0</v>
      </c>
      <c r="P72" s="64">
        <v>0.48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2804</v>
      </c>
      <c r="B73" s="64">
        <v>4.13</v>
      </c>
      <c r="C73" s="64">
        <v>64.58</v>
      </c>
      <c r="D73" s="64">
        <v>35.68</v>
      </c>
      <c r="E73" s="64">
        <v>6.74</v>
      </c>
      <c r="F73" s="64">
        <v>4.4400000000000004</v>
      </c>
      <c r="G73" s="64">
        <v>41.37</v>
      </c>
      <c r="H73" s="64">
        <v>17.260000000000002</v>
      </c>
      <c r="I73" s="210" t="s">
        <v>43</v>
      </c>
      <c r="J73" s="64">
        <v>2.38</v>
      </c>
      <c r="K73" s="64">
        <v>306.12</v>
      </c>
      <c r="L73" s="64">
        <v>24.07</v>
      </c>
      <c r="M73" s="64">
        <v>30.97</v>
      </c>
      <c r="N73" s="64">
        <v>111.9</v>
      </c>
      <c r="O73" s="64">
        <v>0</v>
      </c>
      <c r="P73" s="64">
        <v>0.49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2805</v>
      </c>
      <c r="B74" s="64">
        <v>3.98</v>
      </c>
      <c r="C74" s="64">
        <v>65.989999999999995</v>
      </c>
      <c r="D74" s="64">
        <v>36.29</v>
      </c>
      <c r="E74" s="64">
        <v>7.4</v>
      </c>
      <c r="F74" s="64">
        <v>6.41</v>
      </c>
      <c r="G74" s="64">
        <v>41.37</v>
      </c>
      <c r="H74" s="64">
        <v>17.260000000000002</v>
      </c>
      <c r="I74" s="210" t="s">
        <v>43</v>
      </c>
      <c r="J74" s="64">
        <v>2.8</v>
      </c>
      <c r="K74" s="64">
        <v>324.82</v>
      </c>
      <c r="L74" s="64">
        <v>23.84</v>
      </c>
      <c r="M74" s="64">
        <v>31.75</v>
      </c>
      <c r="N74" s="64">
        <v>107.8</v>
      </c>
      <c r="O74" s="64">
        <v>0</v>
      </c>
      <c r="P74" s="64">
        <v>0.47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2806</v>
      </c>
      <c r="B75" s="64">
        <v>4.07</v>
      </c>
      <c r="C75" s="64">
        <v>67.8</v>
      </c>
      <c r="D75" s="64">
        <v>37.31</v>
      </c>
      <c r="E75" s="64">
        <v>7.36</v>
      </c>
      <c r="F75" s="64">
        <v>5.23</v>
      </c>
      <c r="G75" s="64">
        <v>41.37</v>
      </c>
      <c r="H75" s="64">
        <v>17.260000000000002</v>
      </c>
      <c r="I75" s="210" t="s">
        <v>43</v>
      </c>
      <c r="J75" s="64">
        <v>2.27</v>
      </c>
      <c r="K75" s="64">
        <v>333.51</v>
      </c>
      <c r="L75" s="64">
        <v>23.64</v>
      </c>
      <c r="M75" s="64">
        <v>32.39</v>
      </c>
      <c r="N75" s="64">
        <v>103.5</v>
      </c>
      <c r="O75" s="64">
        <v>0</v>
      </c>
      <c r="P75" s="64">
        <v>0.49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2807</v>
      </c>
      <c r="B76" s="64">
        <v>4.51</v>
      </c>
      <c r="C76" s="64">
        <v>70.62</v>
      </c>
      <c r="D76" s="64">
        <v>39.14</v>
      </c>
      <c r="E76" s="64">
        <v>8.16</v>
      </c>
      <c r="F76" s="64">
        <v>6.39</v>
      </c>
      <c r="G76" s="64">
        <v>41.3</v>
      </c>
      <c r="H76" s="64">
        <v>18.45</v>
      </c>
      <c r="I76" s="210" t="s">
        <v>43</v>
      </c>
      <c r="J76" s="64">
        <v>2.72</v>
      </c>
      <c r="K76" s="64">
        <v>330.65</v>
      </c>
      <c r="L76" s="64">
        <v>23.52</v>
      </c>
      <c r="M76" s="64">
        <v>33.57</v>
      </c>
      <c r="N76" s="64">
        <v>100.6</v>
      </c>
      <c r="O76" s="64">
        <v>0</v>
      </c>
      <c r="P76" s="64">
        <v>0.53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2808</v>
      </c>
      <c r="B77" s="64">
        <v>3.99</v>
      </c>
      <c r="C77" s="64">
        <v>76.650000000000006</v>
      </c>
      <c r="D77" s="64">
        <v>41.87</v>
      </c>
      <c r="E77" s="64">
        <v>9.25</v>
      </c>
      <c r="F77" s="64">
        <v>10.34</v>
      </c>
      <c r="G77" s="64">
        <v>41.21</v>
      </c>
      <c r="H77" s="64">
        <v>19.88</v>
      </c>
      <c r="I77" s="210" t="s">
        <v>43</v>
      </c>
      <c r="J77" s="64">
        <v>2.36</v>
      </c>
      <c r="K77" s="64">
        <v>344.2</v>
      </c>
      <c r="L77" s="64">
        <v>23.19</v>
      </c>
      <c r="M77" s="64">
        <v>34.090000000000003</v>
      </c>
      <c r="N77" s="64">
        <v>94.2</v>
      </c>
      <c r="O77" s="64">
        <v>0</v>
      </c>
      <c r="P77" s="64">
        <v>0.61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2809</v>
      </c>
      <c r="B78" s="64">
        <v>3.8</v>
      </c>
      <c r="C78" s="64">
        <v>79.63</v>
      </c>
      <c r="D78" s="64">
        <v>43.27</v>
      </c>
      <c r="E78" s="64">
        <v>7.92</v>
      </c>
      <c r="F78" s="64">
        <v>4.09</v>
      </c>
      <c r="G78" s="64">
        <v>41.21</v>
      </c>
      <c r="H78" s="64">
        <v>19.88</v>
      </c>
      <c r="I78" s="210" t="s">
        <v>43</v>
      </c>
      <c r="J78" s="64">
        <v>1.83</v>
      </c>
      <c r="K78" s="64">
        <v>357.78</v>
      </c>
      <c r="L78" s="64">
        <v>22.64</v>
      </c>
      <c r="M78" s="64">
        <v>35.85</v>
      </c>
      <c r="N78" s="64">
        <v>87.2</v>
      </c>
      <c r="O78" s="64">
        <v>0</v>
      </c>
      <c r="P78" s="64">
        <v>0.65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2810</v>
      </c>
      <c r="B79" s="64">
        <v>4.67</v>
      </c>
      <c r="C79" s="64">
        <v>79.819999999999993</v>
      </c>
      <c r="D79" s="64">
        <v>44.07</v>
      </c>
      <c r="E79" s="64">
        <v>7.4</v>
      </c>
      <c r="F79" s="64">
        <v>2.13</v>
      </c>
      <c r="G79" s="64">
        <v>41.21</v>
      </c>
      <c r="H79" s="64">
        <v>19.88</v>
      </c>
      <c r="I79" s="210" t="s">
        <v>43</v>
      </c>
      <c r="J79" s="64">
        <v>0.63</v>
      </c>
      <c r="K79" s="64">
        <v>216.59</v>
      </c>
      <c r="L79" s="64">
        <v>21.8</v>
      </c>
      <c r="M79" s="64">
        <v>37.159999999999997</v>
      </c>
      <c r="N79" s="64">
        <v>81.099999999999994</v>
      </c>
      <c r="O79" s="64">
        <v>0</v>
      </c>
      <c r="P79" s="64">
        <v>0.69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2811</v>
      </c>
      <c r="B80" s="64">
        <v>6.23</v>
      </c>
      <c r="C80" s="64">
        <v>79.61</v>
      </c>
      <c r="D80" s="64">
        <v>45.21</v>
      </c>
      <c r="E80" s="64">
        <v>6.91</v>
      </c>
      <c r="F80" s="64">
        <v>2.13</v>
      </c>
      <c r="G80" s="64">
        <v>49.02</v>
      </c>
      <c r="H80" s="64">
        <v>28.61</v>
      </c>
      <c r="I80" s="210" t="s">
        <v>43</v>
      </c>
      <c r="J80" s="64">
        <v>1.78</v>
      </c>
      <c r="K80" s="64">
        <v>284.27999999999997</v>
      </c>
      <c r="L80" s="64">
        <v>20.76</v>
      </c>
      <c r="M80" s="64">
        <v>42.45</v>
      </c>
      <c r="N80" s="64">
        <v>77.7</v>
      </c>
      <c r="O80" s="64">
        <v>0</v>
      </c>
      <c r="P80" s="64">
        <v>0.69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2812</v>
      </c>
      <c r="B81" s="64">
        <v>11.51</v>
      </c>
      <c r="C81" s="64">
        <v>80.77</v>
      </c>
      <c r="D81" s="64">
        <v>50.06</v>
      </c>
      <c r="E81" s="64">
        <v>6.85</v>
      </c>
      <c r="F81" s="64">
        <v>2.13</v>
      </c>
      <c r="G81" s="64">
        <v>58.35</v>
      </c>
      <c r="H81" s="64">
        <v>39.049999999999997</v>
      </c>
      <c r="I81" s="210" t="s">
        <v>43</v>
      </c>
      <c r="J81" s="64">
        <v>0.95</v>
      </c>
      <c r="K81" s="64">
        <v>240.54</v>
      </c>
      <c r="L81" s="64">
        <v>19.87</v>
      </c>
      <c r="M81" s="64">
        <v>46.87</v>
      </c>
      <c r="N81" s="64">
        <v>76.599999999999994</v>
      </c>
      <c r="O81" s="64">
        <v>0</v>
      </c>
      <c r="P81" s="64">
        <v>0.73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2813</v>
      </c>
      <c r="B82" s="64">
        <v>19.34</v>
      </c>
      <c r="C82" s="64">
        <v>82.43</v>
      </c>
      <c r="D82" s="64">
        <v>57.2</v>
      </c>
      <c r="E82" s="64">
        <v>6.54</v>
      </c>
      <c r="F82" s="64">
        <v>2.13</v>
      </c>
      <c r="G82" s="64">
        <v>58.35</v>
      </c>
      <c r="H82" s="64">
        <v>39.049999999999997</v>
      </c>
      <c r="I82" s="210" t="s">
        <v>43</v>
      </c>
      <c r="J82" s="64">
        <v>1.58</v>
      </c>
      <c r="K82" s="64">
        <v>286.49</v>
      </c>
      <c r="L82" s="64">
        <v>19.170000000000002</v>
      </c>
      <c r="M82" s="64">
        <v>50.71</v>
      </c>
      <c r="N82" s="64">
        <v>76.599999999999994</v>
      </c>
      <c r="O82" s="64">
        <v>0</v>
      </c>
      <c r="P82" s="64">
        <v>0.74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2814</v>
      </c>
      <c r="B83" s="64">
        <v>26.94</v>
      </c>
      <c r="C83" s="64">
        <v>81.97</v>
      </c>
      <c r="D83" s="64">
        <v>63.05</v>
      </c>
      <c r="E83" s="64">
        <v>6.73</v>
      </c>
      <c r="F83" s="64">
        <v>2.13</v>
      </c>
      <c r="G83" s="64">
        <v>58.35</v>
      </c>
      <c r="H83" s="64">
        <v>39.049999999999997</v>
      </c>
      <c r="I83" s="210" t="s">
        <v>43</v>
      </c>
      <c r="J83" s="64">
        <v>0.55000000000000004</v>
      </c>
      <c r="K83" s="64">
        <v>350.99</v>
      </c>
      <c r="L83" s="64">
        <v>18.72</v>
      </c>
      <c r="M83" s="64">
        <v>51.97</v>
      </c>
      <c r="N83" s="64">
        <v>76.400000000000006</v>
      </c>
      <c r="O83" s="64">
        <v>0</v>
      </c>
      <c r="P83" s="64">
        <v>0.94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2815</v>
      </c>
      <c r="B84" s="64">
        <v>32.83</v>
      </c>
      <c r="C84" s="64">
        <v>80.47</v>
      </c>
      <c r="D84" s="64">
        <v>66.989999999999995</v>
      </c>
      <c r="E84" s="64">
        <v>6.44</v>
      </c>
      <c r="F84" s="64">
        <v>2.13</v>
      </c>
      <c r="G84" s="64">
        <v>100.77</v>
      </c>
      <c r="H84" s="64">
        <v>41.63</v>
      </c>
      <c r="I84" s="210" t="s">
        <v>43</v>
      </c>
      <c r="J84" s="64">
        <v>1.83</v>
      </c>
      <c r="K84" s="64">
        <v>296.99</v>
      </c>
      <c r="L84" s="64">
        <v>18.260000000000002</v>
      </c>
      <c r="M84" s="64">
        <v>54.15</v>
      </c>
      <c r="N84" s="64">
        <v>76.400000000000006</v>
      </c>
      <c r="O84" s="64">
        <v>0</v>
      </c>
      <c r="P84" s="64">
        <v>0.99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2816</v>
      </c>
      <c r="B85" s="64">
        <v>39.18</v>
      </c>
      <c r="C85" s="64">
        <v>80.5</v>
      </c>
      <c r="D85" s="64">
        <v>72.099999999999994</v>
      </c>
      <c r="E85" s="64">
        <v>6.19</v>
      </c>
      <c r="F85" s="64">
        <v>2.13</v>
      </c>
      <c r="G85" s="64">
        <v>151.47</v>
      </c>
      <c r="H85" s="64">
        <v>44.72</v>
      </c>
      <c r="I85" s="210" t="s">
        <v>43</v>
      </c>
      <c r="J85" s="64">
        <v>0.22</v>
      </c>
      <c r="K85" s="64">
        <v>263.63</v>
      </c>
      <c r="L85" s="64">
        <v>18.100000000000001</v>
      </c>
      <c r="M85" s="64">
        <v>56.61</v>
      </c>
      <c r="N85" s="64">
        <v>76.3</v>
      </c>
      <c r="O85" s="64">
        <v>0</v>
      </c>
      <c r="P85" s="64">
        <v>1.07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2817</v>
      </c>
      <c r="B86" s="64">
        <v>47.61</v>
      </c>
      <c r="C86" s="64">
        <v>80.040000000000006</v>
      </c>
      <c r="D86" s="64">
        <v>78.62</v>
      </c>
      <c r="E86" s="64">
        <v>6.78</v>
      </c>
      <c r="F86" s="64">
        <v>2.13</v>
      </c>
      <c r="G86" s="64">
        <v>151.47</v>
      </c>
      <c r="H86" s="64">
        <v>44.72</v>
      </c>
      <c r="I86" s="210" t="s">
        <v>43</v>
      </c>
      <c r="J86" s="64">
        <v>1.67</v>
      </c>
      <c r="K86" s="64">
        <v>304.76</v>
      </c>
      <c r="L86" s="64">
        <v>18.05</v>
      </c>
      <c r="M86" s="64">
        <v>62.57</v>
      </c>
      <c r="N86" s="64">
        <v>75.900000000000006</v>
      </c>
      <c r="O86" s="64">
        <v>0</v>
      </c>
      <c r="P86" s="64">
        <v>1.2</v>
      </c>
      <c r="Q86" s="64">
        <v>8.2899999999999991</v>
      </c>
      <c r="R86" s="198"/>
      <c r="S86" s="198"/>
      <c r="T86" s="198"/>
      <c r="U86" s="198"/>
    </row>
    <row r="87" spans="1:26" s="12" customFormat="1" x14ac:dyDescent="0.25">
      <c r="A87" s="214" t="s">
        <v>2818</v>
      </c>
      <c r="B87" s="64">
        <v>54.4</v>
      </c>
      <c r="C87" s="64">
        <v>78.959999999999994</v>
      </c>
      <c r="D87" s="64">
        <v>83.5</v>
      </c>
      <c r="E87" s="64">
        <v>6.78</v>
      </c>
      <c r="F87" s="64">
        <v>2.13</v>
      </c>
      <c r="G87" s="64">
        <v>151.47</v>
      </c>
      <c r="H87" s="64">
        <v>44.72</v>
      </c>
      <c r="I87" s="210" t="s">
        <v>43</v>
      </c>
      <c r="J87" s="64">
        <v>1.59</v>
      </c>
      <c r="K87" s="64">
        <v>282.54000000000002</v>
      </c>
      <c r="L87" s="64">
        <v>17.98</v>
      </c>
      <c r="M87" s="64">
        <v>57.72</v>
      </c>
      <c r="N87" s="64">
        <v>75.8</v>
      </c>
      <c r="O87" s="64">
        <v>0</v>
      </c>
      <c r="P87" s="64">
        <v>1.2</v>
      </c>
      <c r="Q87" s="64">
        <v>8.6199999999999992</v>
      </c>
      <c r="R87" s="198"/>
      <c r="S87" s="198"/>
      <c r="T87" s="198"/>
      <c r="U87" s="198"/>
    </row>
    <row r="88" spans="1:26" s="12" customFormat="1" x14ac:dyDescent="0.25">
      <c r="A88" s="214" t="s">
        <v>2819</v>
      </c>
      <c r="B88" s="64">
        <v>58.24</v>
      </c>
      <c r="C88" s="64">
        <v>78.010000000000005</v>
      </c>
      <c r="D88" s="64">
        <v>86.09</v>
      </c>
      <c r="E88" s="64">
        <v>7.03</v>
      </c>
      <c r="F88" s="64">
        <v>2.13</v>
      </c>
      <c r="G88" s="64">
        <v>153.28</v>
      </c>
      <c r="H88" s="64">
        <v>43.86</v>
      </c>
      <c r="I88" s="210" t="s">
        <v>43</v>
      </c>
      <c r="J88" s="64">
        <v>1.57</v>
      </c>
      <c r="K88" s="64">
        <v>312.57</v>
      </c>
      <c r="L88" s="64">
        <v>17.97</v>
      </c>
      <c r="M88" s="64">
        <v>56.58</v>
      </c>
      <c r="N88" s="64">
        <v>76.099999999999994</v>
      </c>
      <c r="O88" s="64">
        <v>0</v>
      </c>
      <c r="P88" s="64">
        <v>1.57</v>
      </c>
      <c r="Q88" s="64">
        <v>8.86</v>
      </c>
      <c r="R88" s="198"/>
      <c r="S88" s="198"/>
      <c r="T88" s="198"/>
      <c r="U88" s="198"/>
    </row>
    <row r="89" spans="1:26" s="12" customFormat="1" x14ac:dyDescent="0.25">
      <c r="A89" s="214" t="s">
        <v>2820</v>
      </c>
      <c r="B89" s="64">
        <v>62.02</v>
      </c>
      <c r="C89" s="64">
        <v>76.48</v>
      </c>
      <c r="D89" s="64">
        <v>88.31</v>
      </c>
      <c r="E89" s="64">
        <v>7.03</v>
      </c>
      <c r="F89" s="64">
        <v>2.13</v>
      </c>
      <c r="G89" s="64">
        <v>155.43</v>
      </c>
      <c r="H89" s="64">
        <v>42.83</v>
      </c>
      <c r="I89" s="210" t="s">
        <v>43</v>
      </c>
      <c r="J89" s="64">
        <v>1.65</v>
      </c>
      <c r="K89" s="64">
        <v>295.77999999999997</v>
      </c>
      <c r="L89" s="64">
        <v>17.64</v>
      </c>
      <c r="M89" s="64">
        <v>57.65</v>
      </c>
      <c r="N89" s="64">
        <v>76.099999999999994</v>
      </c>
      <c r="O89" s="64">
        <v>0</v>
      </c>
      <c r="P89" s="64">
        <v>1.1599999999999999</v>
      </c>
      <c r="Q89" s="64">
        <v>9.01</v>
      </c>
      <c r="R89" s="198"/>
      <c r="S89" s="198"/>
      <c r="T89" s="198"/>
      <c r="U89" s="198"/>
    </row>
    <row r="90" spans="1:26" s="12" customFormat="1" x14ac:dyDescent="0.25">
      <c r="A90" s="214" t="s">
        <v>2821</v>
      </c>
      <c r="B90" s="64">
        <v>65.44</v>
      </c>
      <c r="C90" s="64">
        <v>75.41</v>
      </c>
      <c r="D90" s="64">
        <v>90.5</v>
      </c>
      <c r="E90" s="64">
        <v>7.08</v>
      </c>
      <c r="F90" s="64">
        <v>2.13</v>
      </c>
      <c r="G90" s="64">
        <v>155.43</v>
      </c>
      <c r="H90" s="64">
        <v>42.83</v>
      </c>
      <c r="I90" s="210" t="s">
        <v>43</v>
      </c>
      <c r="J90" s="64">
        <v>1.1000000000000001</v>
      </c>
      <c r="K90" s="64">
        <v>282.29000000000002</v>
      </c>
      <c r="L90" s="64">
        <v>17.66</v>
      </c>
      <c r="M90" s="64">
        <v>52.92</v>
      </c>
      <c r="N90" s="64">
        <v>75.900000000000006</v>
      </c>
      <c r="O90" s="64">
        <v>0</v>
      </c>
      <c r="P90" s="64">
        <v>1.35</v>
      </c>
      <c r="Q90" s="64">
        <v>9.17</v>
      </c>
      <c r="R90" s="198"/>
      <c r="S90" s="198"/>
      <c r="T90" s="198"/>
      <c r="U90" s="198"/>
    </row>
    <row r="91" spans="1:26" s="12" customFormat="1" x14ac:dyDescent="0.25">
      <c r="A91" s="214" t="s">
        <v>2822</v>
      </c>
      <c r="B91" s="64">
        <v>67.11</v>
      </c>
      <c r="C91" s="64">
        <v>73.849999999999994</v>
      </c>
      <c r="D91" s="64">
        <v>91.03</v>
      </c>
      <c r="E91" s="64">
        <v>7.1</v>
      </c>
      <c r="F91" s="64">
        <v>2.13</v>
      </c>
      <c r="G91" s="64">
        <v>155.43</v>
      </c>
      <c r="H91" s="64">
        <v>42.83</v>
      </c>
      <c r="I91" s="210" t="s">
        <v>43</v>
      </c>
      <c r="J91" s="64">
        <v>0.97</v>
      </c>
      <c r="K91" s="64">
        <v>341.77</v>
      </c>
      <c r="L91" s="64">
        <v>18.079999999999998</v>
      </c>
      <c r="M91" s="64">
        <v>45.51</v>
      </c>
      <c r="N91" s="64">
        <v>75.8</v>
      </c>
      <c r="O91" s="64">
        <v>0</v>
      </c>
      <c r="P91" s="64">
        <v>1.08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4" t="s">
        <v>2823</v>
      </c>
      <c r="B92" s="64">
        <v>68.66</v>
      </c>
      <c r="C92" s="64">
        <v>74.56</v>
      </c>
      <c r="D92" s="64">
        <v>92.64</v>
      </c>
      <c r="E92" s="64">
        <v>7.51</v>
      </c>
      <c r="F92" s="64">
        <v>2.13</v>
      </c>
      <c r="G92" s="64">
        <v>140.37</v>
      </c>
      <c r="H92" s="64">
        <v>39.22</v>
      </c>
      <c r="I92" s="210" t="s">
        <v>43</v>
      </c>
      <c r="J92" s="64">
        <v>1.75</v>
      </c>
      <c r="K92" s="64">
        <v>306.2</v>
      </c>
      <c r="L92" s="64">
        <v>17.61</v>
      </c>
      <c r="M92" s="64">
        <v>51.26</v>
      </c>
      <c r="N92" s="64">
        <v>76.3</v>
      </c>
      <c r="O92" s="64">
        <v>0</v>
      </c>
      <c r="P92" s="64">
        <v>1.19</v>
      </c>
      <c r="Q92" s="64">
        <v>9.33</v>
      </c>
      <c r="R92" s="198"/>
      <c r="S92" s="198"/>
      <c r="T92" s="198"/>
      <c r="U92" s="198"/>
    </row>
    <row r="93" spans="1:26" s="12" customFormat="1" x14ac:dyDescent="0.25">
      <c r="A93" s="214" t="s">
        <v>2824</v>
      </c>
      <c r="B93" s="64">
        <v>71.89</v>
      </c>
      <c r="C93" s="64">
        <v>74.83</v>
      </c>
      <c r="D93" s="64">
        <v>95.37</v>
      </c>
      <c r="E93" s="64">
        <v>7.74</v>
      </c>
      <c r="F93" s="64">
        <v>2.13</v>
      </c>
      <c r="G93" s="64">
        <v>122.37</v>
      </c>
      <c r="H93" s="64">
        <v>34.9</v>
      </c>
      <c r="I93" s="210" t="s">
        <v>43</v>
      </c>
      <c r="J93" s="64">
        <v>1.08</v>
      </c>
      <c r="K93" s="64">
        <v>275.66000000000003</v>
      </c>
      <c r="L93" s="64">
        <v>16.98</v>
      </c>
      <c r="M93" s="64">
        <v>53.32</v>
      </c>
      <c r="N93" s="64">
        <v>76.5</v>
      </c>
      <c r="O93" s="64">
        <v>0</v>
      </c>
      <c r="P93" s="64">
        <v>1.24</v>
      </c>
      <c r="Q93" s="64">
        <v>9.4499999999999993</v>
      </c>
      <c r="R93" s="198"/>
      <c r="S93" s="198"/>
      <c r="T93" s="198"/>
      <c r="U93" s="198"/>
    </row>
    <row r="94" spans="1:26" s="12" customFormat="1" x14ac:dyDescent="0.25">
      <c r="A94" s="214" t="s">
        <v>2825</v>
      </c>
      <c r="B94" s="64">
        <v>75.17</v>
      </c>
      <c r="C94" s="64">
        <v>74.599999999999994</v>
      </c>
      <c r="D94" s="64">
        <v>97.88</v>
      </c>
      <c r="E94" s="64">
        <v>7.22</v>
      </c>
      <c r="F94" s="64">
        <v>2.13</v>
      </c>
      <c r="G94" s="64">
        <v>122.37</v>
      </c>
      <c r="H94" s="64">
        <v>34.9</v>
      </c>
      <c r="I94" s="210" t="s">
        <v>43</v>
      </c>
      <c r="J94" s="64">
        <v>0.43</v>
      </c>
      <c r="K94" s="64">
        <v>129.1</v>
      </c>
      <c r="L94" s="64">
        <v>16.809999999999999</v>
      </c>
      <c r="M94" s="64">
        <v>54.1</v>
      </c>
      <c r="N94" s="64">
        <v>76.3</v>
      </c>
      <c r="O94" s="64">
        <v>0</v>
      </c>
      <c r="P94" s="64">
        <v>1.29</v>
      </c>
      <c r="Q94" s="64">
        <v>9.6</v>
      </c>
      <c r="R94" s="198"/>
      <c r="S94" s="198"/>
      <c r="T94" s="198"/>
      <c r="U94" s="198"/>
    </row>
    <row r="95" spans="1:26" s="12" customFormat="1" x14ac:dyDescent="0.25">
      <c r="A95" s="214" t="s">
        <v>2826</v>
      </c>
      <c r="B95" s="64">
        <v>79.73</v>
      </c>
      <c r="C95" s="64">
        <v>74.48</v>
      </c>
      <c r="D95" s="64">
        <v>101.47</v>
      </c>
      <c r="E95" s="64">
        <v>7.57</v>
      </c>
      <c r="F95" s="64">
        <v>2.13</v>
      </c>
      <c r="G95" s="64">
        <v>122.37</v>
      </c>
      <c r="H95" s="64">
        <v>34.9</v>
      </c>
      <c r="I95" s="210" t="s">
        <v>43</v>
      </c>
      <c r="J95" s="64">
        <v>0.87</v>
      </c>
      <c r="K95" s="64">
        <v>264.29000000000002</v>
      </c>
      <c r="L95" s="64">
        <v>16.510000000000002</v>
      </c>
      <c r="M95" s="64">
        <v>54.41</v>
      </c>
      <c r="N95" s="64">
        <v>76.3</v>
      </c>
      <c r="O95" s="64">
        <v>0</v>
      </c>
      <c r="P95" s="64">
        <v>1.31</v>
      </c>
      <c r="Q95" s="64">
        <v>9.74</v>
      </c>
      <c r="R95" s="198"/>
      <c r="S95" s="198"/>
      <c r="T95" s="198"/>
      <c r="U95" s="198"/>
    </row>
    <row r="96" spans="1:26" s="12" customFormat="1" x14ac:dyDescent="0.25">
      <c r="A96" s="214" t="s">
        <v>2827</v>
      </c>
      <c r="B96" s="64">
        <v>85.15</v>
      </c>
      <c r="C96" s="64">
        <v>74.63</v>
      </c>
      <c r="D96" s="64">
        <v>105.9</v>
      </c>
      <c r="E96" s="64">
        <v>7.67</v>
      </c>
      <c r="F96" s="64">
        <v>2.13</v>
      </c>
      <c r="G96" s="64">
        <v>124.21</v>
      </c>
      <c r="H96" s="64">
        <v>35.69</v>
      </c>
      <c r="I96" s="210" t="s">
        <v>43</v>
      </c>
      <c r="J96" s="64">
        <v>1.36</v>
      </c>
      <c r="K96" s="64">
        <v>274.02</v>
      </c>
      <c r="L96" s="64">
        <v>16.309999999999999</v>
      </c>
      <c r="M96" s="64">
        <v>55.54</v>
      </c>
      <c r="N96" s="64">
        <v>76.3</v>
      </c>
      <c r="O96" s="64">
        <v>0</v>
      </c>
      <c r="P96" s="64">
        <v>1.33</v>
      </c>
      <c r="Q96" s="64">
        <v>9.93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2828</v>
      </c>
      <c r="B97" s="64">
        <v>88.07</v>
      </c>
      <c r="C97" s="64">
        <v>74.17</v>
      </c>
      <c r="D97" s="64">
        <v>108</v>
      </c>
      <c r="E97" s="64">
        <v>7.28</v>
      </c>
      <c r="F97" s="64">
        <v>2.13</v>
      </c>
      <c r="G97" s="64">
        <v>126.4</v>
      </c>
      <c r="H97" s="64">
        <v>36.630000000000003</v>
      </c>
      <c r="I97" s="210" t="s">
        <v>43</v>
      </c>
      <c r="J97" s="64">
        <v>1.52</v>
      </c>
      <c r="K97" s="64">
        <v>285.93</v>
      </c>
      <c r="L97" s="64">
        <v>15.87</v>
      </c>
      <c r="M97" s="64">
        <v>57.04</v>
      </c>
      <c r="N97" s="64">
        <v>76.3</v>
      </c>
      <c r="O97" s="64">
        <v>0</v>
      </c>
      <c r="P97" s="64">
        <v>1.35</v>
      </c>
      <c r="Q97" s="64">
        <v>9.9600000000000009</v>
      </c>
      <c r="R97" s="198"/>
      <c r="S97" s="198"/>
      <c r="T97" s="198"/>
      <c r="U97" s="198"/>
    </row>
    <row r="98" spans="1:33" s="12" customFormat="1" x14ac:dyDescent="0.25">
      <c r="A98" s="214" t="s">
        <v>2829</v>
      </c>
      <c r="B98" s="64">
        <v>90.21</v>
      </c>
      <c r="C98" s="64">
        <v>73.64</v>
      </c>
      <c r="D98" s="64">
        <v>109.44</v>
      </c>
      <c r="E98" s="64">
        <v>7.13</v>
      </c>
      <c r="F98" s="64">
        <v>2.13</v>
      </c>
      <c r="G98" s="64">
        <v>126.4</v>
      </c>
      <c r="H98" s="64">
        <v>36.630000000000003</v>
      </c>
      <c r="I98" s="210" t="s">
        <v>43</v>
      </c>
      <c r="J98" s="64">
        <v>0.95</v>
      </c>
      <c r="K98" s="64">
        <v>316.14</v>
      </c>
      <c r="L98" s="64">
        <v>15.57</v>
      </c>
      <c r="M98" s="64">
        <v>61.24</v>
      </c>
      <c r="N98" s="64">
        <v>76.2</v>
      </c>
      <c r="O98" s="64">
        <v>0</v>
      </c>
      <c r="P98" s="64">
        <v>1.37</v>
      </c>
      <c r="Q98" s="64">
        <v>9.98</v>
      </c>
      <c r="R98" s="198"/>
      <c r="S98" s="198"/>
      <c r="T98" s="198"/>
      <c r="U98" s="198"/>
    </row>
    <row r="99" spans="1:33" s="12" customFormat="1" x14ac:dyDescent="0.25">
      <c r="A99" s="214" t="s">
        <v>2830</v>
      </c>
      <c r="B99" s="64">
        <v>94.42</v>
      </c>
      <c r="C99" s="64">
        <v>73.41</v>
      </c>
      <c r="D99" s="64">
        <v>112.69</v>
      </c>
      <c r="E99" s="64">
        <v>7.27</v>
      </c>
      <c r="F99" s="64">
        <v>2.13</v>
      </c>
      <c r="G99" s="64">
        <v>126.4</v>
      </c>
      <c r="H99" s="64">
        <v>36.630000000000003</v>
      </c>
      <c r="I99" s="210" t="s">
        <v>43</v>
      </c>
      <c r="J99" s="64">
        <v>0.86</v>
      </c>
      <c r="K99" s="64">
        <v>300.33999999999997</v>
      </c>
      <c r="L99" s="64">
        <v>15.32</v>
      </c>
      <c r="M99" s="64">
        <v>61.53</v>
      </c>
      <c r="N99" s="64">
        <v>76.099999999999994</v>
      </c>
      <c r="O99" s="64">
        <v>0</v>
      </c>
      <c r="P99" s="64">
        <v>1.41</v>
      </c>
      <c r="Q99" s="64">
        <v>9.99</v>
      </c>
      <c r="R99" s="198"/>
      <c r="S99" s="198"/>
      <c r="T99" s="198"/>
      <c r="U99" s="198"/>
    </row>
    <row r="100" spans="1:33" s="12" customFormat="1" x14ac:dyDescent="0.25">
      <c r="A100" s="214" t="s">
        <v>2831</v>
      </c>
      <c r="B100" s="64">
        <v>97.22</v>
      </c>
      <c r="C100" s="64">
        <v>70.53</v>
      </c>
      <c r="D100" s="64">
        <v>113.44</v>
      </c>
      <c r="E100" s="64">
        <v>7.56</v>
      </c>
      <c r="F100" s="64">
        <v>2.13</v>
      </c>
      <c r="G100" s="64">
        <v>128.09</v>
      </c>
      <c r="H100" s="64">
        <v>36.840000000000003</v>
      </c>
      <c r="I100" s="210" t="s">
        <v>43</v>
      </c>
      <c r="J100" s="64">
        <v>0.98</v>
      </c>
      <c r="K100" s="64">
        <v>292.27</v>
      </c>
      <c r="L100" s="64">
        <v>15.27</v>
      </c>
      <c r="M100" s="64">
        <v>57.38</v>
      </c>
      <c r="N100" s="64">
        <v>75.8</v>
      </c>
      <c r="O100" s="64">
        <v>0</v>
      </c>
      <c r="P100" s="64">
        <v>1.41</v>
      </c>
      <c r="Q100" s="64">
        <v>10.02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2832</v>
      </c>
      <c r="B101" s="64">
        <v>97.94</v>
      </c>
      <c r="C101" s="64">
        <v>69.430000000000007</v>
      </c>
      <c r="D101" s="64">
        <v>113.44</v>
      </c>
      <c r="E101" s="64">
        <v>7.49</v>
      </c>
      <c r="F101" s="64">
        <v>2.13</v>
      </c>
      <c r="G101" s="64">
        <v>130.1</v>
      </c>
      <c r="H101" s="64">
        <v>37.08</v>
      </c>
      <c r="I101" s="210" t="s">
        <v>43</v>
      </c>
      <c r="J101" s="64">
        <v>1.31</v>
      </c>
      <c r="K101" s="64">
        <v>270.23</v>
      </c>
      <c r="L101" s="64">
        <v>15.32</v>
      </c>
      <c r="M101" s="64">
        <v>56.16</v>
      </c>
      <c r="N101" s="64">
        <v>75.3</v>
      </c>
      <c r="O101" s="64">
        <v>0</v>
      </c>
      <c r="P101" s="64">
        <v>1.41</v>
      </c>
      <c r="Q101" s="64">
        <v>10.02</v>
      </c>
      <c r="R101" s="198"/>
      <c r="S101" s="198"/>
      <c r="T101" s="198"/>
      <c r="U101" s="198"/>
    </row>
    <row r="102" spans="1:33" s="12" customFormat="1" x14ac:dyDescent="0.25">
      <c r="A102" s="214" t="s">
        <v>2833</v>
      </c>
      <c r="B102" s="64">
        <v>98.38</v>
      </c>
      <c r="C102" s="64">
        <v>69.41</v>
      </c>
      <c r="D102" s="64">
        <v>113.78</v>
      </c>
      <c r="E102" s="64">
        <v>7.09</v>
      </c>
      <c r="F102" s="64">
        <v>2.13</v>
      </c>
      <c r="G102" s="64">
        <v>130.1</v>
      </c>
      <c r="H102" s="64">
        <v>37.08</v>
      </c>
      <c r="I102" s="210" t="s">
        <v>43</v>
      </c>
      <c r="J102" s="64">
        <v>1.41</v>
      </c>
      <c r="K102" s="64">
        <v>303.45999999999998</v>
      </c>
      <c r="L102" s="64">
        <v>15.16</v>
      </c>
      <c r="M102" s="64">
        <v>56.11</v>
      </c>
      <c r="N102" s="64">
        <v>75.8</v>
      </c>
      <c r="O102" s="64">
        <v>0</v>
      </c>
      <c r="P102" s="64">
        <v>1.4</v>
      </c>
      <c r="Q102" s="64">
        <v>10.01</v>
      </c>
      <c r="R102" s="198"/>
      <c r="S102" s="198"/>
      <c r="T102" s="198"/>
      <c r="U102" s="198"/>
    </row>
    <row r="103" spans="1:33" s="12" customFormat="1" x14ac:dyDescent="0.25">
      <c r="A103" s="214" t="s">
        <v>2834</v>
      </c>
      <c r="B103" s="64">
        <v>99.72</v>
      </c>
      <c r="C103" s="64">
        <v>68.430000000000007</v>
      </c>
      <c r="D103" s="64">
        <v>114.35</v>
      </c>
      <c r="E103" s="64">
        <v>7.01</v>
      </c>
      <c r="F103" s="64">
        <v>2.13</v>
      </c>
      <c r="G103" s="64">
        <v>130.1</v>
      </c>
      <c r="H103" s="64">
        <v>37.08</v>
      </c>
      <c r="I103" s="210" t="s">
        <v>43</v>
      </c>
      <c r="J103" s="64">
        <v>1.73</v>
      </c>
      <c r="K103" s="64">
        <v>306.10000000000002</v>
      </c>
      <c r="L103" s="64">
        <v>14.83</v>
      </c>
      <c r="M103" s="64">
        <v>65.349999999999994</v>
      </c>
      <c r="N103" s="64">
        <v>76.3</v>
      </c>
      <c r="O103" s="64">
        <v>0</v>
      </c>
      <c r="P103" s="64">
        <v>1.4</v>
      </c>
      <c r="Q103" s="64">
        <v>10</v>
      </c>
      <c r="R103" s="198"/>
      <c r="S103" s="198"/>
      <c r="T103" s="198"/>
      <c r="U103" s="198"/>
    </row>
    <row r="104" spans="1:33" s="12" customFormat="1" x14ac:dyDescent="0.25">
      <c r="A104" s="214" t="s">
        <v>2835</v>
      </c>
      <c r="B104" s="64">
        <v>101.09</v>
      </c>
      <c r="C104" s="64">
        <v>67.59</v>
      </c>
      <c r="D104" s="64">
        <v>115</v>
      </c>
      <c r="E104" s="64">
        <v>5.92</v>
      </c>
      <c r="F104" s="64">
        <v>2.13</v>
      </c>
      <c r="G104" s="64">
        <v>115.02</v>
      </c>
      <c r="H104" s="64">
        <v>33.11</v>
      </c>
      <c r="I104" s="210" t="s">
        <v>43</v>
      </c>
      <c r="J104" s="64">
        <v>0.94</v>
      </c>
      <c r="K104" s="64">
        <v>225.23</v>
      </c>
      <c r="L104" s="64">
        <v>14.61</v>
      </c>
      <c r="M104" s="64">
        <v>57.16</v>
      </c>
      <c r="N104" s="64">
        <v>75.7</v>
      </c>
      <c r="O104" s="64">
        <v>0</v>
      </c>
      <c r="P104" s="64">
        <v>1.39</v>
      </c>
      <c r="Q104" s="64">
        <v>9.98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3.44</v>
      </c>
      <c r="C106" s="67">
        <f>MIN(C9:C104)</f>
        <v>56.38</v>
      </c>
      <c r="D106" s="67">
        <f t="shared" ref="D106:Q106" si="0">MIN(D9:D104)</f>
        <v>34.590000000000003</v>
      </c>
      <c r="E106" s="67">
        <f t="shared" si="0"/>
        <v>4.3099999999999996</v>
      </c>
      <c r="F106" s="67">
        <f t="shared" si="0"/>
        <v>2.13</v>
      </c>
      <c r="G106" s="67">
        <f t="shared" si="0"/>
        <v>41.21</v>
      </c>
      <c r="H106" s="67">
        <f t="shared" si="0"/>
        <v>14.6</v>
      </c>
      <c r="I106" s="67">
        <f t="shared" si="0"/>
        <v>0</v>
      </c>
      <c r="J106" s="67">
        <f t="shared" si="0"/>
        <v>0.22</v>
      </c>
      <c r="K106" s="67">
        <f t="shared" si="0"/>
        <v>1.03</v>
      </c>
      <c r="L106" s="67">
        <f t="shared" si="0"/>
        <v>11.78</v>
      </c>
      <c r="M106" s="67">
        <f t="shared" si="0"/>
        <v>20.12</v>
      </c>
      <c r="N106" s="67">
        <f t="shared" si="0"/>
        <v>72.400000000000006</v>
      </c>
      <c r="O106" s="67">
        <f t="shared" si="0"/>
        <v>0</v>
      </c>
      <c r="P106" s="67">
        <f t="shared" si="0"/>
        <v>0.47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101.09</v>
      </c>
      <c r="C107" s="66">
        <f t="shared" ref="C107:Q107" si="1">MAX(C9:C104)</f>
        <v>106.03</v>
      </c>
      <c r="D107" s="66">
        <f t="shared" si="1"/>
        <v>115</v>
      </c>
      <c r="E107" s="66">
        <f t="shared" si="1"/>
        <v>12.75</v>
      </c>
      <c r="F107" s="66">
        <f t="shared" si="1"/>
        <v>10.34</v>
      </c>
      <c r="G107" s="66">
        <f t="shared" si="1"/>
        <v>155.43</v>
      </c>
      <c r="H107" s="66">
        <f t="shared" si="1"/>
        <v>67.900000000000006</v>
      </c>
      <c r="I107" s="66">
        <f t="shared" si="1"/>
        <v>0</v>
      </c>
      <c r="J107" s="66">
        <f t="shared" si="1"/>
        <v>3.34</v>
      </c>
      <c r="K107" s="66">
        <f t="shared" si="1"/>
        <v>359.35</v>
      </c>
      <c r="L107" s="66">
        <f t="shared" si="1"/>
        <v>29.5</v>
      </c>
      <c r="M107" s="66">
        <f t="shared" si="1"/>
        <v>88.64</v>
      </c>
      <c r="N107" s="66">
        <f t="shared" si="1"/>
        <v>659.2</v>
      </c>
      <c r="O107" s="66">
        <f t="shared" si="1"/>
        <v>0</v>
      </c>
      <c r="P107" s="66">
        <f t="shared" si="1"/>
        <v>1.57</v>
      </c>
      <c r="Q107" s="66">
        <f t="shared" si="1"/>
        <v>10.02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31.563020833333336</v>
      </c>
      <c r="C108" s="67">
        <f t="shared" ref="C108:Q108" si="2">AVERAGE(C9:C104)</f>
        <v>71.460312500000029</v>
      </c>
      <c r="D108" s="67">
        <f t="shared" si="2"/>
        <v>61.270624999999988</v>
      </c>
      <c r="E108" s="67">
        <f t="shared" si="2"/>
        <v>6.4516666666666671</v>
      </c>
      <c r="F108" s="67">
        <f t="shared" si="2"/>
        <v>2.8145833333333314</v>
      </c>
      <c r="G108" s="67">
        <f t="shared" si="2"/>
        <v>80.703645833333383</v>
      </c>
      <c r="H108" s="67">
        <f t="shared" si="2"/>
        <v>37.371235955056186</v>
      </c>
      <c r="I108" s="67" t="e">
        <f t="shared" si="2"/>
        <v>#DIV/0!</v>
      </c>
      <c r="J108" s="67">
        <f t="shared" si="2"/>
        <v>1.5419791666666667</v>
      </c>
      <c r="K108" s="67">
        <f t="shared" si="2"/>
        <v>258.99062499999997</v>
      </c>
      <c r="L108" s="67">
        <f t="shared" si="2"/>
        <v>19.087812499999995</v>
      </c>
      <c r="M108" s="67">
        <f t="shared" si="2"/>
        <v>46.601770833333312</v>
      </c>
      <c r="N108" s="67">
        <f t="shared" si="2"/>
        <v>213.0593749999999</v>
      </c>
      <c r="O108" s="67">
        <f t="shared" si="2"/>
        <v>0</v>
      </c>
      <c r="P108" s="67">
        <f t="shared" si="2"/>
        <v>0.8897916666666662</v>
      </c>
      <c r="Q108" s="67">
        <f t="shared" si="2"/>
        <v>8.4728125000000016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27.076548606916631</v>
      </c>
      <c r="C109" s="67">
        <f t="shared" ref="C109:Q109" si="3">STDEV(C9:C104)</f>
        <v>13.168286501097878</v>
      </c>
      <c r="D109" s="67">
        <f t="shared" si="3"/>
        <v>22.305834063972522</v>
      </c>
      <c r="E109" s="67">
        <f t="shared" si="3"/>
        <v>1.7512790313408155</v>
      </c>
      <c r="F109" s="67">
        <f t="shared" si="3"/>
        <v>1.6068307588913322</v>
      </c>
      <c r="G109" s="67">
        <f t="shared" si="3"/>
        <v>31.22642973406327</v>
      </c>
      <c r="H109" s="67">
        <f t="shared" si="3"/>
        <v>12.728504859371951</v>
      </c>
      <c r="I109" s="67" t="e">
        <f t="shared" si="3"/>
        <v>#DIV/0!</v>
      </c>
      <c r="J109" s="67">
        <f t="shared" si="3"/>
        <v>0.70987414717297626</v>
      </c>
      <c r="K109" s="67">
        <f t="shared" si="3"/>
        <v>104.57700508854452</v>
      </c>
      <c r="L109" s="67">
        <f t="shared" si="3"/>
        <v>5.7173045182102475</v>
      </c>
      <c r="M109" s="67">
        <f t="shared" si="3"/>
        <v>18.316142376821162</v>
      </c>
      <c r="N109" s="67">
        <f t="shared" si="3"/>
        <v>212.27555903545718</v>
      </c>
      <c r="O109" s="67">
        <f t="shared" si="3"/>
        <v>0</v>
      </c>
      <c r="P109" s="67">
        <f t="shared" si="3"/>
        <v>0.28217194894590564</v>
      </c>
      <c r="Q109" s="67">
        <f t="shared" si="3"/>
        <v>0.58171018851405054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COUNT(H9:H104)+7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2836</v>
      </c>
      <c r="B9" s="64">
        <v>101.03</v>
      </c>
      <c r="C9" s="64">
        <v>66.16</v>
      </c>
      <c r="D9" s="64">
        <v>114.21</v>
      </c>
      <c r="E9" s="64">
        <v>6.89</v>
      </c>
      <c r="F9" s="64">
        <v>2.13</v>
      </c>
      <c r="G9" s="64">
        <v>96.98</v>
      </c>
      <c r="H9" s="64">
        <v>28.36</v>
      </c>
      <c r="I9" s="210" t="s">
        <v>43</v>
      </c>
      <c r="J9" s="64">
        <v>1.1399999999999999</v>
      </c>
      <c r="K9" s="64">
        <v>274.05</v>
      </c>
      <c r="L9" s="64">
        <v>14.66</v>
      </c>
      <c r="M9" s="64">
        <v>59.64</v>
      </c>
      <c r="N9" s="64">
        <v>76</v>
      </c>
      <c r="O9" s="64">
        <v>0</v>
      </c>
      <c r="P9" s="64">
        <v>1.38</v>
      </c>
      <c r="Q9" s="64">
        <v>9.98</v>
      </c>
      <c r="R9" s="198"/>
      <c r="S9" s="198"/>
      <c r="T9" s="198"/>
      <c r="U9" s="198"/>
    </row>
    <row r="10" spans="1:21" s="12" customFormat="1" x14ac:dyDescent="0.25">
      <c r="A10" s="214" t="s">
        <v>2837</v>
      </c>
      <c r="B10" s="64">
        <v>99.47</v>
      </c>
      <c r="C10" s="64">
        <v>65.739999999999995</v>
      </c>
      <c r="D10" s="64">
        <v>112.74</v>
      </c>
      <c r="E10" s="64">
        <v>7.15</v>
      </c>
      <c r="F10" s="64">
        <v>2.13</v>
      </c>
      <c r="G10" s="64">
        <v>96.98</v>
      </c>
      <c r="H10" s="64">
        <v>28.36</v>
      </c>
      <c r="I10" s="210" t="s">
        <v>43</v>
      </c>
      <c r="J10" s="64">
        <v>1.69</v>
      </c>
      <c r="K10" s="64">
        <v>314.14999999999998</v>
      </c>
      <c r="L10" s="64">
        <v>14.95</v>
      </c>
      <c r="M10" s="64">
        <v>56.11</v>
      </c>
      <c r="N10" s="64">
        <v>75.900000000000006</v>
      </c>
      <c r="O10" s="64">
        <v>0</v>
      </c>
      <c r="P10" s="64">
        <v>1.36</v>
      </c>
      <c r="Q10" s="64">
        <v>9.9499999999999993</v>
      </c>
      <c r="R10" s="198"/>
      <c r="S10" s="198"/>
      <c r="T10" s="198"/>
      <c r="U10" s="198"/>
    </row>
    <row r="11" spans="1:21" s="12" customFormat="1" x14ac:dyDescent="0.25">
      <c r="A11" s="214" t="s">
        <v>2838</v>
      </c>
      <c r="B11" s="64">
        <v>97.34</v>
      </c>
      <c r="C11" s="64">
        <v>64.97</v>
      </c>
      <c r="D11" s="64">
        <v>110.62</v>
      </c>
      <c r="E11" s="64">
        <v>6.92</v>
      </c>
      <c r="F11" s="64">
        <v>2.13</v>
      </c>
      <c r="G11" s="64">
        <v>96.98</v>
      </c>
      <c r="H11" s="64">
        <v>28.36</v>
      </c>
      <c r="I11" s="210" t="s">
        <v>43</v>
      </c>
      <c r="J11" s="64">
        <v>1.81</v>
      </c>
      <c r="K11" s="64">
        <v>252.28</v>
      </c>
      <c r="L11" s="64">
        <v>14.45</v>
      </c>
      <c r="M11" s="64">
        <v>60.66</v>
      </c>
      <c r="N11" s="64">
        <v>76.2</v>
      </c>
      <c r="O11" s="64">
        <v>0</v>
      </c>
      <c r="P11" s="64">
        <v>1.35</v>
      </c>
      <c r="Q11" s="64">
        <v>9.9600000000000009</v>
      </c>
      <c r="R11" s="198"/>
      <c r="S11" s="198"/>
      <c r="T11" s="198"/>
      <c r="U11" s="198"/>
    </row>
    <row r="12" spans="1:21" s="12" customFormat="1" x14ac:dyDescent="0.25">
      <c r="A12" s="214" t="s">
        <v>2839</v>
      </c>
      <c r="B12" s="64">
        <v>95.03</v>
      </c>
      <c r="C12" s="64">
        <v>64.989999999999995</v>
      </c>
      <c r="D12" s="64">
        <v>108.78</v>
      </c>
      <c r="E12" s="64">
        <v>7.07</v>
      </c>
      <c r="F12" s="64">
        <v>2.13</v>
      </c>
      <c r="G12" s="64">
        <v>90.86</v>
      </c>
      <c r="H12" s="64">
        <v>27.43</v>
      </c>
      <c r="I12" s="210" t="s">
        <v>43</v>
      </c>
      <c r="J12" s="64">
        <v>1.23</v>
      </c>
      <c r="K12" s="64">
        <v>265.75</v>
      </c>
      <c r="L12" s="64">
        <v>14.11</v>
      </c>
      <c r="M12" s="64">
        <v>64.959999999999994</v>
      </c>
      <c r="N12" s="64">
        <v>76.400000000000006</v>
      </c>
      <c r="O12" s="64">
        <v>0</v>
      </c>
      <c r="P12" s="64">
        <v>1.34</v>
      </c>
      <c r="Q12" s="64">
        <v>9.98</v>
      </c>
      <c r="R12" s="198"/>
      <c r="S12" s="198"/>
      <c r="T12" s="198"/>
      <c r="U12" s="198"/>
    </row>
    <row r="13" spans="1:21" s="12" customFormat="1" x14ac:dyDescent="0.25">
      <c r="A13" s="214" t="s">
        <v>2840</v>
      </c>
      <c r="B13" s="64">
        <v>92.43</v>
      </c>
      <c r="C13" s="64">
        <v>64.430000000000007</v>
      </c>
      <c r="D13" s="64">
        <v>106.41</v>
      </c>
      <c r="E13" s="64">
        <v>7.26</v>
      </c>
      <c r="F13" s="64">
        <v>2.13</v>
      </c>
      <c r="G13" s="64">
        <v>83.54</v>
      </c>
      <c r="H13" s="64">
        <v>26.32</v>
      </c>
      <c r="I13" s="210" t="s">
        <v>43</v>
      </c>
      <c r="J13" s="64">
        <v>0.74</v>
      </c>
      <c r="K13" s="64">
        <v>270.32</v>
      </c>
      <c r="L13" s="64">
        <v>13.56</v>
      </c>
      <c r="M13" s="64">
        <v>70.22</v>
      </c>
      <c r="N13" s="64">
        <v>76.400000000000006</v>
      </c>
      <c r="O13" s="64">
        <v>0</v>
      </c>
      <c r="P13" s="64">
        <v>1.2</v>
      </c>
      <c r="Q13" s="64">
        <v>9.9700000000000006</v>
      </c>
      <c r="R13" s="198"/>
      <c r="S13" s="198"/>
      <c r="T13" s="198"/>
      <c r="U13" s="198"/>
    </row>
    <row r="14" spans="1:21" s="12" customFormat="1" x14ac:dyDescent="0.25">
      <c r="A14" s="214" t="s">
        <v>2841</v>
      </c>
      <c r="B14" s="64">
        <v>90.02</v>
      </c>
      <c r="C14" s="64">
        <v>64</v>
      </c>
      <c r="D14" s="64">
        <v>104.25</v>
      </c>
      <c r="E14" s="64">
        <v>7.26</v>
      </c>
      <c r="F14" s="64">
        <v>2.13</v>
      </c>
      <c r="G14" s="64">
        <v>83.54</v>
      </c>
      <c r="H14" s="64">
        <v>26.32</v>
      </c>
      <c r="I14" s="210" t="s">
        <v>43</v>
      </c>
      <c r="J14" s="64">
        <v>1.82</v>
      </c>
      <c r="K14" s="64">
        <v>11.6</v>
      </c>
      <c r="L14" s="64">
        <v>13.13</v>
      </c>
      <c r="M14" s="64">
        <v>73.680000000000007</v>
      </c>
      <c r="N14" s="64">
        <v>76.2</v>
      </c>
      <c r="O14" s="64">
        <v>0</v>
      </c>
      <c r="P14" s="64">
        <v>1.25</v>
      </c>
      <c r="Q14" s="64">
        <v>10</v>
      </c>
      <c r="R14" s="198"/>
      <c r="S14" s="198"/>
      <c r="T14" s="198"/>
      <c r="U14" s="198"/>
    </row>
    <row r="15" spans="1:21" s="12" customFormat="1" x14ac:dyDescent="0.25">
      <c r="A15" s="214" t="s">
        <v>2842</v>
      </c>
      <c r="B15" s="64">
        <v>88.1</v>
      </c>
      <c r="C15" s="64">
        <v>63.27</v>
      </c>
      <c r="D15" s="64">
        <v>102.33</v>
      </c>
      <c r="E15" s="64">
        <v>7.07</v>
      </c>
      <c r="F15" s="64">
        <v>2.13</v>
      </c>
      <c r="G15" s="64">
        <v>83.54</v>
      </c>
      <c r="H15" s="64">
        <v>26.32</v>
      </c>
      <c r="I15" s="210" t="s">
        <v>43</v>
      </c>
      <c r="J15" s="64">
        <v>1.48</v>
      </c>
      <c r="K15" s="64">
        <v>7.07</v>
      </c>
      <c r="L15" s="64">
        <v>12.91</v>
      </c>
      <c r="M15" s="64">
        <v>76.400000000000006</v>
      </c>
      <c r="N15" s="64">
        <v>76.2</v>
      </c>
      <c r="O15" s="64">
        <v>0</v>
      </c>
      <c r="P15" s="64">
        <v>1.25</v>
      </c>
      <c r="Q15" s="64">
        <v>9.91</v>
      </c>
      <c r="R15" s="198"/>
      <c r="S15" s="198"/>
      <c r="T15" s="198"/>
      <c r="U15" s="198"/>
    </row>
    <row r="16" spans="1:21" s="12" customFormat="1" x14ac:dyDescent="0.25">
      <c r="A16" s="214" t="s">
        <v>2843</v>
      </c>
      <c r="B16" s="64">
        <v>86.65</v>
      </c>
      <c r="C16" s="64">
        <v>62.39</v>
      </c>
      <c r="D16" s="64">
        <v>100.71</v>
      </c>
      <c r="E16" s="64">
        <v>7.02</v>
      </c>
      <c r="F16" s="64">
        <v>2.13</v>
      </c>
      <c r="G16" s="64">
        <v>90.89</v>
      </c>
      <c r="H16" s="64">
        <v>27.4</v>
      </c>
      <c r="I16" s="210" t="s">
        <v>43</v>
      </c>
      <c r="J16" s="64">
        <v>1.82</v>
      </c>
      <c r="K16" s="64">
        <v>128.43</v>
      </c>
      <c r="L16" s="64">
        <v>12.59</v>
      </c>
      <c r="M16" s="64">
        <v>78.56</v>
      </c>
      <c r="N16" s="64">
        <v>76.2</v>
      </c>
      <c r="O16" s="64">
        <v>0</v>
      </c>
      <c r="P16" s="64">
        <v>1.25</v>
      </c>
      <c r="Q16" s="64">
        <v>9.83</v>
      </c>
      <c r="R16" s="198"/>
      <c r="S16" s="198"/>
      <c r="T16" s="198"/>
      <c r="U16" s="198"/>
    </row>
    <row r="17" spans="1:21" s="12" customFormat="1" x14ac:dyDescent="0.25">
      <c r="A17" s="214" t="s">
        <v>2844</v>
      </c>
      <c r="B17" s="64">
        <v>85.15</v>
      </c>
      <c r="C17" s="64">
        <v>61.48</v>
      </c>
      <c r="D17" s="64">
        <v>99.03</v>
      </c>
      <c r="E17" s="64">
        <v>7.03</v>
      </c>
      <c r="F17" s="64">
        <v>2.13</v>
      </c>
      <c r="G17" s="64">
        <v>99.68</v>
      </c>
      <c r="H17" s="64">
        <v>28.74</v>
      </c>
      <c r="I17" s="210" t="s">
        <v>43</v>
      </c>
      <c r="J17" s="64">
        <v>1.58</v>
      </c>
      <c r="K17" s="64">
        <v>290.79000000000002</v>
      </c>
      <c r="L17" s="64">
        <v>12.54</v>
      </c>
      <c r="M17" s="64">
        <v>78.22</v>
      </c>
      <c r="N17" s="64">
        <v>75.900000000000006</v>
      </c>
      <c r="O17" s="64">
        <v>0</v>
      </c>
      <c r="P17" s="64">
        <v>1.25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4" t="s">
        <v>2845</v>
      </c>
      <c r="B18" s="64">
        <v>83.1</v>
      </c>
      <c r="C18" s="64">
        <v>60.7</v>
      </c>
      <c r="D18" s="64">
        <v>96.98</v>
      </c>
      <c r="E18" s="64">
        <v>7.18</v>
      </c>
      <c r="F18" s="64">
        <v>2.13</v>
      </c>
      <c r="G18" s="64">
        <v>99.68</v>
      </c>
      <c r="H18" s="64">
        <v>28.74</v>
      </c>
      <c r="I18" s="210" t="s">
        <v>43</v>
      </c>
      <c r="J18" s="64">
        <v>1.8</v>
      </c>
      <c r="K18" s="64">
        <v>339.46</v>
      </c>
      <c r="L18" s="64">
        <v>12.48</v>
      </c>
      <c r="M18" s="64">
        <v>80.489999999999995</v>
      </c>
      <c r="N18" s="64">
        <v>76</v>
      </c>
      <c r="O18" s="64">
        <v>0</v>
      </c>
      <c r="P18" s="64">
        <v>1.25</v>
      </c>
      <c r="Q18" s="64">
        <v>9.61</v>
      </c>
      <c r="R18" s="198"/>
      <c r="S18" s="198"/>
      <c r="T18" s="198"/>
      <c r="U18" s="198"/>
    </row>
    <row r="19" spans="1:21" s="12" customFormat="1" x14ac:dyDescent="0.25">
      <c r="A19" s="214" t="s">
        <v>2846</v>
      </c>
      <c r="B19" s="64">
        <v>82.15</v>
      </c>
      <c r="C19" s="64">
        <v>59.98</v>
      </c>
      <c r="D19" s="64">
        <v>95.84</v>
      </c>
      <c r="E19" s="64">
        <v>7.36</v>
      </c>
      <c r="F19" s="64">
        <v>2.13</v>
      </c>
      <c r="G19" s="64">
        <v>99.68</v>
      </c>
      <c r="H19" s="64">
        <v>28.74</v>
      </c>
      <c r="I19" s="210" t="s">
        <v>43</v>
      </c>
      <c r="J19" s="64">
        <v>1.67</v>
      </c>
      <c r="K19" s="64">
        <v>344.1</v>
      </c>
      <c r="L19" s="64">
        <v>12.25</v>
      </c>
      <c r="M19" s="64">
        <v>82.64</v>
      </c>
      <c r="N19" s="64">
        <v>75.900000000000006</v>
      </c>
      <c r="O19" s="64">
        <v>0</v>
      </c>
      <c r="P19" s="64">
        <v>1.25</v>
      </c>
      <c r="Q19" s="64">
        <v>9.5299999999999994</v>
      </c>
      <c r="R19" s="198"/>
      <c r="S19" s="198"/>
      <c r="T19" s="198"/>
      <c r="U19" s="198"/>
    </row>
    <row r="20" spans="1:21" s="12" customFormat="1" x14ac:dyDescent="0.25">
      <c r="A20" s="214" t="s">
        <v>2847</v>
      </c>
      <c r="B20" s="64">
        <v>80.78</v>
      </c>
      <c r="C20" s="64">
        <v>59.12</v>
      </c>
      <c r="D20" s="64">
        <v>94.3</v>
      </c>
      <c r="E20" s="64">
        <v>7.94</v>
      </c>
      <c r="F20" s="64">
        <v>2.13</v>
      </c>
      <c r="G20" s="64">
        <v>114.02</v>
      </c>
      <c r="H20" s="64">
        <v>34.26</v>
      </c>
      <c r="I20" s="210" t="s">
        <v>43</v>
      </c>
      <c r="J20" s="64">
        <v>1.93</v>
      </c>
      <c r="K20" s="64">
        <v>309.31</v>
      </c>
      <c r="L20" s="64">
        <v>12.43</v>
      </c>
      <c r="M20" s="64">
        <v>79.75</v>
      </c>
      <c r="N20" s="64">
        <v>75.099999999999994</v>
      </c>
      <c r="O20" s="64">
        <v>0</v>
      </c>
      <c r="P20" s="64">
        <v>1.25</v>
      </c>
      <c r="Q20" s="64">
        <v>9.4600000000000009</v>
      </c>
      <c r="R20" s="198"/>
      <c r="S20" s="198"/>
      <c r="T20" s="198"/>
      <c r="U20" s="198"/>
    </row>
    <row r="21" spans="1:21" s="12" customFormat="1" x14ac:dyDescent="0.25">
      <c r="A21" s="214" t="s">
        <v>2848</v>
      </c>
      <c r="B21" s="64">
        <v>78.430000000000007</v>
      </c>
      <c r="C21" s="64">
        <v>55.8</v>
      </c>
      <c r="D21" s="64">
        <v>90.67</v>
      </c>
      <c r="E21" s="64">
        <v>7.55</v>
      </c>
      <c r="F21" s="64">
        <v>2.13</v>
      </c>
      <c r="G21" s="64">
        <v>131.16</v>
      </c>
      <c r="H21" s="64">
        <v>40.869999999999997</v>
      </c>
      <c r="I21" s="210" t="s">
        <v>43</v>
      </c>
      <c r="J21" s="64">
        <v>1.31</v>
      </c>
      <c r="K21" s="64">
        <v>304.07</v>
      </c>
      <c r="L21" s="64">
        <v>12.37</v>
      </c>
      <c r="M21" s="64">
        <v>74.8</v>
      </c>
      <c r="N21" s="64">
        <v>75.900000000000006</v>
      </c>
      <c r="O21" s="64">
        <v>0</v>
      </c>
      <c r="P21" s="64">
        <v>1.25</v>
      </c>
      <c r="Q21" s="64">
        <v>9.31</v>
      </c>
      <c r="R21" s="198"/>
      <c r="S21" s="198"/>
      <c r="T21" s="198"/>
      <c r="U21" s="198"/>
    </row>
    <row r="22" spans="1:21" s="12" customFormat="1" x14ac:dyDescent="0.25">
      <c r="A22" s="214" t="s">
        <v>2849</v>
      </c>
      <c r="B22" s="64">
        <v>75.75</v>
      </c>
      <c r="C22" s="64">
        <v>56.25</v>
      </c>
      <c r="D22" s="64">
        <v>88.76</v>
      </c>
      <c r="E22" s="64">
        <v>7.68</v>
      </c>
      <c r="F22" s="64">
        <v>2.13</v>
      </c>
      <c r="G22" s="64">
        <v>131.16</v>
      </c>
      <c r="H22" s="64">
        <v>40.869999999999997</v>
      </c>
      <c r="I22" s="210" t="s">
        <v>43</v>
      </c>
      <c r="J22" s="64">
        <v>1.6</v>
      </c>
      <c r="K22" s="64">
        <v>297.51</v>
      </c>
      <c r="L22" s="64">
        <v>12.38</v>
      </c>
      <c r="M22" s="64">
        <v>72.83</v>
      </c>
      <c r="N22" s="64">
        <v>75.900000000000006</v>
      </c>
      <c r="O22" s="64">
        <v>0</v>
      </c>
      <c r="P22" s="64">
        <v>1.24</v>
      </c>
      <c r="Q22" s="64">
        <v>9.15</v>
      </c>
      <c r="R22" s="198"/>
      <c r="S22" s="198"/>
      <c r="T22" s="198"/>
      <c r="U22" s="198"/>
    </row>
    <row r="23" spans="1:21" s="12" customFormat="1" x14ac:dyDescent="0.25">
      <c r="A23" s="214" t="s">
        <v>2850</v>
      </c>
      <c r="B23" s="64">
        <v>73.31</v>
      </c>
      <c r="C23" s="64">
        <v>55.94</v>
      </c>
      <c r="D23" s="64">
        <v>86.64</v>
      </c>
      <c r="E23" s="64">
        <v>8.1300000000000008</v>
      </c>
      <c r="F23" s="64">
        <v>2.13</v>
      </c>
      <c r="G23" s="64">
        <v>131.16</v>
      </c>
      <c r="H23" s="64">
        <v>40.869999999999997</v>
      </c>
      <c r="I23" s="210" t="s">
        <v>43</v>
      </c>
      <c r="J23" s="64">
        <v>1.76</v>
      </c>
      <c r="K23" s="64">
        <v>285.92</v>
      </c>
      <c r="L23" s="64">
        <v>12.18</v>
      </c>
      <c r="M23" s="64">
        <v>73.23</v>
      </c>
      <c r="N23" s="64">
        <v>76.099999999999994</v>
      </c>
      <c r="O23" s="64">
        <v>0</v>
      </c>
      <c r="P23" s="64">
        <v>1.23</v>
      </c>
      <c r="Q23" s="64">
        <v>9.01</v>
      </c>
      <c r="R23" s="198"/>
      <c r="S23" s="198"/>
      <c r="T23" s="198"/>
      <c r="U23" s="198"/>
    </row>
    <row r="24" spans="1:21" s="12" customFormat="1" x14ac:dyDescent="0.25">
      <c r="A24" s="214" t="s">
        <v>2851</v>
      </c>
      <c r="B24" s="64">
        <v>70.989999999999995</v>
      </c>
      <c r="C24" s="64">
        <v>55.82</v>
      </c>
      <c r="D24" s="64">
        <v>84.72</v>
      </c>
      <c r="E24" s="64">
        <v>8.2899999999999991</v>
      </c>
      <c r="F24" s="64">
        <v>2.13</v>
      </c>
      <c r="G24" s="64">
        <v>145.63999999999999</v>
      </c>
      <c r="H24" s="64">
        <v>49.83</v>
      </c>
      <c r="I24" s="210" t="s">
        <v>43</v>
      </c>
      <c r="J24" s="64">
        <v>1.77</v>
      </c>
      <c r="K24" s="64">
        <v>279.62</v>
      </c>
      <c r="L24" s="64">
        <v>12.02</v>
      </c>
      <c r="M24" s="64">
        <v>76.39</v>
      </c>
      <c r="N24" s="64">
        <v>75.900000000000006</v>
      </c>
      <c r="O24" s="64">
        <v>0</v>
      </c>
      <c r="P24" s="64">
        <v>1.22</v>
      </c>
      <c r="Q24" s="64">
        <v>8.8800000000000008</v>
      </c>
      <c r="R24" s="198"/>
      <c r="S24" s="198"/>
      <c r="T24" s="198"/>
      <c r="U24" s="198"/>
    </row>
    <row r="25" spans="1:21" s="12" customFormat="1" x14ac:dyDescent="0.25">
      <c r="A25" s="214" t="s">
        <v>2852</v>
      </c>
      <c r="B25" s="64">
        <v>69.540000000000006</v>
      </c>
      <c r="C25" s="64">
        <v>55.19</v>
      </c>
      <c r="D25" s="64">
        <v>83.23</v>
      </c>
      <c r="E25" s="64">
        <v>8.09</v>
      </c>
      <c r="F25" s="64">
        <v>2.13</v>
      </c>
      <c r="G25" s="64">
        <v>162.94999999999999</v>
      </c>
      <c r="H25" s="64">
        <v>60.55</v>
      </c>
      <c r="I25" s="210" t="s">
        <v>43</v>
      </c>
      <c r="J25" s="64">
        <v>1.49</v>
      </c>
      <c r="K25" s="64">
        <v>271.81</v>
      </c>
      <c r="L25" s="64">
        <v>11.79</v>
      </c>
      <c r="M25" s="64">
        <v>78.8</v>
      </c>
      <c r="N25" s="64">
        <v>76.3</v>
      </c>
      <c r="O25" s="64">
        <v>0</v>
      </c>
      <c r="P25" s="64">
        <v>1.24</v>
      </c>
      <c r="Q25" s="64">
        <v>8.7899999999999991</v>
      </c>
      <c r="R25" s="198"/>
      <c r="S25" s="198"/>
      <c r="T25" s="198"/>
      <c r="U25" s="198"/>
    </row>
    <row r="26" spans="1:21" s="12" customFormat="1" x14ac:dyDescent="0.25">
      <c r="A26" s="214" t="s">
        <v>2853</v>
      </c>
      <c r="B26" s="64">
        <v>69.31</v>
      </c>
      <c r="C26" s="64">
        <v>54</v>
      </c>
      <c r="D26" s="64">
        <v>82.42</v>
      </c>
      <c r="E26" s="64">
        <v>8.4</v>
      </c>
      <c r="F26" s="64">
        <v>2.13</v>
      </c>
      <c r="G26" s="64">
        <v>162.94999999999999</v>
      </c>
      <c r="H26" s="64">
        <v>60.55</v>
      </c>
      <c r="I26" s="210" t="s">
        <v>43</v>
      </c>
      <c r="J26" s="64">
        <v>0.91</v>
      </c>
      <c r="K26" s="64">
        <v>6.33</v>
      </c>
      <c r="L26" s="64">
        <v>11.64</v>
      </c>
      <c r="M26" s="64">
        <v>78.069999999999993</v>
      </c>
      <c r="N26" s="64">
        <v>75.900000000000006</v>
      </c>
      <c r="O26" s="64">
        <v>0</v>
      </c>
      <c r="P26" s="64">
        <v>1.27</v>
      </c>
      <c r="Q26" s="64">
        <v>8.7200000000000006</v>
      </c>
      <c r="R26" s="198"/>
      <c r="S26" s="198"/>
      <c r="T26" s="198"/>
      <c r="U26" s="198"/>
    </row>
    <row r="27" spans="1:21" s="12" customFormat="1" x14ac:dyDescent="0.25">
      <c r="A27" s="214" t="s">
        <v>2854</v>
      </c>
      <c r="B27" s="64">
        <v>69.28</v>
      </c>
      <c r="C27" s="64">
        <v>53.8</v>
      </c>
      <c r="D27" s="64">
        <v>82.29</v>
      </c>
      <c r="E27" s="64">
        <v>8.3800000000000008</v>
      </c>
      <c r="F27" s="64">
        <v>2.13</v>
      </c>
      <c r="G27" s="64">
        <v>162.94999999999999</v>
      </c>
      <c r="H27" s="64">
        <v>60.55</v>
      </c>
      <c r="I27" s="210" t="s">
        <v>43</v>
      </c>
      <c r="J27" s="64">
        <v>1.4</v>
      </c>
      <c r="K27" s="64">
        <v>329.84</v>
      </c>
      <c r="L27" s="64">
        <v>11.97</v>
      </c>
      <c r="M27" s="64">
        <v>72.069999999999993</v>
      </c>
      <c r="N27" s="64">
        <v>75.7</v>
      </c>
      <c r="O27" s="64">
        <v>0</v>
      </c>
      <c r="P27" s="64">
        <v>1.27</v>
      </c>
      <c r="Q27" s="64">
        <v>8.6999999999999993</v>
      </c>
      <c r="R27" s="198"/>
      <c r="S27" s="198"/>
      <c r="T27" s="198"/>
      <c r="U27" s="198"/>
    </row>
    <row r="28" spans="1:21" s="12" customFormat="1" x14ac:dyDescent="0.25">
      <c r="A28" s="214" t="s">
        <v>2855</v>
      </c>
      <c r="B28" s="64">
        <v>69.099999999999994</v>
      </c>
      <c r="C28" s="64">
        <v>53.11</v>
      </c>
      <c r="D28" s="64">
        <v>81.78</v>
      </c>
      <c r="E28" s="64">
        <v>8.8800000000000008</v>
      </c>
      <c r="F28" s="64">
        <v>2.13</v>
      </c>
      <c r="G28" s="64">
        <v>181.33</v>
      </c>
      <c r="H28" s="64">
        <v>62.97</v>
      </c>
      <c r="I28" s="210" t="s">
        <v>43</v>
      </c>
      <c r="J28" s="64">
        <v>1.74</v>
      </c>
      <c r="K28" s="64">
        <v>328.64</v>
      </c>
      <c r="L28" s="64">
        <v>12.11</v>
      </c>
      <c r="M28" s="64">
        <v>70.53</v>
      </c>
      <c r="N28" s="64">
        <v>75.5</v>
      </c>
      <c r="O28" s="64">
        <v>0</v>
      </c>
      <c r="P28" s="64">
        <v>1.3</v>
      </c>
      <c r="Q28" s="64">
        <v>8.65</v>
      </c>
      <c r="R28" s="198"/>
      <c r="S28" s="198"/>
      <c r="T28" s="198"/>
      <c r="U28" s="198"/>
    </row>
    <row r="29" spans="1:21" s="12" customFormat="1" x14ac:dyDescent="0.25">
      <c r="A29" s="214" t="s">
        <v>2856</v>
      </c>
      <c r="B29" s="64">
        <v>69.22</v>
      </c>
      <c r="C29" s="64">
        <v>54.56</v>
      </c>
      <c r="D29" s="64">
        <v>82.63</v>
      </c>
      <c r="E29" s="64">
        <v>9.0399999999999991</v>
      </c>
      <c r="F29" s="64">
        <v>2.13</v>
      </c>
      <c r="G29" s="64">
        <v>203.3</v>
      </c>
      <c r="H29" s="64">
        <v>65.989999999999995</v>
      </c>
      <c r="I29" s="210" t="s">
        <v>43</v>
      </c>
      <c r="J29" s="64">
        <v>0.67</v>
      </c>
      <c r="K29" s="64">
        <v>94.92</v>
      </c>
      <c r="L29" s="64">
        <v>12.09</v>
      </c>
      <c r="M29" s="64">
        <v>69.290000000000006</v>
      </c>
      <c r="N29" s="64">
        <v>75.8</v>
      </c>
      <c r="O29" s="64">
        <v>0</v>
      </c>
      <c r="P29" s="64">
        <v>1.29</v>
      </c>
      <c r="Q29" s="64">
        <v>8.6199999999999992</v>
      </c>
      <c r="R29" s="198"/>
      <c r="S29" s="198"/>
      <c r="T29" s="198"/>
      <c r="U29" s="198"/>
    </row>
    <row r="30" spans="1:21" s="12" customFormat="1" x14ac:dyDescent="0.25">
      <c r="A30" s="214" t="s">
        <v>2857</v>
      </c>
      <c r="B30" s="64">
        <v>68.459999999999994</v>
      </c>
      <c r="C30" s="64">
        <v>58.82</v>
      </c>
      <c r="D30" s="64">
        <v>84.25</v>
      </c>
      <c r="E30" s="64">
        <v>8.59</v>
      </c>
      <c r="F30" s="64">
        <v>2.13</v>
      </c>
      <c r="G30" s="64">
        <v>203.3</v>
      </c>
      <c r="H30" s="64">
        <v>65.989999999999995</v>
      </c>
      <c r="I30" s="210" t="s">
        <v>43</v>
      </c>
      <c r="J30" s="64">
        <v>1.34</v>
      </c>
      <c r="K30" s="64">
        <v>30.29</v>
      </c>
      <c r="L30" s="64">
        <v>12.3</v>
      </c>
      <c r="M30" s="64">
        <v>64.290000000000006</v>
      </c>
      <c r="N30" s="64">
        <v>75.5</v>
      </c>
      <c r="O30" s="64">
        <v>0</v>
      </c>
      <c r="P30" s="64">
        <v>1.31</v>
      </c>
      <c r="Q30" s="64">
        <v>8.6199999999999992</v>
      </c>
      <c r="R30" s="198"/>
      <c r="S30" s="198"/>
      <c r="T30" s="198"/>
      <c r="U30" s="198"/>
    </row>
    <row r="31" spans="1:21" s="12" customFormat="1" x14ac:dyDescent="0.25">
      <c r="A31" s="214" t="s">
        <v>2858</v>
      </c>
      <c r="B31" s="64">
        <v>66.510000000000005</v>
      </c>
      <c r="C31" s="64">
        <v>61.12</v>
      </c>
      <c r="D31" s="64">
        <v>83.89</v>
      </c>
      <c r="E31" s="64">
        <v>8.86</v>
      </c>
      <c r="F31" s="64">
        <v>2.13</v>
      </c>
      <c r="G31" s="64">
        <v>203.3</v>
      </c>
      <c r="H31" s="64">
        <v>65.989999999999995</v>
      </c>
      <c r="I31" s="210" t="s">
        <v>43</v>
      </c>
      <c r="J31" s="64">
        <v>1.3</v>
      </c>
      <c r="K31" s="64">
        <v>0.77</v>
      </c>
      <c r="L31" s="64">
        <v>12.35</v>
      </c>
      <c r="M31" s="64">
        <v>61.56</v>
      </c>
      <c r="N31" s="64">
        <v>75.599999999999994</v>
      </c>
      <c r="O31" s="64">
        <v>0</v>
      </c>
      <c r="P31" s="64">
        <v>1.32</v>
      </c>
      <c r="Q31" s="64">
        <v>8.6</v>
      </c>
      <c r="R31" s="198"/>
      <c r="S31" s="198"/>
      <c r="T31" s="198"/>
      <c r="U31" s="198"/>
    </row>
    <row r="32" spans="1:21" s="12" customFormat="1" x14ac:dyDescent="0.25">
      <c r="A32" s="214" t="s">
        <v>2859</v>
      </c>
      <c r="B32" s="64">
        <v>64.260000000000005</v>
      </c>
      <c r="C32" s="64">
        <v>61.31</v>
      </c>
      <c r="D32" s="64">
        <v>82.19</v>
      </c>
      <c r="E32" s="64">
        <v>8</v>
      </c>
      <c r="F32" s="64">
        <v>2.13</v>
      </c>
      <c r="G32" s="64">
        <v>185.76</v>
      </c>
      <c r="H32" s="64">
        <v>66.38</v>
      </c>
      <c r="I32" s="210" t="s">
        <v>43</v>
      </c>
      <c r="J32" s="64">
        <v>1.32</v>
      </c>
      <c r="K32" s="64">
        <v>91.08</v>
      </c>
      <c r="L32" s="64">
        <v>12.18</v>
      </c>
      <c r="M32" s="64">
        <v>61.07</v>
      </c>
      <c r="N32" s="64">
        <v>76</v>
      </c>
      <c r="O32" s="64">
        <v>0</v>
      </c>
      <c r="P32" s="64">
        <v>1.32</v>
      </c>
      <c r="Q32" s="64">
        <v>8.51</v>
      </c>
      <c r="R32" s="198"/>
      <c r="S32" s="198"/>
      <c r="T32" s="198"/>
      <c r="U32" s="198"/>
    </row>
    <row r="33" spans="1:21" s="12" customFormat="1" x14ac:dyDescent="0.25">
      <c r="A33" s="214" t="s">
        <v>2860</v>
      </c>
      <c r="B33" s="64">
        <v>61.58</v>
      </c>
      <c r="C33" s="64">
        <v>60.8</v>
      </c>
      <c r="D33" s="64">
        <v>79.78</v>
      </c>
      <c r="E33" s="64">
        <v>7.93</v>
      </c>
      <c r="F33" s="64">
        <v>2.13</v>
      </c>
      <c r="G33" s="64">
        <v>164.81</v>
      </c>
      <c r="H33" s="64">
        <v>66.84</v>
      </c>
      <c r="I33" s="210" t="s">
        <v>43</v>
      </c>
      <c r="J33" s="64">
        <v>1.43</v>
      </c>
      <c r="K33" s="64">
        <v>102.45</v>
      </c>
      <c r="L33" s="64">
        <v>12.18</v>
      </c>
      <c r="M33" s="64">
        <v>58.3</v>
      </c>
      <c r="N33" s="64">
        <v>75.599999999999994</v>
      </c>
      <c r="O33" s="64">
        <v>0</v>
      </c>
      <c r="P33" s="64">
        <v>1.31</v>
      </c>
      <c r="Q33" s="64">
        <v>8.43</v>
      </c>
      <c r="R33" s="198"/>
      <c r="S33" s="198"/>
      <c r="T33" s="198"/>
      <c r="U33" s="198"/>
    </row>
    <row r="34" spans="1:21" s="12" customFormat="1" x14ac:dyDescent="0.25">
      <c r="A34" s="214" t="s">
        <v>2861</v>
      </c>
      <c r="B34" s="64">
        <v>58.35</v>
      </c>
      <c r="C34" s="64">
        <v>60.15</v>
      </c>
      <c r="D34" s="64">
        <v>76.849999999999994</v>
      </c>
      <c r="E34" s="64">
        <v>7.7</v>
      </c>
      <c r="F34" s="64">
        <v>2.13</v>
      </c>
      <c r="G34" s="64">
        <v>164.81</v>
      </c>
      <c r="H34" s="64">
        <v>66.84</v>
      </c>
      <c r="I34" s="210" t="s">
        <v>43</v>
      </c>
      <c r="J34" s="64">
        <v>0.96</v>
      </c>
      <c r="K34" s="64">
        <v>112.08</v>
      </c>
      <c r="L34" s="64">
        <v>12.19</v>
      </c>
      <c r="M34" s="64">
        <v>56.5</v>
      </c>
      <c r="N34" s="64">
        <v>76.2</v>
      </c>
      <c r="O34" s="64">
        <v>0</v>
      </c>
      <c r="P34" s="64">
        <v>1.27</v>
      </c>
      <c r="Q34" s="64">
        <v>8.2799999999999994</v>
      </c>
      <c r="R34" s="198"/>
      <c r="S34" s="198"/>
      <c r="T34" s="198"/>
      <c r="U34" s="198"/>
    </row>
    <row r="35" spans="1:21" s="12" customFormat="1" x14ac:dyDescent="0.25">
      <c r="A35" s="214" t="s">
        <v>2862</v>
      </c>
      <c r="B35" s="64">
        <v>55.19</v>
      </c>
      <c r="C35" s="64">
        <v>59.38</v>
      </c>
      <c r="D35" s="64">
        <v>73.91</v>
      </c>
      <c r="E35" s="64">
        <v>7.07</v>
      </c>
      <c r="F35" s="64">
        <v>2.13</v>
      </c>
      <c r="G35" s="64">
        <v>164.81</v>
      </c>
      <c r="H35" s="64">
        <v>66.84</v>
      </c>
      <c r="I35" s="210" t="s">
        <v>43</v>
      </c>
      <c r="J35" s="64">
        <v>0.72</v>
      </c>
      <c r="K35" s="64">
        <v>111.07</v>
      </c>
      <c r="L35" s="64">
        <v>12.24</v>
      </c>
      <c r="M35" s="64">
        <v>55.11</v>
      </c>
      <c r="N35" s="64">
        <v>78.8</v>
      </c>
      <c r="O35" s="64">
        <v>0</v>
      </c>
      <c r="P35" s="64">
        <v>1.23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2863</v>
      </c>
      <c r="B36" s="64">
        <v>52.01</v>
      </c>
      <c r="C36" s="64">
        <v>58.54</v>
      </c>
      <c r="D36" s="64">
        <v>70.92</v>
      </c>
      <c r="E36" s="64">
        <v>7.27</v>
      </c>
      <c r="F36" s="64">
        <v>2.13</v>
      </c>
      <c r="G36" s="64">
        <v>123.2</v>
      </c>
      <c r="H36" s="64">
        <v>36.39</v>
      </c>
      <c r="I36" s="210" t="s">
        <v>43</v>
      </c>
      <c r="J36" s="64">
        <v>1.05</v>
      </c>
      <c r="K36" s="64">
        <v>105.96</v>
      </c>
      <c r="L36" s="64">
        <v>12.36</v>
      </c>
      <c r="M36" s="64">
        <v>54.62</v>
      </c>
      <c r="N36" s="64">
        <v>87.7</v>
      </c>
      <c r="O36" s="64">
        <v>0</v>
      </c>
      <c r="P36" s="64">
        <v>1.2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2864</v>
      </c>
      <c r="B37" s="64">
        <v>49.31</v>
      </c>
      <c r="C37" s="64">
        <v>56.84</v>
      </c>
      <c r="D37" s="64">
        <v>67.87</v>
      </c>
      <c r="E37" s="64">
        <v>6.89</v>
      </c>
      <c r="F37" s="64">
        <v>2.13</v>
      </c>
      <c r="G37" s="64">
        <v>73.47</v>
      </c>
      <c r="H37" s="64">
        <v>15.14</v>
      </c>
      <c r="I37" s="210" t="s">
        <v>43</v>
      </c>
      <c r="J37" s="64">
        <v>0.69</v>
      </c>
      <c r="K37" s="64">
        <v>100.31</v>
      </c>
      <c r="L37" s="64">
        <v>12.52</v>
      </c>
      <c r="M37" s="64">
        <v>54.16</v>
      </c>
      <c r="N37" s="64">
        <v>98</v>
      </c>
      <c r="O37" s="64">
        <v>0</v>
      </c>
      <c r="P37" s="64">
        <v>1.1000000000000001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2865</v>
      </c>
      <c r="B38" s="64">
        <v>47.98</v>
      </c>
      <c r="C38" s="64">
        <v>55.34</v>
      </c>
      <c r="D38" s="64">
        <v>66.010000000000005</v>
      </c>
      <c r="E38" s="64">
        <v>6.58</v>
      </c>
      <c r="F38" s="64">
        <v>2.13</v>
      </c>
      <c r="G38" s="64">
        <v>73.47</v>
      </c>
      <c r="H38" s="64">
        <v>15.14</v>
      </c>
      <c r="I38" s="210" t="s">
        <v>43</v>
      </c>
      <c r="J38" s="64">
        <v>0.46</v>
      </c>
      <c r="K38" s="64">
        <v>68.05</v>
      </c>
      <c r="L38" s="64">
        <v>12.73</v>
      </c>
      <c r="M38" s="64">
        <v>54.01</v>
      </c>
      <c r="N38" s="64">
        <v>110</v>
      </c>
      <c r="O38" s="64">
        <v>0</v>
      </c>
      <c r="P38" s="64">
        <v>1.1299999999999999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2866</v>
      </c>
      <c r="B39" s="64">
        <v>46.88</v>
      </c>
      <c r="C39" s="64">
        <v>55.85</v>
      </c>
      <c r="D39" s="64">
        <v>65.400000000000006</v>
      </c>
      <c r="E39" s="64">
        <v>5.82</v>
      </c>
      <c r="F39" s="64">
        <v>2.13</v>
      </c>
      <c r="G39" s="64">
        <v>73.47</v>
      </c>
      <c r="H39" s="64">
        <v>15.14</v>
      </c>
      <c r="I39" s="210" t="s">
        <v>43</v>
      </c>
      <c r="J39" s="64">
        <v>0.45</v>
      </c>
      <c r="K39" s="64">
        <v>75.5</v>
      </c>
      <c r="L39" s="64">
        <v>13.2</v>
      </c>
      <c r="M39" s="64">
        <v>51.95</v>
      </c>
      <c r="N39" s="64">
        <v>156</v>
      </c>
      <c r="O39" s="64">
        <v>0</v>
      </c>
      <c r="P39" s="64">
        <v>1.1000000000000001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2867</v>
      </c>
      <c r="B40" s="64">
        <v>46.14</v>
      </c>
      <c r="C40" s="64">
        <v>56.4</v>
      </c>
      <c r="D40" s="64">
        <v>65.09</v>
      </c>
      <c r="E40" s="64">
        <v>5.32</v>
      </c>
      <c r="F40" s="64">
        <v>2.13</v>
      </c>
      <c r="G40" s="64">
        <v>75.25</v>
      </c>
      <c r="H40" s="64">
        <v>20.47</v>
      </c>
      <c r="I40" s="210" t="s">
        <v>43</v>
      </c>
      <c r="J40" s="64">
        <v>1.4</v>
      </c>
      <c r="K40" s="64">
        <v>348.22</v>
      </c>
      <c r="L40" s="64">
        <v>15.12</v>
      </c>
      <c r="M40" s="64">
        <v>47.53</v>
      </c>
      <c r="N40" s="64">
        <v>263.2</v>
      </c>
      <c r="O40" s="64">
        <v>0</v>
      </c>
      <c r="P40" s="64">
        <v>1.07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2868</v>
      </c>
      <c r="B41" s="64">
        <v>46.4</v>
      </c>
      <c r="C41" s="64">
        <v>56.93</v>
      </c>
      <c r="D41" s="64">
        <v>65.58</v>
      </c>
      <c r="E41" s="64">
        <v>5.57</v>
      </c>
      <c r="F41" s="64">
        <v>2.13</v>
      </c>
      <c r="G41" s="64">
        <v>77.38</v>
      </c>
      <c r="H41" s="64">
        <v>46.06</v>
      </c>
      <c r="I41" s="210" t="s">
        <v>43</v>
      </c>
      <c r="J41" s="64">
        <v>0.76</v>
      </c>
      <c r="K41" s="64">
        <v>3.56</v>
      </c>
      <c r="L41" s="64">
        <v>17.190000000000001</v>
      </c>
      <c r="M41" s="64">
        <v>42.05</v>
      </c>
      <c r="N41" s="64">
        <v>323.2</v>
      </c>
      <c r="O41" s="64">
        <v>0</v>
      </c>
      <c r="P41" s="64">
        <v>1.06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2869</v>
      </c>
      <c r="B42" s="64">
        <v>46.13</v>
      </c>
      <c r="C42" s="64">
        <v>57.01</v>
      </c>
      <c r="D42" s="64">
        <v>65.400000000000006</v>
      </c>
      <c r="E42" s="64">
        <v>5.82</v>
      </c>
      <c r="F42" s="64">
        <v>2.13</v>
      </c>
      <c r="G42" s="64">
        <v>77.38</v>
      </c>
      <c r="H42" s="64">
        <v>46.06</v>
      </c>
      <c r="I42" s="210" t="s">
        <v>43</v>
      </c>
      <c r="J42" s="64">
        <v>0.98</v>
      </c>
      <c r="K42" s="64">
        <v>81.650000000000006</v>
      </c>
      <c r="L42" s="64">
        <v>17.8</v>
      </c>
      <c r="M42" s="64">
        <v>39.89</v>
      </c>
      <c r="N42" s="64">
        <v>377.7</v>
      </c>
      <c r="O42" s="64">
        <v>0</v>
      </c>
      <c r="P42" s="64">
        <v>1.05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2870</v>
      </c>
      <c r="B43" s="64">
        <v>44.99</v>
      </c>
      <c r="C43" s="64">
        <v>57.81</v>
      </c>
      <c r="D43" s="64">
        <v>64.91</v>
      </c>
      <c r="E43" s="64">
        <v>6.1</v>
      </c>
      <c r="F43" s="64">
        <v>2.13</v>
      </c>
      <c r="G43" s="64">
        <v>77.38</v>
      </c>
      <c r="H43" s="64">
        <v>46.06</v>
      </c>
      <c r="I43" s="210" t="s">
        <v>43</v>
      </c>
      <c r="J43" s="64">
        <v>0.63</v>
      </c>
      <c r="K43" s="64">
        <v>68.56</v>
      </c>
      <c r="L43" s="64">
        <v>19.13</v>
      </c>
      <c r="M43" s="64">
        <v>37.590000000000003</v>
      </c>
      <c r="N43" s="64">
        <v>423.8</v>
      </c>
      <c r="O43" s="64">
        <v>0</v>
      </c>
      <c r="P43" s="64">
        <v>1.03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2871</v>
      </c>
      <c r="B44" s="64">
        <v>43.26</v>
      </c>
      <c r="C44" s="64">
        <v>58.47</v>
      </c>
      <c r="D44" s="64">
        <v>63.86</v>
      </c>
      <c r="E44" s="64">
        <v>5.8</v>
      </c>
      <c r="F44" s="64">
        <v>2.13</v>
      </c>
      <c r="G44" s="64">
        <v>77.900000000000006</v>
      </c>
      <c r="H44" s="64">
        <v>35.11</v>
      </c>
      <c r="I44" s="210" t="s">
        <v>43</v>
      </c>
      <c r="J44" s="64">
        <v>1.33</v>
      </c>
      <c r="K44" s="64">
        <v>104.57</v>
      </c>
      <c r="L44" s="64">
        <v>18.77</v>
      </c>
      <c r="M44" s="64">
        <v>39.549999999999997</v>
      </c>
      <c r="N44" s="64">
        <v>462.9</v>
      </c>
      <c r="O44" s="64">
        <v>0</v>
      </c>
      <c r="P44" s="64">
        <v>1.02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2872</v>
      </c>
      <c r="B45" s="64">
        <v>41.5</v>
      </c>
      <c r="C45" s="64">
        <v>59.06</v>
      </c>
      <c r="D45" s="64">
        <v>62.75</v>
      </c>
      <c r="E45" s="64">
        <v>5.87</v>
      </c>
      <c r="F45" s="64">
        <v>2.13</v>
      </c>
      <c r="G45" s="64">
        <v>78.53</v>
      </c>
      <c r="H45" s="64">
        <v>21.43</v>
      </c>
      <c r="I45" s="210" t="s">
        <v>43</v>
      </c>
      <c r="J45" s="64">
        <v>0.55000000000000004</v>
      </c>
      <c r="K45" s="64">
        <v>24.75</v>
      </c>
      <c r="L45" s="64">
        <v>19.77</v>
      </c>
      <c r="M45" s="64">
        <v>36.83</v>
      </c>
      <c r="N45" s="64">
        <v>494.5</v>
      </c>
      <c r="O45" s="64">
        <v>0</v>
      </c>
      <c r="P45" s="64">
        <v>1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2873</v>
      </c>
      <c r="B46" s="64">
        <v>39.72</v>
      </c>
      <c r="C46" s="64">
        <v>60.73</v>
      </c>
      <c r="D46" s="64">
        <v>62.2</v>
      </c>
      <c r="E46" s="64">
        <v>5.84</v>
      </c>
      <c r="F46" s="64">
        <v>2.13</v>
      </c>
      <c r="G46" s="64">
        <v>78.53</v>
      </c>
      <c r="H46" s="64">
        <v>21.43</v>
      </c>
      <c r="I46" s="210" t="s">
        <v>43</v>
      </c>
      <c r="J46" s="64">
        <v>0.46</v>
      </c>
      <c r="K46" s="64">
        <v>41.16</v>
      </c>
      <c r="L46" s="64">
        <v>20.81</v>
      </c>
      <c r="M46" s="64">
        <v>34.369999999999997</v>
      </c>
      <c r="N46" s="64">
        <v>520.70000000000005</v>
      </c>
      <c r="O46" s="64">
        <v>0</v>
      </c>
      <c r="P46" s="64">
        <v>0.99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2874</v>
      </c>
      <c r="B47" s="64">
        <v>37.29</v>
      </c>
      <c r="C47" s="64">
        <v>62.22</v>
      </c>
      <c r="D47" s="64">
        <v>61.03</v>
      </c>
      <c r="E47" s="64">
        <v>5.79</v>
      </c>
      <c r="F47" s="64">
        <v>2.13</v>
      </c>
      <c r="G47" s="64">
        <v>78.53</v>
      </c>
      <c r="H47" s="64">
        <v>21.43</v>
      </c>
      <c r="I47" s="210" t="s">
        <v>43</v>
      </c>
      <c r="J47" s="64">
        <v>0.57999999999999996</v>
      </c>
      <c r="K47" s="64">
        <v>50.75</v>
      </c>
      <c r="L47" s="64">
        <v>21.39</v>
      </c>
      <c r="M47" s="64">
        <v>32.99</v>
      </c>
      <c r="N47" s="64">
        <v>541.6</v>
      </c>
      <c r="O47" s="64">
        <v>0</v>
      </c>
      <c r="P47" s="64">
        <v>0.97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2875</v>
      </c>
      <c r="B48" s="64">
        <v>34.86</v>
      </c>
      <c r="C48" s="64">
        <v>63.65</v>
      </c>
      <c r="D48" s="64">
        <v>59.83</v>
      </c>
      <c r="E48" s="64">
        <v>5.58</v>
      </c>
      <c r="F48" s="64">
        <v>2.13</v>
      </c>
      <c r="G48" s="64">
        <v>81.11</v>
      </c>
      <c r="H48" s="64">
        <v>24.4</v>
      </c>
      <c r="I48" s="210" t="s">
        <v>43</v>
      </c>
      <c r="J48" s="64">
        <v>0.75</v>
      </c>
      <c r="K48" s="64">
        <v>14.46</v>
      </c>
      <c r="L48" s="64">
        <v>22.63</v>
      </c>
      <c r="M48" s="64">
        <v>29.35</v>
      </c>
      <c r="N48" s="64">
        <v>552.9</v>
      </c>
      <c r="O48" s="64">
        <v>0</v>
      </c>
      <c r="P48" s="64">
        <v>0.96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2876</v>
      </c>
      <c r="B49" s="64">
        <v>32.54</v>
      </c>
      <c r="C49" s="64">
        <v>64.930000000000007</v>
      </c>
      <c r="D49" s="64">
        <v>58.64</v>
      </c>
      <c r="E49" s="64">
        <v>5.58</v>
      </c>
      <c r="F49" s="64">
        <v>2.13</v>
      </c>
      <c r="G49" s="64">
        <v>84.2</v>
      </c>
      <c r="H49" s="64">
        <v>27.95</v>
      </c>
      <c r="I49" s="210" t="s">
        <v>43</v>
      </c>
      <c r="J49" s="64">
        <v>0.56000000000000005</v>
      </c>
      <c r="K49" s="64">
        <v>36.950000000000003</v>
      </c>
      <c r="L49" s="64">
        <v>23.98</v>
      </c>
      <c r="M49" s="64">
        <v>26.69</v>
      </c>
      <c r="N49" s="64">
        <v>567.5</v>
      </c>
      <c r="O49" s="64">
        <v>0</v>
      </c>
      <c r="P49" s="64">
        <v>0.95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2877</v>
      </c>
      <c r="B50" s="64">
        <v>30.39</v>
      </c>
      <c r="C50" s="64">
        <v>66.25</v>
      </c>
      <c r="D50" s="64">
        <v>57.61</v>
      </c>
      <c r="E50" s="64">
        <v>5.49</v>
      </c>
      <c r="F50" s="64">
        <v>2.13</v>
      </c>
      <c r="G50" s="64">
        <v>84.2</v>
      </c>
      <c r="H50" s="64">
        <v>27.95</v>
      </c>
      <c r="I50" s="210" t="s">
        <v>43</v>
      </c>
      <c r="J50" s="64">
        <v>0.52</v>
      </c>
      <c r="K50" s="64">
        <v>44.14</v>
      </c>
      <c r="L50" s="64">
        <v>23.73</v>
      </c>
      <c r="M50" s="64">
        <v>26.91</v>
      </c>
      <c r="N50" s="64">
        <v>578.1</v>
      </c>
      <c r="O50" s="64">
        <v>0</v>
      </c>
      <c r="P50" s="64">
        <v>0.93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2878</v>
      </c>
      <c r="B51" s="64">
        <v>27.86</v>
      </c>
      <c r="C51" s="64">
        <v>67.62</v>
      </c>
      <c r="D51" s="64">
        <v>56.3</v>
      </c>
      <c r="E51" s="64">
        <v>5.34</v>
      </c>
      <c r="F51" s="64">
        <v>2.13</v>
      </c>
      <c r="G51" s="64">
        <v>84.2</v>
      </c>
      <c r="H51" s="64">
        <v>27.95</v>
      </c>
      <c r="I51" s="210" t="s">
        <v>43</v>
      </c>
      <c r="J51" s="64">
        <v>2.6</v>
      </c>
      <c r="K51" s="64">
        <v>121.88</v>
      </c>
      <c r="L51" s="64">
        <v>22.53</v>
      </c>
      <c r="M51" s="64">
        <v>28.23</v>
      </c>
      <c r="N51" s="64">
        <v>600.6</v>
      </c>
      <c r="O51" s="64">
        <v>0</v>
      </c>
      <c r="P51" s="64">
        <v>0.92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2879</v>
      </c>
      <c r="B52" s="64">
        <v>24.41</v>
      </c>
      <c r="C52" s="64">
        <v>68.599999999999994</v>
      </c>
      <c r="D52" s="64">
        <v>54.04</v>
      </c>
      <c r="E52" s="64">
        <v>5.24</v>
      </c>
      <c r="F52" s="64">
        <v>2.13</v>
      </c>
      <c r="G52" s="64">
        <v>87.59</v>
      </c>
      <c r="H52" s="64">
        <v>27.04</v>
      </c>
      <c r="I52" s="210" t="s">
        <v>43</v>
      </c>
      <c r="J52" s="64">
        <v>2.72</v>
      </c>
      <c r="K52" s="64">
        <v>116.47</v>
      </c>
      <c r="L52" s="64">
        <v>21.8</v>
      </c>
      <c r="M52" s="64">
        <v>29.59</v>
      </c>
      <c r="N52" s="64">
        <v>607.79999999999995</v>
      </c>
      <c r="O52" s="64">
        <v>0</v>
      </c>
      <c r="P52" s="64">
        <v>0.89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2880</v>
      </c>
      <c r="B53" s="64">
        <v>20.99</v>
      </c>
      <c r="C53" s="64">
        <v>69.099999999999994</v>
      </c>
      <c r="D53" s="64">
        <v>51.56</v>
      </c>
      <c r="E53" s="64">
        <v>5.13</v>
      </c>
      <c r="F53" s="64">
        <v>2.13</v>
      </c>
      <c r="G53" s="64">
        <v>91.63</v>
      </c>
      <c r="H53" s="64">
        <v>25.94</v>
      </c>
      <c r="I53" s="210" t="s">
        <v>43</v>
      </c>
      <c r="J53" s="64">
        <v>2.02</v>
      </c>
      <c r="K53" s="64">
        <v>115.99</v>
      </c>
      <c r="L53" s="64">
        <v>22.54</v>
      </c>
      <c r="M53" s="64">
        <v>28.93</v>
      </c>
      <c r="N53" s="64">
        <v>612.79999999999995</v>
      </c>
      <c r="O53" s="64">
        <v>0</v>
      </c>
      <c r="P53" s="64">
        <v>0.86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2881</v>
      </c>
      <c r="B54" s="64">
        <v>18.53</v>
      </c>
      <c r="C54" s="64">
        <v>69.260000000000005</v>
      </c>
      <c r="D54" s="64">
        <v>49.67</v>
      </c>
      <c r="E54" s="64">
        <v>5.49</v>
      </c>
      <c r="F54" s="64">
        <v>2.13</v>
      </c>
      <c r="G54" s="64">
        <v>91.63</v>
      </c>
      <c r="H54" s="64">
        <v>25.94</v>
      </c>
      <c r="I54" s="210" t="s">
        <v>43</v>
      </c>
      <c r="J54" s="64">
        <v>0.87</v>
      </c>
      <c r="K54" s="64">
        <v>98.83</v>
      </c>
      <c r="L54" s="64">
        <v>24.73</v>
      </c>
      <c r="M54" s="64">
        <v>25.01</v>
      </c>
      <c r="N54" s="64">
        <v>624.79999999999995</v>
      </c>
      <c r="O54" s="64">
        <v>0</v>
      </c>
      <c r="P54" s="64">
        <v>0.84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2882</v>
      </c>
      <c r="B55" s="64">
        <v>17</v>
      </c>
      <c r="C55" s="64">
        <v>68.680000000000007</v>
      </c>
      <c r="D55" s="64">
        <v>48.14</v>
      </c>
      <c r="E55" s="64">
        <v>5.0199999999999996</v>
      </c>
      <c r="F55" s="64">
        <v>2.13</v>
      </c>
      <c r="G55" s="64">
        <v>91.63</v>
      </c>
      <c r="H55" s="64">
        <v>25.94</v>
      </c>
      <c r="I55" s="210" t="s">
        <v>43</v>
      </c>
      <c r="J55" s="64">
        <v>1.52</v>
      </c>
      <c r="K55" s="64">
        <v>112.83</v>
      </c>
      <c r="L55" s="64">
        <v>24.33</v>
      </c>
      <c r="M55" s="64">
        <v>24.95</v>
      </c>
      <c r="N55" s="64">
        <v>637.9</v>
      </c>
      <c r="O55" s="64">
        <v>0</v>
      </c>
      <c r="P55" s="64">
        <v>0.82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2883</v>
      </c>
      <c r="B56" s="64">
        <v>15.69</v>
      </c>
      <c r="C56" s="64">
        <v>68.45</v>
      </c>
      <c r="D56" s="64">
        <v>46.97</v>
      </c>
      <c r="E56" s="64">
        <v>4.72</v>
      </c>
      <c r="F56" s="64">
        <v>2.13</v>
      </c>
      <c r="G56" s="64">
        <v>78.84</v>
      </c>
      <c r="H56" s="64">
        <v>23.08</v>
      </c>
      <c r="I56" s="210" t="s">
        <v>43</v>
      </c>
      <c r="J56" s="64">
        <v>1.1599999999999999</v>
      </c>
      <c r="K56" s="64">
        <v>107.05</v>
      </c>
      <c r="L56" s="64">
        <v>24.97</v>
      </c>
      <c r="M56" s="64">
        <v>23.72</v>
      </c>
      <c r="N56" s="64">
        <v>636.79999999999995</v>
      </c>
      <c r="O56" s="64">
        <v>0</v>
      </c>
      <c r="P56" s="64">
        <v>0.8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2884</v>
      </c>
      <c r="B57" s="64">
        <v>14.59</v>
      </c>
      <c r="C57" s="64">
        <v>68.239999999999995</v>
      </c>
      <c r="D57" s="64">
        <v>45.98</v>
      </c>
      <c r="E57" s="64">
        <v>4.5599999999999996</v>
      </c>
      <c r="F57" s="64">
        <v>2.13</v>
      </c>
      <c r="G57" s="64">
        <v>63.55</v>
      </c>
      <c r="H57" s="64">
        <v>19.649999999999999</v>
      </c>
      <c r="I57" s="210" t="s">
        <v>43</v>
      </c>
      <c r="J57" s="64">
        <v>0.7</v>
      </c>
      <c r="K57" s="64">
        <v>106.7</v>
      </c>
      <c r="L57" s="64">
        <v>25.48</v>
      </c>
      <c r="M57" s="64">
        <v>23.62</v>
      </c>
      <c r="N57" s="64">
        <v>635.29999999999995</v>
      </c>
      <c r="O57" s="64">
        <v>0</v>
      </c>
      <c r="P57" s="64">
        <v>0.78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2885</v>
      </c>
      <c r="B58" s="64">
        <v>13.44</v>
      </c>
      <c r="C58" s="64">
        <v>67.81</v>
      </c>
      <c r="D58" s="64">
        <v>44.83</v>
      </c>
      <c r="E58" s="64">
        <v>4.7</v>
      </c>
      <c r="F58" s="64">
        <v>2.13</v>
      </c>
      <c r="G58" s="64">
        <v>63.55</v>
      </c>
      <c r="H58" s="64">
        <v>19.649999999999999</v>
      </c>
      <c r="I58" s="210" t="s">
        <v>43</v>
      </c>
      <c r="J58" s="64">
        <v>2.5099999999999998</v>
      </c>
      <c r="K58" s="64">
        <v>127.75</v>
      </c>
      <c r="L58" s="64">
        <v>24.91</v>
      </c>
      <c r="M58" s="64">
        <v>24.39</v>
      </c>
      <c r="N58" s="64">
        <v>633.9</v>
      </c>
      <c r="O58" s="64">
        <v>0</v>
      </c>
      <c r="P58" s="64">
        <v>0.76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2886</v>
      </c>
      <c r="B59" s="64">
        <v>12.08</v>
      </c>
      <c r="C59" s="64">
        <v>67.010000000000005</v>
      </c>
      <c r="D59" s="64">
        <v>43.32</v>
      </c>
      <c r="E59" s="64">
        <v>5.01</v>
      </c>
      <c r="F59" s="64">
        <v>2.13</v>
      </c>
      <c r="G59" s="64">
        <v>63.55</v>
      </c>
      <c r="H59" s="64">
        <v>19.649999999999999</v>
      </c>
      <c r="I59" s="210" t="s">
        <v>43</v>
      </c>
      <c r="J59" s="64">
        <v>0.35</v>
      </c>
      <c r="K59" s="64">
        <v>65.08</v>
      </c>
      <c r="L59" s="64">
        <v>25.15</v>
      </c>
      <c r="M59" s="64">
        <v>24.72</v>
      </c>
      <c r="N59" s="64">
        <v>618.1</v>
      </c>
      <c r="O59" s="64">
        <v>0</v>
      </c>
      <c r="P59" s="64">
        <v>0.73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2887</v>
      </c>
      <c r="B60" s="64">
        <v>10.86</v>
      </c>
      <c r="C60" s="64">
        <v>66.78</v>
      </c>
      <c r="D60" s="64">
        <v>42.22</v>
      </c>
      <c r="E60" s="64">
        <v>5.19</v>
      </c>
      <c r="F60" s="64">
        <v>2.13</v>
      </c>
      <c r="G60" s="64">
        <v>57.78</v>
      </c>
      <c r="H60" s="64">
        <v>17.649999999999999</v>
      </c>
      <c r="I60" s="210" t="s">
        <v>43</v>
      </c>
      <c r="J60" s="64">
        <v>1.29</v>
      </c>
      <c r="K60" s="64">
        <v>318.27</v>
      </c>
      <c r="L60" s="64">
        <v>27.41</v>
      </c>
      <c r="M60" s="64">
        <v>21.56</v>
      </c>
      <c r="N60" s="64">
        <v>598.9</v>
      </c>
      <c r="O60" s="64">
        <v>0</v>
      </c>
      <c r="P60" s="64">
        <v>0.71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2888</v>
      </c>
      <c r="B61" s="64">
        <v>10.02</v>
      </c>
      <c r="C61" s="64">
        <v>66.400000000000006</v>
      </c>
      <c r="D61" s="64">
        <v>41.35</v>
      </c>
      <c r="E61" s="64">
        <v>5.04</v>
      </c>
      <c r="F61" s="64">
        <v>2.13</v>
      </c>
      <c r="G61" s="64">
        <v>50.89</v>
      </c>
      <c r="H61" s="64">
        <v>15.26</v>
      </c>
      <c r="I61" s="210" t="s">
        <v>43</v>
      </c>
      <c r="J61" s="64">
        <v>1.67</v>
      </c>
      <c r="K61" s="64">
        <v>324.11</v>
      </c>
      <c r="L61" s="64">
        <v>29.14</v>
      </c>
      <c r="M61" s="64">
        <v>20.61</v>
      </c>
      <c r="N61" s="64">
        <v>585.29999999999995</v>
      </c>
      <c r="O61" s="64">
        <v>0</v>
      </c>
      <c r="P61" s="64">
        <v>0.71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2889</v>
      </c>
      <c r="B62" s="64">
        <v>9.52</v>
      </c>
      <c r="C62" s="64">
        <v>66.319999999999993</v>
      </c>
      <c r="D62" s="64">
        <v>40.909999999999997</v>
      </c>
      <c r="E62" s="64">
        <v>5.46</v>
      </c>
      <c r="F62" s="64">
        <v>2.13</v>
      </c>
      <c r="G62" s="64">
        <v>50.89</v>
      </c>
      <c r="H62" s="64">
        <v>15.26</v>
      </c>
      <c r="I62" s="210" t="s">
        <v>43</v>
      </c>
      <c r="J62" s="64">
        <v>0.72</v>
      </c>
      <c r="K62" s="64">
        <v>14.86</v>
      </c>
      <c r="L62" s="64">
        <v>28.03</v>
      </c>
      <c r="M62" s="64">
        <v>22.15</v>
      </c>
      <c r="N62" s="64">
        <v>566.6</v>
      </c>
      <c r="O62" s="64">
        <v>0</v>
      </c>
      <c r="P62" s="64">
        <v>0.75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2890</v>
      </c>
      <c r="B63" s="64">
        <v>8.68</v>
      </c>
      <c r="C63" s="64">
        <v>67.540000000000006</v>
      </c>
      <c r="D63" s="64">
        <v>40.869999999999997</v>
      </c>
      <c r="E63" s="64">
        <v>5.52</v>
      </c>
      <c r="F63" s="64">
        <v>2.13</v>
      </c>
      <c r="G63" s="64">
        <v>50.89</v>
      </c>
      <c r="H63" s="64">
        <v>15.26</v>
      </c>
      <c r="I63" s="210" t="s">
        <v>43</v>
      </c>
      <c r="J63" s="64">
        <v>1.98</v>
      </c>
      <c r="K63" s="64">
        <v>119.39</v>
      </c>
      <c r="L63" s="64">
        <v>25.59</v>
      </c>
      <c r="M63" s="64">
        <v>24.24</v>
      </c>
      <c r="N63" s="64">
        <v>420.4</v>
      </c>
      <c r="O63" s="64">
        <v>0</v>
      </c>
      <c r="P63" s="64">
        <v>0.74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2891</v>
      </c>
      <c r="B64" s="64">
        <v>7.6</v>
      </c>
      <c r="C64" s="64">
        <v>67.680000000000007</v>
      </c>
      <c r="D64" s="64">
        <v>40.08</v>
      </c>
      <c r="E64" s="64">
        <v>5.44</v>
      </c>
      <c r="F64" s="64">
        <v>2.13</v>
      </c>
      <c r="G64" s="64">
        <v>59.32</v>
      </c>
      <c r="H64" s="64">
        <v>16.170000000000002</v>
      </c>
      <c r="I64" s="210" t="s">
        <v>43</v>
      </c>
      <c r="J64" s="64">
        <v>1.57</v>
      </c>
      <c r="K64" s="64">
        <v>136.63</v>
      </c>
      <c r="L64" s="64">
        <v>25.08</v>
      </c>
      <c r="M64" s="64">
        <v>24.87</v>
      </c>
      <c r="N64" s="64">
        <v>523.29999999999995</v>
      </c>
      <c r="O64" s="64">
        <v>0</v>
      </c>
      <c r="P64" s="64">
        <v>0.71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2892</v>
      </c>
      <c r="B65" s="64">
        <v>6.94</v>
      </c>
      <c r="C65" s="64">
        <v>67.92</v>
      </c>
      <c r="D65" s="64">
        <v>39.68</v>
      </c>
      <c r="E65" s="64">
        <v>5.41</v>
      </c>
      <c r="F65" s="64">
        <v>2.13</v>
      </c>
      <c r="G65" s="64">
        <v>69.38</v>
      </c>
      <c r="H65" s="64">
        <v>17.25</v>
      </c>
      <c r="I65" s="210" t="s">
        <v>43</v>
      </c>
      <c r="J65" s="64">
        <v>2.15</v>
      </c>
      <c r="K65" s="64">
        <v>335.39</v>
      </c>
      <c r="L65" s="64">
        <v>27.38</v>
      </c>
      <c r="M65" s="64">
        <v>22.77</v>
      </c>
      <c r="N65" s="64">
        <v>463.9</v>
      </c>
      <c r="O65" s="64">
        <v>0</v>
      </c>
      <c r="P65" s="64">
        <v>0.71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2893</v>
      </c>
      <c r="B66" s="64">
        <v>7.36</v>
      </c>
      <c r="C66" s="64">
        <v>68.97</v>
      </c>
      <c r="D66" s="64">
        <v>40.56</v>
      </c>
      <c r="E66" s="64">
        <v>5.33</v>
      </c>
      <c r="F66" s="64">
        <v>2.13</v>
      </c>
      <c r="G66" s="64">
        <v>69.38</v>
      </c>
      <c r="H66" s="64">
        <v>17.25</v>
      </c>
      <c r="I66" s="210" t="s">
        <v>43</v>
      </c>
      <c r="J66" s="64">
        <v>1.54</v>
      </c>
      <c r="K66" s="64">
        <v>348.63</v>
      </c>
      <c r="L66" s="64">
        <v>27.35</v>
      </c>
      <c r="M66" s="64">
        <v>22.73</v>
      </c>
      <c r="N66" s="64">
        <v>256.5</v>
      </c>
      <c r="O66" s="64">
        <v>0</v>
      </c>
      <c r="P66" s="64">
        <v>0.72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2894</v>
      </c>
      <c r="B67" s="64">
        <v>8.1</v>
      </c>
      <c r="C67" s="64">
        <v>70.02</v>
      </c>
      <c r="D67" s="64">
        <v>41.7</v>
      </c>
      <c r="E67" s="64">
        <v>5.17</v>
      </c>
      <c r="F67" s="64">
        <v>2.13</v>
      </c>
      <c r="G67" s="64">
        <v>69.38</v>
      </c>
      <c r="H67" s="64">
        <v>17.25</v>
      </c>
      <c r="I67" s="210" t="s">
        <v>43</v>
      </c>
      <c r="J67" s="64">
        <v>0.3</v>
      </c>
      <c r="K67" s="64">
        <v>204.58</v>
      </c>
      <c r="L67" s="64">
        <v>26.25</v>
      </c>
      <c r="M67" s="64">
        <v>24.17</v>
      </c>
      <c r="N67" s="64">
        <v>174.4</v>
      </c>
      <c r="O67" s="64">
        <v>0</v>
      </c>
      <c r="P67" s="64">
        <v>0.7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2895</v>
      </c>
      <c r="B68" s="64">
        <v>8.0299999999999994</v>
      </c>
      <c r="C68" s="64">
        <v>70.78</v>
      </c>
      <c r="D68" s="64">
        <v>42.05</v>
      </c>
      <c r="E68" s="64">
        <v>5.55</v>
      </c>
      <c r="F68" s="64">
        <v>2.13</v>
      </c>
      <c r="G68" s="64">
        <v>74.930000000000007</v>
      </c>
      <c r="H68" s="64">
        <v>13.85</v>
      </c>
      <c r="I68" s="210" t="s">
        <v>43</v>
      </c>
      <c r="J68" s="64">
        <v>1.48</v>
      </c>
      <c r="K68" s="64">
        <v>129.37</v>
      </c>
      <c r="L68" s="64">
        <v>25.73</v>
      </c>
      <c r="M68" s="64">
        <v>25.47</v>
      </c>
      <c r="N68" s="64">
        <v>194.9</v>
      </c>
      <c r="O68" s="64">
        <v>0</v>
      </c>
      <c r="P68" s="64">
        <v>0.7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2896</v>
      </c>
      <c r="B69" s="64">
        <v>7.6</v>
      </c>
      <c r="C69" s="64">
        <v>70.91</v>
      </c>
      <c r="D69" s="64">
        <v>41.77</v>
      </c>
      <c r="E69" s="64">
        <v>5.31</v>
      </c>
      <c r="F69" s="64">
        <v>2.13</v>
      </c>
      <c r="G69" s="64">
        <v>81.569999999999993</v>
      </c>
      <c r="H69" s="64">
        <v>9.7899999999999991</v>
      </c>
      <c r="I69" s="210" t="s">
        <v>43</v>
      </c>
      <c r="J69" s="64">
        <v>2.13</v>
      </c>
      <c r="K69" s="64">
        <v>121.62</v>
      </c>
      <c r="L69" s="64">
        <v>24.81</v>
      </c>
      <c r="M69" s="64">
        <v>26.29</v>
      </c>
      <c r="N69" s="64">
        <v>247</v>
      </c>
      <c r="O69" s="64">
        <v>0</v>
      </c>
      <c r="P69" s="64">
        <v>0.69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2897</v>
      </c>
      <c r="B70" s="64">
        <v>7.14</v>
      </c>
      <c r="C70" s="64">
        <v>71.010000000000005</v>
      </c>
      <c r="D70" s="64">
        <v>41.45</v>
      </c>
      <c r="E70" s="64">
        <v>5.41</v>
      </c>
      <c r="F70" s="64">
        <v>2.13</v>
      </c>
      <c r="G70" s="64">
        <v>81.569999999999993</v>
      </c>
      <c r="H70" s="64">
        <v>9.7899999999999991</v>
      </c>
      <c r="I70" s="210" t="s">
        <v>43</v>
      </c>
      <c r="J70" s="64">
        <v>0.32</v>
      </c>
      <c r="K70" s="64">
        <v>116.33</v>
      </c>
      <c r="L70" s="64">
        <v>24.7</v>
      </c>
      <c r="M70" s="64">
        <v>27.18</v>
      </c>
      <c r="N70" s="64">
        <v>181.7</v>
      </c>
      <c r="O70" s="64">
        <v>0</v>
      </c>
      <c r="P70" s="64">
        <v>0.69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2898</v>
      </c>
      <c r="B71" s="64">
        <v>7.11</v>
      </c>
      <c r="C71" s="64">
        <v>70.41</v>
      </c>
      <c r="D71" s="64">
        <v>41.12</v>
      </c>
      <c r="E71" s="64">
        <v>4.9800000000000004</v>
      </c>
      <c r="F71" s="64">
        <v>2.13</v>
      </c>
      <c r="G71" s="64">
        <v>81.569999999999993</v>
      </c>
      <c r="H71" s="64">
        <v>9.7899999999999991</v>
      </c>
      <c r="I71" s="210" t="s">
        <v>43</v>
      </c>
      <c r="J71" s="64">
        <v>2.4900000000000002</v>
      </c>
      <c r="K71" s="64">
        <v>120.93</v>
      </c>
      <c r="L71" s="64">
        <v>24.82</v>
      </c>
      <c r="M71" s="64">
        <v>27.53</v>
      </c>
      <c r="N71" s="64">
        <v>138.6</v>
      </c>
      <c r="O71" s="64">
        <v>0</v>
      </c>
      <c r="P71" s="64">
        <v>0.65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2899</v>
      </c>
      <c r="B72" s="64">
        <v>7.06</v>
      </c>
      <c r="C72" s="64">
        <v>69.760000000000005</v>
      </c>
      <c r="D72" s="64">
        <v>40.729999999999997</v>
      </c>
      <c r="E72" s="64">
        <v>5.33</v>
      </c>
      <c r="F72" s="64">
        <v>2.13</v>
      </c>
      <c r="G72" s="64">
        <v>71.58</v>
      </c>
      <c r="H72" s="64">
        <v>19.100000000000001</v>
      </c>
      <c r="I72" s="210" t="s">
        <v>43</v>
      </c>
      <c r="J72" s="64">
        <v>0.38</v>
      </c>
      <c r="K72" s="64">
        <v>11.81</v>
      </c>
      <c r="L72" s="64">
        <v>24.62</v>
      </c>
      <c r="M72" s="64">
        <v>28.09</v>
      </c>
      <c r="N72" s="64">
        <v>128.9</v>
      </c>
      <c r="O72" s="64">
        <v>0</v>
      </c>
      <c r="P72" s="64">
        <v>0.65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2900</v>
      </c>
      <c r="B73" s="64">
        <v>7.19</v>
      </c>
      <c r="C73" s="64">
        <v>69.12</v>
      </c>
      <c r="D73" s="64">
        <v>40.5</v>
      </c>
      <c r="E73" s="64">
        <v>5.9</v>
      </c>
      <c r="F73" s="64">
        <v>2.13</v>
      </c>
      <c r="G73" s="64">
        <v>59.63</v>
      </c>
      <c r="H73" s="64">
        <v>30.22</v>
      </c>
      <c r="I73" s="210" t="s">
        <v>43</v>
      </c>
      <c r="J73" s="64">
        <v>1.47</v>
      </c>
      <c r="K73" s="64">
        <v>298.08999999999997</v>
      </c>
      <c r="L73" s="64">
        <v>25.06</v>
      </c>
      <c r="M73" s="64">
        <v>28.64</v>
      </c>
      <c r="N73" s="64">
        <v>120.6</v>
      </c>
      <c r="O73" s="64">
        <v>0</v>
      </c>
      <c r="P73" s="64">
        <v>0.62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2901</v>
      </c>
      <c r="B74" s="64">
        <v>7.17</v>
      </c>
      <c r="C74" s="64">
        <v>68.569999999999993</v>
      </c>
      <c r="D74" s="64">
        <v>40.200000000000003</v>
      </c>
      <c r="E74" s="64">
        <v>5.95</v>
      </c>
      <c r="F74" s="64">
        <v>2.13</v>
      </c>
      <c r="G74" s="64">
        <v>59.63</v>
      </c>
      <c r="H74" s="64">
        <v>30.22</v>
      </c>
      <c r="I74" s="210" t="s">
        <v>43</v>
      </c>
      <c r="J74" s="64">
        <v>2.0699999999999998</v>
      </c>
      <c r="K74" s="64">
        <v>309.29000000000002</v>
      </c>
      <c r="L74" s="64">
        <v>25.09</v>
      </c>
      <c r="M74" s="64">
        <v>28.75</v>
      </c>
      <c r="N74" s="64">
        <v>114.2</v>
      </c>
      <c r="O74" s="64">
        <v>0</v>
      </c>
      <c r="P74" s="64">
        <v>0.7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2902</v>
      </c>
      <c r="B75" s="64">
        <v>7.51</v>
      </c>
      <c r="C75" s="64">
        <v>68.400000000000006</v>
      </c>
      <c r="D75" s="64">
        <v>40.380000000000003</v>
      </c>
      <c r="E75" s="64">
        <v>6.16</v>
      </c>
      <c r="F75" s="64">
        <v>2.13</v>
      </c>
      <c r="G75" s="64">
        <v>59.63</v>
      </c>
      <c r="H75" s="64">
        <v>30.22</v>
      </c>
      <c r="I75" s="210" t="s">
        <v>43</v>
      </c>
      <c r="J75" s="64">
        <v>2.0499999999999998</v>
      </c>
      <c r="K75" s="64">
        <v>330.46</v>
      </c>
      <c r="L75" s="64">
        <v>24.94</v>
      </c>
      <c r="M75" s="64">
        <v>28.81</v>
      </c>
      <c r="N75" s="64">
        <v>109.2</v>
      </c>
      <c r="O75" s="64">
        <v>0</v>
      </c>
      <c r="P75" s="64">
        <v>0.65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2903</v>
      </c>
      <c r="B76" s="64">
        <v>8.24</v>
      </c>
      <c r="C76" s="64">
        <v>68.7</v>
      </c>
      <c r="D76" s="64">
        <v>41.13</v>
      </c>
      <c r="E76" s="64">
        <v>6.14</v>
      </c>
      <c r="F76" s="64">
        <v>2.13</v>
      </c>
      <c r="G76" s="64">
        <v>57.07</v>
      </c>
      <c r="H76" s="64">
        <v>22.92</v>
      </c>
      <c r="I76" s="210" t="s">
        <v>43</v>
      </c>
      <c r="J76" s="64">
        <v>1.63</v>
      </c>
      <c r="K76" s="64">
        <v>311.85000000000002</v>
      </c>
      <c r="L76" s="64">
        <v>24.59</v>
      </c>
      <c r="M76" s="64">
        <v>30.55</v>
      </c>
      <c r="N76" s="64">
        <v>103.5</v>
      </c>
      <c r="O76" s="64">
        <v>0</v>
      </c>
      <c r="P76" s="64">
        <v>0.7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2904</v>
      </c>
      <c r="B77" s="64">
        <v>8.7100000000000009</v>
      </c>
      <c r="C77" s="64">
        <v>68.91</v>
      </c>
      <c r="D77" s="64">
        <v>41.61</v>
      </c>
      <c r="E77" s="64">
        <v>5.89</v>
      </c>
      <c r="F77" s="64">
        <v>2.13</v>
      </c>
      <c r="G77" s="64">
        <v>54</v>
      </c>
      <c r="H77" s="64">
        <v>14.18</v>
      </c>
      <c r="I77" s="210" t="s">
        <v>43</v>
      </c>
      <c r="J77" s="64">
        <v>0.86</v>
      </c>
      <c r="K77" s="64">
        <v>81.78</v>
      </c>
      <c r="L77" s="64">
        <v>23.94</v>
      </c>
      <c r="M77" s="64">
        <v>32.270000000000003</v>
      </c>
      <c r="N77" s="64">
        <v>96.3</v>
      </c>
      <c r="O77" s="64">
        <v>0</v>
      </c>
      <c r="P77" s="64">
        <v>0.76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2905</v>
      </c>
      <c r="B78" s="64">
        <v>8.91</v>
      </c>
      <c r="C78" s="64">
        <v>69.37</v>
      </c>
      <c r="D78" s="64">
        <v>42.01</v>
      </c>
      <c r="E78" s="64">
        <v>6.11</v>
      </c>
      <c r="F78" s="64">
        <v>2.13</v>
      </c>
      <c r="G78" s="64">
        <v>54</v>
      </c>
      <c r="H78" s="64">
        <v>14.18</v>
      </c>
      <c r="I78" s="210" t="s">
        <v>43</v>
      </c>
      <c r="J78" s="64">
        <v>0.71</v>
      </c>
      <c r="K78" s="64">
        <v>100.03</v>
      </c>
      <c r="L78" s="64">
        <v>23.31</v>
      </c>
      <c r="M78" s="64">
        <v>33.5</v>
      </c>
      <c r="N78" s="64">
        <v>88.9</v>
      </c>
      <c r="O78" s="64">
        <v>0</v>
      </c>
      <c r="P78" s="64">
        <v>0.68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2906</v>
      </c>
      <c r="B79" s="64">
        <v>8.57</v>
      </c>
      <c r="C79" s="64">
        <v>70.23</v>
      </c>
      <c r="D79" s="64">
        <v>42.19</v>
      </c>
      <c r="E79" s="64">
        <v>6.83</v>
      </c>
      <c r="F79" s="64">
        <v>2.13</v>
      </c>
      <c r="G79" s="64">
        <v>54</v>
      </c>
      <c r="H79" s="64">
        <v>14.18</v>
      </c>
      <c r="I79" s="210" t="s">
        <v>43</v>
      </c>
      <c r="J79" s="64">
        <v>1.61</v>
      </c>
      <c r="K79" s="64">
        <v>160.02000000000001</v>
      </c>
      <c r="L79" s="64">
        <v>22.5</v>
      </c>
      <c r="M79" s="64">
        <v>37.39</v>
      </c>
      <c r="N79" s="64">
        <v>82.7</v>
      </c>
      <c r="O79" s="64">
        <v>0</v>
      </c>
      <c r="P79" s="64">
        <v>0.68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2907</v>
      </c>
      <c r="B80" s="64">
        <v>9.2100000000000009</v>
      </c>
      <c r="C80" s="64">
        <v>72.66</v>
      </c>
      <c r="D80" s="64">
        <v>43.97</v>
      </c>
      <c r="E80" s="64">
        <v>6.83</v>
      </c>
      <c r="F80" s="64">
        <v>2.13</v>
      </c>
      <c r="G80" s="64">
        <v>61.7</v>
      </c>
      <c r="H80" s="64">
        <v>16.84</v>
      </c>
      <c r="I80" s="210" t="s">
        <v>43</v>
      </c>
      <c r="J80" s="64">
        <v>0.37</v>
      </c>
      <c r="K80" s="64">
        <v>15.62</v>
      </c>
      <c r="L80" s="64">
        <v>21.71</v>
      </c>
      <c r="M80" s="64">
        <v>42.38</v>
      </c>
      <c r="N80" s="64">
        <v>79.3</v>
      </c>
      <c r="O80" s="64">
        <v>0</v>
      </c>
      <c r="P80" s="64">
        <v>0.68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2908</v>
      </c>
      <c r="B81" s="64">
        <v>13.77</v>
      </c>
      <c r="C81" s="64">
        <v>74.84</v>
      </c>
      <c r="D81" s="64">
        <v>48.76</v>
      </c>
      <c r="E81" s="64">
        <v>7.03</v>
      </c>
      <c r="F81" s="64">
        <v>2.13</v>
      </c>
      <c r="G81" s="64">
        <v>70.91</v>
      </c>
      <c r="H81" s="64">
        <v>20.010000000000002</v>
      </c>
      <c r="I81" s="210" t="s">
        <v>43</v>
      </c>
      <c r="J81" s="64">
        <v>0.82</v>
      </c>
      <c r="K81" s="64">
        <v>337.86</v>
      </c>
      <c r="L81" s="64">
        <v>20.66</v>
      </c>
      <c r="M81" s="64">
        <v>45.97</v>
      </c>
      <c r="N81" s="64">
        <v>78.5</v>
      </c>
      <c r="O81" s="64">
        <v>0</v>
      </c>
      <c r="P81" s="64">
        <v>0.88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2909</v>
      </c>
      <c r="B82" s="64">
        <v>21.27</v>
      </c>
      <c r="C82" s="64">
        <v>77.94</v>
      </c>
      <c r="D82" s="64">
        <v>56.4</v>
      </c>
      <c r="E82" s="64">
        <v>6.97</v>
      </c>
      <c r="F82" s="64">
        <v>2.13</v>
      </c>
      <c r="G82" s="64">
        <v>70.91</v>
      </c>
      <c r="H82" s="64">
        <v>20.010000000000002</v>
      </c>
      <c r="I82" s="210" t="s">
        <v>43</v>
      </c>
      <c r="J82" s="64">
        <v>1.1599999999999999</v>
      </c>
      <c r="K82" s="64">
        <v>47.7</v>
      </c>
      <c r="L82" s="64">
        <v>19.97</v>
      </c>
      <c r="M82" s="64">
        <v>46.37</v>
      </c>
      <c r="N82" s="64">
        <v>78.2</v>
      </c>
      <c r="O82" s="64">
        <v>0</v>
      </c>
      <c r="P82" s="64">
        <v>0.87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2910</v>
      </c>
      <c r="B83" s="64">
        <v>30.02</v>
      </c>
      <c r="C83" s="64">
        <v>80.66</v>
      </c>
      <c r="D83" s="64">
        <v>64.83</v>
      </c>
      <c r="E83" s="64">
        <v>7.62</v>
      </c>
      <c r="F83" s="64">
        <v>2.13</v>
      </c>
      <c r="G83" s="64">
        <v>70.91</v>
      </c>
      <c r="H83" s="64">
        <v>20.010000000000002</v>
      </c>
      <c r="I83" s="210" t="s">
        <v>43</v>
      </c>
      <c r="J83" s="64">
        <v>1.54</v>
      </c>
      <c r="K83" s="64">
        <v>332.52</v>
      </c>
      <c r="L83" s="64">
        <v>19.45</v>
      </c>
      <c r="M83" s="64">
        <v>56.53</v>
      </c>
      <c r="N83" s="64">
        <v>78.2</v>
      </c>
      <c r="O83" s="64">
        <v>0</v>
      </c>
      <c r="P83" s="64">
        <v>1.19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2911</v>
      </c>
      <c r="B84" s="64">
        <v>38.42</v>
      </c>
      <c r="C84" s="64">
        <v>81.75</v>
      </c>
      <c r="D84" s="64">
        <v>72.150000000000006</v>
      </c>
      <c r="E84" s="64">
        <v>7.8</v>
      </c>
      <c r="F84" s="64">
        <v>2.13</v>
      </c>
      <c r="G84" s="64">
        <v>108.74</v>
      </c>
      <c r="H84" s="64">
        <v>29.32</v>
      </c>
      <c r="I84" s="210" t="s">
        <v>43</v>
      </c>
      <c r="J84" s="64">
        <v>0.96</v>
      </c>
      <c r="K84" s="64">
        <v>233.08</v>
      </c>
      <c r="L84" s="64">
        <v>19.54</v>
      </c>
      <c r="M84" s="64">
        <v>47.71</v>
      </c>
      <c r="N84" s="64">
        <v>76.900000000000006</v>
      </c>
      <c r="O84" s="64">
        <v>0</v>
      </c>
      <c r="P84" s="64">
        <v>0.99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2912</v>
      </c>
      <c r="B85" s="64">
        <v>42.11</v>
      </c>
      <c r="C85" s="64">
        <v>82.33</v>
      </c>
      <c r="D85" s="64">
        <v>75.400000000000006</v>
      </c>
      <c r="E85" s="64">
        <v>7.8</v>
      </c>
      <c r="F85" s="64">
        <v>2.13</v>
      </c>
      <c r="G85" s="64">
        <v>153.94999999999999</v>
      </c>
      <c r="H85" s="64">
        <v>40.44</v>
      </c>
      <c r="I85" s="210" t="s">
        <v>43</v>
      </c>
      <c r="J85" s="64">
        <v>0.91</v>
      </c>
      <c r="K85" s="64">
        <v>303.27</v>
      </c>
      <c r="L85" s="64">
        <v>19.78</v>
      </c>
      <c r="M85" s="64">
        <v>45.54</v>
      </c>
      <c r="N85" s="64">
        <v>78</v>
      </c>
      <c r="O85" s="64">
        <v>0</v>
      </c>
      <c r="P85" s="64">
        <v>1.1200000000000001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2913</v>
      </c>
      <c r="B86" s="64">
        <v>46</v>
      </c>
      <c r="C86" s="64">
        <v>82.94</v>
      </c>
      <c r="D86" s="64">
        <v>78.84</v>
      </c>
      <c r="E86" s="64">
        <v>8.3000000000000007</v>
      </c>
      <c r="F86" s="64">
        <v>2.13</v>
      </c>
      <c r="G86" s="64">
        <v>153.94999999999999</v>
      </c>
      <c r="H86" s="64">
        <v>40.44</v>
      </c>
      <c r="I86" s="210" t="s">
        <v>43</v>
      </c>
      <c r="J86" s="64">
        <v>1.57</v>
      </c>
      <c r="K86" s="64">
        <v>300.33</v>
      </c>
      <c r="L86" s="64">
        <v>19.190000000000001</v>
      </c>
      <c r="M86" s="64">
        <v>50.72</v>
      </c>
      <c r="N86" s="64">
        <v>77.900000000000006</v>
      </c>
      <c r="O86" s="64">
        <v>0</v>
      </c>
      <c r="P86" s="64">
        <v>1.28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2914</v>
      </c>
      <c r="B87" s="64">
        <v>50.8</v>
      </c>
      <c r="C87" s="64">
        <v>83.02</v>
      </c>
      <c r="D87" s="64">
        <v>82.74</v>
      </c>
      <c r="E87" s="64">
        <v>8.19</v>
      </c>
      <c r="F87" s="64">
        <v>2.13</v>
      </c>
      <c r="G87" s="64">
        <v>153.94999999999999</v>
      </c>
      <c r="H87" s="64">
        <v>40.44</v>
      </c>
      <c r="I87" s="210" t="s">
        <v>43</v>
      </c>
      <c r="J87" s="64">
        <v>1.73</v>
      </c>
      <c r="K87" s="64">
        <v>286.25</v>
      </c>
      <c r="L87" s="64">
        <v>18.89</v>
      </c>
      <c r="M87" s="64">
        <v>47.19</v>
      </c>
      <c r="N87" s="64">
        <v>77.599999999999994</v>
      </c>
      <c r="O87" s="64">
        <v>0</v>
      </c>
      <c r="P87" s="64">
        <v>1.34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2915</v>
      </c>
      <c r="B88" s="64">
        <v>53.81</v>
      </c>
      <c r="C88" s="64">
        <v>81.38</v>
      </c>
      <c r="D88" s="64">
        <v>84.29</v>
      </c>
      <c r="E88" s="64">
        <v>8.09</v>
      </c>
      <c r="F88" s="64">
        <v>2.13</v>
      </c>
      <c r="G88" s="64">
        <v>144.66999999999999</v>
      </c>
      <c r="H88" s="64">
        <v>37.770000000000003</v>
      </c>
      <c r="I88" s="210" t="s">
        <v>43</v>
      </c>
      <c r="J88" s="64">
        <v>1.49</v>
      </c>
      <c r="K88" s="64">
        <v>271.51</v>
      </c>
      <c r="L88" s="64">
        <v>18.84</v>
      </c>
      <c r="M88" s="64">
        <v>47.15</v>
      </c>
      <c r="N88" s="64">
        <v>77.5</v>
      </c>
      <c r="O88" s="64">
        <v>0</v>
      </c>
      <c r="P88" s="64">
        <v>1.31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2916</v>
      </c>
      <c r="B89" s="64">
        <v>56.85</v>
      </c>
      <c r="C89" s="64">
        <v>81.33</v>
      </c>
      <c r="D89" s="64">
        <v>86.71</v>
      </c>
      <c r="E89" s="64">
        <v>7.89</v>
      </c>
      <c r="F89" s="64">
        <v>2.13</v>
      </c>
      <c r="G89" s="64">
        <v>133.57</v>
      </c>
      <c r="H89" s="64">
        <v>34.590000000000003</v>
      </c>
      <c r="I89" s="210" t="s">
        <v>43</v>
      </c>
      <c r="J89" s="64">
        <v>1.72</v>
      </c>
      <c r="K89" s="64">
        <v>313.17</v>
      </c>
      <c r="L89" s="64">
        <v>18.54</v>
      </c>
      <c r="M89" s="64">
        <v>51.46</v>
      </c>
      <c r="N89" s="64">
        <v>78</v>
      </c>
      <c r="O89" s="64">
        <v>0</v>
      </c>
      <c r="P89" s="64">
        <v>1.75</v>
      </c>
      <c r="Q89" s="64">
        <v>8.2200000000000006</v>
      </c>
      <c r="R89" s="198"/>
      <c r="S89" s="198"/>
      <c r="T89" s="198"/>
      <c r="U89" s="198"/>
    </row>
    <row r="90" spans="1:26" s="12" customFormat="1" x14ac:dyDescent="0.25">
      <c r="A90" s="214" t="s">
        <v>2917</v>
      </c>
      <c r="B90" s="64">
        <v>61.28</v>
      </c>
      <c r="C90" s="64">
        <v>81.2</v>
      </c>
      <c r="D90" s="64">
        <v>90.19</v>
      </c>
      <c r="E90" s="64">
        <v>8.14</v>
      </c>
      <c r="F90" s="64">
        <v>2.13</v>
      </c>
      <c r="G90" s="64">
        <v>133.57</v>
      </c>
      <c r="H90" s="64">
        <v>34.590000000000003</v>
      </c>
      <c r="I90" s="210" t="s">
        <v>43</v>
      </c>
      <c r="J90" s="64">
        <v>1.07</v>
      </c>
      <c r="K90" s="64">
        <v>313.64999999999998</v>
      </c>
      <c r="L90" s="64">
        <v>18.100000000000001</v>
      </c>
      <c r="M90" s="64">
        <v>56.09</v>
      </c>
      <c r="N90" s="64">
        <v>77.900000000000006</v>
      </c>
      <c r="O90" s="64">
        <v>0</v>
      </c>
      <c r="P90" s="64">
        <v>1.65</v>
      </c>
      <c r="Q90" s="64">
        <v>8.35</v>
      </c>
      <c r="R90" s="198"/>
      <c r="S90" s="198"/>
      <c r="T90" s="198"/>
      <c r="U90" s="198"/>
    </row>
    <row r="91" spans="1:26" s="12" customFormat="1" x14ac:dyDescent="0.25">
      <c r="A91" s="214" t="s">
        <v>2918</v>
      </c>
      <c r="B91" s="64">
        <v>65.930000000000007</v>
      </c>
      <c r="C91" s="64">
        <v>81.069999999999993</v>
      </c>
      <c r="D91" s="64">
        <v>93.85</v>
      </c>
      <c r="E91" s="64">
        <v>8.43</v>
      </c>
      <c r="F91" s="64">
        <v>2.13</v>
      </c>
      <c r="G91" s="64">
        <v>133.57</v>
      </c>
      <c r="H91" s="64">
        <v>34.590000000000003</v>
      </c>
      <c r="I91" s="210" t="s">
        <v>43</v>
      </c>
      <c r="J91" s="64">
        <v>1.51</v>
      </c>
      <c r="K91" s="64">
        <v>299.14</v>
      </c>
      <c r="L91" s="64">
        <v>17.53</v>
      </c>
      <c r="M91" s="64">
        <v>59.79</v>
      </c>
      <c r="N91" s="64">
        <v>77.8</v>
      </c>
      <c r="O91" s="64">
        <v>0</v>
      </c>
      <c r="P91" s="64">
        <v>1.69</v>
      </c>
      <c r="Q91" s="64">
        <v>8.5299999999999994</v>
      </c>
      <c r="R91" s="198"/>
      <c r="S91" s="198"/>
      <c r="T91" s="198"/>
      <c r="U91" s="198"/>
    </row>
    <row r="92" spans="1:26" s="12" customFormat="1" x14ac:dyDescent="0.25">
      <c r="A92" s="214" t="s">
        <v>2919</v>
      </c>
      <c r="B92" s="64">
        <v>70.87</v>
      </c>
      <c r="C92" s="64">
        <v>80.98</v>
      </c>
      <c r="D92" s="64">
        <v>97.77</v>
      </c>
      <c r="E92" s="64">
        <v>8.2100000000000009</v>
      </c>
      <c r="F92" s="64">
        <v>2.13</v>
      </c>
      <c r="G92" s="64">
        <v>141.63</v>
      </c>
      <c r="H92" s="64">
        <v>35.97</v>
      </c>
      <c r="I92" s="210" t="s">
        <v>43</v>
      </c>
      <c r="J92" s="64">
        <v>1.58</v>
      </c>
      <c r="K92" s="64">
        <v>318.95</v>
      </c>
      <c r="L92" s="64">
        <v>17.14</v>
      </c>
      <c r="M92" s="64">
        <v>61.17</v>
      </c>
      <c r="N92" s="64">
        <v>77.8</v>
      </c>
      <c r="O92" s="64">
        <v>0</v>
      </c>
      <c r="P92" s="64">
        <v>1.66</v>
      </c>
      <c r="Q92" s="64">
        <v>8.76</v>
      </c>
      <c r="R92" s="198"/>
      <c r="S92" s="198"/>
      <c r="T92" s="198"/>
      <c r="U92" s="198"/>
    </row>
    <row r="93" spans="1:26" s="12" customFormat="1" x14ac:dyDescent="0.25">
      <c r="A93" s="214" t="s">
        <v>2920</v>
      </c>
      <c r="B93" s="64">
        <v>74.16</v>
      </c>
      <c r="C93" s="64">
        <v>80.33</v>
      </c>
      <c r="D93" s="64">
        <v>100.06</v>
      </c>
      <c r="E93" s="64">
        <v>8.41</v>
      </c>
      <c r="F93" s="64">
        <v>2.13</v>
      </c>
      <c r="G93" s="64">
        <v>151.26</v>
      </c>
      <c r="H93" s="64">
        <v>37.619999999999997</v>
      </c>
      <c r="I93" s="210" t="s">
        <v>43</v>
      </c>
      <c r="J93" s="64">
        <v>1.21</v>
      </c>
      <c r="K93" s="64">
        <v>313.58</v>
      </c>
      <c r="L93" s="64">
        <v>16.79</v>
      </c>
      <c r="M93" s="64">
        <v>61.76</v>
      </c>
      <c r="N93" s="64">
        <v>77.599999999999994</v>
      </c>
      <c r="O93" s="64">
        <v>0</v>
      </c>
      <c r="P93" s="64">
        <v>1.74</v>
      </c>
      <c r="Q93" s="64">
        <v>8.93</v>
      </c>
      <c r="R93" s="198"/>
      <c r="S93" s="198"/>
      <c r="T93" s="198"/>
      <c r="U93" s="198"/>
    </row>
    <row r="94" spans="1:26" s="12" customFormat="1" x14ac:dyDescent="0.25">
      <c r="A94" s="214" t="s">
        <v>2921</v>
      </c>
      <c r="B94" s="64">
        <v>76.53</v>
      </c>
      <c r="C94" s="64">
        <v>80</v>
      </c>
      <c r="D94" s="64">
        <v>101.79</v>
      </c>
      <c r="E94" s="64">
        <v>8.76</v>
      </c>
      <c r="F94" s="64">
        <v>2.13</v>
      </c>
      <c r="G94" s="64">
        <v>151.26</v>
      </c>
      <c r="H94" s="64">
        <v>37.619999999999997</v>
      </c>
      <c r="I94" s="210" t="s">
        <v>43</v>
      </c>
      <c r="J94" s="64">
        <v>0.74</v>
      </c>
      <c r="K94" s="64">
        <v>326.91000000000003</v>
      </c>
      <c r="L94" s="64">
        <v>16.79</v>
      </c>
      <c r="M94" s="64">
        <v>59.91</v>
      </c>
      <c r="N94" s="64">
        <v>77.400000000000006</v>
      </c>
      <c r="O94" s="64">
        <v>0</v>
      </c>
      <c r="P94" s="64">
        <v>1.67</v>
      </c>
      <c r="Q94" s="64">
        <v>9.0399999999999991</v>
      </c>
      <c r="R94" s="198"/>
      <c r="S94" s="198"/>
      <c r="T94" s="198"/>
      <c r="U94" s="198"/>
    </row>
    <row r="95" spans="1:26" s="12" customFormat="1" x14ac:dyDescent="0.25">
      <c r="A95" s="214" t="s">
        <v>2922</v>
      </c>
      <c r="B95" s="64">
        <v>81.87</v>
      </c>
      <c r="C95" s="64">
        <v>81.790000000000006</v>
      </c>
      <c r="D95" s="64">
        <v>107.01</v>
      </c>
      <c r="E95" s="64">
        <v>8.3800000000000008</v>
      </c>
      <c r="F95" s="64">
        <v>2.13</v>
      </c>
      <c r="G95" s="64">
        <v>151.26</v>
      </c>
      <c r="H95" s="64">
        <v>37.619999999999997</v>
      </c>
      <c r="I95" s="210" t="s">
        <v>43</v>
      </c>
      <c r="J95" s="64">
        <v>1.53</v>
      </c>
      <c r="K95" s="64">
        <v>337.11</v>
      </c>
      <c r="L95" s="64">
        <v>16.77</v>
      </c>
      <c r="M95" s="64">
        <v>61.8</v>
      </c>
      <c r="N95" s="64">
        <v>77.400000000000006</v>
      </c>
      <c r="O95" s="64">
        <v>0</v>
      </c>
      <c r="P95" s="64">
        <v>1.59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4" t="s">
        <v>2923</v>
      </c>
      <c r="B96" s="64">
        <v>86.05</v>
      </c>
      <c r="C96" s="64">
        <v>82.21</v>
      </c>
      <c r="D96" s="64">
        <v>110.58</v>
      </c>
      <c r="E96" s="64">
        <v>8.8699999999999992</v>
      </c>
      <c r="F96" s="64">
        <v>2.13</v>
      </c>
      <c r="G96" s="64">
        <v>144</v>
      </c>
      <c r="H96" s="64">
        <v>38.369999999999997</v>
      </c>
      <c r="I96" s="210" t="s">
        <v>43</v>
      </c>
      <c r="J96" s="64">
        <v>1.6</v>
      </c>
      <c r="K96" s="64">
        <v>299.97000000000003</v>
      </c>
      <c r="L96" s="64">
        <v>16.59</v>
      </c>
      <c r="M96" s="64">
        <v>62.09</v>
      </c>
      <c r="N96" s="64">
        <v>77.3</v>
      </c>
      <c r="O96" s="64">
        <v>0</v>
      </c>
      <c r="P96" s="64">
        <v>1.68</v>
      </c>
      <c r="Q96" s="64">
        <v>9.5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2924</v>
      </c>
      <c r="B97" s="64">
        <v>86.85</v>
      </c>
      <c r="C97" s="64">
        <v>82.35</v>
      </c>
      <c r="D97" s="64">
        <v>111.3</v>
      </c>
      <c r="E97" s="64">
        <v>8.77</v>
      </c>
      <c r="F97" s="64">
        <v>2.13</v>
      </c>
      <c r="G97" s="64">
        <v>135.33000000000001</v>
      </c>
      <c r="H97" s="64">
        <v>39.26</v>
      </c>
      <c r="I97" s="210" t="s">
        <v>43</v>
      </c>
      <c r="J97" s="64">
        <v>1.57</v>
      </c>
      <c r="K97" s="64">
        <v>309.87</v>
      </c>
      <c r="L97" s="64">
        <v>16.37</v>
      </c>
      <c r="M97" s="64">
        <v>62.1</v>
      </c>
      <c r="N97" s="64">
        <v>77.599999999999994</v>
      </c>
      <c r="O97" s="64">
        <v>0</v>
      </c>
      <c r="P97" s="64">
        <v>1.74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4" t="s">
        <v>2925</v>
      </c>
      <c r="B98" s="64">
        <v>85.71</v>
      </c>
      <c r="C98" s="64">
        <v>82.98</v>
      </c>
      <c r="D98" s="64">
        <v>110.71</v>
      </c>
      <c r="E98" s="64">
        <v>8.8000000000000007</v>
      </c>
      <c r="F98" s="64">
        <v>2.13</v>
      </c>
      <c r="G98" s="64">
        <v>135.33000000000001</v>
      </c>
      <c r="H98" s="64">
        <v>39.26</v>
      </c>
      <c r="I98" s="210" t="s">
        <v>43</v>
      </c>
      <c r="J98" s="64">
        <v>1.56</v>
      </c>
      <c r="K98" s="64">
        <v>300.73</v>
      </c>
      <c r="L98" s="64">
        <v>16.3</v>
      </c>
      <c r="M98" s="64">
        <v>61.49</v>
      </c>
      <c r="N98" s="64">
        <v>77.599999999999994</v>
      </c>
      <c r="O98" s="64">
        <v>0</v>
      </c>
      <c r="P98" s="64">
        <v>1.78</v>
      </c>
      <c r="Q98" s="64">
        <v>9.59</v>
      </c>
      <c r="R98" s="198"/>
      <c r="S98" s="198"/>
      <c r="T98" s="198"/>
      <c r="U98" s="198"/>
    </row>
    <row r="99" spans="1:33" s="12" customFormat="1" x14ac:dyDescent="0.25">
      <c r="A99" s="214" t="s">
        <v>2926</v>
      </c>
      <c r="B99" s="64">
        <v>86.05</v>
      </c>
      <c r="C99" s="64">
        <v>83.71</v>
      </c>
      <c r="D99" s="64">
        <v>111.37</v>
      </c>
      <c r="E99" s="64">
        <v>8.91</v>
      </c>
      <c r="F99" s="64">
        <v>2.13</v>
      </c>
      <c r="G99" s="64">
        <v>135.33000000000001</v>
      </c>
      <c r="H99" s="64">
        <v>39.26</v>
      </c>
      <c r="I99" s="210" t="s">
        <v>43</v>
      </c>
      <c r="J99" s="64">
        <v>1.64</v>
      </c>
      <c r="K99" s="64">
        <v>320.38</v>
      </c>
      <c r="L99" s="64">
        <v>16.22</v>
      </c>
      <c r="M99" s="64">
        <v>64.22</v>
      </c>
      <c r="N99" s="64">
        <v>77.5</v>
      </c>
      <c r="O99" s="64">
        <v>0</v>
      </c>
      <c r="P99" s="64">
        <v>1.83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4" t="s">
        <v>2927</v>
      </c>
      <c r="B100" s="64">
        <v>91.23</v>
      </c>
      <c r="C100" s="64">
        <v>84.57</v>
      </c>
      <c r="D100" s="64">
        <v>115.97</v>
      </c>
      <c r="E100" s="64">
        <v>8.94</v>
      </c>
      <c r="F100" s="64">
        <v>2.13</v>
      </c>
      <c r="G100" s="64">
        <v>127.68</v>
      </c>
      <c r="H100" s="64">
        <v>37.299999999999997</v>
      </c>
      <c r="I100" s="210" t="s">
        <v>43</v>
      </c>
      <c r="J100" s="64">
        <v>1.21</v>
      </c>
      <c r="K100" s="64">
        <v>336.36</v>
      </c>
      <c r="L100" s="64">
        <v>16.059999999999999</v>
      </c>
      <c r="M100" s="64">
        <v>65.91</v>
      </c>
      <c r="N100" s="64">
        <v>77.7</v>
      </c>
      <c r="O100" s="64">
        <v>0</v>
      </c>
      <c r="P100" s="64">
        <v>1.87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2928</v>
      </c>
      <c r="B101" s="64">
        <v>95.72</v>
      </c>
      <c r="C101" s="64">
        <v>84.88</v>
      </c>
      <c r="D101" s="64">
        <v>119.73</v>
      </c>
      <c r="E101" s="64">
        <v>9.02</v>
      </c>
      <c r="F101" s="64">
        <v>2.13</v>
      </c>
      <c r="G101" s="64">
        <v>118.53</v>
      </c>
      <c r="H101" s="64">
        <v>34.97</v>
      </c>
      <c r="I101" s="210" t="s">
        <v>43</v>
      </c>
      <c r="J101" s="64">
        <v>1.43</v>
      </c>
      <c r="K101" s="64">
        <v>313.13</v>
      </c>
      <c r="L101" s="64">
        <v>15.79</v>
      </c>
      <c r="M101" s="64">
        <v>63.48</v>
      </c>
      <c r="N101" s="64">
        <v>77.7</v>
      </c>
      <c r="O101" s="64">
        <v>0</v>
      </c>
      <c r="P101" s="64">
        <v>1.89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14" t="s">
        <v>2929</v>
      </c>
      <c r="B102" s="64">
        <v>97.48</v>
      </c>
      <c r="C102" s="64">
        <v>85.56</v>
      </c>
      <c r="D102" s="64">
        <v>121.5</v>
      </c>
      <c r="E102" s="64">
        <v>8.51</v>
      </c>
      <c r="F102" s="64">
        <v>2.13</v>
      </c>
      <c r="G102" s="64">
        <v>118.53</v>
      </c>
      <c r="H102" s="64">
        <v>34.97</v>
      </c>
      <c r="I102" s="210" t="s">
        <v>43</v>
      </c>
      <c r="J102" s="64">
        <v>1.45</v>
      </c>
      <c r="K102" s="64">
        <v>310.22000000000003</v>
      </c>
      <c r="L102" s="64">
        <v>15.61</v>
      </c>
      <c r="M102" s="64">
        <v>67.239999999999995</v>
      </c>
      <c r="N102" s="64">
        <v>77.2</v>
      </c>
      <c r="O102" s="64">
        <v>0</v>
      </c>
      <c r="P102" s="64">
        <v>1.92</v>
      </c>
      <c r="Q102" s="64">
        <v>9.73</v>
      </c>
      <c r="R102" s="198"/>
      <c r="S102" s="198"/>
      <c r="T102" s="198"/>
      <c r="U102" s="198"/>
    </row>
    <row r="103" spans="1:33" s="12" customFormat="1" x14ac:dyDescent="0.25">
      <c r="A103" s="214" t="s">
        <v>2930</v>
      </c>
      <c r="B103" s="64">
        <v>98</v>
      </c>
      <c r="C103" s="64">
        <v>85.66</v>
      </c>
      <c r="D103" s="64">
        <v>121.97</v>
      </c>
      <c r="E103" s="64">
        <v>8.41</v>
      </c>
      <c r="F103" s="64">
        <v>2.13</v>
      </c>
      <c r="G103" s="64">
        <v>118.53</v>
      </c>
      <c r="H103" s="64">
        <v>34.97</v>
      </c>
      <c r="I103" s="210" t="s">
        <v>43</v>
      </c>
      <c r="J103" s="64">
        <v>0.28999999999999998</v>
      </c>
      <c r="K103" s="64">
        <v>350.83</v>
      </c>
      <c r="L103" s="64">
        <v>15.66</v>
      </c>
      <c r="M103" s="64">
        <v>65.89</v>
      </c>
      <c r="N103" s="64">
        <v>76.900000000000006</v>
      </c>
      <c r="O103" s="64">
        <v>0</v>
      </c>
      <c r="P103" s="64">
        <v>1.94</v>
      </c>
      <c r="Q103" s="64">
        <v>9.74</v>
      </c>
      <c r="R103" s="198"/>
      <c r="S103" s="198"/>
      <c r="T103" s="198"/>
      <c r="U103" s="198"/>
    </row>
    <row r="104" spans="1:33" s="12" customFormat="1" x14ac:dyDescent="0.25">
      <c r="A104" s="214" t="s">
        <v>2931</v>
      </c>
      <c r="B104" s="64">
        <v>96.88</v>
      </c>
      <c r="C104" s="64">
        <v>83.27</v>
      </c>
      <c r="D104" s="64">
        <v>119.82</v>
      </c>
      <c r="E104" s="64">
        <v>6.87</v>
      </c>
      <c r="F104" s="64">
        <v>2.13</v>
      </c>
      <c r="G104" s="64">
        <v>118.12</v>
      </c>
      <c r="H104" s="64">
        <v>41.43</v>
      </c>
      <c r="I104" s="210" t="s">
        <v>43</v>
      </c>
      <c r="J104" s="64">
        <v>1.05</v>
      </c>
      <c r="K104" s="64">
        <v>112.37</v>
      </c>
      <c r="L104" s="64">
        <v>15.51</v>
      </c>
      <c r="M104" s="64">
        <v>65.56</v>
      </c>
      <c r="N104" s="64">
        <v>77.5</v>
      </c>
      <c r="O104" s="64">
        <v>0</v>
      </c>
      <c r="P104" s="64">
        <v>1.9</v>
      </c>
      <c r="Q104" s="64">
        <v>9.77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6.94</v>
      </c>
      <c r="C106" s="67">
        <f>MIN(C9:C104)</f>
        <v>53.11</v>
      </c>
      <c r="D106" s="67">
        <f t="shared" ref="D106:Q106" si="0">MIN(D9:D104)</f>
        <v>39.68</v>
      </c>
      <c r="E106" s="67">
        <f t="shared" si="0"/>
        <v>4.5599999999999996</v>
      </c>
      <c r="F106" s="67">
        <f t="shared" si="0"/>
        <v>2.13</v>
      </c>
      <c r="G106" s="67">
        <f t="shared" si="0"/>
        <v>50.89</v>
      </c>
      <c r="H106" s="67">
        <f t="shared" si="0"/>
        <v>9.7899999999999991</v>
      </c>
      <c r="I106" s="67">
        <f t="shared" si="0"/>
        <v>0</v>
      </c>
      <c r="J106" s="67">
        <f t="shared" si="0"/>
        <v>0.28999999999999998</v>
      </c>
      <c r="K106" s="67">
        <f t="shared" si="0"/>
        <v>0.77</v>
      </c>
      <c r="L106" s="67">
        <f t="shared" si="0"/>
        <v>11.64</v>
      </c>
      <c r="M106" s="67">
        <f t="shared" si="0"/>
        <v>20.61</v>
      </c>
      <c r="N106" s="67">
        <f t="shared" si="0"/>
        <v>75.099999999999994</v>
      </c>
      <c r="O106" s="67">
        <f t="shared" si="0"/>
        <v>0</v>
      </c>
      <c r="P106" s="67">
        <f t="shared" si="0"/>
        <v>0.62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101.03</v>
      </c>
      <c r="C107" s="66">
        <f t="shared" ref="C107:Q107" si="1">MAX(C9:C104)</f>
        <v>85.66</v>
      </c>
      <c r="D107" s="66">
        <f t="shared" si="1"/>
        <v>121.97</v>
      </c>
      <c r="E107" s="66">
        <f t="shared" si="1"/>
        <v>9.0399999999999991</v>
      </c>
      <c r="F107" s="66">
        <f t="shared" si="1"/>
        <v>2.13</v>
      </c>
      <c r="G107" s="66">
        <f t="shared" si="1"/>
        <v>203.3</v>
      </c>
      <c r="H107" s="66">
        <f t="shared" si="1"/>
        <v>66.84</v>
      </c>
      <c r="I107" s="66">
        <f t="shared" si="1"/>
        <v>0</v>
      </c>
      <c r="J107" s="66">
        <f t="shared" si="1"/>
        <v>2.72</v>
      </c>
      <c r="K107" s="66">
        <f t="shared" si="1"/>
        <v>350.83</v>
      </c>
      <c r="L107" s="66">
        <f t="shared" si="1"/>
        <v>29.14</v>
      </c>
      <c r="M107" s="66">
        <f t="shared" si="1"/>
        <v>82.64</v>
      </c>
      <c r="N107" s="66">
        <f t="shared" si="1"/>
        <v>637.9</v>
      </c>
      <c r="O107" s="66">
        <f t="shared" si="1"/>
        <v>0</v>
      </c>
      <c r="P107" s="66">
        <f t="shared" si="1"/>
        <v>1.94</v>
      </c>
      <c r="Q107" s="66">
        <f t="shared" si="1"/>
        <v>10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48.788645833333334</v>
      </c>
      <c r="C108" s="67">
        <f t="shared" ref="C108:Q108" si="2">AVERAGE(C9:C104)</f>
        <v>68.075937499999966</v>
      </c>
      <c r="D108" s="67">
        <f t="shared" si="2"/>
        <v>73.316041666666663</v>
      </c>
      <c r="E108" s="67">
        <f t="shared" si="2"/>
        <v>6.8681249999999983</v>
      </c>
      <c r="F108" s="67">
        <f t="shared" si="2"/>
        <v>2.1299999999999972</v>
      </c>
      <c r="G108" s="67">
        <f t="shared" si="2"/>
        <v>103.85635416666668</v>
      </c>
      <c r="H108" s="67">
        <f t="shared" si="2"/>
        <v>31.913958333333341</v>
      </c>
      <c r="I108" s="67" t="e">
        <f t="shared" si="2"/>
        <v>#DIV/0!</v>
      </c>
      <c r="J108" s="67">
        <f t="shared" si="2"/>
        <v>1.2935416666666659</v>
      </c>
      <c r="K108" s="67">
        <f t="shared" si="2"/>
        <v>192.63364583333342</v>
      </c>
      <c r="L108" s="67">
        <f t="shared" si="2"/>
        <v>18.580833333333327</v>
      </c>
      <c r="M108" s="67">
        <f t="shared" si="2"/>
        <v>48.780312499999987</v>
      </c>
      <c r="N108" s="67">
        <f t="shared" si="2"/>
        <v>212.05937500000005</v>
      </c>
      <c r="O108" s="67">
        <f t="shared" si="2"/>
        <v>0</v>
      </c>
      <c r="P108" s="67">
        <f t="shared" si="2"/>
        <v>1.1384375000000009</v>
      </c>
      <c r="Q108" s="67">
        <f t="shared" si="2"/>
        <v>8.6611458333333342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31.488430310355071</v>
      </c>
      <c r="C109" s="67">
        <f t="shared" ref="C109:Q109" si="3">STDEV(C9:C104)</f>
        <v>9.4196047048726701</v>
      </c>
      <c r="D109" s="67">
        <f t="shared" si="3"/>
        <v>25.911591248103118</v>
      </c>
      <c r="E109" s="67">
        <f t="shared" si="3"/>
        <v>1.3300338836206351</v>
      </c>
      <c r="F109" s="67">
        <f t="shared" si="3"/>
        <v>2.678522416932523E-15</v>
      </c>
      <c r="G109" s="67">
        <f t="shared" si="3"/>
        <v>40.058764600332104</v>
      </c>
      <c r="H109" s="67">
        <f t="shared" si="3"/>
        <v>15.058729343135942</v>
      </c>
      <c r="I109" s="67" t="e">
        <f t="shared" si="3"/>
        <v>#DIV/0!</v>
      </c>
      <c r="J109" s="67">
        <f t="shared" si="3"/>
        <v>0.55947716037605844</v>
      </c>
      <c r="K109" s="67">
        <f t="shared" si="3"/>
        <v>120.63610938093095</v>
      </c>
      <c r="L109" s="67">
        <f t="shared" si="3"/>
        <v>5.2265944767660875</v>
      </c>
      <c r="M109" s="67">
        <f t="shared" si="3"/>
        <v>18.926327886564188</v>
      </c>
      <c r="N109" s="67">
        <f t="shared" si="3"/>
        <v>206.40691317376221</v>
      </c>
      <c r="O109" s="67">
        <f t="shared" si="3"/>
        <v>0</v>
      </c>
      <c r="P109" s="67">
        <f t="shared" si="3"/>
        <v>0.36518294802237666</v>
      </c>
      <c r="Q109" s="67">
        <f t="shared" si="3"/>
        <v>0.63706707866542489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2932</v>
      </c>
      <c r="B9" s="64">
        <v>95.56</v>
      </c>
      <c r="C9" s="64">
        <v>80.540000000000006</v>
      </c>
      <c r="D9" s="64">
        <v>117.34</v>
      </c>
      <c r="E9" s="64">
        <v>6.56</v>
      </c>
      <c r="F9" s="64">
        <v>2.13</v>
      </c>
      <c r="G9" s="64">
        <v>117.62</v>
      </c>
      <c r="H9" s="64">
        <v>49.15</v>
      </c>
      <c r="I9" s="210" t="s">
        <v>43</v>
      </c>
      <c r="J9" s="64">
        <v>0.84</v>
      </c>
      <c r="K9" s="64">
        <v>151.36000000000001</v>
      </c>
      <c r="L9" s="64">
        <v>15.18</v>
      </c>
      <c r="M9" s="64">
        <v>64.73</v>
      </c>
      <c r="N9" s="64">
        <v>77.5</v>
      </c>
      <c r="O9" s="64">
        <v>0</v>
      </c>
      <c r="P9" s="64">
        <v>1.86</v>
      </c>
      <c r="Q9" s="64">
        <v>9.77</v>
      </c>
      <c r="R9" s="198"/>
      <c r="S9" s="198"/>
      <c r="T9" s="198"/>
      <c r="U9" s="198"/>
    </row>
    <row r="10" spans="1:21" s="12" customFormat="1" x14ac:dyDescent="0.25">
      <c r="A10" s="214" t="s">
        <v>2933</v>
      </c>
      <c r="B10" s="64">
        <v>93.84</v>
      </c>
      <c r="C10" s="64">
        <v>79.66</v>
      </c>
      <c r="D10" s="64">
        <v>115.49</v>
      </c>
      <c r="E10" s="64">
        <v>6.77</v>
      </c>
      <c r="F10" s="64">
        <v>2.13</v>
      </c>
      <c r="G10" s="64">
        <v>117.62</v>
      </c>
      <c r="H10" s="64">
        <v>49.15</v>
      </c>
      <c r="I10" s="210" t="s">
        <v>43</v>
      </c>
      <c r="J10" s="64">
        <v>1.43</v>
      </c>
      <c r="K10" s="64">
        <v>279.8</v>
      </c>
      <c r="L10" s="64">
        <v>14.99</v>
      </c>
      <c r="M10" s="64">
        <v>63.07</v>
      </c>
      <c r="N10" s="64">
        <v>77.5</v>
      </c>
      <c r="O10" s="64">
        <v>0</v>
      </c>
      <c r="P10" s="64">
        <v>1.85</v>
      </c>
      <c r="Q10" s="64">
        <v>9.7200000000000006</v>
      </c>
      <c r="R10" s="198"/>
      <c r="S10" s="198"/>
      <c r="T10" s="198"/>
      <c r="U10" s="198"/>
    </row>
    <row r="11" spans="1:21" s="12" customFormat="1" x14ac:dyDescent="0.25">
      <c r="A11" s="214" t="s">
        <v>2934</v>
      </c>
      <c r="B11" s="64">
        <v>91.51</v>
      </c>
      <c r="C11" s="64">
        <v>78.260000000000005</v>
      </c>
      <c r="D11" s="64">
        <v>112.9</v>
      </c>
      <c r="E11" s="64">
        <v>6.63</v>
      </c>
      <c r="F11" s="64">
        <v>2.13</v>
      </c>
      <c r="G11" s="64">
        <v>117.62</v>
      </c>
      <c r="H11" s="64">
        <v>49.15</v>
      </c>
      <c r="I11" s="210" t="s">
        <v>43</v>
      </c>
      <c r="J11" s="64">
        <v>1.64</v>
      </c>
      <c r="K11" s="64">
        <v>314.19</v>
      </c>
      <c r="L11" s="64">
        <v>14.65</v>
      </c>
      <c r="M11" s="64">
        <v>63.46</v>
      </c>
      <c r="N11" s="64">
        <v>77.5</v>
      </c>
      <c r="O11" s="64">
        <v>0</v>
      </c>
      <c r="P11" s="64">
        <v>1.79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4" t="s">
        <v>2935</v>
      </c>
      <c r="B12" s="64">
        <v>88.83</v>
      </c>
      <c r="C12" s="64">
        <v>77.09</v>
      </c>
      <c r="D12" s="64">
        <v>110.13</v>
      </c>
      <c r="E12" s="64">
        <v>6.55</v>
      </c>
      <c r="F12" s="64">
        <v>2.13</v>
      </c>
      <c r="G12" s="64">
        <v>114.83</v>
      </c>
      <c r="H12" s="64">
        <v>43.51</v>
      </c>
      <c r="I12" s="210" t="s">
        <v>43</v>
      </c>
      <c r="J12" s="64">
        <v>1.54</v>
      </c>
      <c r="K12" s="64">
        <v>266.7</v>
      </c>
      <c r="L12" s="64">
        <v>14.61</v>
      </c>
      <c r="M12" s="64">
        <v>68.88</v>
      </c>
      <c r="N12" s="64">
        <v>77.2</v>
      </c>
      <c r="O12" s="64">
        <v>0</v>
      </c>
      <c r="P12" s="64">
        <v>1.72</v>
      </c>
      <c r="Q12" s="64">
        <v>9.67</v>
      </c>
      <c r="R12" s="198"/>
      <c r="S12" s="198"/>
      <c r="T12" s="198"/>
      <c r="U12" s="198"/>
    </row>
    <row r="13" spans="1:21" s="12" customFormat="1" x14ac:dyDescent="0.25">
      <c r="A13" s="214" t="s">
        <v>2936</v>
      </c>
      <c r="B13" s="64">
        <v>86.12</v>
      </c>
      <c r="C13" s="64">
        <v>74.69</v>
      </c>
      <c r="D13" s="64">
        <v>106.71</v>
      </c>
      <c r="E13" s="64">
        <v>6.39</v>
      </c>
      <c r="F13" s="64">
        <v>2.13</v>
      </c>
      <c r="G13" s="64">
        <v>111.49</v>
      </c>
      <c r="H13" s="64">
        <v>36.770000000000003</v>
      </c>
      <c r="I13" s="210" t="s">
        <v>43</v>
      </c>
      <c r="J13" s="64">
        <v>1.67</v>
      </c>
      <c r="K13" s="64">
        <v>274.33999999999997</v>
      </c>
      <c r="L13" s="64">
        <v>14.42</v>
      </c>
      <c r="M13" s="64">
        <v>71.58</v>
      </c>
      <c r="N13" s="64">
        <v>77.3</v>
      </c>
      <c r="O13" s="64">
        <v>0</v>
      </c>
      <c r="P13" s="64">
        <v>1.59</v>
      </c>
      <c r="Q13" s="64">
        <v>9.5299999999999994</v>
      </c>
      <c r="R13" s="198"/>
      <c r="S13" s="198"/>
      <c r="T13" s="198"/>
      <c r="U13" s="198"/>
    </row>
    <row r="14" spans="1:21" s="12" customFormat="1" x14ac:dyDescent="0.25">
      <c r="A14" s="214" t="s">
        <v>2937</v>
      </c>
      <c r="B14" s="64">
        <v>83.6</v>
      </c>
      <c r="C14" s="64">
        <v>73.34</v>
      </c>
      <c r="D14" s="64">
        <v>103.98</v>
      </c>
      <c r="E14" s="64">
        <v>6.68</v>
      </c>
      <c r="F14" s="64">
        <v>2.13</v>
      </c>
      <c r="G14" s="64">
        <v>111.49</v>
      </c>
      <c r="H14" s="64">
        <v>36.770000000000003</v>
      </c>
      <c r="I14" s="210" t="s">
        <v>43</v>
      </c>
      <c r="J14" s="64">
        <v>1.58</v>
      </c>
      <c r="K14" s="64">
        <v>292.56</v>
      </c>
      <c r="L14" s="64">
        <v>14.29</v>
      </c>
      <c r="M14" s="64">
        <v>76.959999999999994</v>
      </c>
      <c r="N14" s="64">
        <v>77.400000000000006</v>
      </c>
      <c r="O14" s="64">
        <v>0</v>
      </c>
      <c r="P14" s="64">
        <v>1.64</v>
      </c>
      <c r="Q14" s="64">
        <v>9.39</v>
      </c>
      <c r="R14" s="198"/>
      <c r="S14" s="198"/>
      <c r="T14" s="198"/>
      <c r="U14" s="198"/>
    </row>
    <row r="15" spans="1:21" s="12" customFormat="1" x14ac:dyDescent="0.25">
      <c r="A15" s="214" t="s">
        <v>2938</v>
      </c>
      <c r="B15" s="64">
        <v>81.56</v>
      </c>
      <c r="C15" s="64">
        <v>71.81</v>
      </c>
      <c r="D15" s="64">
        <v>101.55</v>
      </c>
      <c r="E15" s="64">
        <v>6.6</v>
      </c>
      <c r="F15" s="64">
        <v>2.13</v>
      </c>
      <c r="G15" s="64">
        <v>111.49</v>
      </c>
      <c r="H15" s="64">
        <v>36.770000000000003</v>
      </c>
      <c r="I15" s="210" t="s">
        <v>43</v>
      </c>
      <c r="J15" s="64">
        <v>1.64</v>
      </c>
      <c r="K15" s="64">
        <v>320.73</v>
      </c>
      <c r="L15" s="64">
        <v>13.84</v>
      </c>
      <c r="M15" s="64">
        <v>82.83</v>
      </c>
      <c r="N15" s="64">
        <v>77.7</v>
      </c>
      <c r="O15" s="64">
        <v>0</v>
      </c>
      <c r="P15" s="64">
        <v>1.67</v>
      </c>
      <c r="Q15" s="64">
        <v>9.27</v>
      </c>
      <c r="R15" s="198"/>
      <c r="S15" s="198"/>
      <c r="T15" s="198"/>
      <c r="U15" s="198"/>
    </row>
    <row r="16" spans="1:21" s="12" customFormat="1" x14ac:dyDescent="0.25">
      <c r="A16" s="214" t="s">
        <v>2939</v>
      </c>
      <c r="B16" s="64">
        <v>80.400000000000006</v>
      </c>
      <c r="C16" s="64">
        <v>71.36</v>
      </c>
      <c r="D16" s="64">
        <v>100.38</v>
      </c>
      <c r="E16" s="64">
        <v>6.82</v>
      </c>
      <c r="F16" s="64">
        <v>2.13</v>
      </c>
      <c r="G16" s="64">
        <v>113.47</v>
      </c>
      <c r="H16" s="64">
        <v>39.909999999999997</v>
      </c>
      <c r="I16" s="210" t="s">
        <v>43</v>
      </c>
      <c r="J16" s="64">
        <v>1.42</v>
      </c>
      <c r="K16" s="64">
        <v>302.89999999999998</v>
      </c>
      <c r="L16" s="64">
        <v>13.67</v>
      </c>
      <c r="M16" s="64">
        <v>85.54</v>
      </c>
      <c r="N16" s="64">
        <v>77.3</v>
      </c>
      <c r="O16" s="64">
        <v>0</v>
      </c>
      <c r="P16" s="64">
        <v>1.69</v>
      </c>
      <c r="Q16" s="64">
        <v>9.18</v>
      </c>
      <c r="R16" s="198"/>
      <c r="S16" s="198"/>
      <c r="T16" s="198"/>
      <c r="U16" s="198"/>
    </row>
    <row r="17" spans="1:21" s="12" customFormat="1" x14ac:dyDescent="0.25">
      <c r="A17" s="214" t="s">
        <v>2940</v>
      </c>
      <c r="B17" s="64">
        <v>79.099999999999994</v>
      </c>
      <c r="C17" s="64">
        <v>70.86</v>
      </c>
      <c r="D17" s="64">
        <v>99.07</v>
      </c>
      <c r="E17" s="64">
        <v>6.59</v>
      </c>
      <c r="F17" s="64">
        <v>2.13</v>
      </c>
      <c r="G17" s="64">
        <v>115.94</v>
      </c>
      <c r="H17" s="64">
        <v>43.83</v>
      </c>
      <c r="I17" s="210" t="s">
        <v>43</v>
      </c>
      <c r="J17" s="64">
        <v>1.39</v>
      </c>
      <c r="K17" s="64">
        <v>329.63</v>
      </c>
      <c r="L17" s="64">
        <v>13.58</v>
      </c>
      <c r="M17" s="64">
        <v>84.21</v>
      </c>
      <c r="N17" s="64">
        <v>77.400000000000006</v>
      </c>
      <c r="O17" s="64">
        <v>0</v>
      </c>
      <c r="P17" s="64">
        <v>1.67</v>
      </c>
      <c r="Q17" s="64">
        <v>9.1199999999999992</v>
      </c>
      <c r="R17" s="198"/>
      <c r="S17" s="198"/>
      <c r="T17" s="198"/>
      <c r="U17" s="198"/>
    </row>
    <row r="18" spans="1:21" s="12" customFormat="1" x14ac:dyDescent="0.25">
      <c r="A18" s="214" t="s">
        <v>2941</v>
      </c>
      <c r="B18" s="64">
        <v>76.97</v>
      </c>
      <c r="C18" s="64">
        <v>69.69</v>
      </c>
      <c r="D18" s="64">
        <v>96.75</v>
      </c>
      <c r="E18" s="64">
        <v>6.71</v>
      </c>
      <c r="F18" s="64">
        <v>2.13</v>
      </c>
      <c r="G18" s="64">
        <v>115.94</v>
      </c>
      <c r="H18" s="64">
        <v>43.83</v>
      </c>
      <c r="I18" s="210" t="s">
        <v>43</v>
      </c>
      <c r="J18" s="64">
        <v>1.55</v>
      </c>
      <c r="K18" s="64">
        <v>288.92</v>
      </c>
      <c r="L18" s="64">
        <v>13.32</v>
      </c>
      <c r="M18" s="64">
        <v>86.42</v>
      </c>
      <c r="N18" s="64">
        <v>77.5</v>
      </c>
      <c r="O18" s="64">
        <v>0</v>
      </c>
      <c r="P18" s="64">
        <v>1.62</v>
      </c>
      <c r="Q18" s="64">
        <v>9.02</v>
      </c>
      <c r="R18" s="198"/>
      <c r="S18" s="198"/>
      <c r="T18" s="198"/>
      <c r="U18" s="198"/>
    </row>
    <row r="19" spans="1:21" s="12" customFormat="1" x14ac:dyDescent="0.25">
      <c r="A19" s="214" t="s">
        <v>2942</v>
      </c>
      <c r="B19" s="64">
        <v>74.849999999999994</v>
      </c>
      <c r="C19" s="64">
        <v>68.7</v>
      </c>
      <c r="D19" s="64">
        <v>94.54</v>
      </c>
      <c r="E19" s="64">
        <v>6.24</v>
      </c>
      <c r="F19" s="64">
        <v>2.13</v>
      </c>
      <c r="G19" s="64">
        <v>115.94</v>
      </c>
      <c r="H19" s="64">
        <v>43.83</v>
      </c>
      <c r="I19" s="210" t="s">
        <v>43</v>
      </c>
      <c r="J19" s="64">
        <v>1.7</v>
      </c>
      <c r="K19" s="64">
        <v>270.7</v>
      </c>
      <c r="L19" s="64">
        <v>13.27</v>
      </c>
      <c r="M19" s="64">
        <v>86.29</v>
      </c>
      <c r="N19" s="64">
        <v>77.3</v>
      </c>
      <c r="O19" s="64">
        <v>0</v>
      </c>
      <c r="P19" s="64">
        <v>1.61</v>
      </c>
      <c r="Q19" s="64">
        <v>8.89</v>
      </c>
      <c r="R19" s="198"/>
      <c r="S19" s="198"/>
      <c r="T19" s="198"/>
      <c r="U19" s="198"/>
    </row>
    <row r="20" spans="1:21" s="12" customFormat="1" x14ac:dyDescent="0.25">
      <c r="A20" s="214" t="s">
        <v>2943</v>
      </c>
      <c r="B20" s="64">
        <v>72.97</v>
      </c>
      <c r="C20" s="64">
        <v>67.78</v>
      </c>
      <c r="D20" s="64">
        <v>92.55</v>
      </c>
      <c r="E20" s="64">
        <v>6.64</v>
      </c>
      <c r="F20" s="64">
        <v>2.13</v>
      </c>
      <c r="G20" s="64">
        <v>116.43</v>
      </c>
      <c r="H20" s="64">
        <v>41.65</v>
      </c>
      <c r="I20" s="210" t="s">
        <v>43</v>
      </c>
      <c r="J20" s="64">
        <v>1.63</v>
      </c>
      <c r="K20" s="64">
        <v>274.95</v>
      </c>
      <c r="L20" s="64">
        <v>13.34</v>
      </c>
      <c r="M20" s="64">
        <v>85.93</v>
      </c>
      <c r="N20" s="64">
        <v>77.599999999999994</v>
      </c>
      <c r="O20" s="64">
        <v>0</v>
      </c>
      <c r="P20" s="64">
        <v>1.59</v>
      </c>
      <c r="Q20" s="64">
        <v>8.73</v>
      </c>
      <c r="R20" s="198"/>
      <c r="S20" s="198"/>
      <c r="T20" s="198"/>
      <c r="U20" s="198"/>
    </row>
    <row r="21" spans="1:21" s="12" customFormat="1" x14ac:dyDescent="0.25">
      <c r="A21" s="214" t="s">
        <v>2944</v>
      </c>
      <c r="B21" s="64">
        <v>71.58</v>
      </c>
      <c r="C21" s="64">
        <v>66.989999999999995</v>
      </c>
      <c r="D21" s="64">
        <v>91.03</v>
      </c>
      <c r="E21" s="64">
        <v>6.42</v>
      </c>
      <c r="F21" s="64">
        <v>2.13</v>
      </c>
      <c r="G21" s="64">
        <v>117.02</v>
      </c>
      <c r="H21" s="64">
        <v>38.93</v>
      </c>
      <c r="I21" s="210" t="s">
        <v>43</v>
      </c>
      <c r="J21" s="64">
        <v>1.64</v>
      </c>
      <c r="K21" s="64">
        <v>334.62</v>
      </c>
      <c r="L21" s="64">
        <v>12.98</v>
      </c>
      <c r="M21" s="64">
        <v>89.19</v>
      </c>
      <c r="N21" s="64">
        <v>77.7</v>
      </c>
      <c r="O21" s="64">
        <v>0</v>
      </c>
      <c r="P21" s="64">
        <v>1.56</v>
      </c>
      <c r="Q21" s="64">
        <v>8.67</v>
      </c>
      <c r="R21" s="198"/>
      <c r="S21" s="198"/>
      <c r="T21" s="198"/>
      <c r="U21" s="198"/>
    </row>
    <row r="22" spans="1:21" s="12" customFormat="1" x14ac:dyDescent="0.25">
      <c r="A22" s="214" t="s">
        <v>2945</v>
      </c>
      <c r="B22" s="64">
        <v>70.680000000000007</v>
      </c>
      <c r="C22" s="64">
        <v>66.02</v>
      </c>
      <c r="D22" s="64">
        <v>89.8</v>
      </c>
      <c r="E22" s="64">
        <v>6.65</v>
      </c>
      <c r="F22" s="64">
        <v>2.13</v>
      </c>
      <c r="G22" s="64">
        <v>117.02</v>
      </c>
      <c r="H22" s="64">
        <v>38.93</v>
      </c>
      <c r="I22" s="210" t="s">
        <v>43</v>
      </c>
      <c r="J22" s="64">
        <v>0.98</v>
      </c>
      <c r="K22" s="64">
        <v>321.85000000000002</v>
      </c>
      <c r="L22" s="64">
        <v>12.85</v>
      </c>
      <c r="M22" s="64">
        <v>92.18</v>
      </c>
      <c r="N22" s="64">
        <v>77.5</v>
      </c>
      <c r="O22" s="64">
        <v>0</v>
      </c>
      <c r="P22" s="64">
        <v>1.55</v>
      </c>
      <c r="Q22" s="64">
        <v>8.6199999999999992</v>
      </c>
      <c r="R22" s="198"/>
      <c r="S22" s="198"/>
      <c r="T22" s="198"/>
      <c r="U22" s="198"/>
    </row>
    <row r="23" spans="1:21" s="12" customFormat="1" x14ac:dyDescent="0.25">
      <c r="A23" s="214" t="s">
        <v>2946</v>
      </c>
      <c r="B23" s="64">
        <v>69.48</v>
      </c>
      <c r="C23" s="64">
        <v>65.62</v>
      </c>
      <c r="D23" s="64">
        <v>88.62</v>
      </c>
      <c r="E23" s="64">
        <v>6.82</v>
      </c>
      <c r="F23" s="64">
        <v>2.13</v>
      </c>
      <c r="G23" s="64">
        <v>117.02</v>
      </c>
      <c r="H23" s="64">
        <v>38.93</v>
      </c>
      <c r="I23" s="210" t="s">
        <v>43</v>
      </c>
      <c r="J23" s="64">
        <v>0.95</v>
      </c>
      <c r="K23" s="64">
        <v>180.57</v>
      </c>
      <c r="L23" s="64">
        <v>12.75</v>
      </c>
      <c r="M23" s="64">
        <v>93.61</v>
      </c>
      <c r="N23" s="64">
        <v>77.599999999999994</v>
      </c>
      <c r="O23" s="64">
        <v>0</v>
      </c>
      <c r="P23" s="64">
        <v>1.52</v>
      </c>
      <c r="Q23" s="64">
        <v>8.56</v>
      </c>
      <c r="R23" s="198"/>
      <c r="S23" s="198"/>
      <c r="T23" s="198"/>
      <c r="U23" s="198"/>
    </row>
    <row r="24" spans="1:21" s="12" customFormat="1" x14ac:dyDescent="0.25">
      <c r="A24" s="214" t="s">
        <v>2947</v>
      </c>
      <c r="B24" s="64">
        <v>69.349999999999994</v>
      </c>
      <c r="C24" s="64">
        <v>65.12</v>
      </c>
      <c r="D24" s="64">
        <v>88.26</v>
      </c>
      <c r="E24" s="64">
        <v>6.14</v>
      </c>
      <c r="F24" s="64">
        <v>2.13</v>
      </c>
      <c r="G24" s="64">
        <v>129.19</v>
      </c>
      <c r="H24" s="64">
        <v>40.950000000000003</v>
      </c>
      <c r="I24" s="210" t="s">
        <v>43</v>
      </c>
      <c r="J24" s="64">
        <v>1.66</v>
      </c>
      <c r="K24" s="64">
        <v>293.58</v>
      </c>
      <c r="L24" s="64">
        <v>12.64</v>
      </c>
      <c r="M24" s="64">
        <v>94.94</v>
      </c>
      <c r="N24" s="64">
        <v>77.8</v>
      </c>
      <c r="O24" s="64">
        <v>0</v>
      </c>
      <c r="P24" s="64">
        <v>1.49</v>
      </c>
      <c r="Q24" s="64">
        <v>8.48</v>
      </c>
      <c r="R24" s="198"/>
      <c r="S24" s="198"/>
      <c r="T24" s="198"/>
      <c r="U24" s="198"/>
    </row>
    <row r="25" spans="1:21" s="12" customFormat="1" x14ac:dyDescent="0.25">
      <c r="A25" s="214" t="s">
        <v>2948</v>
      </c>
      <c r="B25" s="64">
        <v>69.760000000000005</v>
      </c>
      <c r="C25" s="64">
        <v>61.27</v>
      </c>
      <c r="D25" s="64">
        <v>86.58</v>
      </c>
      <c r="E25" s="64">
        <v>6.11</v>
      </c>
      <c r="F25" s="64">
        <v>2.13</v>
      </c>
      <c r="G25" s="64">
        <v>143.74</v>
      </c>
      <c r="H25" s="64">
        <v>43.48</v>
      </c>
      <c r="I25" s="210" t="s">
        <v>43</v>
      </c>
      <c r="J25" s="64">
        <v>1.57</v>
      </c>
      <c r="K25" s="64">
        <v>313.45999999999998</v>
      </c>
      <c r="L25" s="64">
        <v>12.56</v>
      </c>
      <c r="M25" s="64">
        <v>96.23</v>
      </c>
      <c r="N25" s="64">
        <v>77.599999999999994</v>
      </c>
      <c r="O25" s="64">
        <v>0</v>
      </c>
      <c r="P25" s="64">
        <v>1.47</v>
      </c>
      <c r="Q25" s="64">
        <v>8.4600000000000009</v>
      </c>
      <c r="R25" s="198"/>
      <c r="S25" s="198"/>
      <c r="T25" s="198"/>
      <c r="U25" s="198"/>
    </row>
    <row r="26" spans="1:21" s="12" customFormat="1" x14ac:dyDescent="0.25">
      <c r="A26" s="214" t="s">
        <v>2949</v>
      </c>
      <c r="B26" s="64">
        <v>71.42</v>
      </c>
      <c r="C26" s="64">
        <v>61.23</v>
      </c>
      <c r="D26" s="64">
        <v>87.89</v>
      </c>
      <c r="E26" s="64">
        <v>6.21</v>
      </c>
      <c r="F26" s="64">
        <v>2.13</v>
      </c>
      <c r="G26" s="64">
        <v>143.74</v>
      </c>
      <c r="H26" s="64">
        <v>43.48</v>
      </c>
      <c r="I26" s="210" t="s">
        <v>43</v>
      </c>
      <c r="J26" s="64">
        <v>1.29</v>
      </c>
      <c r="K26" s="64">
        <v>339.1</v>
      </c>
      <c r="L26" s="64">
        <v>12.57</v>
      </c>
      <c r="M26" s="64">
        <v>97.92</v>
      </c>
      <c r="N26" s="64">
        <v>77.5</v>
      </c>
      <c r="O26" s="64">
        <v>0</v>
      </c>
      <c r="P26" s="64">
        <v>1.48</v>
      </c>
      <c r="Q26" s="64">
        <v>8.4600000000000009</v>
      </c>
      <c r="R26" s="198"/>
      <c r="S26" s="198"/>
      <c r="T26" s="198"/>
      <c r="U26" s="198"/>
    </row>
    <row r="27" spans="1:21" s="12" customFormat="1" x14ac:dyDescent="0.25">
      <c r="A27" s="214" t="s">
        <v>2950</v>
      </c>
      <c r="B27" s="64">
        <v>73.73</v>
      </c>
      <c r="C27" s="64">
        <v>61.67</v>
      </c>
      <c r="D27" s="64">
        <v>89.97</v>
      </c>
      <c r="E27" s="64">
        <v>6.38</v>
      </c>
      <c r="F27" s="64">
        <v>2.13</v>
      </c>
      <c r="G27" s="64">
        <v>143.74</v>
      </c>
      <c r="H27" s="64">
        <v>43.48</v>
      </c>
      <c r="I27" s="210" t="s">
        <v>43</v>
      </c>
      <c r="J27" s="64">
        <v>1.38</v>
      </c>
      <c r="K27" s="64">
        <v>65.58</v>
      </c>
      <c r="L27" s="64">
        <v>12.91</v>
      </c>
      <c r="M27" s="64">
        <v>86.61</v>
      </c>
      <c r="N27" s="64">
        <v>77.400000000000006</v>
      </c>
      <c r="O27" s="64">
        <v>0</v>
      </c>
      <c r="P27" s="64">
        <v>1.4</v>
      </c>
      <c r="Q27" s="64">
        <v>8.5500000000000007</v>
      </c>
      <c r="R27" s="198"/>
      <c r="S27" s="198"/>
      <c r="T27" s="198"/>
      <c r="U27" s="198"/>
    </row>
    <row r="28" spans="1:21" s="12" customFormat="1" x14ac:dyDescent="0.25">
      <c r="A28" s="214" t="s">
        <v>2951</v>
      </c>
      <c r="B28" s="64">
        <v>74.13</v>
      </c>
      <c r="C28" s="64">
        <v>61.47</v>
      </c>
      <c r="D28" s="64">
        <v>90.18</v>
      </c>
      <c r="E28" s="64">
        <v>6.1</v>
      </c>
      <c r="F28" s="64">
        <v>2.13</v>
      </c>
      <c r="G28" s="64">
        <v>143.22999999999999</v>
      </c>
      <c r="H28" s="64">
        <v>44</v>
      </c>
      <c r="I28" s="210" t="s">
        <v>43</v>
      </c>
      <c r="J28" s="64">
        <v>1.64</v>
      </c>
      <c r="K28" s="64">
        <v>99.48</v>
      </c>
      <c r="L28" s="64">
        <v>13.25</v>
      </c>
      <c r="M28" s="64">
        <v>75.069999999999993</v>
      </c>
      <c r="N28" s="64">
        <v>77.400000000000006</v>
      </c>
      <c r="O28" s="64">
        <v>0</v>
      </c>
      <c r="P28" s="64">
        <v>1.41</v>
      </c>
      <c r="Q28" s="64">
        <v>8.59</v>
      </c>
      <c r="R28" s="198"/>
      <c r="S28" s="198"/>
      <c r="T28" s="198"/>
      <c r="U28" s="198"/>
    </row>
    <row r="29" spans="1:21" s="12" customFormat="1" x14ac:dyDescent="0.25">
      <c r="A29" s="214" t="s">
        <v>2952</v>
      </c>
      <c r="B29" s="64">
        <v>73.53</v>
      </c>
      <c r="C29" s="64">
        <v>61.71</v>
      </c>
      <c r="D29" s="64">
        <v>89.83</v>
      </c>
      <c r="E29" s="64">
        <v>6.76</v>
      </c>
      <c r="F29" s="64">
        <v>2.13</v>
      </c>
      <c r="G29" s="64">
        <v>142.6</v>
      </c>
      <c r="H29" s="64">
        <v>44.66</v>
      </c>
      <c r="I29" s="210" t="s">
        <v>43</v>
      </c>
      <c r="J29" s="64">
        <v>1.33</v>
      </c>
      <c r="K29" s="64">
        <v>127.7</v>
      </c>
      <c r="L29" s="64">
        <v>13.33</v>
      </c>
      <c r="M29" s="64">
        <v>74.739999999999995</v>
      </c>
      <c r="N29" s="64">
        <v>77.5</v>
      </c>
      <c r="O29" s="64">
        <v>0</v>
      </c>
      <c r="P29" s="64">
        <v>1.34</v>
      </c>
      <c r="Q29" s="64">
        <v>8.57</v>
      </c>
      <c r="R29" s="198"/>
      <c r="S29" s="198"/>
      <c r="T29" s="198"/>
      <c r="U29" s="198"/>
    </row>
    <row r="30" spans="1:21" s="12" customFormat="1" x14ac:dyDescent="0.25">
      <c r="A30" s="214" t="s">
        <v>2953</v>
      </c>
      <c r="B30" s="64">
        <v>72.3</v>
      </c>
      <c r="C30" s="64">
        <v>61.25</v>
      </c>
      <c r="D30" s="64">
        <v>88.6</v>
      </c>
      <c r="E30" s="64">
        <v>6.31</v>
      </c>
      <c r="F30" s="64">
        <v>2.13</v>
      </c>
      <c r="G30" s="64">
        <v>142.6</v>
      </c>
      <c r="H30" s="64">
        <v>44.66</v>
      </c>
      <c r="I30" s="210" t="s">
        <v>43</v>
      </c>
      <c r="J30" s="64">
        <v>1.22</v>
      </c>
      <c r="K30" s="64">
        <v>48.77</v>
      </c>
      <c r="L30" s="64">
        <v>13.32</v>
      </c>
      <c r="M30" s="64">
        <v>76.180000000000007</v>
      </c>
      <c r="N30" s="64">
        <v>77.5</v>
      </c>
      <c r="O30" s="64">
        <v>0</v>
      </c>
      <c r="P30" s="64">
        <v>1.37</v>
      </c>
      <c r="Q30" s="64">
        <v>8.5399999999999991</v>
      </c>
      <c r="R30" s="198"/>
      <c r="S30" s="198"/>
      <c r="T30" s="198"/>
      <c r="U30" s="198"/>
    </row>
    <row r="31" spans="1:21" s="12" customFormat="1" x14ac:dyDescent="0.25">
      <c r="A31" s="214" t="s">
        <v>2954</v>
      </c>
      <c r="B31" s="64">
        <v>71.349999999999994</v>
      </c>
      <c r="C31" s="64">
        <v>60.66</v>
      </c>
      <c r="D31" s="64">
        <v>87.54</v>
      </c>
      <c r="E31" s="64">
        <v>6.2</v>
      </c>
      <c r="F31" s="64">
        <v>2.13</v>
      </c>
      <c r="G31" s="64">
        <v>142.6</v>
      </c>
      <c r="H31" s="64">
        <v>44.66</v>
      </c>
      <c r="I31" s="210" t="s">
        <v>43</v>
      </c>
      <c r="J31" s="64">
        <v>1.22</v>
      </c>
      <c r="K31" s="64">
        <v>341.98</v>
      </c>
      <c r="L31" s="64">
        <v>13.14</v>
      </c>
      <c r="M31" s="64">
        <v>78.63</v>
      </c>
      <c r="N31" s="64">
        <v>77.8</v>
      </c>
      <c r="O31" s="64">
        <v>0</v>
      </c>
      <c r="P31" s="64">
        <v>1.35</v>
      </c>
      <c r="Q31" s="64">
        <v>8.4600000000000009</v>
      </c>
      <c r="R31" s="198"/>
      <c r="S31" s="198"/>
      <c r="T31" s="198"/>
      <c r="U31" s="198"/>
    </row>
    <row r="32" spans="1:21" s="12" customFormat="1" x14ac:dyDescent="0.25">
      <c r="A32" s="214" t="s">
        <v>2955</v>
      </c>
      <c r="B32" s="64">
        <v>71.72</v>
      </c>
      <c r="C32" s="64">
        <v>60.06</v>
      </c>
      <c r="D32" s="64">
        <v>87.51</v>
      </c>
      <c r="E32" s="64">
        <v>6.49</v>
      </c>
      <c r="F32" s="64">
        <v>2.13</v>
      </c>
      <c r="G32" s="64">
        <v>137.76</v>
      </c>
      <c r="H32" s="64">
        <v>46.21</v>
      </c>
      <c r="I32" s="210" t="s">
        <v>43</v>
      </c>
      <c r="J32" s="64">
        <v>1.1499999999999999</v>
      </c>
      <c r="K32" s="64">
        <v>57.55</v>
      </c>
      <c r="L32" s="64">
        <v>12.9</v>
      </c>
      <c r="M32" s="64">
        <v>76.959999999999994</v>
      </c>
      <c r="N32" s="64">
        <v>77.5</v>
      </c>
      <c r="O32" s="64">
        <v>0</v>
      </c>
      <c r="P32" s="64">
        <v>1.36</v>
      </c>
      <c r="Q32" s="64">
        <v>8.43</v>
      </c>
      <c r="R32" s="198"/>
      <c r="S32" s="198"/>
      <c r="T32" s="198"/>
      <c r="U32" s="198"/>
    </row>
    <row r="33" spans="1:21" s="12" customFormat="1" x14ac:dyDescent="0.25">
      <c r="A33" s="214" t="s">
        <v>2956</v>
      </c>
      <c r="B33" s="64">
        <v>71.87</v>
      </c>
      <c r="C33" s="64">
        <v>61.4</v>
      </c>
      <c r="D33" s="64">
        <v>88.33</v>
      </c>
      <c r="E33" s="64">
        <v>6.69</v>
      </c>
      <c r="F33" s="64">
        <v>2.13</v>
      </c>
      <c r="G33" s="64">
        <v>131.97999999999999</v>
      </c>
      <c r="H33" s="64">
        <v>48.06</v>
      </c>
      <c r="I33" s="210" t="s">
        <v>43</v>
      </c>
      <c r="J33" s="64">
        <v>0.84</v>
      </c>
      <c r="K33" s="64">
        <v>68.650000000000006</v>
      </c>
      <c r="L33" s="64">
        <v>13.09</v>
      </c>
      <c r="M33" s="64">
        <v>66.25</v>
      </c>
      <c r="N33" s="64">
        <v>77.599999999999994</v>
      </c>
      <c r="O33" s="64">
        <v>0</v>
      </c>
      <c r="P33" s="64">
        <v>1.36</v>
      </c>
      <c r="Q33" s="64">
        <v>8.44</v>
      </c>
      <c r="R33" s="198"/>
      <c r="S33" s="198"/>
      <c r="T33" s="198"/>
      <c r="U33" s="198"/>
    </row>
    <row r="34" spans="1:21" s="12" customFormat="1" x14ac:dyDescent="0.25">
      <c r="A34" s="214" t="s">
        <v>2957</v>
      </c>
      <c r="B34" s="64">
        <v>70.239999999999995</v>
      </c>
      <c r="C34" s="64">
        <v>61.53</v>
      </c>
      <c r="D34" s="64">
        <v>87.09</v>
      </c>
      <c r="E34" s="64">
        <v>6.56</v>
      </c>
      <c r="F34" s="64">
        <v>2.13</v>
      </c>
      <c r="G34" s="64">
        <v>131.97999999999999</v>
      </c>
      <c r="H34" s="64">
        <v>48.06</v>
      </c>
      <c r="I34" s="210" t="s">
        <v>43</v>
      </c>
      <c r="J34" s="64">
        <v>1.43</v>
      </c>
      <c r="K34" s="64">
        <v>8.36</v>
      </c>
      <c r="L34" s="64">
        <v>12.96</v>
      </c>
      <c r="M34" s="64">
        <v>67.06</v>
      </c>
      <c r="N34" s="64">
        <v>78.7</v>
      </c>
      <c r="O34" s="64">
        <v>0</v>
      </c>
      <c r="P34" s="64">
        <v>1.34</v>
      </c>
      <c r="Q34" s="64">
        <v>8.36</v>
      </c>
      <c r="R34" s="198"/>
      <c r="S34" s="198"/>
      <c r="T34" s="198"/>
      <c r="U34" s="198"/>
    </row>
    <row r="35" spans="1:21" s="12" customFormat="1" x14ac:dyDescent="0.25">
      <c r="A35" s="214" t="s">
        <v>2958</v>
      </c>
      <c r="B35" s="64">
        <v>69.25</v>
      </c>
      <c r="C35" s="64">
        <v>61.43</v>
      </c>
      <c r="D35" s="64">
        <v>86.25</v>
      </c>
      <c r="E35" s="64">
        <v>6.76</v>
      </c>
      <c r="F35" s="64">
        <v>2.13</v>
      </c>
      <c r="G35" s="64">
        <v>131.97999999999999</v>
      </c>
      <c r="H35" s="64">
        <v>48.06</v>
      </c>
      <c r="I35" s="210" t="s">
        <v>43</v>
      </c>
      <c r="J35" s="64">
        <v>1.23</v>
      </c>
      <c r="K35" s="64">
        <v>24.13</v>
      </c>
      <c r="L35" s="64">
        <v>12.82</v>
      </c>
      <c r="M35" s="64">
        <v>67.73</v>
      </c>
      <c r="N35" s="64">
        <v>81.3</v>
      </c>
      <c r="O35" s="64">
        <v>0</v>
      </c>
      <c r="P35" s="64">
        <v>1.34</v>
      </c>
      <c r="Q35" s="64">
        <v>8.31</v>
      </c>
      <c r="R35" s="198"/>
      <c r="S35" s="198"/>
      <c r="T35" s="198"/>
      <c r="U35" s="198"/>
    </row>
    <row r="36" spans="1:21" s="12" customFormat="1" x14ac:dyDescent="0.25">
      <c r="A36" s="214" t="s">
        <v>2959</v>
      </c>
      <c r="B36" s="64">
        <v>68.12</v>
      </c>
      <c r="C36" s="64">
        <v>61.74</v>
      </c>
      <c r="D36" s="64">
        <v>85.51</v>
      </c>
      <c r="E36" s="64">
        <v>6.2</v>
      </c>
      <c r="F36" s="64">
        <v>2.13</v>
      </c>
      <c r="G36" s="64">
        <v>129.59</v>
      </c>
      <c r="H36" s="64">
        <v>45.38</v>
      </c>
      <c r="I36" s="210" t="s">
        <v>43</v>
      </c>
      <c r="J36" s="64">
        <v>0.39</v>
      </c>
      <c r="K36" s="64">
        <v>356.37</v>
      </c>
      <c r="L36" s="64">
        <v>12.85</v>
      </c>
      <c r="M36" s="64">
        <v>66.760000000000005</v>
      </c>
      <c r="N36" s="64">
        <v>93.3</v>
      </c>
      <c r="O36" s="64">
        <v>0</v>
      </c>
      <c r="P36" s="64">
        <v>1.32</v>
      </c>
      <c r="Q36" s="64">
        <v>8.24</v>
      </c>
      <c r="R36" s="198"/>
      <c r="S36" s="198"/>
      <c r="T36" s="198"/>
      <c r="U36" s="198"/>
    </row>
    <row r="37" spans="1:21" s="12" customFormat="1" x14ac:dyDescent="0.25">
      <c r="A37" s="214" t="s">
        <v>2960</v>
      </c>
      <c r="B37" s="64">
        <v>66.22</v>
      </c>
      <c r="C37" s="64">
        <v>61.47</v>
      </c>
      <c r="D37" s="64">
        <v>83.84</v>
      </c>
      <c r="E37" s="64">
        <v>6.63</v>
      </c>
      <c r="F37" s="64">
        <v>2.13</v>
      </c>
      <c r="G37" s="64">
        <v>126.73</v>
      </c>
      <c r="H37" s="64">
        <v>42.17</v>
      </c>
      <c r="I37" s="210" t="s">
        <v>43</v>
      </c>
      <c r="J37" s="64">
        <v>0.68</v>
      </c>
      <c r="K37" s="64">
        <v>12.24</v>
      </c>
      <c r="L37" s="64">
        <v>13.19</v>
      </c>
      <c r="M37" s="64">
        <v>66.19</v>
      </c>
      <c r="N37" s="64">
        <v>106.9</v>
      </c>
      <c r="O37" s="64">
        <v>0</v>
      </c>
      <c r="P37" s="64">
        <v>1.25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2961</v>
      </c>
      <c r="B38" s="64">
        <v>65.260000000000005</v>
      </c>
      <c r="C38" s="64">
        <v>61.56</v>
      </c>
      <c r="D38" s="64">
        <v>83.12</v>
      </c>
      <c r="E38" s="64">
        <v>6.15</v>
      </c>
      <c r="F38" s="64">
        <v>2.13</v>
      </c>
      <c r="G38" s="64">
        <v>126.73</v>
      </c>
      <c r="H38" s="64">
        <v>42.17</v>
      </c>
      <c r="I38" s="210" t="s">
        <v>43</v>
      </c>
      <c r="J38" s="64">
        <v>1.04</v>
      </c>
      <c r="K38" s="64">
        <v>105.64</v>
      </c>
      <c r="L38" s="64">
        <v>13.58</v>
      </c>
      <c r="M38" s="64">
        <v>63.95</v>
      </c>
      <c r="N38" s="64">
        <v>122.2</v>
      </c>
      <c r="O38" s="64">
        <v>0</v>
      </c>
      <c r="P38" s="64">
        <v>1.28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2962</v>
      </c>
      <c r="B39" s="64">
        <v>63.27</v>
      </c>
      <c r="C39" s="64">
        <v>61.69</v>
      </c>
      <c r="D39" s="64">
        <v>81.59</v>
      </c>
      <c r="E39" s="64">
        <v>6.18</v>
      </c>
      <c r="F39" s="64">
        <v>2.13</v>
      </c>
      <c r="G39" s="64">
        <v>126.73</v>
      </c>
      <c r="H39" s="64">
        <v>42.17</v>
      </c>
      <c r="I39" s="210" t="s">
        <v>43</v>
      </c>
      <c r="J39" s="64">
        <v>1.71</v>
      </c>
      <c r="K39" s="64">
        <v>124.62</v>
      </c>
      <c r="L39" s="64">
        <v>14.08</v>
      </c>
      <c r="M39" s="64">
        <v>61.29</v>
      </c>
      <c r="N39" s="64">
        <v>142.19999999999999</v>
      </c>
      <c r="O39" s="64">
        <v>0</v>
      </c>
      <c r="P39" s="64">
        <v>1.26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2963</v>
      </c>
      <c r="B40" s="64">
        <v>60.84</v>
      </c>
      <c r="C40" s="64">
        <v>61.93</v>
      </c>
      <c r="D40" s="64">
        <v>79.77</v>
      </c>
      <c r="E40" s="64">
        <v>6.25</v>
      </c>
      <c r="F40" s="64">
        <v>2.13</v>
      </c>
      <c r="G40" s="64">
        <v>119.58</v>
      </c>
      <c r="H40" s="64">
        <v>40.049999999999997</v>
      </c>
      <c r="I40" s="210" t="s">
        <v>43</v>
      </c>
      <c r="J40" s="64">
        <v>0.64</v>
      </c>
      <c r="K40" s="64">
        <v>84.18</v>
      </c>
      <c r="L40" s="64">
        <v>15.17</v>
      </c>
      <c r="M40" s="64">
        <v>57.81</v>
      </c>
      <c r="N40" s="64">
        <v>196.3</v>
      </c>
      <c r="O40" s="64">
        <v>0</v>
      </c>
      <c r="P40" s="64">
        <v>1.23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2964</v>
      </c>
      <c r="B41" s="64">
        <v>59.12</v>
      </c>
      <c r="C41" s="64">
        <v>61.4</v>
      </c>
      <c r="D41" s="64">
        <v>78.11</v>
      </c>
      <c r="E41" s="64">
        <v>6.46</v>
      </c>
      <c r="F41" s="64">
        <v>2.13</v>
      </c>
      <c r="G41" s="64">
        <v>111.03</v>
      </c>
      <c r="H41" s="64">
        <v>37.53</v>
      </c>
      <c r="I41" s="210" t="s">
        <v>43</v>
      </c>
      <c r="J41" s="64">
        <v>1.95</v>
      </c>
      <c r="K41" s="64">
        <v>112.36</v>
      </c>
      <c r="L41" s="64">
        <v>16.14</v>
      </c>
      <c r="M41" s="64">
        <v>53.93</v>
      </c>
      <c r="N41" s="64">
        <v>220.7</v>
      </c>
      <c r="O41" s="64">
        <v>0</v>
      </c>
      <c r="P41" s="64">
        <v>1.22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2965</v>
      </c>
      <c r="B42" s="64">
        <v>56.72</v>
      </c>
      <c r="C42" s="64">
        <v>59.78</v>
      </c>
      <c r="D42" s="64">
        <v>75.34</v>
      </c>
      <c r="E42" s="64">
        <v>6.16</v>
      </c>
      <c r="F42" s="64">
        <v>2.13</v>
      </c>
      <c r="G42" s="64">
        <v>111.03</v>
      </c>
      <c r="H42" s="64">
        <v>37.53</v>
      </c>
      <c r="I42" s="210" t="s">
        <v>43</v>
      </c>
      <c r="J42" s="64">
        <v>1.92</v>
      </c>
      <c r="K42" s="64">
        <v>109.68</v>
      </c>
      <c r="L42" s="64">
        <v>16.899999999999999</v>
      </c>
      <c r="M42" s="64">
        <v>51.52</v>
      </c>
      <c r="N42" s="64">
        <v>268.60000000000002</v>
      </c>
      <c r="O42" s="64">
        <v>0</v>
      </c>
      <c r="P42" s="64">
        <v>1.2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2966</v>
      </c>
      <c r="B43" s="64">
        <v>54.38</v>
      </c>
      <c r="C43" s="64">
        <v>61.32</v>
      </c>
      <c r="D43" s="64">
        <v>74.28</v>
      </c>
      <c r="E43" s="64">
        <v>5.93</v>
      </c>
      <c r="F43" s="64">
        <v>2.13</v>
      </c>
      <c r="G43" s="64">
        <v>111.03</v>
      </c>
      <c r="H43" s="64">
        <v>37.53</v>
      </c>
      <c r="I43" s="210" t="s">
        <v>43</v>
      </c>
      <c r="J43" s="64">
        <v>1.66</v>
      </c>
      <c r="K43" s="64">
        <v>116.27</v>
      </c>
      <c r="L43" s="64">
        <v>17.809999999999999</v>
      </c>
      <c r="M43" s="64">
        <v>50.54</v>
      </c>
      <c r="N43" s="64">
        <v>344.9</v>
      </c>
      <c r="O43" s="64">
        <v>0</v>
      </c>
      <c r="P43" s="64">
        <v>1.19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2967</v>
      </c>
      <c r="B44" s="64">
        <v>52.27</v>
      </c>
      <c r="C44" s="64">
        <v>62.36</v>
      </c>
      <c r="D44" s="64">
        <v>73.11</v>
      </c>
      <c r="E44" s="64">
        <v>5.81</v>
      </c>
      <c r="F44" s="64">
        <v>2.13</v>
      </c>
      <c r="G44" s="64">
        <v>102.94</v>
      </c>
      <c r="H44" s="64">
        <v>29.33</v>
      </c>
      <c r="I44" s="210" t="s">
        <v>43</v>
      </c>
      <c r="J44" s="64">
        <v>2.17</v>
      </c>
      <c r="K44" s="64">
        <v>119.44</v>
      </c>
      <c r="L44" s="64">
        <v>18.43</v>
      </c>
      <c r="M44" s="64">
        <v>49.01</v>
      </c>
      <c r="N44" s="64">
        <v>386.6</v>
      </c>
      <c r="O44" s="64">
        <v>0</v>
      </c>
      <c r="P44" s="64">
        <v>1.1599999999999999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2968</v>
      </c>
      <c r="B45" s="64">
        <v>38.299999999999997</v>
      </c>
      <c r="C45" s="64">
        <v>70.540000000000006</v>
      </c>
      <c r="D45" s="64">
        <v>66.19</v>
      </c>
      <c r="E45" s="64">
        <v>7.75</v>
      </c>
      <c r="F45" s="64">
        <v>2.13</v>
      </c>
      <c r="G45" s="64">
        <v>93.27</v>
      </c>
      <c r="H45" s="64">
        <v>19.53</v>
      </c>
      <c r="I45" s="210" t="s">
        <v>43</v>
      </c>
      <c r="J45" s="64">
        <v>2.08</v>
      </c>
      <c r="K45" s="64">
        <v>123.48</v>
      </c>
      <c r="L45" s="64">
        <v>19.329999999999998</v>
      </c>
      <c r="M45" s="64">
        <v>47.46</v>
      </c>
      <c r="N45" s="64">
        <v>455.3</v>
      </c>
      <c r="O45" s="64">
        <v>0</v>
      </c>
      <c r="P45" s="64">
        <v>1.07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2969</v>
      </c>
      <c r="B46" s="64">
        <v>22.33</v>
      </c>
      <c r="C46" s="64">
        <v>82.91</v>
      </c>
      <c r="D46" s="64">
        <v>59.84</v>
      </c>
      <c r="E46" s="64">
        <v>8.7200000000000006</v>
      </c>
      <c r="F46" s="64">
        <v>2.13</v>
      </c>
      <c r="G46" s="64">
        <v>93.27</v>
      </c>
      <c r="H46" s="64">
        <v>19.53</v>
      </c>
      <c r="I46" s="210" t="s">
        <v>43</v>
      </c>
      <c r="J46" s="64">
        <v>2.52</v>
      </c>
      <c r="K46" s="64">
        <v>126.99</v>
      </c>
      <c r="L46" s="64">
        <v>20</v>
      </c>
      <c r="M46" s="64">
        <v>46.74</v>
      </c>
      <c r="N46" s="64">
        <v>488.7</v>
      </c>
      <c r="O46" s="64">
        <v>0</v>
      </c>
      <c r="P46" s="64">
        <v>0.97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2970</v>
      </c>
      <c r="B47" s="64">
        <v>15.61</v>
      </c>
      <c r="C47" s="64">
        <v>84.81</v>
      </c>
      <c r="D47" s="64">
        <v>55.45</v>
      </c>
      <c r="E47" s="64">
        <v>8.25</v>
      </c>
      <c r="F47" s="64">
        <v>2.13</v>
      </c>
      <c r="G47" s="64">
        <v>93.27</v>
      </c>
      <c r="H47" s="64">
        <v>19.53</v>
      </c>
      <c r="I47" s="210" t="s">
        <v>43</v>
      </c>
      <c r="J47" s="64">
        <v>2.1800000000000002</v>
      </c>
      <c r="K47" s="64">
        <v>124.06</v>
      </c>
      <c r="L47" s="64">
        <v>20.52</v>
      </c>
      <c r="M47" s="64">
        <v>45.49</v>
      </c>
      <c r="N47" s="64">
        <v>487.4</v>
      </c>
      <c r="O47" s="64">
        <v>0</v>
      </c>
      <c r="P47" s="64">
        <v>0.94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2971</v>
      </c>
      <c r="B48" s="64">
        <v>11.83</v>
      </c>
      <c r="C48" s="64">
        <v>85.33</v>
      </c>
      <c r="D48" s="64">
        <v>52.69</v>
      </c>
      <c r="E48" s="64">
        <v>8.4499999999999993</v>
      </c>
      <c r="F48" s="64">
        <v>2.13</v>
      </c>
      <c r="G48" s="64">
        <v>84.97</v>
      </c>
      <c r="H48" s="64">
        <v>26.37</v>
      </c>
      <c r="I48" s="210" t="s">
        <v>43</v>
      </c>
      <c r="J48" s="64">
        <v>0.7</v>
      </c>
      <c r="K48" s="64">
        <v>7.34</v>
      </c>
      <c r="L48" s="64">
        <v>22.99</v>
      </c>
      <c r="M48" s="64">
        <v>39.950000000000003</v>
      </c>
      <c r="N48" s="64">
        <v>516</v>
      </c>
      <c r="O48" s="64">
        <v>0</v>
      </c>
      <c r="P48" s="64">
        <v>0.92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2972</v>
      </c>
      <c r="B49" s="64">
        <v>10.1</v>
      </c>
      <c r="C49" s="64">
        <v>83.53</v>
      </c>
      <c r="D49" s="64">
        <v>50.36</v>
      </c>
      <c r="E49" s="64">
        <v>8.06</v>
      </c>
      <c r="F49" s="64">
        <v>2.13</v>
      </c>
      <c r="G49" s="64">
        <v>75.05</v>
      </c>
      <c r="H49" s="64">
        <v>34.549999999999997</v>
      </c>
      <c r="I49" s="210" t="s">
        <v>43</v>
      </c>
      <c r="J49" s="64">
        <v>1.08</v>
      </c>
      <c r="K49" s="64">
        <v>95.11</v>
      </c>
      <c r="L49" s="64">
        <v>23.92</v>
      </c>
      <c r="M49" s="64">
        <v>37.4</v>
      </c>
      <c r="N49" s="64">
        <v>536.79999999999995</v>
      </c>
      <c r="O49" s="64">
        <v>0</v>
      </c>
      <c r="P49" s="64">
        <v>0.91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2973</v>
      </c>
      <c r="B50" s="64">
        <v>8.6</v>
      </c>
      <c r="C50" s="64">
        <v>84.3</v>
      </c>
      <c r="D50" s="64">
        <v>49.56</v>
      </c>
      <c r="E50" s="64">
        <v>8.57</v>
      </c>
      <c r="F50" s="64">
        <v>2.2799999999999998</v>
      </c>
      <c r="G50" s="64">
        <v>75.05</v>
      </c>
      <c r="H50" s="64">
        <v>34.549999999999997</v>
      </c>
      <c r="I50" s="210" t="s">
        <v>43</v>
      </c>
      <c r="J50" s="64">
        <v>0.67</v>
      </c>
      <c r="K50" s="64">
        <v>0.04</v>
      </c>
      <c r="L50" s="64">
        <v>23.66</v>
      </c>
      <c r="M50" s="64">
        <v>38.78</v>
      </c>
      <c r="N50" s="64">
        <v>511.7</v>
      </c>
      <c r="O50" s="64">
        <v>0</v>
      </c>
      <c r="P50" s="64">
        <v>0.9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2974</v>
      </c>
      <c r="B51" s="64">
        <v>6.76</v>
      </c>
      <c r="C51" s="64">
        <v>87.21</v>
      </c>
      <c r="D51" s="64">
        <v>49.6</v>
      </c>
      <c r="E51" s="64">
        <v>7.58</v>
      </c>
      <c r="F51" s="64">
        <v>2.16</v>
      </c>
      <c r="G51" s="64">
        <v>75.05</v>
      </c>
      <c r="H51" s="64">
        <v>34.549999999999997</v>
      </c>
      <c r="I51" s="210" t="s">
        <v>43</v>
      </c>
      <c r="J51" s="64">
        <v>1.97</v>
      </c>
      <c r="K51" s="64">
        <v>332.12</v>
      </c>
      <c r="L51" s="64">
        <v>27.2</v>
      </c>
      <c r="M51" s="64">
        <v>31.99</v>
      </c>
      <c r="N51" s="64">
        <v>537.1</v>
      </c>
      <c r="O51" s="64">
        <v>0</v>
      </c>
      <c r="P51" s="64">
        <v>0.91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2975</v>
      </c>
      <c r="B52" s="64">
        <v>5.87</v>
      </c>
      <c r="C52" s="64">
        <v>88.2</v>
      </c>
      <c r="D52" s="64">
        <v>49.41</v>
      </c>
      <c r="E52" s="64">
        <v>7.37</v>
      </c>
      <c r="F52" s="64">
        <v>2.13</v>
      </c>
      <c r="G52" s="64">
        <v>87.78</v>
      </c>
      <c r="H52" s="64">
        <v>42.58</v>
      </c>
      <c r="I52" s="210" t="s">
        <v>43</v>
      </c>
      <c r="J52" s="64">
        <v>1.96</v>
      </c>
      <c r="K52" s="64">
        <v>319.51</v>
      </c>
      <c r="L52" s="64">
        <v>28.21</v>
      </c>
      <c r="M52" s="64">
        <v>30.16</v>
      </c>
      <c r="N52" s="64">
        <v>556.29999999999995</v>
      </c>
      <c r="O52" s="64">
        <v>0</v>
      </c>
      <c r="P52" s="64">
        <v>0.91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2976</v>
      </c>
      <c r="B53" s="64">
        <v>5.46</v>
      </c>
      <c r="C53" s="64">
        <v>87.84</v>
      </c>
      <c r="D53" s="64">
        <v>48.89</v>
      </c>
      <c r="E53" s="64">
        <v>6.86</v>
      </c>
      <c r="F53" s="64">
        <v>2.13</v>
      </c>
      <c r="G53" s="64">
        <v>102.98</v>
      </c>
      <c r="H53" s="64">
        <v>52.18</v>
      </c>
      <c r="I53" s="210" t="s">
        <v>43</v>
      </c>
      <c r="J53" s="64">
        <v>1.35</v>
      </c>
      <c r="K53" s="64">
        <v>332.76</v>
      </c>
      <c r="L53" s="64">
        <v>28.62</v>
      </c>
      <c r="M53" s="64">
        <v>29.18</v>
      </c>
      <c r="N53" s="64">
        <v>567</v>
      </c>
      <c r="O53" s="64">
        <v>0</v>
      </c>
      <c r="P53" s="64">
        <v>0.91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2977</v>
      </c>
      <c r="B54" s="64">
        <v>5.14</v>
      </c>
      <c r="C54" s="64">
        <v>86.76</v>
      </c>
      <c r="D54" s="64">
        <v>48.08</v>
      </c>
      <c r="E54" s="64">
        <v>6.7</v>
      </c>
      <c r="F54" s="64">
        <v>2.13</v>
      </c>
      <c r="G54" s="64">
        <v>102.98</v>
      </c>
      <c r="H54" s="64">
        <v>52.18</v>
      </c>
      <c r="I54" s="210" t="s">
        <v>43</v>
      </c>
      <c r="J54" s="64">
        <v>1.45</v>
      </c>
      <c r="K54" s="64">
        <v>320.47000000000003</v>
      </c>
      <c r="L54" s="64">
        <v>28.43</v>
      </c>
      <c r="M54" s="64">
        <v>30.17</v>
      </c>
      <c r="N54" s="64">
        <v>577.1</v>
      </c>
      <c r="O54" s="64">
        <v>0</v>
      </c>
      <c r="P54" s="64">
        <v>0.91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2978</v>
      </c>
      <c r="B55" s="64">
        <v>4.72</v>
      </c>
      <c r="C55" s="64">
        <v>85.13</v>
      </c>
      <c r="D55" s="64">
        <v>46.89</v>
      </c>
      <c r="E55" s="64">
        <v>6.22</v>
      </c>
      <c r="F55" s="64">
        <v>2.13</v>
      </c>
      <c r="G55" s="64">
        <v>102.98</v>
      </c>
      <c r="H55" s="64">
        <v>52.18</v>
      </c>
      <c r="I55" s="210" t="s">
        <v>43</v>
      </c>
      <c r="J55" s="64">
        <v>1.91</v>
      </c>
      <c r="K55" s="64">
        <v>305.07</v>
      </c>
      <c r="L55" s="64">
        <v>28.91</v>
      </c>
      <c r="M55" s="64">
        <v>31</v>
      </c>
      <c r="N55" s="64">
        <v>589.29999999999995</v>
      </c>
      <c r="O55" s="64">
        <v>0</v>
      </c>
      <c r="P55" s="64">
        <v>0.9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2979</v>
      </c>
      <c r="B56" s="64">
        <v>4.3499999999999996</v>
      </c>
      <c r="C56" s="64">
        <v>83.53</v>
      </c>
      <c r="D56" s="64">
        <v>45.75</v>
      </c>
      <c r="E56" s="64">
        <v>6.28</v>
      </c>
      <c r="F56" s="64">
        <v>2.13</v>
      </c>
      <c r="G56" s="64">
        <v>101.92</v>
      </c>
      <c r="H56" s="64">
        <v>52.99</v>
      </c>
      <c r="I56" s="210" t="s">
        <v>43</v>
      </c>
      <c r="J56" s="64">
        <v>1.87</v>
      </c>
      <c r="K56" s="64">
        <v>313.83</v>
      </c>
      <c r="L56" s="64">
        <v>29.55</v>
      </c>
      <c r="M56" s="64">
        <v>31.05</v>
      </c>
      <c r="N56" s="64">
        <v>581.20000000000005</v>
      </c>
      <c r="O56" s="64">
        <v>0</v>
      </c>
      <c r="P56" s="64">
        <v>0.89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2980</v>
      </c>
      <c r="B57" s="64">
        <v>4.1500000000000004</v>
      </c>
      <c r="C57" s="64">
        <v>82.46</v>
      </c>
      <c r="D57" s="64">
        <v>45.04</v>
      </c>
      <c r="E57" s="64">
        <v>6.97</v>
      </c>
      <c r="F57" s="64">
        <v>2.54</v>
      </c>
      <c r="G57" s="64">
        <v>100.65</v>
      </c>
      <c r="H57" s="64">
        <v>53.95</v>
      </c>
      <c r="I57" s="210" t="s">
        <v>43</v>
      </c>
      <c r="J57" s="64">
        <v>1.82</v>
      </c>
      <c r="K57" s="64">
        <v>283.06</v>
      </c>
      <c r="L57" s="64">
        <v>29.44</v>
      </c>
      <c r="M57" s="64">
        <v>32.96</v>
      </c>
      <c r="N57" s="64">
        <v>559.5</v>
      </c>
      <c r="O57" s="64">
        <v>0</v>
      </c>
      <c r="P57" s="64">
        <v>0.91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2981</v>
      </c>
      <c r="B58" s="64">
        <v>4.01</v>
      </c>
      <c r="C58" s="64">
        <v>81.25</v>
      </c>
      <c r="D58" s="64">
        <v>44.29</v>
      </c>
      <c r="E58" s="64">
        <v>7.32</v>
      </c>
      <c r="F58" s="64">
        <v>2.82</v>
      </c>
      <c r="G58" s="64">
        <v>100.65</v>
      </c>
      <c r="H58" s="64">
        <v>53.95</v>
      </c>
      <c r="I58" s="210" t="s">
        <v>43</v>
      </c>
      <c r="J58" s="64">
        <v>1.61</v>
      </c>
      <c r="K58" s="64">
        <v>304.61</v>
      </c>
      <c r="L58" s="64">
        <v>28.77</v>
      </c>
      <c r="M58" s="64">
        <v>33.270000000000003</v>
      </c>
      <c r="N58" s="64">
        <v>524</v>
      </c>
      <c r="O58" s="64">
        <v>0</v>
      </c>
      <c r="P58" s="64">
        <v>0.95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2982</v>
      </c>
      <c r="B59" s="64">
        <v>4.0999999999999996</v>
      </c>
      <c r="C59" s="64">
        <v>79.819999999999993</v>
      </c>
      <c r="D59" s="64">
        <v>43.61</v>
      </c>
      <c r="E59" s="64">
        <v>6.73</v>
      </c>
      <c r="F59" s="64">
        <v>2.87</v>
      </c>
      <c r="G59" s="64">
        <v>100.65</v>
      </c>
      <c r="H59" s="64">
        <v>53.95</v>
      </c>
      <c r="I59" s="210" t="s">
        <v>43</v>
      </c>
      <c r="J59" s="64">
        <v>2.2999999999999998</v>
      </c>
      <c r="K59" s="64">
        <v>315.16000000000003</v>
      </c>
      <c r="L59" s="64">
        <v>29.27</v>
      </c>
      <c r="M59" s="64">
        <v>31.37</v>
      </c>
      <c r="N59" s="64">
        <v>527.9</v>
      </c>
      <c r="O59" s="64">
        <v>0</v>
      </c>
      <c r="P59" s="64">
        <v>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2983</v>
      </c>
      <c r="B60" s="64">
        <v>4.51</v>
      </c>
      <c r="C60" s="64">
        <v>80.2</v>
      </c>
      <c r="D60" s="64">
        <v>44.15</v>
      </c>
      <c r="E60" s="64">
        <v>6.63</v>
      </c>
      <c r="F60" s="64">
        <v>2.37</v>
      </c>
      <c r="G60" s="64">
        <v>106</v>
      </c>
      <c r="H60" s="64">
        <v>52.2</v>
      </c>
      <c r="I60" s="210" t="s">
        <v>43</v>
      </c>
      <c r="J60" s="64">
        <v>0.46</v>
      </c>
      <c r="K60" s="64">
        <v>346.36</v>
      </c>
      <c r="L60" s="64">
        <v>28.3</v>
      </c>
      <c r="M60" s="64">
        <v>32.57</v>
      </c>
      <c r="N60" s="64">
        <v>501.5</v>
      </c>
      <c r="O60" s="64">
        <v>0</v>
      </c>
      <c r="P60" s="64">
        <v>1.03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2984</v>
      </c>
      <c r="B61" s="64">
        <v>4.6900000000000004</v>
      </c>
      <c r="C61" s="64">
        <v>79.819999999999993</v>
      </c>
      <c r="D61" s="64">
        <v>44.09</v>
      </c>
      <c r="E61" s="64">
        <v>6.42</v>
      </c>
      <c r="F61" s="64">
        <v>2.14</v>
      </c>
      <c r="G61" s="64">
        <v>112.4</v>
      </c>
      <c r="H61" s="64">
        <v>50.1</v>
      </c>
      <c r="I61" s="210" t="s">
        <v>43</v>
      </c>
      <c r="J61" s="64">
        <v>1.54</v>
      </c>
      <c r="K61" s="64">
        <v>319.14999999999998</v>
      </c>
      <c r="L61" s="64">
        <v>28.96</v>
      </c>
      <c r="M61" s="64">
        <v>31.92</v>
      </c>
      <c r="N61" s="64">
        <v>444.9</v>
      </c>
      <c r="O61" s="64">
        <v>0</v>
      </c>
      <c r="P61" s="64">
        <v>1.08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2985</v>
      </c>
      <c r="B62" s="64">
        <v>4.67</v>
      </c>
      <c r="C62" s="64">
        <v>79.17</v>
      </c>
      <c r="D62" s="64">
        <v>43.73</v>
      </c>
      <c r="E62" s="64">
        <v>6.5</v>
      </c>
      <c r="F62" s="64">
        <v>2.15</v>
      </c>
      <c r="G62" s="64">
        <v>112.4</v>
      </c>
      <c r="H62" s="64">
        <v>50.1</v>
      </c>
      <c r="I62" s="210" t="s">
        <v>43</v>
      </c>
      <c r="J62" s="64">
        <v>1.62</v>
      </c>
      <c r="K62" s="64">
        <v>298.86</v>
      </c>
      <c r="L62" s="64">
        <v>28.34</v>
      </c>
      <c r="M62" s="64">
        <v>33.24</v>
      </c>
      <c r="N62" s="64">
        <v>422</v>
      </c>
      <c r="O62" s="64">
        <v>0</v>
      </c>
      <c r="P62" s="64">
        <v>1.07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2986</v>
      </c>
      <c r="B63" s="64">
        <v>4.6100000000000003</v>
      </c>
      <c r="C63" s="64">
        <v>78.930000000000007</v>
      </c>
      <c r="D63" s="64">
        <v>43.56</v>
      </c>
      <c r="E63" s="64">
        <v>7.41</v>
      </c>
      <c r="F63" s="64">
        <v>2.4500000000000002</v>
      </c>
      <c r="G63" s="64">
        <v>112.4</v>
      </c>
      <c r="H63" s="64">
        <v>50.1</v>
      </c>
      <c r="I63" s="210" t="s">
        <v>43</v>
      </c>
      <c r="J63" s="64">
        <v>1.78</v>
      </c>
      <c r="K63" s="64">
        <v>299.16000000000003</v>
      </c>
      <c r="L63" s="64">
        <v>28.57</v>
      </c>
      <c r="M63" s="64">
        <v>34.03</v>
      </c>
      <c r="N63" s="64">
        <v>375.4</v>
      </c>
      <c r="O63" s="64">
        <v>0</v>
      </c>
      <c r="P63" s="64">
        <v>1.06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2987</v>
      </c>
      <c r="B64" s="64">
        <v>4.82</v>
      </c>
      <c r="C64" s="64">
        <v>78.84</v>
      </c>
      <c r="D64" s="64">
        <v>43.68</v>
      </c>
      <c r="E64" s="64">
        <v>6.76</v>
      </c>
      <c r="F64" s="64">
        <v>2.2599999999999998</v>
      </c>
      <c r="G64" s="64">
        <v>118.43</v>
      </c>
      <c r="H64" s="64">
        <v>46.61</v>
      </c>
      <c r="I64" s="210" t="s">
        <v>43</v>
      </c>
      <c r="J64" s="64">
        <v>1.58</v>
      </c>
      <c r="K64" s="64">
        <v>308.82</v>
      </c>
      <c r="L64" s="64">
        <v>28.35</v>
      </c>
      <c r="M64" s="64">
        <v>34.299999999999997</v>
      </c>
      <c r="N64" s="64">
        <v>424.2</v>
      </c>
      <c r="O64" s="64">
        <v>0</v>
      </c>
      <c r="P64" s="64">
        <v>1.06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2988</v>
      </c>
      <c r="B65" s="64">
        <v>4.78</v>
      </c>
      <c r="C65" s="64">
        <v>77.849999999999994</v>
      </c>
      <c r="D65" s="64">
        <v>43.13</v>
      </c>
      <c r="E65" s="64">
        <v>6.42</v>
      </c>
      <c r="F65" s="64">
        <v>2.16</v>
      </c>
      <c r="G65" s="64">
        <v>125.63</v>
      </c>
      <c r="H65" s="64">
        <v>42.44</v>
      </c>
      <c r="I65" s="210" t="s">
        <v>43</v>
      </c>
      <c r="J65" s="64">
        <v>1.45</v>
      </c>
      <c r="K65" s="64">
        <v>316.98</v>
      </c>
      <c r="L65" s="64">
        <v>28.42</v>
      </c>
      <c r="M65" s="64">
        <v>34.520000000000003</v>
      </c>
      <c r="N65" s="64">
        <v>357.6</v>
      </c>
      <c r="O65" s="64">
        <v>0</v>
      </c>
      <c r="P65" s="64">
        <v>1.07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2989</v>
      </c>
      <c r="B66" s="64">
        <v>4.63</v>
      </c>
      <c r="C66" s="64">
        <v>77.38</v>
      </c>
      <c r="D66" s="64">
        <v>42.77</v>
      </c>
      <c r="E66" s="64">
        <v>6.6</v>
      </c>
      <c r="F66" s="64">
        <v>2.2000000000000002</v>
      </c>
      <c r="G66" s="64">
        <v>125.63</v>
      </c>
      <c r="H66" s="64">
        <v>42.44</v>
      </c>
      <c r="I66" s="210" t="s">
        <v>43</v>
      </c>
      <c r="J66" s="64">
        <v>2.0099999999999998</v>
      </c>
      <c r="K66" s="64">
        <v>319.66000000000003</v>
      </c>
      <c r="L66" s="64">
        <v>28.28</v>
      </c>
      <c r="M66" s="64">
        <v>34.729999999999997</v>
      </c>
      <c r="N66" s="64">
        <v>254.7</v>
      </c>
      <c r="O66" s="64">
        <v>0</v>
      </c>
      <c r="P66" s="64">
        <v>1.06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2990</v>
      </c>
      <c r="B67" s="64">
        <v>4.43</v>
      </c>
      <c r="C67" s="64">
        <v>78</v>
      </c>
      <c r="D67" s="64">
        <v>42.93</v>
      </c>
      <c r="E67" s="64">
        <v>6.58</v>
      </c>
      <c r="F67" s="64">
        <v>2.41</v>
      </c>
      <c r="G67" s="64">
        <v>125.63</v>
      </c>
      <c r="H67" s="64">
        <v>42.44</v>
      </c>
      <c r="I67" s="210" t="s">
        <v>43</v>
      </c>
      <c r="J67" s="64">
        <v>1.8</v>
      </c>
      <c r="K67" s="64">
        <v>309.68</v>
      </c>
      <c r="L67" s="64">
        <v>27.87</v>
      </c>
      <c r="M67" s="64">
        <v>35.72</v>
      </c>
      <c r="N67" s="64">
        <v>198.2</v>
      </c>
      <c r="O67" s="64">
        <v>0</v>
      </c>
      <c r="P67" s="64">
        <v>1.06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2991</v>
      </c>
      <c r="B68" s="64">
        <v>4.2</v>
      </c>
      <c r="C68" s="64">
        <v>77.87</v>
      </c>
      <c r="D68" s="64">
        <v>42.68</v>
      </c>
      <c r="E68" s="64">
        <v>6.43</v>
      </c>
      <c r="F68" s="64">
        <v>2.4</v>
      </c>
      <c r="G68" s="64">
        <v>118.65</v>
      </c>
      <c r="H68" s="64">
        <v>38.21</v>
      </c>
      <c r="I68" s="210" t="s">
        <v>43</v>
      </c>
      <c r="J68" s="64">
        <v>1.9</v>
      </c>
      <c r="K68" s="64">
        <v>322.7</v>
      </c>
      <c r="L68" s="64">
        <v>27.68</v>
      </c>
      <c r="M68" s="64">
        <v>35.9</v>
      </c>
      <c r="N68" s="64">
        <v>193.5</v>
      </c>
      <c r="O68" s="64">
        <v>0</v>
      </c>
      <c r="P68" s="64">
        <v>1.07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2992</v>
      </c>
      <c r="B69" s="64">
        <v>3.99</v>
      </c>
      <c r="C69" s="64">
        <v>77.23</v>
      </c>
      <c r="D69" s="64">
        <v>42.18</v>
      </c>
      <c r="E69" s="64">
        <v>6.36</v>
      </c>
      <c r="F69" s="64">
        <v>2.63</v>
      </c>
      <c r="G69" s="64">
        <v>110.31</v>
      </c>
      <c r="H69" s="64">
        <v>33.15</v>
      </c>
      <c r="I69" s="210" t="s">
        <v>43</v>
      </c>
      <c r="J69" s="64">
        <v>0.59</v>
      </c>
      <c r="K69" s="64">
        <v>298.33999999999997</v>
      </c>
      <c r="L69" s="64">
        <v>26.54</v>
      </c>
      <c r="M69" s="64">
        <v>37.200000000000003</v>
      </c>
      <c r="N69" s="64">
        <v>245.7</v>
      </c>
      <c r="O69" s="64">
        <v>0</v>
      </c>
      <c r="P69" s="64">
        <v>1.05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2993</v>
      </c>
      <c r="B70" s="64">
        <v>3.82</v>
      </c>
      <c r="C70" s="64">
        <v>76.48</v>
      </c>
      <c r="D70" s="64">
        <v>41.64</v>
      </c>
      <c r="E70" s="64">
        <v>6.39</v>
      </c>
      <c r="F70" s="64">
        <v>3.01</v>
      </c>
      <c r="G70" s="64">
        <v>110.31</v>
      </c>
      <c r="H70" s="64">
        <v>33.15</v>
      </c>
      <c r="I70" s="210" t="s">
        <v>43</v>
      </c>
      <c r="J70" s="64">
        <v>1.34</v>
      </c>
      <c r="K70" s="64">
        <v>294.56</v>
      </c>
      <c r="L70" s="64">
        <v>26.47</v>
      </c>
      <c r="M70" s="64">
        <v>37.85</v>
      </c>
      <c r="N70" s="64">
        <v>178.4</v>
      </c>
      <c r="O70" s="64">
        <v>0</v>
      </c>
      <c r="P70" s="64">
        <v>1.05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2994</v>
      </c>
      <c r="B71" s="64">
        <v>3.74</v>
      </c>
      <c r="C71" s="64">
        <v>75.760000000000005</v>
      </c>
      <c r="D71" s="64">
        <v>41.21</v>
      </c>
      <c r="E71" s="64">
        <v>6.4</v>
      </c>
      <c r="F71" s="64">
        <v>2.6</v>
      </c>
      <c r="G71" s="64">
        <v>110.31</v>
      </c>
      <c r="H71" s="64">
        <v>33.15</v>
      </c>
      <c r="I71" s="210" t="s">
        <v>43</v>
      </c>
      <c r="J71" s="64">
        <v>1.1299999999999999</v>
      </c>
      <c r="K71" s="64">
        <v>288.75</v>
      </c>
      <c r="L71" s="64">
        <v>26.22</v>
      </c>
      <c r="M71" s="64">
        <v>36.520000000000003</v>
      </c>
      <c r="N71" s="64">
        <v>145.9</v>
      </c>
      <c r="O71" s="64">
        <v>0</v>
      </c>
      <c r="P71" s="64">
        <v>1.05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2995</v>
      </c>
      <c r="B72" s="64">
        <v>3.78</v>
      </c>
      <c r="C72" s="64">
        <v>75.150000000000006</v>
      </c>
      <c r="D72" s="64">
        <v>40.92</v>
      </c>
      <c r="E72" s="64">
        <v>6.37</v>
      </c>
      <c r="F72" s="64">
        <v>2.64</v>
      </c>
      <c r="G72" s="64">
        <v>104.39</v>
      </c>
      <c r="H72" s="64">
        <v>38.18</v>
      </c>
      <c r="I72" s="210" t="s">
        <v>43</v>
      </c>
      <c r="J72" s="64">
        <v>1.63</v>
      </c>
      <c r="K72" s="64">
        <v>335.33</v>
      </c>
      <c r="L72" s="64">
        <v>26.11</v>
      </c>
      <c r="M72" s="64">
        <v>36.82</v>
      </c>
      <c r="N72" s="64">
        <v>135.4</v>
      </c>
      <c r="O72" s="64">
        <v>0</v>
      </c>
      <c r="P72" s="64">
        <v>1.04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2996</v>
      </c>
      <c r="B73" s="64">
        <v>3.83</v>
      </c>
      <c r="C73" s="64">
        <v>74.459999999999994</v>
      </c>
      <c r="D73" s="64">
        <v>40.6</v>
      </c>
      <c r="E73" s="64">
        <v>7.26</v>
      </c>
      <c r="F73" s="64">
        <v>2.4900000000000002</v>
      </c>
      <c r="G73" s="64">
        <v>97.32</v>
      </c>
      <c r="H73" s="64">
        <v>44.19</v>
      </c>
      <c r="I73" s="210" t="s">
        <v>43</v>
      </c>
      <c r="J73" s="64">
        <v>0.83</v>
      </c>
      <c r="K73" s="64">
        <v>243.58</v>
      </c>
      <c r="L73" s="64">
        <v>25.45</v>
      </c>
      <c r="M73" s="64">
        <v>37.65</v>
      </c>
      <c r="N73" s="64">
        <v>127</v>
      </c>
      <c r="O73" s="64">
        <v>0</v>
      </c>
      <c r="P73" s="64">
        <v>1.04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2997</v>
      </c>
      <c r="B74" s="64">
        <v>3.87</v>
      </c>
      <c r="C74" s="64">
        <v>73.77</v>
      </c>
      <c r="D74" s="64">
        <v>40.270000000000003</v>
      </c>
      <c r="E74" s="64">
        <v>7.03</v>
      </c>
      <c r="F74" s="64">
        <v>2.79</v>
      </c>
      <c r="G74" s="64">
        <v>97.32</v>
      </c>
      <c r="H74" s="64">
        <v>44.19</v>
      </c>
      <c r="I74" s="210" t="s">
        <v>43</v>
      </c>
      <c r="J74" s="64">
        <v>0.96</v>
      </c>
      <c r="K74" s="64">
        <v>307.95</v>
      </c>
      <c r="L74" s="64">
        <v>25.19</v>
      </c>
      <c r="M74" s="64">
        <v>39.159999999999997</v>
      </c>
      <c r="N74" s="64">
        <v>119.4</v>
      </c>
      <c r="O74" s="64">
        <v>0</v>
      </c>
      <c r="P74" s="64">
        <v>1.04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2998</v>
      </c>
      <c r="B75" s="64">
        <v>4.12</v>
      </c>
      <c r="C75" s="64">
        <v>72.959999999999994</v>
      </c>
      <c r="D75" s="64">
        <v>40.04</v>
      </c>
      <c r="E75" s="64">
        <v>6.73</v>
      </c>
      <c r="F75" s="64">
        <v>2.21</v>
      </c>
      <c r="G75" s="64">
        <v>97.32</v>
      </c>
      <c r="H75" s="64">
        <v>44.19</v>
      </c>
      <c r="I75" s="210" t="s">
        <v>43</v>
      </c>
      <c r="J75" s="64">
        <v>1.24</v>
      </c>
      <c r="K75" s="64">
        <v>243.75</v>
      </c>
      <c r="L75" s="64">
        <v>24.94</v>
      </c>
      <c r="M75" s="64">
        <v>39.9</v>
      </c>
      <c r="N75" s="64">
        <v>111.9</v>
      </c>
      <c r="O75" s="64">
        <v>0</v>
      </c>
      <c r="P75" s="64">
        <v>1.07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2999</v>
      </c>
      <c r="B76" s="64">
        <v>4.34</v>
      </c>
      <c r="C76" s="64">
        <v>73</v>
      </c>
      <c r="D76" s="64">
        <v>40.24</v>
      </c>
      <c r="E76" s="64">
        <v>6.79</v>
      </c>
      <c r="F76" s="64">
        <v>2.13</v>
      </c>
      <c r="G76" s="64">
        <v>92.01</v>
      </c>
      <c r="H76" s="64">
        <v>42.11</v>
      </c>
      <c r="I76" s="210" t="s">
        <v>43</v>
      </c>
      <c r="J76" s="64">
        <v>1.58</v>
      </c>
      <c r="K76" s="64">
        <v>207.49</v>
      </c>
      <c r="L76" s="64">
        <v>24.65</v>
      </c>
      <c r="M76" s="64">
        <v>40.26</v>
      </c>
      <c r="N76" s="64">
        <v>103.9</v>
      </c>
      <c r="O76" s="64">
        <v>0</v>
      </c>
      <c r="P76" s="64">
        <v>1.03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3000</v>
      </c>
      <c r="B77" s="64">
        <v>4.79</v>
      </c>
      <c r="C77" s="64">
        <v>73.48</v>
      </c>
      <c r="D77" s="64">
        <v>40.85</v>
      </c>
      <c r="E77" s="64">
        <v>6.93</v>
      </c>
      <c r="F77" s="64">
        <v>2.13</v>
      </c>
      <c r="G77" s="64">
        <v>85.66</v>
      </c>
      <c r="H77" s="64">
        <v>39.619999999999997</v>
      </c>
      <c r="I77" s="210" t="s">
        <v>43</v>
      </c>
      <c r="J77" s="64">
        <v>1.59</v>
      </c>
      <c r="K77" s="64">
        <v>334.49</v>
      </c>
      <c r="L77" s="64">
        <v>24.36</v>
      </c>
      <c r="M77" s="64">
        <v>45.04</v>
      </c>
      <c r="N77" s="64">
        <v>96</v>
      </c>
      <c r="O77" s="64">
        <v>0</v>
      </c>
      <c r="P77" s="64">
        <v>1.29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3001</v>
      </c>
      <c r="B78" s="64">
        <v>5.62</v>
      </c>
      <c r="C78" s="64">
        <v>74.87</v>
      </c>
      <c r="D78" s="64">
        <v>42.24</v>
      </c>
      <c r="E78" s="64">
        <v>6.76</v>
      </c>
      <c r="F78" s="64">
        <v>2.13</v>
      </c>
      <c r="G78" s="64">
        <v>85.66</v>
      </c>
      <c r="H78" s="64">
        <v>39.619999999999997</v>
      </c>
      <c r="I78" s="210" t="s">
        <v>43</v>
      </c>
      <c r="J78" s="64">
        <v>1.27</v>
      </c>
      <c r="K78" s="64">
        <v>347.06</v>
      </c>
      <c r="L78" s="64">
        <v>23.62</v>
      </c>
      <c r="M78" s="64">
        <v>51.15</v>
      </c>
      <c r="N78" s="64">
        <v>88.5</v>
      </c>
      <c r="O78" s="64">
        <v>0</v>
      </c>
      <c r="P78" s="64">
        <v>1.39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3002</v>
      </c>
      <c r="B79" s="64">
        <v>7.12</v>
      </c>
      <c r="C79" s="64">
        <v>76.72</v>
      </c>
      <c r="D79" s="64">
        <v>44.42</v>
      </c>
      <c r="E79" s="64">
        <v>6.97</v>
      </c>
      <c r="F79" s="64">
        <v>2.13</v>
      </c>
      <c r="G79" s="64">
        <v>85.66</v>
      </c>
      <c r="H79" s="64">
        <v>39.619999999999997</v>
      </c>
      <c r="I79" s="210" t="s">
        <v>43</v>
      </c>
      <c r="J79" s="64">
        <v>1.38</v>
      </c>
      <c r="K79" s="64">
        <v>302.26</v>
      </c>
      <c r="L79" s="64">
        <v>22.77</v>
      </c>
      <c r="M79" s="64">
        <v>54.43</v>
      </c>
      <c r="N79" s="64">
        <v>81.8</v>
      </c>
      <c r="O79" s="64">
        <v>0</v>
      </c>
      <c r="P79" s="64">
        <v>1.59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3003</v>
      </c>
      <c r="B80" s="64">
        <v>8.68</v>
      </c>
      <c r="C80" s="64">
        <v>78.77</v>
      </c>
      <c r="D80" s="64">
        <v>46.74</v>
      </c>
      <c r="E80" s="64">
        <v>7.06</v>
      </c>
      <c r="F80" s="64">
        <v>2.13</v>
      </c>
      <c r="G80" s="64">
        <v>95.8</v>
      </c>
      <c r="H80" s="64">
        <v>47.45</v>
      </c>
      <c r="I80" s="210" t="s">
        <v>43</v>
      </c>
      <c r="J80" s="64">
        <v>1.63</v>
      </c>
      <c r="K80" s="64">
        <v>282.92</v>
      </c>
      <c r="L80" s="64">
        <v>21.99</v>
      </c>
      <c r="M80" s="64">
        <v>55.56</v>
      </c>
      <c r="N80" s="64">
        <v>78.5</v>
      </c>
      <c r="O80" s="64">
        <v>0</v>
      </c>
      <c r="P80" s="64">
        <v>1.51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3004</v>
      </c>
      <c r="B81" s="64">
        <v>10.14</v>
      </c>
      <c r="C81" s="64">
        <v>80.31</v>
      </c>
      <c r="D81" s="64">
        <v>48.71</v>
      </c>
      <c r="E81" s="64">
        <v>7.4</v>
      </c>
      <c r="F81" s="64">
        <v>2.13</v>
      </c>
      <c r="G81" s="64">
        <v>107.93</v>
      </c>
      <c r="H81" s="64">
        <v>56.81</v>
      </c>
      <c r="I81" s="210" t="s">
        <v>43</v>
      </c>
      <c r="J81" s="64">
        <v>0.33</v>
      </c>
      <c r="K81" s="64">
        <v>112.02</v>
      </c>
      <c r="L81" s="64">
        <v>21.3</v>
      </c>
      <c r="M81" s="64">
        <v>58.04</v>
      </c>
      <c r="N81" s="64">
        <v>77.599999999999994</v>
      </c>
      <c r="O81" s="64">
        <v>0</v>
      </c>
      <c r="P81" s="64">
        <v>1.55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3005</v>
      </c>
      <c r="B82" s="64">
        <v>13.76</v>
      </c>
      <c r="C82" s="64">
        <v>82.7</v>
      </c>
      <c r="D82" s="64">
        <v>52.87</v>
      </c>
      <c r="E82" s="64">
        <v>7.25</v>
      </c>
      <c r="F82" s="64">
        <v>2.13</v>
      </c>
      <c r="G82" s="64">
        <v>107.93</v>
      </c>
      <c r="H82" s="64">
        <v>56.81</v>
      </c>
      <c r="I82" s="210" t="s">
        <v>43</v>
      </c>
      <c r="J82" s="64">
        <v>1.55</v>
      </c>
      <c r="K82" s="64">
        <v>101.43</v>
      </c>
      <c r="L82" s="64">
        <v>20.79</v>
      </c>
      <c r="M82" s="64">
        <v>60.53</v>
      </c>
      <c r="N82" s="64">
        <v>77.5</v>
      </c>
      <c r="O82" s="64">
        <v>0</v>
      </c>
      <c r="P82" s="64">
        <v>1.4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3006</v>
      </c>
      <c r="B83" s="64">
        <v>19.52</v>
      </c>
      <c r="C83" s="64">
        <v>87</v>
      </c>
      <c r="D83" s="64">
        <v>59.73</v>
      </c>
      <c r="E83" s="64">
        <v>7.37</v>
      </c>
      <c r="F83" s="64">
        <v>2.13</v>
      </c>
      <c r="G83" s="64">
        <v>107.93</v>
      </c>
      <c r="H83" s="64">
        <v>56.81</v>
      </c>
      <c r="I83" s="210" t="s">
        <v>43</v>
      </c>
      <c r="J83" s="64">
        <v>1.64</v>
      </c>
      <c r="K83" s="64">
        <v>89.14</v>
      </c>
      <c r="L83" s="64">
        <v>20.21</v>
      </c>
      <c r="M83" s="64">
        <v>63.74</v>
      </c>
      <c r="N83" s="64">
        <v>77.5</v>
      </c>
      <c r="O83" s="64">
        <v>0</v>
      </c>
      <c r="P83" s="64">
        <v>1.45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3007</v>
      </c>
      <c r="B84" s="64">
        <v>27.14</v>
      </c>
      <c r="C84" s="64">
        <v>89.62</v>
      </c>
      <c r="D84" s="64">
        <v>67.209999999999994</v>
      </c>
      <c r="E84" s="64">
        <v>7.81</v>
      </c>
      <c r="F84" s="64">
        <v>2.13</v>
      </c>
      <c r="G84" s="64">
        <v>123.4</v>
      </c>
      <c r="H84" s="64">
        <v>55.59</v>
      </c>
      <c r="I84" s="210" t="s">
        <v>43</v>
      </c>
      <c r="J84" s="64">
        <v>1.67</v>
      </c>
      <c r="K84" s="64">
        <v>94.87</v>
      </c>
      <c r="L84" s="64">
        <v>19.79</v>
      </c>
      <c r="M84" s="64">
        <v>66</v>
      </c>
      <c r="N84" s="64">
        <v>77.400000000000006</v>
      </c>
      <c r="O84" s="64">
        <v>0</v>
      </c>
      <c r="P84" s="64">
        <v>1.58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3008</v>
      </c>
      <c r="B85" s="64">
        <v>33.200000000000003</v>
      </c>
      <c r="C85" s="64">
        <v>91.26</v>
      </c>
      <c r="D85" s="64">
        <v>72.92</v>
      </c>
      <c r="E85" s="64">
        <v>8.1999999999999993</v>
      </c>
      <c r="F85" s="64">
        <v>2.13</v>
      </c>
      <c r="G85" s="64">
        <v>141.88999999999999</v>
      </c>
      <c r="H85" s="64">
        <v>54.12</v>
      </c>
      <c r="I85" s="210" t="s">
        <v>43</v>
      </c>
      <c r="J85" s="64">
        <v>1.59</v>
      </c>
      <c r="K85" s="64">
        <v>114.22</v>
      </c>
      <c r="L85" s="64">
        <v>19.579999999999998</v>
      </c>
      <c r="M85" s="64">
        <v>67.03</v>
      </c>
      <c r="N85" s="64">
        <v>77.2</v>
      </c>
      <c r="O85" s="64">
        <v>0</v>
      </c>
      <c r="P85" s="64">
        <v>1.54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3009</v>
      </c>
      <c r="B86" s="64">
        <v>41.22</v>
      </c>
      <c r="C86" s="64">
        <v>92.72</v>
      </c>
      <c r="D86" s="64">
        <v>80.12</v>
      </c>
      <c r="E86" s="64">
        <v>8.24</v>
      </c>
      <c r="F86" s="64">
        <v>2.13</v>
      </c>
      <c r="G86" s="64">
        <v>141.88999999999999</v>
      </c>
      <c r="H86" s="64">
        <v>54.12</v>
      </c>
      <c r="I86" s="210" t="s">
        <v>43</v>
      </c>
      <c r="J86" s="64">
        <v>1.06</v>
      </c>
      <c r="K86" s="64">
        <v>273.2</v>
      </c>
      <c r="L86" s="64">
        <v>19.32</v>
      </c>
      <c r="M86" s="64">
        <v>70.66</v>
      </c>
      <c r="N86" s="64">
        <v>77</v>
      </c>
      <c r="O86" s="64">
        <v>0</v>
      </c>
      <c r="P86" s="64">
        <v>1.68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3010</v>
      </c>
      <c r="B87" s="64">
        <v>51.82</v>
      </c>
      <c r="C87" s="64">
        <v>93.84</v>
      </c>
      <c r="D87" s="64">
        <v>89.2</v>
      </c>
      <c r="E87" s="64">
        <v>8.32</v>
      </c>
      <c r="F87" s="64">
        <v>2.13</v>
      </c>
      <c r="G87" s="64">
        <v>141.88999999999999</v>
      </c>
      <c r="H87" s="64">
        <v>54.12</v>
      </c>
      <c r="I87" s="210" t="s">
        <v>43</v>
      </c>
      <c r="J87" s="64">
        <v>1.59</v>
      </c>
      <c r="K87" s="64">
        <v>262.26</v>
      </c>
      <c r="L87" s="64">
        <v>19.11</v>
      </c>
      <c r="M87" s="64">
        <v>69.260000000000005</v>
      </c>
      <c r="N87" s="64">
        <v>77</v>
      </c>
      <c r="O87" s="64">
        <v>0</v>
      </c>
      <c r="P87" s="64">
        <v>1.65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3011</v>
      </c>
      <c r="B88" s="64">
        <v>59.82</v>
      </c>
      <c r="C88" s="64">
        <v>93.85</v>
      </c>
      <c r="D88" s="64">
        <v>95.63</v>
      </c>
      <c r="E88" s="64">
        <v>8.81</v>
      </c>
      <c r="F88" s="64">
        <v>2.13</v>
      </c>
      <c r="G88" s="64">
        <v>151.96</v>
      </c>
      <c r="H88" s="64">
        <v>54.62</v>
      </c>
      <c r="I88" s="210" t="s">
        <v>43</v>
      </c>
      <c r="J88" s="64">
        <v>1.42</v>
      </c>
      <c r="K88" s="64">
        <v>183.16</v>
      </c>
      <c r="L88" s="64">
        <v>19.600000000000001</v>
      </c>
      <c r="M88" s="64">
        <v>63.82</v>
      </c>
      <c r="N88" s="64">
        <v>75.900000000000006</v>
      </c>
      <c r="O88" s="64">
        <v>0</v>
      </c>
      <c r="P88" s="64">
        <v>1.73</v>
      </c>
      <c r="Q88" s="64">
        <v>8.23</v>
      </c>
      <c r="R88" s="198"/>
      <c r="S88" s="198"/>
      <c r="T88" s="198"/>
      <c r="U88" s="198"/>
    </row>
    <row r="89" spans="1:26" s="12" customFormat="1" x14ac:dyDescent="0.25">
      <c r="A89" s="214" t="s">
        <v>3012</v>
      </c>
      <c r="B89" s="64">
        <v>62.14</v>
      </c>
      <c r="C89" s="64">
        <v>93.26</v>
      </c>
      <c r="D89" s="64">
        <v>97.18</v>
      </c>
      <c r="E89" s="64">
        <v>8.83</v>
      </c>
      <c r="F89" s="64">
        <v>2.13</v>
      </c>
      <c r="G89" s="64">
        <v>164.01</v>
      </c>
      <c r="H89" s="64">
        <v>55.21</v>
      </c>
      <c r="I89" s="210" t="s">
        <v>43</v>
      </c>
      <c r="J89" s="64">
        <v>0.52</v>
      </c>
      <c r="K89" s="64">
        <v>31.75</v>
      </c>
      <c r="L89" s="64">
        <v>19.739999999999998</v>
      </c>
      <c r="M89" s="64">
        <v>62.63</v>
      </c>
      <c r="N89" s="64">
        <v>77.3</v>
      </c>
      <c r="O89" s="64">
        <v>0</v>
      </c>
      <c r="P89" s="64">
        <v>1.7</v>
      </c>
      <c r="Q89" s="64">
        <v>8.36</v>
      </c>
      <c r="R89" s="198"/>
      <c r="S89" s="198"/>
      <c r="T89" s="198"/>
      <c r="U89" s="198"/>
    </row>
    <row r="90" spans="1:26" s="12" customFormat="1" x14ac:dyDescent="0.25">
      <c r="A90" s="214" t="s">
        <v>3013</v>
      </c>
      <c r="B90" s="64">
        <v>61.9</v>
      </c>
      <c r="C90" s="64">
        <v>92.74</v>
      </c>
      <c r="D90" s="64">
        <v>96.72</v>
      </c>
      <c r="E90" s="64">
        <v>8.84</v>
      </c>
      <c r="F90" s="64">
        <v>2.13</v>
      </c>
      <c r="G90" s="64">
        <v>164.01</v>
      </c>
      <c r="H90" s="64">
        <v>55.21</v>
      </c>
      <c r="I90" s="210" t="s">
        <v>43</v>
      </c>
      <c r="J90" s="64">
        <v>0.96</v>
      </c>
      <c r="K90" s="64">
        <v>302.70999999999998</v>
      </c>
      <c r="L90" s="64">
        <v>19.09</v>
      </c>
      <c r="M90" s="64">
        <v>67.67</v>
      </c>
      <c r="N90" s="64">
        <v>77.3</v>
      </c>
      <c r="O90" s="64">
        <v>0</v>
      </c>
      <c r="P90" s="64">
        <v>1.83</v>
      </c>
      <c r="Q90" s="64">
        <v>8.42</v>
      </c>
      <c r="R90" s="198"/>
      <c r="S90" s="198"/>
      <c r="T90" s="198"/>
      <c r="U90" s="198"/>
    </row>
    <row r="91" spans="1:26" s="12" customFormat="1" x14ac:dyDescent="0.25">
      <c r="A91" s="214" t="s">
        <v>3014</v>
      </c>
      <c r="B91" s="64">
        <v>63.15</v>
      </c>
      <c r="C91" s="64">
        <v>91.85</v>
      </c>
      <c r="D91" s="64">
        <v>97.26</v>
      </c>
      <c r="E91" s="64">
        <v>8.86</v>
      </c>
      <c r="F91" s="64">
        <v>2.13</v>
      </c>
      <c r="G91" s="64">
        <v>164.01</v>
      </c>
      <c r="H91" s="64">
        <v>55.21</v>
      </c>
      <c r="I91" s="210" t="s">
        <v>43</v>
      </c>
      <c r="J91" s="64">
        <v>1.42</v>
      </c>
      <c r="K91" s="64">
        <v>285.72000000000003</v>
      </c>
      <c r="L91" s="64">
        <v>18.579999999999998</v>
      </c>
      <c r="M91" s="64">
        <v>72.099999999999994</v>
      </c>
      <c r="N91" s="64">
        <v>77.3</v>
      </c>
      <c r="O91" s="64">
        <v>0</v>
      </c>
      <c r="P91" s="64">
        <v>1.96</v>
      </c>
      <c r="Q91" s="64">
        <v>8.4499999999999993</v>
      </c>
      <c r="R91" s="198"/>
      <c r="S91" s="198"/>
      <c r="T91" s="198"/>
      <c r="U91" s="198"/>
    </row>
    <row r="92" spans="1:26" s="12" customFormat="1" x14ac:dyDescent="0.25">
      <c r="A92" s="214" t="s">
        <v>3015</v>
      </c>
      <c r="B92" s="64">
        <v>66.52</v>
      </c>
      <c r="C92" s="64">
        <v>86.94</v>
      </c>
      <c r="D92" s="64">
        <v>97.39</v>
      </c>
      <c r="E92" s="64">
        <v>8.77</v>
      </c>
      <c r="F92" s="64">
        <v>2.13</v>
      </c>
      <c r="G92" s="64">
        <v>166.9</v>
      </c>
      <c r="H92" s="64">
        <v>54.24</v>
      </c>
      <c r="I92" s="210" t="s">
        <v>43</v>
      </c>
      <c r="J92" s="64">
        <v>1.43</v>
      </c>
      <c r="K92" s="64">
        <v>296.2</v>
      </c>
      <c r="L92" s="64">
        <v>18.46</v>
      </c>
      <c r="M92" s="64">
        <v>69.33</v>
      </c>
      <c r="N92" s="64">
        <v>76.900000000000006</v>
      </c>
      <c r="O92" s="64">
        <v>0</v>
      </c>
      <c r="P92" s="64">
        <v>1.96</v>
      </c>
      <c r="Q92" s="64">
        <v>8.49</v>
      </c>
      <c r="R92" s="198"/>
      <c r="S92" s="198"/>
      <c r="T92" s="198"/>
      <c r="U92" s="198"/>
    </row>
    <row r="93" spans="1:26" s="12" customFormat="1" x14ac:dyDescent="0.25">
      <c r="A93" s="214" t="s">
        <v>3016</v>
      </c>
      <c r="B93" s="64">
        <v>69.77</v>
      </c>
      <c r="C93" s="64">
        <v>86.95</v>
      </c>
      <c r="D93" s="64">
        <v>100</v>
      </c>
      <c r="E93" s="64">
        <v>8.91</v>
      </c>
      <c r="F93" s="64">
        <v>2.13</v>
      </c>
      <c r="G93" s="64">
        <v>170.36</v>
      </c>
      <c r="H93" s="64">
        <v>53.09</v>
      </c>
      <c r="I93" s="210" t="s">
        <v>43</v>
      </c>
      <c r="J93" s="64">
        <v>1.63</v>
      </c>
      <c r="K93" s="64">
        <v>330.59</v>
      </c>
      <c r="L93" s="64">
        <v>18.309999999999999</v>
      </c>
      <c r="M93" s="64">
        <v>76.36</v>
      </c>
      <c r="N93" s="64">
        <v>77.2</v>
      </c>
      <c r="O93" s="64">
        <v>0</v>
      </c>
      <c r="P93" s="64">
        <v>2.5099999999999998</v>
      </c>
      <c r="Q93" s="64">
        <v>8.6</v>
      </c>
      <c r="R93" s="198"/>
      <c r="S93" s="198"/>
      <c r="T93" s="198"/>
      <c r="U93" s="198"/>
    </row>
    <row r="94" spans="1:26" s="12" customFormat="1" x14ac:dyDescent="0.25">
      <c r="A94" s="214" t="s">
        <v>3017</v>
      </c>
      <c r="B94" s="64">
        <v>74.900000000000006</v>
      </c>
      <c r="C94" s="64">
        <v>86.25</v>
      </c>
      <c r="D94" s="64">
        <v>103.75</v>
      </c>
      <c r="E94" s="64">
        <v>8.75</v>
      </c>
      <c r="F94" s="64">
        <v>2.13</v>
      </c>
      <c r="G94" s="64">
        <v>170.36</v>
      </c>
      <c r="H94" s="64">
        <v>53.09</v>
      </c>
      <c r="I94" s="210" t="s">
        <v>43</v>
      </c>
      <c r="J94" s="64">
        <v>1.61</v>
      </c>
      <c r="K94" s="64">
        <v>318.69</v>
      </c>
      <c r="L94" s="64">
        <v>17.93</v>
      </c>
      <c r="M94" s="64">
        <v>82.52</v>
      </c>
      <c r="N94" s="64">
        <v>77.099999999999994</v>
      </c>
      <c r="O94" s="64">
        <v>0</v>
      </c>
      <c r="P94" s="64">
        <v>2.39</v>
      </c>
      <c r="Q94" s="64">
        <v>8.7799999999999994</v>
      </c>
      <c r="R94" s="198"/>
      <c r="S94" s="198"/>
      <c r="T94" s="198"/>
      <c r="U94" s="198"/>
    </row>
    <row r="95" spans="1:26" s="12" customFormat="1" x14ac:dyDescent="0.25">
      <c r="A95" s="214" t="s">
        <v>3018</v>
      </c>
      <c r="B95" s="64">
        <v>79.52</v>
      </c>
      <c r="C95" s="64">
        <v>85.07</v>
      </c>
      <c r="D95" s="64">
        <v>106.83</v>
      </c>
      <c r="E95" s="64">
        <v>8.9600000000000009</v>
      </c>
      <c r="F95" s="64">
        <v>2.13</v>
      </c>
      <c r="G95" s="64">
        <v>170.36</v>
      </c>
      <c r="H95" s="64">
        <v>53.09</v>
      </c>
      <c r="I95" s="210" t="s">
        <v>43</v>
      </c>
      <c r="J95" s="64">
        <v>1.67</v>
      </c>
      <c r="K95" s="64">
        <v>298.27999999999997</v>
      </c>
      <c r="L95" s="64">
        <v>17.57</v>
      </c>
      <c r="M95" s="64">
        <v>82.34</v>
      </c>
      <c r="N95" s="64">
        <v>77</v>
      </c>
      <c r="O95" s="64">
        <v>0</v>
      </c>
      <c r="P95" s="64">
        <v>2.2999999999999998</v>
      </c>
      <c r="Q95" s="64">
        <v>8.98</v>
      </c>
      <c r="R95" s="198"/>
      <c r="S95" s="198"/>
      <c r="T95" s="198"/>
      <c r="U95" s="198"/>
    </row>
    <row r="96" spans="1:26" s="12" customFormat="1" x14ac:dyDescent="0.25">
      <c r="A96" s="214" t="s">
        <v>3019</v>
      </c>
      <c r="B96" s="64">
        <v>82.87</v>
      </c>
      <c r="C96" s="64">
        <v>84.49</v>
      </c>
      <c r="D96" s="64">
        <v>109.22</v>
      </c>
      <c r="E96" s="64">
        <v>8.86</v>
      </c>
      <c r="F96" s="64">
        <v>2.13</v>
      </c>
      <c r="G96" s="64">
        <v>169.68</v>
      </c>
      <c r="H96" s="64">
        <v>53.19</v>
      </c>
      <c r="I96" s="210" t="s">
        <v>43</v>
      </c>
      <c r="J96" s="64">
        <v>1.61</v>
      </c>
      <c r="K96" s="64">
        <v>290.35000000000002</v>
      </c>
      <c r="L96" s="64">
        <v>17.41</v>
      </c>
      <c r="M96" s="64">
        <v>79.22</v>
      </c>
      <c r="N96" s="64">
        <v>77</v>
      </c>
      <c r="O96" s="64">
        <v>0</v>
      </c>
      <c r="P96" s="64">
        <v>2.2000000000000002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3020</v>
      </c>
      <c r="B97" s="64">
        <v>84.62</v>
      </c>
      <c r="C97" s="64">
        <v>83.13</v>
      </c>
      <c r="D97" s="64">
        <v>109.91</v>
      </c>
      <c r="E97" s="64">
        <v>8.7899999999999991</v>
      </c>
      <c r="F97" s="64">
        <v>2.13</v>
      </c>
      <c r="G97" s="64">
        <v>168.86</v>
      </c>
      <c r="H97" s="64">
        <v>53.32</v>
      </c>
      <c r="I97" s="210" t="s">
        <v>43</v>
      </c>
      <c r="J97" s="64">
        <v>0.39</v>
      </c>
      <c r="K97" s="64">
        <v>151.16999999999999</v>
      </c>
      <c r="L97" s="64">
        <v>17.37</v>
      </c>
      <c r="M97" s="64">
        <v>79.83</v>
      </c>
      <c r="N97" s="64">
        <v>77</v>
      </c>
      <c r="O97" s="64">
        <v>0</v>
      </c>
      <c r="P97" s="64">
        <v>2.11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14" t="s">
        <v>3021</v>
      </c>
      <c r="B98" s="64">
        <v>87.2</v>
      </c>
      <c r="C98" s="64">
        <v>82.09</v>
      </c>
      <c r="D98" s="64">
        <v>111.44</v>
      </c>
      <c r="E98" s="64">
        <v>8.36</v>
      </c>
      <c r="F98" s="64">
        <v>2.13</v>
      </c>
      <c r="G98" s="64">
        <v>168.86</v>
      </c>
      <c r="H98" s="64">
        <v>53.32</v>
      </c>
      <c r="I98" s="210" t="s">
        <v>43</v>
      </c>
      <c r="J98" s="64">
        <v>1.33</v>
      </c>
      <c r="K98" s="64">
        <v>292.73</v>
      </c>
      <c r="L98" s="64">
        <v>17.260000000000002</v>
      </c>
      <c r="M98" s="64">
        <v>80.5</v>
      </c>
      <c r="N98" s="64">
        <v>77.099999999999994</v>
      </c>
      <c r="O98" s="64">
        <v>0</v>
      </c>
      <c r="P98" s="64">
        <v>2.1</v>
      </c>
      <c r="Q98" s="64">
        <v>9.32</v>
      </c>
      <c r="R98" s="198"/>
      <c r="S98" s="198"/>
      <c r="T98" s="198"/>
      <c r="U98" s="198"/>
    </row>
    <row r="99" spans="1:33" s="12" customFormat="1" x14ac:dyDescent="0.25">
      <c r="A99" s="214" t="s">
        <v>3022</v>
      </c>
      <c r="B99" s="64">
        <v>90.65</v>
      </c>
      <c r="C99" s="64">
        <v>83.73</v>
      </c>
      <c r="D99" s="64">
        <v>115.06</v>
      </c>
      <c r="E99" s="64">
        <v>8.0299999999999994</v>
      </c>
      <c r="F99" s="64">
        <v>2.13</v>
      </c>
      <c r="G99" s="64">
        <v>168.86</v>
      </c>
      <c r="H99" s="64">
        <v>53.32</v>
      </c>
      <c r="I99" s="210" t="s">
        <v>43</v>
      </c>
      <c r="J99" s="64">
        <v>0.78</v>
      </c>
      <c r="K99" s="64">
        <v>280.77999999999997</v>
      </c>
      <c r="L99" s="64">
        <v>17.010000000000002</v>
      </c>
      <c r="M99" s="64">
        <v>87.74</v>
      </c>
      <c r="N99" s="64">
        <v>76.900000000000006</v>
      </c>
      <c r="O99" s="64">
        <v>0</v>
      </c>
      <c r="P99" s="64">
        <v>2.1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4" t="s">
        <v>3023</v>
      </c>
      <c r="B100" s="64">
        <v>92.7</v>
      </c>
      <c r="C100" s="64">
        <v>83.89</v>
      </c>
      <c r="D100" s="64">
        <v>116.79</v>
      </c>
      <c r="E100" s="64">
        <v>8.26</v>
      </c>
      <c r="F100" s="64">
        <v>2.13</v>
      </c>
      <c r="G100" s="64">
        <v>165.99</v>
      </c>
      <c r="H100" s="64">
        <v>51.57</v>
      </c>
      <c r="I100" s="210" t="s">
        <v>43</v>
      </c>
      <c r="J100" s="64">
        <v>1.1599999999999999</v>
      </c>
      <c r="K100" s="64">
        <v>231.43</v>
      </c>
      <c r="L100" s="64">
        <v>17.239999999999998</v>
      </c>
      <c r="M100" s="64">
        <v>78.95</v>
      </c>
      <c r="N100" s="64">
        <v>76.7</v>
      </c>
      <c r="O100" s="64">
        <v>0</v>
      </c>
      <c r="P100" s="64">
        <v>2.06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3024</v>
      </c>
      <c r="B101" s="64">
        <v>91.65</v>
      </c>
      <c r="C101" s="64">
        <v>82.63</v>
      </c>
      <c r="D101" s="64">
        <v>115.29</v>
      </c>
      <c r="E101" s="64">
        <v>8.52</v>
      </c>
      <c r="F101" s="64">
        <v>2.13</v>
      </c>
      <c r="G101" s="64">
        <v>162.55000000000001</v>
      </c>
      <c r="H101" s="64">
        <v>49.48</v>
      </c>
      <c r="I101" s="210" t="s">
        <v>43</v>
      </c>
      <c r="J101" s="64">
        <v>1.33</v>
      </c>
      <c r="K101" s="64">
        <v>311.52</v>
      </c>
      <c r="L101" s="64">
        <v>17.309999999999999</v>
      </c>
      <c r="M101" s="64">
        <v>82.08</v>
      </c>
      <c r="N101" s="64">
        <v>76.900000000000006</v>
      </c>
      <c r="O101" s="64">
        <v>0</v>
      </c>
      <c r="P101" s="64">
        <v>2.06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4" t="s">
        <v>3025</v>
      </c>
      <c r="B102" s="64">
        <v>89.87</v>
      </c>
      <c r="C102" s="64">
        <v>81.7</v>
      </c>
      <c r="D102" s="64">
        <v>113.38</v>
      </c>
      <c r="E102" s="64">
        <v>8.5500000000000007</v>
      </c>
      <c r="F102" s="64">
        <v>2.13</v>
      </c>
      <c r="G102" s="64">
        <v>162.55000000000001</v>
      </c>
      <c r="H102" s="64">
        <v>49.48</v>
      </c>
      <c r="I102" s="210" t="s">
        <v>43</v>
      </c>
      <c r="J102" s="64">
        <v>1.05</v>
      </c>
      <c r="K102" s="64">
        <v>274.22000000000003</v>
      </c>
      <c r="L102" s="64">
        <v>17.04</v>
      </c>
      <c r="M102" s="64">
        <v>84.83</v>
      </c>
      <c r="N102" s="64">
        <v>76.900000000000006</v>
      </c>
      <c r="O102" s="64">
        <v>0</v>
      </c>
      <c r="P102" s="64">
        <v>2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4" t="s">
        <v>3026</v>
      </c>
      <c r="B103" s="64">
        <v>86.67</v>
      </c>
      <c r="C103" s="64">
        <v>80.2</v>
      </c>
      <c r="D103" s="64">
        <v>110.02</v>
      </c>
      <c r="E103" s="64">
        <v>8.84</v>
      </c>
      <c r="F103" s="64">
        <v>2.13</v>
      </c>
      <c r="G103" s="64">
        <v>162.55000000000001</v>
      </c>
      <c r="H103" s="64">
        <v>49.48</v>
      </c>
      <c r="I103" s="210" t="s">
        <v>43</v>
      </c>
      <c r="J103" s="64">
        <v>1.19</v>
      </c>
      <c r="K103" s="64">
        <v>311.35000000000002</v>
      </c>
      <c r="L103" s="64">
        <v>16.77</v>
      </c>
      <c r="M103" s="64">
        <v>87.14</v>
      </c>
      <c r="N103" s="64">
        <v>77.2</v>
      </c>
      <c r="O103" s="64">
        <v>0</v>
      </c>
      <c r="P103" s="64">
        <v>1.97</v>
      </c>
      <c r="Q103" s="64">
        <v>9.3800000000000008</v>
      </c>
      <c r="R103" s="198"/>
      <c r="S103" s="198"/>
      <c r="T103" s="198"/>
      <c r="U103" s="198"/>
    </row>
    <row r="104" spans="1:33" s="12" customFormat="1" x14ac:dyDescent="0.25">
      <c r="A104" s="214" t="s">
        <v>3027</v>
      </c>
      <c r="B104" s="64">
        <v>84.06</v>
      </c>
      <c r="C104" s="64">
        <v>78.7</v>
      </c>
      <c r="D104" s="64">
        <v>107.15</v>
      </c>
      <c r="E104" s="64">
        <v>6.78</v>
      </c>
      <c r="F104" s="64">
        <v>2.13</v>
      </c>
      <c r="G104" s="64">
        <v>149.68</v>
      </c>
      <c r="H104" s="64">
        <v>48.44</v>
      </c>
      <c r="I104" s="210" t="s">
        <v>43</v>
      </c>
      <c r="J104" s="64">
        <v>1.63</v>
      </c>
      <c r="K104" s="64">
        <v>273.08</v>
      </c>
      <c r="L104" s="64">
        <v>16.399999999999999</v>
      </c>
      <c r="M104" s="64">
        <v>89.67</v>
      </c>
      <c r="N104" s="64">
        <v>77.099999999999994</v>
      </c>
      <c r="O104" s="64">
        <v>0</v>
      </c>
      <c r="P104" s="64">
        <v>1.89</v>
      </c>
      <c r="Q104" s="64">
        <v>9.26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3.74</v>
      </c>
      <c r="C106" s="67">
        <f>MIN(C9:C104)</f>
        <v>59.78</v>
      </c>
      <c r="D106" s="67">
        <f t="shared" ref="D106:Q106" si="0">MIN(D9:D104)</f>
        <v>40.04</v>
      </c>
      <c r="E106" s="67">
        <f t="shared" si="0"/>
        <v>5.81</v>
      </c>
      <c r="F106" s="67">
        <f t="shared" si="0"/>
        <v>2.13</v>
      </c>
      <c r="G106" s="67">
        <f t="shared" si="0"/>
        <v>75.05</v>
      </c>
      <c r="H106" s="67">
        <f t="shared" si="0"/>
        <v>19.53</v>
      </c>
      <c r="I106" s="67">
        <f t="shared" si="0"/>
        <v>0</v>
      </c>
      <c r="J106" s="67">
        <f t="shared" si="0"/>
        <v>0.33</v>
      </c>
      <c r="K106" s="67">
        <f t="shared" si="0"/>
        <v>0.04</v>
      </c>
      <c r="L106" s="67">
        <f t="shared" si="0"/>
        <v>12.56</v>
      </c>
      <c r="M106" s="67">
        <f t="shared" si="0"/>
        <v>29.18</v>
      </c>
      <c r="N106" s="67">
        <f t="shared" si="0"/>
        <v>75.900000000000006</v>
      </c>
      <c r="O106" s="67">
        <f t="shared" si="0"/>
        <v>0</v>
      </c>
      <c r="P106" s="67">
        <f t="shared" si="0"/>
        <v>0.89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95.56</v>
      </c>
      <c r="C107" s="66">
        <f t="shared" ref="C107:Q107" si="1">MAX(C9:C104)</f>
        <v>93.85</v>
      </c>
      <c r="D107" s="66">
        <f t="shared" si="1"/>
        <v>117.34</v>
      </c>
      <c r="E107" s="66">
        <f t="shared" si="1"/>
        <v>8.9600000000000009</v>
      </c>
      <c r="F107" s="66">
        <f t="shared" si="1"/>
        <v>3.01</v>
      </c>
      <c r="G107" s="66">
        <f t="shared" si="1"/>
        <v>170.36</v>
      </c>
      <c r="H107" s="66">
        <f t="shared" si="1"/>
        <v>56.81</v>
      </c>
      <c r="I107" s="66">
        <f t="shared" si="1"/>
        <v>0</v>
      </c>
      <c r="J107" s="66">
        <f t="shared" si="1"/>
        <v>2.52</v>
      </c>
      <c r="K107" s="66">
        <f t="shared" si="1"/>
        <v>356.37</v>
      </c>
      <c r="L107" s="66">
        <f t="shared" si="1"/>
        <v>29.55</v>
      </c>
      <c r="M107" s="66">
        <f t="shared" si="1"/>
        <v>97.92</v>
      </c>
      <c r="N107" s="66">
        <f t="shared" si="1"/>
        <v>589.29999999999995</v>
      </c>
      <c r="O107" s="66">
        <f t="shared" si="1"/>
        <v>0</v>
      </c>
      <c r="P107" s="66">
        <f t="shared" si="1"/>
        <v>2.5099999999999998</v>
      </c>
      <c r="Q107" s="66">
        <f t="shared" si="1"/>
        <v>9.77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45.802916666666654</v>
      </c>
      <c r="C108" s="67">
        <f t="shared" ref="C108:Q108" si="2">AVERAGE(C9:C104)</f>
        <v>76.184479166666677</v>
      </c>
      <c r="D108" s="67">
        <f t="shared" si="2"/>
        <v>75.156666666666709</v>
      </c>
      <c r="E108" s="67">
        <f t="shared" si="2"/>
        <v>7.1301041666666665</v>
      </c>
      <c r="F108" s="67">
        <f t="shared" si="2"/>
        <v>2.2013541666666652</v>
      </c>
      <c r="G108" s="67">
        <f t="shared" si="2"/>
        <v>122.4545833333333</v>
      </c>
      <c r="H108" s="67">
        <f t="shared" si="2"/>
        <v>44.836458333333304</v>
      </c>
      <c r="I108" s="67" t="e">
        <f t="shared" si="2"/>
        <v>#DIV/0!</v>
      </c>
      <c r="J108" s="67">
        <f t="shared" si="2"/>
        <v>1.4068750000000001</v>
      </c>
      <c r="K108" s="67">
        <f t="shared" si="2"/>
        <v>232.03427083333324</v>
      </c>
      <c r="L108" s="67">
        <f t="shared" si="2"/>
        <v>19.650729166666657</v>
      </c>
      <c r="M108" s="67">
        <f t="shared" si="2"/>
        <v>60.537812499999994</v>
      </c>
      <c r="N108" s="67">
        <f t="shared" si="2"/>
        <v>193.01041666666666</v>
      </c>
      <c r="O108" s="67">
        <f t="shared" si="2"/>
        <v>0</v>
      </c>
      <c r="P108" s="67">
        <f t="shared" si="2"/>
        <v>1.4185416666666664</v>
      </c>
      <c r="Q108" s="67">
        <f t="shared" si="2"/>
        <v>8.5316666666666681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33.930031005513193</v>
      </c>
      <c r="C109" s="67">
        <f t="shared" ref="C109:Q109" si="3">STDEV(C9:C104)</f>
        <v>9.934983894754664</v>
      </c>
      <c r="D109" s="67">
        <f t="shared" si="3"/>
        <v>26.15820047193273</v>
      </c>
      <c r="E109" s="67">
        <f t="shared" si="3"/>
        <v>0.92394975346596775</v>
      </c>
      <c r="F109" s="67">
        <f t="shared" si="3"/>
        <v>0.181743716559258</v>
      </c>
      <c r="G109" s="67">
        <f t="shared" si="3"/>
        <v>25.543500230686782</v>
      </c>
      <c r="H109" s="67">
        <f t="shared" si="3"/>
        <v>8.3564496338133214</v>
      </c>
      <c r="I109" s="67" t="e">
        <f t="shared" si="3"/>
        <v>#DIV/0!</v>
      </c>
      <c r="J109" s="67">
        <f t="shared" si="3"/>
        <v>0.44387601991167758</v>
      </c>
      <c r="K109" s="67">
        <f t="shared" si="3"/>
        <v>105.3881700815941</v>
      </c>
      <c r="L109" s="67">
        <f t="shared" si="3"/>
        <v>5.7525172969920959</v>
      </c>
      <c r="M109" s="67">
        <f t="shared" si="3"/>
        <v>20.639107039186563</v>
      </c>
      <c r="N109" s="67">
        <f t="shared" si="3"/>
        <v>176.20094538199496</v>
      </c>
      <c r="O109" s="67">
        <f t="shared" si="3"/>
        <v>0</v>
      </c>
      <c r="P109" s="67">
        <f t="shared" si="3"/>
        <v>0.39755033886267183</v>
      </c>
      <c r="Q109" s="67">
        <f t="shared" si="3"/>
        <v>0.47440082246016041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3028</v>
      </c>
      <c r="B9" s="64">
        <v>81.62</v>
      </c>
      <c r="C9" s="64">
        <v>77.02</v>
      </c>
      <c r="D9" s="64">
        <v>104.32</v>
      </c>
      <c r="E9" s="64">
        <v>8.17</v>
      </c>
      <c r="F9" s="64">
        <v>2.13</v>
      </c>
      <c r="G9" s="64">
        <v>134.29</v>
      </c>
      <c r="H9" s="64">
        <v>47.19</v>
      </c>
      <c r="I9" s="210" t="s">
        <v>43</v>
      </c>
      <c r="J9" s="64">
        <v>1.41</v>
      </c>
      <c r="K9" s="64">
        <v>264.23</v>
      </c>
      <c r="L9" s="64">
        <v>16.13</v>
      </c>
      <c r="M9" s="64">
        <v>90.78</v>
      </c>
      <c r="N9" s="64">
        <v>77.099999999999994</v>
      </c>
      <c r="O9" s="64">
        <v>0</v>
      </c>
      <c r="P9" s="64">
        <v>1.87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14" t="s">
        <v>3029</v>
      </c>
      <c r="B10" s="64">
        <v>78.56</v>
      </c>
      <c r="C10" s="64">
        <v>75.38</v>
      </c>
      <c r="D10" s="64">
        <v>101.01</v>
      </c>
      <c r="E10" s="64">
        <v>7.99</v>
      </c>
      <c r="F10" s="64">
        <v>2.13</v>
      </c>
      <c r="G10" s="64">
        <v>134.29</v>
      </c>
      <c r="H10" s="64">
        <v>47.19</v>
      </c>
      <c r="I10" s="210" t="s">
        <v>43</v>
      </c>
      <c r="J10" s="64">
        <v>1.1499999999999999</v>
      </c>
      <c r="K10" s="64">
        <v>249.47</v>
      </c>
      <c r="L10" s="64">
        <v>16.02</v>
      </c>
      <c r="M10" s="64">
        <v>90.29</v>
      </c>
      <c r="N10" s="64">
        <v>77.099999999999994</v>
      </c>
      <c r="O10" s="64">
        <v>0</v>
      </c>
      <c r="P10" s="64">
        <v>1.83</v>
      </c>
      <c r="Q10" s="64">
        <v>8.9700000000000006</v>
      </c>
      <c r="R10" s="198"/>
      <c r="S10" s="198"/>
      <c r="T10" s="198"/>
      <c r="U10" s="198"/>
    </row>
    <row r="11" spans="1:21" s="12" customFormat="1" x14ac:dyDescent="0.25">
      <c r="A11" s="214" t="s">
        <v>3030</v>
      </c>
      <c r="B11" s="64">
        <v>75.64</v>
      </c>
      <c r="C11" s="64">
        <v>74.77</v>
      </c>
      <c r="D11" s="64">
        <v>98.35</v>
      </c>
      <c r="E11" s="64">
        <v>7.58</v>
      </c>
      <c r="F11" s="64">
        <v>2.13</v>
      </c>
      <c r="G11" s="64">
        <v>134.29</v>
      </c>
      <c r="H11" s="64">
        <v>47.19</v>
      </c>
      <c r="I11" s="210" t="s">
        <v>43</v>
      </c>
      <c r="J11" s="64">
        <v>1.62</v>
      </c>
      <c r="K11" s="64">
        <v>289.64</v>
      </c>
      <c r="L11" s="64">
        <v>15.9</v>
      </c>
      <c r="M11" s="64">
        <v>90.81</v>
      </c>
      <c r="N11" s="64">
        <v>76.8</v>
      </c>
      <c r="O11" s="64">
        <v>0</v>
      </c>
      <c r="P11" s="64">
        <v>1.79</v>
      </c>
      <c r="Q11" s="64">
        <v>8.81</v>
      </c>
      <c r="R11" s="198"/>
      <c r="S11" s="198"/>
      <c r="T11" s="198"/>
      <c r="U11" s="198"/>
    </row>
    <row r="12" spans="1:21" s="12" customFormat="1" x14ac:dyDescent="0.25">
      <c r="A12" s="214" t="s">
        <v>3031</v>
      </c>
      <c r="B12" s="64">
        <v>73.05</v>
      </c>
      <c r="C12" s="64">
        <v>71.44</v>
      </c>
      <c r="D12" s="64">
        <v>94.53</v>
      </c>
      <c r="E12" s="64">
        <v>8.19</v>
      </c>
      <c r="F12" s="64">
        <v>2.13</v>
      </c>
      <c r="G12" s="64">
        <v>127.4</v>
      </c>
      <c r="H12" s="64">
        <v>44.67</v>
      </c>
      <c r="I12" s="210" t="s">
        <v>43</v>
      </c>
      <c r="J12" s="64">
        <v>1.06</v>
      </c>
      <c r="K12" s="64">
        <v>289.70999999999998</v>
      </c>
      <c r="L12" s="64">
        <v>15.85</v>
      </c>
      <c r="M12" s="64">
        <v>91.54</v>
      </c>
      <c r="N12" s="64">
        <v>76.8</v>
      </c>
      <c r="O12" s="64">
        <v>0</v>
      </c>
      <c r="P12" s="64">
        <v>1.54</v>
      </c>
      <c r="Q12" s="64">
        <v>8.68</v>
      </c>
      <c r="R12" s="198"/>
      <c r="S12" s="198"/>
      <c r="T12" s="198"/>
      <c r="U12" s="198"/>
    </row>
    <row r="13" spans="1:21" s="12" customFormat="1" x14ac:dyDescent="0.25">
      <c r="A13" s="214" t="s">
        <v>3032</v>
      </c>
      <c r="B13" s="64">
        <v>71.17</v>
      </c>
      <c r="C13" s="64">
        <v>67.760000000000005</v>
      </c>
      <c r="D13" s="64">
        <v>91.1</v>
      </c>
      <c r="E13" s="64">
        <v>7.46</v>
      </c>
      <c r="F13" s="64">
        <v>2.13</v>
      </c>
      <c r="G13" s="64">
        <v>119.17</v>
      </c>
      <c r="H13" s="64">
        <v>41.66</v>
      </c>
      <c r="I13" s="210" t="s">
        <v>43</v>
      </c>
      <c r="J13" s="64">
        <v>1.49</v>
      </c>
      <c r="K13" s="64">
        <v>288.18</v>
      </c>
      <c r="L13" s="64">
        <v>15.65</v>
      </c>
      <c r="M13" s="64">
        <v>93.77</v>
      </c>
      <c r="N13" s="64">
        <v>76.900000000000006</v>
      </c>
      <c r="O13" s="64">
        <v>0</v>
      </c>
      <c r="P13" s="64">
        <v>1.5</v>
      </c>
      <c r="Q13" s="64">
        <v>8.48</v>
      </c>
      <c r="R13" s="198"/>
      <c r="S13" s="198"/>
      <c r="T13" s="198"/>
      <c r="U13" s="198"/>
    </row>
    <row r="14" spans="1:21" s="12" customFormat="1" x14ac:dyDescent="0.25">
      <c r="A14" s="214" t="s">
        <v>3033</v>
      </c>
      <c r="B14" s="64">
        <v>70.040000000000006</v>
      </c>
      <c r="C14" s="64">
        <v>67.75</v>
      </c>
      <c r="D14" s="64">
        <v>90.19</v>
      </c>
      <c r="E14" s="64">
        <v>7.39</v>
      </c>
      <c r="F14" s="64">
        <v>2.13</v>
      </c>
      <c r="G14" s="64">
        <v>119.17</v>
      </c>
      <c r="H14" s="64">
        <v>41.66</v>
      </c>
      <c r="I14" s="210" t="s">
        <v>43</v>
      </c>
      <c r="J14" s="64">
        <v>1.18</v>
      </c>
      <c r="K14" s="64">
        <v>260.16000000000003</v>
      </c>
      <c r="L14" s="64">
        <v>15.5</v>
      </c>
      <c r="M14" s="64">
        <v>93.6</v>
      </c>
      <c r="N14" s="64">
        <v>76.7</v>
      </c>
      <c r="O14" s="64">
        <v>0</v>
      </c>
      <c r="P14" s="64">
        <v>1.42</v>
      </c>
      <c r="Q14" s="64">
        <v>8.39</v>
      </c>
      <c r="R14" s="198"/>
      <c r="S14" s="198"/>
      <c r="T14" s="198"/>
      <c r="U14" s="198"/>
    </row>
    <row r="15" spans="1:21" s="12" customFormat="1" x14ac:dyDescent="0.25">
      <c r="A15" s="214" t="s">
        <v>3034</v>
      </c>
      <c r="B15" s="64">
        <v>68.59</v>
      </c>
      <c r="C15" s="64">
        <v>67.75</v>
      </c>
      <c r="D15" s="64">
        <v>89.03</v>
      </c>
      <c r="E15" s="64">
        <v>7.14</v>
      </c>
      <c r="F15" s="64">
        <v>2.13</v>
      </c>
      <c r="G15" s="64">
        <v>119.17</v>
      </c>
      <c r="H15" s="64">
        <v>41.66</v>
      </c>
      <c r="I15" s="210" t="s">
        <v>43</v>
      </c>
      <c r="J15" s="64">
        <v>1.33</v>
      </c>
      <c r="K15" s="64">
        <v>128.25</v>
      </c>
      <c r="L15" s="64">
        <v>15.44</v>
      </c>
      <c r="M15" s="64">
        <v>94.95</v>
      </c>
      <c r="N15" s="64">
        <v>75.599999999999994</v>
      </c>
      <c r="O15" s="64">
        <v>0</v>
      </c>
      <c r="P15" s="64">
        <v>1.39</v>
      </c>
      <c r="Q15" s="64">
        <v>8.33</v>
      </c>
      <c r="R15" s="198"/>
      <c r="S15" s="198"/>
      <c r="T15" s="198"/>
      <c r="U15" s="198"/>
    </row>
    <row r="16" spans="1:21" s="12" customFormat="1" x14ac:dyDescent="0.25">
      <c r="A16" s="214" t="s">
        <v>3035</v>
      </c>
      <c r="B16" s="64">
        <v>66.92</v>
      </c>
      <c r="C16" s="64">
        <v>66.7</v>
      </c>
      <c r="D16" s="64">
        <v>87.14</v>
      </c>
      <c r="E16" s="64">
        <v>7.92</v>
      </c>
      <c r="F16" s="64">
        <v>2.13</v>
      </c>
      <c r="G16" s="64">
        <v>110.68</v>
      </c>
      <c r="H16" s="64">
        <v>39.86</v>
      </c>
      <c r="I16" s="210" t="s">
        <v>43</v>
      </c>
      <c r="J16" s="64">
        <v>1.33</v>
      </c>
      <c r="K16" s="64">
        <v>301.95</v>
      </c>
      <c r="L16" s="64">
        <v>15.58</v>
      </c>
      <c r="M16" s="64">
        <v>93.43</v>
      </c>
      <c r="N16" s="64">
        <v>75.7</v>
      </c>
      <c r="O16" s="64">
        <v>0</v>
      </c>
      <c r="P16" s="64">
        <v>1.44</v>
      </c>
      <c r="Q16" s="64">
        <v>8.24</v>
      </c>
      <c r="R16" s="198"/>
      <c r="S16" s="198"/>
      <c r="T16" s="198"/>
      <c r="U16" s="198"/>
    </row>
    <row r="17" spans="1:21" s="12" customFormat="1" x14ac:dyDescent="0.25">
      <c r="A17" s="214" t="s">
        <v>3036</v>
      </c>
      <c r="B17" s="64">
        <v>65.150000000000006</v>
      </c>
      <c r="C17" s="64">
        <v>65.72</v>
      </c>
      <c r="D17" s="64">
        <v>85.21</v>
      </c>
      <c r="E17" s="64">
        <v>7.73</v>
      </c>
      <c r="F17" s="64">
        <v>2.13</v>
      </c>
      <c r="G17" s="64">
        <v>100.54</v>
      </c>
      <c r="H17" s="64">
        <v>37.71</v>
      </c>
      <c r="I17" s="210" t="s">
        <v>43</v>
      </c>
      <c r="J17" s="64">
        <v>1.56</v>
      </c>
      <c r="K17" s="64">
        <v>294.37</v>
      </c>
      <c r="L17" s="64">
        <v>15.23</v>
      </c>
      <c r="M17" s="64">
        <v>95.52</v>
      </c>
      <c r="N17" s="64">
        <v>75.5</v>
      </c>
      <c r="O17" s="64">
        <v>0</v>
      </c>
      <c r="P17" s="64">
        <v>1.33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3037</v>
      </c>
      <c r="B18" s="64">
        <v>63.32</v>
      </c>
      <c r="C18" s="64">
        <v>64.58</v>
      </c>
      <c r="D18" s="64">
        <v>83.15</v>
      </c>
      <c r="E18" s="64">
        <v>8.08</v>
      </c>
      <c r="F18" s="64">
        <v>2.13</v>
      </c>
      <c r="G18" s="64">
        <v>100.54</v>
      </c>
      <c r="H18" s="64">
        <v>37.71</v>
      </c>
      <c r="I18" s="210" t="s">
        <v>43</v>
      </c>
      <c r="J18" s="64">
        <v>1.2</v>
      </c>
      <c r="K18" s="64">
        <v>289.89</v>
      </c>
      <c r="L18" s="64">
        <v>15.18</v>
      </c>
      <c r="M18" s="64">
        <v>96.35</v>
      </c>
      <c r="N18" s="64">
        <v>75.400000000000006</v>
      </c>
      <c r="O18" s="64">
        <v>0</v>
      </c>
      <c r="P18" s="64">
        <v>1.32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3038</v>
      </c>
      <c r="B19" s="64">
        <v>61.47</v>
      </c>
      <c r="C19" s="64">
        <v>62.96</v>
      </c>
      <c r="D19" s="64">
        <v>80.819999999999993</v>
      </c>
      <c r="E19" s="64">
        <v>7.67</v>
      </c>
      <c r="F19" s="64">
        <v>2.13</v>
      </c>
      <c r="G19" s="64">
        <v>100.54</v>
      </c>
      <c r="H19" s="64">
        <v>37.71</v>
      </c>
      <c r="I19" s="210" t="s">
        <v>43</v>
      </c>
      <c r="J19" s="64">
        <v>1.71</v>
      </c>
      <c r="K19" s="64">
        <v>178.74</v>
      </c>
      <c r="L19" s="64">
        <v>15.65</v>
      </c>
      <c r="M19" s="64">
        <v>94.87</v>
      </c>
      <c r="N19" s="64">
        <v>74.599999999999994</v>
      </c>
      <c r="O19" s="64">
        <v>0</v>
      </c>
      <c r="P19" s="64">
        <v>1.31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3039</v>
      </c>
      <c r="B20" s="64">
        <v>59.2</v>
      </c>
      <c r="C20" s="64">
        <v>62.77</v>
      </c>
      <c r="D20" s="64">
        <v>78.89</v>
      </c>
      <c r="E20" s="64">
        <v>7.45</v>
      </c>
      <c r="F20" s="64">
        <v>2.13</v>
      </c>
      <c r="G20" s="64">
        <v>96.7</v>
      </c>
      <c r="H20" s="64">
        <v>36.700000000000003</v>
      </c>
      <c r="I20" s="210" t="s">
        <v>43</v>
      </c>
      <c r="J20" s="64">
        <v>1.26</v>
      </c>
      <c r="K20" s="64">
        <v>217.82</v>
      </c>
      <c r="L20" s="64">
        <v>15.58</v>
      </c>
      <c r="M20" s="64">
        <v>94.12</v>
      </c>
      <c r="N20" s="64">
        <v>75.599999999999994</v>
      </c>
      <c r="O20" s="64">
        <v>0</v>
      </c>
      <c r="P20" s="64">
        <v>1.44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3040</v>
      </c>
      <c r="B21" s="64">
        <v>56.8</v>
      </c>
      <c r="C21" s="64">
        <v>64.010000000000005</v>
      </c>
      <c r="D21" s="64">
        <v>77.62</v>
      </c>
      <c r="E21" s="64">
        <v>7.29</v>
      </c>
      <c r="F21" s="64">
        <v>2.13</v>
      </c>
      <c r="G21" s="64">
        <v>91.89</v>
      </c>
      <c r="H21" s="64">
        <v>35.5</v>
      </c>
      <c r="I21" s="210" t="s">
        <v>43</v>
      </c>
      <c r="J21" s="64">
        <v>1.04</v>
      </c>
      <c r="K21" s="64">
        <v>243.42</v>
      </c>
      <c r="L21" s="64">
        <v>15.29</v>
      </c>
      <c r="M21" s="64">
        <v>96.18</v>
      </c>
      <c r="N21" s="64">
        <v>75.7</v>
      </c>
      <c r="O21" s="64">
        <v>0</v>
      </c>
      <c r="P21" s="64">
        <v>1.4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3041</v>
      </c>
      <c r="B22" s="64">
        <v>54.2</v>
      </c>
      <c r="C22" s="64">
        <v>62.91</v>
      </c>
      <c r="D22" s="64">
        <v>74.959999999999994</v>
      </c>
      <c r="E22" s="64">
        <v>7.44</v>
      </c>
      <c r="F22" s="64">
        <v>2.13</v>
      </c>
      <c r="G22" s="64">
        <v>91.89</v>
      </c>
      <c r="H22" s="64">
        <v>35.5</v>
      </c>
      <c r="I22" s="210" t="s">
        <v>43</v>
      </c>
      <c r="J22" s="64">
        <v>1.07</v>
      </c>
      <c r="K22" s="64">
        <v>297.41000000000003</v>
      </c>
      <c r="L22" s="64">
        <v>15.06</v>
      </c>
      <c r="M22" s="64">
        <v>98.18</v>
      </c>
      <c r="N22" s="64">
        <v>75.8</v>
      </c>
      <c r="O22" s="64">
        <v>0</v>
      </c>
      <c r="P22" s="64">
        <v>1.3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3042</v>
      </c>
      <c r="B23" s="64">
        <v>51.46</v>
      </c>
      <c r="C23" s="64">
        <v>61.93</v>
      </c>
      <c r="D23" s="64">
        <v>72.239999999999995</v>
      </c>
      <c r="E23" s="64">
        <v>7.52</v>
      </c>
      <c r="F23" s="64">
        <v>2.13</v>
      </c>
      <c r="G23" s="64">
        <v>91.89</v>
      </c>
      <c r="H23" s="64">
        <v>35.5</v>
      </c>
      <c r="I23" s="210" t="s">
        <v>43</v>
      </c>
      <c r="J23" s="64">
        <v>1.0900000000000001</v>
      </c>
      <c r="K23" s="64">
        <v>311.04000000000002</v>
      </c>
      <c r="L23" s="64">
        <v>14.82</v>
      </c>
      <c r="M23" s="64">
        <v>100.14</v>
      </c>
      <c r="N23" s="64">
        <v>75.900000000000006</v>
      </c>
      <c r="O23" s="64">
        <v>0</v>
      </c>
      <c r="P23" s="64">
        <v>1.3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3043</v>
      </c>
      <c r="B24" s="64">
        <v>48.93</v>
      </c>
      <c r="C24" s="64">
        <v>61.33</v>
      </c>
      <c r="D24" s="64">
        <v>69.900000000000006</v>
      </c>
      <c r="E24" s="64">
        <v>7.47</v>
      </c>
      <c r="F24" s="64">
        <v>2.13</v>
      </c>
      <c r="G24" s="64">
        <v>81.78</v>
      </c>
      <c r="H24" s="64">
        <v>34.19</v>
      </c>
      <c r="I24" s="210" t="s">
        <v>43</v>
      </c>
      <c r="J24" s="64">
        <v>1.41</v>
      </c>
      <c r="K24" s="64">
        <v>269.72000000000003</v>
      </c>
      <c r="L24" s="64">
        <v>14.69</v>
      </c>
      <c r="M24" s="64">
        <v>101.39</v>
      </c>
      <c r="N24" s="64">
        <v>76</v>
      </c>
      <c r="O24" s="64">
        <v>0</v>
      </c>
      <c r="P24" s="64">
        <v>1.26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3044</v>
      </c>
      <c r="B25" s="64">
        <v>47.31</v>
      </c>
      <c r="C25" s="64">
        <v>60.86</v>
      </c>
      <c r="D25" s="64">
        <v>68.36</v>
      </c>
      <c r="E25" s="64">
        <v>7.15</v>
      </c>
      <c r="F25" s="64">
        <v>2.13</v>
      </c>
      <c r="G25" s="64">
        <v>69.7</v>
      </c>
      <c r="H25" s="64">
        <v>32.630000000000003</v>
      </c>
      <c r="I25" s="210" t="s">
        <v>43</v>
      </c>
      <c r="J25" s="64">
        <v>1.52</v>
      </c>
      <c r="K25" s="64">
        <v>295.02999999999997</v>
      </c>
      <c r="L25" s="64">
        <v>14.58</v>
      </c>
      <c r="M25" s="64">
        <v>102.67</v>
      </c>
      <c r="N25" s="64">
        <v>76.2</v>
      </c>
      <c r="O25" s="64">
        <v>0</v>
      </c>
      <c r="P25" s="64">
        <v>1.22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3045</v>
      </c>
      <c r="B26" s="64">
        <v>45.98</v>
      </c>
      <c r="C26" s="64">
        <v>60.56</v>
      </c>
      <c r="D26" s="64">
        <v>67.14</v>
      </c>
      <c r="E26" s="64">
        <v>6.56</v>
      </c>
      <c r="F26" s="64">
        <v>2.13</v>
      </c>
      <c r="G26" s="64">
        <v>69.7</v>
      </c>
      <c r="H26" s="64">
        <v>32.630000000000003</v>
      </c>
      <c r="I26" s="210" t="s">
        <v>43</v>
      </c>
      <c r="J26" s="64">
        <v>1.6</v>
      </c>
      <c r="K26" s="64">
        <v>285.98</v>
      </c>
      <c r="L26" s="64">
        <v>14.43</v>
      </c>
      <c r="M26" s="64">
        <v>103.41</v>
      </c>
      <c r="N26" s="64">
        <v>76.400000000000006</v>
      </c>
      <c r="O26" s="64">
        <v>0</v>
      </c>
      <c r="P26" s="64">
        <v>1.19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3046</v>
      </c>
      <c r="B27" s="64">
        <v>44.73</v>
      </c>
      <c r="C27" s="64">
        <v>60.14</v>
      </c>
      <c r="D27" s="64">
        <v>65.92</v>
      </c>
      <c r="E27" s="64">
        <v>7.02</v>
      </c>
      <c r="F27" s="64">
        <v>2.13</v>
      </c>
      <c r="G27" s="64">
        <v>69.7</v>
      </c>
      <c r="H27" s="64">
        <v>32.630000000000003</v>
      </c>
      <c r="I27" s="210" t="s">
        <v>43</v>
      </c>
      <c r="J27" s="64">
        <v>1.63</v>
      </c>
      <c r="K27" s="64">
        <v>282.82</v>
      </c>
      <c r="L27" s="64">
        <v>14.27</v>
      </c>
      <c r="M27" s="64">
        <v>104.35</v>
      </c>
      <c r="N27" s="64">
        <v>76.400000000000006</v>
      </c>
      <c r="O27" s="64">
        <v>0</v>
      </c>
      <c r="P27" s="64">
        <v>1.1499999999999999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3047</v>
      </c>
      <c r="B28" s="64">
        <v>44.38</v>
      </c>
      <c r="C28" s="64">
        <v>60.37</v>
      </c>
      <c r="D28" s="64">
        <v>65.760000000000005</v>
      </c>
      <c r="E28" s="64">
        <v>6.96</v>
      </c>
      <c r="F28" s="64">
        <v>2.13</v>
      </c>
      <c r="G28" s="64">
        <v>70.760000000000005</v>
      </c>
      <c r="H28" s="64">
        <v>31.34</v>
      </c>
      <c r="I28" s="210" t="s">
        <v>43</v>
      </c>
      <c r="J28" s="64">
        <v>1.66</v>
      </c>
      <c r="K28" s="64">
        <v>311.07</v>
      </c>
      <c r="L28" s="64">
        <v>14.22</v>
      </c>
      <c r="M28" s="64">
        <v>104.48</v>
      </c>
      <c r="N28" s="64">
        <v>76.599999999999994</v>
      </c>
      <c r="O28" s="64">
        <v>0</v>
      </c>
      <c r="P28" s="64">
        <v>1.1100000000000001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3048</v>
      </c>
      <c r="B29" s="64">
        <v>44.56</v>
      </c>
      <c r="C29" s="64">
        <v>56.87</v>
      </c>
      <c r="D29" s="64">
        <v>64.069999999999993</v>
      </c>
      <c r="E29" s="64">
        <v>6.83</v>
      </c>
      <c r="F29" s="64">
        <v>2.13</v>
      </c>
      <c r="G29" s="64">
        <v>72.02</v>
      </c>
      <c r="H29" s="64">
        <v>29.79</v>
      </c>
      <c r="I29" s="210" t="s">
        <v>43</v>
      </c>
      <c r="J29" s="64">
        <v>1.62</v>
      </c>
      <c r="K29" s="64">
        <v>284.31</v>
      </c>
      <c r="L29" s="64">
        <v>14.27</v>
      </c>
      <c r="M29" s="64">
        <v>104.49</v>
      </c>
      <c r="N29" s="64">
        <v>76.599999999999994</v>
      </c>
      <c r="O29" s="64">
        <v>0</v>
      </c>
      <c r="P29" s="64">
        <v>1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3049</v>
      </c>
      <c r="B30" s="64">
        <v>44.52</v>
      </c>
      <c r="C30" s="64">
        <v>56.64</v>
      </c>
      <c r="D30" s="64">
        <v>63.92</v>
      </c>
      <c r="E30" s="64">
        <v>6.62</v>
      </c>
      <c r="F30" s="64">
        <v>2.13</v>
      </c>
      <c r="G30" s="64">
        <v>72.02</v>
      </c>
      <c r="H30" s="64">
        <v>29.79</v>
      </c>
      <c r="I30" s="210" t="s">
        <v>43</v>
      </c>
      <c r="J30" s="64">
        <v>0.81</v>
      </c>
      <c r="K30" s="64">
        <v>285.62</v>
      </c>
      <c r="L30" s="64">
        <v>14.54</v>
      </c>
      <c r="M30" s="64">
        <v>103.03</v>
      </c>
      <c r="N30" s="64">
        <v>76.5</v>
      </c>
      <c r="O30" s="64">
        <v>0</v>
      </c>
      <c r="P30" s="64">
        <v>1.01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3050</v>
      </c>
      <c r="B31" s="64">
        <v>44.45</v>
      </c>
      <c r="C31" s="64">
        <v>57.41</v>
      </c>
      <c r="D31" s="64">
        <v>64.260000000000005</v>
      </c>
      <c r="E31" s="64">
        <v>7.13</v>
      </c>
      <c r="F31" s="64">
        <v>2.13</v>
      </c>
      <c r="G31" s="64">
        <v>72.02</v>
      </c>
      <c r="H31" s="64">
        <v>29.79</v>
      </c>
      <c r="I31" s="210" t="s">
        <v>43</v>
      </c>
      <c r="J31" s="64">
        <v>1.08</v>
      </c>
      <c r="K31" s="64">
        <v>220.44</v>
      </c>
      <c r="L31" s="64">
        <v>14.47</v>
      </c>
      <c r="M31" s="64">
        <v>103.1</v>
      </c>
      <c r="N31" s="64">
        <v>76.5</v>
      </c>
      <c r="O31" s="64">
        <v>0</v>
      </c>
      <c r="P31" s="64">
        <v>0.95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3051</v>
      </c>
      <c r="B32" s="64">
        <v>43.79</v>
      </c>
      <c r="C32" s="64">
        <v>57.69</v>
      </c>
      <c r="D32" s="64">
        <v>63.88</v>
      </c>
      <c r="E32" s="64">
        <v>6.77</v>
      </c>
      <c r="F32" s="64">
        <v>2.13</v>
      </c>
      <c r="G32" s="64">
        <v>71.680000000000007</v>
      </c>
      <c r="H32" s="64">
        <v>28.81</v>
      </c>
      <c r="I32" s="210" t="s">
        <v>43</v>
      </c>
      <c r="J32" s="64">
        <v>0.97</v>
      </c>
      <c r="K32" s="64">
        <v>210.62</v>
      </c>
      <c r="L32" s="64">
        <v>14.34</v>
      </c>
      <c r="M32" s="64">
        <v>104.19</v>
      </c>
      <c r="N32" s="64">
        <v>76.400000000000006</v>
      </c>
      <c r="O32" s="64">
        <v>0</v>
      </c>
      <c r="P32" s="64">
        <v>0.92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3052</v>
      </c>
      <c r="B33" s="64">
        <v>43.03</v>
      </c>
      <c r="C33" s="64">
        <v>57.54</v>
      </c>
      <c r="D33" s="64">
        <v>63.19</v>
      </c>
      <c r="E33" s="64">
        <v>7.03</v>
      </c>
      <c r="F33" s="64">
        <v>2.13</v>
      </c>
      <c r="G33" s="64">
        <v>71.28</v>
      </c>
      <c r="H33" s="64">
        <v>27.58</v>
      </c>
      <c r="I33" s="210" t="s">
        <v>43</v>
      </c>
      <c r="J33" s="64">
        <v>1.37</v>
      </c>
      <c r="K33" s="64">
        <v>329.26</v>
      </c>
      <c r="L33" s="64">
        <v>14.29</v>
      </c>
      <c r="M33" s="64">
        <v>104.08</v>
      </c>
      <c r="N33" s="64">
        <v>76.7</v>
      </c>
      <c r="O33" s="64">
        <v>0</v>
      </c>
      <c r="P33" s="64">
        <v>0.92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3053</v>
      </c>
      <c r="B34" s="64">
        <v>43.03</v>
      </c>
      <c r="C34" s="64">
        <v>56.97</v>
      </c>
      <c r="D34" s="64">
        <v>62.9</v>
      </c>
      <c r="E34" s="64">
        <v>6.81</v>
      </c>
      <c r="F34" s="64">
        <v>2.13</v>
      </c>
      <c r="G34" s="64">
        <v>71.28</v>
      </c>
      <c r="H34" s="64">
        <v>27.58</v>
      </c>
      <c r="I34" s="210" t="s">
        <v>43</v>
      </c>
      <c r="J34" s="64">
        <v>1.63</v>
      </c>
      <c r="K34" s="64">
        <v>296.55</v>
      </c>
      <c r="L34" s="64">
        <v>14.16</v>
      </c>
      <c r="M34" s="64">
        <v>104.05</v>
      </c>
      <c r="N34" s="64">
        <v>77.099999999999994</v>
      </c>
      <c r="O34" s="64">
        <v>0</v>
      </c>
      <c r="P34" s="64">
        <v>0.88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3054</v>
      </c>
      <c r="B35" s="64">
        <v>43.08</v>
      </c>
      <c r="C35" s="64">
        <v>57.07</v>
      </c>
      <c r="D35" s="64">
        <v>62.99</v>
      </c>
      <c r="E35" s="64">
        <v>6.82</v>
      </c>
      <c r="F35" s="64">
        <v>2.13</v>
      </c>
      <c r="G35" s="64">
        <v>71.28</v>
      </c>
      <c r="H35" s="64">
        <v>27.58</v>
      </c>
      <c r="I35" s="210" t="s">
        <v>43</v>
      </c>
      <c r="J35" s="64">
        <v>1.35</v>
      </c>
      <c r="K35" s="64">
        <v>299.76</v>
      </c>
      <c r="L35" s="64">
        <v>14.07</v>
      </c>
      <c r="M35" s="64">
        <v>104.07</v>
      </c>
      <c r="N35" s="64">
        <v>79.5</v>
      </c>
      <c r="O35" s="64">
        <v>0</v>
      </c>
      <c r="P35" s="64">
        <v>0.89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3055</v>
      </c>
      <c r="B36" s="64">
        <v>43.37</v>
      </c>
      <c r="C36" s="64">
        <v>57.24</v>
      </c>
      <c r="D36" s="64">
        <v>63.31</v>
      </c>
      <c r="E36" s="64">
        <v>6.81</v>
      </c>
      <c r="F36" s="64">
        <v>2.13</v>
      </c>
      <c r="G36" s="64">
        <v>70.98</v>
      </c>
      <c r="H36" s="64">
        <v>27.84</v>
      </c>
      <c r="I36" s="210" t="s">
        <v>43</v>
      </c>
      <c r="J36" s="64">
        <v>1.62</v>
      </c>
      <c r="K36" s="64">
        <v>285.20999999999998</v>
      </c>
      <c r="L36" s="64">
        <v>14.16</v>
      </c>
      <c r="M36" s="64">
        <v>104.12</v>
      </c>
      <c r="N36" s="64">
        <v>87.3</v>
      </c>
      <c r="O36" s="64">
        <v>0</v>
      </c>
      <c r="P36" s="64">
        <v>0.9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3056</v>
      </c>
      <c r="B37" s="64">
        <v>43.84</v>
      </c>
      <c r="C37" s="64">
        <v>59.74</v>
      </c>
      <c r="D37" s="64">
        <v>64.989999999999995</v>
      </c>
      <c r="E37" s="64">
        <v>7</v>
      </c>
      <c r="F37" s="64">
        <v>2.13</v>
      </c>
      <c r="G37" s="64">
        <v>70.63</v>
      </c>
      <c r="H37" s="64">
        <v>28.15</v>
      </c>
      <c r="I37" s="210" t="s">
        <v>43</v>
      </c>
      <c r="J37" s="64">
        <v>0.83</v>
      </c>
      <c r="K37" s="64">
        <v>190.44</v>
      </c>
      <c r="L37" s="64">
        <v>14.55</v>
      </c>
      <c r="M37" s="64">
        <v>104.22</v>
      </c>
      <c r="N37" s="64">
        <v>100.9</v>
      </c>
      <c r="O37" s="64">
        <v>0</v>
      </c>
      <c r="P37" s="64">
        <v>0.96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3057</v>
      </c>
      <c r="B38" s="64">
        <v>44.99</v>
      </c>
      <c r="C38" s="64">
        <v>60.06</v>
      </c>
      <c r="D38" s="64">
        <v>66.08</v>
      </c>
      <c r="E38" s="64">
        <v>7.35</v>
      </c>
      <c r="F38" s="64">
        <v>2.13</v>
      </c>
      <c r="G38" s="64">
        <v>70.63</v>
      </c>
      <c r="H38" s="64">
        <v>28.15</v>
      </c>
      <c r="I38" s="210" t="s">
        <v>43</v>
      </c>
      <c r="J38" s="64">
        <v>0.37</v>
      </c>
      <c r="K38" s="64">
        <v>110.89</v>
      </c>
      <c r="L38" s="64">
        <v>15.04</v>
      </c>
      <c r="M38" s="64">
        <v>103.82</v>
      </c>
      <c r="N38" s="64">
        <v>116.5</v>
      </c>
      <c r="O38" s="64">
        <v>0</v>
      </c>
      <c r="P38" s="64">
        <v>1.01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3058</v>
      </c>
      <c r="B39" s="64">
        <v>48.18</v>
      </c>
      <c r="C39" s="64">
        <v>59.99</v>
      </c>
      <c r="D39" s="64">
        <v>68.61</v>
      </c>
      <c r="E39" s="64">
        <v>7.63</v>
      </c>
      <c r="F39" s="64">
        <v>2.13</v>
      </c>
      <c r="G39" s="64">
        <v>70.63</v>
      </c>
      <c r="H39" s="64">
        <v>28.15</v>
      </c>
      <c r="I39" s="210" t="s">
        <v>43</v>
      </c>
      <c r="J39" s="64">
        <v>1.26</v>
      </c>
      <c r="K39" s="64">
        <v>5.18</v>
      </c>
      <c r="L39" s="64">
        <v>15.98</v>
      </c>
      <c r="M39" s="64">
        <v>100.29</v>
      </c>
      <c r="N39" s="64">
        <v>151.4</v>
      </c>
      <c r="O39" s="64">
        <v>0</v>
      </c>
      <c r="P39" s="64">
        <v>1.02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3059</v>
      </c>
      <c r="B40" s="64">
        <v>50.36</v>
      </c>
      <c r="C40" s="64">
        <v>60.83</v>
      </c>
      <c r="D40" s="64">
        <v>70.790000000000006</v>
      </c>
      <c r="E40" s="64">
        <v>6.91</v>
      </c>
      <c r="F40" s="64">
        <v>2.13</v>
      </c>
      <c r="G40" s="64">
        <v>75.13</v>
      </c>
      <c r="H40" s="64">
        <v>23.66</v>
      </c>
      <c r="I40" s="210" t="s">
        <v>43</v>
      </c>
      <c r="J40" s="64">
        <v>0.61</v>
      </c>
      <c r="K40" s="64">
        <v>335.63</v>
      </c>
      <c r="L40" s="64">
        <v>17.59</v>
      </c>
      <c r="M40" s="64">
        <v>91.54</v>
      </c>
      <c r="N40" s="64">
        <v>220.5</v>
      </c>
      <c r="O40" s="64">
        <v>0</v>
      </c>
      <c r="P40" s="64">
        <v>1.03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3060</v>
      </c>
      <c r="B41" s="64">
        <v>50.41</v>
      </c>
      <c r="C41" s="64">
        <v>60.94</v>
      </c>
      <c r="D41" s="64">
        <v>70.89</v>
      </c>
      <c r="E41" s="64">
        <v>7.47</v>
      </c>
      <c r="F41" s="64">
        <v>2.13</v>
      </c>
      <c r="G41" s="64">
        <v>80.75</v>
      </c>
      <c r="H41" s="64">
        <v>18.3</v>
      </c>
      <c r="I41" s="210" t="s">
        <v>43</v>
      </c>
      <c r="J41" s="64">
        <v>0.9</v>
      </c>
      <c r="K41" s="64">
        <v>316.36</v>
      </c>
      <c r="L41" s="64">
        <v>19.12</v>
      </c>
      <c r="M41" s="64">
        <v>84.33</v>
      </c>
      <c r="N41" s="64">
        <v>263.7</v>
      </c>
      <c r="O41" s="64">
        <v>0</v>
      </c>
      <c r="P41" s="64">
        <v>1.02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3061</v>
      </c>
      <c r="B42" s="64">
        <v>49.28</v>
      </c>
      <c r="C42" s="64">
        <v>60.92</v>
      </c>
      <c r="D42" s="64">
        <v>69.97</v>
      </c>
      <c r="E42" s="64">
        <v>7.56</v>
      </c>
      <c r="F42" s="64">
        <v>2.13</v>
      </c>
      <c r="G42" s="64">
        <v>80.75</v>
      </c>
      <c r="H42" s="64">
        <v>18.3</v>
      </c>
      <c r="I42" s="210" t="s">
        <v>43</v>
      </c>
      <c r="J42" s="64">
        <v>1.1299999999999999</v>
      </c>
      <c r="K42" s="64">
        <v>266.61</v>
      </c>
      <c r="L42" s="64">
        <v>20.239999999999998</v>
      </c>
      <c r="M42" s="64">
        <v>79.55</v>
      </c>
      <c r="N42" s="64">
        <v>309.39999999999998</v>
      </c>
      <c r="O42" s="64">
        <v>0</v>
      </c>
      <c r="P42" s="64">
        <v>1.02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3062</v>
      </c>
      <c r="B43" s="64">
        <v>47.33</v>
      </c>
      <c r="C43" s="64">
        <v>61.68</v>
      </c>
      <c r="D43" s="64">
        <v>68.8</v>
      </c>
      <c r="E43" s="64">
        <v>7.38</v>
      </c>
      <c r="F43" s="64">
        <v>2.13</v>
      </c>
      <c r="G43" s="64">
        <v>80.75</v>
      </c>
      <c r="H43" s="64">
        <v>18.3</v>
      </c>
      <c r="I43" s="210" t="s">
        <v>43</v>
      </c>
      <c r="J43" s="64">
        <v>1.33</v>
      </c>
      <c r="K43" s="64">
        <v>274.2</v>
      </c>
      <c r="L43" s="64">
        <v>21.32</v>
      </c>
      <c r="M43" s="64">
        <v>74.95</v>
      </c>
      <c r="N43" s="64">
        <v>345.9</v>
      </c>
      <c r="O43" s="64">
        <v>0</v>
      </c>
      <c r="P43" s="64">
        <v>1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3063</v>
      </c>
      <c r="B44" s="64">
        <v>45.4</v>
      </c>
      <c r="C44" s="64">
        <v>62.76</v>
      </c>
      <c r="D44" s="64">
        <v>67.819999999999993</v>
      </c>
      <c r="E44" s="64">
        <v>7.31</v>
      </c>
      <c r="F44" s="64">
        <v>2.13</v>
      </c>
      <c r="G44" s="64">
        <v>82.82</v>
      </c>
      <c r="H44" s="64">
        <v>19.16</v>
      </c>
      <c r="I44" s="210" t="s">
        <v>43</v>
      </c>
      <c r="J44" s="64">
        <v>1.1499999999999999</v>
      </c>
      <c r="K44" s="64">
        <v>293.08</v>
      </c>
      <c r="L44" s="64">
        <v>22.86</v>
      </c>
      <c r="M44" s="64">
        <v>68.900000000000006</v>
      </c>
      <c r="N44" s="64">
        <v>385.4</v>
      </c>
      <c r="O44" s="64">
        <v>0</v>
      </c>
      <c r="P44" s="64">
        <v>0.98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3064</v>
      </c>
      <c r="B45" s="64">
        <v>43.17</v>
      </c>
      <c r="C45" s="64">
        <v>63.61</v>
      </c>
      <c r="D45" s="64">
        <v>66.48</v>
      </c>
      <c r="E45" s="64">
        <v>7.46</v>
      </c>
      <c r="F45" s="64">
        <v>2.13</v>
      </c>
      <c r="G45" s="64">
        <v>85.28</v>
      </c>
      <c r="H45" s="64">
        <v>20.190000000000001</v>
      </c>
      <c r="I45" s="210" t="s">
        <v>43</v>
      </c>
      <c r="J45" s="64">
        <v>1.34</v>
      </c>
      <c r="K45" s="64">
        <v>261.85000000000002</v>
      </c>
      <c r="L45" s="64">
        <v>22.25</v>
      </c>
      <c r="M45" s="64">
        <v>70.819999999999993</v>
      </c>
      <c r="N45" s="64">
        <v>429.5</v>
      </c>
      <c r="O45" s="64">
        <v>0</v>
      </c>
      <c r="P45" s="64">
        <v>0.97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3065</v>
      </c>
      <c r="B46" s="64">
        <v>39.130000000000003</v>
      </c>
      <c r="C46" s="64">
        <v>60</v>
      </c>
      <c r="D46" s="64">
        <v>61.35</v>
      </c>
      <c r="E46" s="64">
        <v>7.23</v>
      </c>
      <c r="F46" s="64">
        <v>2.13</v>
      </c>
      <c r="G46" s="64">
        <v>85.28</v>
      </c>
      <c r="H46" s="64">
        <v>20.190000000000001</v>
      </c>
      <c r="I46" s="210" t="s">
        <v>43</v>
      </c>
      <c r="J46" s="64">
        <v>1.06</v>
      </c>
      <c r="K46" s="64">
        <v>276.25</v>
      </c>
      <c r="L46" s="64">
        <v>22.54</v>
      </c>
      <c r="M46" s="64">
        <v>69.92</v>
      </c>
      <c r="N46" s="64">
        <v>462.7</v>
      </c>
      <c r="O46" s="64">
        <v>0</v>
      </c>
      <c r="P46" s="64">
        <v>0.94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3066</v>
      </c>
      <c r="B47" s="64">
        <v>35.39</v>
      </c>
      <c r="C47" s="64">
        <v>62.13</v>
      </c>
      <c r="D47" s="64">
        <v>59.47</v>
      </c>
      <c r="E47" s="64">
        <v>7.1</v>
      </c>
      <c r="F47" s="64">
        <v>2.13</v>
      </c>
      <c r="G47" s="64">
        <v>85.28</v>
      </c>
      <c r="H47" s="64">
        <v>20.190000000000001</v>
      </c>
      <c r="I47" s="210" t="s">
        <v>43</v>
      </c>
      <c r="J47" s="64">
        <v>1.25</v>
      </c>
      <c r="K47" s="64">
        <v>263.87</v>
      </c>
      <c r="L47" s="64">
        <v>23.38</v>
      </c>
      <c r="M47" s="64">
        <v>65.22</v>
      </c>
      <c r="N47" s="64">
        <v>491.7</v>
      </c>
      <c r="O47" s="64">
        <v>0</v>
      </c>
      <c r="P47" s="64">
        <v>0.92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3067</v>
      </c>
      <c r="B48" s="64">
        <v>31.38</v>
      </c>
      <c r="C48" s="64">
        <v>64.64</v>
      </c>
      <c r="D48" s="64">
        <v>57.56</v>
      </c>
      <c r="E48" s="64">
        <v>7.3</v>
      </c>
      <c r="F48" s="64">
        <v>2.13</v>
      </c>
      <c r="G48" s="64">
        <v>79.39</v>
      </c>
      <c r="H48" s="64">
        <v>23.78</v>
      </c>
      <c r="I48" s="210" t="s">
        <v>43</v>
      </c>
      <c r="J48" s="64">
        <v>1.53</v>
      </c>
      <c r="K48" s="64">
        <v>270.99</v>
      </c>
      <c r="L48" s="64">
        <v>25</v>
      </c>
      <c r="M48" s="64">
        <v>59.21</v>
      </c>
      <c r="N48" s="64">
        <v>511.4</v>
      </c>
      <c r="O48" s="64">
        <v>0</v>
      </c>
      <c r="P48" s="64">
        <v>0.89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3068</v>
      </c>
      <c r="B49" s="64">
        <v>27.98</v>
      </c>
      <c r="C49" s="64">
        <v>66.62</v>
      </c>
      <c r="D49" s="64">
        <v>55.87</v>
      </c>
      <c r="E49" s="64">
        <v>7.51</v>
      </c>
      <c r="F49" s="64">
        <v>2.13</v>
      </c>
      <c r="G49" s="64">
        <v>72.36</v>
      </c>
      <c r="H49" s="64">
        <v>28.07</v>
      </c>
      <c r="I49" s="210" t="s">
        <v>43</v>
      </c>
      <c r="J49" s="64">
        <v>1.4</v>
      </c>
      <c r="K49" s="64">
        <v>261.72000000000003</v>
      </c>
      <c r="L49" s="64">
        <v>26.87</v>
      </c>
      <c r="M49" s="64">
        <v>52.07</v>
      </c>
      <c r="N49" s="64">
        <v>527.4</v>
      </c>
      <c r="O49" s="64">
        <v>0</v>
      </c>
      <c r="P49" s="64">
        <v>0.86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3069</v>
      </c>
      <c r="B50" s="64">
        <v>20.059999999999999</v>
      </c>
      <c r="C50" s="64">
        <v>70.41</v>
      </c>
      <c r="D50" s="64">
        <v>51.49</v>
      </c>
      <c r="E50" s="64">
        <v>8.2100000000000009</v>
      </c>
      <c r="F50" s="64">
        <v>3.98</v>
      </c>
      <c r="G50" s="64">
        <v>72.36</v>
      </c>
      <c r="H50" s="64">
        <v>28.07</v>
      </c>
      <c r="I50" s="210" t="s">
        <v>43</v>
      </c>
      <c r="J50" s="64">
        <v>1.18</v>
      </c>
      <c r="K50" s="64">
        <v>268.85000000000002</v>
      </c>
      <c r="L50" s="64">
        <v>23.86</v>
      </c>
      <c r="M50" s="64">
        <v>61.13</v>
      </c>
      <c r="N50" s="64">
        <v>539.5</v>
      </c>
      <c r="O50" s="64">
        <v>0</v>
      </c>
      <c r="P50" s="64">
        <v>0.79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3070</v>
      </c>
      <c r="B51" s="64">
        <v>8.7799999999999994</v>
      </c>
      <c r="C51" s="64">
        <v>72.77</v>
      </c>
      <c r="D51" s="64">
        <v>43.69</v>
      </c>
      <c r="E51" s="64">
        <v>8.4600000000000009</v>
      </c>
      <c r="F51" s="64">
        <v>5.43</v>
      </c>
      <c r="G51" s="64">
        <v>72.36</v>
      </c>
      <c r="H51" s="64">
        <v>28.07</v>
      </c>
      <c r="I51" s="210" t="s">
        <v>43</v>
      </c>
      <c r="J51" s="64">
        <v>1.52</v>
      </c>
      <c r="K51" s="64">
        <v>266.45999999999998</v>
      </c>
      <c r="L51" s="64">
        <v>25.55</v>
      </c>
      <c r="M51" s="64">
        <v>54.84</v>
      </c>
      <c r="N51" s="64">
        <v>547.70000000000005</v>
      </c>
      <c r="O51" s="64">
        <v>0</v>
      </c>
      <c r="P51" s="64">
        <v>0.68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3071</v>
      </c>
      <c r="B52" s="64">
        <v>4.5199999999999996</v>
      </c>
      <c r="C52" s="64">
        <v>68.599999999999994</v>
      </c>
      <c r="D52" s="64">
        <v>38.090000000000003</v>
      </c>
      <c r="E52" s="64">
        <v>9.6999999999999993</v>
      </c>
      <c r="F52" s="64">
        <v>7.7</v>
      </c>
      <c r="G52" s="64">
        <v>68.98</v>
      </c>
      <c r="H52" s="64">
        <v>27.38</v>
      </c>
      <c r="I52" s="210" t="s">
        <v>43</v>
      </c>
      <c r="J52" s="64">
        <v>1.47</v>
      </c>
      <c r="K52" s="64">
        <v>265.99</v>
      </c>
      <c r="L52" s="64">
        <v>25.19</v>
      </c>
      <c r="M52" s="64">
        <v>55.66</v>
      </c>
      <c r="N52" s="64">
        <v>564.4</v>
      </c>
      <c r="O52" s="64">
        <v>0</v>
      </c>
      <c r="P52" s="64">
        <v>0.62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3072</v>
      </c>
      <c r="B53" s="64">
        <v>3.54</v>
      </c>
      <c r="C53" s="64">
        <v>65.510000000000005</v>
      </c>
      <c r="D53" s="64">
        <v>35.68</v>
      </c>
      <c r="E53" s="64">
        <v>9.83</v>
      </c>
      <c r="F53" s="64">
        <v>7.87</v>
      </c>
      <c r="G53" s="64">
        <v>64.94</v>
      </c>
      <c r="H53" s="64">
        <v>26.55</v>
      </c>
      <c r="I53" s="210" t="s">
        <v>43</v>
      </c>
      <c r="J53" s="64">
        <v>1.59</v>
      </c>
      <c r="K53" s="64">
        <v>282.14</v>
      </c>
      <c r="L53" s="64">
        <v>26.57</v>
      </c>
      <c r="M53" s="64">
        <v>51.43</v>
      </c>
      <c r="N53" s="64">
        <v>569.4</v>
      </c>
      <c r="O53" s="64">
        <v>0</v>
      </c>
      <c r="P53" s="64">
        <v>0.59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3073</v>
      </c>
      <c r="B54" s="64">
        <v>3.52</v>
      </c>
      <c r="C54" s="64">
        <v>59.11</v>
      </c>
      <c r="D54" s="64">
        <v>32.33</v>
      </c>
      <c r="E54" s="64">
        <v>10.19</v>
      </c>
      <c r="F54" s="64">
        <v>6.89</v>
      </c>
      <c r="G54" s="64">
        <v>64.94</v>
      </c>
      <c r="H54" s="64">
        <v>26.55</v>
      </c>
      <c r="I54" s="210" t="s">
        <v>43</v>
      </c>
      <c r="J54" s="64">
        <v>1.34</v>
      </c>
      <c r="K54" s="64">
        <v>276.36</v>
      </c>
      <c r="L54" s="64">
        <v>26.96</v>
      </c>
      <c r="M54" s="64">
        <v>49.94</v>
      </c>
      <c r="N54" s="64">
        <v>576</v>
      </c>
      <c r="O54" s="64">
        <v>0</v>
      </c>
      <c r="P54" s="64">
        <v>0.56999999999999995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3074</v>
      </c>
      <c r="B55" s="64">
        <v>3.59</v>
      </c>
      <c r="C55" s="64">
        <v>59.66</v>
      </c>
      <c r="D55" s="64">
        <v>32.67</v>
      </c>
      <c r="E55" s="64">
        <v>9.76</v>
      </c>
      <c r="F55" s="64">
        <v>6.29</v>
      </c>
      <c r="G55" s="64">
        <v>64.94</v>
      </c>
      <c r="H55" s="64">
        <v>26.55</v>
      </c>
      <c r="I55" s="210" t="s">
        <v>43</v>
      </c>
      <c r="J55" s="64">
        <v>1.42</v>
      </c>
      <c r="K55" s="64">
        <v>275.51</v>
      </c>
      <c r="L55" s="64">
        <v>27.85</v>
      </c>
      <c r="M55" s="64">
        <v>47.26</v>
      </c>
      <c r="N55" s="64">
        <v>574.5</v>
      </c>
      <c r="O55" s="64">
        <v>0</v>
      </c>
      <c r="P55" s="64">
        <v>0.56999999999999995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3075</v>
      </c>
      <c r="B56" s="64">
        <v>3.62</v>
      </c>
      <c r="C56" s="64">
        <v>54.68</v>
      </c>
      <c r="D56" s="64">
        <v>30.09</v>
      </c>
      <c r="E56" s="64">
        <v>9.67</v>
      </c>
      <c r="F56" s="64">
        <v>5.85</v>
      </c>
      <c r="G56" s="64">
        <v>57.92</v>
      </c>
      <c r="H56" s="64">
        <v>25.83</v>
      </c>
      <c r="I56" s="210" t="s">
        <v>43</v>
      </c>
      <c r="J56" s="64">
        <v>1.71</v>
      </c>
      <c r="K56" s="64">
        <v>280.54000000000002</v>
      </c>
      <c r="L56" s="64">
        <v>27.3</v>
      </c>
      <c r="M56" s="64">
        <v>48.81</v>
      </c>
      <c r="N56" s="64">
        <v>572.5</v>
      </c>
      <c r="O56" s="64">
        <v>0</v>
      </c>
      <c r="P56" s="64">
        <v>0.62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3076</v>
      </c>
      <c r="B57" s="64">
        <v>3.48</v>
      </c>
      <c r="C57" s="64">
        <v>61.75</v>
      </c>
      <c r="D57" s="64">
        <v>33.67</v>
      </c>
      <c r="E57" s="64">
        <v>9.59</v>
      </c>
      <c r="F57" s="64">
        <v>6.13</v>
      </c>
      <c r="G57" s="64">
        <v>49.53</v>
      </c>
      <c r="H57" s="64">
        <v>24.96</v>
      </c>
      <c r="I57" s="210" t="s">
        <v>43</v>
      </c>
      <c r="J57" s="64">
        <v>0.83</v>
      </c>
      <c r="K57" s="64">
        <v>288.49</v>
      </c>
      <c r="L57" s="64">
        <v>26.37</v>
      </c>
      <c r="M57" s="64">
        <v>50.43</v>
      </c>
      <c r="N57" s="64">
        <v>564.5</v>
      </c>
      <c r="O57" s="64">
        <v>0</v>
      </c>
      <c r="P57" s="64">
        <v>0.63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3077</v>
      </c>
      <c r="B58" s="64">
        <v>3.41</v>
      </c>
      <c r="C58" s="64">
        <v>54.14</v>
      </c>
      <c r="D58" s="64">
        <v>29.65</v>
      </c>
      <c r="E58" s="64">
        <v>9.86</v>
      </c>
      <c r="F58" s="64">
        <v>6.01</v>
      </c>
      <c r="G58" s="64">
        <v>49.53</v>
      </c>
      <c r="H58" s="64">
        <v>24.96</v>
      </c>
      <c r="I58" s="210" t="s">
        <v>43</v>
      </c>
      <c r="J58" s="64">
        <v>1.56</v>
      </c>
      <c r="K58" s="64">
        <v>282.05</v>
      </c>
      <c r="L58" s="64">
        <v>27.56</v>
      </c>
      <c r="M58" s="64">
        <v>46.06</v>
      </c>
      <c r="N58" s="64">
        <v>564.29999999999995</v>
      </c>
      <c r="O58" s="64">
        <v>0</v>
      </c>
      <c r="P58" s="64">
        <v>0.67</v>
      </c>
      <c r="Q58" s="64">
        <v>8.2100000000000009</v>
      </c>
      <c r="R58" s="198"/>
      <c r="S58" s="198"/>
      <c r="T58" s="198"/>
      <c r="U58" s="198"/>
    </row>
    <row r="59" spans="1:21" s="12" customFormat="1" x14ac:dyDescent="0.25">
      <c r="A59" s="214" t="s">
        <v>3078</v>
      </c>
      <c r="B59" s="64">
        <v>3.47</v>
      </c>
      <c r="C59" s="64">
        <v>60.99</v>
      </c>
      <c r="D59" s="64">
        <v>33.270000000000003</v>
      </c>
      <c r="E59" s="64">
        <v>9.3800000000000008</v>
      </c>
      <c r="F59" s="64">
        <v>5.63</v>
      </c>
      <c r="G59" s="64">
        <v>49.53</v>
      </c>
      <c r="H59" s="64">
        <v>24.96</v>
      </c>
      <c r="I59" s="210" t="s">
        <v>43</v>
      </c>
      <c r="J59" s="64">
        <v>1.1100000000000001</v>
      </c>
      <c r="K59" s="64">
        <v>284.39999999999998</v>
      </c>
      <c r="L59" s="64">
        <v>28.32</v>
      </c>
      <c r="M59" s="64">
        <v>44.7</v>
      </c>
      <c r="N59" s="64">
        <v>552.5</v>
      </c>
      <c r="O59" s="64">
        <v>0</v>
      </c>
      <c r="P59" s="64">
        <v>0.71</v>
      </c>
      <c r="Q59" s="64">
        <v>8.2100000000000009</v>
      </c>
      <c r="R59" s="198"/>
      <c r="S59" s="198"/>
      <c r="T59" s="198"/>
      <c r="U59" s="198"/>
    </row>
    <row r="60" spans="1:21" s="12" customFormat="1" x14ac:dyDescent="0.25">
      <c r="A60" s="214" t="s">
        <v>3079</v>
      </c>
      <c r="B60" s="64">
        <v>3.67</v>
      </c>
      <c r="C60" s="64">
        <v>58.22</v>
      </c>
      <c r="D60" s="64">
        <v>31.99</v>
      </c>
      <c r="E60" s="64">
        <v>9.83</v>
      </c>
      <c r="F60" s="64">
        <v>6.45</v>
      </c>
      <c r="G60" s="64">
        <v>60.89</v>
      </c>
      <c r="H60" s="64">
        <v>25.13</v>
      </c>
      <c r="I60" s="210" t="s">
        <v>43</v>
      </c>
      <c r="J60" s="64">
        <v>1.53</v>
      </c>
      <c r="K60" s="64">
        <v>275.94</v>
      </c>
      <c r="L60" s="64">
        <v>29.01</v>
      </c>
      <c r="M60" s="64">
        <v>42.52</v>
      </c>
      <c r="N60" s="64">
        <v>549.20000000000005</v>
      </c>
      <c r="O60" s="64">
        <v>0</v>
      </c>
      <c r="P60" s="64">
        <v>0.75</v>
      </c>
      <c r="Q60" s="64">
        <v>8.2100000000000009</v>
      </c>
      <c r="R60" s="198"/>
      <c r="S60" s="198"/>
      <c r="T60" s="198"/>
      <c r="U60" s="198"/>
    </row>
    <row r="61" spans="1:21" s="12" customFormat="1" x14ac:dyDescent="0.25">
      <c r="A61" s="214" t="s">
        <v>3080</v>
      </c>
      <c r="B61" s="64">
        <v>3.47</v>
      </c>
      <c r="C61" s="64">
        <v>61.15</v>
      </c>
      <c r="D61" s="64">
        <v>33.35</v>
      </c>
      <c r="E61" s="64">
        <v>10.35</v>
      </c>
      <c r="F61" s="64">
        <v>9.09</v>
      </c>
      <c r="G61" s="64">
        <v>74.47</v>
      </c>
      <c r="H61" s="64">
        <v>25.33</v>
      </c>
      <c r="I61" s="210" t="s">
        <v>43</v>
      </c>
      <c r="J61" s="64">
        <v>1.41</v>
      </c>
      <c r="K61" s="64">
        <v>266.73</v>
      </c>
      <c r="L61" s="64">
        <v>27.66</v>
      </c>
      <c r="M61" s="64">
        <v>43.22</v>
      </c>
      <c r="N61" s="64">
        <v>542</v>
      </c>
      <c r="O61" s="64">
        <v>0</v>
      </c>
      <c r="P61" s="64">
        <v>0.75</v>
      </c>
      <c r="Q61" s="64">
        <v>8.2100000000000009</v>
      </c>
      <c r="R61" s="198"/>
      <c r="S61" s="198"/>
      <c r="T61" s="198"/>
      <c r="U61" s="198"/>
    </row>
    <row r="62" spans="1:21" s="12" customFormat="1" x14ac:dyDescent="0.25">
      <c r="A62" s="214" t="s">
        <v>3081</v>
      </c>
      <c r="B62" s="64">
        <v>3.17</v>
      </c>
      <c r="C62" s="64">
        <v>66.599999999999994</v>
      </c>
      <c r="D62" s="64">
        <v>35.96</v>
      </c>
      <c r="E62" s="64">
        <v>10.5</v>
      </c>
      <c r="F62" s="64">
        <v>10.02</v>
      </c>
      <c r="G62" s="64">
        <v>74.47</v>
      </c>
      <c r="H62" s="64">
        <v>25.33</v>
      </c>
      <c r="I62" s="210" t="s">
        <v>43</v>
      </c>
      <c r="J62" s="64">
        <v>1.53</v>
      </c>
      <c r="K62" s="64">
        <v>283.68</v>
      </c>
      <c r="L62" s="64">
        <v>28.75</v>
      </c>
      <c r="M62" s="64">
        <v>40.119999999999997</v>
      </c>
      <c r="N62" s="64">
        <v>512.79999999999995</v>
      </c>
      <c r="O62" s="64">
        <v>0</v>
      </c>
      <c r="P62" s="64">
        <v>0.78</v>
      </c>
      <c r="Q62" s="64">
        <v>8.2100000000000009</v>
      </c>
      <c r="R62" s="198"/>
      <c r="S62" s="198"/>
      <c r="T62" s="198"/>
      <c r="U62" s="198"/>
    </row>
    <row r="63" spans="1:21" s="12" customFormat="1" x14ac:dyDescent="0.25">
      <c r="A63" s="214" t="s">
        <v>3082</v>
      </c>
      <c r="B63" s="64">
        <v>3.06</v>
      </c>
      <c r="C63" s="64">
        <v>60.86</v>
      </c>
      <c r="D63" s="64">
        <v>32.869999999999997</v>
      </c>
      <c r="E63" s="64">
        <v>11.17</v>
      </c>
      <c r="F63" s="64">
        <v>12.66</v>
      </c>
      <c r="G63" s="64">
        <v>74.47</v>
      </c>
      <c r="H63" s="64">
        <v>25.33</v>
      </c>
      <c r="I63" s="210" t="s">
        <v>43</v>
      </c>
      <c r="J63" s="64">
        <v>1.53</v>
      </c>
      <c r="K63" s="64">
        <v>280.81</v>
      </c>
      <c r="L63" s="64">
        <v>28.59</v>
      </c>
      <c r="M63" s="64">
        <v>37.75</v>
      </c>
      <c r="N63" s="64">
        <v>471.4</v>
      </c>
      <c r="O63" s="64">
        <v>0</v>
      </c>
      <c r="P63" s="64">
        <v>0.76</v>
      </c>
      <c r="Q63" s="64">
        <v>8.2100000000000009</v>
      </c>
      <c r="R63" s="198"/>
      <c r="S63" s="198"/>
      <c r="T63" s="198"/>
      <c r="U63" s="198"/>
    </row>
    <row r="64" spans="1:21" s="12" customFormat="1" x14ac:dyDescent="0.25">
      <c r="A64" s="214" t="s">
        <v>3083</v>
      </c>
      <c r="B64" s="64">
        <v>3.09</v>
      </c>
      <c r="C64" s="64">
        <v>60.4</v>
      </c>
      <c r="D64" s="64">
        <v>32.659999999999997</v>
      </c>
      <c r="E64" s="64">
        <v>11.13</v>
      </c>
      <c r="F64" s="64">
        <v>12.97</v>
      </c>
      <c r="G64" s="64">
        <v>72.400000000000006</v>
      </c>
      <c r="H64" s="64">
        <v>25.13</v>
      </c>
      <c r="I64" s="210" t="s">
        <v>43</v>
      </c>
      <c r="J64" s="64">
        <v>2.04</v>
      </c>
      <c r="K64" s="64">
        <v>288.23</v>
      </c>
      <c r="L64" s="64">
        <v>29.63</v>
      </c>
      <c r="M64" s="64">
        <v>37.85</v>
      </c>
      <c r="N64" s="64">
        <v>488.2</v>
      </c>
      <c r="O64" s="64">
        <v>0</v>
      </c>
      <c r="P64" s="64">
        <v>0.73</v>
      </c>
      <c r="Q64" s="64">
        <v>8.2100000000000009</v>
      </c>
      <c r="R64" s="198"/>
      <c r="S64" s="198"/>
      <c r="T64" s="198"/>
      <c r="U64" s="198"/>
    </row>
    <row r="65" spans="1:21" s="12" customFormat="1" x14ac:dyDescent="0.25">
      <c r="A65" s="214" t="s">
        <v>3084</v>
      </c>
      <c r="B65" s="64">
        <v>3.23</v>
      </c>
      <c r="C65" s="64">
        <v>60.94</v>
      </c>
      <c r="D65" s="64">
        <v>33.049999999999997</v>
      </c>
      <c r="E65" s="64">
        <v>10.36</v>
      </c>
      <c r="F65" s="64">
        <v>7</v>
      </c>
      <c r="G65" s="64">
        <v>69.94</v>
      </c>
      <c r="H65" s="64">
        <v>24.89</v>
      </c>
      <c r="I65" s="210" t="s">
        <v>43</v>
      </c>
      <c r="J65" s="64">
        <v>1.41</v>
      </c>
      <c r="K65" s="64">
        <v>292.68</v>
      </c>
      <c r="L65" s="64">
        <v>28.8</v>
      </c>
      <c r="M65" s="64">
        <v>39.26</v>
      </c>
      <c r="N65" s="64">
        <v>434.3</v>
      </c>
      <c r="O65" s="64">
        <v>0</v>
      </c>
      <c r="P65" s="64">
        <v>0.73</v>
      </c>
      <c r="Q65" s="64">
        <v>8.2100000000000009</v>
      </c>
      <c r="R65" s="198"/>
      <c r="S65" s="198"/>
      <c r="T65" s="198"/>
      <c r="U65" s="198"/>
    </row>
    <row r="66" spans="1:21" s="12" customFormat="1" x14ac:dyDescent="0.25">
      <c r="A66" s="214" t="s">
        <v>3085</v>
      </c>
      <c r="B66" s="64">
        <v>3.44</v>
      </c>
      <c r="C66" s="64">
        <v>60.76</v>
      </c>
      <c r="D66" s="64">
        <v>33.130000000000003</v>
      </c>
      <c r="E66" s="64">
        <v>9.42</v>
      </c>
      <c r="F66" s="64">
        <v>3.82</v>
      </c>
      <c r="G66" s="64">
        <v>69.94</v>
      </c>
      <c r="H66" s="64">
        <v>24.89</v>
      </c>
      <c r="I66" s="210" t="s">
        <v>43</v>
      </c>
      <c r="J66" s="64">
        <v>1.68</v>
      </c>
      <c r="K66" s="64">
        <v>264.33999999999997</v>
      </c>
      <c r="L66" s="64">
        <v>28.09</v>
      </c>
      <c r="M66" s="64">
        <v>40.35</v>
      </c>
      <c r="N66" s="64">
        <v>272.89999999999998</v>
      </c>
      <c r="O66" s="64">
        <v>0</v>
      </c>
      <c r="P66" s="64">
        <v>0.74</v>
      </c>
      <c r="Q66" s="64">
        <v>8.2100000000000009</v>
      </c>
      <c r="R66" s="198"/>
      <c r="S66" s="198"/>
      <c r="T66" s="198"/>
      <c r="U66" s="198"/>
    </row>
    <row r="67" spans="1:21" s="12" customFormat="1" x14ac:dyDescent="0.25">
      <c r="A67" s="214" t="s">
        <v>3086</v>
      </c>
      <c r="B67" s="64">
        <v>3.7</v>
      </c>
      <c r="C67" s="64">
        <v>60.4</v>
      </c>
      <c r="D67" s="64">
        <v>33.15</v>
      </c>
      <c r="E67" s="64">
        <v>9.16</v>
      </c>
      <c r="F67" s="64">
        <v>3.46</v>
      </c>
      <c r="G67" s="64">
        <v>69.94</v>
      </c>
      <c r="H67" s="64">
        <v>24.89</v>
      </c>
      <c r="I67" s="210" t="s">
        <v>43</v>
      </c>
      <c r="J67" s="64">
        <v>1.41</v>
      </c>
      <c r="K67" s="64">
        <v>267.82</v>
      </c>
      <c r="L67" s="64">
        <v>27.34</v>
      </c>
      <c r="M67" s="64">
        <v>41.21</v>
      </c>
      <c r="N67" s="64">
        <v>224.9</v>
      </c>
      <c r="O67" s="64">
        <v>0</v>
      </c>
      <c r="P67" s="64">
        <v>0.73</v>
      </c>
      <c r="Q67" s="64">
        <v>8.2100000000000009</v>
      </c>
      <c r="R67" s="198"/>
      <c r="S67" s="198"/>
      <c r="T67" s="198"/>
      <c r="U67" s="198"/>
    </row>
    <row r="68" spans="1:21" s="12" customFormat="1" x14ac:dyDescent="0.25">
      <c r="A68" s="214" t="s">
        <v>3087</v>
      </c>
      <c r="B68" s="64">
        <v>3.78</v>
      </c>
      <c r="C68" s="64">
        <v>61.03</v>
      </c>
      <c r="D68" s="64">
        <v>33.54</v>
      </c>
      <c r="E68" s="64">
        <v>8.91</v>
      </c>
      <c r="F68" s="64">
        <v>3.5</v>
      </c>
      <c r="G68" s="64">
        <v>69.75</v>
      </c>
      <c r="H68" s="64">
        <v>25.68</v>
      </c>
      <c r="I68" s="210" t="s">
        <v>43</v>
      </c>
      <c r="J68" s="64">
        <v>1.35</v>
      </c>
      <c r="K68" s="64">
        <v>274.18</v>
      </c>
      <c r="L68" s="64">
        <v>27.53</v>
      </c>
      <c r="M68" s="64">
        <v>41.41</v>
      </c>
      <c r="N68" s="64">
        <v>207</v>
      </c>
      <c r="O68" s="64">
        <v>0</v>
      </c>
      <c r="P68" s="64">
        <v>0.73</v>
      </c>
      <c r="Q68" s="64">
        <v>8.2100000000000009</v>
      </c>
      <c r="R68" s="198"/>
      <c r="S68" s="198"/>
      <c r="T68" s="198"/>
      <c r="U68" s="198"/>
    </row>
    <row r="69" spans="1:21" s="12" customFormat="1" x14ac:dyDescent="0.25">
      <c r="A69" s="214" t="s">
        <v>3088</v>
      </c>
      <c r="B69" s="64">
        <v>3.83</v>
      </c>
      <c r="C69" s="64">
        <v>61.21</v>
      </c>
      <c r="D69" s="64">
        <v>33.68</v>
      </c>
      <c r="E69" s="64">
        <v>8.08</v>
      </c>
      <c r="F69" s="64">
        <v>2.98</v>
      </c>
      <c r="G69" s="64">
        <v>69.53</v>
      </c>
      <c r="H69" s="64">
        <v>26.68</v>
      </c>
      <c r="I69" s="210" t="s">
        <v>43</v>
      </c>
      <c r="J69" s="64">
        <v>1.04</v>
      </c>
      <c r="K69" s="64">
        <v>235.58</v>
      </c>
      <c r="L69" s="64">
        <v>27.21</v>
      </c>
      <c r="M69" s="64">
        <v>41.58</v>
      </c>
      <c r="N69" s="64">
        <v>283.10000000000002</v>
      </c>
      <c r="O69" s="64">
        <v>0</v>
      </c>
      <c r="P69" s="64">
        <v>0.73</v>
      </c>
      <c r="Q69" s="64">
        <v>8.2100000000000009</v>
      </c>
      <c r="R69" s="198"/>
      <c r="S69" s="198"/>
      <c r="T69" s="198"/>
      <c r="U69" s="198"/>
    </row>
    <row r="70" spans="1:21" s="12" customFormat="1" x14ac:dyDescent="0.25">
      <c r="A70" s="214" t="s">
        <v>3089</v>
      </c>
      <c r="B70" s="64">
        <v>3.84</v>
      </c>
      <c r="C70" s="64">
        <v>61.8</v>
      </c>
      <c r="D70" s="64">
        <v>33.99</v>
      </c>
      <c r="E70" s="64">
        <v>8.31</v>
      </c>
      <c r="F70" s="64">
        <v>3.06</v>
      </c>
      <c r="G70" s="64">
        <v>69.53</v>
      </c>
      <c r="H70" s="64">
        <v>26.68</v>
      </c>
      <c r="I70" s="210" t="s">
        <v>43</v>
      </c>
      <c r="J70" s="64">
        <v>1.26</v>
      </c>
      <c r="K70" s="64">
        <v>261.54000000000002</v>
      </c>
      <c r="L70" s="64">
        <v>26.69</v>
      </c>
      <c r="M70" s="64">
        <v>41.71</v>
      </c>
      <c r="N70" s="64">
        <v>192.1</v>
      </c>
      <c r="O70" s="64">
        <v>0</v>
      </c>
      <c r="P70" s="64">
        <v>0.71</v>
      </c>
      <c r="Q70" s="64">
        <v>8.2100000000000009</v>
      </c>
      <c r="R70" s="198"/>
      <c r="S70" s="198"/>
      <c r="T70" s="198"/>
      <c r="U70" s="198"/>
    </row>
    <row r="71" spans="1:21" s="12" customFormat="1" x14ac:dyDescent="0.25">
      <c r="A71" s="214" t="s">
        <v>3090</v>
      </c>
      <c r="B71" s="64">
        <v>3.67</v>
      </c>
      <c r="C71" s="64">
        <v>59.55</v>
      </c>
      <c r="D71" s="64">
        <v>32.68</v>
      </c>
      <c r="E71" s="64">
        <v>8.08</v>
      </c>
      <c r="F71" s="64">
        <v>2.98</v>
      </c>
      <c r="G71" s="64">
        <v>69.53</v>
      </c>
      <c r="H71" s="64">
        <v>26.68</v>
      </c>
      <c r="I71" s="210" t="s">
        <v>43</v>
      </c>
      <c r="J71" s="64">
        <v>1.17</v>
      </c>
      <c r="K71" s="64">
        <v>269.16000000000003</v>
      </c>
      <c r="L71" s="64">
        <v>26.77</v>
      </c>
      <c r="M71" s="64">
        <v>42.47</v>
      </c>
      <c r="N71" s="64">
        <v>152.9</v>
      </c>
      <c r="O71" s="64">
        <v>0</v>
      </c>
      <c r="P71" s="64">
        <v>0.7</v>
      </c>
      <c r="Q71" s="64">
        <v>8.2100000000000009</v>
      </c>
      <c r="R71" s="198"/>
      <c r="S71" s="198"/>
      <c r="T71" s="198"/>
      <c r="U71" s="198"/>
    </row>
    <row r="72" spans="1:21" s="12" customFormat="1" x14ac:dyDescent="0.25">
      <c r="A72" s="214" t="s">
        <v>3091</v>
      </c>
      <c r="B72" s="64">
        <v>3.73</v>
      </c>
      <c r="C72" s="64">
        <v>55.53</v>
      </c>
      <c r="D72" s="64">
        <v>30.63</v>
      </c>
      <c r="E72" s="64">
        <v>5.79</v>
      </c>
      <c r="F72" s="64">
        <v>3.45</v>
      </c>
      <c r="G72" s="64">
        <v>67.36</v>
      </c>
      <c r="H72" s="64">
        <v>26.43</v>
      </c>
      <c r="I72" s="210" t="s">
        <v>43</v>
      </c>
      <c r="J72" s="64">
        <v>1.64</v>
      </c>
      <c r="K72" s="64">
        <v>275.3</v>
      </c>
      <c r="L72" s="64">
        <v>26.65</v>
      </c>
      <c r="M72" s="64">
        <v>44.17</v>
      </c>
      <c r="N72" s="64">
        <v>142.6</v>
      </c>
      <c r="O72" s="64">
        <v>0</v>
      </c>
      <c r="P72" s="64">
        <v>0.68</v>
      </c>
      <c r="Q72" s="64">
        <v>8.2100000000000009</v>
      </c>
      <c r="R72" s="198"/>
      <c r="S72" s="198"/>
      <c r="T72" s="198"/>
      <c r="U72" s="198"/>
    </row>
    <row r="73" spans="1:21" s="12" customFormat="1" x14ac:dyDescent="0.25">
      <c r="A73" s="214" t="s">
        <v>3092</v>
      </c>
      <c r="B73" s="64">
        <v>3.74</v>
      </c>
      <c r="C73" s="64">
        <v>62</v>
      </c>
      <c r="D73" s="64">
        <v>34.01</v>
      </c>
      <c r="E73" s="64">
        <v>6.48</v>
      </c>
      <c r="F73" s="64">
        <v>2.9</v>
      </c>
      <c r="G73" s="64">
        <v>64.77</v>
      </c>
      <c r="H73" s="64">
        <v>26.12</v>
      </c>
      <c r="I73" s="210" t="s">
        <v>43</v>
      </c>
      <c r="J73" s="64">
        <v>1.45</v>
      </c>
      <c r="K73" s="64">
        <v>275.55</v>
      </c>
      <c r="L73" s="64">
        <v>26.52</v>
      </c>
      <c r="M73" s="64">
        <v>44.09</v>
      </c>
      <c r="N73" s="64">
        <v>131.5</v>
      </c>
      <c r="O73" s="64">
        <v>0</v>
      </c>
      <c r="P73" s="64">
        <v>0.68</v>
      </c>
      <c r="Q73" s="64">
        <v>8.2100000000000009</v>
      </c>
      <c r="R73" s="198"/>
      <c r="S73" s="198"/>
      <c r="T73" s="198"/>
      <c r="U73" s="198"/>
    </row>
    <row r="74" spans="1:21" s="12" customFormat="1" x14ac:dyDescent="0.25">
      <c r="A74" s="214" t="s">
        <v>3093</v>
      </c>
      <c r="B74" s="64">
        <v>3.76</v>
      </c>
      <c r="C74" s="64">
        <v>55.21</v>
      </c>
      <c r="D74" s="64">
        <v>30.49</v>
      </c>
      <c r="E74" s="64">
        <v>6.45</v>
      </c>
      <c r="F74" s="64">
        <v>2.2599999999999998</v>
      </c>
      <c r="G74" s="64">
        <v>64.77</v>
      </c>
      <c r="H74" s="64">
        <v>26.12</v>
      </c>
      <c r="I74" s="210" t="s">
        <v>43</v>
      </c>
      <c r="J74" s="64">
        <v>0.65</v>
      </c>
      <c r="K74" s="64">
        <v>220.13</v>
      </c>
      <c r="L74" s="64">
        <v>26.33</v>
      </c>
      <c r="M74" s="64">
        <v>43.92</v>
      </c>
      <c r="N74" s="64">
        <v>121.7</v>
      </c>
      <c r="O74" s="64">
        <v>0</v>
      </c>
      <c r="P74" s="64">
        <v>0.66</v>
      </c>
      <c r="Q74" s="64">
        <v>8.2100000000000009</v>
      </c>
      <c r="R74" s="198"/>
      <c r="S74" s="198"/>
      <c r="T74" s="198"/>
      <c r="U74" s="198"/>
    </row>
    <row r="75" spans="1:21" s="12" customFormat="1" x14ac:dyDescent="0.25">
      <c r="A75" s="214" t="s">
        <v>3094</v>
      </c>
      <c r="B75" s="64">
        <v>3.79</v>
      </c>
      <c r="C75" s="64">
        <v>60.06</v>
      </c>
      <c r="D75" s="64">
        <v>33.04</v>
      </c>
      <c r="E75" s="64">
        <v>6.31</v>
      </c>
      <c r="F75" s="64">
        <v>2.13</v>
      </c>
      <c r="G75" s="64">
        <v>64.77</v>
      </c>
      <c r="H75" s="64">
        <v>26.12</v>
      </c>
      <c r="I75" s="210" t="s">
        <v>43</v>
      </c>
      <c r="J75" s="64">
        <v>1.08</v>
      </c>
      <c r="K75" s="64">
        <v>264.18</v>
      </c>
      <c r="L75" s="64">
        <v>26.09</v>
      </c>
      <c r="M75" s="64">
        <v>44.94</v>
      </c>
      <c r="N75" s="64">
        <v>114.6</v>
      </c>
      <c r="O75" s="64">
        <v>0</v>
      </c>
      <c r="P75" s="64">
        <v>0.66</v>
      </c>
      <c r="Q75" s="64">
        <v>8.2100000000000009</v>
      </c>
      <c r="R75" s="198"/>
      <c r="S75" s="198"/>
      <c r="T75" s="198"/>
      <c r="U75" s="198"/>
    </row>
    <row r="76" spans="1:21" s="12" customFormat="1" x14ac:dyDescent="0.25">
      <c r="A76" s="214" t="s">
        <v>3095</v>
      </c>
      <c r="B76" s="64">
        <v>3.88</v>
      </c>
      <c r="C76" s="64">
        <v>59.58</v>
      </c>
      <c r="D76" s="64">
        <v>32.86</v>
      </c>
      <c r="E76" s="64">
        <v>6.14</v>
      </c>
      <c r="F76" s="64">
        <v>2.13</v>
      </c>
      <c r="G76" s="64">
        <v>62.39</v>
      </c>
      <c r="H76" s="64">
        <v>24.87</v>
      </c>
      <c r="I76" s="210" t="s">
        <v>43</v>
      </c>
      <c r="J76" s="64">
        <v>0.48</v>
      </c>
      <c r="K76" s="64">
        <v>297.83</v>
      </c>
      <c r="L76" s="64">
        <v>25.89</v>
      </c>
      <c r="M76" s="64">
        <v>45.57</v>
      </c>
      <c r="N76" s="64">
        <v>107.2</v>
      </c>
      <c r="O76" s="64">
        <v>0</v>
      </c>
      <c r="P76" s="64">
        <v>0.65</v>
      </c>
      <c r="Q76" s="64">
        <v>8.2100000000000009</v>
      </c>
      <c r="R76" s="198"/>
      <c r="S76" s="198"/>
      <c r="T76" s="198"/>
      <c r="U76" s="198"/>
    </row>
    <row r="77" spans="1:21" s="12" customFormat="1" x14ac:dyDescent="0.25">
      <c r="A77" s="214" t="s">
        <v>3096</v>
      </c>
      <c r="B77" s="64">
        <v>4.1900000000000004</v>
      </c>
      <c r="C77" s="64">
        <v>60.53</v>
      </c>
      <c r="D77" s="64">
        <v>33.61</v>
      </c>
      <c r="E77" s="64">
        <v>6.42</v>
      </c>
      <c r="F77" s="64">
        <v>2.13</v>
      </c>
      <c r="G77" s="64">
        <v>59.54</v>
      </c>
      <c r="H77" s="64">
        <v>23.36</v>
      </c>
      <c r="I77" s="210" t="s">
        <v>43</v>
      </c>
      <c r="J77" s="64">
        <v>0.88</v>
      </c>
      <c r="K77" s="64">
        <v>276.95</v>
      </c>
      <c r="L77" s="64">
        <v>25.62</v>
      </c>
      <c r="M77" s="64">
        <v>46.2</v>
      </c>
      <c r="N77" s="64">
        <v>98.3</v>
      </c>
      <c r="O77" s="64">
        <v>0</v>
      </c>
      <c r="P77" s="64">
        <v>0.65</v>
      </c>
      <c r="Q77" s="64">
        <v>8.2100000000000009</v>
      </c>
      <c r="R77" s="198"/>
      <c r="S77" s="198"/>
      <c r="T77" s="198"/>
      <c r="U77" s="198"/>
    </row>
    <row r="78" spans="1:21" s="12" customFormat="1" x14ac:dyDescent="0.25">
      <c r="A78" s="214" t="s">
        <v>3097</v>
      </c>
      <c r="B78" s="64">
        <v>4.57</v>
      </c>
      <c r="C78" s="64">
        <v>57.44</v>
      </c>
      <c r="D78" s="64">
        <v>32.299999999999997</v>
      </c>
      <c r="E78" s="64">
        <v>5.92</v>
      </c>
      <c r="F78" s="64">
        <v>2.13</v>
      </c>
      <c r="G78" s="64">
        <v>59.54</v>
      </c>
      <c r="H78" s="64">
        <v>23.36</v>
      </c>
      <c r="I78" s="210" t="s">
        <v>43</v>
      </c>
      <c r="J78" s="64">
        <v>0.31</v>
      </c>
      <c r="K78" s="64">
        <v>212.88</v>
      </c>
      <c r="L78" s="64">
        <v>25.22</v>
      </c>
      <c r="M78" s="64">
        <v>46.51</v>
      </c>
      <c r="N78" s="64">
        <v>89.7</v>
      </c>
      <c r="O78" s="64">
        <v>0</v>
      </c>
      <c r="P78" s="64">
        <v>0.65</v>
      </c>
      <c r="Q78" s="64">
        <v>8.2100000000000009</v>
      </c>
      <c r="R78" s="198"/>
      <c r="S78" s="198"/>
      <c r="T78" s="198"/>
      <c r="U78" s="198"/>
    </row>
    <row r="79" spans="1:21" s="12" customFormat="1" x14ac:dyDescent="0.25">
      <c r="A79" s="214" t="s">
        <v>3098</v>
      </c>
      <c r="B79" s="64">
        <v>4.67</v>
      </c>
      <c r="C79" s="64">
        <v>54.93</v>
      </c>
      <c r="D79" s="64">
        <v>31.07</v>
      </c>
      <c r="E79" s="64">
        <v>5.64</v>
      </c>
      <c r="F79" s="64">
        <v>2.13</v>
      </c>
      <c r="G79" s="64">
        <v>59.54</v>
      </c>
      <c r="H79" s="64">
        <v>23.36</v>
      </c>
      <c r="I79" s="210" t="s">
        <v>43</v>
      </c>
      <c r="J79" s="64">
        <v>0.41</v>
      </c>
      <c r="K79" s="64">
        <v>358.42</v>
      </c>
      <c r="L79" s="64">
        <v>24.82</v>
      </c>
      <c r="M79" s="64">
        <v>47.84</v>
      </c>
      <c r="N79" s="64">
        <v>83.2</v>
      </c>
      <c r="O79" s="64">
        <v>0</v>
      </c>
      <c r="P79" s="64">
        <v>0.64</v>
      </c>
      <c r="Q79" s="64">
        <v>8.2100000000000009</v>
      </c>
      <c r="R79" s="198"/>
      <c r="S79" s="198"/>
      <c r="T79" s="198"/>
      <c r="U79" s="198"/>
    </row>
    <row r="80" spans="1:21" s="12" customFormat="1" x14ac:dyDescent="0.25">
      <c r="A80" s="214" t="s">
        <v>3099</v>
      </c>
      <c r="B80" s="64">
        <v>5.04</v>
      </c>
      <c r="C80" s="64">
        <v>55.36</v>
      </c>
      <c r="D80" s="64">
        <v>31.59</v>
      </c>
      <c r="E80" s="64">
        <v>5.77</v>
      </c>
      <c r="F80" s="64">
        <v>2.13</v>
      </c>
      <c r="G80" s="64">
        <v>60.29</v>
      </c>
      <c r="H80" s="64">
        <v>23.1</v>
      </c>
      <c r="I80" s="210" t="s">
        <v>43</v>
      </c>
      <c r="J80" s="64">
        <v>1.27</v>
      </c>
      <c r="K80" s="64">
        <v>261.79000000000002</v>
      </c>
      <c r="L80" s="64">
        <v>24.35</v>
      </c>
      <c r="M80" s="64">
        <v>49.61</v>
      </c>
      <c r="N80" s="64">
        <v>79.7</v>
      </c>
      <c r="O80" s="64">
        <v>0</v>
      </c>
      <c r="P80" s="64">
        <v>0.72</v>
      </c>
      <c r="Q80" s="64">
        <v>8.2100000000000009</v>
      </c>
      <c r="R80" s="198"/>
      <c r="S80" s="198"/>
      <c r="T80" s="198"/>
      <c r="U80" s="198"/>
    </row>
    <row r="81" spans="1:26" s="12" customFormat="1" x14ac:dyDescent="0.25">
      <c r="A81" s="214" t="s">
        <v>3100</v>
      </c>
      <c r="B81" s="64">
        <v>6.05</v>
      </c>
      <c r="C81" s="64">
        <v>56.83</v>
      </c>
      <c r="D81" s="64">
        <v>33.159999999999997</v>
      </c>
      <c r="E81" s="64">
        <v>5.69</v>
      </c>
      <c r="F81" s="64">
        <v>2.13</v>
      </c>
      <c r="G81" s="64">
        <v>61.18</v>
      </c>
      <c r="H81" s="64">
        <v>22.78</v>
      </c>
      <c r="I81" s="210" t="s">
        <v>43</v>
      </c>
      <c r="J81" s="64">
        <v>1.51</v>
      </c>
      <c r="K81" s="64">
        <v>293.97000000000003</v>
      </c>
      <c r="L81" s="64">
        <v>23.68</v>
      </c>
      <c r="M81" s="64">
        <v>53.01</v>
      </c>
      <c r="N81" s="64">
        <v>78.5</v>
      </c>
      <c r="O81" s="64">
        <v>0</v>
      </c>
      <c r="P81" s="64">
        <v>1.07</v>
      </c>
      <c r="Q81" s="64">
        <v>8.2100000000000009</v>
      </c>
      <c r="R81" s="198"/>
      <c r="S81" s="198"/>
      <c r="T81" s="198"/>
      <c r="U81" s="198"/>
    </row>
    <row r="82" spans="1:26" s="12" customFormat="1" x14ac:dyDescent="0.25">
      <c r="A82" s="214" t="s">
        <v>3101</v>
      </c>
      <c r="B82" s="64">
        <v>8.5500000000000007</v>
      </c>
      <c r="C82" s="64">
        <v>58.1</v>
      </c>
      <c r="D82" s="64">
        <v>35.83</v>
      </c>
      <c r="E82" s="64">
        <v>5.18</v>
      </c>
      <c r="F82" s="64">
        <v>2.13</v>
      </c>
      <c r="G82" s="64">
        <v>61.18</v>
      </c>
      <c r="H82" s="64">
        <v>22.78</v>
      </c>
      <c r="I82" s="210" t="s">
        <v>43</v>
      </c>
      <c r="J82" s="64">
        <v>1.65</v>
      </c>
      <c r="K82" s="64">
        <v>291.58999999999997</v>
      </c>
      <c r="L82" s="64">
        <v>22.99</v>
      </c>
      <c r="M82" s="64">
        <v>55.11</v>
      </c>
      <c r="N82" s="64">
        <v>78.2</v>
      </c>
      <c r="O82" s="64">
        <v>0</v>
      </c>
      <c r="P82" s="64">
        <v>1.05</v>
      </c>
      <c r="Q82" s="64">
        <v>8.2100000000000009</v>
      </c>
      <c r="R82" s="198"/>
      <c r="S82" s="198"/>
      <c r="T82" s="198"/>
      <c r="U82" s="198"/>
    </row>
    <row r="83" spans="1:26" s="12" customFormat="1" x14ac:dyDescent="0.25">
      <c r="A83" s="214" t="s">
        <v>3102</v>
      </c>
      <c r="B83" s="64">
        <v>10.93</v>
      </c>
      <c r="C83" s="64">
        <v>59.09</v>
      </c>
      <c r="D83" s="64">
        <v>38.26</v>
      </c>
      <c r="E83" s="64">
        <v>5.52</v>
      </c>
      <c r="F83" s="64">
        <v>2.13</v>
      </c>
      <c r="G83" s="64">
        <v>61.18</v>
      </c>
      <c r="H83" s="64">
        <v>22.78</v>
      </c>
      <c r="I83" s="210" t="s">
        <v>43</v>
      </c>
      <c r="J83" s="64">
        <v>1.66</v>
      </c>
      <c r="K83" s="64">
        <v>285.67</v>
      </c>
      <c r="L83" s="64">
        <v>22.57</v>
      </c>
      <c r="M83" s="64">
        <v>56.5</v>
      </c>
      <c r="N83" s="64">
        <v>78.099999999999994</v>
      </c>
      <c r="O83" s="64">
        <v>0</v>
      </c>
      <c r="P83" s="64">
        <v>1</v>
      </c>
      <c r="Q83" s="64">
        <v>8.2100000000000009</v>
      </c>
      <c r="R83" s="198"/>
      <c r="S83" s="198"/>
      <c r="T83" s="198"/>
      <c r="U83" s="198"/>
    </row>
    <row r="84" spans="1:26" s="12" customFormat="1" x14ac:dyDescent="0.25">
      <c r="A84" s="214" t="s">
        <v>3103</v>
      </c>
      <c r="B84" s="64">
        <v>12.65</v>
      </c>
      <c r="C84" s="64">
        <v>59.34</v>
      </c>
      <c r="D84" s="64">
        <v>39.770000000000003</v>
      </c>
      <c r="E84" s="64">
        <v>5.7</v>
      </c>
      <c r="F84" s="64">
        <v>2.13</v>
      </c>
      <c r="G84" s="64">
        <v>65.06</v>
      </c>
      <c r="H84" s="64">
        <v>23.95</v>
      </c>
      <c r="I84" s="210" t="s">
        <v>43</v>
      </c>
      <c r="J84" s="64">
        <v>1.6</v>
      </c>
      <c r="K84" s="64">
        <v>301.44</v>
      </c>
      <c r="L84" s="64">
        <v>22.27</v>
      </c>
      <c r="M84" s="64">
        <v>58.06</v>
      </c>
      <c r="N84" s="64">
        <v>78</v>
      </c>
      <c r="O84" s="64">
        <v>0</v>
      </c>
      <c r="P84" s="64">
        <v>1.1299999999999999</v>
      </c>
      <c r="Q84" s="64">
        <v>8.2100000000000009</v>
      </c>
      <c r="R84" s="198"/>
      <c r="S84" s="198"/>
      <c r="T84" s="198"/>
      <c r="U84" s="198"/>
    </row>
    <row r="85" spans="1:26" s="12" customFormat="1" x14ac:dyDescent="0.25">
      <c r="A85" s="214" t="s">
        <v>3104</v>
      </c>
      <c r="B85" s="64">
        <v>14.32</v>
      </c>
      <c r="C85" s="64">
        <v>60.2</v>
      </c>
      <c r="D85" s="64">
        <v>41.56</v>
      </c>
      <c r="E85" s="64">
        <v>5.71</v>
      </c>
      <c r="F85" s="64">
        <v>2.13</v>
      </c>
      <c r="G85" s="64">
        <v>69.69</v>
      </c>
      <c r="H85" s="64">
        <v>25.34</v>
      </c>
      <c r="I85" s="210" t="s">
        <v>43</v>
      </c>
      <c r="J85" s="64">
        <v>1.59</v>
      </c>
      <c r="K85" s="64">
        <v>282.66000000000003</v>
      </c>
      <c r="L85" s="64">
        <v>21.91</v>
      </c>
      <c r="M85" s="64">
        <v>59.19</v>
      </c>
      <c r="N85" s="64">
        <v>78</v>
      </c>
      <c r="O85" s="64">
        <v>0</v>
      </c>
      <c r="P85" s="64">
        <v>1.1000000000000001</v>
      </c>
      <c r="Q85" s="64">
        <v>8.2100000000000009</v>
      </c>
      <c r="R85" s="198"/>
      <c r="S85" s="198"/>
      <c r="T85" s="198"/>
      <c r="U85" s="198"/>
    </row>
    <row r="86" spans="1:26" s="12" customFormat="1" x14ac:dyDescent="0.25">
      <c r="A86" s="214" t="s">
        <v>3105</v>
      </c>
      <c r="B86" s="64">
        <v>15.7</v>
      </c>
      <c r="C86" s="64">
        <v>61.19</v>
      </c>
      <c r="D86" s="64">
        <v>43.18</v>
      </c>
      <c r="E86" s="64">
        <v>5.84</v>
      </c>
      <c r="F86" s="64">
        <v>2.13</v>
      </c>
      <c r="G86" s="64">
        <v>69.69</v>
      </c>
      <c r="H86" s="64">
        <v>25.34</v>
      </c>
      <c r="I86" s="210" t="s">
        <v>43</v>
      </c>
      <c r="J86" s="64">
        <v>1.63</v>
      </c>
      <c r="K86" s="64">
        <v>281.57</v>
      </c>
      <c r="L86" s="64">
        <v>21.78</v>
      </c>
      <c r="M86" s="64">
        <v>59.33</v>
      </c>
      <c r="N86" s="64">
        <v>77.900000000000006</v>
      </c>
      <c r="O86" s="64">
        <v>0</v>
      </c>
      <c r="P86" s="64">
        <v>1.05</v>
      </c>
      <c r="Q86" s="64">
        <v>8.2100000000000009</v>
      </c>
      <c r="R86" s="198"/>
      <c r="S86" s="198"/>
      <c r="T86" s="198"/>
      <c r="U86" s="198"/>
    </row>
    <row r="87" spans="1:26" s="12" customFormat="1" x14ac:dyDescent="0.25">
      <c r="A87" s="214" t="s">
        <v>3106</v>
      </c>
      <c r="B87" s="64">
        <v>18.14</v>
      </c>
      <c r="C87" s="64">
        <v>65.819999999999993</v>
      </c>
      <c r="D87" s="64">
        <v>47.56</v>
      </c>
      <c r="E87" s="64">
        <v>6.33</v>
      </c>
      <c r="F87" s="64">
        <v>2.13</v>
      </c>
      <c r="G87" s="64">
        <v>69.69</v>
      </c>
      <c r="H87" s="64">
        <v>25.34</v>
      </c>
      <c r="I87" s="210" t="s">
        <v>43</v>
      </c>
      <c r="J87" s="64">
        <v>1.24</v>
      </c>
      <c r="K87" s="64">
        <v>270.75</v>
      </c>
      <c r="L87" s="64">
        <v>21.92</v>
      </c>
      <c r="M87" s="64">
        <v>58.29</v>
      </c>
      <c r="N87" s="64">
        <v>77.8</v>
      </c>
      <c r="O87" s="64">
        <v>0</v>
      </c>
      <c r="P87" s="64">
        <v>0.86</v>
      </c>
      <c r="Q87" s="64">
        <v>8.2100000000000009</v>
      </c>
      <c r="R87" s="198"/>
      <c r="S87" s="198"/>
      <c r="T87" s="198"/>
      <c r="U87" s="198"/>
    </row>
    <row r="88" spans="1:26" s="12" customFormat="1" x14ac:dyDescent="0.25">
      <c r="A88" s="214" t="s">
        <v>3107</v>
      </c>
      <c r="B88" s="64">
        <v>19.52</v>
      </c>
      <c r="C88" s="64">
        <v>65.28</v>
      </c>
      <c r="D88" s="64">
        <v>48.39</v>
      </c>
      <c r="E88" s="64">
        <v>6.61</v>
      </c>
      <c r="F88" s="64">
        <v>2.13</v>
      </c>
      <c r="G88" s="64">
        <v>72.739999999999995</v>
      </c>
      <c r="H88" s="64">
        <v>25.45</v>
      </c>
      <c r="I88" s="210" t="s">
        <v>43</v>
      </c>
      <c r="J88" s="64">
        <v>1.4</v>
      </c>
      <c r="K88" s="64">
        <v>273.69</v>
      </c>
      <c r="L88" s="64">
        <v>22</v>
      </c>
      <c r="M88" s="64">
        <v>57.92</v>
      </c>
      <c r="N88" s="64">
        <v>77.900000000000006</v>
      </c>
      <c r="O88" s="64">
        <v>0</v>
      </c>
      <c r="P88" s="64">
        <v>0.97</v>
      </c>
      <c r="Q88" s="64">
        <v>8.2100000000000009</v>
      </c>
      <c r="R88" s="198"/>
      <c r="S88" s="198"/>
      <c r="T88" s="198"/>
      <c r="U88" s="198"/>
    </row>
    <row r="89" spans="1:26" s="12" customFormat="1" x14ac:dyDescent="0.25">
      <c r="A89" s="214" t="s">
        <v>3108</v>
      </c>
      <c r="B89" s="64">
        <v>20.34</v>
      </c>
      <c r="C89" s="64">
        <v>66.19</v>
      </c>
      <c r="D89" s="64">
        <v>49.51</v>
      </c>
      <c r="E89" s="64">
        <v>6.5</v>
      </c>
      <c r="F89" s="64">
        <v>2.13</v>
      </c>
      <c r="G89" s="64">
        <v>76.39</v>
      </c>
      <c r="H89" s="64">
        <v>25.59</v>
      </c>
      <c r="I89" s="210" t="s">
        <v>43</v>
      </c>
      <c r="J89" s="64">
        <v>1.22</v>
      </c>
      <c r="K89" s="64">
        <v>304.7</v>
      </c>
      <c r="L89" s="64">
        <v>21.51</v>
      </c>
      <c r="M89" s="64">
        <v>62.05</v>
      </c>
      <c r="N89" s="64">
        <v>78</v>
      </c>
      <c r="O89" s="64">
        <v>0</v>
      </c>
      <c r="P89" s="64">
        <v>0.97</v>
      </c>
      <c r="Q89" s="64">
        <v>8.2100000000000009</v>
      </c>
      <c r="R89" s="198"/>
      <c r="S89" s="198"/>
      <c r="T89" s="198"/>
      <c r="U89" s="198"/>
    </row>
    <row r="90" spans="1:26" s="12" customFormat="1" x14ac:dyDescent="0.25">
      <c r="A90" s="214" t="s">
        <v>3109</v>
      </c>
      <c r="B90" s="64">
        <v>21.57</v>
      </c>
      <c r="C90" s="64">
        <v>65.3</v>
      </c>
      <c r="D90" s="64">
        <v>50.04</v>
      </c>
      <c r="E90" s="64">
        <v>6.41</v>
      </c>
      <c r="F90" s="64">
        <v>2.13</v>
      </c>
      <c r="G90" s="64">
        <v>76.39</v>
      </c>
      <c r="H90" s="64">
        <v>25.59</v>
      </c>
      <c r="I90" s="210" t="s">
        <v>43</v>
      </c>
      <c r="J90" s="64">
        <v>1.1200000000000001</v>
      </c>
      <c r="K90" s="64">
        <v>293.39999999999998</v>
      </c>
      <c r="L90" s="64">
        <v>21.61</v>
      </c>
      <c r="M90" s="64">
        <v>60.31</v>
      </c>
      <c r="N90" s="64">
        <v>77.5</v>
      </c>
      <c r="O90" s="64">
        <v>0</v>
      </c>
      <c r="P90" s="64">
        <v>0.96</v>
      </c>
      <c r="Q90" s="64">
        <v>8.2100000000000009</v>
      </c>
      <c r="R90" s="198"/>
      <c r="S90" s="198"/>
      <c r="T90" s="198"/>
      <c r="U90" s="198"/>
    </row>
    <row r="91" spans="1:26" s="12" customFormat="1" x14ac:dyDescent="0.25">
      <c r="A91" s="214" t="s">
        <v>3110</v>
      </c>
      <c r="B91" s="64">
        <v>21.24</v>
      </c>
      <c r="C91" s="64">
        <v>65.849999999999994</v>
      </c>
      <c r="D91" s="64">
        <v>50.06</v>
      </c>
      <c r="E91" s="64">
        <v>6.23</v>
      </c>
      <c r="F91" s="64">
        <v>2.13</v>
      </c>
      <c r="G91" s="64">
        <v>76.39</v>
      </c>
      <c r="H91" s="64">
        <v>25.59</v>
      </c>
      <c r="I91" s="210" t="s">
        <v>43</v>
      </c>
      <c r="J91" s="64">
        <v>0.61</v>
      </c>
      <c r="K91" s="64">
        <v>260.47000000000003</v>
      </c>
      <c r="L91" s="64">
        <v>21.9</v>
      </c>
      <c r="M91" s="64">
        <v>59.16</v>
      </c>
      <c r="N91" s="64">
        <v>76.5</v>
      </c>
      <c r="O91" s="64">
        <v>0</v>
      </c>
      <c r="P91" s="64">
        <v>0.96</v>
      </c>
      <c r="Q91" s="64">
        <v>8.2100000000000009</v>
      </c>
      <c r="R91" s="198"/>
      <c r="S91" s="198"/>
      <c r="T91" s="198"/>
      <c r="U91" s="198"/>
    </row>
    <row r="92" spans="1:26" s="12" customFormat="1" x14ac:dyDescent="0.25">
      <c r="A92" s="214" t="s">
        <v>3111</v>
      </c>
      <c r="B92" s="64">
        <v>20.059999999999999</v>
      </c>
      <c r="C92" s="64">
        <v>66.2</v>
      </c>
      <c r="D92" s="64">
        <v>49.29</v>
      </c>
      <c r="E92" s="64">
        <v>6.16</v>
      </c>
      <c r="F92" s="64">
        <v>2.13</v>
      </c>
      <c r="G92" s="64">
        <v>78.45</v>
      </c>
      <c r="H92" s="64">
        <v>24.34</v>
      </c>
      <c r="I92" s="210" t="s">
        <v>43</v>
      </c>
      <c r="J92" s="64">
        <v>0.98</v>
      </c>
      <c r="K92" s="64">
        <v>302.8</v>
      </c>
      <c r="L92" s="64">
        <v>21.68</v>
      </c>
      <c r="M92" s="64">
        <v>60.7</v>
      </c>
      <c r="N92" s="64">
        <v>76.5</v>
      </c>
      <c r="O92" s="64">
        <v>0</v>
      </c>
      <c r="P92" s="64">
        <v>0.98</v>
      </c>
      <c r="Q92" s="64">
        <v>8.2100000000000009</v>
      </c>
      <c r="R92" s="198"/>
      <c r="S92" s="198"/>
      <c r="T92" s="198"/>
      <c r="U92" s="198"/>
    </row>
    <row r="93" spans="1:26" s="12" customFormat="1" x14ac:dyDescent="0.25">
      <c r="A93" s="214" t="s">
        <v>3112</v>
      </c>
      <c r="B93" s="64">
        <v>19.88</v>
      </c>
      <c r="C93" s="64">
        <v>67.06</v>
      </c>
      <c r="D93" s="64">
        <v>49.61</v>
      </c>
      <c r="E93" s="64">
        <v>6.1</v>
      </c>
      <c r="F93" s="64">
        <v>2.13</v>
      </c>
      <c r="G93" s="64">
        <v>80.91</v>
      </c>
      <c r="H93" s="64">
        <v>22.84</v>
      </c>
      <c r="I93" s="210" t="s">
        <v>43</v>
      </c>
      <c r="J93" s="64">
        <v>1.47</v>
      </c>
      <c r="K93" s="64">
        <v>277.31</v>
      </c>
      <c r="L93" s="64">
        <v>21.34</v>
      </c>
      <c r="M93" s="64">
        <v>62.4</v>
      </c>
      <c r="N93" s="64">
        <v>76.400000000000006</v>
      </c>
      <c r="O93" s="64">
        <v>0</v>
      </c>
      <c r="P93" s="64">
        <v>0.98</v>
      </c>
      <c r="Q93" s="64">
        <v>8.2100000000000009</v>
      </c>
      <c r="R93" s="198"/>
      <c r="S93" s="198"/>
      <c r="T93" s="198"/>
      <c r="U93" s="198"/>
    </row>
    <row r="94" spans="1:26" s="12" customFormat="1" x14ac:dyDescent="0.25">
      <c r="A94" s="214" t="s">
        <v>3113</v>
      </c>
      <c r="B94" s="64">
        <v>19.93</v>
      </c>
      <c r="C94" s="64">
        <v>65.709999999999994</v>
      </c>
      <c r="D94" s="64">
        <v>48.94</v>
      </c>
      <c r="E94" s="64">
        <v>5.91</v>
      </c>
      <c r="F94" s="64">
        <v>2.13</v>
      </c>
      <c r="G94" s="64">
        <v>80.91</v>
      </c>
      <c r="H94" s="64">
        <v>22.84</v>
      </c>
      <c r="I94" s="210" t="s">
        <v>43</v>
      </c>
      <c r="J94" s="64">
        <v>1.04</v>
      </c>
      <c r="K94" s="64">
        <v>213.33</v>
      </c>
      <c r="L94" s="64">
        <v>21.1</v>
      </c>
      <c r="M94" s="64">
        <v>63.6</v>
      </c>
      <c r="N94" s="64">
        <v>76.2</v>
      </c>
      <c r="O94" s="64">
        <v>0</v>
      </c>
      <c r="P94" s="64">
        <v>0.96</v>
      </c>
      <c r="Q94" s="64">
        <v>8.2100000000000009</v>
      </c>
      <c r="R94" s="198"/>
      <c r="S94" s="198"/>
      <c r="T94" s="198"/>
      <c r="U94" s="198"/>
    </row>
    <row r="95" spans="1:26" s="12" customFormat="1" x14ac:dyDescent="0.25">
      <c r="A95" s="214" t="s">
        <v>3114</v>
      </c>
      <c r="B95" s="64">
        <v>19.399999999999999</v>
      </c>
      <c r="C95" s="64">
        <v>64.319999999999993</v>
      </c>
      <c r="D95" s="64">
        <v>47.78</v>
      </c>
      <c r="E95" s="64">
        <v>6.01</v>
      </c>
      <c r="F95" s="64">
        <v>2.13</v>
      </c>
      <c r="G95" s="64">
        <v>80.91</v>
      </c>
      <c r="H95" s="64">
        <v>22.84</v>
      </c>
      <c r="I95" s="210" t="s">
        <v>43</v>
      </c>
      <c r="J95" s="64">
        <v>1.06</v>
      </c>
      <c r="K95" s="64">
        <v>201.66</v>
      </c>
      <c r="L95" s="64">
        <v>20.420000000000002</v>
      </c>
      <c r="M95" s="64">
        <v>67.83</v>
      </c>
      <c r="N95" s="64">
        <v>76.599999999999994</v>
      </c>
      <c r="O95" s="64">
        <v>0</v>
      </c>
      <c r="P95" s="64">
        <v>0.91</v>
      </c>
      <c r="Q95" s="64">
        <v>8.2100000000000009</v>
      </c>
      <c r="R95" s="198"/>
      <c r="S95" s="198"/>
      <c r="T95" s="198"/>
      <c r="U95" s="198"/>
    </row>
    <row r="96" spans="1:26" s="12" customFormat="1" x14ac:dyDescent="0.25">
      <c r="A96" s="214" t="s">
        <v>3115</v>
      </c>
      <c r="B96" s="64">
        <v>18.8</v>
      </c>
      <c r="C96" s="64">
        <v>58.39</v>
      </c>
      <c r="D96" s="64">
        <v>44.21</v>
      </c>
      <c r="E96" s="64">
        <v>5.6</v>
      </c>
      <c r="F96" s="64">
        <v>2.13</v>
      </c>
      <c r="G96" s="64">
        <v>80.989999999999995</v>
      </c>
      <c r="H96" s="64">
        <v>23.35</v>
      </c>
      <c r="I96" s="210" t="s">
        <v>43</v>
      </c>
      <c r="J96" s="64">
        <v>0.98</v>
      </c>
      <c r="K96" s="64">
        <v>222.49</v>
      </c>
      <c r="L96" s="64">
        <v>19.91</v>
      </c>
      <c r="M96" s="64">
        <v>71.010000000000005</v>
      </c>
      <c r="N96" s="64">
        <v>76.5</v>
      </c>
      <c r="O96" s="64">
        <v>0</v>
      </c>
      <c r="P96" s="64">
        <v>0.83</v>
      </c>
      <c r="Q96" s="64">
        <v>8.2100000000000009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3116</v>
      </c>
      <c r="B97" s="64">
        <v>18.45</v>
      </c>
      <c r="C97" s="64">
        <v>58.2</v>
      </c>
      <c r="D97" s="64">
        <v>43.82</v>
      </c>
      <c r="E97" s="64">
        <v>4.88</v>
      </c>
      <c r="F97" s="64">
        <v>2.13</v>
      </c>
      <c r="G97" s="64">
        <v>81.08</v>
      </c>
      <c r="H97" s="64">
        <v>23.95</v>
      </c>
      <c r="I97" s="210" t="s">
        <v>43</v>
      </c>
      <c r="J97" s="64">
        <v>0.52</v>
      </c>
      <c r="K97" s="64">
        <v>237.58</v>
      </c>
      <c r="L97" s="64">
        <v>19.68</v>
      </c>
      <c r="M97" s="64">
        <v>72.59</v>
      </c>
      <c r="N97" s="64">
        <v>76.400000000000006</v>
      </c>
      <c r="O97" s="64">
        <v>0</v>
      </c>
      <c r="P97" s="64">
        <v>0.82</v>
      </c>
      <c r="Q97" s="64">
        <v>8.2100000000000009</v>
      </c>
      <c r="R97" s="198"/>
      <c r="S97" s="198"/>
      <c r="T97" s="198"/>
      <c r="U97" s="198"/>
    </row>
    <row r="98" spans="1:33" s="12" customFormat="1" x14ac:dyDescent="0.25">
      <c r="A98" s="214" t="s">
        <v>3117</v>
      </c>
      <c r="B98" s="64">
        <v>18.09</v>
      </c>
      <c r="C98" s="64">
        <v>58.52</v>
      </c>
      <c r="D98" s="64">
        <v>43.71</v>
      </c>
      <c r="E98" s="64">
        <v>5.51</v>
      </c>
      <c r="F98" s="64">
        <v>2.13</v>
      </c>
      <c r="G98" s="64">
        <v>81.08</v>
      </c>
      <c r="H98" s="64">
        <v>23.95</v>
      </c>
      <c r="I98" s="210" t="s">
        <v>43</v>
      </c>
      <c r="J98" s="64">
        <v>1.03</v>
      </c>
      <c r="K98" s="64">
        <v>224.28</v>
      </c>
      <c r="L98" s="64">
        <v>19.32</v>
      </c>
      <c r="M98" s="64">
        <v>74.92</v>
      </c>
      <c r="N98" s="64">
        <v>76.5</v>
      </c>
      <c r="O98" s="64">
        <v>0</v>
      </c>
      <c r="P98" s="64">
        <v>0.79</v>
      </c>
      <c r="Q98" s="64">
        <v>8.2100000000000009</v>
      </c>
      <c r="R98" s="198"/>
      <c r="S98" s="198"/>
      <c r="T98" s="198"/>
      <c r="U98" s="198"/>
    </row>
    <row r="99" spans="1:33" s="12" customFormat="1" x14ac:dyDescent="0.25">
      <c r="A99" s="214" t="s">
        <v>3118</v>
      </c>
      <c r="B99" s="64">
        <v>17.940000000000001</v>
      </c>
      <c r="C99" s="64">
        <v>57.98</v>
      </c>
      <c r="D99" s="64">
        <v>43.31</v>
      </c>
      <c r="E99" s="64">
        <v>5.44</v>
      </c>
      <c r="F99" s="64">
        <v>2.13</v>
      </c>
      <c r="G99" s="64">
        <v>81.08</v>
      </c>
      <c r="H99" s="64">
        <v>23.95</v>
      </c>
      <c r="I99" s="210" t="s">
        <v>43</v>
      </c>
      <c r="J99" s="64">
        <v>0.97</v>
      </c>
      <c r="K99" s="64">
        <v>249.34</v>
      </c>
      <c r="L99" s="64">
        <v>19.05</v>
      </c>
      <c r="M99" s="64">
        <v>76.61</v>
      </c>
      <c r="N99" s="64">
        <v>76.400000000000006</v>
      </c>
      <c r="O99" s="64">
        <v>0</v>
      </c>
      <c r="P99" s="64">
        <v>0.8</v>
      </c>
      <c r="Q99" s="64">
        <v>8.2100000000000009</v>
      </c>
      <c r="R99" s="198"/>
      <c r="S99" s="198"/>
      <c r="T99" s="198"/>
      <c r="U99" s="198"/>
    </row>
    <row r="100" spans="1:33" s="12" customFormat="1" x14ac:dyDescent="0.25">
      <c r="A100" s="214" t="s">
        <v>3119</v>
      </c>
      <c r="B100" s="64">
        <v>17.79</v>
      </c>
      <c r="C100" s="64">
        <v>57.11</v>
      </c>
      <c r="D100" s="64">
        <v>42.73</v>
      </c>
      <c r="E100" s="64">
        <v>4.74</v>
      </c>
      <c r="F100" s="64">
        <v>2.13</v>
      </c>
      <c r="G100" s="64">
        <v>77.16</v>
      </c>
      <c r="H100" s="64">
        <v>24.58</v>
      </c>
      <c r="I100" s="210" t="s">
        <v>43</v>
      </c>
      <c r="J100" s="64">
        <v>0.19</v>
      </c>
      <c r="K100" s="64">
        <v>306.02</v>
      </c>
      <c r="L100" s="64">
        <v>18.88</v>
      </c>
      <c r="M100" s="64">
        <v>78.27</v>
      </c>
      <c r="N100" s="64">
        <v>76.400000000000006</v>
      </c>
      <c r="O100" s="64">
        <v>0</v>
      </c>
      <c r="P100" s="64">
        <v>0.82</v>
      </c>
      <c r="Q100" s="64">
        <v>8.2100000000000009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3120</v>
      </c>
      <c r="B101" s="64">
        <v>17.61</v>
      </c>
      <c r="C101" s="64">
        <v>56.38</v>
      </c>
      <c r="D101" s="64">
        <v>42.2</v>
      </c>
      <c r="E101" s="64">
        <v>4.7300000000000004</v>
      </c>
      <c r="F101" s="64">
        <v>2.13</v>
      </c>
      <c r="G101" s="64">
        <v>72.48</v>
      </c>
      <c r="H101" s="64">
        <v>25.32</v>
      </c>
      <c r="I101" s="210" t="s">
        <v>43</v>
      </c>
      <c r="J101" s="64">
        <v>0.76</v>
      </c>
      <c r="K101" s="64">
        <v>248.52</v>
      </c>
      <c r="L101" s="64">
        <v>18.649999999999999</v>
      </c>
      <c r="M101" s="64">
        <v>80.7</v>
      </c>
      <c r="N101" s="64">
        <v>76.3</v>
      </c>
      <c r="O101" s="64">
        <v>0</v>
      </c>
      <c r="P101" s="64">
        <v>0.75</v>
      </c>
      <c r="Q101" s="64">
        <v>8.2100000000000009</v>
      </c>
      <c r="R101" s="198"/>
      <c r="S101" s="198"/>
      <c r="T101" s="198"/>
      <c r="U101" s="198"/>
    </row>
    <row r="102" spans="1:33" s="12" customFormat="1" x14ac:dyDescent="0.25">
      <c r="A102" s="214" t="s">
        <v>3121</v>
      </c>
      <c r="B102" s="64">
        <v>17.309999999999999</v>
      </c>
      <c r="C102" s="64">
        <v>55.65</v>
      </c>
      <c r="D102" s="64">
        <v>41.57</v>
      </c>
      <c r="E102" s="64">
        <v>5.0999999999999996</v>
      </c>
      <c r="F102" s="64">
        <v>2.13</v>
      </c>
      <c r="G102" s="64">
        <v>72.48</v>
      </c>
      <c r="H102" s="64">
        <v>25.32</v>
      </c>
      <c r="I102" s="210" t="s">
        <v>43</v>
      </c>
      <c r="J102" s="64">
        <v>0.87</v>
      </c>
      <c r="K102" s="64">
        <v>129.71</v>
      </c>
      <c r="L102" s="64">
        <v>18.45</v>
      </c>
      <c r="M102" s="64">
        <v>82.99</v>
      </c>
      <c r="N102" s="64">
        <v>76.400000000000006</v>
      </c>
      <c r="O102" s="64">
        <v>0</v>
      </c>
      <c r="P102" s="64">
        <v>0.73</v>
      </c>
      <c r="Q102" s="64">
        <v>8.2100000000000009</v>
      </c>
      <c r="R102" s="198"/>
      <c r="S102" s="198"/>
      <c r="T102" s="198"/>
      <c r="U102" s="198"/>
    </row>
    <row r="103" spans="1:33" s="12" customFormat="1" x14ac:dyDescent="0.25">
      <c r="A103" s="214" t="s">
        <v>3122</v>
      </c>
      <c r="B103" s="64">
        <v>16.989999999999998</v>
      </c>
      <c r="C103" s="64">
        <v>55.79</v>
      </c>
      <c r="D103" s="64">
        <v>41.4</v>
      </c>
      <c r="E103" s="64">
        <v>5.1100000000000003</v>
      </c>
      <c r="F103" s="64">
        <v>2.13</v>
      </c>
      <c r="G103" s="64">
        <v>72.48</v>
      </c>
      <c r="H103" s="64">
        <v>25.32</v>
      </c>
      <c r="I103" s="210" t="s">
        <v>43</v>
      </c>
      <c r="J103" s="64">
        <v>0.56999999999999995</v>
      </c>
      <c r="K103" s="64">
        <v>153.96</v>
      </c>
      <c r="L103" s="64">
        <v>18.11</v>
      </c>
      <c r="M103" s="64">
        <v>86.27</v>
      </c>
      <c r="N103" s="64">
        <v>76.400000000000006</v>
      </c>
      <c r="O103" s="64">
        <v>0</v>
      </c>
      <c r="P103" s="64">
        <v>0.83</v>
      </c>
      <c r="Q103" s="64">
        <v>8.2100000000000009</v>
      </c>
      <c r="R103" s="198"/>
      <c r="S103" s="198"/>
      <c r="T103" s="198"/>
      <c r="U103" s="198"/>
    </row>
    <row r="104" spans="1:33" s="12" customFormat="1" x14ac:dyDescent="0.25">
      <c r="A104" s="214" t="s">
        <v>3123</v>
      </c>
      <c r="B104" s="64">
        <v>16.670000000000002</v>
      </c>
      <c r="C104" s="64">
        <v>58.27</v>
      </c>
      <c r="D104" s="64">
        <v>42.43</v>
      </c>
      <c r="E104" s="64">
        <v>4.01</v>
      </c>
      <c r="F104" s="64">
        <v>2.13</v>
      </c>
      <c r="G104" s="64">
        <v>69.52</v>
      </c>
      <c r="H104" s="64">
        <v>24.99</v>
      </c>
      <c r="I104" s="210" t="s">
        <v>43</v>
      </c>
      <c r="J104" s="64">
        <v>1.17</v>
      </c>
      <c r="K104" s="64">
        <v>162.74</v>
      </c>
      <c r="L104" s="64">
        <v>17.96</v>
      </c>
      <c r="M104" s="64">
        <v>87.81</v>
      </c>
      <c r="N104" s="64">
        <v>76.3</v>
      </c>
      <c r="O104" s="64">
        <v>0</v>
      </c>
      <c r="P104" s="64">
        <v>0.82</v>
      </c>
      <c r="Q104" s="64">
        <v>8.2100000000000009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3.06</v>
      </c>
      <c r="C106" s="67">
        <f>MIN(C9:C104)</f>
        <v>54.14</v>
      </c>
      <c r="D106" s="67">
        <f t="shared" ref="D106:Q106" si="0">MIN(D9:D104)</f>
        <v>29.65</v>
      </c>
      <c r="E106" s="67">
        <f t="shared" si="0"/>
        <v>4.01</v>
      </c>
      <c r="F106" s="67">
        <f t="shared" si="0"/>
        <v>2.13</v>
      </c>
      <c r="G106" s="67">
        <f t="shared" si="0"/>
        <v>49.53</v>
      </c>
      <c r="H106" s="67">
        <f t="shared" si="0"/>
        <v>18.3</v>
      </c>
      <c r="I106" s="67">
        <f t="shared" si="0"/>
        <v>0</v>
      </c>
      <c r="J106" s="67">
        <f t="shared" si="0"/>
        <v>0.19</v>
      </c>
      <c r="K106" s="67">
        <f t="shared" si="0"/>
        <v>5.18</v>
      </c>
      <c r="L106" s="67">
        <f t="shared" si="0"/>
        <v>14.07</v>
      </c>
      <c r="M106" s="67">
        <f t="shared" si="0"/>
        <v>37.75</v>
      </c>
      <c r="N106" s="67">
        <f t="shared" si="0"/>
        <v>74.599999999999994</v>
      </c>
      <c r="O106" s="67">
        <f t="shared" si="0"/>
        <v>0</v>
      </c>
      <c r="P106" s="67">
        <f t="shared" si="0"/>
        <v>0.56999999999999995</v>
      </c>
      <c r="Q106" s="67">
        <f t="shared" si="0"/>
        <v>8.2100000000000009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81.62</v>
      </c>
      <c r="C107" s="66">
        <f t="shared" ref="C107:Q107" si="1">MAX(C9:C104)</f>
        <v>77.02</v>
      </c>
      <c r="D107" s="66">
        <f t="shared" si="1"/>
        <v>104.32</v>
      </c>
      <c r="E107" s="66">
        <f t="shared" si="1"/>
        <v>11.17</v>
      </c>
      <c r="F107" s="66">
        <f t="shared" si="1"/>
        <v>12.97</v>
      </c>
      <c r="G107" s="66">
        <f t="shared" si="1"/>
        <v>134.29</v>
      </c>
      <c r="H107" s="66">
        <f t="shared" si="1"/>
        <v>47.19</v>
      </c>
      <c r="I107" s="66">
        <f t="shared" si="1"/>
        <v>0</v>
      </c>
      <c r="J107" s="66">
        <f t="shared" si="1"/>
        <v>2.04</v>
      </c>
      <c r="K107" s="66">
        <f t="shared" si="1"/>
        <v>358.42</v>
      </c>
      <c r="L107" s="66">
        <f t="shared" si="1"/>
        <v>29.63</v>
      </c>
      <c r="M107" s="66">
        <f t="shared" si="1"/>
        <v>104.49</v>
      </c>
      <c r="N107" s="66">
        <f t="shared" si="1"/>
        <v>576</v>
      </c>
      <c r="O107" s="66">
        <f t="shared" si="1"/>
        <v>0</v>
      </c>
      <c r="P107" s="66">
        <f t="shared" si="1"/>
        <v>1.87</v>
      </c>
      <c r="Q107" s="66">
        <f t="shared" si="1"/>
        <v>9.15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27.921145833333341</v>
      </c>
      <c r="C108" s="67">
        <f t="shared" ref="C108:Q108" si="2">AVERAGE(C9:C104)</f>
        <v>61.687604166666659</v>
      </c>
      <c r="D108" s="67">
        <f t="shared" si="2"/>
        <v>53.244166666666672</v>
      </c>
      <c r="E108" s="67">
        <f t="shared" si="2"/>
        <v>7.2927083333333345</v>
      </c>
      <c r="F108" s="67">
        <f t="shared" si="2"/>
        <v>3.1209374999999984</v>
      </c>
      <c r="G108" s="67">
        <f t="shared" si="2"/>
        <v>77.27395833333334</v>
      </c>
      <c r="H108" s="67">
        <f t="shared" si="2"/>
        <v>27.829791666666679</v>
      </c>
      <c r="I108" s="67" t="e">
        <f t="shared" si="2"/>
        <v>#DIV/0!</v>
      </c>
      <c r="J108" s="67">
        <f t="shared" si="2"/>
        <v>1.2294791666666669</v>
      </c>
      <c r="K108" s="67">
        <f t="shared" si="2"/>
        <v>262.83229166666678</v>
      </c>
      <c r="L108" s="67">
        <f t="shared" si="2"/>
        <v>21.0196875</v>
      </c>
      <c r="M108" s="67">
        <f t="shared" si="2"/>
        <v>70.874895833333383</v>
      </c>
      <c r="N108" s="67">
        <f t="shared" si="2"/>
        <v>200.41770833333339</v>
      </c>
      <c r="O108" s="67">
        <f t="shared" si="2"/>
        <v>0</v>
      </c>
      <c r="P108" s="67">
        <f t="shared" si="2"/>
        <v>0.95437499999999964</v>
      </c>
      <c r="Q108" s="67">
        <f t="shared" si="2"/>
        <v>8.2451041666666747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23.224241004868002</v>
      </c>
      <c r="C109" s="67">
        <f t="shared" ref="C109:Q109" si="3">STDEV(C9:C104)</f>
        <v>4.680810488701753</v>
      </c>
      <c r="D109" s="67">
        <f t="shared" si="3"/>
        <v>19.82325060532208</v>
      </c>
      <c r="E109" s="67">
        <f t="shared" si="3"/>
        <v>1.5407718360864429</v>
      </c>
      <c r="F109" s="67">
        <f t="shared" si="3"/>
        <v>2.2331158680783205</v>
      </c>
      <c r="G109" s="67">
        <f t="shared" si="3"/>
        <v>17.637016365358676</v>
      </c>
      <c r="H109" s="67">
        <f t="shared" si="3"/>
        <v>6.3991229627958717</v>
      </c>
      <c r="I109" s="67" t="e">
        <f t="shared" si="3"/>
        <v>#DIV/0!</v>
      </c>
      <c r="J109" s="67">
        <f t="shared" si="3"/>
        <v>0.36412077172760765</v>
      </c>
      <c r="K109" s="67">
        <f t="shared" si="3"/>
        <v>50.294855140861905</v>
      </c>
      <c r="L109" s="67">
        <f t="shared" si="3"/>
        <v>5.0296178473905453</v>
      </c>
      <c r="M109" s="67">
        <f t="shared" si="3"/>
        <v>23.008640024532173</v>
      </c>
      <c r="N109" s="67">
        <f t="shared" si="3"/>
        <v>184.96179178402261</v>
      </c>
      <c r="O109" s="67">
        <f t="shared" si="3"/>
        <v>0</v>
      </c>
      <c r="P109" s="67">
        <f t="shared" si="3"/>
        <v>0.2839266491635884</v>
      </c>
      <c r="Q109" s="67">
        <f t="shared" si="3"/>
        <v>0.14669692919447111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3124</v>
      </c>
      <c r="B9" s="64">
        <v>16.34</v>
      </c>
      <c r="C9" s="64">
        <v>55.81</v>
      </c>
      <c r="D9" s="64">
        <v>40.880000000000003</v>
      </c>
      <c r="E9" s="64">
        <v>5.81</v>
      </c>
      <c r="F9" s="64">
        <v>2.13</v>
      </c>
      <c r="G9" s="64">
        <v>65.98</v>
      </c>
      <c r="H9" s="64">
        <v>24.59</v>
      </c>
      <c r="I9" s="210" t="s">
        <v>43</v>
      </c>
      <c r="J9" s="64">
        <v>0.64</v>
      </c>
      <c r="K9" s="64">
        <v>215.21</v>
      </c>
      <c r="L9" s="64">
        <v>17.77</v>
      </c>
      <c r="M9" s="64">
        <v>89.95</v>
      </c>
      <c r="N9" s="64">
        <v>76.3</v>
      </c>
      <c r="O9" s="64">
        <v>0</v>
      </c>
      <c r="P9" s="64">
        <v>0.79</v>
      </c>
      <c r="Q9" s="64">
        <v>8.2100000000000009</v>
      </c>
      <c r="R9" s="198"/>
      <c r="S9" s="198"/>
      <c r="T9" s="198"/>
      <c r="U9" s="198"/>
    </row>
    <row r="10" spans="1:21" s="12" customFormat="1" x14ac:dyDescent="0.25">
      <c r="A10" s="214" t="s">
        <v>3125</v>
      </c>
      <c r="B10" s="64">
        <v>16.149999999999999</v>
      </c>
      <c r="C10" s="64">
        <v>56.04</v>
      </c>
      <c r="D10" s="64">
        <v>40.85</v>
      </c>
      <c r="E10" s="64">
        <v>5.73</v>
      </c>
      <c r="F10" s="64">
        <v>2.13</v>
      </c>
      <c r="G10" s="64">
        <v>65.98</v>
      </c>
      <c r="H10" s="64">
        <v>24.59</v>
      </c>
      <c r="I10" s="210" t="s">
        <v>43</v>
      </c>
      <c r="J10" s="64">
        <v>0.99</v>
      </c>
      <c r="K10" s="64">
        <v>138.69999999999999</v>
      </c>
      <c r="L10" s="64">
        <v>17.63</v>
      </c>
      <c r="M10" s="64">
        <v>91.94</v>
      </c>
      <c r="N10" s="64">
        <v>76.3</v>
      </c>
      <c r="O10" s="64">
        <v>0</v>
      </c>
      <c r="P10" s="64">
        <v>0.78</v>
      </c>
      <c r="Q10" s="64">
        <v>8.2100000000000009</v>
      </c>
      <c r="R10" s="198"/>
      <c r="S10" s="198"/>
      <c r="T10" s="198"/>
      <c r="U10" s="198"/>
    </row>
    <row r="11" spans="1:21" s="12" customFormat="1" x14ac:dyDescent="0.25">
      <c r="A11" s="214" t="s">
        <v>3126</v>
      </c>
      <c r="B11" s="64">
        <v>16.14</v>
      </c>
      <c r="C11" s="64">
        <v>56.14</v>
      </c>
      <c r="D11" s="64">
        <v>40.9</v>
      </c>
      <c r="E11" s="64">
        <v>5.57</v>
      </c>
      <c r="F11" s="64">
        <v>2.13</v>
      </c>
      <c r="G11" s="64">
        <v>65.98</v>
      </c>
      <c r="H11" s="64">
        <v>24.59</v>
      </c>
      <c r="I11" s="210" t="s">
        <v>43</v>
      </c>
      <c r="J11" s="64">
        <v>0.48</v>
      </c>
      <c r="K11" s="64">
        <v>243.56</v>
      </c>
      <c r="L11" s="64">
        <v>17.95</v>
      </c>
      <c r="M11" s="64">
        <v>91.01</v>
      </c>
      <c r="N11" s="64">
        <v>76</v>
      </c>
      <c r="O11" s="64">
        <v>0</v>
      </c>
      <c r="P11" s="64">
        <v>0.76</v>
      </c>
      <c r="Q11" s="64">
        <v>8.2100000000000009</v>
      </c>
      <c r="R11" s="198"/>
      <c r="S11" s="198"/>
      <c r="T11" s="198"/>
      <c r="U11" s="198"/>
    </row>
    <row r="12" spans="1:21" s="12" customFormat="1" x14ac:dyDescent="0.25">
      <c r="A12" s="214" t="s">
        <v>3127</v>
      </c>
      <c r="B12" s="64">
        <v>15.61</v>
      </c>
      <c r="C12" s="64">
        <v>53.75</v>
      </c>
      <c r="D12" s="64">
        <v>39.22</v>
      </c>
      <c r="E12" s="64">
        <v>5.52</v>
      </c>
      <c r="F12" s="64">
        <v>2.13</v>
      </c>
      <c r="G12" s="64">
        <v>63.43</v>
      </c>
      <c r="H12" s="64">
        <v>23.44</v>
      </c>
      <c r="I12" s="210" t="s">
        <v>43</v>
      </c>
      <c r="J12" s="64">
        <v>0.75</v>
      </c>
      <c r="K12" s="64">
        <v>114.55</v>
      </c>
      <c r="L12" s="64">
        <v>17.93</v>
      </c>
      <c r="M12" s="64">
        <v>90.94</v>
      </c>
      <c r="N12" s="64">
        <v>76.3</v>
      </c>
      <c r="O12" s="64">
        <v>0</v>
      </c>
      <c r="P12" s="64">
        <v>0.74</v>
      </c>
      <c r="Q12" s="64">
        <v>8.2100000000000009</v>
      </c>
      <c r="R12" s="198"/>
      <c r="S12" s="198"/>
      <c r="T12" s="198"/>
      <c r="U12" s="198"/>
    </row>
    <row r="13" spans="1:21" s="12" customFormat="1" x14ac:dyDescent="0.25">
      <c r="A13" s="214" t="s">
        <v>3128</v>
      </c>
      <c r="B13" s="64">
        <v>15.04</v>
      </c>
      <c r="C13" s="64">
        <v>54.93</v>
      </c>
      <c r="D13" s="64">
        <v>39.380000000000003</v>
      </c>
      <c r="E13" s="64">
        <v>5.85</v>
      </c>
      <c r="F13" s="64">
        <v>2.13</v>
      </c>
      <c r="G13" s="64">
        <v>60.39</v>
      </c>
      <c r="H13" s="64">
        <v>22.07</v>
      </c>
      <c r="I13" s="210" t="s">
        <v>43</v>
      </c>
      <c r="J13" s="64">
        <v>0.68</v>
      </c>
      <c r="K13" s="64">
        <v>282.13</v>
      </c>
      <c r="L13" s="64">
        <v>17.899999999999999</v>
      </c>
      <c r="M13" s="64">
        <v>91.11</v>
      </c>
      <c r="N13" s="64">
        <v>76.2</v>
      </c>
      <c r="O13" s="64">
        <v>0</v>
      </c>
      <c r="P13" s="64">
        <v>0.7</v>
      </c>
      <c r="Q13" s="64">
        <v>8.2100000000000009</v>
      </c>
      <c r="R13" s="198"/>
      <c r="S13" s="198"/>
      <c r="T13" s="198"/>
      <c r="U13" s="198"/>
    </row>
    <row r="14" spans="1:21" s="12" customFormat="1" x14ac:dyDescent="0.25">
      <c r="A14" s="214" t="s">
        <v>3129</v>
      </c>
      <c r="B14" s="64">
        <v>14.43</v>
      </c>
      <c r="C14" s="64">
        <v>54.28</v>
      </c>
      <c r="D14" s="64">
        <v>38.549999999999997</v>
      </c>
      <c r="E14" s="64">
        <v>5.67</v>
      </c>
      <c r="F14" s="64">
        <v>2.13</v>
      </c>
      <c r="G14" s="64">
        <v>60.39</v>
      </c>
      <c r="H14" s="64">
        <v>22.07</v>
      </c>
      <c r="I14" s="210" t="s">
        <v>43</v>
      </c>
      <c r="J14" s="64">
        <v>0.52</v>
      </c>
      <c r="K14" s="64">
        <v>282.62</v>
      </c>
      <c r="L14" s="64">
        <v>17.86</v>
      </c>
      <c r="M14" s="64">
        <v>92.29</v>
      </c>
      <c r="N14" s="64">
        <v>75.900000000000006</v>
      </c>
      <c r="O14" s="64">
        <v>0</v>
      </c>
      <c r="P14" s="64">
        <v>0.71</v>
      </c>
      <c r="Q14" s="64">
        <v>8.2100000000000009</v>
      </c>
      <c r="R14" s="198"/>
      <c r="S14" s="198"/>
      <c r="T14" s="198"/>
      <c r="U14" s="198"/>
    </row>
    <row r="15" spans="1:21" s="12" customFormat="1" x14ac:dyDescent="0.25">
      <c r="A15" s="214" t="s">
        <v>3130</v>
      </c>
      <c r="B15" s="64">
        <v>13.75</v>
      </c>
      <c r="C15" s="64">
        <v>52.62</v>
      </c>
      <c r="D15" s="64">
        <v>37.14</v>
      </c>
      <c r="E15" s="64">
        <v>5.32</v>
      </c>
      <c r="F15" s="64">
        <v>2.13</v>
      </c>
      <c r="G15" s="64">
        <v>60.39</v>
      </c>
      <c r="H15" s="64">
        <v>22.07</v>
      </c>
      <c r="I15" s="210" t="s">
        <v>43</v>
      </c>
      <c r="J15" s="64">
        <v>0.9</v>
      </c>
      <c r="K15" s="64">
        <v>249.16</v>
      </c>
      <c r="L15" s="64">
        <v>17.809999999999999</v>
      </c>
      <c r="M15" s="64">
        <v>93.62</v>
      </c>
      <c r="N15" s="64">
        <v>75.900000000000006</v>
      </c>
      <c r="O15" s="64">
        <v>0</v>
      </c>
      <c r="P15" s="64">
        <v>0.69</v>
      </c>
      <c r="Q15" s="64">
        <v>8.2100000000000009</v>
      </c>
      <c r="R15" s="198"/>
      <c r="S15" s="198"/>
      <c r="T15" s="198"/>
      <c r="U15" s="198"/>
    </row>
    <row r="16" spans="1:21" s="12" customFormat="1" x14ac:dyDescent="0.25">
      <c r="A16" s="214" t="s">
        <v>3131</v>
      </c>
      <c r="B16" s="64">
        <v>13.32</v>
      </c>
      <c r="C16" s="64">
        <v>50.71</v>
      </c>
      <c r="D16" s="64">
        <v>35.799999999999997</v>
      </c>
      <c r="E16" s="64">
        <v>5.54</v>
      </c>
      <c r="F16" s="64">
        <v>2.13</v>
      </c>
      <c r="G16" s="64">
        <v>57.81</v>
      </c>
      <c r="H16" s="64">
        <v>21.8</v>
      </c>
      <c r="I16" s="210" t="s">
        <v>43</v>
      </c>
      <c r="J16" s="64">
        <v>0.67</v>
      </c>
      <c r="K16" s="64">
        <v>263.97000000000003</v>
      </c>
      <c r="L16" s="64">
        <v>17.670000000000002</v>
      </c>
      <c r="M16" s="64">
        <v>95.26</v>
      </c>
      <c r="N16" s="64">
        <v>75.900000000000006</v>
      </c>
      <c r="O16" s="64">
        <v>0</v>
      </c>
      <c r="P16" s="64">
        <v>0.63</v>
      </c>
      <c r="Q16" s="64">
        <v>8.2100000000000009</v>
      </c>
      <c r="R16" s="198"/>
      <c r="S16" s="198"/>
      <c r="T16" s="198"/>
      <c r="U16" s="198"/>
    </row>
    <row r="17" spans="1:21" s="12" customFormat="1" x14ac:dyDescent="0.25">
      <c r="A17" s="214" t="s">
        <v>3132</v>
      </c>
      <c r="B17" s="64">
        <v>12.98</v>
      </c>
      <c r="C17" s="64">
        <v>46.66</v>
      </c>
      <c r="D17" s="64">
        <v>33.409999999999997</v>
      </c>
      <c r="E17" s="64">
        <v>5.3</v>
      </c>
      <c r="F17" s="64">
        <v>2.13</v>
      </c>
      <c r="G17" s="64">
        <v>54.74</v>
      </c>
      <c r="H17" s="64">
        <v>21.47</v>
      </c>
      <c r="I17" s="210" t="s">
        <v>43</v>
      </c>
      <c r="J17" s="64">
        <v>0.41</v>
      </c>
      <c r="K17" s="64">
        <v>293.41000000000003</v>
      </c>
      <c r="L17" s="64">
        <v>17.57</v>
      </c>
      <c r="M17" s="64">
        <v>96.29</v>
      </c>
      <c r="N17" s="64">
        <v>75.900000000000006</v>
      </c>
      <c r="O17" s="64">
        <v>0</v>
      </c>
      <c r="P17" s="64">
        <v>0.65</v>
      </c>
      <c r="Q17" s="64">
        <v>8.2100000000000009</v>
      </c>
      <c r="R17" s="198"/>
      <c r="S17" s="198"/>
      <c r="T17" s="198"/>
      <c r="U17" s="198"/>
    </row>
    <row r="18" spans="1:21" s="12" customFormat="1" x14ac:dyDescent="0.25">
      <c r="A18" s="214" t="s">
        <v>3133</v>
      </c>
      <c r="B18" s="64">
        <v>12.43</v>
      </c>
      <c r="C18" s="64">
        <v>48.01</v>
      </c>
      <c r="D18" s="64">
        <v>33.68</v>
      </c>
      <c r="E18" s="64">
        <v>5</v>
      </c>
      <c r="F18" s="64">
        <v>2.13</v>
      </c>
      <c r="G18" s="64">
        <v>54.74</v>
      </c>
      <c r="H18" s="64">
        <v>21.47</v>
      </c>
      <c r="I18" s="210" t="s">
        <v>43</v>
      </c>
      <c r="J18" s="64">
        <v>0.78</v>
      </c>
      <c r="K18" s="64">
        <v>304.52999999999997</v>
      </c>
      <c r="L18" s="64">
        <v>17.47</v>
      </c>
      <c r="M18" s="64">
        <v>96.89</v>
      </c>
      <c r="N18" s="64">
        <v>76</v>
      </c>
      <c r="O18" s="64">
        <v>0</v>
      </c>
      <c r="P18" s="64">
        <v>0.6</v>
      </c>
      <c r="Q18" s="64">
        <v>8.2100000000000009</v>
      </c>
      <c r="R18" s="198"/>
      <c r="S18" s="198"/>
      <c r="T18" s="198"/>
      <c r="U18" s="198"/>
    </row>
    <row r="19" spans="1:21" s="12" customFormat="1" x14ac:dyDescent="0.25">
      <c r="A19" s="214" t="s">
        <v>3134</v>
      </c>
      <c r="B19" s="64">
        <v>12.27</v>
      </c>
      <c r="C19" s="64">
        <v>48.33</v>
      </c>
      <c r="D19" s="64">
        <v>33.71</v>
      </c>
      <c r="E19" s="64">
        <v>5.73</v>
      </c>
      <c r="F19" s="64">
        <v>2.13</v>
      </c>
      <c r="G19" s="64">
        <v>54.74</v>
      </c>
      <c r="H19" s="64">
        <v>21.47</v>
      </c>
      <c r="I19" s="210" t="s">
        <v>43</v>
      </c>
      <c r="J19" s="64">
        <v>0.08</v>
      </c>
      <c r="K19" s="64">
        <v>195.01</v>
      </c>
      <c r="L19" s="64">
        <v>17.239999999999998</v>
      </c>
      <c r="M19" s="64">
        <v>98.45</v>
      </c>
      <c r="N19" s="64">
        <v>76</v>
      </c>
      <c r="O19" s="64">
        <v>0</v>
      </c>
      <c r="P19" s="64">
        <v>0.59</v>
      </c>
      <c r="Q19" s="64">
        <v>8.2100000000000009</v>
      </c>
      <c r="R19" s="198"/>
      <c r="S19" s="198"/>
      <c r="T19" s="198"/>
      <c r="U19" s="198"/>
    </row>
    <row r="20" spans="1:21" s="12" customFormat="1" x14ac:dyDescent="0.25">
      <c r="A20" s="214" t="s">
        <v>3135</v>
      </c>
      <c r="B20" s="64">
        <v>12.33</v>
      </c>
      <c r="C20" s="64">
        <v>48.53</v>
      </c>
      <c r="D20" s="64">
        <v>33.869999999999997</v>
      </c>
      <c r="E20" s="64">
        <v>5.93</v>
      </c>
      <c r="F20" s="64">
        <v>2.13</v>
      </c>
      <c r="G20" s="64">
        <v>54.16</v>
      </c>
      <c r="H20" s="64">
        <v>21.34</v>
      </c>
      <c r="I20" s="210" t="s">
        <v>43</v>
      </c>
      <c r="J20" s="64">
        <v>0.74</v>
      </c>
      <c r="K20" s="64">
        <v>300.52</v>
      </c>
      <c r="L20" s="64">
        <v>17.11</v>
      </c>
      <c r="M20" s="64">
        <v>99.55</v>
      </c>
      <c r="N20" s="64">
        <v>76.099999999999994</v>
      </c>
      <c r="O20" s="64">
        <v>0</v>
      </c>
      <c r="P20" s="64">
        <v>0.56000000000000005</v>
      </c>
      <c r="Q20" s="64">
        <v>8.2100000000000009</v>
      </c>
      <c r="R20" s="198"/>
      <c r="S20" s="198"/>
      <c r="T20" s="198"/>
      <c r="U20" s="198"/>
    </row>
    <row r="21" spans="1:21" s="12" customFormat="1" x14ac:dyDescent="0.25">
      <c r="A21" s="214" t="s">
        <v>3136</v>
      </c>
      <c r="B21" s="64">
        <v>12.46</v>
      </c>
      <c r="C21" s="64">
        <v>48.42</v>
      </c>
      <c r="D21" s="64">
        <v>33.909999999999997</v>
      </c>
      <c r="E21" s="64">
        <v>5.8</v>
      </c>
      <c r="F21" s="64">
        <v>2.13</v>
      </c>
      <c r="G21" s="64">
        <v>53.47</v>
      </c>
      <c r="H21" s="64">
        <v>21.18</v>
      </c>
      <c r="I21" s="210" t="s">
        <v>43</v>
      </c>
      <c r="J21" s="64">
        <v>1.2</v>
      </c>
      <c r="K21" s="64">
        <v>305.43</v>
      </c>
      <c r="L21" s="64">
        <v>16.95</v>
      </c>
      <c r="M21" s="64">
        <v>100.21</v>
      </c>
      <c r="N21" s="64">
        <v>76</v>
      </c>
      <c r="O21" s="64">
        <v>0</v>
      </c>
      <c r="P21" s="64">
        <v>0.56000000000000005</v>
      </c>
      <c r="Q21" s="64">
        <v>8.2100000000000009</v>
      </c>
      <c r="R21" s="198"/>
      <c r="S21" s="198"/>
      <c r="T21" s="198"/>
      <c r="U21" s="198"/>
    </row>
    <row r="22" spans="1:21" s="12" customFormat="1" x14ac:dyDescent="0.25">
      <c r="A22" s="214" t="s">
        <v>3137</v>
      </c>
      <c r="B22" s="64">
        <v>12.5</v>
      </c>
      <c r="C22" s="64">
        <v>47.59</v>
      </c>
      <c r="D22" s="64">
        <v>33.51</v>
      </c>
      <c r="E22" s="64">
        <v>5.63</v>
      </c>
      <c r="F22" s="64">
        <v>2.13</v>
      </c>
      <c r="G22" s="64">
        <v>53.47</v>
      </c>
      <c r="H22" s="64">
        <v>21.18</v>
      </c>
      <c r="I22" s="210" t="s">
        <v>43</v>
      </c>
      <c r="J22" s="64">
        <v>1.52</v>
      </c>
      <c r="K22" s="64">
        <v>283.06</v>
      </c>
      <c r="L22" s="64">
        <v>16.850000000000001</v>
      </c>
      <c r="M22" s="64">
        <v>101.69</v>
      </c>
      <c r="N22" s="64">
        <v>75.900000000000006</v>
      </c>
      <c r="O22" s="64">
        <v>0</v>
      </c>
      <c r="P22" s="64">
        <v>0.56000000000000005</v>
      </c>
      <c r="Q22" s="64">
        <v>8.2100000000000009</v>
      </c>
      <c r="R22" s="198"/>
      <c r="S22" s="198"/>
      <c r="T22" s="198"/>
      <c r="U22" s="198"/>
    </row>
    <row r="23" spans="1:21" s="12" customFormat="1" x14ac:dyDescent="0.25">
      <c r="A23" s="214" t="s">
        <v>3138</v>
      </c>
      <c r="B23" s="64">
        <v>12.39</v>
      </c>
      <c r="C23" s="64">
        <v>47.86</v>
      </c>
      <c r="D23" s="64">
        <v>33.56</v>
      </c>
      <c r="E23" s="64">
        <v>5.47</v>
      </c>
      <c r="F23" s="64">
        <v>2.13</v>
      </c>
      <c r="G23" s="64">
        <v>53.47</v>
      </c>
      <c r="H23" s="64">
        <v>21.18</v>
      </c>
      <c r="I23" s="210" t="s">
        <v>43</v>
      </c>
      <c r="J23" s="64">
        <v>1.65</v>
      </c>
      <c r="K23" s="64">
        <v>277.12</v>
      </c>
      <c r="L23" s="64">
        <v>16.91</v>
      </c>
      <c r="M23" s="64">
        <v>101.71</v>
      </c>
      <c r="N23" s="64">
        <v>75.8</v>
      </c>
      <c r="O23" s="64">
        <v>0</v>
      </c>
      <c r="P23" s="64">
        <v>0.57999999999999996</v>
      </c>
      <c r="Q23" s="64">
        <v>8.2100000000000009</v>
      </c>
      <c r="R23" s="198"/>
      <c r="S23" s="198"/>
      <c r="T23" s="198"/>
      <c r="U23" s="198"/>
    </row>
    <row r="24" spans="1:21" s="12" customFormat="1" x14ac:dyDescent="0.25">
      <c r="A24" s="214" t="s">
        <v>3139</v>
      </c>
      <c r="B24" s="64">
        <v>12.26</v>
      </c>
      <c r="C24" s="64">
        <v>47.61</v>
      </c>
      <c r="D24" s="64">
        <v>33.33</v>
      </c>
      <c r="E24" s="64">
        <v>5.51</v>
      </c>
      <c r="F24" s="64">
        <v>2.13</v>
      </c>
      <c r="G24" s="64">
        <v>51.93</v>
      </c>
      <c r="H24" s="64">
        <v>20.69</v>
      </c>
      <c r="I24" s="210" t="s">
        <v>43</v>
      </c>
      <c r="J24" s="64">
        <v>1.61</v>
      </c>
      <c r="K24" s="64">
        <v>284.89999999999998</v>
      </c>
      <c r="L24" s="64">
        <v>16.88</v>
      </c>
      <c r="M24" s="64">
        <v>102.22</v>
      </c>
      <c r="N24" s="64">
        <v>75.900000000000006</v>
      </c>
      <c r="O24" s="64">
        <v>0</v>
      </c>
      <c r="P24" s="64">
        <v>0.56999999999999995</v>
      </c>
      <c r="Q24" s="64">
        <v>8.2100000000000009</v>
      </c>
      <c r="R24" s="198"/>
      <c r="S24" s="198"/>
      <c r="T24" s="198"/>
      <c r="U24" s="198"/>
    </row>
    <row r="25" spans="1:21" s="12" customFormat="1" x14ac:dyDescent="0.25">
      <c r="A25" s="214" t="s">
        <v>3140</v>
      </c>
      <c r="B25" s="64">
        <v>12.22</v>
      </c>
      <c r="C25" s="64">
        <v>48.68</v>
      </c>
      <c r="D25" s="64">
        <v>33.85</v>
      </c>
      <c r="E25" s="64">
        <v>5.7</v>
      </c>
      <c r="F25" s="64">
        <v>2.13</v>
      </c>
      <c r="G25" s="64">
        <v>50.1</v>
      </c>
      <c r="H25" s="64">
        <v>20.100000000000001</v>
      </c>
      <c r="I25" s="210" t="s">
        <v>43</v>
      </c>
      <c r="J25" s="64">
        <v>1.29</v>
      </c>
      <c r="K25" s="64">
        <v>295.74</v>
      </c>
      <c r="L25" s="64">
        <v>16.809999999999999</v>
      </c>
      <c r="M25" s="64">
        <v>102.64</v>
      </c>
      <c r="N25" s="64">
        <v>76</v>
      </c>
      <c r="O25" s="64">
        <v>0</v>
      </c>
      <c r="P25" s="64">
        <v>0.56000000000000005</v>
      </c>
      <c r="Q25" s="64">
        <v>8.2100000000000009</v>
      </c>
      <c r="R25" s="198"/>
      <c r="S25" s="198"/>
      <c r="T25" s="198"/>
      <c r="U25" s="198"/>
    </row>
    <row r="26" spans="1:21" s="12" customFormat="1" x14ac:dyDescent="0.25">
      <c r="A26" s="214" t="s">
        <v>3141</v>
      </c>
      <c r="B26" s="64">
        <v>12.3</v>
      </c>
      <c r="C26" s="64">
        <v>47.86</v>
      </c>
      <c r="D26" s="64">
        <v>33.49</v>
      </c>
      <c r="E26" s="64">
        <v>5.78</v>
      </c>
      <c r="F26" s="64">
        <v>2.13</v>
      </c>
      <c r="G26" s="64">
        <v>50.1</v>
      </c>
      <c r="H26" s="64">
        <v>20.100000000000001</v>
      </c>
      <c r="I26" s="210" t="s">
        <v>43</v>
      </c>
      <c r="J26" s="64">
        <v>1.6</v>
      </c>
      <c r="K26" s="64">
        <v>307.27999999999997</v>
      </c>
      <c r="L26" s="64">
        <v>16.63</v>
      </c>
      <c r="M26" s="64">
        <v>104.43</v>
      </c>
      <c r="N26" s="64">
        <v>76.3</v>
      </c>
      <c r="O26" s="64">
        <v>0</v>
      </c>
      <c r="P26" s="64">
        <v>0.56000000000000005</v>
      </c>
      <c r="Q26" s="64">
        <v>8.2100000000000009</v>
      </c>
      <c r="R26" s="198"/>
      <c r="S26" s="198"/>
      <c r="T26" s="198"/>
      <c r="U26" s="198"/>
    </row>
    <row r="27" spans="1:21" s="12" customFormat="1" x14ac:dyDescent="0.25">
      <c r="A27" s="214" t="s">
        <v>3142</v>
      </c>
      <c r="B27" s="64">
        <v>12.44</v>
      </c>
      <c r="C27" s="64">
        <v>48.29</v>
      </c>
      <c r="D27" s="64">
        <v>33.83</v>
      </c>
      <c r="E27" s="64">
        <v>5.81</v>
      </c>
      <c r="F27" s="64">
        <v>2.13</v>
      </c>
      <c r="G27" s="64">
        <v>50.1</v>
      </c>
      <c r="H27" s="64">
        <v>20.100000000000001</v>
      </c>
      <c r="I27" s="210" t="s">
        <v>43</v>
      </c>
      <c r="J27" s="64">
        <v>1.1499999999999999</v>
      </c>
      <c r="K27" s="64">
        <v>259.49</v>
      </c>
      <c r="L27" s="64">
        <v>16.420000000000002</v>
      </c>
      <c r="M27" s="64">
        <v>105.31</v>
      </c>
      <c r="N27" s="64">
        <v>76.3</v>
      </c>
      <c r="O27" s="64">
        <v>0</v>
      </c>
      <c r="P27" s="64">
        <v>0.56999999999999995</v>
      </c>
      <c r="Q27" s="64">
        <v>8.2100000000000009</v>
      </c>
      <c r="R27" s="198"/>
      <c r="S27" s="198"/>
      <c r="T27" s="198"/>
      <c r="U27" s="198"/>
    </row>
    <row r="28" spans="1:21" s="12" customFormat="1" x14ac:dyDescent="0.25">
      <c r="A28" s="214" t="s">
        <v>3143</v>
      </c>
      <c r="B28" s="64">
        <v>12.79</v>
      </c>
      <c r="C28" s="64">
        <v>48</v>
      </c>
      <c r="D28" s="64">
        <v>33.96</v>
      </c>
      <c r="E28" s="64">
        <v>5.76</v>
      </c>
      <c r="F28" s="64">
        <v>2.13</v>
      </c>
      <c r="G28" s="64">
        <v>49.29</v>
      </c>
      <c r="H28" s="64">
        <v>18.52</v>
      </c>
      <c r="I28" s="210" t="s">
        <v>43</v>
      </c>
      <c r="J28" s="64">
        <v>1.42</v>
      </c>
      <c r="K28" s="64">
        <v>231.22</v>
      </c>
      <c r="L28" s="64">
        <v>16.329999999999998</v>
      </c>
      <c r="M28" s="64">
        <v>105.42</v>
      </c>
      <c r="N28" s="64">
        <v>76</v>
      </c>
      <c r="O28" s="64">
        <v>0</v>
      </c>
      <c r="P28" s="64">
        <v>0.56999999999999995</v>
      </c>
      <c r="Q28" s="64">
        <v>8.2100000000000009</v>
      </c>
      <c r="R28" s="198"/>
      <c r="S28" s="198"/>
      <c r="T28" s="198"/>
      <c r="U28" s="198"/>
    </row>
    <row r="29" spans="1:21" s="12" customFormat="1" x14ac:dyDescent="0.25">
      <c r="A29" s="214" t="s">
        <v>3144</v>
      </c>
      <c r="B29" s="64">
        <v>13.39</v>
      </c>
      <c r="C29" s="64">
        <v>47.36</v>
      </c>
      <c r="D29" s="64">
        <v>34.11</v>
      </c>
      <c r="E29" s="64">
        <v>5.47</v>
      </c>
      <c r="F29" s="64">
        <v>2.13</v>
      </c>
      <c r="G29" s="64">
        <v>48.28</v>
      </c>
      <c r="H29" s="64">
        <v>16.64</v>
      </c>
      <c r="I29" s="210" t="s">
        <v>43</v>
      </c>
      <c r="J29" s="64">
        <v>1.57</v>
      </c>
      <c r="K29" s="64">
        <v>247.77</v>
      </c>
      <c r="L29" s="64">
        <v>16.309999999999999</v>
      </c>
      <c r="M29" s="64">
        <v>104.58</v>
      </c>
      <c r="N29" s="64">
        <v>76</v>
      </c>
      <c r="O29" s="64">
        <v>0</v>
      </c>
      <c r="P29" s="64">
        <v>0.56000000000000005</v>
      </c>
      <c r="Q29" s="64">
        <v>8.2100000000000009</v>
      </c>
      <c r="R29" s="198"/>
      <c r="S29" s="198"/>
      <c r="T29" s="198"/>
      <c r="U29" s="198"/>
    </row>
    <row r="30" spans="1:21" s="12" customFormat="1" x14ac:dyDescent="0.25">
      <c r="A30" s="214" t="s">
        <v>3145</v>
      </c>
      <c r="B30" s="64">
        <v>14.32</v>
      </c>
      <c r="C30" s="64">
        <v>48.08</v>
      </c>
      <c r="D30" s="64">
        <v>35.229999999999997</v>
      </c>
      <c r="E30" s="64">
        <v>5.9</v>
      </c>
      <c r="F30" s="64">
        <v>2.13</v>
      </c>
      <c r="G30" s="64">
        <v>48.28</v>
      </c>
      <c r="H30" s="64">
        <v>16.64</v>
      </c>
      <c r="I30" s="210" t="s">
        <v>43</v>
      </c>
      <c r="J30" s="64">
        <v>1.59</v>
      </c>
      <c r="K30" s="64">
        <v>274.77</v>
      </c>
      <c r="L30" s="64">
        <v>16.100000000000001</v>
      </c>
      <c r="M30" s="64">
        <v>103.94</v>
      </c>
      <c r="N30" s="64">
        <v>76.099999999999994</v>
      </c>
      <c r="O30" s="64">
        <v>0</v>
      </c>
      <c r="P30" s="64">
        <v>0.56000000000000005</v>
      </c>
      <c r="Q30" s="64">
        <v>8.2100000000000009</v>
      </c>
      <c r="R30" s="198"/>
      <c r="S30" s="198"/>
      <c r="T30" s="198"/>
      <c r="U30" s="198"/>
    </row>
    <row r="31" spans="1:21" s="12" customFormat="1" x14ac:dyDescent="0.25">
      <c r="A31" s="214" t="s">
        <v>3146</v>
      </c>
      <c r="B31" s="64">
        <v>15.34</v>
      </c>
      <c r="C31" s="64">
        <v>48.38</v>
      </c>
      <c r="D31" s="64">
        <v>36.200000000000003</v>
      </c>
      <c r="E31" s="64">
        <v>5.5</v>
      </c>
      <c r="F31" s="64">
        <v>2.13</v>
      </c>
      <c r="G31" s="64">
        <v>48.28</v>
      </c>
      <c r="H31" s="64">
        <v>16.64</v>
      </c>
      <c r="I31" s="210" t="s">
        <v>43</v>
      </c>
      <c r="J31" s="64">
        <v>1.6</v>
      </c>
      <c r="K31" s="64">
        <v>274.07</v>
      </c>
      <c r="L31" s="64">
        <v>15.9</v>
      </c>
      <c r="M31" s="64">
        <v>103.93</v>
      </c>
      <c r="N31" s="64">
        <v>76.2</v>
      </c>
      <c r="O31" s="64">
        <v>0</v>
      </c>
      <c r="P31" s="64">
        <v>0.56000000000000005</v>
      </c>
      <c r="Q31" s="64">
        <v>8.2100000000000009</v>
      </c>
      <c r="R31" s="198"/>
      <c r="S31" s="198"/>
      <c r="T31" s="198"/>
      <c r="U31" s="198"/>
    </row>
    <row r="32" spans="1:21" s="12" customFormat="1" x14ac:dyDescent="0.25">
      <c r="A32" s="214" t="s">
        <v>3147</v>
      </c>
      <c r="B32" s="64">
        <v>16.510000000000002</v>
      </c>
      <c r="C32" s="64">
        <v>50.03</v>
      </c>
      <c r="D32" s="64">
        <v>38</v>
      </c>
      <c r="E32" s="64">
        <v>5.56</v>
      </c>
      <c r="F32" s="64">
        <v>2.13</v>
      </c>
      <c r="G32" s="64">
        <v>50.34</v>
      </c>
      <c r="H32" s="64">
        <v>19.100000000000001</v>
      </c>
      <c r="I32" s="210" t="s">
        <v>43</v>
      </c>
      <c r="J32" s="64">
        <v>0.78</v>
      </c>
      <c r="K32" s="64">
        <v>213.18</v>
      </c>
      <c r="L32" s="64">
        <v>15.76</v>
      </c>
      <c r="M32" s="64">
        <v>103.97</v>
      </c>
      <c r="N32" s="64">
        <v>76</v>
      </c>
      <c r="O32" s="64">
        <v>0</v>
      </c>
      <c r="P32" s="64">
        <v>0.56999999999999995</v>
      </c>
      <c r="Q32" s="64">
        <v>8.2100000000000009</v>
      </c>
      <c r="R32" s="198"/>
      <c r="S32" s="198"/>
      <c r="T32" s="198"/>
      <c r="U32" s="198"/>
    </row>
    <row r="33" spans="1:21" s="12" customFormat="1" x14ac:dyDescent="0.25">
      <c r="A33" s="214" t="s">
        <v>3148</v>
      </c>
      <c r="B33" s="64">
        <v>18.03</v>
      </c>
      <c r="C33" s="64">
        <v>48.81</v>
      </c>
      <c r="D33" s="64">
        <v>38.58</v>
      </c>
      <c r="E33" s="64">
        <v>5.76</v>
      </c>
      <c r="F33" s="64">
        <v>2.13</v>
      </c>
      <c r="G33" s="64">
        <v>52.81</v>
      </c>
      <c r="H33" s="64">
        <v>22.05</v>
      </c>
      <c r="I33" s="210" t="s">
        <v>43</v>
      </c>
      <c r="J33" s="64">
        <v>1.1299999999999999</v>
      </c>
      <c r="K33" s="64">
        <v>306.44</v>
      </c>
      <c r="L33" s="64">
        <v>15.67</v>
      </c>
      <c r="M33" s="64">
        <v>104</v>
      </c>
      <c r="N33" s="64">
        <v>76.099999999999994</v>
      </c>
      <c r="O33" s="64">
        <v>0</v>
      </c>
      <c r="P33" s="64">
        <v>0.59</v>
      </c>
      <c r="Q33" s="64">
        <v>8.2100000000000009</v>
      </c>
      <c r="R33" s="198"/>
      <c r="S33" s="198"/>
      <c r="T33" s="198"/>
      <c r="U33" s="198"/>
    </row>
    <row r="34" spans="1:21" s="12" customFormat="1" x14ac:dyDescent="0.25">
      <c r="A34" s="214" t="s">
        <v>3149</v>
      </c>
      <c r="B34" s="64">
        <v>20.03</v>
      </c>
      <c r="C34" s="64">
        <v>46.73</v>
      </c>
      <c r="D34" s="64">
        <v>39.11</v>
      </c>
      <c r="E34" s="64">
        <v>5.86</v>
      </c>
      <c r="F34" s="64">
        <v>2.13</v>
      </c>
      <c r="G34" s="64">
        <v>52.81</v>
      </c>
      <c r="H34" s="64">
        <v>22.05</v>
      </c>
      <c r="I34" s="210" t="s">
        <v>43</v>
      </c>
      <c r="J34" s="64">
        <v>0.38</v>
      </c>
      <c r="K34" s="64">
        <v>339.84</v>
      </c>
      <c r="L34" s="64">
        <v>15.51</v>
      </c>
      <c r="M34" s="64">
        <v>104.07</v>
      </c>
      <c r="N34" s="64">
        <v>76.400000000000006</v>
      </c>
      <c r="O34" s="64">
        <v>0</v>
      </c>
      <c r="P34" s="64">
        <v>0.59</v>
      </c>
      <c r="Q34" s="64">
        <v>8.2100000000000009</v>
      </c>
      <c r="R34" s="198"/>
      <c r="S34" s="198"/>
      <c r="T34" s="198"/>
      <c r="U34" s="198"/>
    </row>
    <row r="35" spans="1:21" s="12" customFormat="1" x14ac:dyDescent="0.25">
      <c r="A35" s="214" t="s">
        <v>3150</v>
      </c>
      <c r="B35" s="64">
        <v>22.3</v>
      </c>
      <c r="C35" s="64">
        <v>47.42</v>
      </c>
      <c r="D35" s="64">
        <v>41.28</v>
      </c>
      <c r="E35" s="64">
        <v>5.5</v>
      </c>
      <c r="F35" s="64">
        <v>2.13</v>
      </c>
      <c r="G35" s="64">
        <v>52.81</v>
      </c>
      <c r="H35" s="64">
        <v>22.05</v>
      </c>
      <c r="I35" s="210" t="s">
        <v>43</v>
      </c>
      <c r="J35" s="64">
        <v>0.71</v>
      </c>
      <c r="K35" s="64">
        <v>192.17</v>
      </c>
      <c r="L35" s="64">
        <v>15.56</v>
      </c>
      <c r="M35" s="64">
        <v>104.12</v>
      </c>
      <c r="N35" s="64">
        <v>78.2</v>
      </c>
      <c r="O35" s="64">
        <v>0</v>
      </c>
      <c r="P35" s="64">
        <v>0.59</v>
      </c>
      <c r="Q35" s="64">
        <v>8.2100000000000009</v>
      </c>
      <c r="R35" s="198"/>
      <c r="S35" s="198"/>
      <c r="T35" s="198"/>
      <c r="U35" s="198"/>
    </row>
    <row r="36" spans="1:21" s="12" customFormat="1" x14ac:dyDescent="0.25">
      <c r="A36" s="214" t="s">
        <v>3151</v>
      </c>
      <c r="B36" s="64">
        <v>24.47</v>
      </c>
      <c r="C36" s="64">
        <v>48.26</v>
      </c>
      <c r="D36" s="64">
        <v>43.46</v>
      </c>
      <c r="E36" s="64">
        <v>5.61</v>
      </c>
      <c r="F36" s="64">
        <v>2.13</v>
      </c>
      <c r="G36" s="64">
        <v>55.37</v>
      </c>
      <c r="H36" s="64">
        <v>22.79</v>
      </c>
      <c r="I36" s="210" t="s">
        <v>43</v>
      </c>
      <c r="J36" s="64">
        <v>1.01</v>
      </c>
      <c r="K36" s="64">
        <v>260.38</v>
      </c>
      <c r="L36" s="64">
        <v>15.73</v>
      </c>
      <c r="M36" s="64">
        <v>104.2</v>
      </c>
      <c r="N36" s="64">
        <v>85.7</v>
      </c>
      <c r="O36" s="64">
        <v>0</v>
      </c>
      <c r="P36" s="64">
        <v>0.6</v>
      </c>
      <c r="Q36" s="64">
        <v>8.2100000000000009</v>
      </c>
      <c r="R36" s="198"/>
      <c r="S36" s="198"/>
      <c r="T36" s="198"/>
      <c r="U36" s="198"/>
    </row>
    <row r="37" spans="1:21" s="12" customFormat="1" x14ac:dyDescent="0.25">
      <c r="A37" s="214" t="s">
        <v>3152</v>
      </c>
      <c r="B37" s="64">
        <v>27.18</v>
      </c>
      <c r="C37" s="64">
        <v>47.78</v>
      </c>
      <c r="D37" s="64">
        <v>45.38</v>
      </c>
      <c r="E37" s="64">
        <v>5.79</v>
      </c>
      <c r="F37" s="64">
        <v>2.13</v>
      </c>
      <c r="G37" s="64">
        <v>58.44</v>
      </c>
      <c r="H37" s="64">
        <v>23.71</v>
      </c>
      <c r="I37" s="210" t="s">
        <v>43</v>
      </c>
      <c r="J37" s="64">
        <v>1.07</v>
      </c>
      <c r="K37" s="64">
        <v>263.77999999999997</v>
      </c>
      <c r="L37" s="64">
        <v>15.98</v>
      </c>
      <c r="M37" s="64">
        <v>104.22</v>
      </c>
      <c r="N37" s="64">
        <v>98.1</v>
      </c>
      <c r="O37" s="64">
        <v>0</v>
      </c>
      <c r="P37" s="64">
        <v>0.63</v>
      </c>
      <c r="Q37" s="64">
        <v>8.2100000000000009</v>
      </c>
      <c r="R37" s="198"/>
      <c r="S37" s="198"/>
      <c r="T37" s="198"/>
      <c r="U37" s="198"/>
    </row>
    <row r="38" spans="1:21" s="12" customFormat="1" x14ac:dyDescent="0.25">
      <c r="A38" s="214" t="s">
        <v>3153</v>
      </c>
      <c r="B38" s="64">
        <v>29.89</v>
      </c>
      <c r="C38" s="64">
        <v>48.12</v>
      </c>
      <c r="D38" s="64">
        <v>47.73</v>
      </c>
      <c r="E38" s="64">
        <v>6.16</v>
      </c>
      <c r="F38" s="64">
        <v>2.13</v>
      </c>
      <c r="G38" s="64">
        <v>58.44</v>
      </c>
      <c r="H38" s="64">
        <v>23.71</v>
      </c>
      <c r="I38" s="210" t="s">
        <v>43</v>
      </c>
      <c r="J38" s="64">
        <v>0.5</v>
      </c>
      <c r="K38" s="64">
        <v>353.15</v>
      </c>
      <c r="L38" s="64">
        <v>16.420000000000002</v>
      </c>
      <c r="M38" s="64">
        <v>104.17</v>
      </c>
      <c r="N38" s="64">
        <v>114.2</v>
      </c>
      <c r="O38" s="64">
        <v>0</v>
      </c>
      <c r="P38" s="64">
        <v>0.67</v>
      </c>
      <c r="Q38" s="64">
        <v>8.2100000000000009</v>
      </c>
      <c r="R38" s="198"/>
      <c r="S38" s="198"/>
      <c r="T38" s="198"/>
      <c r="U38" s="198"/>
    </row>
    <row r="39" spans="1:21" s="12" customFormat="1" x14ac:dyDescent="0.25">
      <c r="A39" s="214" t="s">
        <v>3154</v>
      </c>
      <c r="B39" s="64">
        <v>31.7</v>
      </c>
      <c r="C39" s="64">
        <v>47.58</v>
      </c>
      <c r="D39" s="64">
        <v>48.9</v>
      </c>
      <c r="E39" s="64">
        <v>6.12</v>
      </c>
      <c r="F39" s="64">
        <v>2.13</v>
      </c>
      <c r="G39" s="64">
        <v>58.44</v>
      </c>
      <c r="H39" s="64">
        <v>23.71</v>
      </c>
      <c r="I39" s="210" t="s">
        <v>43</v>
      </c>
      <c r="J39" s="64">
        <v>1.33</v>
      </c>
      <c r="K39" s="64">
        <v>173.74</v>
      </c>
      <c r="L39" s="64">
        <v>16.95</v>
      </c>
      <c r="M39" s="64">
        <v>103.51</v>
      </c>
      <c r="N39" s="64">
        <v>140</v>
      </c>
      <c r="O39" s="64">
        <v>0</v>
      </c>
      <c r="P39" s="64">
        <v>0.67</v>
      </c>
      <c r="Q39" s="64">
        <v>8.2100000000000009</v>
      </c>
      <c r="R39" s="198"/>
      <c r="S39" s="198"/>
      <c r="T39" s="198"/>
      <c r="U39" s="198"/>
    </row>
    <row r="40" spans="1:21" s="12" customFormat="1" x14ac:dyDescent="0.25">
      <c r="A40" s="214" t="s">
        <v>3155</v>
      </c>
      <c r="B40" s="64">
        <v>32.549999999999997</v>
      </c>
      <c r="C40" s="64">
        <v>48.28</v>
      </c>
      <c r="D40" s="64">
        <v>49.95</v>
      </c>
      <c r="E40" s="64">
        <v>4.51</v>
      </c>
      <c r="F40" s="64">
        <v>2.13</v>
      </c>
      <c r="G40" s="64">
        <v>62.88</v>
      </c>
      <c r="H40" s="64">
        <v>24.38</v>
      </c>
      <c r="I40" s="210" t="s">
        <v>43</v>
      </c>
      <c r="J40" s="64">
        <v>0.82</v>
      </c>
      <c r="K40" s="64">
        <v>183.53</v>
      </c>
      <c r="L40" s="64">
        <v>17.86</v>
      </c>
      <c r="M40" s="64">
        <v>98.71</v>
      </c>
      <c r="N40" s="64">
        <v>188.2</v>
      </c>
      <c r="O40" s="64">
        <v>0</v>
      </c>
      <c r="P40" s="64">
        <v>0.68</v>
      </c>
      <c r="Q40" s="64">
        <v>8.2100000000000009</v>
      </c>
      <c r="R40" s="198"/>
      <c r="S40" s="198"/>
      <c r="T40" s="198"/>
      <c r="U40" s="198"/>
    </row>
    <row r="41" spans="1:21" s="12" customFormat="1" x14ac:dyDescent="0.25">
      <c r="A41" s="214" t="s">
        <v>3156</v>
      </c>
      <c r="B41" s="64">
        <v>33.36</v>
      </c>
      <c r="C41" s="64">
        <v>51.81</v>
      </c>
      <c r="D41" s="64">
        <v>52.44</v>
      </c>
      <c r="E41" s="64">
        <v>5.48</v>
      </c>
      <c r="F41" s="64">
        <v>2.13</v>
      </c>
      <c r="G41" s="64">
        <v>68.19</v>
      </c>
      <c r="H41" s="64">
        <v>25.17</v>
      </c>
      <c r="I41" s="210" t="s">
        <v>43</v>
      </c>
      <c r="J41" s="64">
        <v>1.57</v>
      </c>
      <c r="K41" s="64">
        <v>354.52</v>
      </c>
      <c r="L41" s="64">
        <v>19.64</v>
      </c>
      <c r="M41" s="64">
        <v>89.45</v>
      </c>
      <c r="N41" s="64">
        <v>224.7</v>
      </c>
      <c r="O41" s="64">
        <v>0</v>
      </c>
      <c r="P41" s="64">
        <v>0.68</v>
      </c>
      <c r="Q41" s="64">
        <v>8.2100000000000009</v>
      </c>
      <c r="R41" s="198"/>
      <c r="S41" s="198"/>
      <c r="T41" s="198"/>
      <c r="U41" s="198"/>
    </row>
    <row r="42" spans="1:21" s="12" customFormat="1" x14ac:dyDescent="0.25">
      <c r="A42" s="214" t="s">
        <v>3157</v>
      </c>
      <c r="B42" s="64">
        <v>33.76</v>
      </c>
      <c r="C42" s="64">
        <v>51.68</v>
      </c>
      <c r="D42" s="64">
        <v>52.7</v>
      </c>
      <c r="E42" s="64">
        <v>5.59</v>
      </c>
      <c r="F42" s="64">
        <v>2.13</v>
      </c>
      <c r="G42" s="64">
        <v>68.19</v>
      </c>
      <c r="H42" s="64">
        <v>25.17</v>
      </c>
      <c r="I42" s="210" t="s">
        <v>43</v>
      </c>
      <c r="J42" s="64">
        <v>0.79</v>
      </c>
      <c r="K42" s="64">
        <v>313.42</v>
      </c>
      <c r="L42" s="64">
        <v>20.329999999999998</v>
      </c>
      <c r="M42" s="64">
        <v>85.56</v>
      </c>
      <c r="N42" s="64">
        <v>263.7</v>
      </c>
      <c r="O42" s="64">
        <v>0</v>
      </c>
      <c r="P42" s="64">
        <v>0.69</v>
      </c>
      <c r="Q42" s="64">
        <v>8.2100000000000009</v>
      </c>
      <c r="R42" s="198"/>
      <c r="S42" s="198"/>
      <c r="T42" s="198"/>
      <c r="U42" s="198"/>
    </row>
    <row r="43" spans="1:21" s="12" customFormat="1" x14ac:dyDescent="0.25">
      <c r="A43" s="214" t="s">
        <v>3158</v>
      </c>
      <c r="B43" s="64">
        <v>33.42</v>
      </c>
      <c r="C43" s="64">
        <v>51.71</v>
      </c>
      <c r="D43" s="64">
        <v>52.44</v>
      </c>
      <c r="E43" s="64">
        <v>5.43</v>
      </c>
      <c r="F43" s="64">
        <v>2.13</v>
      </c>
      <c r="G43" s="64">
        <v>68.19</v>
      </c>
      <c r="H43" s="64">
        <v>25.17</v>
      </c>
      <c r="I43" s="210" t="s">
        <v>43</v>
      </c>
      <c r="J43" s="64">
        <v>1.04</v>
      </c>
      <c r="K43" s="64">
        <v>297.2</v>
      </c>
      <c r="L43" s="64">
        <v>21.31</v>
      </c>
      <c r="M43" s="64">
        <v>81.16</v>
      </c>
      <c r="N43" s="64">
        <v>301</v>
      </c>
      <c r="O43" s="64">
        <v>0</v>
      </c>
      <c r="P43" s="64">
        <v>0.69</v>
      </c>
      <c r="Q43" s="64">
        <v>8.2100000000000009</v>
      </c>
      <c r="R43" s="198"/>
      <c r="S43" s="198"/>
      <c r="T43" s="198"/>
      <c r="U43" s="198"/>
    </row>
    <row r="44" spans="1:21" s="12" customFormat="1" x14ac:dyDescent="0.25">
      <c r="A44" s="214" t="s">
        <v>3159</v>
      </c>
      <c r="B44" s="64">
        <v>32.950000000000003</v>
      </c>
      <c r="C44" s="64">
        <v>50.65</v>
      </c>
      <c r="D44" s="64">
        <v>51.51</v>
      </c>
      <c r="E44" s="64">
        <v>5.1100000000000003</v>
      </c>
      <c r="F44" s="64">
        <v>2.13</v>
      </c>
      <c r="G44" s="64">
        <v>69.95</v>
      </c>
      <c r="H44" s="64">
        <v>25.06</v>
      </c>
      <c r="I44" s="210" t="s">
        <v>43</v>
      </c>
      <c r="J44" s="64">
        <v>1.21</v>
      </c>
      <c r="K44" s="64">
        <v>286</v>
      </c>
      <c r="L44" s="64">
        <v>22.54</v>
      </c>
      <c r="M44" s="64">
        <v>75.790000000000006</v>
      </c>
      <c r="N44" s="64">
        <v>335</v>
      </c>
      <c r="O44" s="64">
        <v>0</v>
      </c>
      <c r="P44" s="64">
        <v>0.69</v>
      </c>
      <c r="Q44" s="64">
        <v>8.2100000000000009</v>
      </c>
      <c r="R44" s="198"/>
      <c r="S44" s="198"/>
      <c r="T44" s="198"/>
      <c r="U44" s="198"/>
    </row>
    <row r="45" spans="1:21" s="12" customFormat="1" x14ac:dyDescent="0.25">
      <c r="A45" s="214" t="s">
        <v>3160</v>
      </c>
      <c r="B45" s="64">
        <v>32.159999999999997</v>
      </c>
      <c r="C45" s="64">
        <v>51.19</v>
      </c>
      <c r="D45" s="64">
        <v>51.16</v>
      </c>
      <c r="E45" s="64">
        <v>5.1100000000000003</v>
      </c>
      <c r="F45" s="64">
        <v>2.13</v>
      </c>
      <c r="G45" s="64">
        <v>72.040000000000006</v>
      </c>
      <c r="H45" s="64">
        <v>24.93</v>
      </c>
      <c r="I45" s="210" t="s">
        <v>43</v>
      </c>
      <c r="J45" s="64">
        <v>1.47</v>
      </c>
      <c r="K45" s="64">
        <v>281.66000000000003</v>
      </c>
      <c r="L45" s="64">
        <v>23.54</v>
      </c>
      <c r="M45" s="64">
        <v>71.39</v>
      </c>
      <c r="N45" s="64">
        <v>374.6</v>
      </c>
      <c r="O45" s="64">
        <v>0</v>
      </c>
      <c r="P45" s="64">
        <v>0.7</v>
      </c>
      <c r="Q45" s="64">
        <v>8.2100000000000009</v>
      </c>
      <c r="R45" s="198"/>
      <c r="S45" s="198"/>
      <c r="T45" s="198"/>
      <c r="U45" s="198"/>
    </row>
    <row r="46" spans="1:21" s="12" customFormat="1" x14ac:dyDescent="0.25">
      <c r="A46" s="214" t="s">
        <v>3161</v>
      </c>
      <c r="B46" s="64">
        <v>30.59</v>
      </c>
      <c r="C46" s="64">
        <v>52.09</v>
      </c>
      <c r="D46" s="64">
        <v>50.37</v>
      </c>
      <c r="E46" s="64">
        <v>5.2</v>
      </c>
      <c r="F46" s="64">
        <v>2.13</v>
      </c>
      <c r="G46" s="64">
        <v>72.040000000000006</v>
      </c>
      <c r="H46" s="64">
        <v>24.93</v>
      </c>
      <c r="I46" s="210" t="s">
        <v>43</v>
      </c>
      <c r="J46" s="64">
        <v>1.1100000000000001</v>
      </c>
      <c r="K46" s="64">
        <v>256.86</v>
      </c>
      <c r="L46" s="64">
        <v>22.6</v>
      </c>
      <c r="M46" s="64">
        <v>74.31</v>
      </c>
      <c r="N46" s="64">
        <v>409.9</v>
      </c>
      <c r="O46" s="64">
        <v>0</v>
      </c>
      <c r="P46" s="64">
        <v>0.7</v>
      </c>
      <c r="Q46" s="64">
        <v>8.2100000000000009</v>
      </c>
      <c r="R46" s="198"/>
      <c r="S46" s="198"/>
      <c r="T46" s="198"/>
      <c r="U46" s="198"/>
    </row>
    <row r="47" spans="1:21" s="12" customFormat="1" x14ac:dyDescent="0.25">
      <c r="A47" s="214" t="s">
        <v>3162</v>
      </c>
      <c r="B47" s="64">
        <v>28.46</v>
      </c>
      <c r="C47" s="64">
        <v>53.17</v>
      </c>
      <c r="D47" s="64">
        <v>49.22</v>
      </c>
      <c r="E47" s="64">
        <v>4.95</v>
      </c>
      <c r="F47" s="64">
        <v>2.13</v>
      </c>
      <c r="G47" s="64">
        <v>72.040000000000006</v>
      </c>
      <c r="H47" s="64">
        <v>24.93</v>
      </c>
      <c r="I47" s="210" t="s">
        <v>43</v>
      </c>
      <c r="J47" s="64">
        <v>1.42</v>
      </c>
      <c r="K47" s="64">
        <v>263.27999999999997</v>
      </c>
      <c r="L47" s="64">
        <v>23.24</v>
      </c>
      <c r="M47" s="64">
        <v>71.45</v>
      </c>
      <c r="N47" s="64">
        <v>431.2</v>
      </c>
      <c r="O47" s="64">
        <v>0</v>
      </c>
      <c r="P47" s="64">
        <v>0.69</v>
      </c>
      <c r="Q47" s="64">
        <v>8.2100000000000009</v>
      </c>
      <c r="R47" s="198"/>
      <c r="S47" s="198"/>
      <c r="T47" s="198"/>
      <c r="U47" s="198"/>
    </row>
    <row r="48" spans="1:21" s="12" customFormat="1" x14ac:dyDescent="0.25">
      <c r="A48" s="214" t="s">
        <v>3163</v>
      </c>
      <c r="B48" s="64">
        <v>26.34</v>
      </c>
      <c r="C48" s="64">
        <v>51.96</v>
      </c>
      <c r="D48" s="64">
        <v>46.89</v>
      </c>
      <c r="E48" s="64">
        <v>4.99</v>
      </c>
      <c r="F48" s="64">
        <v>2.13</v>
      </c>
      <c r="G48" s="64">
        <v>71.650000000000006</v>
      </c>
      <c r="H48" s="64">
        <v>24.6</v>
      </c>
      <c r="I48" s="210" t="s">
        <v>43</v>
      </c>
      <c r="J48" s="64">
        <v>1.68</v>
      </c>
      <c r="K48" s="64">
        <v>272.64999999999998</v>
      </c>
      <c r="L48" s="64">
        <v>24.68</v>
      </c>
      <c r="M48" s="64">
        <v>65.849999999999994</v>
      </c>
      <c r="N48" s="64">
        <v>455.1</v>
      </c>
      <c r="O48" s="64">
        <v>0</v>
      </c>
      <c r="P48" s="64">
        <v>0.69</v>
      </c>
      <c r="Q48" s="64">
        <v>8.2100000000000009</v>
      </c>
      <c r="R48" s="198"/>
      <c r="S48" s="198"/>
      <c r="T48" s="198"/>
      <c r="U48" s="198"/>
    </row>
    <row r="49" spans="1:21" s="12" customFormat="1" x14ac:dyDescent="0.25">
      <c r="A49" s="214" t="s">
        <v>3164</v>
      </c>
      <c r="B49" s="64">
        <v>24.3</v>
      </c>
      <c r="C49" s="64">
        <v>55.13</v>
      </c>
      <c r="D49" s="64">
        <v>46.91</v>
      </c>
      <c r="E49" s="64">
        <v>5.4</v>
      </c>
      <c r="F49" s="64">
        <v>2.13</v>
      </c>
      <c r="G49" s="64">
        <v>71.180000000000007</v>
      </c>
      <c r="H49" s="64">
        <v>24.22</v>
      </c>
      <c r="I49" s="210" t="s">
        <v>43</v>
      </c>
      <c r="J49" s="64">
        <v>0.97</v>
      </c>
      <c r="K49" s="64">
        <v>245.4</v>
      </c>
      <c r="L49" s="64">
        <v>24.6</v>
      </c>
      <c r="M49" s="64">
        <v>64.099999999999994</v>
      </c>
      <c r="N49" s="64">
        <v>488.5</v>
      </c>
      <c r="O49" s="64">
        <v>0</v>
      </c>
      <c r="P49" s="64">
        <v>0.68</v>
      </c>
      <c r="Q49" s="64">
        <v>8.2100000000000009</v>
      </c>
      <c r="R49" s="198"/>
      <c r="S49" s="198"/>
      <c r="T49" s="198"/>
      <c r="U49" s="198"/>
    </row>
    <row r="50" spans="1:21" s="12" customFormat="1" x14ac:dyDescent="0.25">
      <c r="A50" s="214" t="s">
        <v>3165</v>
      </c>
      <c r="B50" s="64">
        <v>22.1</v>
      </c>
      <c r="C50" s="64">
        <v>48.82</v>
      </c>
      <c r="D50" s="64">
        <v>41.85</v>
      </c>
      <c r="E50" s="64">
        <v>5.05</v>
      </c>
      <c r="F50" s="64">
        <v>2.13</v>
      </c>
      <c r="G50" s="64">
        <v>71.180000000000007</v>
      </c>
      <c r="H50" s="64">
        <v>24.22</v>
      </c>
      <c r="I50" s="210" t="s">
        <v>43</v>
      </c>
      <c r="J50" s="64">
        <v>0.49</v>
      </c>
      <c r="K50" s="64">
        <v>230.5</v>
      </c>
      <c r="L50" s="64">
        <v>23.6</v>
      </c>
      <c r="M50" s="64">
        <v>67.48</v>
      </c>
      <c r="N50" s="64">
        <v>509.3</v>
      </c>
      <c r="O50" s="64">
        <v>0</v>
      </c>
      <c r="P50" s="64">
        <v>0.67</v>
      </c>
      <c r="Q50" s="64">
        <v>8.2100000000000009</v>
      </c>
      <c r="R50" s="198"/>
      <c r="S50" s="198"/>
      <c r="T50" s="198"/>
      <c r="U50" s="198"/>
    </row>
    <row r="51" spans="1:21" s="12" customFormat="1" x14ac:dyDescent="0.25">
      <c r="A51" s="214" t="s">
        <v>3166</v>
      </c>
      <c r="B51" s="64">
        <v>20.22</v>
      </c>
      <c r="C51" s="64">
        <v>50.4</v>
      </c>
      <c r="D51" s="64">
        <v>41.17</v>
      </c>
      <c r="E51" s="64">
        <v>4.88</v>
      </c>
      <c r="F51" s="64">
        <v>2.13</v>
      </c>
      <c r="G51" s="64">
        <v>71.180000000000007</v>
      </c>
      <c r="H51" s="64">
        <v>24.22</v>
      </c>
      <c r="I51" s="210" t="s">
        <v>43</v>
      </c>
      <c r="J51" s="64">
        <v>1.1200000000000001</v>
      </c>
      <c r="K51" s="64">
        <v>271.83</v>
      </c>
      <c r="L51" s="64">
        <v>24.39</v>
      </c>
      <c r="M51" s="64">
        <v>62.63</v>
      </c>
      <c r="N51" s="64">
        <v>520.29999999999995</v>
      </c>
      <c r="O51" s="64">
        <v>0</v>
      </c>
      <c r="P51" s="64">
        <v>0.67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3167</v>
      </c>
      <c r="B52" s="64">
        <v>18.09</v>
      </c>
      <c r="C52" s="64">
        <v>53.49</v>
      </c>
      <c r="D52" s="64">
        <v>41.07</v>
      </c>
      <c r="E52" s="64">
        <v>5.47</v>
      </c>
      <c r="F52" s="64">
        <v>2.13</v>
      </c>
      <c r="G52" s="64">
        <v>68.75</v>
      </c>
      <c r="H52" s="64">
        <v>24.91</v>
      </c>
      <c r="I52" s="210" t="s">
        <v>43</v>
      </c>
      <c r="J52" s="64">
        <v>1.33</v>
      </c>
      <c r="K52" s="64">
        <v>271.31</v>
      </c>
      <c r="L52" s="64">
        <v>25.34</v>
      </c>
      <c r="M52" s="64">
        <v>58.85</v>
      </c>
      <c r="N52" s="64">
        <v>532</v>
      </c>
      <c r="O52" s="64">
        <v>0</v>
      </c>
      <c r="P52" s="64">
        <v>0.67</v>
      </c>
      <c r="Q52" s="64">
        <v>8.2100000000000009</v>
      </c>
      <c r="R52" s="198"/>
      <c r="S52" s="198"/>
      <c r="T52" s="198"/>
      <c r="U52" s="198"/>
    </row>
    <row r="53" spans="1:21" s="12" customFormat="1" x14ac:dyDescent="0.25">
      <c r="A53" s="214" t="s">
        <v>3168</v>
      </c>
      <c r="B53" s="64">
        <v>15.89</v>
      </c>
      <c r="C53" s="64">
        <v>55.51</v>
      </c>
      <c r="D53" s="64">
        <v>40.369999999999997</v>
      </c>
      <c r="E53" s="64">
        <v>5.34</v>
      </c>
      <c r="F53" s="64">
        <v>2.13</v>
      </c>
      <c r="G53" s="64">
        <v>65.83</v>
      </c>
      <c r="H53" s="64">
        <v>25.74</v>
      </c>
      <c r="I53" s="210" t="s">
        <v>43</v>
      </c>
      <c r="J53" s="64">
        <v>1.42</v>
      </c>
      <c r="K53" s="64">
        <v>271.25</v>
      </c>
      <c r="L53" s="64">
        <v>26.57</v>
      </c>
      <c r="M53" s="64">
        <v>54.3</v>
      </c>
      <c r="N53" s="64">
        <v>541.70000000000005</v>
      </c>
      <c r="O53" s="64">
        <v>0</v>
      </c>
      <c r="P53" s="64">
        <v>0.67</v>
      </c>
      <c r="Q53" s="64">
        <v>8.2100000000000009</v>
      </c>
      <c r="R53" s="198"/>
      <c r="S53" s="198"/>
      <c r="T53" s="198"/>
      <c r="U53" s="198"/>
    </row>
    <row r="54" spans="1:21" s="12" customFormat="1" x14ac:dyDescent="0.25">
      <c r="A54" s="214" t="s">
        <v>3169</v>
      </c>
      <c r="B54" s="64">
        <v>14.17</v>
      </c>
      <c r="C54" s="64">
        <v>56.51</v>
      </c>
      <c r="D54" s="64">
        <v>39.51</v>
      </c>
      <c r="E54" s="64">
        <v>5.45</v>
      </c>
      <c r="F54" s="64">
        <v>2.13</v>
      </c>
      <c r="G54" s="64">
        <v>65.83</v>
      </c>
      <c r="H54" s="64">
        <v>25.74</v>
      </c>
      <c r="I54" s="210" t="s">
        <v>43</v>
      </c>
      <c r="J54" s="64">
        <v>1.45</v>
      </c>
      <c r="K54" s="64">
        <v>282.01</v>
      </c>
      <c r="L54" s="64">
        <v>27.58</v>
      </c>
      <c r="M54" s="64">
        <v>49.52</v>
      </c>
      <c r="N54" s="64">
        <v>556.29999999999995</v>
      </c>
      <c r="O54" s="64">
        <v>0</v>
      </c>
      <c r="P54" s="64">
        <v>0.66</v>
      </c>
      <c r="Q54" s="64">
        <v>8.2100000000000009</v>
      </c>
      <c r="R54" s="198"/>
      <c r="S54" s="198"/>
      <c r="T54" s="198"/>
      <c r="U54" s="198"/>
    </row>
    <row r="55" spans="1:21" s="12" customFormat="1" x14ac:dyDescent="0.25">
      <c r="A55" s="214" t="s">
        <v>3170</v>
      </c>
      <c r="B55" s="64">
        <v>12.26</v>
      </c>
      <c r="C55" s="64">
        <v>57.51</v>
      </c>
      <c r="D55" s="64">
        <v>38.51</v>
      </c>
      <c r="E55" s="64">
        <v>5.58</v>
      </c>
      <c r="F55" s="64">
        <v>2.13</v>
      </c>
      <c r="G55" s="64">
        <v>65.83</v>
      </c>
      <c r="H55" s="64">
        <v>25.74</v>
      </c>
      <c r="I55" s="210" t="s">
        <v>43</v>
      </c>
      <c r="J55" s="64">
        <v>1.26</v>
      </c>
      <c r="K55" s="64">
        <v>276.8</v>
      </c>
      <c r="L55" s="64">
        <v>27.48</v>
      </c>
      <c r="M55" s="64">
        <v>49.59</v>
      </c>
      <c r="N55" s="64">
        <v>555.29999999999995</v>
      </c>
      <c r="O55" s="64">
        <v>0</v>
      </c>
      <c r="P55" s="64">
        <v>0.66</v>
      </c>
      <c r="Q55" s="64">
        <v>8.2100000000000009</v>
      </c>
      <c r="R55" s="198"/>
      <c r="S55" s="198"/>
      <c r="T55" s="198"/>
      <c r="U55" s="198"/>
    </row>
    <row r="56" spans="1:21" s="12" customFormat="1" x14ac:dyDescent="0.25">
      <c r="A56" s="214" t="s">
        <v>3171</v>
      </c>
      <c r="B56" s="64">
        <v>10.24</v>
      </c>
      <c r="C56" s="64">
        <v>57.99</v>
      </c>
      <c r="D56" s="64">
        <v>37.130000000000003</v>
      </c>
      <c r="E56" s="64">
        <v>5.72</v>
      </c>
      <c r="F56" s="64">
        <v>2.13</v>
      </c>
      <c r="G56" s="64">
        <v>64.38</v>
      </c>
      <c r="H56" s="64">
        <v>24.56</v>
      </c>
      <c r="I56" s="210" t="s">
        <v>43</v>
      </c>
      <c r="J56" s="64">
        <v>1.44</v>
      </c>
      <c r="K56" s="64">
        <v>277.93</v>
      </c>
      <c r="L56" s="64">
        <v>27.13</v>
      </c>
      <c r="M56" s="64">
        <v>49.9</v>
      </c>
      <c r="N56" s="64">
        <v>555.20000000000005</v>
      </c>
      <c r="O56" s="64">
        <v>0</v>
      </c>
      <c r="P56" s="64">
        <v>0.64</v>
      </c>
      <c r="Q56" s="64">
        <v>8.2100000000000009</v>
      </c>
      <c r="R56" s="198"/>
      <c r="S56" s="198"/>
      <c r="T56" s="198"/>
      <c r="U56" s="198"/>
    </row>
    <row r="57" spans="1:21" s="12" customFormat="1" x14ac:dyDescent="0.25">
      <c r="A57" s="214" t="s">
        <v>3172</v>
      </c>
      <c r="B57" s="64">
        <v>8.4499999999999993</v>
      </c>
      <c r="C57" s="64">
        <v>59.37</v>
      </c>
      <c r="D57" s="64">
        <v>36.42</v>
      </c>
      <c r="E57" s="64">
        <v>5.59</v>
      </c>
      <c r="F57" s="64">
        <v>2.13</v>
      </c>
      <c r="G57" s="64">
        <v>62.65</v>
      </c>
      <c r="H57" s="64">
        <v>23.14</v>
      </c>
      <c r="I57" s="210" t="s">
        <v>43</v>
      </c>
      <c r="J57" s="64">
        <v>1.29</v>
      </c>
      <c r="K57" s="64">
        <v>287.31</v>
      </c>
      <c r="L57" s="64">
        <v>28.22</v>
      </c>
      <c r="M57" s="64">
        <v>46.59</v>
      </c>
      <c r="N57" s="64">
        <v>551</v>
      </c>
      <c r="O57" s="64">
        <v>0</v>
      </c>
      <c r="P57" s="64">
        <v>0.63</v>
      </c>
      <c r="Q57" s="64">
        <v>8.2100000000000009</v>
      </c>
      <c r="R57" s="198"/>
      <c r="S57" s="198"/>
      <c r="T57" s="198"/>
      <c r="U57" s="198"/>
    </row>
    <row r="58" spans="1:21" s="12" customFormat="1" x14ac:dyDescent="0.25">
      <c r="A58" s="214" t="s">
        <v>3173</v>
      </c>
      <c r="B58" s="64">
        <v>7.54</v>
      </c>
      <c r="C58" s="64">
        <v>63.38</v>
      </c>
      <c r="D58" s="64">
        <v>0</v>
      </c>
      <c r="E58" s="64">
        <v>0</v>
      </c>
      <c r="F58" s="64">
        <v>2.13</v>
      </c>
      <c r="G58" s="64">
        <v>62.65</v>
      </c>
      <c r="H58" s="64">
        <v>23.14</v>
      </c>
      <c r="I58" s="210" t="s">
        <v>43</v>
      </c>
      <c r="J58" s="64">
        <v>1.22</v>
      </c>
      <c r="K58" s="64">
        <v>272.69</v>
      </c>
      <c r="L58" s="64">
        <v>27.7</v>
      </c>
      <c r="M58" s="64">
        <v>46.63</v>
      </c>
      <c r="N58" s="64">
        <v>537.29999999999995</v>
      </c>
      <c r="O58" s="64">
        <v>0</v>
      </c>
      <c r="P58" s="64">
        <v>0.63</v>
      </c>
      <c r="Q58" s="64">
        <v>0</v>
      </c>
      <c r="R58" s="198"/>
      <c r="S58" s="198"/>
      <c r="T58" s="198"/>
      <c r="U58" s="198"/>
    </row>
    <row r="59" spans="1:21" s="12" customFormat="1" x14ac:dyDescent="0.25">
      <c r="A59" s="214" t="s">
        <v>3174</v>
      </c>
      <c r="B59" s="64">
        <v>4.75</v>
      </c>
      <c r="C59" s="64">
        <v>49.83</v>
      </c>
      <c r="D59" s="64">
        <v>28.47</v>
      </c>
      <c r="E59" s="64">
        <v>6.12</v>
      </c>
      <c r="F59" s="64">
        <v>3.34</v>
      </c>
      <c r="G59" s="64">
        <v>62.65</v>
      </c>
      <c r="H59" s="64">
        <v>23.14</v>
      </c>
      <c r="I59" s="210" t="s">
        <v>43</v>
      </c>
      <c r="J59" s="64">
        <v>1.46</v>
      </c>
      <c r="K59" s="64">
        <v>264.57</v>
      </c>
      <c r="L59" s="64">
        <v>27.1</v>
      </c>
      <c r="M59" s="64">
        <v>49.3</v>
      </c>
      <c r="N59" s="64">
        <v>541.6</v>
      </c>
      <c r="O59" s="64">
        <v>0</v>
      </c>
      <c r="P59" s="64">
        <v>0.56000000000000005</v>
      </c>
      <c r="Q59" s="64">
        <v>0</v>
      </c>
      <c r="R59" s="198"/>
      <c r="S59" s="198"/>
      <c r="T59" s="198"/>
      <c r="U59" s="198"/>
    </row>
    <row r="60" spans="1:21" s="12" customFormat="1" x14ac:dyDescent="0.25">
      <c r="A60" s="214" t="s">
        <v>3175</v>
      </c>
      <c r="B60" s="64">
        <v>4.37</v>
      </c>
      <c r="C60" s="64">
        <v>50.07</v>
      </c>
      <c r="D60" s="64">
        <v>28.29</v>
      </c>
      <c r="E60" s="64">
        <v>4.55</v>
      </c>
      <c r="F60" s="64">
        <v>2.19</v>
      </c>
      <c r="G60" s="64">
        <v>55.9</v>
      </c>
      <c r="H60" s="64">
        <v>22.25</v>
      </c>
      <c r="I60" s="210" t="s">
        <v>43</v>
      </c>
      <c r="J60" s="64">
        <v>1.76</v>
      </c>
      <c r="K60" s="64">
        <v>270.75</v>
      </c>
      <c r="L60" s="64">
        <v>29.35</v>
      </c>
      <c r="M60" s="64">
        <v>43.05</v>
      </c>
      <c r="N60" s="64">
        <v>529</v>
      </c>
      <c r="O60" s="64">
        <v>0</v>
      </c>
      <c r="P60" s="64">
        <v>0.56000000000000005</v>
      </c>
      <c r="Q60" s="64">
        <v>8.39</v>
      </c>
      <c r="R60" s="198"/>
      <c r="S60" s="198"/>
      <c r="T60" s="198"/>
      <c r="U60" s="198"/>
    </row>
    <row r="61" spans="1:21" s="12" customFormat="1" x14ac:dyDescent="0.25">
      <c r="A61" s="214" t="s">
        <v>3176</v>
      </c>
      <c r="B61" s="64">
        <v>4.13</v>
      </c>
      <c r="C61" s="64">
        <v>59.84</v>
      </c>
      <c r="D61" s="64">
        <v>33.19</v>
      </c>
      <c r="E61" s="64">
        <v>3.76</v>
      </c>
      <c r="F61" s="64">
        <v>2.13</v>
      </c>
      <c r="G61" s="64">
        <v>47.84</v>
      </c>
      <c r="H61" s="64">
        <v>21.18</v>
      </c>
      <c r="I61" s="210" t="s">
        <v>43</v>
      </c>
      <c r="J61" s="64">
        <v>1.1299999999999999</v>
      </c>
      <c r="K61" s="64">
        <v>270.01</v>
      </c>
      <c r="L61" s="64">
        <v>29.06</v>
      </c>
      <c r="M61" s="64">
        <v>43.44</v>
      </c>
      <c r="N61" s="64">
        <v>519.9</v>
      </c>
      <c r="O61" s="64">
        <v>0</v>
      </c>
      <c r="P61" s="64">
        <v>0.57999999999999996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4" t="s">
        <v>3177</v>
      </c>
      <c r="B62" s="64">
        <v>3.96</v>
      </c>
      <c r="C62" s="64">
        <v>50.94</v>
      </c>
      <c r="D62" s="64">
        <v>28.41</v>
      </c>
      <c r="E62" s="64">
        <v>3.64</v>
      </c>
      <c r="F62" s="64">
        <v>2.13</v>
      </c>
      <c r="G62" s="64">
        <v>47.84</v>
      </c>
      <c r="H62" s="64">
        <v>21.18</v>
      </c>
      <c r="I62" s="210" t="s">
        <v>43</v>
      </c>
      <c r="J62" s="64">
        <v>1.39</v>
      </c>
      <c r="K62" s="64">
        <v>272.63</v>
      </c>
      <c r="L62" s="64">
        <v>27.65</v>
      </c>
      <c r="M62" s="64">
        <v>46.25</v>
      </c>
      <c r="N62" s="64">
        <v>494</v>
      </c>
      <c r="O62" s="64">
        <v>0</v>
      </c>
      <c r="P62" s="64">
        <v>0.59</v>
      </c>
      <c r="Q62" s="64">
        <v>9.2899999999999991</v>
      </c>
      <c r="R62" s="198"/>
      <c r="S62" s="198"/>
      <c r="T62" s="198"/>
      <c r="U62" s="198"/>
    </row>
    <row r="63" spans="1:21" s="12" customFormat="1" x14ac:dyDescent="0.25">
      <c r="A63" s="214" t="s">
        <v>3178</v>
      </c>
      <c r="B63" s="64">
        <v>3.61</v>
      </c>
      <c r="C63" s="64">
        <v>55.65</v>
      </c>
      <c r="D63" s="64">
        <v>30.6</v>
      </c>
      <c r="E63" s="64">
        <v>3.68</v>
      </c>
      <c r="F63" s="64">
        <v>2.13</v>
      </c>
      <c r="G63" s="64">
        <v>47.84</v>
      </c>
      <c r="H63" s="64">
        <v>21.18</v>
      </c>
      <c r="I63" s="210" t="s">
        <v>43</v>
      </c>
      <c r="J63" s="64">
        <v>4.6900000000000004</v>
      </c>
      <c r="K63" s="64">
        <v>214.39</v>
      </c>
      <c r="L63" s="64">
        <v>29.08</v>
      </c>
      <c r="M63" s="64">
        <v>42.81</v>
      </c>
      <c r="N63" s="64">
        <v>407.2</v>
      </c>
      <c r="O63" s="64">
        <v>0</v>
      </c>
      <c r="P63" s="64">
        <v>0.59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4" t="s">
        <v>3179</v>
      </c>
      <c r="B64" s="64">
        <v>3.51</v>
      </c>
      <c r="C64" s="64">
        <v>54.89</v>
      </c>
      <c r="D64" s="64">
        <v>30.11</v>
      </c>
      <c r="E64" s="64">
        <v>3.27</v>
      </c>
      <c r="F64" s="64">
        <v>2.13</v>
      </c>
      <c r="G64" s="64">
        <v>54.73</v>
      </c>
      <c r="H64" s="64">
        <v>21.37</v>
      </c>
      <c r="I64" s="210" t="s">
        <v>43</v>
      </c>
      <c r="J64" s="64">
        <v>3.75</v>
      </c>
      <c r="K64" s="64">
        <v>208.37</v>
      </c>
      <c r="L64" s="64">
        <v>28.78</v>
      </c>
      <c r="M64" s="64">
        <v>42.93</v>
      </c>
      <c r="N64" s="64">
        <v>463.2</v>
      </c>
      <c r="O64" s="64">
        <v>0</v>
      </c>
      <c r="P64" s="64">
        <v>0.57999999999999996</v>
      </c>
      <c r="Q64" s="64">
        <v>9.2899999999999991</v>
      </c>
      <c r="R64" s="198"/>
      <c r="S64" s="198"/>
      <c r="T64" s="198"/>
      <c r="U64" s="198"/>
    </row>
    <row r="65" spans="1:21" s="12" customFormat="1" x14ac:dyDescent="0.25">
      <c r="A65" s="214" t="s">
        <v>3180</v>
      </c>
      <c r="B65" s="64">
        <v>3.26</v>
      </c>
      <c r="C65" s="64">
        <v>50.58</v>
      </c>
      <c r="D65" s="64">
        <v>27.66</v>
      </c>
      <c r="E65" s="64">
        <v>3.25</v>
      </c>
      <c r="F65" s="64">
        <v>2.13</v>
      </c>
      <c r="G65" s="64">
        <v>62.98</v>
      </c>
      <c r="H65" s="64">
        <v>21.6</v>
      </c>
      <c r="I65" s="210" t="s">
        <v>43</v>
      </c>
      <c r="J65" s="64">
        <v>1.8</v>
      </c>
      <c r="K65" s="64">
        <v>232.06</v>
      </c>
      <c r="L65" s="64">
        <v>27.66</v>
      </c>
      <c r="M65" s="64">
        <v>46.98</v>
      </c>
      <c r="N65" s="64">
        <v>435.3</v>
      </c>
      <c r="O65" s="64">
        <v>0</v>
      </c>
      <c r="P65" s="64">
        <v>0.56999999999999995</v>
      </c>
      <c r="Q65" s="64">
        <v>9.25</v>
      </c>
      <c r="R65" s="198"/>
      <c r="S65" s="198"/>
      <c r="T65" s="198"/>
      <c r="U65" s="198"/>
    </row>
    <row r="66" spans="1:21" s="12" customFormat="1" x14ac:dyDescent="0.25">
      <c r="A66" s="214" t="s">
        <v>3181</v>
      </c>
      <c r="B66" s="64">
        <v>3.2</v>
      </c>
      <c r="C66" s="64">
        <v>56.01</v>
      </c>
      <c r="D66" s="64">
        <v>30.45</v>
      </c>
      <c r="E66" s="64">
        <v>3.47</v>
      </c>
      <c r="F66" s="64">
        <v>2.13</v>
      </c>
      <c r="G66" s="64">
        <v>62.98</v>
      </c>
      <c r="H66" s="64">
        <v>21.6</v>
      </c>
      <c r="I66" s="210" t="s">
        <v>43</v>
      </c>
      <c r="J66" s="64">
        <v>2.58</v>
      </c>
      <c r="K66" s="64">
        <v>217.15</v>
      </c>
      <c r="L66" s="64">
        <v>28.9</v>
      </c>
      <c r="M66" s="64">
        <v>44.26</v>
      </c>
      <c r="N66" s="64">
        <v>268.10000000000002</v>
      </c>
      <c r="O66" s="64">
        <v>0</v>
      </c>
      <c r="P66" s="64">
        <v>0.56000000000000005</v>
      </c>
      <c r="Q66" s="64">
        <v>9.25</v>
      </c>
      <c r="R66" s="198"/>
      <c r="S66" s="198"/>
      <c r="T66" s="198"/>
      <c r="U66" s="198"/>
    </row>
    <row r="67" spans="1:21" s="12" customFormat="1" x14ac:dyDescent="0.25">
      <c r="A67" s="214" t="s">
        <v>3182</v>
      </c>
      <c r="B67" s="64">
        <v>3.45</v>
      </c>
      <c r="C67" s="64">
        <v>48.77</v>
      </c>
      <c r="D67" s="64">
        <v>26.87</v>
      </c>
      <c r="E67" s="64">
        <v>3.25</v>
      </c>
      <c r="F67" s="64">
        <v>2.13</v>
      </c>
      <c r="G67" s="64">
        <v>62.98</v>
      </c>
      <c r="H67" s="64">
        <v>21.6</v>
      </c>
      <c r="I67" s="210" t="s">
        <v>43</v>
      </c>
      <c r="J67" s="64">
        <v>1.28</v>
      </c>
      <c r="K67" s="64">
        <v>231.49</v>
      </c>
      <c r="L67" s="64">
        <v>28.11</v>
      </c>
      <c r="M67" s="64">
        <v>46.34</v>
      </c>
      <c r="N67" s="64">
        <v>238.7</v>
      </c>
      <c r="O67" s="64">
        <v>0</v>
      </c>
      <c r="P67" s="64">
        <v>0.56000000000000005</v>
      </c>
      <c r="Q67" s="64">
        <v>9.23</v>
      </c>
      <c r="R67" s="198"/>
      <c r="S67" s="198"/>
      <c r="T67" s="198"/>
      <c r="U67" s="198"/>
    </row>
    <row r="68" spans="1:21" s="12" customFormat="1" x14ac:dyDescent="0.25">
      <c r="A68" s="214" t="s">
        <v>3183</v>
      </c>
      <c r="B68" s="64">
        <v>3.46</v>
      </c>
      <c r="C68" s="64">
        <v>52.64</v>
      </c>
      <c r="D68" s="64">
        <v>28.9</v>
      </c>
      <c r="E68" s="64">
        <v>3.26</v>
      </c>
      <c r="F68" s="64">
        <v>2.2400000000000002</v>
      </c>
      <c r="G68" s="64">
        <v>61.49</v>
      </c>
      <c r="H68" s="64">
        <v>21.95</v>
      </c>
      <c r="I68" s="210" t="s">
        <v>43</v>
      </c>
      <c r="J68" s="64">
        <v>0.71</v>
      </c>
      <c r="K68" s="64">
        <v>229.73</v>
      </c>
      <c r="L68" s="64">
        <v>26.74</v>
      </c>
      <c r="M68" s="64">
        <v>48.72</v>
      </c>
      <c r="N68" s="64">
        <v>208.2</v>
      </c>
      <c r="O68" s="64">
        <v>0</v>
      </c>
      <c r="P68" s="64">
        <v>0.55000000000000004</v>
      </c>
      <c r="Q68" s="64">
        <v>9.2200000000000006</v>
      </c>
      <c r="R68" s="198"/>
      <c r="S68" s="198"/>
      <c r="T68" s="198"/>
      <c r="U68" s="198"/>
    </row>
    <row r="69" spans="1:21" s="12" customFormat="1" x14ac:dyDescent="0.25">
      <c r="A69" s="214" t="s">
        <v>3184</v>
      </c>
      <c r="B69" s="64">
        <v>3.34</v>
      </c>
      <c r="C69" s="64">
        <v>50.9</v>
      </c>
      <c r="D69" s="64">
        <v>27.9</v>
      </c>
      <c r="E69" s="64">
        <v>3.11</v>
      </c>
      <c r="F69" s="64">
        <v>2.14</v>
      </c>
      <c r="G69" s="64">
        <v>59.71</v>
      </c>
      <c r="H69" s="64">
        <v>22.38</v>
      </c>
      <c r="I69" s="210" t="s">
        <v>43</v>
      </c>
      <c r="J69" s="64">
        <v>1.07</v>
      </c>
      <c r="K69" s="64">
        <v>313.3</v>
      </c>
      <c r="L69" s="64">
        <v>27.41</v>
      </c>
      <c r="M69" s="64">
        <v>47</v>
      </c>
      <c r="N69" s="64">
        <v>267.89999999999998</v>
      </c>
      <c r="O69" s="64">
        <v>0</v>
      </c>
      <c r="P69" s="64">
        <v>0.56999999999999995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4" t="s">
        <v>3185</v>
      </c>
      <c r="B70" s="64">
        <v>3.72</v>
      </c>
      <c r="C70" s="64">
        <v>52.12</v>
      </c>
      <c r="D70" s="64">
        <v>28.84</v>
      </c>
      <c r="E70" s="64">
        <v>2.88</v>
      </c>
      <c r="F70" s="64">
        <v>2.2400000000000002</v>
      </c>
      <c r="G70" s="64">
        <v>59.71</v>
      </c>
      <c r="H70" s="64">
        <v>22.38</v>
      </c>
      <c r="I70" s="210" t="s">
        <v>43</v>
      </c>
      <c r="J70" s="64">
        <v>0.88</v>
      </c>
      <c r="K70" s="64">
        <v>286.83</v>
      </c>
      <c r="L70" s="64">
        <v>27.06</v>
      </c>
      <c r="M70" s="64">
        <v>47.09</v>
      </c>
      <c r="N70" s="64">
        <v>198</v>
      </c>
      <c r="O70" s="64">
        <v>0</v>
      </c>
      <c r="P70" s="64">
        <v>0.55000000000000004</v>
      </c>
      <c r="Q70" s="64">
        <v>9.23</v>
      </c>
      <c r="R70" s="198"/>
      <c r="S70" s="198"/>
      <c r="T70" s="198"/>
      <c r="U70" s="198"/>
    </row>
    <row r="71" spans="1:21" s="12" customFormat="1" x14ac:dyDescent="0.25">
      <c r="A71" s="214" t="s">
        <v>3186</v>
      </c>
      <c r="B71" s="64">
        <v>3.96</v>
      </c>
      <c r="C71" s="64">
        <v>52.9</v>
      </c>
      <c r="D71" s="64">
        <v>29.44</v>
      </c>
      <c r="E71" s="64">
        <v>3.46</v>
      </c>
      <c r="F71" s="64">
        <v>2.14</v>
      </c>
      <c r="G71" s="64">
        <v>59.71</v>
      </c>
      <c r="H71" s="64">
        <v>22.38</v>
      </c>
      <c r="I71" s="210" t="s">
        <v>43</v>
      </c>
      <c r="J71" s="64">
        <v>0.61</v>
      </c>
      <c r="K71" s="64">
        <v>297.73</v>
      </c>
      <c r="L71" s="64">
        <v>27.28</v>
      </c>
      <c r="M71" s="64">
        <v>46.72</v>
      </c>
      <c r="N71" s="64">
        <v>154.6</v>
      </c>
      <c r="O71" s="64">
        <v>0</v>
      </c>
      <c r="P71" s="64">
        <v>0.56000000000000005</v>
      </c>
      <c r="Q71" s="64">
        <v>9.23</v>
      </c>
      <c r="R71" s="198"/>
      <c r="S71" s="198"/>
      <c r="T71" s="198"/>
      <c r="U71" s="198"/>
    </row>
    <row r="72" spans="1:21" s="12" customFormat="1" x14ac:dyDescent="0.25">
      <c r="A72" s="214" t="s">
        <v>3187</v>
      </c>
      <c r="B72" s="64">
        <v>4.18</v>
      </c>
      <c r="C72" s="64">
        <v>53.26</v>
      </c>
      <c r="D72" s="64">
        <v>29.81</v>
      </c>
      <c r="E72" s="64">
        <v>5.86</v>
      </c>
      <c r="F72" s="64">
        <v>2.16</v>
      </c>
      <c r="G72" s="64">
        <v>59.1</v>
      </c>
      <c r="H72" s="64">
        <v>22.32</v>
      </c>
      <c r="I72" s="210" t="s">
        <v>43</v>
      </c>
      <c r="J72" s="64">
        <v>0.67</v>
      </c>
      <c r="K72" s="64">
        <v>279.02999999999997</v>
      </c>
      <c r="L72" s="64">
        <v>26.88</v>
      </c>
      <c r="M72" s="64">
        <v>47.4</v>
      </c>
      <c r="N72" s="64">
        <v>144.30000000000001</v>
      </c>
      <c r="O72" s="64">
        <v>0</v>
      </c>
      <c r="P72" s="64">
        <v>0.56000000000000005</v>
      </c>
      <c r="Q72" s="64">
        <v>9.24</v>
      </c>
      <c r="R72" s="198"/>
      <c r="S72" s="198"/>
      <c r="T72" s="198"/>
      <c r="U72" s="198"/>
    </row>
    <row r="73" spans="1:21" s="12" customFormat="1" x14ac:dyDescent="0.25">
      <c r="A73" s="214" t="s">
        <v>3188</v>
      </c>
      <c r="B73" s="64">
        <v>4.24</v>
      </c>
      <c r="C73" s="64">
        <v>53.12</v>
      </c>
      <c r="D73" s="64">
        <v>29.78</v>
      </c>
      <c r="E73" s="64">
        <v>6.48</v>
      </c>
      <c r="F73" s="64">
        <v>2.13</v>
      </c>
      <c r="G73" s="64">
        <v>58.37</v>
      </c>
      <c r="H73" s="64">
        <v>22.25</v>
      </c>
      <c r="I73" s="210" t="s">
        <v>43</v>
      </c>
      <c r="J73" s="64">
        <v>0.55000000000000004</v>
      </c>
      <c r="K73" s="64">
        <v>273.32</v>
      </c>
      <c r="L73" s="64">
        <v>26.55</v>
      </c>
      <c r="M73" s="64">
        <v>47.63</v>
      </c>
      <c r="N73" s="64">
        <v>134.69999999999999</v>
      </c>
      <c r="O73" s="64">
        <v>0</v>
      </c>
      <c r="P73" s="64">
        <v>0.56999999999999995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4" t="s">
        <v>3189</v>
      </c>
      <c r="B74" s="64">
        <v>4.4800000000000004</v>
      </c>
      <c r="C74" s="64">
        <v>52.43</v>
      </c>
      <c r="D74" s="64">
        <v>29.61</v>
      </c>
      <c r="E74" s="64">
        <v>6.69</v>
      </c>
      <c r="F74" s="64">
        <v>2.13</v>
      </c>
      <c r="G74" s="64">
        <v>58.37</v>
      </c>
      <c r="H74" s="64">
        <v>22.25</v>
      </c>
      <c r="I74" s="210" t="s">
        <v>43</v>
      </c>
      <c r="J74" s="64">
        <v>0.86</v>
      </c>
      <c r="K74" s="64">
        <v>306.19</v>
      </c>
      <c r="L74" s="64">
        <v>26.55</v>
      </c>
      <c r="M74" s="64">
        <v>47.14</v>
      </c>
      <c r="N74" s="64">
        <v>126.6</v>
      </c>
      <c r="O74" s="64">
        <v>0</v>
      </c>
      <c r="P74" s="64">
        <v>0.57999999999999996</v>
      </c>
      <c r="Q74" s="64">
        <v>9.24</v>
      </c>
      <c r="R74" s="198"/>
      <c r="S74" s="198"/>
      <c r="T74" s="198"/>
      <c r="U74" s="198"/>
    </row>
    <row r="75" spans="1:21" s="12" customFormat="1" x14ac:dyDescent="0.25">
      <c r="A75" s="214" t="s">
        <v>3190</v>
      </c>
      <c r="B75" s="64">
        <v>5.0599999999999996</v>
      </c>
      <c r="C75" s="64">
        <v>52.98</v>
      </c>
      <c r="D75" s="64">
        <v>30.36</v>
      </c>
      <c r="E75" s="64">
        <v>6.99</v>
      </c>
      <c r="F75" s="64">
        <v>2.13</v>
      </c>
      <c r="G75" s="64">
        <v>58.37</v>
      </c>
      <c r="H75" s="64">
        <v>22.25</v>
      </c>
      <c r="I75" s="210" t="s">
        <v>43</v>
      </c>
      <c r="J75" s="64">
        <v>0.43</v>
      </c>
      <c r="K75" s="64">
        <v>292.38</v>
      </c>
      <c r="L75" s="64">
        <v>26.24</v>
      </c>
      <c r="M75" s="64">
        <v>46.99</v>
      </c>
      <c r="N75" s="64">
        <v>116.7</v>
      </c>
      <c r="O75" s="64">
        <v>0</v>
      </c>
      <c r="P75" s="64">
        <v>0.57999999999999996</v>
      </c>
      <c r="Q75" s="64">
        <v>9.27</v>
      </c>
      <c r="R75" s="198"/>
      <c r="S75" s="198"/>
      <c r="T75" s="198"/>
      <c r="U75" s="198"/>
    </row>
    <row r="76" spans="1:21" s="12" customFormat="1" x14ac:dyDescent="0.25">
      <c r="A76" s="214" t="s">
        <v>3191</v>
      </c>
      <c r="B76" s="64">
        <v>5.25</v>
      </c>
      <c r="C76" s="64">
        <v>53.92</v>
      </c>
      <c r="D76" s="64">
        <v>31</v>
      </c>
      <c r="E76" s="64">
        <v>6.61</v>
      </c>
      <c r="F76" s="64">
        <v>2.13</v>
      </c>
      <c r="G76" s="64">
        <v>57.51</v>
      </c>
      <c r="H76" s="64">
        <v>21.48</v>
      </c>
      <c r="I76" s="210" t="s">
        <v>43</v>
      </c>
      <c r="J76" s="64">
        <v>0.61</v>
      </c>
      <c r="K76" s="64">
        <v>281.70999999999998</v>
      </c>
      <c r="L76" s="64">
        <v>25.98</v>
      </c>
      <c r="M76" s="64">
        <v>47.79</v>
      </c>
      <c r="N76" s="64">
        <v>108.5</v>
      </c>
      <c r="O76" s="64">
        <v>0</v>
      </c>
      <c r="P76" s="64">
        <v>0.57999999999999996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14" t="s">
        <v>3192</v>
      </c>
      <c r="B77" s="64">
        <v>5.36</v>
      </c>
      <c r="C77" s="64">
        <v>54.36</v>
      </c>
      <c r="D77" s="64">
        <v>31.32</v>
      </c>
      <c r="E77" s="64">
        <v>6.77</v>
      </c>
      <c r="F77" s="64">
        <v>2.13</v>
      </c>
      <c r="G77" s="64">
        <v>56.48</v>
      </c>
      <c r="H77" s="64">
        <v>20.55</v>
      </c>
      <c r="I77" s="210" t="s">
        <v>43</v>
      </c>
      <c r="J77" s="64">
        <v>0.45</v>
      </c>
      <c r="K77" s="64">
        <v>276.69</v>
      </c>
      <c r="L77" s="64">
        <v>25.63</v>
      </c>
      <c r="M77" s="64">
        <v>48.08</v>
      </c>
      <c r="N77" s="64">
        <v>99.4</v>
      </c>
      <c r="O77" s="64">
        <v>0</v>
      </c>
      <c r="P77" s="64">
        <v>0.59</v>
      </c>
      <c r="Q77" s="64">
        <v>9.25</v>
      </c>
      <c r="R77" s="198"/>
      <c r="S77" s="198"/>
      <c r="T77" s="198"/>
      <c r="U77" s="198"/>
    </row>
    <row r="78" spans="1:21" s="12" customFormat="1" x14ac:dyDescent="0.25">
      <c r="A78" s="214" t="s">
        <v>3193</v>
      </c>
      <c r="B78" s="64">
        <v>6.09</v>
      </c>
      <c r="C78" s="64">
        <v>55.98</v>
      </c>
      <c r="D78" s="64">
        <v>32.76</v>
      </c>
      <c r="E78" s="64">
        <v>6.52</v>
      </c>
      <c r="F78" s="64">
        <v>2.13</v>
      </c>
      <c r="G78" s="64">
        <v>56.48</v>
      </c>
      <c r="H78" s="64">
        <v>20.55</v>
      </c>
      <c r="I78" s="210" t="s">
        <v>43</v>
      </c>
      <c r="J78" s="64">
        <v>0.49</v>
      </c>
      <c r="K78" s="64">
        <v>281.08999999999997</v>
      </c>
      <c r="L78" s="64">
        <v>25.28</v>
      </c>
      <c r="M78" s="64">
        <v>48.99</v>
      </c>
      <c r="N78" s="64">
        <v>91.3</v>
      </c>
      <c r="O78" s="64">
        <v>0</v>
      </c>
      <c r="P78" s="64">
        <v>0.61</v>
      </c>
      <c r="Q78" s="64">
        <v>9.3000000000000007</v>
      </c>
      <c r="R78" s="198"/>
      <c r="S78" s="198"/>
      <c r="T78" s="198"/>
      <c r="U78" s="198"/>
    </row>
    <row r="79" spans="1:21" s="12" customFormat="1" x14ac:dyDescent="0.25">
      <c r="A79" s="214" t="s">
        <v>3194</v>
      </c>
      <c r="B79" s="64">
        <v>6.69</v>
      </c>
      <c r="C79" s="64">
        <v>56.8</v>
      </c>
      <c r="D79" s="64">
        <v>33.659999999999997</v>
      </c>
      <c r="E79" s="64">
        <v>6.45</v>
      </c>
      <c r="F79" s="64">
        <v>2.13</v>
      </c>
      <c r="G79" s="64">
        <v>56.48</v>
      </c>
      <c r="H79" s="64">
        <v>20.55</v>
      </c>
      <c r="I79" s="210" t="s">
        <v>43</v>
      </c>
      <c r="J79" s="64">
        <v>0.25</v>
      </c>
      <c r="K79" s="64">
        <v>303.60000000000002</v>
      </c>
      <c r="L79" s="64">
        <v>24.77</v>
      </c>
      <c r="M79" s="64">
        <v>50.23</v>
      </c>
      <c r="N79" s="64">
        <v>84.2</v>
      </c>
      <c r="O79" s="64">
        <v>0</v>
      </c>
      <c r="P79" s="64">
        <v>0.63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4" t="s">
        <v>3195</v>
      </c>
      <c r="B80" s="64">
        <v>8.3699999999999992</v>
      </c>
      <c r="C80" s="64">
        <v>56.78</v>
      </c>
      <c r="D80" s="64">
        <v>35</v>
      </c>
      <c r="E80" s="64">
        <v>6.37</v>
      </c>
      <c r="F80" s="64">
        <v>2.13</v>
      </c>
      <c r="G80" s="64">
        <v>58.8</v>
      </c>
      <c r="H80" s="64">
        <v>22.03</v>
      </c>
      <c r="I80" s="210" t="s">
        <v>43</v>
      </c>
      <c r="J80" s="64">
        <v>0.27</v>
      </c>
      <c r="K80" s="64">
        <v>249.81</v>
      </c>
      <c r="L80" s="64">
        <v>24.27</v>
      </c>
      <c r="M80" s="64">
        <v>52.04</v>
      </c>
      <c r="N80" s="64">
        <v>80.3</v>
      </c>
      <c r="O80" s="64">
        <v>0</v>
      </c>
      <c r="P80" s="64">
        <v>0.68</v>
      </c>
      <c r="Q80" s="64">
        <v>9.4499999999999993</v>
      </c>
      <c r="R80" s="198"/>
      <c r="S80" s="198"/>
      <c r="T80" s="198"/>
      <c r="U80" s="198"/>
    </row>
    <row r="81" spans="1:26" s="12" customFormat="1" x14ac:dyDescent="0.25">
      <c r="A81" s="214" t="s">
        <v>3196</v>
      </c>
      <c r="B81" s="64">
        <v>9.65</v>
      </c>
      <c r="C81" s="64">
        <v>58.74</v>
      </c>
      <c r="D81" s="64">
        <v>37.049999999999997</v>
      </c>
      <c r="E81" s="64">
        <v>6.37</v>
      </c>
      <c r="F81" s="64">
        <v>2.13</v>
      </c>
      <c r="G81" s="64">
        <v>61.71</v>
      </c>
      <c r="H81" s="64">
        <v>23.8</v>
      </c>
      <c r="I81" s="210" t="s">
        <v>43</v>
      </c>
      <c r="J81" s="64">
        <v>0.1</v>
      </c>
      <c r="K81" s="64">
        <v>214.94</v>
      </c>
      <c r="L81" s="64">
        <v>23.86</v>
      </c>
      <c r="M81" s="64">
        <v>53.14</v>
      </c>
      <c r="N81" s="64">
        <v>79.099999999999994</v>
      </c>
      <c r="O81" s="64">
        <v>0</v>
      </c>
      <c r="P81" s="64">
        <v>0.8</v>
      </c>
      <c r="Q81" s="64">
        <v>9.49</v>
      </c>
      <c r="R81" s="198"/>
      <c r="S81" s="198"/>
      <c r="T81" s="198"/>
      <c r="U81" s="198"/>
    </row>
    <row r="82" spans="1:26" s="12" customFormat="1" x14ac:dyDescent="0.25">
      <c r="A82" s="214" t="s">
        <v>3197</v>
      </c>
      <c r="B82" s="64">
        <v>10.23</v>
      </c>
      <c r="C82" s="64">
        <v>59.34</v>
      </c>
      <c r="D82" s="64">
        <v>37.83</v>
      </c>
      <c r="E82" s="64">
        <v>6.28</v>
      </c>
      <c r="F82" s="64">
        <v>2.13</v>
      </c>
      <c r="G82" s="64">
        <v>61.71</v>
      </c>
      <c r="H82" s="64">
        <v>23.8</v>
      </c>
      <c r="I82" s="210" t="s">
        <v>43</v>
      </c>
      <c r="J82" s="64">
        <v>0.54</v>
      </c>
      <c r="K82" s="64">
        <v>226.37</v>
      </c>
      <c r="L82" s="64">
        <v>23.66</v>
      </c>
      <c r="M82" s="64">
        <v>53.44</v>
      </c>
      <c r="N82" s="64">
        <v>78.8</v>
      </c>
      <c r="O82" s="64">
        <v>0</v>
      </c>
      <c r="P82" s="64">
        <v>0.75</v>
      </c>
      <c r="Q82" s="64">
        <v>9.49</v>
      </c>
      <c r="R82" s="198"/>
      <c r="S82" s="198"/>
      <c r="T82" s="198"/>
      <c r="U82" s="198"/>
    </row>
    <row r="83" spans="1:26" s="12" customFormat="1" x14ac:dyDescent="0.25">
      <c r="A83" s="214" t="s">
        <v>3198</v>
      </c>
      <c r="B83" s="64">
        <v>10.039999999999999</v>
      </c>
      <c r="C83" s="64">
        <v>57.01</v>
      </c>
      <c r="D83" s="64">
        <v>36.46</v>
      </c>
      <c r="E83" s="64">
        <v>6.1</v>
      </c>
      <c r="F83" s="64">
        <v>2.13</v>
      </c>
      <c r="G83" s="64">
        <v>61.71</v>
      </c>
      <c r="H83" s="64">
        <v>23.8</v>
      </c>
      <c r="I83" s="210" t="s">
        <v>43</v>
      </c>
      <c r="J83" s="64">
        <v>0.44</v>
      </c>
      <c r="K83" s="64">
        <v>264.93</v>
      </c>
      <c r="L83" s="64">
        <v>23.27</v>
      </c>
      <c r="M83" s="64">
        <v>54.86</v>
      </c>
      <c r="N83" s="64">
        <v>79</v>
      </c>
      <c r="O83" s="64">
        <v>0</v>
      </c>
      <c r="P83" s="64">
        <v>0.76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4" t="s">
        <v>3199</v>
      </c>
      <c r="B84" s="64">
        <v>9.98</v>
      </c>
      <c r="C84" s="64">
        <v>61.59</v>
      </c>
      <c r="D84" s="64">
        <v>38.81</v>
      </c>
      <c r="E84" s="64">
        <v>6.17</v>
      </c>
      <c r="F84" s="64">
        <v>2.13</v>
      </c>
      <c r="G84" s="64">
        <v>62.09</v>
      </c>
      <c r="H84" s="64">
        <v>23.28</v>
      </c>
      <c r="I84" s="210" t="s">
        <v>43</v>
      </c>
      <c r="J84" s="64">
        <v>0.56999999999999995</v>
      </c>
      <c r="K84" s="64">
        <v>262.39999999999998</v>
      </c>
      <c r="L84" s="64">
        <v>22.97</v>
      </c>
      <c r="M84" s="64">
        <v>55.99</v>
      </c>
      <c r="N84" s="64">
        <v>79</v>
      </c>
      <c r="O84" s="64">
        <v>0</v>
      </c>
      <c r="P84" s="64">
        <v>0.86</v>
      </c>
      <c r="Q84" s="64">
        <v>9.5</v>
      </c>
      <c r="R84" s="198"/>
      <c r="S84" s="198"/>
      <c r="T84" s="198"/>
      <c r="U84" s="198"/>
    </row>
    <row r="85" spans="1:26" s="12" customFormat="1" x14ac:dyDescent="0.25">
      <c r="A85" s="214" t="s">
        <v>3200</v>
      </c>
      <c r="B85" s="64">
        <v>10.55</v>
      </c>
      <c r="C85" s="64">
        <v>59.5</v>
      </c>
      <c r="D85" s="64">
        <v>38.17</v>
      </c>
      <c r="E85" s="64">
        <v>6.27</v>
      </c>
      <c r="F85" s="64">
        <v>2.13</v>
      </c>
      <c r="G85" s="64">
        <v>62.55</v>
      </c>
      <c r="H85" s="64">
        <v>22.65</v>
      </c>
      <c r="I85" s="210" t="s">
        <v>43</v>
      </c>
      <c r="J85" s="64">
        <v>0.52</v>
      </c>
      <c r="K85" s="64">
        <v>297.52</v>
      </c>
      <c r="L85" s="64">
        <v>22.52</v>
      </c>
      <c r="M85" s="64">
        <v>57.56</v>
      </c>
      <c r="N85" s="64">
        <v>79</v>
      </c>
      <c r="O85" s="64">
        <v>0</v>
      </c>
      <c r="P85" s="64">
        <v>1.07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4" t="s">
        <v>3201</v>
      </c>
      <c r="B86" s="64">
        <v>11.71</v>
      </c>
      <c r="C86" s="64">
        <v>57.23</v>
      </c>
      <c r="D86" s="64">
        <v>37.909999999999997</v>
      </c>
      <c r="E86" s="64">
        <v>6.14</v>
      </c>
      <c r="F86" s="64">
        <v>2.13</v>
      </c>
      <c r="G86" s="64">
        <v>62.55</v>
      </c>
      <c r="H86" s="64">
        <v>22.65</v>
      </c>
      <c r="I86" s="210" t="s">
        <v>43</v>
      </c>
      <c r="J86" s="64">
        <v>0.62</v>
      </c>
      <c r="K86" s="64">
        <v>275.39</v>
      </c>
      <c r="L86" s="64">
        <v>22.33</v>
      </c>
      <c r="M86" s="64">
        <v>58.54</v>
      </c>
      <c r="N86" s="64">
        <v>78.900000000000006</v>
      </c>
      <c r="O86" s="64">
        <v>0</v>
      </c>
      <c r="P86" s="64">
        <v>1.2</v>
      </c>
      <c r="Q86" s="64">
        <v>9.5</v>
      </c>
      <c r="R86" s="198"/>
      <c r="S86" s="198"/>
      <c r="T86" s="198"/>
      <c r="U86" s="198"/>
    </row>
    <row r="87" spans="1:26" s="12" customFormat="1" x14ac:dyDescent="0.25">
      <c r="A87" s="214" t="s">
        <v>3202</v>
      </c>
      <c r="B87" s="64">
        <v>13.1</v>
      </c>
      <c r="C87" s="64">
        <v>59.06</v>
      </c>
      <c r="D87" s="64">
        <v>39.979999999999997</v>
      </c>
      <c r="E87" s="64">
        <v>6.5</v>
      </c>
      <c r="F87" s="64">
        <v>2.13</v>
      </c>
      <c r="G87" s="64">
        <v>62.55</v>
      </c>
      <c r="H87" s="64">
        <v>22.65</v>
      </c>
      <c r="I87" s="210" t="s">
        <v>43</v>
      </c>
      <c r="J87" s="64">
        <v>0.55000000000000004</v>
      </c>
      <c r="K87" s="64">
        <v>275.76</v>
      </c>
      <c r="L87" s="64">
        <v>22.07</v>
      </c>
      <c r="M87" s="64">
        <v>58.97</v>
      </c>
      <c r="N87" s="64">
        <v>79</v>
      </c>
      <c r="O87" s="64">
        <v>0</v>
      </c>
      <c r="P87" s="64">
        <v>0.96</v>
      </c>
      <c r="Q87" s="64">
        <v>9.49</v>
      </c>
      <c r="R87" s="198"/>
      <c r="S87" s="198"/>
      <c r="T87" s="198"/>
      <c r="U87" s="198"/>
    </row>
    <row r="88" spans="1:26" s="12" customFormat="1" x14ac:dyDescent="0.25">
      <c r="A88" s="214" t="s">
        <v>3203</v>
      </c>
      <c r="B88" s="64">
        <v>14.17</v>
      </c>
      <c r="C88" s="64">
        <v>60.11</v>
      </c>
      <c r="D88" s="64">
        <v>41.39</v>
      </c>
      <c r="E88" s="64">
        <v>6.42</v>
      </c>
      <c r="F88" s="64">
        <v>2.13</v>
      </c>
      <c r="G88" s="64">
        <v>67.959999999999994</v>
      </c>
      <c r="H88" s="64">
        <v>24.16</v>
      </c>
      <c r="I88" s="210" t="s">
        <v>43</v>
      </c>
      <c r="J88" s="64">
        <v>0.59</v>
      </c>
      <c r="K88" s="64">
        <v>291.27</v>
      </c>
      <c r="L88" s="64">
        <v>21.84</v>
      </c>
      <c r="M88" s="64">
        <v>61.37</v>
      </c>
      <c r="N88" s="64">
        <v>79</v>
      </c>
      <c r="O88" s="64">
        <v>0</v>
      </c>
      <c r="P88" s="64">
        <v>1.47</v>
      </c>
      <c r="Q88" s="64">
        <v>9.48</v>
      </c>
      <c r="R88" s="198"/>
      <c r="S88" s="198"/>
      <c r="T88" s="198"/>
      <c r="U88" s="198"/>
    </row>
    <row r="89" spans="1:26" s="12" customFormat="1" x14ac:dyDescent="0.25">
      <c r="A89" s="214" t="s">
        <v>3204</v>
      </c>
      <c r="B89" s="64">
        <v>16.09</v>
      </c>
      <c r="C89" s="64">
        <v>59.99</v>
      </c>
      <c r="D89" s="64">
        <v>42.87</v>
      </c>
      <c r="E89" s="64">
        <v>6.26</v>
      </c>
      <c r="F89" s="64">
        <v>2.13</v>
      </c>
      <c r="G89" s="64">
        <v>74.430000000000007</v>
      </c>
      <c r="H89" s="64">
        <v>25.96</v>
      </c>
      <c r="I89" s="210" t="s">
        <v>43</v>
      </c>
      <c r="J89" s="64">
        <v>0.55000000000000004</v>
      </c>
      <c r="K89" s="64">
        <v>304.89</v>
      </c>
      <c r="L89" s="64">
        <v>21.35</v>
      </c>
      <c r="M89" s="64">
        <v>65.069999999999993</v>
      </c>
      <c r="N89" s="64">
        <v>79</v>
      </c>
      <c r="O89" s="64">
        <v>0</v>
      </c>
      <c r="P89" s="64">
        <v>1.38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4" t="s">
        <v>3205</v>
      </c>
      <c r="B90" s="64">
        <v>18.57</v>
      </c>
      <c r="C90" s="64">
        <v>59.16</v>
      </c>
      <c r="D90" s="64">
        <v>44.42</v>
      </c>
      <c r="E90" s="64">
        <v>6.84</v>
      </c>
      <c r="F90" s="64">
        <v>2.13</v>
      </c>
      <c r="G90" s="64">
        <v>74.430000000000007</v>
      </c>
      <c r="H90" s="64">
        <v>25.96</v>
      </c>
      <c r="I90" s="210" t="s">
        <v>43</v>
      </c>
      <c r="J90" s="64">
        <v>0.17</v>
      </c>
      <c r="K90" s="64">
        <v>24.96</v>
      </c>
      <c r="L90" s="64">
        <v>20.86</v>
      </c>
      <c r="M90" s="64">
        <v>70.27</v>
      </c>
      <c r="N90" s="64">
        <v>79</v>
      </c>
      <c r="O90" s="64">
        <v>0</v>
      </c>
      <c r="P90" s="64">
        <v>1.57</v>
      </c>
      <c r="Q90" s="64">
        <v>9.48</v>
      </c>
      <c r="R90" s="198"/>
      <c r="S90" s="198"/>
      <c r="T90" s="198"/>
      <c r="U90" s="198"/>
    </row>
    <row r="91" spans="1:26" s="12" customFormat="1" x14ac:dyDescent="0.25">
      <c r="A91" s="214" t="s">
        <v>3206</v>
      </c>
      <c r="B91" s="64">
        <v>21.91</v>
      </c>
      <c r="C91" s="64">
        <v>58.69</v>
      </c>
      <c r="D91" s="64">
        <v>46.86</v>
      </c>
      <c r="E91" s="64">
        <v>6.82</v>
      </c>
      <c r="F91" s="64">
        <v>2.13</v>
      </c>
      <c r="G91" s="64">
        <v>74.430000000000007</v>
      </c>
      <c r="H91" s="64">
        <v>25.96</v>
      </c>
      <c r="I91" s="210" t="s">
        <v>43</v>
      </c>
      <c r="J91" s="64">
        <v>0.28000000000000003</v>
      </c>
      <c r="K91" s="64">
        <v>221.16</v>
      </c>
      <c r="L91" s="64">
        <v>20.46</v>
      </c>
      <c r="M91" s="64">
        <v>72.31</v>
      </c>
      <c r="N91" s="64">
        <v>79</v>
      </c>
      <c r="O91" s="64">
        <v>0</v>
      </c>
      <c r="P91" s="64">
        <v>1.26</v>
      </c>
      <c r="Q91" s="64">
        <v>9.48</v>
      </c>
      <c r="R91" s="198"/>
      <c r="S91" s="198"/>
      <c r="T91" s="198"/>
      <c r="U91" s="198"/>
    </row>
    <row r="92" spans="1:26" s="12" customFormat="1" x14ac:dyDescent="0.25">
      <c r="A92" s="214" t="s">
        <v>3207</v>
      </c>
      <c r="B92" s="64">
        <v>25.54</v>
      </c>
      <c r="C92" s="64">
        <v>58.11</v>
      </c>
      <c r="D92" s="64">
        <v>49.47</v>
      </c>
      <c r="E92" s="64">
        <v>6.73</v>
      </c>
      <c r="F92" s="64">
        <v>2.13</v>
      </c>
      <c r="G92" s="64">
        <v>80.56</v>
      </c>
      <c r="H92" s="64">
        <v>25.74</v>
      </c>
      <c r="I92" s="210" t="s">
        <v>43</v>
      </c>
      <c r="J92" s="64">
        <v>0.57999999999999996</v>
      </c>
      <c r="K92" s="64">
        <v>276.58999999999997</v>
      </c>
      <c r="L92" s="64">
        <v>20.21</v>
      </c>
      <c r="M92" s="64">
        <v>74.790000000000006</v>
      </c>
      <c r="N92" s="64">
        <v>79</v>
      </c>
      <c r="O92" s="64">
        <v>0</v>
      </c>
      <c r="P92" s="64">
        <v>1.1299999999999999</v>
      </c>
      <c r="Q92" s="64">
        <v>9.49</v>
      </c>
      <c r="R92" s="198"/>
      <c r="S92" s="198"/>
      <c r="T92" s="198"/>
      <c r="U92" s="198"/>
    </row>
    <row r="93" spans="1:26" s="12" customFormat="1" x14ac:dyDescent="0.25">
      <c r="A93" s="214" t="s">
        <v>3208</v>
      </c>
      <c r="B93" s="64">
        <v>32.200000000000003</v>
      </c>
      <c r="C93" s="64">
        <v>60.77</v>
      </c>
      <c r="D93" s="64">
        <v>56.2</v>
      </c>
      <c r="E93" s="64">
        <v>7.41</v>
      </c>
      <c r="F93" s="64">
        <v>2.13</v>
      </c>
      <c r="G93" s="64">
        <v>87.88</v>
      </c>
      <c r="H93" s="64">
        <v>25.47</v>
      </c>
      <c r="I93" s="210" t="s">
        <v>43</v>
      </c>
      <c r="J93" s="64">
        <v>0.57999999999999996</v>
      </c>
      <c r="K93" s="64">
        <v>336.66</v>
      </c>
      <c r="L93" s="64">
        <v>19.920000000000002</v>
      </c>
      <c r="M93" s="64">
        <v>78.31</v>
      </c>
      <c r="N93" s="64">
        <v>79</v>
      </c>
      <c r="O93" s="64">
        <v>0</v>
      </c>
      <c r="P93" s="64">
        <v>1.1499999999999999</v>
      </c>
      <c r="Q93" s="64">
        <v>9.4700000000000006</v>
      </c>
      <c r="R93" s="198"/>
      <c r="S93" s="198"/>
      <c r="T93" s="198"/>
      <c r="U93" s="198"/>
    </row>
    <row r="94" spans="1:26" s="12" customFormat="1" x14ac:dyDescent="0.25">
      <c r="A94" s="214" t="s">
        <v>3209</v>
      </c>
      <c r="B94" s="64">
        <v>44.01</v>
      </c>
      <c r="C94" s="64">
        <v>58.18</v>
      </c>
      <c r="D94" s="64">
        <v>64.31</v>
      </c>
      <c r="E94" s="64">
        <v>7.52</v>
      </c>
      <c r="F94" s="64">
        <v>2.13</v>
      </c>
      <c r="G94" s="64">
        <v>87.88</v>
      </c>
      <c r="H94" s="64">
        <v>25.47</v>
      </c>
      <c r="I94" s="210" t="s">
        <v>43</v>
      </c>
      <c r="J94" s="64">
        <v>0.28000000000000003</v>
      </c>
      <c r="K94" s="64">
        <v>351.44</v>
      </c>
      <c r="L94" s="64">
        <v>19.649999999999999</v>
      </c>
      <c r="M94" s="64">
        <v>80.63</v>
      </c>
      <c r="N94" s="64">
        <v>78.900000000000006</v>
      </c>
      <c r="O94" s="64">
        <v>0</v>
      </c>
      <c r="P94" s="64">
        <v>1.26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14" t="s">
        <v>3210</v>
      </c>
      <c r="B95" s="64">
        <v>55.44</v>
      </c>
      <c r="C95" s="64">
        <v>61.89</v>
      </c>
      <c r="D95" s="64">
        <v>75.42</v>
      </c>
      <c r="E95" s="64">
        <v>7.64</v>
      </c>
      <c r="F95" s="64">
        <v>2.13</v>
      </c>
      <c r="G95" s="64">
        <v>87.88</v>
      </c>
      <c r="H95" s="64">
        <v>25.47</v>
      </c>
      <c r="I95" s="210" t="s">
        <v>43</v>
      </c>
      <c r="J95" s="64">
        <v>0.62</v>
      </c>
      <c r="K95" s="64">
        <v>115.4</v>
      </c>
      <c r="L95" s="64">
        <v>19.600000000000001</v>
      </c>
      <c r="M95" s="64">
        <v>79.150000000000006</v>
      </c>
      <c r="N95" s="64">
        <v>78.8</v>
      </c>
      <c r="O95" s="64">
        <v>0</v>
      </c>
      <c r="P95" s="64">
        <v>1.35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3211</v>
      </c>
      <c r="B96" s="64">
        <v>66.25</v>
      </c>
      <c r="C96" s="64">
        <v>60.41</v>
      </c>
      <c r="D96" s="64">
        <v>83.32</v>
      </c>
      <c r="E96" s="64">
        <v>7.9</v>
      </c>
      <c r="F96" s="64">
        <v>2.13</v>
      </c>
      <c r="G96" s="64">
        <v>100.63</v>
      </c>
      <c r="H96" s="64">
        <v>27.13</v>
      </c>
      <c r="I96" s="210" t="s">
        <v>43</v>
      </c>
      <c r="J96" s="64">
        <v>0.52</v>
      </c>
      <c r="K96" s="64">
        <v>229.41</v>
      </c>
      <c r="L96" s="64">
        <v>19.68</v>
      </c>
      <c r="M96" s="64">
        <v>77.91</v>
      </c>
      <c r="N96" s="64">
        <v>78.3</v>
      </c>
      <c r="O96" s="64">
        <v>0</v>
      </c>
      <c r="P96" s="64">
        <v>1.36</v>
      </c>
      <c r="Q96" s="64">
        <v>9.6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3212</v>
      </c>
      <c r="B97" s="64">
        <v>73.489999999999995</v>
      </c>
      <c r="C97" s="64">
        <v>60.08</v>
      </c>
      <c r="D97" s="64">
        <v>88.94</v>
      </c>
      <c r="E97" s="64">
        <v>7.89</v>
      </c>
      <c r="F97" s="64">
        <v>2.13</v>
      </c>
      <c r="G97" s="64">
        <v>115.87</v>
      </c>
      <c r="H97" s="64">
        <v>29.12</v>
      </c>
      <c r="I97" s="210" t="s">
        <v>43</v>
      </c>
      <c r="J97" s="64">
        <v>0.6</v>
      </c>
      <c r="K97" s="64">
        <v>309.63</v>
      </c>
      <c r="L97" s="64">
        <v>19.61</v>
      </c>
      <c r="M97" s="64">
        <v>81.55</v>
      </c>
      <c r="N97" s="64">
        <v>79.099999999999994</v>
      </c>
      <c r="O97" s="64">
        <v>0</v>
      </c>
      <c r="P97" s="64">
        <v>1.4</v>
      </c>
      <c r="Q97" s="64">
        <v>9.65</v>
      </c>
      <c r="R97" s="198"/>
      <c r="S97" s="198"/>
      <c r="T97" s="198"/>
      <c r="U97" s="198"/>
    </row>
    <row r="98" spans="1:33" s="12" customFormat="1" x14ac:dyDescent="0.25">
      <c r="A98" s="214" t="s">
        <v>3213</v>
      </c>
      <c r="B98" s="64">
        <v>78.59</v>
      </c>
      <c r="C98" s="64">
        <v>62.13</v>
      </c>
      <c r="D98" s="64">
        <v>94.1</v>
      </c>
      <c r="E98" s="64">
        <v>7.96</v>
      </c>
      <c r="F98" s="64">
        <v>2.13</v>
      </c>
      <c r="G98" s="64">
        <v>115.87</v>
      </c>
      <c r="H98" s="64">
        <v>29.12</v>
      </c>
      <c r="I98" s="210" t="s">
        <v>43</v>
      </c>
      <c r="J98" s="64">
        <v>0.48</v>
      </c>
      <c r="K98" s="64">
        <v>266.49</v>
      </c>
      <c r="L98" s="64">
        <v>19.34</v>
      </c>
      <c r="M98" s="64">
        <v>79.8</v>
      </c>
      <c r="N98" s="64">
        <v>78.599999999999994</v>
      </c>
      <c r="O98" s="64">
        <v>0</v>
      </c>
      <c r="P98" s="64">
        <v>1.45</v>
      </c>
      <c r="Q98" s="64">
        <v>9.6999999999999993</v>
      </c>
      <c r="R98" s="198"/>
      <c r="S98" s="198"/>
      <c r="T98" s="198"/>
      <c r="U98" s="198"/>
    </row>
    <row r="99" spans="1:33" s="12" customFormat="1" x14ac:dyDescent="0.25">
      <c r="A99" s="214" t="s">
        <v>3214</v>
      </c>
      <c r="B99" s="64">
        <v>82.28</v>
      </c>
      <c r="C99" s="64">
        <v>60.55</v>
      </c>
      <c r="D99" s="64">
        <v>96.24</v>
      </c>
      <c r="E99" s="64">
        <v>8.1999999999999993</v>
      </c>
      <c r="F99" s="64">
        <v>2.13</v>
      </c>
      <c r="G99" s="64">
        <v>115.87</v>
      </c>
      <c r="H99" s="64">
        <v>29.12</v>
      </c>
      <c r="I99" s="210" t="s">
        <v>43</v>
      </c>
      <c r="J99" s="64">
        <v>0.6</v>
      </c>
      <c r="K99" s="64">
        <v>303.22000000000003</v>
      </c>
      <c r="L99" s="64">
        <v>19.13</v>
      </c>
      <c r="M99" s="64">
        <v>80.72</v>
      </c>
      <c r="N99" s="64">
        <v>79</v>
      </c>
      <c r="O99" s="64">
        <v>0</v>
      </c>
      <c r="P99" s="64">
        <v>1.47</v>
      </c>
      <c r="Q99" s="64">
        <v>9.74</v>
      </c>
      <c r="R99" s="198"/>
      <c r="S99" s="198"/>
      <c r="T99" s="198"/>
      <c r="U99" s="198"/>
    </row>
    <row r="100" spans="1:33" s="12" customFormat="1" x14ac:dyDescent="0.25">
      <c r="A100" s="214" t="s">
        <v>3215</v>
      </c>
      <c r="B100" s="64">
        <v>83.49</v>
      </c>
      <c r="C100" s="64">
        <v>60.07</v>
      </c>
      <c r="D100" s="64">
        <v>96.96</v>
      </c>
      <c r="E100" s="64">
        <v>7.69</v>
      </c>
      <c r="F100" s="64">
        <v>2.13</v>
      </c>
      <c r="G100" s="64">
        <v>118.64</v>
      </c>
      <c r="H100" s="64">
        <v>30.3</v>
      </c>
      <c r="I100" s="210" t="s">
        <v>43</v>
      </c>
      <c r="J100" s="64">
        <v>0.3</v>
      </c>
      <c r="K100" s="64">
        <v>204.68</v>
      </c>
      <c r="L100" s="64">
        <v>18.920000000000002</v>
      </c>
      <c r="M100" s="64">
        <v>82.93</v>
      </c>
      <c r="N100" s="64">
        <v>78.5</v>
      </c>
      <c r="O100" s="64">
        <v>0</v>
      </c>
      <c r="P100" s="64">
        <v>1.48</v>
      </c>
      <c r="Q100" s="64">
        <v>9.7899999999999991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3216</v>
      </c>
      <c r="B101" s="64">
        <v>82.9</v>
      </c>
      <c r="C101" s="64">
        <v>60.34</v>
      </c>
      <c r="D101" s="64">
        <v>96.63</v>
      </c>
      <c r="E101" s="64">
        <v>7.46</v>
      </c>
      <c r="F101" s="64">
        <v>2.13</v>
      </c>
      <c r="G101" s="64">
        <v>121.95</v>
      </c>
      <c r="H101" s="64">
        <v>31.71</v>
      </c>
      <c r="I101" s="210" t="s">
        <v>43</v>
      </c>
      <c r="J101" s="64">
        <v>0.44</v>
      </c>
      <c r="K101" s="64">
        <v>272.20999999999998</v>
      </c>
      <c r="L101" s="64">
        <v>18.95</v>
      </c>
      <c r="M101" s="64">
        <v>83.8</v>
      </c>
      <c r="N101" s="64">
        <v>78.8</v>
      </c>
      <c r="O101" s="64">
        <v>0</v>
      </c>
      <c r="P101" s="64">
        <v>1.36</v>
      </c>
      <c r="Q101" s="64">
        <v>9.83</v>
      </c>
      <c r="R101" s="198"/>
      <c r="S101" s="198"/>
      <c r="T101" s="198"/>
      <c r="U101" s="198"/>
    </row>
    <row r="102" spans="1:33" s="12" customFormat="1" x14ac:dyDescent="0.25">
      <c r="A102" s="214" t="s">
        <v>3217</v>
      </c>
      <c r="B102" s="64">
        <v>82.05</v>
      </c>
      <c r="C102" s="64">
        <v>54.18</v>
      </c>
      <c r="D102" s="64">
        <v>92.73</v>
      </c>
      <c r="E102" s="64">
        <v>7.21</v>
      </c>
      <c r="F102" s="64">
        <v>2.13</v>
      </c>
      <c r="G102" s="64">
        <v>121.95</v>
      </c>
      <c r="H102" s="64">
        <v>31.71</v>
      </c>
      <c r="I102" s="210" t="s">
        <v>43</v>
      </c>
      <c r="J102" s="64">
        <v>0.6</v>
      </c>
      <c r="K102" s="64">
        <v>304.62</v>
      </c>
      <c r="L102" s="64">
        <v>18.82</v>
      </c>
      <c r="M102" s="64">
        <v>84.62</v>
      </c>
      <c r="N102" s="64">
        <v>79</v>
      </c>
      <c r="O102" s="64">
        <v>0</v>
      </c>
      <c r="P102" s="64">
        <v>1.4</v>
      </c>
      <c r="Q102" s="64">
        <v>9.86</v>
      </c>
      <c r="R102" s="198"/>
      <c r="S102" s="198"/>
      <c r="T102" s="198"/>
      <c r="U102" s="198"/>
    </row>
    <row r="103" spans="1:33" s="12" customFormat="1" x14ac:dyDescent="0.25">
      <c r="A103" s="214" t="s">
        <v>3218</v>
      </c>
      <c r="B103" s="64">
        <v>81.27</v>
      </c>
      <c r="C103" s="64">
        <v>54.61</v>
      </c>
      <c r="D103" s="64">
        <v>92.33</v>
      </c>
      <c r="E103" s="64">
        <v>7.64</v>
      </c>
      <c r="F103" s="64">
        <v>2.13</v>
      </c>
      <c r="G103" s="64">
        <v>121.95</v>
      </c>
      <c r="H103" s="64">
        <v>31.71</v>
      </c>
      <c r="I103" s="210" t="s">
        <v>43</v>
      </c>
      <c r="J103" s="64">
        <v>0.62</v>
      </c>
      <c r="K103" s="64">
        <v>296.58</v>
      </c>
      <c r="L103" s="64">
        <v>18.309999999999999</v>
      </c>
      <c r="M103" s="64">
        <v>88.01</v>
      </c>
      <c r="N103" s="64">
        <v>78.900000000000006</v>
      </c>
      <c r="O103" s="64">
        <v>0</v>
      </c>
      <c r="P103" s="64">
        <v>1.36</v>
      </c>
      <c r="Q103" s="64">
        <v>9.83</v>
      </c>
      <c r="R103" s="198"/>
      <c r="S103" s="198"/>
      <c r="T103" s="198"/>
      <c r="U103" s="198"/>
    </row>
    <row r="104" spans="1:33" s="12" customFormat="1" x14ac:dyDescent="0.25">
      <c r="A104" s="214" t="s">
        <v>3219</v>
      </c>
      <c r="B104" s="64">
        <v>80.540000000000006</v>
      </c>
      <c r="C104" s="64">
        <v>54.58</v>
      </c>
      <c r="D104" s="64">
        <v>91.73</v>
      </c>
      <c r="E104" s="64">
        <v>5.55</v>
      </c>
      <c r="F104" s="64">
        <v>2.13</v>
      </c>
      <c r="G104" s="64">
        <v>119.17</v>
      </c>
      <c r="H104" s="64">
        <v>32.67</v>
      </c>
      <c r="I104" s="210" t="s">
        <v>43</v>
      </c>
      <c r="J104" s="64">
        <v>0.54</v>
      </c>
      <c r="K104" s="64">
        <v>326.20999999999998</v>
      </c>
      <c r="L104" s="64">
        <v>17.96</v>
      </c>
      <c r="M104" s="64">
        <v>92.01</v>
      </c>
      <c r="N104" s="64">
        <v>79</v>
      </c>
      <c r="O104" s="64">
        <v>0</v>
      </c>
      <c r="P104" s="64">
        <v>1.33</v>
      </c>
      <c r="Q104" s="64">
        <v>9.82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</v>
      </c>
      <c r="C106" s="67">
        <f>MIN(C9:C104)</f>
        <v>46.66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2.13</v>
      </c>
      <c r="G106" s="67">
        <f t="shared" si="0"/>
        <v>47.84</v>
      </c>
      <c r="H106" s="67">
        <f t="shared" si="0"/>
        <v>16.64</v>
      </c>
      <c r="I106" s="67">
        <f t="shared" si="0"/>
        <v>0</v>
      </c>
      <c r="J106" s="67">
        <f t="shared" si="0"/>
        <v>0.08</v>
      </c>
      <c r="K106" s="67">
        <f t="shared" si="0"/>
        <v>24.96</v>
      </c>
      <c r="L106" s="67">
        <f t="shared" si="0"/>
        <v>15.51</v>
      </c>
      <c r="M106" s="67">
        <f t="shared" si="0"/>
        <v>42.81</v>
      </c>
      <c r="N106" s="67">
        <f t="shared" si="0"/>
        <v>75.8</v>
      </c>
      <c r="O106" s="67">
        <f t="shared" si="0"/>
        <v>0</v>
      </c>
      <c r="P106" s="67">
        <f t="shared" si="0"/>
        <v>0.55000000000000004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83.49</v>
      </c>
      <c r="C107" s="66">
        <f t="shared" ref="C107:Q107" si="1">MAX(C9:C104)</f>
        <v>63.38</v>
      </c>
      <c r="D107" s="66">
        <f t="shared" si="1"/>
        <v>96.96</v>
      </c>
      <c r="E107" s="66">
        <f t="shared" si="1"/>
        <v>8.1999999999999993</v>
      </c>
      <c r="F107" s="66">
        <f t="shared" si="1"/>
        <v>3.34</v>
      </c>
      <c r="G107" s="66">
        <f t="shared" si="1"/>
        <v>121.95</v>
      </c>
      <c r="H107" s="66">
        <f t="shared" si="1"/>
        <v>32.67</v>
      </c>
      <c r="I107" s="66">
        <f t="shared" si="1"/>
        <v>0</v>
      </c>
      <c r="J107" s="66">
        <f t="shared" si="1"/>
        <v>4.6900000000000004</v>
      </c>
      <c r="K107" s="66">
        <f t="shared" si="1"/>
        <v>354.52</v>
      </c>
      <c r="L107" s="66">
        <f t="shared" si="1"/>
        <v>29.35</v>
      </c>
      <c r="M107" s="66">
        <f t="shared" si="1"/>
        <v>105.42</v>
      </c>
      <c r="N107" s="66">
        <f t="shared" si="1"/>
        <v>556.29999999999995</v>
      </c>
      <c r="O107" s="66">
        <f t="shared" si="1"/>
        <v>0</v>
      </c>
      <c r="P107" s="66">
        <f t="shared" si="1"/>
        <v>1.57</v>
      </c>
      <c r="Q107" s="66">
        <f t="shared" si="1"/>
        <v>9.86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21.381770833333334</v>
      </c>
      <c r="C108" s="67">
        <f t="shared" ref="C108:Q108" si="2">AVERAGE(C9:C104)</f>
        <v>53.650104166666686</v>
      </c>
      <c r="D108" s="67">
        <f t="shared" si="2"/>
        <v>43.406145833333341</v>
      </c>
      <c r="E108" s="67">
        <f t="shared" si="2"/>
        <v>5.6658333333333326</v>
      </c>
      <c r="F108" s="67">
        <f t="shared" si="2"/>
        <v>2.146041666666664</v>
      </c>
      <c r="G108" s="67">
        <f t="shared" si="2"/>
        <v>66.647187500000015</v>
      </c>
      <c r="H108" s="67">
        <f t="shared" si="2"/>
        <v>23.446979166666676</v>
      </c>
      <c r="I108" s="67" t="e">
        <f t="shared" si="2"/>
        <v>#DIV/0!</v>
      </c>
      <c r="J108" s="67">
        <f t="shared" si="2"/>
        <v>0.97114583333333293</v>
      </c>
      <c r="K108" s="67">
        <f t="shared" si="2"/>
        <v>263.83968749999991</v>
      </c>
      <c r="L108" s="67">
        <f t="shared" si="2"/>
        <v>21.578645833333336</v>
      </c>
      <c r="M108" s="67">
        <f t="shared" si="2"/>
        <v>74.12322916666669</v>
      </c>
      <c r="N108" s="67">
        <f t="shared" si="2"/>
        <v>191.97604166666665</v>
      </c>
      <c r="O108" s="67">
        <f t="shared" si="2"/>
        <v>0</v>
      </c>
      <c r="P108" s="67">
        <f t="shared" si="2"/>
        <v>0.77552083333333377</v>
      </c>
      <c r="Q108" s="67">
        <f t="shared" si="2"/>
        <v>8.6046875000000025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21.144893025070303</v>
      </c>
      <c r="C109" s="67">
        <f t="shared" ref="C109:Q109" si="3">STDEV(C9:C104)</f>
        <v>4.5831831031997989</v>
      </c>
      <c r="D109" s="67">
        <f t="shared" si="3"/>
        <v>18.342119740313048</v>
      </c>
      <c r="E109" s="67">
        <f t="shared" si="3"/>
        <v>1.2938467058526009</v>
      </c>
      <c r="F109" s="67">
        <f t="shared" si="3"/>
        <v>0.1243211390473683</v>
      </c>
      <c r="G109" s="67">
        <f t="shared" si="3"/>
        <v>18.432810089512977</v>
      </c>
      <c r="H109" s="67">
        <f t="shared" si="3"/>
        <v>3.0353430812041013</v>
      </c>
      <c r="I109" s="67" t="e">
        <f t="shared" si="3"/>
        <v>#DIV/0!</v>
      </c>
      <c r="J109" s="67">
        <f t="shared" si="3"/>
        <v>0.67437123899411455</v>
      </c>
      <c r="K109" s="67">
        <f t="shared" si="3"/>
        <v>51.134114957950736</v>
      </c>
      <c r="L109" s="67">
        <f t="shared" si="3"/>
        <v>4.3636642303631552</v>
      </c>
      <c r="M109" s="67">
        <f t="shared" si="3"/>
        <v>22.182050045015213</v>
      </c>
      <c r="N109" s="67">
        <f t="shared" si="3"/>
        <v>172.20965175273497</v>
      </c>
      <c r="O109" s="67">
        <f t="shared" si="3"/>
        <v>0</v>
      </c>
      <c r="P109" s="67">
        <f t="shared" si="3"/>
        <v>0.29635636368778201</v>
      </c>
      <c r="Q109" s="67">
        <f t="shared" si="3"/>
        <v>1.4075809432647348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0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6" t="s">
        <v>217</v>
      </c>
      <c r="C115" s="216"/>
      <c r="D115" s="216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5" sqref="G55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01/01/2025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227</v>
      </c>
      <c r="C7" s="198" t="s">
        <v>228</v>
      </c>
      <c r="D7" s="198" t="s">
        <v>229</v>
      </c>
      <c r="E7" s="198" t="s">
        <v>230</v>
      </c>
      <c r="F7" s="198" t="s">
        <v>231</v>
      </c>
      <c r="G7" s="198" t="s">
        <v>232</v>
      </c>
      <c r="H7" s="198" t="s">
        <v>233</v>
      </c>
      <c r="I7" s="198" t="s">
        <v>234</v>
      </c>
      <c r="J7" s="198" t="s">
        <v>235</v>
      </c>
      <c r="K7" s="198" t="s">
        <v>236</v>
      </c>
      <c r="L7" s="198" t="s">
        <v>237</v>
      </c>
      <c r="M7" s="198" t="s">
        <v>238</v>
      </c>
      <c r="N7" s="198" t="s">
        <v>239</v>
      </c>
      <c r="O7" s="198" t="s">
        <v>240</v>
      </c>
      <c r="P7" s="198" t="s">
        <v>241</v>
      </c>
      <c r="Q7" s="198" t="s">
        <v>242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01/01/2025 00:15</v>
      </c>
      <c r="B9" s="61">
        <f>'01'!B108</f>
        <v>29.749090909090913</v>
      </c>
      <c r="C9" s="61">
        <f>'01'!C108</f>
        <v>49.88159090909091</v>
      </c>
      <c r="D9" s="61">
        <f>'01'!D108</f>
        <v>48.541363636363641</v>
      </c>
      <c r="E9" s="61">
        <f>'01'!E108</f>
        <v>6.8454545454545448</v>
      </c>
      <c r="F9" s="61">
        <f>'01'!F108</f>
        <v>2.1299999999999994</v>
      </c>
      <c r="G9" s="99">
        <f>'01'!$G$108</f>
        <v>71.768181818181816</v>
      </c>
      <c r="H9" s="61">
        <f>'01'!H108</f>
        <v>30.740000000000006</v>
      </c>
      <c r="I9" s="210" t="s">
        <v>43</v>
      </c>
      <c r="J9" s="61">
        <f>'01'!J108</f>
        <v>1.5311363636363635</v>
      </c>
      <c r="K9" s="61">
        <f>'01'!K108</f>
        <v>150.2538636363636</v>
      </c>
      <c r="L9" s="61">
        <f>'01'!L108</f>
        <v>14.285000000000002</v>
      </c>
      <c r="M9" s="61">
        <f>'01'!M108</f>
        <v>66.844772727272726</v>
      </c>
      <c r="N9" s="61">
        <f>'01'!N108</f>
        <v>178.14772727272728</v>
      </c>
      <c r="O9" s="61">
        <f>'01'!O108</f>
        <v>0</v>
      </c>
      <c r="P9" s="202">
        <f>'01'!P108</f>
        <v>0.96590909090909094</v>
      </c>
      <c r="Q9" s="61">
        <f>'01'!Q108</f>
        <v>8.4474999999999962</v>
      </c>
      <c r="R9" s="118"/>
      <c r="S9" s="118"/>
      <c r="T9" s="118"/>
      <c r="U9" s="118"/>
    </row>
    <row r="10" spans="1:21" x14ac:dyDescent="0.25">
      <c r="A10" s="94" t="str">
        <f>'02'!$B$2</f>
        <v>02/01/2025 00:15</v>
      </c>
      <c r="B10" s="61">
        <f>'02'!B108</f>
        <v>61.586458333333326</v>
      </c>
      <c r="C10" s="61">
        <f>'02'!C108</f>
        <v>53.06802083333335</v>
      </c>
      <c r="D10" s="61">
        <f>'02'!D108</f>
        <v>75.737500000000026</v>
      </c>
      <c r="E10" s="61">
        <f>'02'!E108</f>
        <v>7.0536458333333334</v>
      </c>
      <c r="F10" s="61">
        <f>'02'!F108</f>
        <v>2.2005208333333308</v>
      </c>
      <c r="G10" s="61">
        <f>'02'!G108</f>
        <v>103.99489583333336</v>
      </c>
      <c r="H10" s="61">
        <f>'02'!H108</f>
        <v>32.914687500000014</v>
      </c>
      <c r="I10" s="210" t="s">
        <v>43</v>
      </c>
      <c r="J10" s="61">
        <f>'02'!J108</f>
        <v>1.911666666666666</v>
      </c>
      <c r="K10" s="61">
        <f>'02'!K108</f>
        <v>207.55906249999998</v>
      </c>
      <c r="L10" s="61">
        <f>'02'!L108</f>
        <v>16.143333333333331</v>
      </c>
      <c r="M10" s="61">
        <f>'02'!M108</f>
        <v>54.365729166666675</v>
      </c>
      <c r="N10" s="61">
        <f>'02'!N108</f>
        <v>274.16145833333331</v>
      </c>
      <c r="O10" s="61">
        <f>'02'!O108</f>
        <v>0</v>
      </c>
      <c r="P10" s="202">
        <f>'02'!P108</f>
        <v>1.2884375000000001</v>
      </c>
      <c r="Q10" s="61">
        <f>'02'!Q108</f>
        <v>9.17427083333334</v>
      </c>
      <c r="R10" s="118"/>
      <c r="S10" s="118"/>
      <c r="T10" s="118"/>
      <c r="U10" s="118"/>
    </row>
    <row r="11" spans="1:21" x14ac:dyDescent="0.25">
      <c r="A11" s="94" t="str">
        <f>'03'!$B$2</f>
        <v>03/01/2025 00:15</v>
      </c>
      <c r="B11" s="61">
        <f>'03'!B108</f>
        <v>69.267395833333339</v>
      </c>
      <c r="C11" s="61">
        <f>'03'!C108</f>
        <v>50.73625000000002</v>
      </c>
      <c r="D11" s="61">
        <f>'03'!D108</f>
        <v>80.678750000000008</v>
      </c>
      <c r="E11" s="61">
        <f>'03'!E108</f>
        <v>7.046458333333331</v>
      </c>
      <c r="F11" s="61">
        <f>'03'!F108</f>
        <v>2.1299999999999972</v>
      </c>
      <c r="G11" s="61">
        <f>'03'!G108</f>
        <v>101.83895833333334</v>
      </c>
      <c r="H11" s="61">
        <f>'03'!H108</f>
        <v>33.389999999999979</v>
      </c>
      <c r="I11" s="210" t="s">
        <v>43</v>
      </c>
      <c r="J11" s="61">
        <f>'03'!J108</f>
        <v>1.3259375</v>
      </c>
      <c r="K11" s="61">
        <f>'03'!K108</f>
        <v>254.24177083333325</v>
      </c>
      <c r="L11" s="61">
        <f>'03'!L108</f>
        <v>16.795833333333331</v>
      </c>
      <c r="M11" s="61">
        <f>'03'!M108</f>
        <v>48.370104166666685</v>
      </c>
      <c r="N11" s="61">
        <f>'03'!N108</f>
        <v>247.76145833333328</v>
      </c>
      <c r="O11" s="61">
        <f>'03'!O108</f>
        <v>0</v>
      </c>
      <c r="P11" s="202">
        <f>'03'!P108</f>
        <v>1.1525000000000005</v>
      </c>
      <c r="Q11" s="61">
        <f>'03'!Q108</f>
        <v>9.5439583333333378</v>
      </c>
      <c r="R11" s="118"/>
      <c r="S11" s="118"/>
      <c r="T11" s="118"/>
      <c r="U11" s="118"/>
    </row>
    <row r="12" spans="1:21" x14ac:dyDescent="0.25">
      <c r="A12" s="94" t="str">
        <f>'04'!$B$2</f>
        <v>04/01/2025 00:15</v>
      </c>
      <c r="B12" s="61">
        <f>'04'!B108</f>
        <v>106.26854166666668</v>
      </c>
      <c r="C12" s="61">
        <f>'04'!C108</f>
        <v>49.285416666666656</v>
      </c>
      <c r="D12" s="61">
        <f>'04'!D108</f>
        <v>109.59843750000003</v>
      </c>
      <c r="E12" s="61">
        <f>'04'!E108</f>
        <v>7.525416666666664</v>
      </c>
      <c r="F12" s="61">
        <f>'04'!F108</f>
        <v>2.1299999999999972</v>
      </c>
      <c r="G12" s="61">
        <f>'04'!G108</f>
        <v>113.23770833333327</v>
      </c>
      <c r="H12" s="61">
        <f>'04'!H108</f>
        <v>32.180833333333332</v>
      </c>
      <c r="I12" s="210" t="s">
        <v>43</v>
      </c>
      <c r="J12" s="61">
        <f>'04'!J108</f>
        <v>1.1860416666666669</v>
      </c>
      <c r="K12" s="61">
        <f>'04'!K108</f>
        <v>275.8810416666667</v>
      </c>
      <c r="L12" s="61">
        <f>'04'!L108</f>
        <v>16.372812499999998</v>
      </c>
      <c r="M12" s="61">
        <f>'04'!M108</f>
        <v>57.474062499999995</v>
      </c>
      <c r="N12" s="61">
        <f>'04'!N108</f>
        <v>217.84791666666675</v>
      </c>
      <c r="O12" s="61">
        <f>'04'!O108</f>
        <v>0</v>
      </c>
      <c r="P12" s="202">
        <f>'04'!P108</f>
        <v>1.3544791666666669</v>
      </c>
      <c r="Q12" s="61">
        <f>'04'!Q108</f>
        <v>9.6031250000000021</v>
      </c>
      <c r="R12" s="118"/>
      <c r="S12" s="118"/>
      <c r="T12" s="118"/>
      <c r="U12" s="118"/>
    </row>
    <row r="13" spans="1:21" x14ac:dyDescent="0.25">
      <c r="A13" s="94" t="str">
        <f>'05'!$B$2</f>
        <v>05/01/2025 00:15</v>
      </c>
      <c r="B13" s="61">
        <f>'05'!B108</f>
        <v>106.57</v>
      </c>
      <c r="C13" s="61">
        <f>'05'!C108</f>
        <v>57.460208333333327</v>
      </c>
      <c r="D13" s="61">
        <f>'05'!D108</f>
        <v>114.10510416666671</v>
      </c>
      <c r="E13" s="61">
        <f>'05'!E108</f>
        <v>7.9254166666666679</v>
      </c>
      <c r="F13" s="61">
        <f>'05'!F108</f>
        <v>2.1299999999999972</v>
      </c>
      <c r="G13" s="61">
        <f>'05'!G108</f>
        <v>129.45458333333332</v>
      </c>
      <c r="H13" s="61">
        <f>'05'!H108</f>
        <v>40.844791666666652</v>
      </c>
      <c r="I13" s="210" t="s">
        <v>43</v>
      </c>
      <c r="J13" s="61">
        <f>'05'!J108</f>
        <v>0.93760416666666646</v>
      </c>
      <c r="K13" s="61">
        <f>'05'!K108</f>
        <v>228.98531249999988</v>
      </c>
      <c r="L13" s="61">
        <f>'05'!L108</f>
        <v>16.40197916666666</v>
      </c>
      <c r="M13" s="61">
        <f>'05'!M108</f>
        <v>62.125000000000007</v>
      </c>
      <c r="N13" s="61">
        <f>'05'!N108</f>
        <v>228.48541666666665</v>
      </c>
      <c r="O13" s="61">
        <f>'05'!O108</f>
        <v>0</v>
      </c>
      <c r="P13" s="202">
        <f>'05'!P108</f>
        <v>1.4089583333333335</v>
      </c>
      <c r="Q13" s="61">
        <f>'05'!Q108</f>
        <v>9.5405208333333409</v>
      </c>
      <c r="R13" s="118"/>
      <c r="S13" s="118"/>
      <c r="T13" s="118"/>
      <c r="U13" s="118"/>
    </row>
    <row r="14" spans="1:21" x14ac:dyDescent="0.25">
      <c r="A14" s="94" t="str">
        <f>'06'!$B$2</f>
        <v>06/01/2025 00:15</v>
      </c>
      <c r="B14" s="61">
        <f>'06'!B108</f>
        <v>29.942812499999999</v>
      </c>
      <c r="C14" s="61">
        <f>'06'!C108</f>
        <v>65.447604166666665</v>
      </c>
      <c r="D14" s="61">
        <f>'06'!D108</f>
        <v>56.82947916666668</v>
      </c>
      <c r="E14" s="61">
        <f>'06'!E108</f>
        <v>8.3008333333333351</v>
      </c>
      <c r="F14" s="61">
        <f>'06'!F108</f>
        <v>3.8686458333333316</v>
      </c>
      <c r="G14" s="61">
        <f>'06'!G108</f>
        <v>127.56500000000001</v>
      </c>
      <c r="H14" s="61">
        <f>'06'!H108</f>
        <v>50.505937499999987</v>
      </c>
      <c r="I14" s="210" t="s">
        <v>43</v>
      </c>
      <c r="J14" s="61">
        <f>'06'!J108</f>
        <v>0.98166666666666635</v>
      </c>
      <c r="K14" s="61">
        <f>'06'!K108</f>
        <v>250.92697916666654</v>
      </c>
      <c r="L14" s="61">
        <f>'06'!L108</f>
        <v>16.475833333333338</v>
      </c>
      <c r="M14" s="61">
        <f>'06'!M108</f>
        <v>67.135208333333324</v>
      </c>
      <c r="N14" s="61">
        <f>'06'!N108</f>
        <v>213.04791666666662</v>
      </c>
      <c r="O14" s="61">
        <f>'06'!O108</f>
        <v>0</v>
      </c>
      <c r="P14" s="202">
        <f>'06'!P108</f>
        <v>1.2042708333333334</v>
      </c>
      <c r="Q14" s="61">
        <f>'06'!Q108</f>
        <v>8.5862500000000068</v>
      </c>
      <c r="R14" s="118"/>
      <c r="S14" s="118"/>
      <c r="T14" s="118"/>
      <c r="U14" s="118"/>
    </row>
    <row r="15" spans="1:21" x14ac:dyDescent="0.25">
      <c r="A15" s="94" t="str">
        <f>'07'!$B$2</f>
        <v>07/01/2025 00:15</v>
      </c>
      <c r="B15" s="61">
        <f>'07'!B108</f>
        <v>22.674270833333338</v>
      </c>
      <c r="C15" s="61">
        <f>'07'!C108</f>
        <v>61.074166666666684</v>
      </c>
      <c r="D15" s="61">
        <f>'07'!D108</f>
        <v>48.716145833333343</v>
      </c>
      <c r="E15" s="61">
        <f>'07'!E108</f>
        <v>6.9370833333333337</v>
      </c>
      <c r="F15" s="61">
        <f>'07'!F108</f>
        <v>2.130416666666664</v>
      </c>
      <c r="G15" s="100">
        <f>'07'!$G$108</f>
        <v>107.95937500000002</v>
      </c>
      <c r="H15" s="61">
        <f>'07'!H108</f>
        <v>39.995729166666663</v>
      </c>
      <c r="I15" s="210" t="s">
        <v>43</v>
      </c>
      <c r="J15" s="61">
        <f>'07'!J108</f>
        <v>1.8608333333333331</v>
      </c>
      <c r="K15" s="61">
        <f>'07'!K108</f>
        <v>309.23291666666677</v>
      </c>
      <c r="L15" s="61">
        <f>'07'!L108</f>
        <v>17.77010416666667</v>
      </c>
      <c r="M15" s="61">
        <f>'07'!M108</f>
        <v>60.751041666666652</v>
      </c>
      <c r="N15" s="61">
        <f>'07'!N108</f>
        <v>201.58958333333337</v>
      </c>
      <c r="O15" s="61">
        <f>'07'!O108</f>
        <v>0</v>
      </c>
      <c r="P15" s="202">
        <f>'07'!P108</f>
        <v>1.0662499999999999</v>
      </c>
      <c r="Q15" s="61">
        <f>'07'!Q108</f>
        <v>8.3321875000000087</v>
      </c>
      <c r="R15" s="118"/>
      <c r="S15" s="118"/>
      <c r="T15" s="118"/>
      <c r="U15" s="118"/>
    </row>
    <row r="16" spans="1:21" x14ac:dyDescent="0.25">
      <c r="A16" s="94" t="str">
        <f>'08'!$B$2</f>
        <v>08/01/2025 00:15</v>
      </c>
      <c r="B16" s="61">
        <f>'08'!B108</f>
        <v>33.159583333333337</v>
      </c>
      <c r="C16" s="61">
        <f>'08'!C108</f>
        <v>59.299895833333345</v>
      </c>
      <c r="D16" s="61">
        <f>'08'!D108</f>
        <v>56.196562499999999</v>
      </c>
      <c r="E16" s="61">
        <f>'08'!E108</f>
        <v>7.6178124999999994</v>
      </c>
      <c r="F16" s="61">
        <f>'08'!F108</f>
        <v>2.2346874999999979</v>
      </c>
      <c r="G16" s="100">
        <f>'08'!$G$108</f>
        <v>96.172916666666666</v>
      </c>
      <c r="H16" s="61">
        <f>'08'!H108</f>
        <v>31.853437500000009</v>
      </c>
      <c r="I16" s="210" t="s">
        <v>43</v>
      </c>
      <c r="J16" s="61">
        <f>'08'!J108</f>
        <v>1.3694791666666664</v>
      </c>
      <c r="K16" s="61">
        <f>'08'!K108</f>
        <v>231.91270833333328</v>
      </c>
      <c r="L16" s="61">
        <f>'08'!L108</f>
        <v>15.098645833333331</v>
      </c>
      <c r="M16" s="61">
        <f>'08'!M108</f>
        <v>54.852291666666645</v>
      </c>
      <c r="N16" s="61">
        <f>'08'!N108</f>
        <v>206.24062500000005</v>
      </c>
      <c r="O16" s="61">
        <f>'08'!O108</f>
        <v>0</v>
      </c>
      <c r="P16" s="202">
        <f>'08'!P108</f>
        <v>0.98531250000000037</v>
      </c>
      <c r="Q16" s="61">
        <f>'08'!Q108</f>
        <v>8.5217708333333348</v>
      </c>
      <c r="R16" s="118"/>
      <c r="S16" s="118"/>
      <c r="T16" s="118"/>
      <c r="U16" s="118"/>
    </row>
    <row r="17" spans="1:21" x14ac:dyDescent="0.25">
      <c r="A17" s="94" t="str">
        <f>'09'!$B$2</f>
        <v>09/01/2025 00:15</v>
      </c>
      <c r="B17" s="61">
        <f>'09'!B108</f>
        <v>55.630937499999987</v>
      </c>
      <c r="C17" s="61">
        <f>'09'!C108</f>
        <v>55.562604166666659</v>
      </c>
      <c r="D17" s="61">
        <f>'09'!D108</f>
        <v>72.264270833333299</v>
      </c>
      <c r="E17" s="61">
        <f>'09'!E108</f>
        <v>7.5753124999999981</v>
      </c>
      <c r="F17" s="61">
        <f>'09'!F108</f>
        <v>2.786145833333332</v>
      </c>
      <c r="G17" s="100">
        <f>'09'!$G$108</f>
        <v>108.90927083333331</v>
      </c>
      <c r="H17" s="61">
        <f>'09'!H108</f>
        <v>38.814374999999984</v>
      </c>
      <c r="I17" s="210" t="s">
        <v>43</v>
      </c>
      <c r="J17" s="61">
        <f>'09'!J108</f>
        <v>1.2205208333333335</v>
      </c>
      <c r="K17" s="61">
        <f>'09'!K108</f>
        <v>193.93499999999997</v>
      </c>
      <c r="L17" s="61">
        <f>'09'!L108</f>
        <v>14.649374999999994</v>
      </c>
      <c r="M17" s="61">
        <f>'09'!M108</f>
        <v>55.458020833333336</v>
      </c>
      <c r="N17" s="61">
        <f>'09'!N108</f>
        <v>219.5291666666665</v>
      </c>
      <c r="O17" s="61">
        <f>'09'!O108</f>
        <v>0</v>
      </c>
      <c r="P17" s="202">
        <f>'09'!P108</f>
        <v>1.2014583333333329</v>
      </c>
      <c r="Q17" s="61">
        <f>'09'!Q108</f>
        <v>9.028020833333338</v>
      </c>
      <c r="R17" s="118"/>
      <c r="S17" s="118"/>
      <c r="T17" s="118"/>
      <c r="U17" s="118"/>
    </row>
    <row r="18" spans="1:21" x14ac:dyDescent="0.25">
      <c r="A18" s="94" t="str">
        <f>'10'!$B$2</f>
        <v>10/01/2025 00:15</v>
      </c>
      <c r="B18" s="61">
        <f>'10'!B108</f>
        <v>47.594791666666652</v>
      </c>
      <c r="C18" s="61">
        <f>'10'!C108</f>
        <v>55.336874999999999</v>
      </c>
      <c r="D18" s="61">
        <f>'10'!D108</f>
        <v>65.699374999999961</v>
      </c>
      <c r="E18" s="61">
        <f>'10'!E108</f>
        <v>7.9701041666666681</v>
      </c>
      <c r="F18" s="61">
        <f>'10'!F108</f>
        <v>2.1299999999999972</v>
      </c>
      <c r="G18" s="101">
        <f>'10'!$G$108</f>
        <v>109.28083333333332</v>
      </c>
      <c r="H18" s="61">
        <f>'10'!H108</f>
        <v>39.487291666666628</v>
      </c>
      <c r="I18" s="210" t="s">
        <v>43</v>
      </c>
      <c r="J18" s="61">
        <f>'10'!J108</f>
        <v>1.1515624999999996</v>
      </c>
      <c r="K18" s="61">
        <f>'10'!K108</f>
        <v>205.22833333333338</v>
      </c>
      <c r="L18" s="61">
        <f>'10'!L108</f>
        <v>15.452499999999999</v>
      </c>
      <c r="M18" s="61">
        <f>'10'!M108</f>
        <v>50.691979166666677</v>
      </c>
      <c r="N18" s="61">
        <f>'10'!N108</f>
        <v>225.71562499999996</v>
      </c>
      <c r="O18" s="61">
        <f>'10'!O108</f>
        <v>0</v>
      </c>
      <c r="P18" s="202">
        <f>'10'!P108</f>
        <v>1.2144791666666668</v>
      </c>
      <c r="Q18" s="61">
        <f>'10'!Q108</f>
        <v>8.859583333333342</v>
      </c>
      <c r="R18" s="118"/>
      <c r="S18" s="118"/>
      <c r="T18" s="118"/>
      <c r="U18" s="118"/>
    </row>
    <row r="19" spans="1:21" x14ac:dyDescent="0.25">
      <c r="A19" s="94" t="str">
        <f>'11'!$B$2</f>
        <v>11/01/2025 00:15</v>
      </c>
      <c r="B19" s="61">
        <f>'11'!B108</f>
        <v>43.14083333333334</v>
      </c>
      <c r="C19" s="61">
        <f>'11'!C108</f>
        <v>53.967395833333342</v>
      </c>
      <c r="D19" s="61">
        <f>'11'!D108</f>
        <v>61.414895833333361</v>
      </c>
      <c r="E19" s="61">
        <f>'11'!E108</f>
        <v>7.2064583333333347</v>
      </c>
      <c r="F19" s="61">
        <f>'11'!F108</f>
        <v>2.1299999999999972</v>
      </c>
      <c r="G19" s="99">
        <f>'11'!$G$108</f>
        <v>98.897291666666675</v>
      </c>
      <c r="H19" s="61">
        <f>'11'!H108</f>
        <v>37.072812499999991</v>
      </c>
      <c r="I19" s="210" t="s">
        <v>43</v>
      </c>
      <c r="J19" s="61">
        <f>'11'!J108</f>
        <v>1.3917708333333334</v>
      </c>
      <c r="K19" s="61">
        <f>'11'!K108</f>
        <v>201.58770833333332</v>
      </c>
      <c r="L19" s="61">
        <f>'11'!L108</f>
        <v>15.954895833333326</v>
      </c>
      <c r="M19" s="61">
        <f>'11'!M108</f>
        <v>60.158750000000026</v>
      </c>
      <c r="N19" s="61">
        <f>'11'!N108</f>
        <v>217.77916666666658</v>
      </c>
      <c r="O19" s="61">
        <f>'11'!O108</f>
        <v>0</v>
      </c>
      <c r="P19" s="202">
        <f>'11'!P108</f>
        <v>1.1762500000000002</v>
      </c>
      <c r="Q19" s="61">
        <f>'11'!Q108</f>
        <v>8.557812500000006</v>
      </c>
      <c r="R19" s="118"/>
      <c r="S19" s="118"/>
      <c r="T19" s="118"/>
      <c r="U19" s="118"/>
    </row>
    <row r="20" spans="1:21" x14ac:dyDescent="0.25">
      <c r="A20" s="94" t="str">
        <f>'12'!$B$2</f>
        <v>12/01/2025 00:15</v>
      </c>
      <c r="B20" s="61">
        <f>'12'!B108</f>
        <v>21.736041666666669</v>
      </c>
      <c r="C20" s="61">
        <f>'12'!C108</f>
        <v>54.005520833333343</v>
      </c>
      <c r="D20" s="61">
        <f>'12'!D108</f>
        <v>43.963645833333338</v>
      </c>
      <c r="E20" s="61">
        <f>'12'!E108</f>
        <v>7.1962499999999991</v>
      </c>
      <c r="F20" s="61">
        <f>'12'!F108</f>
        <v>2.1307291666666641</v>
      </c>
      <c r="G20" s="101">
        <f>'12'!$G$108</f>
        <v>84.350312499999987</v>
      </c>
      <c r="H20" s="61">
        <f>'12'!H108</f>
        <v>33.135104166666672</v>
      </c>
      <c r="I20" s="210" t="s">
        <v>43</v>
      </c>
      <c r="J20" s="61">
        <f>'12'!J108</f>
        <v>1.7331250000000002</v>
      </c>
      <c r="K20" s="61">
        <f>'12'!K108</f>
        <v>210.78083333333336</v>
      </c>
      <c r="L20" s="61">
        <f>'12'!L108</f>
        <v>17.533541666666672</v>
      </c>
      <c r="M20" s="61">
        <f>'12'!M108</f>
        <v>60.665937500000005</v>
      </c>
      <c r="N20" s="61">
        <f>'12'!N108</f>
        <v>208.16874999999996</v>
      </c>
      <c r="O20" s="61">
        <f>'12'!O108</f>
        <v>0</v>
      </c>
      <c r="P20" s="202">
        <f>'12'!P108</f>
        <v>1.0545833333333337</v>
      </c>
      <c r="Q20" s="61">
        <f>'12'!Q108</f>
        <v>8.3627083333333374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13/01/2025 00:15</v>
      </c>
      <c r="B21" s="91">
        <f>'13'!B108</f>
        <v>23.255217391304363</v>
      </c>
      <c r="C21" s="91">
        <f>'13'!C108</f>
        <v>71.270869565217396</v>
      </c>
      <c r="D21" s="91">
        <f>'13'!D108</f>
        <v>54.536413043478277</v>
      </c>
      <c r="E21" s="91">
        <f>'13'!E108</f>
        <v>8.8085416666666649</v>
      </c>
      <c r="F21" s="91">
        <f>'13'!F108</f>
        <v>2.2333333333333307</v>
      </c>
      <c r="G21" s="100">
        <f>'13'!$G$108</f>
        <v>124.06000000000002</v>
      </c>
      <c r="H21" s="91">
        <f>'13'!H108</f>
        <v>48.02043010752687</v>
      </c>
      <c r="I21" s="210" t="s">
        <v>43</v>
      </c>
      <c r="J21" s="91">
        <f>'13'!J108</f>
        <v>1.9658333333333342</v>
      </c>
      <c r="K21" s="91">
        <f>'13'!K108</f>
        <v>297.26791666666662</v>
      </c>
      <c r="L21" s="91">
        <f>'13'!L108</f>
        <v>17.640625000000007</v>
      </c>
      <c r="M21" s="91">
        <f>'13'!M108</f>
        <v>66.844062500000021</v>
      </c>
      <c r="N21" s="91">
        <f>'13'!N108</f>
        <v>188.40520833333332</v>
      </c>
      <c r="O21" s="91">
        <f>'13'!O108</f>
        <v>0</v>
      </c>
      <c r="P21" s="203">
        <f>'13'!P108</f>
        <v>1.2532291666666664</v>
      </c>
      <c r="Q21" s="91">
        <f>'13'!Q108</f>
        <v>8.2207291666666773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14/01/2025 00:15</v>
      </c>
      <c r="B22" s="90">
        <f>'14'!B108</f>
        <v>13.368333333333334</v>
      </c>
      <c r="C22" s="90">
        <f>'14'!C108</f>
        <v>62.639583333333327</v>
      </c>
      <c r="D22" s="90">
        <f>'14'!D108</f>
        <v>42.0703125</v>
      </c>
      <c r="E22" s="90">
        <f>'14'!E108</f>
        <v>6.3874999999999966</v>
      </c>
      <c r="F22" s="90">
        <f>'14'!F108</f>
        <v>2.1299999999999972</v>
      </c>
      <c r="G22" s="100">
        <f>'14'!$G$108</f>
        <v>84.968020833333327</v>
      </c>
      <c r="H22" s="100">
        <f>'14'!$G$108</f>
        <v>84.968020833333327</v>
      </c>
      <c r="I22" s="210" t="s">
        <v>43</v>
      </c>
      <c r="J22" s="90">
        <f>'14'!J108</f>
        <v>1.4508333333333343</v>
      </c>
      <c r="K22" s="90">
        <f>'14'!K108</f>
        <v>200.09593749999996</v>
      </c>
      <c r="L22" s="90">
        <f>'14'!L108</f>
        <v>16.194374999999997</v>
      </c>
      <c r="M22" s="90">
        <f>'14'!M108</f>
        <v>76.019895833333308</v>
      </c>
      <c r="N22" s="90">
        <f>'14'!N108</f>
        <v>194.10312500000006</v>
      </c>
      <c r="O22" s="90">
        <f>'14'!O108</f>
        <v>0</v>
      </c>
      <c r="P22" s="204">
        <f>'14'!P108</f>
        <v>0.91437500000000005</v>
      </c>
      <c r="Q22" s="90">
        <f>'14'!Q108</f>
        <v>8.210000000000008</v>
      </c>
      <c r="R22" s="206"/>
      <c r="S22" s="206"/>
      <c r="T22" s="206"/>
      <c r="U22" s="206"/>
    </row>
    <row r="23" spans="1:21" x14ac:dyDescent="0.25">
      <c r="A23" s="94" t="str">
        <f>'15'!$B$2</f>
        <v>15/01/2025 00:15</v>
      </c>
      <c r="B23" s="61">
        <f>'15'!B108</f>
        <v>27.028854166666672</v>
      </c>
      <c r="C23" s="61">
        <f>'15'!C108</f>
        <v>61.935833333333314</v>
      </c>
      <c r="D23" s="61">
        <f>'15'!D108</f>
        <v>52.657291666666673</v>
      </c>
      <c r="E23" s="61">
        <f>'15'!E108</f>
        <v>6.6332291666666663</v>
      </c>
      <c r="F23" s="61">
        <f>'15'!F108</f>
        <v>2.1299999999999972</v>
      </c>
      <c r="G23" s="100">
        <f>'15'!$G$108</f>
        <v>94.825416666666641</v>
      </c>
      <c r="H23" s="61">
        <f>'15'!H108</f>
        <v>38.347187499999983</v>
      </c>
      <c r="I23" s="210" t="s">
        <v>43</v>
      </c>
      <c r="J23" s="61">
        <f>'15'!J108</f>
        <v>1.5809374999999994</v>
      </c>
      <c r="K23" s="61">
        <f>'15'!K108</f>
        <v>221.68833333333336</v>
      </c>
      <c r="L23" s="61">
        <f>'15'!L108</f>
        <v>16.729270833333327</v>
      </c>
      <c r="M23" s="61">
        <f>'15'!M108</f>
        <v>64.136354166666678</v>
      </c>
      <c r="N23" s="61">
        <f>'15'!N108</f>
        <v>179.32812499999997</v>
      </c>
      <c r="O23" s="61">
        <f>'15'!O108</f>
        <v>0</v>
      </c>
      <c r="P23" s="202">
        <f>'15'!P108</f>
        <v>1.0504166666666668</v>
      </c>
      <c r="Q23" s="61">
        <f>'15'!Q108</f>
        <v>8.4143750000000015</v>
      </c>
      <c r="R23" s="118"/>
      <c r="S23" s="118"/>
      <c r="T23" s="118"/>
      <c r="U23" s="118"/>
    </row>
    <row r="24" spans="1:21" x14ac:dyDescent="0.25">
      <c r="A24" s="94" t="str">
        <f>'16'!$B$2</f>
        <v>16/01/2025 00:15</v>
      </c>
      <c r="B24" s="61">
        <f>'16'!B108</f>
        <v>40.954999999999984</v>
      </c>
      <c r="C24" s="61">
        <f>'16'!C108</f>
        <v>68.755104166666669</v>
      </c>
      <c r="D24" s="61">
        <f>'16'!D108</f>
        <v>67.388229166666619</v>
      </c>
      <c r="E24" s="61">
        <f>'16'!E108</f>
        <v>7.3717708333333318</v>
      </c>
      <c r="F24" s="61">
        <f>'16'!F108</f>
        <v>2.9017708333333321</v>
      </c>
      <c r="G24" s="100">
        <f>'16'!$G$108</f>
        <v>115.3513541666667</v>
      </c>
      <c r="H24" s="61">
        <f>'16'!H108</f>
        <v>43.983958333333355</v>
      </c>
      <c r="I24" s="210" t="s">
        <v>43</v>
      </c>
      <c r="J24" s="61">
        <f>'16'!J108</f>
        <v>1.8767708333333333</v>
      </c>
      <c r="K24" s="61">
        <f>'16'!K108</f>
        <v>243.68697916666665</v>
      </c>
      <c r="L24" s="61">
        <f>'16'!L108</f>
        <v>18.390937499999996</v>
      </c>
      <c r="M24" s="61">
        <f>'16'!M108</f>
        <v>60.95416666666668</v>
      </c>
      <c r="N24" s="61">
        <f>'16'!N108</f>
        <v>183.19166666666663</v>
      </c>
      <c r="O24" s="61">
        <f>'16'!O108</f>
        <v>0</v>
      </c>
      <c r="P24" s="202">
        <f>'16'!P108</f>
        <v>1.2563541666666673</v>
      </c>
      <c r="Q24" s="61">
        <f>'16'!Q108</f>
        <v>8.4977083333333425</v>
      </c>
      <c r="R24" s="118"/>
      <c r="S24" s="118"/>
      <c r="T24" s="118"/>
      <c r="U24" s="118"/>
    </row>
    <row r="25" spans="1:21" x14ac:dyDescent="0.25">
      <c r="A25" s="94" t="str">
        <f>'17'!$B$2</f>
        <v>17/01/2025 00:15</v>
      </c>
      <c r="B25" s="61">
        <f>'17'!B108</f>
        <v>22.389583333333331</v>
      </c>
      <c r="C25" s="61">
        <f>'17'!C108</f>
        <v>61.299270833333345</v>
      </c>
      <c r="D25" s="61">
        <f>'17'!D108</f>
        <v>48.604895833333337</v>
      </c>
      <c r="E25" s="61">
        <f>'17'!E108</f>
        <v>6.2869791666666659</v>
      </c>
      <c r="F25" s="61">
        <f>'17'!F108</f>
        <v>2.1301041666666638</v>
      </c>
      <c r="G25" s="101">
        <f>'17'!$G$108</f>
        <v>65.332187500000046</v>
      </c>
      <c r="H25" s="61">
        <f>'17'!H108</f>
        <v>25.879166666666663</v>
      </c>
      <c r="I25" s="210" t="s">
        <v>43</v>
      </c>
      <c r="J25" s="61">
        <f>'17'!J108</f>
        <v>1.6720833333333331</v>
      </c>
      <c r="K25" s="61">
        <f>'17'!K108</f>
        <v>295.169375</v>
      </c>
      <c r="L25" s="61">
        <f>'17'!L108</f>
        <v>18.079062499999996</v>
      </c>
      <c r="M25" s="61">
        <f>'17'!M108</f>
        <v>42.078437499999986</v>
      </c>
      <c r="N25" s="61">
        <f>'17'!N108</f>
        <v>195.02187500000002</v>
      </c>
      <c r="O25" s="61">
        <f>'17'!O108</f>
        <v>0</v>
      </c>
      <c r="P25" s="202">
        <f>'17'!P108</f>
        <v>0.78802083333333328</v>
      </c>
      <c r="Q25" s="61">
        <f>'17'!Q108</f>
        <v>8.4720833333333321</v>
      </c>
      <c r="R25" s="118"/>
      <c r="S25" s="118"/>
      <c r="T25" s="118"/>
      <c r="U25" s="118"/>
    </row>
    <row r="26" spans="1:21" x14ac:dyDescent="0.25">
      <c r="A26" s="94" t="str">
        <f>'18'!$B$2</f>
        <v>18/01/2025 00:15</v>
      </c>
      <c r="B26" s="61">
        <f>'18'!B108</f>
        <v>36.200104166666648</v>
      </c>
      <c r="C26" s="61">
        <f>'18'!C108</f>
        <v>63.506354166666654</v>
      </c>
      <c r="D26" s="61">
        <f>'18'!D108</f>
        <v>60.833125000000003</v>
      </c>
      <c r="E26" s="61">
        <f>'18'!E108</f>
        <v>6.9729166666666638</v>
      </c>
      <c r="F26" s="61">
        <f>'18'!F108</f>
        <v>2.1299999999999972</v>
      </c>
      <c r="G26" s="99">
        <f>'18'!$G$108</f>
        <v>82.394375000000011</v>
      </c>
      <c r="H26" s="61">
        <f>'18'!H108</f>
        <v>28.245312500000001</v>
      </c>
      <c r="I26" s="210" t="s">
        <v>43</v>
      </c>
      <c r="J26" s="61">
        <f>'18'!J108</f>
        <v>1.4405208333333333</v>
      </c>
      <c r="K26" s="61">
        <f>'18'!K108</f>
        <v>257.11739583333326</v>
      </c>
      <c r="L26" s="61">
        <f>'18'!L108</f>
        <v>17.169375000000002</v>
      </c>
      <c r="M26" s="61">
        <f>'18'!M108</f>
        <v>48.164166666666688</v>
      </c>
      <c r="N26" s="61">
        <f>'18'!N108</f>
        <v>199.26562500000011</v>
      </c>
      <c r="O26" s="61">
        <f>'18'!O108</f>
        <v>0</v>
      </c>
      <c r="P26" s="202">
        <f>'18'!P108</f>
        <v>0.9293750000000004</v>
      </c>
      <c r="Q26" s="61">
        <f>'18'!Q108</f>
        <v>8.4062500000000036</v>
      </c>
      <c r="R26" s="118"/>
      <c r="S26" s="118"/>
      <c r="T26" s="118"/>
      <c r="U26" s="118"/>
    </row>
    <row r="27" spans="1:21" x14ac:dyDescent="0.25">
      <c r="A27" s="94" t="str">
        <f>'19'!$B$2</f>
        <v>19/01/2025 00:15</v>
      </c>
      <c r="B27" s="61">
        <f>'19'!B108</f>
        <v>62.474999999999994</v>
      </c>
      <c r="C27" s="61">
        <f>'19'!C108</f>
        <v>67.624062500000008</v>
      </c>
      <c r="D27" s="61">
        <f>'19'!D108</f>
        <v>84.054375000000007</v>
      </c>
      <c r="E27" s="61">
        <f>'19'!E108</f>
        <v>7.2581250000000006</v>
      </c>
      <c r="F27" s="61">
        <f>'19'!F108</f>
        <v>2.1299999999999972</v>
      </c>
      <c r="G27" s="61">
        <f>'19'!G108</f>
        <v>127.64166666666661</v>
      </c>
      <c r="H27" s="61">
        <f>'19'!H108</f>
        <v>43.523854166666659</v>
      </c>
      <c r="I27" s="210" t="s">
        <v>43</v>
      </c>
      <c r="J27" s="61">
        <f>'19'!J108</f>
        <v>1.473958333333333</v>
      </c>
      <c r="K27" s="61">
        <f>'19'!K108</f>
        <v>237.49947916666665</v>
      </c>
      <c r="L27" s="61">
        <f>'19'!L108</f>
        <v>16.582395833333326</v>
      </c>
      <c r="M27" s="61">
        <f>'19'!M108</f>
        <v>56.824270833333351</v>
      </c>
      <c r="N27" s="61">
        <f>'19'!N108</f>
        <v>215.58437499999994</v>
      </c>
      <c r="O27" s="61">
        <f>'19'!O108</f>
        <v>0</v>
      </c>
      <c r="P27" s="202">
        <f>'19'!P108</f>
        <v>1.340625</v>
      </c>
      <c r="Q27" s="61">
        <f>'19'!Q108</f>
        <v>8.8366666666666713</v>
      </c>
      <c r="R27" s="118"/>
      <c r="S27" s="118"/>
      <c r="T27" s="118"/>
      <c r="U27" s="118"/>
    </row>
    <row r="28" spans="1:21" x14ac:dyDescent="0.25">
      <c r="A28" s="94" t="str">
        <f>'20'!$B$2</f>
        <v>20/01/2025 00:15</v>
      </c>
      <c r="B28" s="61">
        <f>'20'!B108</f>
        <v>97.077634408602165</v>
      </c>
      <c r="C28" s="61">
        <f>'20'!C108</f>
        <v>69.48838709677419</v>
      </c>
      <c r="D28" s="61">
        <f>'20'!D108</f>
        <v>112.77806451612906</v>
      </c>
      <c r="E28" s="61">
        <f>'20'!E108</f>
        <v>9.0896739130434803</v>
      </c>
      <c r="F28" s="61">
        <f>'20'!F108</f>
        <v>3.2943749999999983</v>
      </c>
      <c r="G28" s="61">
        <f>'20'!G108</f>
        <v>136.55565217391305</v>
      </c>
      <c r="H28" s="61">
        <f>'20'!H108</f>
        <v>43.335652173913061</v>
      </c>
      <c r="I28" s="210" t="s">
        <v>43</v>
      </c>
      <c r="J28" s="61">
        <f>'20'!J108</f>
        <v>1.4961458333333335</v>
      </c>
      <c r="K28" s="61">
        <f>'20'!K108</f>
        <v>247.05822916666673</v>
      </c>
      <c r="L28" s="61">
        <f>'20'!L108</f>
        <v>17.023333333333337</v>
      </c>
      <c r="M28" s="61">
        <f>'20'!M108</f>
        <v>57.206458333333359</v>
      </c>
      <c r="N28" s="61">
        <f>'20'!N108</f>
        <v>225.02395833333333</v>
      </c>
      <c r="O28" s="61">
        <f>'20'!O108</f>
        <v>0</v>
      </c>
      <c r="P28" s="202">
        <f>'20'!P108</f>
        <v>1.4637234042553189</v>
      </c>
      <c r="Q28" s="61">
        <f>'20'!Q108</f>
        <v>9.3851041666666735</v>
      </c>
      <c r="R28" s="118"/>
      <c r="S28" s="118"/>
      <c r="T28" s="118"/>
      <c r="U28" s="118"/>
    </row>
    <row r="29" spans="1:21" x14ac:dyDescent="0.25">
      <c r="A29" s="94" t="str">
        <f>'21'!$B$2</f>
        <v>21/01/2025 00:15</v>
      </c>
      <c r="B29" s="61">
        <f>'21'!B108</f>
        <v>81.129166666666649</v>
      </c>
      <c r="C29" s="61">
        <f>'21'!C108</f>
        <v>70.002916666666678</v>
      </c>
      <c r="D29" s="61">
        <f>'21'!D108</f>
        <v>100.25666666666662</v>
      </c>
      <c r="E29" s="61">
        <f>'21'!E108</f>
        <v>7.0172916666666652</v>
      </c>
      <c r="F29" s="61">
        <f>'21'!F108</f>
        <v>2.1299999999999972</v>
      </c>
      <c r="G29" s="61">
        <f>'21'!G108</f>
        <v>110.17979166666667</v>
      </c>
      <c r="H29" s="61">
        <f>'21'!H108</f>
        <v>35.413437500000001</v>
      </c>
      <c r="I29" s="210" t="s">
        <v>43</v>
      </c>
      <c r="J29" s="61">
        <f>'21'!J108</f>
        <v>1.4229166666666668</v>
      </c>
      <c r="K29" s="61">
        <f>'21'!K108</f>
        <v>246.90937500000004</v>
      </c>
      <c r="L29" s="61">
        <f>'21'!L108</f>
        <v>17.789270833333337</v>
      </c>
      <c r="M29" s="61">
        <f>'21'!M108</f>
        <v>63.443645833333342</v>
      </c>
      <c r="N29" s="61">
        <f>'21'!N108</f>
        <v>218.35937500000014</v>
      </c>
      <c r="O29" s="61">
        <f>'21'!O108</f>
        <v>0</v>
      </c>
      <c r="P29" s="202">
        <f>'21'!P108</f>
        <v>1.3682291666666673</v>
      </c>
      <c r="Q29" s="61">
        <f>'21'!Q108</f>
        <v>9.1979166666666767</v>
      </c>
      <c r="R29" s="118"/>
      <c r="S29" s="118"/>
      <c r="T29" s="118"/>
      <c r="U29" s="118"/>
    </row>
    <row r="30" spans="1:21" x14ac:dyDescent="0.25">
      <c r="A30" s="94" t="str">
        <f>'22'!$B$2</f>
        <v>22/01/2025 00:15</v>
      </c>
      <c r="B30" s="61">
        <f>'22'!B108</f>
        <v>93.206354166666642</v>
      </c>
      <c r="C30" s="61">
        <f>'22'!C108</f>
        <v>74.473124999999968</v>
      </c>
      <c r="D30" s="61">
        <f>'22'!D108</f>
        <v>112.27760416666668</v>
      </c>
      <c r="E30" s="61">
        <f>'22'!E108</f>
        <v>9.0885416666666661</v>
      </c>
      <c r="F30" s="61">
        <f>'22'!F108</f>
        <v>4.9805208333333315</v>
      </c>
      <c r="G30" s="61">
        <f>'22'!G108</f>
        <v>137.54072916666669</v>
      </c>
      <c r="H30" s="61">
        <f>'22'!H108</f>
        <v>43.524583333333332</v>
      </c>
      <c r="I30" s="210" t="s">
        <v>43</v>
      </c>
      <c r="J30" s="61">
        <f>'22'!J108</f>
        <v>1.5179166666666675</v>
      </c>
      <c r="K30" s="61">
        <f>'22'!K108</f>
        <v>259.14822916666668</v>
      </c>
      <c r="L30" s="61">
        <f>'22'!L108</f>
        <v>18.567916666666665</v>
      </c>
      <c r="M30" s="61">
        <f>'22'!M108</f>
        <v>65.514895833333341</v>
      </c>
      <c r="N30" s="61">
        <f>'22'!N108</f>
        <v>212.1958333333333</v>
      </c>
      <c r="O30" s="61">
        <f>'22'!O108</f>
        <v>0</v>
      </c>
      <c r="P30" s="202">
        <f>'22'!P108</f>
        <v>1.5760416666666668</v>
      </c>
      <c r="Q30" s="61">
        <f>'22'!Q108</f>
        <v>9.2955208333333434</v>
      </c>
      <c r="R30" s="118"/>
      <c r="S30" s="118"/>
      <c r="T30" s="118"/>
      <c r="U30" s="118"/>
    </row>
    <row r="31" spans="1:21" x14ac:dyDescent="0.25">
      <c r="A31" s="94" t="str">
        <f>'23'!$B$2</f>
        <v>23/01/2025 00:15</v>
      </c>
      <c r="B31" s="61">
        <f>'23'!B108</f>
        <v>79.225416666666675</v>
      </c>
      <c r="C31" s="61">
        <f>'23'!C108</f>
        <v>72.392395833333339</v>
      </c>
      <c r="D31" s="61">
        <f>'23'!D108</f>
        <v>99.978750000000005</v>
      </c>
      <c r="E31" s="61">
        <f>'23'!E108</f>
        <v>7.4325000000000001</v>
      </c>
      <c r="F31" s="61">
        <f>'23'!F108</f>
        <v>2.1305208333333305</v>
      </c>
      <c r="G31" s="61">
        <f>'23'!G108</f>
        <v>145.22281249999995</v>
      </c>
      <c r="H31" s="61">
        <f>'23'!H108</f>
        <v>48.070520833333298</v>
      </c>
      <c r="I31" s="210" t="s">
        <v>43</v>
      </c>
      <c r="J31" s="61">
        <f>'23'!J108</f>
        <v>1.4222916666666665</v>
      </c>
      <c r="K31" s="61">
        <f>'23'!K108</f>
        <v>236.58677083333328</v>
      </c>
      <c r="L31" s="61">
        <f>'23'!L108</f>
        <v>19.380624999999991</v>
      </c>
      <c r="M31" s="61">
        <f>'23'!M108</f>
        <v>61.821562500000006</v>
      </c>
      <c r="N31" s="61">
        <f>'23'!N108</f>
        <v>213.45937500000011</v>
      </c>
      <c r="O31" s="61">
        <f>'23'!O108</f>
        <v>0</v>
      </c>
      <c r="P31" s="202">
        <f>'23'!P108</f>
        <v>1.6559375000000001</v>
      </c>
      <c r="Q31" s="61">
        <f>'23'!Q108</f>
        <v>8.8538541666666806</v>
      </c>
      <c r="R31" s="118"/>
      <c r="S31" s="207"/>
      <c r="T31" s="118"/>
      <c r="U31" s="118"/>
    </row>
    <row r="32" spans="1:21" x14ac:dyDescent="0.25">
      <c r="A32" s="94" t="str">
        <f>'24'!$B$2</f>
        <v>24/01/2025 00:15</v>
      </c>
      <c r="B32" s="61">
        <f>'24'!B108</f>
        <v>62.956041666666671</v>
      </c>
      <c r="C32" s="61">
        <f>'24'!C108</f>
        <v>75.558645833333358</v>
      </c>
      <c r="D32" s="61">
        <f>'24'!D108</f>
        <v>88.585833333333369</v>
      </c>
      <c r="E32" s="61">
        <f>'24'!E108</f>
        <v>7.7407291666666653</v>
      </c>
      <c r="F32" s="61">
        <f>'24'!F108</f>
        <v>2.1327083333333308</v>
      </c>
      <c r="G32" s="61">
        <f>'24'!G108</f>
        <v>154.45572916666674</v>
      </c>
      <c r="H32" s="61">
        <f>'24'!H108</f>
        <v>61.185957446808509</v>
      </c>
      <c r="I32" s="210" t="s">
        <v>43</v>
      </c>
      <c r="J32" s="61">
        <f>'24'!J108</f>
        <v>1.6519791666666668</v>
      </c>
      <c r="K32" s="61">
        <f>'24'!K108</f>
        <v>283.89739583333323</v>
      </c>
      <c r="L32" s="61">
        <f>'24'!L108</f>
        <v>20.12052083333332</v>
      </c>
      <c r="M32" s="61">
        <f>'24'!M108</f>
        <v>66.516666666666694</v>
      </c>
      <c r="N32" s="61">
        <f>'24'!N108</f>
        <v>190.81145833333335</v>
      </c>
      <c r="O32" s="61">
        <f>'24'!O108</f>
        <v>0</v>
      </c>
      <c r="P32" s="202">
        <f>'24'!P108</f>
        <v>1.5623958333333334</v>
      </c>
      <c r="Q32" s="61">
        <f>'24'!Q108</f>
        <v>8.5926041666666713</v>
      </c>
      <c r="R32" s="118"/>
      <c r="S32" s="118"/>
      <c r="T32" s="118"/>
      <c r="U32" s="118"/>
    </row>
    <row r="33" spans="1:21" x14ac:dyDescent="0.25">
      <c r="A33" s="94" t="str">
        <f>'25'!$B$2</f>
        <v>25/01/2025 00:15</v>
      </c>
      <c r="B33" s="61">
        <f>'25'!B108</f>
        <v>63.560104166666697</v>
      </c>
      <c r="C33" s="61">
        <f>'25'!C108</f>
        <v>71.51520833333332</v>
      </c>
      <c r="D33" s="61">
        <f>'25'!D108</f>
        <v>86.95812500000001</v>
      </c>
      <c r="E33" s="61">
        <f>'25'!E108</f>
        <v>6.179062499999997</v>
      </c>
      <c r="F33" s="61">
        <f>'25'!F108</f>
        <v>2.1547916666666644</v>
      </c>
      <c r="G33" s="61">
        <f>'25'!G108</f>
        <v>97.224687500000002</v>
      </c>
      <c r="H33" s="61">
        <f>'25'!H108</f>
        <v>32.796770833333333</v>
      </c>
      <c r="I33" s="210" t="s">
        <v>43</v>
      </c>
      <c r="J33" s="61">
        <f>'25'!J108</f>
        <v>1.4418749999999998</v>
      </c>
      <c r="K33" s="61">
        <f>'25'!K108</f>
        <v>248.7983333333334</v>
      </c>
      <c r="L33" s="61">
        <f>'25'!L108</f>
        <v>19.659166666666657</v>
      </c>
      <c r="M33" s="61">
        <f>'25'!M108</f>
        <v>63.241979166666674</v>
      </c>
      <c r="N33" s="61">
        <f>'25'!N108</f>
        <v>194.98333333333332</v>
      </c>
      <c r="O33" s="61">
        <f>'25'!O108</f>
        <v>0</v>
      </c>
      <c r="P33" s="202">
        <f>'25'!P108</f>
        <v>1.3545833333333335</v>
      </c>
      <c r="Q33" s="61">
        <f>'25'!Q108</f>
        <v>8.7409375000000029</v>
      </c>
      <c r="R33" s="118"/>
      <c r="S33" s="207"/>
      <c r="T33" s="118"/>
      <c r="U33" s="118"/>
    </row>
    <row r="34" spans="1:21" x14ac:dyDescent="0.25">
      <c r="A34" s="94" t="str">
        <f>'26'!$B$2</f>
        <v>26/01/2025 00:15</v>
      </c>
      <c r="B34" s="61">
        <f>'26'!B108</f>
        <v>41.840729166666677</v>
      </c>
      <c r="C34" s="61">
        <f>'26'!C108</f>
        <v>68.44479166666666</v>
      </c>
      <c r="D34" s="61">
        <f>'26'!D108</f>
        <v>67.936770833333341</v>
      </c>
      <c r="E34" s="61">
        <f>'26'!E108</f>
        <v>6.2718750000000014</v>
      </c>
      <c r="F34" s="61">
        <f>'26'!F108</f>
        <v>2.1332291666666641</v>
      </c>
      <c r="G34" s="61">
        <f>'26'!G108</f>
        <v>89.89895833333334</v>
      </c>
      <c r="H34" s="61">
        <f>'26'!H108</f>
        <v>51.641979166666623</v>
      </c>
      <c r="I34" s="210" t="s">
        <v>43</v>
      </c>
      <c r="J34" s="61">
        <f>'26'!J108</f>
        <v>1.3506250000000006</v>
      </c>
      <c r="K34" s="61">
        <f>'26'!K108</f>
        <v>197.86114583333332</v>
      </c>
      <c r="L34" s="61">
        <f>'26'!L108</f>
        <v>18.951354166666672</v>
      </c>
      <c r="M34" s="61">
        <f>'26'!M108</f>
        <v>56.840416666666663</v>
      </c>
      <c r="N34" s="61">
        <f>'26'!N108</f>
        <v>203.00208333333339</v>
      </c>
      <c r="O34" s="61">
        <f>'26'!O108</f>
        <v>0</v>
      </c>
      <c r="P34" s="202">
        <f>'26'!P108</f>
        <v>1.1357291666666665</v>
      </c>
      <c r="Q34" s="61">
        <f>'26'!Q108</f>
        <v>8.3940625000000075</v>
      </c>
      <c r="R34" s="118"/>
      <c r="S34" s="118"/>
      <c r="T34" s="118"/>
      <c r="U34" s="118"/>
    </row>
    <row r="35" spans="1:21" x14ac:dyDescent="0.25">
      <c r="A35" s="94" t="str">
        <f>'27'!$B$2</f>
        <v>27/01/2025 00:15</v>
      </c>
      <c r="B35" s="61">
        <f>'27'!B108</f>
        <v>31.563020833333336</v>
      </c>
      <c r="C35" s="61">
        <f>'27'!C108</f>
        <v>71.460312500000029</v>
      </c>
      <c r="D35" s="61">
        <f>'27'!D108</f>
        <v>61.270624999999988</v>
      </c>
      <c r="E35" s="61">
        <f>'27'!E108</f>
        <v>6.4516666666666671</v>
      </c>
      <c r="F35" s="61">
        <f>'27'!F108</f>
        <v>2.8145833333333314</v>
      </c>
      <c r="G35" s="61">
        <f>'27'!G108</f>
        <v>80.703645833333383</v>
      </c>
      <c r="H35" s="61">
        <f>'27'!H108</f>
        <v>37.371235955056186</v>
      </c>
      <c r="I35" s="210" t="s">
        <v>43</v>
      </c>
      <c r="J35" s="61">
        <f>'27'!J108</f>
        <v>1.5419791666666667</v>
      </c>
      <c r="K35" s="61">
        <f>'27'!K108</f>
        <v>258.99062499999997</v>
      </c>
      <c r="L35" s="61">
        <f>'27'!L108</f>
        <v>19.087812499999995</v>
      </c>
      <c r="M35" s="61">
        <f>'27'!M108</f>
        <v>46.601770833333312</v>
      </c>
      <c r="N35" s="61">
        <f>'27'!N108</f>
        <v>213.0593749999999</v>
      </c>
      <c r="O35" s="61">
        <f>'27'!O108</f>
        <v>0</v>
      </c>
      <c r="P35" s="202">
        <f>'27'!P108</f>
        <v>0.8897916666666662</v>
      </c>
      <c r="Q35" s="61">
        <f>'27'!Q108</f>
        <v>8.4728125000000016</v>
      </c>
      <c r="R35" s="118"/>
      <c r="S35" s="118"/>
      <c r="T35" s="118"/>
      <c r="U35" s="118"/>
    </row>
    <row r="36" spans="1:21" x14ac:dyDescent="0.25">
      <c r="A36" s="94" t="str">
        <f>'28'!$B$2</f>
        <v>28/01/2025 00:15</v>
      </c>
      <c r="B36" s="61">
        <f>'28'!B108</f>
        <v>48.788645833333334</v>
      </c>
      <c r="C36" s="61">
        <f>'28'!C108</f>
        <v>68.075937499999966</v>
      </c>
      <c r="D36" s="61">
        <f>'28'!D108</f>
        <v>73.316041666666663</v>
      </c>
      <c r="E36" s="61">
        <f>'28'!E108</f>
        <v>6.8681249999999983</v>
      </c>
      <c r="F36" s="61">
        <f>'28'!F108</f>
        <v>2.1299999999999972</v>
      </c>
      <c r="G36" s="61">
        <f>'28'!G108</f>
        <v>103.85635416666668</v>
      </c>
      <c r="H36" s="61">
        <f>'28'!H108</f>
        <v>31.913958333333341</v>
      </c>
      <c r="I36" s="210" t="s">
        <v>43</v>
      </c>
      <c r="J36" s="61">
        <f>'28'!J108</f>
        <v>1.2935416666666659</v>
      </c>
      <c r="K36" s="61">
        <f>'28'!K108</f>
        <v>192.63364583333342</v>
      </c>
      <c r="L36" s="61">
        <f>'28'!L108</f>
        <v>18.580833333333327</v>
      </c>
      <c r="M36" s="61">
        <f>'28'!M108</f>
        <v>48.780312499999987</v>
      </c>
      <c r="N36" s="61">
        <f>'28'!N108</f>
        <v>212.05937500000005</v>
      </c>
      <c r="O36" s="61">
        <f>'28'!O108</f>
        <v>0</v>
      </c>
      <c r="P36" s="202">
        <f>'28'!P108</f>
        <v>1.1384375000000009</v>
      </c>
      <c r="Q36" s="61">
        <f>'28'!Q108</f>
        <v>8.6611458333333342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29/01/2025 00:15</v>
      </c>
      <c r="B37" s="61">
        <f>'29'!B108</f>
        <v>45.802916666666654</v>
      </c>
      <c r="C37" s="61">
        <f>'29'!C108</f>
        <v>76.184479166666677</v>
      </c>
      <c r="D37" s="61">
        <f>'29'!D108</f>
        <v>75.156666666666709</v>
      </c>
      <c r="E37" s="61">
        <f>'29'!E108</f>
        <v>7.1301041666666665</v>
      </c>
      <c r="F37" s="61">
        <f>'29'!F108</f>
        <v>2.2013541666666652</v>
      </c>
      <c r="G37" s="61">
        <f>'29'!G108</f>
        <v>122.4545833333333</v>
      </c>
      <c r="H37" s="61">
        <f>'29'!H108</f>
        <v>44.836458333333304</v>
      </c>
      <c r="I37" s="210" t="s">
        <v>43</v>
      </c>
      <c r="J37" s="61">
        <f>'29'!J108</f>
        <v>1.4068750000000001</v>
      </c>
      <c r="K37" s="61">
        <f>'29'!K108</f>
        <v>232.03427083333324</v>
      </c>
      <c r="L37" s="61">
        <f>'29'!L108</f>
        <v>19.650729166666657</v>
      </c>
      <c r="M37" s="61">
        <f>'29'!M108</f>
        <v>60.537812499999994</v>
      </c>
      <c r="N37" s="61">
        <f>'29'!N108</f>
        <v>193.01041666666666</v>
      </c>
      <c r="O37" s="61">
        <f>'29'!O108</f>
        <v>0</v>
      </c>
      <c r="P37" s="202">
        <f>'29'!P108</f>
        <v>1.4185416666666664</v>
      </c>
      <c r="Q37" s="61">
        <f>'29'!Q108</f>
        <v>8.5316666666666681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30/01/2025 00:15</v>
      </c>
      <c r="B38" s="61">
        <f>'30'!B108</f>
        <v>27.921145833333341</v>
      </c>
      <c r="C38" s="61">
        <f>'30'!C108</f>
        <v>61.687604166666659</v>
      </c>
      <c r="D38" s="61">
        <f>'30'!D108</f>
        <v>53.244166666666672</v>
      </c>
      <c r="E38" s="61">
        <f>'30'!E108</f>
        <v>7.2927083333333345</v>
      </c>
      <c r="F38" s="61">
        <f>'30'!F108</f>
        <v>3.1209374999999984</v>
      </c>
      <c r="G38" s="61">
        <f>'30'!G108</f>
        <v>77.27395833333334</v>
      </c>
      <c r="H38" s="61">
        <f>'30'!H108</f>
        <v>27.829791666666679</v>
      </c>
      <c r="I38" s="210" t="s">
        <v>43</v>
      </c>
      <c r="J38" s="61">
        <f>'30'!J108</f>
        <v>1.2294791666666669</v>
      </c>
      <c r="K38" s="61">
        <f>'30'!K108</f>
        <v>262.83229166666678</v>
      </c>
      <c r="L38" s="61">
        <f>'30'!L108</f>
        <v>21.0196875</v>
      </c>
      <c r="M38" s="61">
        <f>'30'!M108</f>
        <v>70.874895833333383</v>
      </c>
      <c r="N38" s="61">
        <f>'30'!N108</f>
        <v>200.41770833333339</v>
      </c>
      <c r="O38" s="61">
        <f>'30'!O108</f>
        <v>0</v>
      </c>
      <c r="P38" s="202">
        <f>'30'!P108</f>
        <v>0.95437499999999964</v>
      </c>
      <c r="Q38" s="61">
        <f>'30'!Q108</f>
        <v>8.2451041666666747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31/01/2025 00:15</v>
      </c>
      <c r="B39" s="61">
        <f>'31'!B108</f>
        <v>21.381770833333334</v>
      </c>
      <c r="C39" s="61">
        <f>'31'!C108</f>
        <v>53.650104166666686</v>
      </c>
      <c r="D39" s="61">
        <f>'31'!D108</f>
        <v>43.406145833333341</v>
      </c>
      <c r="E39" s="61">
        <f>'31'!E108</f>
        <v>5.6658333333333326</v>
      </c>
      <c r="F39" s="61">
        <f>'31'!F108</f>
        <v>2.146041666666664</v>
      </c>
      <c r="G39" s="61">
        <f>'31'!G108</f>
        <v>66.647187500000015</v>
      </c>
      <c r="H39" s="61">
        <f>'31'!H108</f>
        <v>23.446979166666676</v>
      </c>
      <c r="I39" s="210" t="s">
        <v>43</v>
      </c>
      <c r="J39" s="61">
        <f>'31'!J108</f>
        <v>0.97114583333333293</v>
      </c>
      <c r="K39" s="61">
        <f>'31'!K108</f>
        <v>263.83968749999991</v>
      </c>
      <c r="L39" s="61">
        <f>'31'!L108</f>
        <v>21.578645833333336</v>
      </c>
      <c r="M39" s="61">
        <f>'31'!M108</f>
        <v>74.12322916666669</v>
      </c>
      <c r="N39" s="61">
        <f>'31'!N108</f>
        <v>191.97604166666665</v>
      </c>
      <c r="O39" s="61">
        <f>'31'!O108</f>
        <v>0</v>
      </c>
      <c r="P39" s="61">
        <f>'31'!P108</f>
        <v>0.77552083333333377</v>
      </c>
      <c r="Q39" s="61">
        <f>'31'!Q108</f>
        <v>8.6046875000000025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13.368333333333334</v>
      </c>
      <c r="C41" s="16">
        <f t="shared" si="0"/>
        <v>49.285416666666656</v>
      </c>
      <c r="D41" s="16">
        <f t="shared" si="0"/>
        <v>42.0703125</v>
      </c>
      <c r="E41" s="16">
        <f t="shared" si="0"/>
        <v>6.179062499999997</v>
      </c>
      <c r="F41" s="16">
        <f t="shared" si="0"/>
        <v>2.1299999999999972</v>
      </c>
      <c r="G41" s="16">
        <f t="shared" si="0"/>
        <v>65.332187500000046</v>
      </c>
      <c r="H41" s="16">
        <f t="shared" si="0"/>
        <v>25.879166666666663</v>
      </c>
      <c r="I41" s="16">
        <f t="shared" si="0"/>
        <v>0</v>
      </c>
      <c r="J41" s="16">
        <f t="shared" si="0"/>
        <v>0.93760416666666646</v>
      </c>
      <c r="K41" s="16">
        <f t="shared" si="0"/>
        <v>150.2538636363636</v>
      </c>
      <c r="L41" s="16">
        <f t="shared" si="0"/>
        <v>14.285000000000002</v>
      </c>
      <c r="M41" s="16">
        <f t="shared" si="0"/>
        <v>42.078437499999986</v>
      </c>
      <c r="N41" s="16">
        <f t="shared" si="0"/>
        <v>178.14772727272728</v>
      </c>
      <c r="O41" s="16">
        <f t="shared" si="0"/>
        <v>0</v>
      </c>
      <c r="P41" s="16">
        <f t="shared" si="0"/>
        <v>0.78802083333333328</v>
      </c>
      <c r="Q41" s="16">
        <f t="shared" si="0"/>
        <v>8.210000000000008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106.57</v>
      </c>
      <c r="C42" s="16">
        <f t="shared" si="1"/>
        <v>76.184479166666677</v>
      </c>
      <c r="D42" s="16">
        <f t="shared" si="1"/>
        <v>114.10510416666671</v>
      </c>
      <c r="E42" s="16">
        <f t="shared" si="1"/>
        <v>9.0896739130434803</v>
      </c>
      <c r="F42" s="16">
        <f t="shared" si="1"/>
        <v>4.9805208333333315</v>
      </c>
      <c r="G42" s="16">
        <f t="shared" si="1"/>
        <v>154.45572916666674</v>
      </c>
      <c r="H42" s="16">
        <f t="shared" si="1"/>
        <v>84.968020833333327</v>
      </c>
      <c r="I42" s="16">
        <f t="shared" si="1"/>
        <v>0</v>
      </c>
      <c r="J42" s="16">
        <f t="shared" si="1"/>
        <v>1.9658333333333342</v>
      </c>
      <c r="K42" s="16">
        <f t="shared" si="1"/>
        <v>309.23291666666677</v>
      </c>
      <c r="L42" s="16">
        <f t="shared" si="1"/>
        <v>21.0196875</v>
      </c>
      <c r="M42" s="16">
        <f t="shared" si="1"/>
        <v>76.019895833333308</v>
      </c>
      <c r="N42" s="16">
        <f t="shared" si="1"/>
        <v>274.16145833333331</v>
      </c>
      <c r="O42" s="16">
        <f t="shared" si="1"/>
        <v>0</v>
      </c>
      <c r="P42" s="16">
        <f t="shared" si="1"/>
        <v>1.6559375000000001</v>
      </c>
      <c r="Q42" s="16">
        <f t="shared" si="1"/>
        <v>9.6031250000000021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50.868800868077692</v>
      </c>
      <c r="C43" s="16">
        <f t="shared" si="2"/>
        <v>63.381347696813854</v>
      </c>
      <c r="D43" s="16">
        <f t="shared" si="2"/>
        <v>72.521649567643479</v>
      </c>
      <c r="E43" s="16">
        <f t="shared" si="2"/>
        <v>7.3160528930610429</v>
      </c>
      <c r="F43" s="16">
        <f t="shared" si="2"/>
        <v>2.4379791666666639</v>
      </c>
      <c r="G43" s="16">
        <f t="shared" si="2"/>
        <v>106.7789750219587</v>
      </c>
      <c r="H43" s="16">
        <f t="shared" si="2"/>
        <v>40.394109189443476</v>
      </c>
      <c r="I43" s="16" t="e">
        <f t="shared" si="2"/>
        <v>#DIV/0!</v>
      </c>
      <c r="J43" s="16">
        <f t="shared" si="2"/>
        <v>1.4612635732323229</v>
      </c>
      <c r="K43" s="16">
        <f t="shared" si="2"/>
        <v>237.99337531565661</v>
      </c>
      <c r="L43" s="16">
        <f t="shared" si="2"/>
        <v>17.451704861111111</v>
      </c>
      <c r="M43" s="16">
        <f t="shared" si="2"/>
        <v>59.176488952020215</v>
      </c>
      <c r="N43" s="16">
        <f t="shared" si="2"/>
        <v>208.99190340909092</v>
      </c>
      <c r="O43" s="16">
        <f t="shared" si="2"/>
        <v>0</v>
      </c>
      <c r="P43" s="16">
        <f t="shared" si="2"/>
        <v>1.2041023331721474</v>
      </c>
      <c r="Q43" s="16">
        <f t="shared" si="2"/>
        <v>8.732875000000007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26.601337492143216</v>
      </c>
      <c r="C44" s="16">
        <f t="shared" si="3"/>
        <v>8.1082130616411447</v>
      </c>
      <c r="D44" s="16">
        <f t="shared" si="3"/>
        <v>22.012249242445932</v>
      </c>
      <c r="E44" s="16">
        <f t="shared" si="3"/>
        <v>0.76967890487041069</v>
      </c>
      <c r="F44" s="16">
        <f t="shared" si="3"/>
        <v>0.64774667136882902</v>
      </c>
      <c r="G44" s="16">
        <f t="shared" si="3"/>
        <v>22.322550978003374</v>
      </c>
      <c r="H44" s="16">
        <f t="shared" si="3"/>
        <v>11.620089173523661</v>
      </c>
      <c r="I44" s="16" t="e">
        <f t="shared" si="3"/>
        <v>#DIV/0!</v>
      </c>
      <c r="J44" s="16">
        <f t="shared" si="3"/>
        <v>0.25196910372228365</v>
      </c>
      <c r="K44" s="16">
        <f t="shared" si="3"/>
        <v>35.837084115910038</v>
      </c>
      <c r="L44" s="16">
        <f t="shared" si="3"/>
        <v>1.6650535219251468</v>
      </c>
      <c r="M44" s="16">
        <f t="shared" si="3"/>
        <v>7.7086321266401345</v>
      </c>
      <c r="N44" s="16">
        <f t="shared" si="3"/>
        <v>19.934540587094034</v>
      </c>
      <c r="O44" s="16">
        <f t="shared" si="3"/>
        <v>0</v>
      </c>
      <c r="P44" s="16">
        <f t="shared" si="3"/>
        <v>0.22011992160694274</v>
      </c>
      <c r="Q44" s="16">
        <f t="shared" si="3"/>
        <v>0.42254154949690526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0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&lt;90%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LESS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133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9" t="s">
        <v>3222</v>
      </c>
      <c r="E1" s="219"/>
      <c r="F1" s="219"/>
      <c r="G1" s="219"/>
      <c r="H1" s="219"/>
      <c r="I1" s="219"/>
      <c r="J1" s="220"/>
    </row>
    <row r="2" spans="2:24" ht="22.5" customHeight="1" thickBot="1" x14ac:dyDescent="0.3">
      <c r="B2" s="54"/>
      <c r="C2" s="111" t="s">
        <v>0</v>
      </c>
      <c r="D2" s="112" t="s">
        <v>3223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3" t="s">
        <v>1</v>
      </c>
      <c r="H5" s="223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45670.541666666664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200.14</v>
      </c>
      <c r="I8" s="60">
        <v>0</v>
      </c>
      <c r="J8" s="61">
        <f>F8/H8</f>
        <v>0.99930048965724005</v>
      </c>
      <c r="K8" s="61">
        <f>(H8-F8)*100/F8</f>
        <v>6.9999999999993179E-2</v>
      </c>
      <c r="L8" s="60" t="s">
        <v>67</v>
      </c>
      <c r="M8" s="78" t="s">
        <v>217</v>
      </c>
      <c r="O8" s="63">
        <v>45661.497916666667</v>
      </c>
      <c r="P8" s="64" t="s">
        <v>70</v>
      </c>
      <c r="Q8" s="64">
        <v>5094.75</v>
      </c>
      <c r="R8" s="64">
        <v>3919.01</v>
      </c>
      <c r="S8" s="77" t="s">
        <v>3220</v>
      </c>
      <c r="T8" s="77">
        <v>826.69</v>
      </c>
      <c r="U8" s="86">
        <v>0.93489999999999995</v>
      </c>
      <c r="V8" s="86">
        <v>0.95</v>
      </c>
      <c r="W8" s="60" t="s">
        <v>67</v>
      </c>
      <c r="X8" s="78" t="s">
        <v>217</v>
      </c>
    </row>
    <row r="9" spans="2:24" ht="15.75" x14ac:dyDescent="0.25">
      <c r="B9" s="63">
        <v>45677.552083333336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201.45</v>
      </c>
      <c r="I9" s="60">
        <v>0</v>
      </c>
      <c r="J9" s="61">
        <f t="shared" ref="J9:J14" si="0">F9/H9</f>
        <v>0.99280218416480526</v>
      </c>
      <c r="K9" s="61">
        <f t="shared" ref="K9:K14" si="1">(H9-F9)*100/F9</f>
        <v>0.72499999999999432</v>
      </c>
      <c r="L9" s="60" t="s">
        <v>67</v>
      </c>
      <c r="M9" s="62" t="s">
        <v>217</v>
      </c>
      <c r="O9" s="63">
        <v>45666.482638888891</v>
      </c>
      <c r="P9" s="64" t="s">
        <v>70</v>
      </c>
      <c r="Q9" s="64">
        <v>5128.45</v>
      </c>
      <c r="R9" s="64">
        <v>4019.24</v>
      </c>
      <c r="S9" s="77" t="s">
        <v>3220</v>
      </c>
      <c r="T9" s="77">
        <v>831.41</v>
      </c>
      <c r="U9" s="86">
        <v>0.92459999999999998</v>
      </c>
      <c r="V9" s="86">
        <v>0.92190000000000005</v>
      </c>
      <c r="W9" s="60" t="s">
        <v>67</v>
      </c>
      <c r="X9" s="62" t="s">
        <v>217</v>
      </c>
    </row>
    <row r="10" spans="2:24" ht="15.75" x14ac:dyDescent="0.25">
      <c r="B10" s="63">
        <v>45686.569444444445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198.95</v>
      </c>
      <c r="I10" s="60">
        <v>0</v>
      </c>
      <c r="J10" s="61">
        <f t="shared" si="0"/>
        <v>1.0052777079668258</v>
      </c>
      <c r="K10" s="61">
        <f t="shared" si="1"/>
        <v>-0.52500000000000568</v>
      </c>
      <c r="L10" s="60" t="s">
        <v>67</v>
      </c>
      <c r="M10" s="62" t="s">
        <v>217</v>
      </c>
      <c r="O10" s="63">
        <v>45677.486111111109</v>
      </c>
      <c r="P10" s="64" t="s">
        <v>70</v>
      </c>
      <c r="Q10" s="64">
        <v>5023.17</v>
      </c>
      <c r="R10" s="64">
        <v>3921.41</v>
      </c>
      <c r="S10" s="77" t="s">
        <v>3220</v>
      </c>
      <c r="T10" s="77">
        <v>833.54</v>
      </c>
      <c r="U10" s="86">
        <v>0.91339999999999999</v>
      </c>
      <c r="V10" s="86">
        <v>0.91010000000000002</v>
      </c>
      <c r="W10" s="60" t="s">
        <v>67</v>
      </c>
      <c r="X10" s="62" t="s">
        <v>217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217</v>
      </c>
      <c r="O11" s="63">
        <v>45686.486111111109</v>
      </c>
      <c r="P11" s="64" t="s">
        <v>70</v>
      </c>
      <c r="Q11" s="64">
        <v>5245.13</v>
      </c>
      <c r="R11" s="64">
        <v>4124.62</v>
      </c>
      <c r="S11" s="77" t="s">
        <v>3220</v>
      </c>
      <c r="T11" s="77">
        <v>832.46</v>
      </c>
      <c r="U11" s="86">
        <v>0.90239999999999998</v>
      </c>
      <c r="V11" s="86">
        <v>0.90110000000000001</v>
      </c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3220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2" t="s">
        <v>25</v>
      </c>
      <c r="D21" s="222"/>
      <c r="E21" s="222"/>
      <c r="F21" s="222"/>
      <c r="G21" s="222"/>
      <c r="H21" s="222"/>
      <c r="I21" s="45">
        <f>COUNT(B8:B20)</f>
        <v>3</v>
      </c>
      <c r="J21" s="46"/>
      <c r="K21" s="46"/>
      <c r="L21" s="47"/>
      <c r="M21" s="48"/>
      <c r="O21" s="80"/>
      <c r="P21" s="224" t="s">
        <v>84</v>
      </c>
      <c r="Q21" s="224"/>
      <c r="R21" s="224"/>
      <c r="S21" s="224"/>
      <c r="T21" s="81">
        <f>COUNT(O8:O20)</f>
        <v>4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1" t="s">
        <v>2</v>
      </c>
      <c r="H24" s="221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45677.447916666664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202.45</v>
      </c>
      <c r="I27" s="60">
        <v>0</v>
      </c>
      <c r="J27" s="61">
        <f>F27/H27</f>
        <v>0.98789824648061253</v>
      </c>
      <c r="K27" s="61">
        <f>(H27-F27)*100/F27</f>
        <v>1.2249999999999943</v>
      </c>
      <c r="L27" s="60" t="s">
        <v>67</v>
      </c>
      <c r="M27" s="78" t="s">
        <v>217</v>
      </c>
      <c r="O27" s="63">
        <v>45661.497916666667</v>
      </c>
      <c r="P27" s="64" t="s">
        <v>71</v>
      </c>
      <c r="Q27" s="64">
        <v>4951.96</v>
      </c>
      <c r="R27" s="64">
        <v>3900.55</v>
      </c>
      <c r="S27" s="77" t="s">
        <v>3221</v>
      </c>
      <c r="T27" s="77">
        <v>843.13</v>
      </c>
      <c r="U27" s="86">
        <v>0.99790000000000001</v>
      </c>
      <c r="V27" s="86">
        <v>1.0043</v>
      </c>
      <c r="W27" s="60" t="s">
        <v>67</v>
      </c>
      <c r="X27" s="78" t="s">
        <v>217</v>
      </c>
    </row>
    <row r="28" spans="2:24" s="24" customFormat="1" ht="15.75" x14ac:dyDescent="0.25">
      <c r="B28" s="63">
        <v>45686.440972222219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201.43</v>
      </c>
      <c r="I28" s="60">
        <v>0</v>
      </c>
      <c r="J28" s="61">
        <f t="shared" ref="J28:J33" si="2">F28/H28</f>
        <v>0.99290075956908108</v>
      </c>
      <c r="K28" s="61">
        <f t="shared" ref="K28:K33" si="3">(H28-F28)*100/F28</f>
        <v>0.71500000000000341</v>
      </c>
      <c r="L28" s="60" t="s">
        <v>67</v>
      </c>
      <c r="M28" s="62" t="s">
        <v>223</v>
      </c>
      <c r="O28" s="63">
        <v>45666.482638888891</v>
      </c>
      <c r="P28" s="64" t="s">
        <v>71</v>
      </c>
      <c r="Q28" s="64">
        <v>4832.12</v>
      </c>
      <c r="R28" s="64">
        <v>3825.41</v>
      </c>
      <c r="S28" s="77" t="s">
        <v>3221</v>
      </c>
      <c r="T28" s="77">
        <v>842.12</v>
      </c>
      <c r="U28" s="86">
        <v>0.98309999999999997</v>
      </c>
      <c r="V28" s="86">
        <v>0.97889999999999999</v>
      </c>
      <c r="W28" s="60" t="s">
        <v>67</v>
      </c>
      <c r="X28" s="62" t="s">
        <v>217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224</v>
      </c>
      <c r="O29" s="63">
        <v>45677.486111111109</v>
      </c>
      <c r="P29" s="64" t="s">
        <v>71</v>
      </c>
      <c r="Q29" s="64"/>
      <c r="R29" s="64"/>
      <c r="S29" s="77" t="s">
        <v>3221</v>
      </c>
      <c r="T29" s="77">
        <v>845.42</v>
      </c>
      <c r="U29" s="86">
        <v>0.92010000000000003</v>
      </c>
      <c r="V29" s="86">
        <v>0.92100000000000004</v>
      </c>
      <c r="W29" s="60" t="s">
        <v>67</v>
      </c>
      <c r="X29" s="62" t="s">
        <v>217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224</v>
      </c>
      <c r="O30" s="63">
        <v>45686.486111111109</v>
      </c>
      <c r="P30" s="64" t="s">
        <v>71</v>
      </c>
      <c r="Q30" s="64"/>
      <c r="R30" s="64"/>
      <c r="S30" s="77" t="s">
        <v>3221</v>
      </c>
      <c r="T30" s="77">
        <v>844.14</v>
      </c>
      <c r="U30" s="86">
        <v>0.96209999999999996</v>
      </c>
      <c r="V30" s="86">
        <v>0.96150000000000002</v>
      </c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4" t="s">
        <v>85</v>
      </c>
      <c r="Q40" s="224"/>
      <c r="R40" s="224"/>
      <c r="S40" s="224"/>
      <c r="T40" s="81">
        <f>COUNT(O27:O39)</f>
        <v>4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2" t="s">
        <v>26</v>
      </c>
      <c r="E41" s="222"/>
      <c r="F41" s="222"/>
      <c r="G41" s="222"/>
      <c r="H41" s="222"/>
      <c r="I41" s="222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1" t="s">
        <v>23</v>
      </c>
      <c r="H44" s="221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2" t="s">
        <v>27</v>
      </c>
      <c r="E61" s="222"/>
      <c r="F61" s="222"/>
      <c r="G61" s="222"/>
      <c r="H61" s="222"/>
      <c r="I61" s="222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1" t="s">
        <v>3</v>
      </c>
      <c r="H64" s="221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45677.576388888891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223</v>
      </c>
    </row>
    <row r="68" spans="2:13" ht="15.75" x14ac:dyDescent="0.25">
      <c r="B68" s="63">
        <v>45686.576388888891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5.42</v>
      </c>
      <c r="I68" s="60">
        <v>0</v>
      </c>
      <c r="J68" s="61">
        <f t="shared" ref="J68:J73" si="4">F68/H68</f>
        <v>0.92250922509225097</v>
      </c>
      <c r="K68" s="61">
        <f t="shared" ref="K68:K73" si="5">(H68-F68)*100/F68</f>
        <v>8.3999999999999986</v>
      </c>
      <c r="L68" s="60" t="s">
        <v>67</v>
      </c>
      <c r="M68" s="62" t="s">
        <v>224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224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224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2" t="s">
        <v>28</v>
      </c>
      <c r="E81" s="222"/>
      <c r="F81" s="222"/>
      <c r="G81" s="222"/>
      <c r="H81" s="222"/>
      <c r="I81" s="222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1" t="s">
        <v>24</v>
      </c>
      <c r="H84" s="221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2" t="s">
        <v>29</v>
      </c>
      <c r="E101" s="222"/>
      <c r="F101" s="222"/>
      <c r="G101" s="222"/>
      <c r="H101" s="222"/>
      <c r="I101" s="222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3" t="s">
        <v>4</v>
      </c>
      <c r="H104" s="223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224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224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224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2" t="s">
        <v>69</v>
      </c>
      <c r="D119" s="222"/>
      <c r="E119" s="222"/>
      <c r="F119" s="222"/>
      <c r="G119" s="222"/>
      <c r="H119" s="222"/>
      <c r="I119" s="52">
        <f>COUNT(B107:B118)</f>
        <v>0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5" t="s">
        <v>226</v>
      </c>
      <c r="C2" s="225"/>
      <c r="D2" s="226">
        <v>45017</v>
      </c>
      <c r="E2" s="226"/>
    </row>
    <row r="3" spans="1:5" x14ac:dyDescent="0.25">
      <c r="B3" s="225" t="s">
        <v>21</v>
      </c>
      <c r="C3" s="225"/>
      <c r="D3" s="226"/>
      <c r="E3" s="226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7" t="s">
        <v>22</v>
      </c>
      <c r="C44" s="227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8" t="s">
        <v>221</v>
      </c>
      <c r="C2" s="228"/>
      <c r="D2" s="228"/>
      <c r="E2" s="228"/>
      <c r="F2" s="229">
        <v>44713</v>
      </c>
      <c r="G2" s="230"/>
      <c r="H2" s="230"/>
    </row>
    <row r="3" spans="2:24" s="12" customFormat="1" ht="15" customHeight="1" x14ac:dyDescent="0.25">
      <c r="B3" s="228"/>
      <c r="C3" s="228"/>
      <c r="D3" s="228"/>
      <c r="E3" s="228"/>
      <c r="F3" s="230"/>
      <c r="G3" s="230"/>
      <c r="H3" s="230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1" t="s">
        <v>4</v>
      </c>
      <c r="C12" s="233" t="s">
        <v>134</v>
      </c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127"/>
      <c r="U12" s="125"/>
    </row>
    <row r="13" spans="2:24" ht="15" customHeight="1" x14ac:dyDescent="0.25">
      <c r="B13" s="232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32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2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32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32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2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5" t="s">
        <v>2</v>
      </c>
      <c r="C25" s="237" t="s">
        <v>134</v>
      </c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9"/>
      <c r="S25" s="188"/>
      <c r="T25" s="189"/>
    </row>
    <row r="26" spans="2:28" ht="15" customHeight="1" x14ac:dyDescent="0.3">
      <c r="B26" s="235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5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5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6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3" t="s">
        <v>3</v>
      </c>
      <c r="C36" s="245" t="s">
        <v>134</v>
      </c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6"/>
    </row>
    <row r="37" spans="2:25" ht="15.75" customHeight="1" x14ac:dyDescent="0.25">
      <c r="B37" s="244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4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4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4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7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8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48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8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48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5" t="s">
        <v>185</v>
      </c>
      <c r="C61" s="237" t="s">
        <v>134</v>
      </c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9"/>
      <c r="S61" s="166"/>
      <c r="T61" s="167"/>
    </row>
    <row r="62" spans="2:20" ht="15.75" x14ac:dyDescent="0.3">
      <c r="B62" s="235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49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9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6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5" t="s">
        <v>202</v>
      </c>
      <c r="C69" s="237" t="s">
        <v>134</v>
      </c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9"/>
      <c r="S69" s="166"/>
      <c r="T69" s="167"/>
    </row>
    <row r="70" spans="2:20" ht="15.75" x14ac:dyDescent="0.3">
      <c r="B70" s="235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5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9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6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0" t="s">
        <v>24</v>
      </c>
      <c r="C77" s="239" t="s">
        <v>134</v>
      </c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177"/>
      <c r="S77" s="177"/>
      <c r="T77" s="178"/>
    </row>
    <row r="78" spans="2:20" x14ac:dyDescent="0.25">
      <c r="B78" s="241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41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1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41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41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1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2025-10-24T15:48:56Z</dcterms:modified>
</cp:coreProperties>
</file>